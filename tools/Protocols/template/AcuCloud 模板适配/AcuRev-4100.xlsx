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AcuCloud 模板适配/"/>
    </mc:Choice>
  </mc:AlternateContent>
  <xr:revisionPtr revIDLastSave="53" documentId="11_F8D7BC906C8E716EFE9D2717330686B491CDDEA1" xr6:coauthVersionLast="47" xr6:coauthVersionMax="47" xr10:uidLastSave="{6E08DB5E-0B03-415A-8F7E-4EC30F04E331}"/>
  <bookViews>
    <workbookView xWindow="-108" yWindow="-108" windowWidth="23256" windowHeight="12456" activeTab="1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4" r:id="rId4"/>
    <sheet name="analysisNames" sheetId="5" r:id="rId5"/>
    <sheet name="applications" sheetId="6" r:id="rId6"/>
    <sheet name="groups" sheetId="7" r:id="rId7"/>
    <sheet name="deviceTemplateInfo" sheetId="8" r:id="rId8"/>
  </sheets>
  <definedNames>
    <definedName name="_xlnm._FilterDatabase" localSheetId="5">applications!$A$1:$I$27</definedName>
    <definedName name="_xlnm._FilterDatabase" localSheetId="1" hidden="1">blockParams!$A$1:$S$3863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63" i="2" l="1"/>
  <c r="B3863" i="2"/>
  <c r="I3862" i="2"/>
  <c r="B3862" i="2"/>
  <c r="I3861" i="2"/>
  <c r="B3861" i="2"/>
  <c r="I3860" i="2"/>
  <c r="B3860" i="2"/>
  <c r="I3859" i="2"/>
  <c r="B3859" i="2"/>
  <c r="I3858" i="2"/>
  <c r="B3858" i="2"/>
  <c r="I3857" i="2"/>
  <c r="B3857" i="2"/>
  <c r="I3856" i="2"/>
  <c r="B3856" i="2"/>
  <c r="I3855" i="2"/>
  <c r="B3855" i="2"/>
  <c r="I3854" i="2"/>
  <c r="B3854" i="2"/>
  <c r="I3853" i="2"/>
  <c r="B3853" i="2"/>
  <c r="I3852" i="2"/>
  <c r="B3852" i="2"/>
  <c r="I3851" i="2"/>
  <c r="B3851" i="2"/>
  <c r="I3850" i="2"/>
  <c r="B3850" i="2"/>
  <c r="I3849" i="2"/>
  <c r="B3849" i="2"/>
  <c r="I3848" i="2"/>
  <c r="B3848" i="2"/>
  <c r="I3847" i="2"/>
  <c r="B3847" i="2"/>
  <c r="I3846" i="2"/>
  <c r="B3846" i="2"/>
  <c r="I3845" i="2"/>
  <c r="B3845" i="2"/>
  <c r="I3844" i="2"/>
  <c r="B3844" i="2"/>
  <c r="I3843" i="2"/>
  <c r="B3843" i="2"/>
  <c r="I3842" i="2"/>
  <c r="B3842" i="2"/>
  <c r="I3841" i="2"/>
  <c r="B3841" i="2"/>
  <c r="I3840" i="2"/>
  <c r="B3840" i="2"/>
  <c r="I3839" i="2"/>
  <c r="B3839" i="2"/>
  <c r="I3838" i="2"/>
  <c r="B3838" i="2"/>
  <c r="I3837" i="2"/>
  <c r="B3837" i="2"/>
  <c r="I3836" i="2"/>
  <c r="B3836" i="2"/>
  <c r="I3835" i="2"/>
  <c r="B3835" i="2"/>
  <c r="I3834" i="2"/>
  <c r="B3834" i="2"/>
  <c r="I3833" i="2"/>
  <c r="B3833" i="2"/>
  <c r="I3832" i="2"/>
  <c r="B3832" i="2"/>
  <c r="I3831" i="2"/>
  <c r="B3831" i="2"/>
  <c r="I3830" i="2"/>
  <c r="B3830" i="2"/>
  <c r="I3829" i="2"/>
  <c r="B3829" i="2"/>
  <c r="I3828" i="2"/>
  <c r="B3828" i="2"/>
  <c r="I3827" i="2"/>
  <c r="B3827" i="2"/>
  <c r="I3826" i="2"/>
  <c r="B3826" i="2"/>
  <c r="I3825" i="2"/>
  <c r="B3825" i="2"/>
  <c r="I3824" i="2"/>
  <c r="B3824" i="2"/>
  <c r="I3823" i="2"/>
  <c r="B3823" i="2"/>
  <c r="I3822" i="2"/>
  <c r="B3822" i="2"/>
  <c r="I3821" i="2"/>
  <c r="B3821" i="2"/>
  <c r="I3820" i="2"/>
  <c r="B3820" i="2"/>
  <c r="I3819" i="2"/>
  <c r="B3819" i="2"/>
  <c r="I3818" i="2"/>
  <c r="B3818" i="2"/>
  <c r="I3817" i="2"/>
  <c r="B3817" i="2"/>
  <c r="I3816" i="2"/>
  <c r="B3816" i="2"/>
  <c r="I3815" i="2"/>
  <c r="B3815" i="2"/>
  <c r="I3814" i="2"/>
  <c r="B3814" i="2"/>
  <c r="I3813" i="2"/>
  <c r="B3813" i="2"/>
  <c r="I3812" i="2"/>
  <c r="B3812" i="2"/>
  <c r="I3811" i="2"/>
  <c r="B3811" i="2"/>
  <c r="I3810" i="2"/>
  <c r="B3810" i="2"/>
  <c r="I3809" i="2"/>
  <c r="B3809" i="2"/>
  <c r="I3808" i="2"/>
  <c r="B3808" i="2"/>
  <c r="I3807" i="2"/>
  <c r="B3807" i="2"/>
  <c r="I3806" i="2"/>
  <c r="B3806" i="2"/>
  <c r="I3805" i="2"/>
  <c r="B3805" i="2"/>
  <c r="I3804" i="2"/>
  <c r="B3804" i="2"/>
  <c r="I3803" i="2"/>
  <c r="B3803" i="2"/>
  <c r="I3802" i="2"/>
  <c r="B3802" i="2"/>
  <c r="I3801" i="2"/>
  <c r="B3801" i="2"/>
  <c r="I3800" i="2"/>
  <c r="B3800" i="2"/>
  <c r="I3799" i="2"/>
  <c r="B3799" i="2"/>
  <c r="I3798" i="2"/>
  <c r="B3798" i="2"/>
  <c r="I3797" i="2"/>
  <c r="B3797" i="2"/>
  <c r="I3796" i="2"/>
  <c r="B3796" i="2"/>
  <c r="I3795" i="2"/>
  <c r="B3795" i="2"/>
  <c r="I3794" i="2"/>
  <c r="B3794" i="2"/>
  <c r="I3793" i="2"/>
  <c r="B3793" i="2"/>
  <c r="I3792" i="2"/>
  <c r="B3792" i="2"/>
  <c r="I3791" i="2"/>
  <c r="B3791" i="2"/>
  <c r="I3790" i="2"/>
  <c r="B3790" i="2"/>
  <c r="I3789" i="2"/>
  <c r="B3789" i="2"/>
  <c r="I3788" i="2"/>
  <c r="B3788" i="2"/>
  <c r="I3787" i="2"/>
  <c r="B3787" i="2"/>
  <c r="I3786" i="2"/>
  <c r="B3786" i="2"/>
  <c r="I3785" i="2"/>
  <c r="B3785" i="2"/>
  <c r="I3784" i="2"/>
  <c r="B3784" i="2"/>
  <c r="I3783" i="2"/>
  <c r="B3783" i="2"/>
  <c r="I3782" i="2"/>
  <c r="B3782" i="2"/>
  <c r="I3781" i="2"/>
  <c r="B3781" i="2"/>
  <c r="I3780" i="2"/>
  <c r="B3780" i="2"/>
  <c r="I3779" i="2"/>
  <c r="B3779" i="2"/>
  <c r="I3778" i="2"/>
  <c r="B3778" i="2"/>
  <c r="I3777" i="2"/>
  <c r="B3777" i="2"/>
  <c r="I3776" i="2"/>
  <c r="B3776" i="2"/>
  <c r="I3775" i="2"/>
  <c r="B3775" i="2"/>
  <c r="I3774" i="2"/>
  <c r="B3774" i="2"/>
  <c r="I3773" i="2"/>
  <c r="B3773" i="2"/>
  <c r="I3772" i="2"/>
  <c r="B3772" i="2"/>
  <c r="I3771" i="2"/>
  <c r="B3771" i="2"/>
  <c r="I3770" i="2"/>
  <c r="B3770" i="2"/>
  <c r="I3769" i="2"/>
  <c r="B3769" i="2"/>
  <c r="I3768" i="2"/>
  <c r="B3768" i="2"/>
  <c r="I3767" i="2"/>
  <c r="B3767" i="2"/>
  <c r="I3766" i="2"/>
  <c r="B3766" i="2"/>
  <c r="I3765" i="2"/>
  <c r="B3765" i="2"/>
  <c r="I3764" i="2"/>
  <c r="B3764" i="2"/>
  <c r="I3763" i="2"/>
  <c r="B3763" i="2"/>
  <c r="I3762" i="2"/>
  <c r="B3762" i="2"/>
  <c r="I3761" i="2"/>
  <c r="B3761" i="2"/>
  <c r="I3760" i="2"/>
  <c r="B3760" i="2"/>
  <c r="I3759" i="2"/>
  <c r="B3759" i="2"/>
  <c r="I3758" i="2"/>
  <c r="B3758" i="2"/>
  <c r="I3757" i="2"/>
  <c r="B3757" i="2"/>
  <c r="I3756" i="2"/>
  <c r="B3756" i="2"/>
  <c r="I3755" i="2"/>
  <c r="B3755" i="2"/>
  <c r="I3754" i="2"/>
  <c r="B3754" i="2"/>
  <c r="I3753" i="2"/>
  <c r="B3753" i="2"/>
  <c r="I3752" i="2"/>
  <c r="B3752" i="2"/>
  <c r="I3751" i="2"/>
  <c r="B3751" i="2"/>
  <c r="I3750" i="2"/>
  <c r="B3750" i="2"/>
  <c r="I3749" i="2"/>
  <c r="B3749" i="2"/>
  <c r="I3748" i="2"/>
  <c r="B3748" i="2"/>
  <c r="I3747" i="2"/>
  <c r="B3747" i="2"/>
  <c r="I3746" i="2"/>
  <c r="B3746" i="2"/>
  <c r="I3745" i="2"/>
  <c r="B3745" i="2"/>
  <c r="I3744" i="2"/>
  <c r="B3744" i="2"/>
  <c r="I3743" i="2"/>
  <c r="B3743" i="2"/>
  <c r="I3742" i="2"/>
  <c r="B3742" i="2"/>
  <c r="I3741" i="2"/>
  <c r="B3741" i="2"/>
  <c r="I3740" i="2"/>
  <c r="B3740" i="2"/>
  <c r="I3739" i="2"/>
  <c r="B3739" i="2"/>
  <c r="I3738" i="2"/>
  <c r="B3738" i="2"/>
  <c r="I3737" i="2"/>
  <c r="B3737" i="2"/>
  <c r="I3736" i="2"/>
  <c r="B3736" i="2"/>
  <c r="I3735" i="2"/>
  <c r="B3735" i="2"/>
  <c r="I3734" i="2"/>
  <c r="B3734" i="2"/>
  <c r="I3733" i="2"/>
  <c r="B3733" i="2"/>
  <c r="I3732" i="2"/>
  <c r="B3732" i="2"/>
  <c r="I3731" i="2"/>
  <c r="B3731" i="2"/>
  <c r="I3730" i="2"/>
  <c r="B3730" i="2"/>
  <c r="I3729" i="2"/>
  <c r="B3729" i="2"/>
  <c r="I3728" i="2"/>
  <c r="B3728" i="2"/>
  <c r="I3727" i="2"/>
  <c r="B3727" i="2"/>
  <c r="I3726" i="2"/>
  <c r="B3726" i="2"/>
  <c r="I3725" i="2"/>
  <c r="B3725" i="2"/>
  <c r="I3724" i="2"/>
  <c r="B3724" i="2"/>
  <c r="I3723" i="2"/>
  <c r="B3723" i="2"/>
  <c r="I3722" i="2"/>
  <c r="B3722" i="2"/>
  <c r="I3721" i="2"/>
  <c r="B3721" i="2"/>
  <c r="I3720" i="2"/>
  <c r="B3720" i="2"/>
  <c r="I3719" i="2"/>
  <c r="B3719" i="2"/>
  <c r="I3718" i="2"/>
  <c r="B3718" i="2"/>
  <c r="I3717" i="2"/>
  <c r="B3717" i="2"/>
  <c r="I3716" i="2"/>
  <c r="B3716" i="2"/>
  <c r="I3715" i="2"/>
  <c r="B3715" i="2"/>
  <c r="I3714" i="2"/>
  <c r="B3714" i="2"/>
  <c r="I3713" i="2"/>
  <c r="B3713" i="2"/>
  <c r="I3712" i="2"/>
  <c r="B3712" i="2"/>
  <c r="I3711" i="2"/>
  <c r="B3711" i="2"/>
  <c r="I3710" i="2"/>
  <c r="B3710" i="2"/>
  <c r="I3709" i="2"/>
  <c r="B3709" i="2"/>
  <c r="I3708" i="2"/>
  <c r="B3708" i="2"/>
  <c r="I3707" i="2"/>
  <c r="B3707" i="2"/>
  <c r="I3706" i="2"/>
  <c r="B3706" i="2"/>
  <c r="I3705" i="2"/>
  <c r="B3705" i="2"/>
  <c r="I3704" i="2"/>
  <c r="B3704" i="2"/>
  <c r="I3703" i="2"/>
  <c r="B3703" i="2"/>
  <c r="I3702" i="2"/>
  <c r="B3702" i="2"/>
  <c r="I3701" i="2"/>
  <c r="B3701" i="2"/>
  <c r="I3700" i="2"/>
  <c r="B3700" i="2"/>
  <c r="I3699" i="2"/>
  <c r="B3699" i="2"/>
  <c r="I3698" i="2"/>
  <c r="B3698" i="2"/>
  <c r="I3697" i="2"/>
  <c r="B3697" i="2"/>
  <c r="I3696" i="2"/>
  <c r="B3696" i="2"/>
  <c r="I3695" i="2"/>
  <c r="B3695" i="2"/>
  <c r="I3694" i="2"/>
  <c r="B3694" i="2"/>
  <c r="I3693" i="2"/>
  <c r="B3693" i="2"/>
  <c r="I3692" i="2"/>
  <c r="B3692" i="2"/>
  <c r="I3691" i="2"/>
  <c r="B3691" i="2"/>
  <c r="I3690" i="2"/>
  <c r="B3690" i="2"/>
  <c r="I3689" i="2"/>
  <c r="B3689" i="2"/>
  <c r="I3688" i="2"/>
  <c r="B3688" i="2"/>
  <c r="I3687" i="2"/>
  <c r="B3687" i="2"/>
  <c r="I3686" i="2"/>
  <c r="B3686" i="2"/>
  <c r="I3685" i="2"/>
  <c r="B3685" i="2"/>
  <c r="I3684" i="2"/>
  <c r="B3684" i="2"/>
  <c r="I3683" i="2"/>
  <c r="B3683" i="2"/>
  <c r="I3682" i="2"/>
  <c r="B3682" i="2"/>
  <c r="I3681" i="2"/>
  <c r="B3681" i="2"/>
  <c r="I3680" i="2"/>
  <c r="B3680" i="2"/>
  <c r="I3679" i="2"/>
  <c r="B3679" i="2"/>
  <c r="I3678" i="2"/>
  <c r="B3678" i="2"/>
  <c r="I3677" i="2"/>
  <c r="B3677" i="2"/>
  <c r="I3676" i="2"/>
  <c r="B3676" i="2"/>
  <c r="I3675" i="2"/>
  <c r="B3675" i="2"/>
  <c r="I3674" i="2"/>
  <c r="B3674" i="2"/>
  <c r="I3673" i="2"/>
  <c r="B3673" i="2"/>
  <c r="I3672" i="2"/>
  <c r="B3672" i="2"/>
  <c r="I3671" i="2"/>
  <c r="B3671" i="2"/>
  <c r="I3670" i="2"/>
  <c r="B3670" i="2"/>
  <c r="I3669" i="2"/>
  <c r="B3669" i="2"/>
  <c r="I3668" i="2"/>
  <c r="B3668" i="2"/>
  <c r="I3667" i="2"/>
  <c r="B3667" i="2"/>
  <c r="I3666" i="2"/>
  <c r="B3666" i="2"/>
  <c r="I3665" i="2"/>
  <c r="B3665" i="2"/>
  <c r="I3664" i="2"/>
  <c r="B3664" i="2"/>
  <c r="I3663" i="2"/>
  <c r="B3663" i="2"/>
  <c r="I3662" i="2"/>
  <c r="B3662" i="2"/>
  <c r="I3661" i="2"/>
  <c r="B3661" i="2"/>
  <c r="I3660" i="2"/>
  <c r="B3660" i="2"/>
  <c r="I3659" i="2"/>
  <c r="B3659" i="2"/>
  <c r="I3658" i="2"/>
  <c r="B3658" i="2"/>
  <c r="I3657" i="2"/>
  <c r="B3657" i="2"/>
  <c r="I3656" i="2"/>
  <c r="B3656" i="2"/>
  <c r="I3655" i="2"/>
  <c r="B3655" i="2"/>
  <c r="I3654" i="2"/>
  <c r="B3654" i="2"/>
  <c r="B3653" i="2"/>
  <c r="I3652" i="2"/>
  <c r="B3652" i="2"/>
  <c r="I3651" i="2"/>
  <c r="B3651" i="2"/>
  <c r="I3650" i="2"/>
  <c r="B3650" i="2"/>
  <c r="I3649" i="2"/>
  <c r="B3649" i="2"/>
  <c r="I3648" i="2"/>
  <c r="B3648" i="2"/>
  <c r="I3647" i="2"/>
  <c r="B3647" i="2"/>
  <c r="I3646" i="2"/>
  <c r="B3646" i="2"/>
  <c r="I3645" i="2"/>
  <c r="B3645" i="2"/>
  <c r="I3644" i="2"/>
  <c r="B3644" i="2"/>
  <c r="I3643" i="2"/>
  <c r="B3643" i="2"/>
  <c r="I3642" i="2"/>
  <c r="B3642" i="2"/>
  <c r="I3641" i="2"/>
  <c r="B3641" i="2"/>
  <c r="I3640" i="2"/>
  <c r="B3640" i="2"/>
  <c r="I3639" i="2"/>
  <c r="B3639" i="2"/>
  <c r="I3638" i="2"/>
  <c r="B3638" i="2"/>
  <c r="I3637" i="2"/>
  <c r="B3637" i="2"/>
  <c r="I3636" i="2"/>
  <c r="B3636" i="2"/>
  <c r="I3635" i="2"/>
  <c r="B3635" i="2"/>
  <c r="I3634" i="2"/>
  <c r="B3634" i="2"/>
  <c r="I3633" i="2"/>
  <c r="B3633" i="2"/>
  <c r="I3632" i="2"/>
  <c r="B3632" i="2"/>
  <c r="I3631" i="2"/>
  <c r="B3631" i="2"/>
  <c r="I3630" i="2"/>
  <c r="B3630" i="2"/>
  <c r="I3629" i="2"/>
  <c r="B3629" i="2"/>
  <c r="I3628" i="2"/>
  <c r="B3628" i="2"/>
  <c r="I3627" i="2"/>
  <c r="B3627" i="2"/>
  <c r="I3626" i="2"/>
  <c r="B3626" i="2"/>
  <c r="I3625" i="2"/>
  <c r="B3625" i="2"/>
  <c r="I3624" i="2"/>
  <c r="B3624" i="2"/>
  <c r="I3623" i="2"/>
  <c r="B3623" i="2"/>
  <c r="I3622" i="2"/>
  <c r="B3622" i="2"/>
  <c r="I3621" i="2"/>
  <c r="B3621" i="2"/>
  <c r="I3620" i="2"/>
  <c r="B3620" i="2"/>
  <c r="I3619" i="2"/>
  <c r="B3619" i="2"/>
  <c r="I3618" i="2"/>
  <c r="B3618" i="2"/>
  <c r="I3617" i="2"/>
  <c r="B3617" i="2"/>
  <c r="I3616" i="2"/>
  <c r="B3616" i="2"/>
  <c r="I3615" i="2"/>
  <c r="B3615" i="2"/>
  <c r="I3614" i="2"/>
  <c r="B3614" i="2"/>
  <c r="I3613" i="2"/>
  <c r="B3613" i="2"/>
  <c r="I3612" i="2"/>
  <c r="B3612" i="2"/>
  <c r="I3611" i="2"/>
  <c r="B3611" i="2"/>
  <c r="I3610" i="2"/>
  <c r="B3610" i="2"/>
  <c r="I3609" i="2"/>
  <c r="B3609" i="2"/>
  <c r="I3608" i="2"/>
  <c r="B3608" i="2"/>
  <c r="I3607" i="2"/>
  <c r="B3607" i="2"/>
  <c r="I3606" i="2"/>
  <c r="B3606" i="2"/>
  <c r="I3605" i="2"/>
  <c r="B3605" i="2"/>
  <c r="I3604" i="2"/>
  <c r="B3604" i="2"/>
  <c r="I3603" i="2"/>
  <c r="B3603" i="2"/>
  <c r="I3602" i="2"/>
  <c r="B3602" i="2"/>
  <c r="I3601" i="2"/>
  <c r="B3601" i="2"/>
  <c r="I3600" i="2"/>
  <c r="B3600" i="2"/>
  <c r="I3599" i="2"/>
  <c r="B3599" i="2"/>
  <c r="B3598" i="2"/>
  <c r="I3597" i="2"/>
  <c r="B3597" i="2"/>
  <c r="I3596" i="2"/>
  <c r="B3596" i="2"/>
  <c r="I3595" i="2"/>
  <c r="B3595" i="2"/>
  <c r="I3594" i="2"/>
  <c r="B3594" i="2"/>
  <c r="I3593" i="2"/>
  <c r="B3593" i="2"/>
  <c r="I3592" i="2"/>
  <c r="B3592" i="2"/>
  <c r="I3591" i="2"/>
  <c r="B3591" i="2"/>
  <c r="I3590" i="2"/>
  <c r="B3590" i="2"/>
  <c r="I3589" i="2"/>
  <c r="B3589" i="2"/>
  <c r="I3588" i="2"/>
  <c r="B3588" i="2"/>
  <c r="B3587" i="2"/>
  <c r="I3586" i="2"/>
  <c r="B3586" i="2"/>
  <c r="I3585" i="2"/>
  <c r="B3585" i="2"/>
  <c r="I3584" i="2"/>
  <c r="B3584" i="2"/>
  <c r="I3583" i="2"/>
  <c r="B3583" i="2"/>
  <c r="I3582" i="2"/>
  <c r="B3582" i="2"/>
  <c r="I3581" i="2"/>
  <c r="B3581" i="2"/>
  <c r="I3580" i="2"/>
  <c r="B3580" i="2"/>
  <c r="I3579" i="2"/>
  <c r="B3579" i="2"/>
  <c r="I3578" i="2"/>
  <c r="B3578" i="2"/>
  <c r="I3577" i="2"/>
  <c r="B3577" i="2"/>
  <c r="I3576" i="2"/>
  <c r="B3576" i="2"/>
  <c r="I3575" i="2"/>
  <c r="B3575" i="2"/>
  <c r="I3574" i="2"/>
  <c r="B3574" i="2"/>
  <c r="I3573" i="2"/>
  <c r="B3573" i="2"/>
  <c r="I3572" i="2"/>
  <c r="B3572" i="2"/>
  <c r="I3571" i="2"/>
  <c r="B3571" i="2"/>
  <c r="I3570" i="2"/>
  <c r="B3570" i="2"/>
  <c r="I3569" i="2"/>
  <c r="B3569" i="2"/>
  <c r="I3568" i="2"/>
  <c r="B3568" i="2"/>
  <c r="I3567" i="2"/>
  <c r="B3567" i="2"/>
  <c r="I3566" i="2"/>
  <c r="B3566" i="2"/>
  <c r="I3565" i="2"/>
  <c r="B3565" i="2"/>
  <c r="I3564" i="2"/>
  <c r="B3564" i="2"/>
  <c r="I3563" i="2"/>
  <c r="B3563" i="2"/>
  <c r="I3562" i="2"/>
  <c r="B3562" i="2"/>
  <c r="I3561" i="2"/>
  <c r="B3561" i="2"/>
  <c r="I3560" i="2"/>
  <c r="B3560" i="2"/>
  <c r="I3559" i="2"/>
  <c r="B3559" i="2"/>
  <c r="I3558" i="2"/>
  <c r="B3558" i="2"/>
  <c r="I3557" i="2"/>
  <c r="B3557" i="2"/>
  <c r="I3556" i="2"/>
  <c r="B3556" i="2"/>
  <c r="I3555" i="2"/>
  <c r="B3555" i="2"/>
  <c r="I3554" i="2"/>
  <c r="B3554" i="2"/>
  <c r="I3553" i="2"/>
  <c r="B3553" i="2"/>
  <c r="I3552" i="2"/>
  <c r="B3552" i="2"/>
  <c r="I3551" i="2"/>
  <c r="B3551" i="2"/>
  <c r="I3550" i="2"/>
  <c r="B3550" i="2"/>
  <c r="I3549" i="2"/>
  <c r="B3549" i="2"/>
  <c r="I3548" i="2"/>
  <c r="B3548" i="2"/>
  <c r="I3547" i="2"/>
  <c r="B3547" i="2"/>
  <c r="I3546" i="2"/>
  <c r="B3546" i="2"/>
  <c r="I3545" i="2"/>
  <c r="B3545" i="2"/>
  <c r="I3544" i="2"/>
  <c r="B3544" i="2"/>
  <c r="I3543" i="2"/>
  <c r="B3543" i="2"/>
  <c r="I3542" i="2"/>
  <c r="B3542" i="2"/>
  <c r="I3541" i="2"/>
  <c r="B3541" i="2"/>
  <c r="I3540" i="2"/>
  <c r="B3540" i="2"/>
  <c r="I3539" i="2"/>
  <c r="B3539" i="2"/>
  <c r="I3538" i="2"/>
  <c r="B3538" i="2"/>
  <c r="I3537" i="2"/>
  <c r="B3537" i="2"/>
  <c r="I3536" i="2"/>
  <c r="B3536" i="2"/>
  <c r="I3535" i="2"/>
  <c r="B3535" i="2"/>
  <c r="I3534" i="2"/>
  <c r="B3534" i="2"/>
  <c r="I3533" i="2"/>
  <c r="B3533" i="2"/>
  <c r="I3532" i="2"/>
  <c r="B3532" i="2"/>
  <c r="I3531" i="2"/>
  <c r="B3531" i="2"/>
  <c r="I3530" i="2"/>
  <c r="B3530" i="2"/>
  <c r="I3529" i="2"/>
  <c r="B3529" i="2"/>
  <c r="I3528" i="2"/>
  <c r="B3528" i="2"/>
  <c r="I3527" i="2"/>
  <c r="B3527" i="2"/>
  <c r="I3526" i="2"/>
  <c r="B3526" i="2"/>
  <c r="I3525" i="2"/>
  <c r="B3525" i="2"/>
  <c r="I3524" i="2"/>
  <c r="B3524" i="2"/>
  <c r="I3523" i="2"/>
  <c r="B3523" i="2"/>
  <c r="I3522" i="2"/>
  <c r="B3522" i="2"/>
  <c r="I3521" i="2"/>
  <c r="B3521" i="2"/>
  <c r="I3520" i="2"/>
  <c r="B3520" i="2"/>
  <c r="I3519" i="2"/>
  <c r="B3519" i="2"/>
  <c r="I3518" i="2"/>
  <c r="B3518" i="2"/>
  <c r="I3517" i="2"/>
  <c r="B3517" i="2"/>
  <c r="I3516" i="2"/>
  <c r="B3516" i="2"/>
  <c r="I3515" i="2"/>
  <c r="B3515" i="2"/>
  <c r="I3514" i="2"/>
  <c r="B3514" i="2"/>
  <c r="I3513" i="2"/>
  <c r="B3513" i="2"/>
  <c r="I3512" i="2"/>
  <c r="B3512" i="2"/>
  <c r="I3511" i="2"/>
  <c r="B3511" i="2"/>
  <c r="I3510" i="2"/>
  <c r="B3510" i="2"/>
  <c r="I3509" i="2"/>
  <c r="B3509" i="2"/>
  <c r="I3508" i="2"/>
  <c r="B3508" i="2"/>
  <c r="I3507" i="2"/>
  <c r="B3507" i="2"/>
  <c r="I3506" i="2"/>
  <c r="B3506" i="2"/>
  <c r="I3505" i="2"/>
  <c r="B3505" i="2"/>
  <c r="I3504" i="2"/>
  <c r="B3504" i="2"/>
  <c r="I3503" i="2"/>
  <c r="B3503" i="2"/>
  <c r="I3502" i="2"/>
  <c r="B3502" i="2"/>
  <c r="I3501" i="2"/>
  <c r="B3501" i="2"/>
  <c r="I3500" i="2"/>
  <c r="B3500" i="2"/>
  <c r="I3499" i="2"/>
  <c r="B3499" i="2"/>
  <c r="I3498" i="2"/>
  <c r="B3498" i="2"/>
  <c r="I3497" i="2"/>
  <c r="B3497" i="2"/>
  <c r="I3496" i="2"/>
  <c r="B3496" i="2"/>
  <c r="I3495" i="2"/>
  <c r="B3495" i="2"/>
  <c r="I3494" i="2"/>
  <c r="B3494" i="2"/>
  <c r="I3493" i="2"/>
  <c r="B3493" i="2"/>
  <c r="I3492" i="2"/>
  <c r="B3492" i="2"/>
  <c r="I3491" i="2"/>
  <c r="B3491" i="2"/>
  <c r="I3490" i="2"/>
  <c r="B3490" i="2"/>
  <c r="I3489" i="2"/>
  <c r="B3489" i="2"/>
  <c r="I3488" i="2"/>
  <c r="B3488" i="2"/>
  <c r="I3487" i="2"/>
  <c r="B3487" i="2"/>
  <c r="I3486" i="2"/>
  <c r="B3486" i="2"/>
  <c r="I3485" i="2"/>
  <c r="B3485" i="2"/>
  <c r="I3484" i="2"/>
  <c r="B3484" i="2"/>
  <c r="I3483" i="2"/>
  <c r="B3483" i="2"/>
  <c r="I3482" i="2"/>
  <c r="B3482" i="2"/>
  <c r="I3481" i="2"/>
  <c r="B3481" i="2"/>
  <c r="I3480" i="2"/>
  <c r="B3480" i="2"/>
  <c r="I3479" i="2"/>
  <c r="B3479" i="2"/>
  <c r="I3478" i="2"/>
  <c r="B3478" i="2"/>
  <c r="I3477" i="2"/>
  <c r="B3477" i="2"/>
  <c r="I3476" i="2"/>
  <c r="B3476" i="2"/>
  <c r="I3475" i="2"/>
  <c r="B3475" i="2"/>
  <c r="I3474" i="2"/>
  <c r="B3474" i="2"/>
  <c r="I3473" i="2"/>
  <c r="B3473" i="2"/>
  <c r="I3472" i="2"/>
  <c r="B3472" i="2"/>
  <c r="I3471" i="2"/>
  <c r="B3471" i="2"/>
  <c r="I3470" i="2"/>
  <c r="B3470" i="2"/>
  <c r="I3469" i="2"/>
  <c r="B3469" i="2"/>
  <c r="I3468" i="2"/>
  <c r="B3468" i="2"/>
  <c r="I3467" i="2"/>
  <c r="B3467" i="2"/>
  <c r="I3466" i="2"/>
  <c r="B3466" i="2"/>
  <c r="I3465" i="2"/>
  <c r="B3465" i="2"/>
  <c r="I3464" i="2"/>
  <c r="B3464" i="2"/>
  <c r="I3463" i="2"/>
  <c r="B3463" i="2"/>
  <c r="I3462" i="2"/>
  <c r="B3462" i="2"/>
  <c r="I3461" i="2"/>
  <c r="B3461" i="2"/>
  <c r="I3460" i="2"/>
  <c r="B3460" i="2"/>
  <c r="I3459" i="2"/>
  <c r="B3459" i="2"/>
  <c r="I3458" i="2"/>
  <c r="B3458" i="2"/>
  <c r="I3457" i="2"/>
  <c r="B3457" i="2"/>
  <c r="I3456" i="2"/>
  <c r="B3456" i="2"/>
  <c r="I3455" i="2"/>
  <c r="B3455" i="2"/>
  <c r="I3454" i="2"/>
  <c r="B3454" i="2"/>
  <c r="I3453" i="2"/>
  <c r="B3453" i="2"/>
  <c r="I3452" i="2"/>
  <c r="B3452" i="2"/>
  <c r="I3451" i="2"/>
  <c r="B3451" i="2"/>
  <c r="I3450" i="2"/>
  <c r="B3450" i="2"/>
  <c r="I3449" i="2"/>
  <c r="B3449" i="2"/>
  <c r="I3448" i="2"/>
  <c r="B3448" i="2"/>
  <c r="I3447" i="2"/>
  <c r="B3447" i="2"/>
  <c r="I3446" i="2"/>
  <c r="B3446" i="2"/>
  <c r="I3445" i="2"/>
  <c r="B3445" i="2"/>
  <c r="I3444" i="2"/>
  <c r="B3444" i="2"/>
  <c r="I3443" i="2"/>
  <c r="B3443" i="2"/>
  <c r="I3442" i="2"/>
  <c r="B3442" i="2"/>
  <c r="I3441" i="2"/>
  <c r="B3441" i="2"/>
  <c r="I3440" i="2"/>
  <c r="B3440" i="2"/>
  <c r="I3439" i="2"/>
  <c r="B3439" i="2"/>
  <c r="I3438" i="2"/>
  <c r="B3438" i="2"/>
  <c r="I3437" i="2"/>
  <c r="B3437" i="2"/>
  <c r="I3436" i="2"/>
  <c r="B3436" i="2"/>
  <c r="I3435" i="2"/>
  <c r="B3435" i="2"/>
  <c r="I3434" i="2"/>
  <c r="B3434" i="2"/>
  <c r="I3433" i="2"/>
  <c r="B3433" i="2"/>
  <c r="I3432" i="2"/>
  <c r="B3432" i="2"/>
  <c r="I3431" i="2"/>
  <c r="B3431" i="2"/>
  <c r="I3430" i="2"/>
  <c r="B3430" i="2"/>
  <c r="I3429" i="2"/>
  <c r="B3429" i="2"/>
  <c r="I3428" i="2"/>
  <c r="B3428" i="2"/>
  <c r="I3427" i="2"/>
  <c r="B3427" i="2"/>
  <c r="I3426" i="2"/>
  <c r="B3426" i="2"/>
  <c r="I3425" i="2"/>
  <c r="B3425" i="2"/>
  <c r="I3424" i="2"/>
  <c r="B3424" i="2"/>
  <c r="I3423" i="2"/>
  <c r="B3423" i="2"/>
  <c r="I3422" i="2"/>
  <c r="B3422" i="2"/>
  <c r="I3421" i="2"/>
  <c r="B3421" i="2"/>
  <c r="I3420" i="2"/>
  <c r="B3420" i="2"/>
  <c r="I3419" i="2"/>
  <c r="B3419" i="2"/>
  <c r="I3418" i="2"/>
  <c r="B3418" i="2"/>
  <c r="I3417" i="2"/>
  <c r="B3417" i="2"/>
  <c r="I3416" i="2"/>
  <c r="B3416" i="2"/>
  <c r="I3415" i="2"/>
  <c r="B3415" i="2"/>
  <c r="I3414" i="2"/>
  <c r="B3414" i="2"/>
  <c r="I3413" i="2"/>
  <c r="B3413" i="2"/>
  <c r="I3412" i="2"/>
  <c r="B3412" i="2"/>
  <c r="I3411" i="2"/>
  <c r="B3411" i="2"/>
  <c r="I3410" i="2"/>
  <c r="B3410" i="2"/>
  <c r="I3409" i="2"/>
  <c r="B3409" i="2"/>
  <c r="I3408" i="2"/>
  <c r="B3408" i="2"/>
  <c r="I3407" i="2"/>
  <c r="B3407" i="2"/>
  <c r="I3406" i="2"/>
  <c r="B3406" i="2"/>
  <c r="I3405" i="2"/>
  <c r="B3405" i="2"/>
  <c r="I3404" i="2"/>
  <c r="B3404" i="2"/>
  <c r="I3403" i="2"/>
  <c r="B3403" i="2"/>
  <c r="I3402" i="2"/>
  <c r="B3402" i="2"/>
  <c r="I3401" i="2"/>
  <c r="B3401" i="2"/>
  <c r="I3400" i="2"/>
  <c r="B3400" i="2"/>
  <c r="I3399" i="2"/>
  <c r="B3399" i="2"/>
  <c r="I3398" i="2"/>
  <c r="B3398" i="2"/>
  <c r="I3397" i="2"/>
  <c r="B3397" i="2"/>
  <c r="I3396" i="2"/>
  <c r="B3396" i="2"/>
  <c r="I3395" i="2"/>
  <c r="B3395" i="2"/>
  <c r="I3394" i="2"/>
  <c r="B3394" i="2"/>
  <c r="I3393" i="2"/>
  <c r="B3393" i="2"/>
  <c r="I3392" i="2"/>
  <c r="B3392" i="2"/>
  <c r="I3391" i="2"/>
  <c r="B3391" i="2"/>
  <c r="I3390" i="2"/>
  <c r="B3390" i="2"/>
  <c r="I3389" i="2"/>
  <c r="B3389" i="2"/>
  <c r="I3388" i="2"/>
  <c r="B3388" i="2"/>
  <c r="I3387" i="2"/>
  <c r="B3387" i="2"/>
  <c r="I3386" i="2"/>
  <c r="B3386" i="2"/>
  <c r="I3385" i="2"/>
  <c r="B3385" i="2"/>
  <c r="I3384" i="2"/>
  <c r="B3384" i="2"/>
  <c r="I3383" i="2"/>
  <c r="B3383" i="2"/>
  <c r="I3382" i="2"/>
  <c r="B3382" i="2"/>
  <c r="I3381" i="2"/>
  <c r="B3381" i="2"/>
  <c r="I3380" i="2"/>
  <c r="B3380" i="2"/>
  <c r="I3379" i="2"/>
  <c r="B3379" i="2"/>
  <c r="I3378" i="2"/>
  <c r="B3378" i="2"/>
  <c r="I3377" i="2"/>
  <c r="B3377" i="2"/>
  <c r="I3376" i="2"/>
  <c r="B3376" i="2"/>
  <c r="I3375" i="2"/>
  <c r="B3375" i="2"/>
  <c r="I3374" i="2"/>
  <c r="B3374" i="2"/>
  <c r="I3373" i="2"/>
  <c r="B3373" i="2"/>
  <c r="I3372" i="2"/>
  <c r="B3372" i="2"/>
  <c r="I3371" i="2"/>
  <c r="B3371" i="2"/>
  <c r="I3370" i="2"/>
  <c r="B3370" i="2"/>
  <c r="I3369" i="2"/>
  <c r="B3369" i="2"/>
  <c r="I3368" i="2"/>
  <c r="B3368" i="2"/>
  <c r="I3367" i="2"/>
  <c r="B3367" i="2"/>
  <c r="I3366" i="2"/>
  <c r="B3366" i="2"/>
  <c r="I3365" i="2"/>
  <c r="B3365" i="2"/>
  <c r="I3364" i="2"/>
  <c r="B3364" i="2"/>
  <c r="I3363" i="2"/>
  <c r="B3363" i="2"/>
  <c r="I3362" i="2"/>
  <c r="B3362" i="2"/>
  <c r="I3361" i="2"/>
  <c r="B3361" i="2"/>
  <c r="I3360" i="2"/>
  <c r="B3360" i="2"/>
  <c r="I3359" i="2"/>
  <c r="B3359" i="2"/>
  <c r="I3358" i="2"/>
  <c r="B3358" i="2"/>
  <c r="I3357" i="2"/>
  <c r="B3357" i="2"/>
  <c r="I3356" i="2"/>
  <c r="B3356" i="2"/>
  <c r="I3355" i="2"/>
  <c r="B3355" i="2"/>
  <c r="I3354" i="2"/>
  <c r="B3354" i="2"/>
  <c r="I3353" i="2"/>
  <c r="B3353" i="2"/>
  <c r="I3352" i="2"/>
  <c r="B3352" i="2"/>
  <c r="I3351" i="2"/>
  <c r="B3351" i="2"/>
  <c r="I3350" i="2"/>
  <c r="B3350" i="2"/>
  <c r="I3349" i="2"/>
  <c r="B3349" i="2"/>
  <c r="I3348" i="2"/>
  <c r="B3348" i="2"/>
  <c r="I3347" i="2"/>
  <c r="B3347" i="2"/>
  <c r="I3346" i="2"/>
  <c r="B3346" i="2"/>
  <c r="I3345" i="2"/>
  <c r="B3345" i="2"/>
  <c r="I3344" i="2"/>
  <c r="B3344" i="2"/>
  <c r="I3343" i="2"/>
  <c r="B3343" i="2"/>
  <c r="I3342" i="2"/>
  <c r="B3342" i="2"/>
  <c r="I3341" i="2"/>
  <c r="B3341" i="2"/>
  <c r="I3340" i="2"/>
  <c r="B3340" i="2"/>
  <c r="I3339" i="2"/>
  <c r="B3339" i="2"/>
  <c r="I3338" i="2"/>
  <c r="B3338" i="2"/>
  <c r="I3337" i="2"/>
  <c r="B3337" i="2"/>
  <c r="I3336" i="2"/>
  <c r="B3336" i="2"/>
  <c r="I3335" i="2"/>
  <c r="B3335" i="2"/>
  <c r="I3334" i="2"/>
  <c r="B3334" i="2"/>
  <c r="I3333" i="2"/>
  <c r="B3333" i="2"/>
  <c r="I3332" i="2"/>
  <c r="B3332" i="2"/>
  <c r="I3331" i="2"/>
  <c r="B3331" i="2"/>
  <c r="I3330" i="2"/>
  <c r="B3330" i="2"/>
  <c r="I3329" i="2"/>
  <c r="B3329" i="2"/>
  <c r="I3328" i="2"/>
  <c r="B3328" i="2"/>
  <c r="I3327" i="2"/>
  <c r="B3327" i="2"/>
  <c r="I3326" i="2"/>
  <c r="B3326" i="2"/>
  <c r="I3325" i="2"/>
  <c r="B3325" i="2"/>
  <c r="I3324" i="2"/>
  <c r="B3324" i="2"/>
  <c r="I3323" i="2"/>
  <c r="B3323" i="2"/>
  <c r="I3322" i="2"/>
  <c r="B3322" i="2"/>
  <c r="I3321" i="2"/>
  <c r="B3321" i="2"/>
  <c r="I3320" i="2"/>
  <c r="B3320" i="2"/>
  <c r="I3319" i="2"/>
  <c r="B3319" i="2"/>
  <c r="I3318" i="2"/>
  <c r="B3318" i="2"/>
  <c r="I3317" i="2"/>
  <c r="B3317" i="2"/>
  <c r="I3316" i="2"/>
  <c r="B3316" i="2"/>
  <c r="I3315" i="2"/>
  <c r="B3315" i="2"/>
  <c r="I3314" i="2"/>
  <c r="B3314" i="2"/>
  <c r="I3313" i="2"/>
  <c r="B3313" i="2"/>
  <c r="I3312" i="2"/>
  <c r="B3312" i="2"/>
  <c r="I3311" i="2"/>
  <c r="B3311" i="2"/>
  <c r="I3310" i="2"/>
  <c r="B3310" i="2"/>
  <c r="I3309" i="2"/>
  <c r="B3309" i="2"/>
  <c r="I3308" i="2"/>
  <c r="B3308" i="2"/>
  <c r="I3307" i="2"/>
  <c r="B3307" i="2"/>
  <c r="I3306" i="2"/>
  <c r="B3306" i="2"/>
  <c r="I3305" i="2"/>
  <c r="B3305" i="2"/>
  <c r="I3304" i="2"/>
  <c r="B3304" i="2"/>
  <c r="I3303" i="2"/>
  <c r="B3303" i="2"/>
  <c r="I3302" i="2"/>
  <c r="B3302" i="2"/>
  <c r="I3301" i="2"/>
  <c r="B3301" i="2"/>
  <c r="I3300" i="2"/>
  <c r="B3300" i="2"/>
  <c r="I3299" i="2"/>
  <c r="B3299" i="2"/>
  <c r="I3298" i="2"/>
  <c r="B3298" i="2"/>
  <c r="I3297" i="2"/>
  <c r="B3297" i="2"/>
  <c r="I3296" i="2"/>
  <c r="B3296" i="2"/>
  <c r="I3295" i="2"/>
  <c r="B3295" i="2"/>
  <c r="I3294" i="2"/>
  <c r="B3294" i="2"/>
  <c r="I3293" i="2"/>
  <c r="B3293" i="2"/>
  <c r="I3292" i="2"/>
  <c r="B3292" i="2"/>
  <c r="I3291" i="2"/>
  <c r="B3291" i="2"/>
  <c r="I3290" i="2"/>
  <c r="B3290" i="2"/>
  <c r="I3289" i="2"/>
  <c r="B3289" i="2"/>
  <c r="I3288" i="2"/>
  <c r="B3288" i="2"/>
  <c r="I3287" i="2"/>
  <c r="B3287" i="2"/>
  <c r="I3286" i="2"/>
  <c r="B3286" i="2"/>
  <c r="I3285" i="2"/>
  <c r="B3285" i="2"/>
  <c r="I3284" i="2"/>
  <c r="B3284" i="2"/>
  <c r="I3283" i="2"/>
  <c r="B3283" i="2"/>
  <c r="I3282" i="2"/>
  <c r="B3282" i="2"/>
  <c r="I3281" i="2"/>
  <c r="B3281" i="2"/>
  <c r="I3280" i="2"/>
  <c r="B3280" i="2"/>
  <c r="I3279" i="2"/>
  <c r="B3279" i="2"/>
  <c r="I3278" i="2"/>
  <c r="B3278" i="2"/>
  <c r="I3277" i="2"/>
  <c r="B3277" i="2"/>
  <c r="I3276" i="2"/>
  <c r="B3276" i="2"/>
  <c r="I3275" i="2"/>
  <c r="B3275" i="2"/>
  <c r="I3274" i="2"/>
  <c r="B3274" i="2"/>
  <c r="I3273" i="2"/>
  <c r="B3273" i="2"/>
  <c r="I3272" i="2"/>
  <c r="B3272" i="2"/>
  <c r="I3271" i="2"/>
  <c r="B3271" i="2"/>
  <c r="I3270" i="2"/>
  <c r="B3270" i="2"/>
  <c r="I3269" i="2"/>
  <c r="B3269" i="2"/>
  <c r="I3268" i="2"/>
  <c r="B3268" i="2"/>
  <c r="I3267" i="2"/>
  <c r="B3267" i="2"/>
  <c r="I3266" i="2"/>
  <c r="B3266" i="2"/>
  <c r="I3265" i="2"/>
  <c r="B3265" i="2"/>
  <c r="I3264" i="2"/>
  <c r="B3264" i="2"/>
  <c r="I3263" i="2"/>
  <c r="B3263" i="2"/>
  <c r="I3262" i="2"/>
  <c r="B3262" i="2"/>
  <c r="I3261" i="2"/>
  <c r="B3261" i="2"/>
  <c r="I3260" i="2"/>
  <c r="B3260" i="2"/>
  <c r="I3259" i="2"/>
  <c r="B3259" i="2"/>
  <c r="I3258" i="2"/>
  <c r="B3258" i="2"/>
  <c r="I3257" i="2"/>
  <c r="B3257" i="2"/>
  <c r="I3256" i="2"/>
  <c r="B3256" i="2"/>
  <c r="I3255" i="2"/>
  <c r="B3255" i="2"/>
  <c r="I3254" i="2"/>
  <c r="B3254" i="2"/>
  <c r="I3253" i="2"/>
  <c r="B3253" i="2"/>
  <c r="I3252" i="2"/>
  <c r="B3252" i="2"/>
  <c r="I3251" i="2"/>
  <c r="B3251" i="2"/>
  <c r="I3250" i="2"/>
  <c r="B3250" i="2"/>
  <c r="I3249" i="2"/>
  <c r="B3249" i="2"/>
  <c r="I3248" i="2"/>
  <c r="B3248" i="2"/>
  <c r="I3247" i="2"/>
  <c r="B3247" i="2"/>
  <c r="I3246" i="2"/>
  <c r="B3246" i="2"/>
  <c r="I3245" i="2"/>
  <c r="B3245" i="2"/>
  <c r="I3244" i="2"/>
  <c r="B3244" i="2"/>
  <c r="I3243" i="2"/>
  <c r="B3243" i="2"/>
  <c r="I3242" i="2"/>
  <c r="B3242" i="2"/>
  <c r="I3241" i="2"/>
  <c r="B3241" i="2"/>
  <c r="I3240" i="2"/>
  <c r="B3240" i="2"/>
  <c r="I3239" i="2"/>
  <c r="B3239" i="2"/>
  <c r="I3238" i="2"/>
  <c r="B3238" i="2"/>
  <c r="I3237" i="2"/>
  <c r="B3237" i="2"/>
  <c r="I3236" i="2"/>
  <c r="B3236" i="2"/>
  <c r="I3235" i="2"/>
  <c r="B3235" i="2"/>
  <c r="I3234" i="2"/>
  <c r="B3234" i="2"/>
  <c r="I3233" i="2"/>
  <c r="B3233" i="2"/>
  <c r="I3232" i="2"/>
  <c r="B3232" i="2"/>
  <c r="I3231" i="2"/>
  <c r="B3231" i="2"/>
  <c r="I3230" i="2"/>
  <c r="B3230" i="2"/>
  <c r="I3229" i="2"/>
  <c r="B3229" i="2"/>
  <c r="I3228" i="2"/>
  <c r="B3228" i="2"/>
  <c r="I3227" i="2"/>
  <c r="B3227" i="2"/>
  <c r="I3226" i="2"/>
  <c r="B3226" i="2"/>
  <c r="I3225" i="2"/>
  <c r="B3225" i="2"/>
  <c r="I3224" i="2"/>
  <c r="B3224" i="2"/>
  <c r="I3223" i="2"/>
  <c r="B3223" i="2"/>
  <c r="I3222" i="2"/>
  <c r="B3222" i="2"/>
  <c r="I3221" i="2"/>
  <c r="B3221" i="2"/>
  <c r="I3220" i="2"/>
  <c r="B3220" i="2"/>
  <c r="I3219" i="2"/>
  <c r="B3219" i="2"/>
  <c r="I3218" i="2"/>
  <c r="B3218" i="2"/>
  <c r="I3217" i="2"/>
  <c r="B3217" i="2"/>
  <c r="I3216" i="2"/>
  <c r="B3216" i="2"/>
  <c r="I3215" i="2"/>
  <c r="B3215" i="2"/>
  <c r="I3214" i="2"/>
  <c r="B3214" i="2"/>
  <c r="I3213" i="2"/>
  <c r="B3213" i="2"/>
  <c r="I3212" i="2"/>
  <c r="B3212" i="2"/>
  <c r="I3211" i="2"/>
  <c r="B3211" i="2"/>
  <c r="I3210" i="2"/>
  <c r="B3210" i="2"/>
  <c r="I3209" i="2"/>
  <c r="B3209" i="2"/>
  <c r="I3208" i="2"/>
  <c r="B3208" i="2"/>
  <c r="I3207" i="2"/>
  <c r="B3207" i="2"/>
  <c r="I3206" i="2"/>
  <c r="B3206" i="2"/>
  <c r="I3205" i="2"/>
  <c r="B3205" i="2"/>
  <c r="I3204" i="2"/>
  <c r="B3204" i="2"/>
  <c r="I3203" i="2"/>
  <c r="B3203" i="2"/>
  <c r="I3202" i="2"/>
  <c r="B3202" i="2"/>
  <c r="I3201" i="2"/>
  <c r="B3201" i="2"/>
  <c r="I3200" i="2"/>
  <c r="B3200" i="2"/>
  <c r="I3199" i="2"/>
  <c r="B3199" i="2"/>
  <c r="I3198" i="2"/>
  <c r="B3198" i="2"/>
  <c r="I3197" i="2"/>
  <c r="B3197" i="2"/>
  <c r="I3196" i="2"/>
  <c r="B3196" i="2"/>
  <c r="I3195" i="2"/>
  <c r="B3195" i="2"/>
  <c r="I3194" i="2"/>
  <c r="B3194" i="2"/>
  <c r="I3193" i="2"/>
  <c r="B3193" i="2"/>
  <c r="I3192" i="2"/>
  <c r="B3192" i="2"/>
  <c r="I3191" i="2"/>
  <c r="B3191" i="2"/>
  <c r="I3190" i="2"/>
  <c r="B3190" i="2"/>
  <c r="I3189" i="2"/>
  <c r="B3189" i="2"/>
  <c r="I3188" i="2"/>
  <c r="B3188" i="2"/>
  <c r="I3187" i="2"/>
  <c r="B3187" i="2"/>
  <c r="I3186" i="2"/>
  <c r="B3186" i="2"/>
  <c r="I3185" i="2"/>
  <c r="B3185" i="2"/>
  <c r="I3184" i="2"/>
  <c r="B3184" i="2"/>
  <c r="I3183" i="2"/>
  <c r="B3183" i="2"/>
  <c r="I3182" i="2"/>
  <c r="B3182" i="2"/>
  <c r="I3181" i="2"/>
  <c r="B3181" i="2"/>
  <c r="I3180" i="2"/>
  <c r="B3180" i="2"/>
  <c r="I3179" i="2"/>
  <c r="B3179" i="2"/>
  <c r="I3178" i="2"/>
  <c r="B3178" i="2"/>
  <c r="I3177" i="2"/>
  <c r="B3177" i="2"/>
  <c r="I3176" i="2"/>
  <c r="B3176" i="2"/>
  <c r="I3175" i="2"/>
  <c r="B3175" i="2"/>
  <c r="I3174" i="2"/>
  <c r="B3174" i="2"/>
  <c r="I3173" i="2"/>
  <c r="B3173" i="2"/>
  <c r="I3172" i="2"/>
  <c r="B3172" i="2"/>
  <c r="I3171" i="2"/>
  <c r="B3171" i="2"/>
  <c r="I3170" i="2"/>
  <c r="B3170" i="2"/>
  <c r="I3169" i="2"/>
  <c r="B3169" i="2"/>
  <c r="I3168" i="2"/>
  <c r="B3168" i="2"/>
  <c r="I3167" i="2"/>
  <c r="B3167" i="2"/>
  <c r="I3166" i="2"/>
  <c r="B3166" i="2"/>
  <c r="I3165" i="2"/>
  <c r="B3165" i="2"/>
  <c r="I3164" i="2"/>
  <c r="B3164" i="2"/>
  <c r="I3163" i="2"/>
  <c r="B3163" i="2"/>
  <c r="I3162" i="2"/>
  <c r="B3162" i="2"/>
  <c r="I3161" i="2"/>
  <c r="B3161" i="2"/>
  <c r="I3160" i="2"/>
  <c r="B3160" i="2"/>
  <c r="I3159" i="2"/>
  <c r="B3159" i="2"/>
  <c r="I3158" i="2"/>
  <c r="B3158" i="2"/>
  <c r="I3157" i="2"/>
  <c r="B3157" i="2"/>
  <c r="I3156" i="2"/>
  <c r="B3156" i="2"/>
  <c r="I3155" i="2"/>
  <c r="B3155" i="2"/>
  <c r="I3154" i="2"/>
  <c r="B3154" i="2"/>
  <c r="I3153" i="2"/>
  <c r="B3153" i="2"/>
  <c r="I3152" i="2"/>
  <c r="B3152" i="2"/>
  <c r="I3151" i="2"/>
  <c r="B3151" i="2"/>
  <c r="I3150" i="2"/>
  <c r="B3150" i="2"/>
  <c r="I3149" i="2"/>
  <c r="B3149" i="2"/>
  <c r="I3148" i="2"/>
  <c r="B3148" i="2"/>
  <c r="I3147" i="2"/>
  <c r="B3147" i="2"/>
  <c r="I3146" i="2"/>
  <c r="B3146" i="2"/>
  <c r="I3145" i="2"/>
  <c r="B3145" i="2"/>
  <c r="I3144" i="2"/>
  <c r="B3144" i="2"/>
  <c r="I3143" i="2"/>
  <c r="B3143" i="2"/>
  <c r="I3142" i="2"/>
  <c r="B3142" i="2"/>
  <c r="I3141" i="2"/>
  <c r="B3141" i="2"/>
  <c r="I3140" i="2"/>
  <c r="B3140" i="2"/>
  <c r="I3139" i="2"/>
  <c r="B3139" i="2"/>
  <c r="I3138" i="2"/>
  <c r="B3138" i="2"/>
  <c r="I3137" i="2"/>
  <c r="B3137" i="2"/>
  <c r="I3136" i="2"/>
  <c r="B3136" i="2"/>
  <c r="I3135" i="2"/>
  <c r="B3135" i="2"/>
  <c r="I3134" i="2"/>
  <c r="B3134" i="2"/>
  <c r="I3133" i="2"/>
  <c r="B3133" i="2"/>
  <c r="I3132" i="2"/>
  <c r="B3132" i="2"/>
  <c r="I3131" i="2"/>
  <c r="B3131" i="2"/>
  <c r="I3130" i="2"/>
  <c r="B3130" i="2"/>
  <c r="I3129" i="2"/>
  <c r="B3129" i="2"/>
  <c r="I3128" i="2"/>
  <c r="B3128" i="2"/>
  <c r="I3127" i="2"/>
  <c r="B3127" i="2"/>
  <c r="I3126" i="2"/>
  <c r="B3126" i="2"/>
  <c r="I3125" i="2"/>
  <c r="B3125" i="2"/>
  <c r="I3124" i="2"/>
  <c r="B3124" i="2"/>
  <c r="I3123" i="2"/>
  <c r="B3123" i="2"/>
  <c r="I3122" i="2"/>
  <c r="B3122" i="2"/>
  <c r="I3121" i="2"/>
  <c r="B3121" i="2"/>
  <c r="I3120" i="2"/>
  <c r="B3120" i="2"/>
  <c r="I3119" i="2"/>
  <c r="B3119" i="2"/>
  <c r="I3118" i="2"/>
  <c r="B3118" i="2"/>
  <c r="I3117" i="2"/>
  <c r="B3117" i="2"/>
  <c r="I3116" i="2"/>
  <c r="B3116" i="2"/>
  <c r="I3115" i="2"/>
  <c r="B3115" i="2"/>
  <c r="I3114" i="2"/>
  <c r="B3114" i="2"/>
  <c r="I3113" i="2"/>
  <c r="B3113" i="2"/>
  <c r="I3112" i="2"/>
  <c r="B3112" i="2"/>
  <c r="I3111" i="2"/>
  <c r="B3111" i="2"/>
  <c r="I3110" i="2"/>
  <c r="B3110" i="2"/>
  <c r="I3109" i="2"/>
  <c r="B3109" i="2"/>
  <c r="I3108" i="2"/>
  <c r="B3108" i="2"/>
  <c r="I3107" i="2"/>
  <c r="B3107" i="2"/>
  <c r="I3106" i="2"/>
  <c r="B3106" i="2"/>
  <c r="I3105" i="2"/>
  <c r="B3105" i="2"/>
  <c r="I3104" i="2"/>
  <c r="B3104" i="2"/>
  <c r="I3103" i="2"/>
  <c r="B3103" i="2"/>
  <c r="I3102" i="2"/>
  <c r="B3102" i="2"/>
  <c r="I3101" i="2"/>
  <c r="B3101" i="2"/>
  <c r="I3100" i="2"/>
  <c r="B3100" i="2"/>
  <c r="I3099" i="2"/>
  <c r="B3099" i="2"/>
  <c r="I3098" i="2"/>
  <c r="B3098" i="2"/>
  <c r="I3097" i="2"/>
  <c r="B3097" i="2"/>
  <c r="I3096" i="2"/>
  <c r="B3096" i="2"/>
  <c r="I3095" i="2"/>
  <c r="B3095" i="2"/>
  <c r="I3094" i="2"/>
  <c r="B3094" i="2"/>
  <c r="I3093" i="2"/>
  <c r="B3093" i="2"/>
  <c r="I3092" i="2"/>
  <c r="B3092" i="2"/>
  <c r="I3091" i="2"/>
  <c r="B3091" i="2"/>
  <c r="I3090" i="2"/>
  <c r="B3090" i="2"/>
  <c r="I3089" i="2"/>
  <c r="B3089" i="2"/>
  <c r="I3088" i="2"/>
  <c r="B3088" i="2"/>
  <c r="I3087" i="2"/>
  <c r="B3087" i="2"/>
  <c r="I3086" i="2"/>
  <c r="B3086" i="2"/>
  <c r="I3085" i="2"/>
  <c r="B3085" i="2"/>
  <c r="I3084" i="2"/>
  <c r="B3084" i="2"/>
  <c r="I3083" i="2"/>
  <c r="B3083" i="2"/>
  <c r="I3082" i="2"/>
  <c r="B3082" i="2"/>
  <c r="I3081" i="2"/>
  <c r="B3081" i="2"/>
  <c r="I3080" i="2"/>
  <c r="B3080" i="2"/>
  <c r="I3079" i="2"/>
  <c r="B3079" i="2"/>
  <c r="I3078" i="2"/>
  <c r="B3078" i="2"/>
  <c r="I3077" i="2"/>
  <c r="B3077" i="2"/>
  <c r="I3076" i="2"/>
  <c r="B3076" i="2"/>
  <c r="I3075" i="2"/>
  <c r="B3075" i="2"/>
  <c r="I3074" i="2"/>
  <c r="B3074" i="2"/>
  <c r="I3073" i="2"/>
  <c r="B3073" i="2"/>
  <c r="I3072" i="2"/>
  <c r="B3072" i="2"/>
  <c r="I3071" i="2"/>
  <c r="B3071" i="2"/>
  <c r="I3070" i="2"/>
  <c r="B3070" i="2"/>
  <c r="I3069" i="2"/>
  <c r="B3069" i="2"/>
  <c r="I3068" i="2"/>
  <c r="B3068" i="2"/>
  <c r="I3067" i="2"/>
  <c r="B3067" i="2"/>
  <c r="I3066" i="2"/>
  <c r="B3066" i="2"/>
  <c r="I3065" i="2"/>
  <c r="B3065" i="2"/>
  <c r="I3064" i="2"/>
  <c r="B3064" i="2"/>
  <c r="I3063" i="2"/>
  <c r="B3063" i="2"/>
  <c r="I3062" i="2"/>
  <c r="B3062" i="2"/>
  <c r="I3061" i="2"/>
  <c r="B3061" i="2"/>
  <c r="I3060" i="2"/>
  <c r="B3060" i="2"/>
  <c r="I3059" i="2"/>
  <c r="B3059" i="2"/>
  <c r="I3058" i="2"/>
  <c r="B3058" i="2"/>
  <c r="I3057" i="2"/>
  <c r="B3057" i="2"/>
  <c r="I3056" i="2"/>
  <c r="B3056" i="2"/>
  <c r="I3055" i="2"/>
  <c r="B3055" i="2"/>
  <c r="I3054" i="2"/>
  <c r="B3054" i="2"/>
  <c r="I3053" i="2"/>
  <c r="B3053" i="2"/>
  <c r="I3052" i="2"/>
  <c r="B3052" i="2"/>
  <c r="I3051" i="2"/>
  <c r="B3051" i="2"/>
  <c r="I3050" i="2"/>
  <c r="B3050" i="2"/>
  <c r="I3049" i="2"/>
  <c r="B3049" i="2"/>
  <c r="I3048" i="2"/>
  <c r="B3048" i="2"/>
  <c r="I3047" i="2"/>
  <c r="B3047" i="2"/>
  <c r="I3046" i="2"/>
  <c r="B3046" i="2"/>
  <c r="I3045" i="2"/>
  <c r="B3045" i="2"/>
  <c r="I3044" i="2"/>
  <c r="B3044" i="2"/>
  <c r="I3043" i="2"/>
  <c r="B3043" i="2"/>
  <c r="I3042" i="2"/>
  <c r="B3042" i="2"/>
  <c r="I3041" i="2"/>
  <c r="B3041" i="2"/>
  <c r="I3040" i="2"/>
  <c r="B3040" i="2"/>
  <c r="I3039" i="2"/>
  <c r="B3039" i="2"/>
  <c r="I3038" i="2"/>
  <c r="B3038" i="2"/>
  <c r="I3037" i="2"/>
  <c r="B3037" i="2"/>
  <c r="I3036" i="2"/>
  <c r="B3036" i="2"/>
  <c r="I3035" i="2"/>
  <c r="B3035" i="2"/>
  <c r="I3034" i="2"/>
  <c r="B3034" i="2"/>
  <c r="I3033" i="2"/>
  <c r="B3033" i="2"/>
  <c r="I3032" i="2"/>
  <c r="B3032" i="2"/>
  <c r="I3031" i="2"/>
  <c r="B3031" i="2"/>
  <c r="I3030" i="2"/>
  <c r="B3030" i="2"/>
  <c r="I3029" i="2"/>
  <c r="B3029" i="2"/>
  <c r="I3028" i="2"/>
  <c r="B3028" i="2"/>
  <c r="I3027" i="2"/>
  <c r="B3027" i="2"/>
  <c r="I3026" i="2"/>
  <c r="B3026" i="2"/>
  <c r="I3025" i="2"/>
  <c r="B3025" i="2"/>
  <c r="I3024" i="2"/>
  <c r="B3024" i="2"/>
  <c r="I3023" i="2"/>
  <c r="B3023" i="2"/>
  <c r="I3022" i="2"/>
  <c r="B3022" i="2"/>
  <c r="I3021" i="2"/>
  <c r="B3021" i="2"/>
  <c r="I3020" i="2"/>
  <c r="B3020" i="2"/>
  <c r="I3019" i="2"/>
  <c r="B3019" i="2"/>
  <c r="I3018" i="2"/>
  <c r="B3018" i="2"/>
  <c r="I3017" i="2"/>
  <c r="B3017" i="2"/>
  <c r="I3016" i="2"/>
  <c r="B3016" i="2"/>
  <c r="I3015" i="2"/>
  <c r="B3015" i="2"/>
  <c r="I3014" i="2"/>
  <c r="B3014" i="2"/>
  <c r="I3013" i="2"/>
  <c r="B3013" i="2"/>
  <c r="I3012" i="2"/>
  <c r="B3012" i="2"/>
  <c r="I3011" i="2"/>
  <c r="B3011" i="2"/>
  <c r="I3010" i="2"/>
  <c r="B3010" i="2"/>
  <c r="I3009" i="2"/>
  <c r="B3009" i="2"/>
  <c r="I3008" i="2"/>
  <c r="B3008" i="2"/>
  <c r="I3007" i="2"/>
  <c r="B3007" i="2"/>
  <c r="I3006" i="2"/>
  <c r="B3006" i="2"/>
  <c r="I3005" i="2"/>
  <c r="B3005" i="2"/>
  <c r="I3004" i="2"/>
  <c r="B3004" i="2"/>
  <c r="I3003" i="2"/>
  <c r="B3003" i="2"/>
  <c r="I3002" i="2"/>
  <c r="B3002" i="2"/>
  <c r="I3001" i="2"/>
  <c r="B3001" i="2"/>
  <c r="I3000" i="2"/>
  <c r="B3000" i="2"/>
  <c r="I2999" i="2"/>
  <c r="B2999" i="2"/>
  <c r="I2998" i="2"/>
  <c r="B2998" i="2"/>
  <c r="I2997" i="2"/>
  <c r="B2997" i="2"/>
  <c r="I2996" i="2"/>
  <c r="B2996" i="2"/>
  <c r="I2995" i="2"/>
  <c r="B2995" i="2"/>
  <c r="I2994" i="2"/>
  <c r="B2994" i="2"/>
  <c r="I2993" i="2"/>
  <c r="B2993" i="2"/>
  <c r="I2992" i="2"/>
  <c r="B2992" i="2"/>
  <c r="I2991" i="2"/>
  <c r="B2991" i="2"/>
  <c r="I2990" i="2"/>
  <c r="B2990" i="2"/>
  <c r="I2989" i="2"/>
  <c r="B2989" i="2"/>
  <c r="I2988" i="2"/>
  <c r="B2988" i="2"/>
  <c r="I2987" i="2"/>
  <c r="B2987" i="2"/>
  <c r="I2986" i="2"/>
  <c r="B2986" i="2"/>
  <c r="I2985" i="2"/>
  <c r="B2985" i="2"/>
  <c r="I2984" i="2"/>
  <c r="B2984" i="2"/>
  <c r="I2983" i="2"/>
  <c r="B2983" i="2"/>
  <c r="I2982" i="2"/>
  <c r="B2982" i="2"/>
  <c r="I2981" i="2"/>
  <c r="B2981" i="2"/>
  <c r="I2980" i="2"/>
  <c r="B2980" i="2"/>
  <c r="I2979" i="2"/>
  <c r="B2979" i="2"/>
  <c r="I2978" i="2"/>
  <c r="B2978" i="2"/>
  <c r="I2977" i="2"/>
  <c r="B2977" i="2"/>
  <c r="I2976" i="2"/>
  <c r="B2976" i="2"/>
  <c r="I2975" i="2"/>
  <c r="B2975" i="2"/>
  <c r="I2974" i="2"/>
  <c r="B2974" i="2"/>
  <c r="I2973" i="2"/>
  <c r="B2973" i="2"/>
  <c r="I2972" i="2"/>
  <c r="B2972" i="2"/>
  <c r="I2971" i="2"/>
  <c r="B2971" i="2"/>
  <c r="I2970" i="2"/>
  <c r="B2970" i="2"/>
  <c r="I2969" i="2"/>
  <c r="B2969" i="2"/>
  <c r="I2968" i="2"/>
  <c r="B2968" i="2"/>
  <c r="I2967" i="2"/>
  <c r="B2967" i="2"/>
  <c r="I2966" i="2"/>
  <c r="B2966" i="2"/>
  <c r="I2965" i="2"/>
  <c r="B2965" i="2"/>
  <c r="I2964" i="2"/>
  <c r="B2964" i="2"/>
  <c r="I2963" i="2"/>
  <c r="B2963" i="2"/>
  <c r="I2962" i="2"/>
  <c r="B2962" i="2"/>
  <c r="I2961" i="2"/>
  <c r="B2961" i="2"/>
  <c r="I2960" i="2"/>
  <c r="B2960" i="2"/>
  <c r="I2959" i="2"/>
  <c r="B2959" i="2"/>
  <c r="I2958" i="2"/>
  <c r="B2958" i="2"/>
  <c r="I2957" i="2"/>
  <c r="B2957" i="2"/>
  <c r="I2956" i="2"/>
  <c r="B2956" i="2"/>
  <c r="I2955" i="2"/>
  <c r="B2955" i="2"/>
  <c r="I2954" i="2"/>
  <c r="B2954" i="2"/>
  <c r="I2953" i="2"/>
  <c r="B2953" i="2"/>
  <c r="I2952" i="2"/>
  <c r="B2952" i="2"/>
  <c r="I2951" i="2"/>
  <c r="B2951" i="2"/>
  <c r="I2950" i="2"/>
  <c r="B2950" i="2"/>
  <c r="I2949" i="2"/>
  <c r="B2949" i="2"/>
  <c r="I2948" i="2"/>
  <c r="B2948" i="2"/>
  <c r="I2947" i="2"/>
  <c r="B2947" i="2"/>
  <c r="I2946" i="2"/>
  <c r="B2946" i="2"/>
  <c r="I2945" i="2"/>
  <c r="B2945" i="2"/>
  <c r="I2944" i="2"/>
  <c r="B2944" i="2"/>
  <c r="I2943" i="2"/>
  <c r="B2943" i="2"/>
  <c r="I2942" i="2"/>
  <c r="B2942" i="2"/>
  <c r="I2941" i="2"/>
  <c r="B2941" i="2"/>
  <c r="I2940" i="2"/>
  <c r="B2940" i="2"/>
  <c r="I2939" i="2"/>
  <c r="B2939" i="2"/>
  <c r="I2938" i="2"/>
  <c r="B2938" i="2"/>
  <c r="I2937" i="2"/>
  <c r="B2937" i="2"/>
  <c r="I2936" i="2"/>
  <c r="B2936" i="2"/>
  <c r="I2935" i="2"/>
  <c r="B2935" i="2"/>
  <c r="I2934" i="2"/>
  <c r="B2934" i="2"/>
  <c r="I2933" i="2"/>
  <c r="B2933" i="2"/>
  <c r="I2932" i="2"/>
  <c r="B2932" i="2"/>
  <c r="I2931" i="2"/>
  <c r="B2931" i="2"/>
  <c r="I2930" i="2"/>
  <c r="B2930" i="2"/>
  <c r="I2929" i="2"/>
  <c r="B2929" i="2"/>
  <c r="I2928" i="2"/>
  <c r="B2928" i="2"/>
  <c r="I2927" i="2"/>
  <c r="B2927" i="2"/>
  <c r="I2926" i="2"/>
  <c r="B2926" i="2"/>
  <c r="I2925" i="2"/>
  <c r="B2925" i="2"/>
  <c r="I2924" i="2"/>
  <c r="B2924" i="2"/>
  <c r="I2923" i="2"/>
  <c r="B2923" i="2"/>
  <c r="I2922" i="2"/>
  <c r="B2922" i="2"/>
  <c r="I2921" i="2"/>
  <c r="B2921" i="2"/>
  <c r="I2920" i="2"/>
  <c r="B2920" i="2"/>
  <c r="I2919" i="2"/>
  <c r="B2919" i="2"/>
  <c r="I2918" i="2"/>
  <c r="B2918" i="2"/>
  <c r="I2917" i="2"/>
  <c r="B2917" i="2"/>
  <c r="I2916" i="2"/>
  <c r="B2916" i="2"/>
  <c r="I2915" i="2"/>
  <c r="B2915" i="2"/>
  <c r="I2914" i="2"/>
  <c r="B2914" i="2"/>
  <c r="I2913" i="2"/>
  <c r="B2913" i="2"/>
  <c r="I2912" i="2"/>
  <c r="B2912" i="2"/>
  <c r="I2911" i="2"/>
  <c r="B2911" i="2"/>
  <c r="I2910" i="2"/>
  <c r="B2910" i="2"/>
  <c r="I2909" i="2"/>
  <c r="B2909" i="2"/>
  <c r="I2908" i="2"/>
  <c r="B2908" i="2"/>
  <c r="I2907" i="2"/>
  <c r="B2907" i="2"/>
  <c r="I2906" i="2"/>
  <c r="B2906" i="2"/>
  <c r="I2905" i="2"/>
  <c r="B2905" i="2"/>
  <c r="I2904" i="2"/>
  <c r="B2904" i="2"/>
  <c r="I2903" i="2"/>
  <c r="B2903" i="2"/>
  <c r="I2902" i="2"/>
  <c r="B2902" i="2"/>
  <c r="I2901" i="2"/>
  <c r="B2901" i="2"/>
  <c r="I2900" i="2"/>
  <c r="B2900" i="2"/>
  <c r="I2899" i="2"/>
  <c r="B2899" i="2"/>
  <c r="I2898" i="2"/>
  <c r="B2898" i="2"/>
  <c r="I2897" i="2"/>
  <c r="B2897" i="2"/>
  <c r="I2896" i="2"/>
  <c r="B2896" i="2"/>
  <c r="I2895" i="2"/>
  <c r="B2895" i="2"/>
  <c r="I2894" i="2"/>
  <c r="B2894" i="2"/>
  <c r="I2893" i="2"/>
  <c r="B2893" i="2"/>
  <c r="I2892" i="2"/>
  <c r="B2892" i="2"/>
  <c r="I2891" i="2"/>
  <c r="B2891" i="2"/>
  <c r="I2890" i="2"/>
  <c r="B2890" i="2"/>
  <c r="I2889" i="2"/>
  <c r="B2889" i="2"/>
  <c r="I2888" i="2"/>
  <c r="B2888" i="2"/>
  <c r="I2887" i="2"/>
  <c r="B2887" i="2"/>
  <c r="I2886" i="2"/>
  <c r="B2886" i="2"/>
  <c r="I2885" i="2"/>
  <c r="B2885" i="2"/>
  <c r="I2884" i="2"/>
  <c r="B2884" i="2"/>
  <c r="I2883" i="2"/>
  <c r="B2883" i="2"/>
  <c r="I2882" i="2"/>
  <c r="B2882" i="2"/>
  <c r="I2881" i="2"/>
  <c r="B2881" i="2"/>
  <c r="I2880" i="2"/>
  <c r="B2880" i="2"/>
  <c r="I2879" i="2"/>
  <c r="B2879" i="2"/>
  <c r="I2878" i="2"/>
  <c r="B2878" i="2"/>
  <c r="I2877" i="2"/>
  <c r="B2877" i="2"/>
  <c r="I2876" i="2"/>
  <c r="B2876" i="2"/>
  <c r="I2875" i="2"/>
  <c r="B2875" i="2"/>
  <c r="I2874" i="2"/>
  <c r="B2874" i="2"/>
  <c r="I2873" i="2"/>
  <c r="B2873" i="2"/>
  <c r="I2872" i="2"/>
  <c r="B2872" i="2"/>
  <c r="I2871" i="2"/>
  <c r="B2871" i="2"/>
  <c r="I2870" i="2"/>
  <c r="B2870" i="2"/>
  <c r="I2869" i="2"/>
  <c r="B2869" i="2"/>
  <c r="I2868" i="2"/>
  <c r="B2868" i="2"/>
  <c r="I2867" i="2"/>
  <c r="B2867" i="2"/>
  <c r="I2866" i="2"/>
  <c r="B2866" i="2"/>
  <c r="I2865" i="2"/>
  <c r="B2865" i="2"/>
  <c r="I2864" i="2"/>
  <c r="B2864" i="2"/>
  <c r="I2863" i="2"/>
  <c r="B2863" i="2"/>
  <c r="I2862" i="2"/>
  <c r="B2862" i="2"/>
  <c r="I2861" i="2"/>
  <c r="B2861" i="2"/>
  <c r="I2860" i="2"/>
  <c r="B2860" i="2"/>
  <c r="I2859" i="2"/>
  <c r="B2859" i="2"/>
  <c r="I2858" i="2"/>
  <c r="B2858" i="2"/>
  <c r="I2857" i="2"/>
  <c r="B2857" i="2"/>
  <c r="I2856" i="2"/>
  <c r="B2856" i="2"/>
  <c r="I2855" i="2"/>
  <c r="B2855" i="2"/>
  <c r="I2854" i="2"/>
  <c r="B2854" i="2"/>
  <c r="I2853" i="2"/>
  <c r="B2853" i="2"/>
  <c r="I2852" i="2"/>
  <c r="B2852" i="2"/>
  <c r="I2851" i="2"/>
  <c r="B2851" i="2"/>
  <c r="I2850" i="2"/>
  <c r="B2850" i="2"/>
  <c r="I2849" i="2"/>
  <c r="B2849" i="2"/>
  <c r="I2848" i="2"/>
  <c r="B2848" i="2"/>
  <c r="I2847" i="2"/>
  <c r="B2847" i="2"/>
  <c r="I2846" i="2"/>
  <c r="B2846" i="2"/>
  <c r="I2845" i="2"/>
  <c r="B2845" i="2"/>
  <c r="I2844" i="2"/>
  <c r="B2844" i="2"/>
  <c r="I2843" i="2"/>
  <c r="B2843" i="2"/>
  <c r="I2842" i="2"/>
  <c r="B2842" i="2"/>
  <c r="I2841" i="2"/>
  <c r="B2841" i="2"/>
  <c r="I2840" i="2"/>
  <c r="B2840" i="2"/>
  <c r="I2839" i="2"/>
  <c r="B2839" i="2"/>
  <c r="I2838" i="2"/>
  <c r="B2838" i="2"/>
  <c r="I2837" i="2"/>
  <c r="B2837" i="2"/>
  <c r="I2836" i="2"/>
  <c r="B2836" i="2"/>
  <c r="I2835" i="2"/>
  <c r="B2835" i="2"/>
  <c r="I2834" i="2"/>
  <c r="B2834" i="2"/>
  <c r="I2833" i="2"/>
  <c r="B2833" i="2"/>
  <c r="I2832" i="2"/>
  <c r="B2832" i="2"/>
  <c r="I2831" i="2"/>
  <c r="B2831" i="2"/>
  <c r="I2830" i="2"/>
  <c r="B2830" i="2"/>
  <c r="I2829" i="2"/>
  <c r="B2829" i="2"/>
  <c r="I2828" i="2"/>
  <c r="B2828" i="2"/>
  <c r="I2827" i="2"/>
  <c r="B2827" i="2"/>
  <c r="I2826" i="2"/>
  <c r="B2826" i="2"/>
  <c r="I2825" i="2"/>
  <c r="B2825" i="2"/>
  <c r="I2824" i="2"/>
  <c r="B2824" i="2"/>
  <c r="I2823" i="2"/>
  <c r="B2823" i="2"/>
  <c r="I2822" i="2"/>
  <c r="B2822" i="2"/>
  <c r="I2821" i="2"/>
  <c r="B2821" i="2"/>
  <c r="I2820" i="2"/>
  <c r="B2820" i="2"/>
  <c r="I2819" i="2"/>
  <c r="B2819" i="2"/>
  <c r="I2818" i="2"/>
  <c r="B2818" i="2"/>
  <c r="I2817" i="2"/>
  <c r="B2817" i="2"/>
  <c r="I2816" i="2"/>
  <c r="B2816" i="2"/>
  <c r="I2815" i="2"/>
  <c r="B2815" i="2"/>
  <c r="I2814" i="2"/>
  <c r="B2814" i="2"/>
  <c r="I2813" i="2"/>
  <c r="B2813" i="2"/>
  <c r="I2812" i="2"/>
  <c r="B2812" i="2"/>
  <c r="I2811" i="2"/>
  <c r="B2811" i="2"/>
  <c r="I2810" i="2"/>
  <c r="B2810" i="2"/>
  <c r="I2809" i="2"/>
  <c r="B2809" i="2"/>
  <c r="I2808" i="2"/>
  <c r="B2808" i="2"/>
  <c r="I2807" i="2"/>
  <c r="B2807" i="2"/>
  <c r="I2806" i="2"/>
  <c r="B2806" i="2"/>
  <c r="I2805" i="2"/>
  <c r="B2805" i="2"/>
  <c r="I2804" i="2"/>
  <c r="B2804" i="2"/>
  <c r="I2803" i="2"/>
  <c r="B2803" i="2"/>
  <c r="I2802" i="2"/>
  <c r="B2802" i="2"/>
  <c r="I2801" i="2"/>
  <c r="B2801" i="2"/>
  <c r="I2800" i="2"/>
  <c r="B2800" i="2"/>
  <c r="I2799" i="2"/>
  <c r="B2799" i="2"/>
  <c r="I2798" i="2"/>
  <c r="B2798" i="2"/>
  <c r="I2797" i="2"/>
  <c r="B2797" i="2"/>
  <c r="I2796" i="2"/>
  <c r="B2796" i="2"/>
  <c r="I2795" i="2"/>
  <c r="B2795" i="2"/>
  <c r="I2794" i="2"/>
  <c r="B2794" i="2"/>
  <c r="I2793" i="2"/>
  <c r="B2793" i="2"/>
  <c r="I2792" i="2"/>
  <c r="B2792" i="2"/>
  <c r="I2791" i="2"/>
  <c r="B2791" i="2"/>
  <c r="I2790" i="2"/>
  <c r="B2790" i="2"/>
  <c r="I2789" i="2"/>
  <c r="B2789" i="2"/>
  <c r="I2788" i="2"/>
  <c r="B2788" i="2"/>
  <c r="I2787" i="2"/>
  <c r="B2787" i="2"/>
  <c r="I2786" i="2"/>
  <c r="B2786" i="2"/>
  <c r="I2785" i="2"/>
  <c r="B2785" i="2"/>
  <c r="I2784" i="2"/>
  <c r="B2784" i="2"/>
  <c r="I2783" i="2"/>
  <c r="B2783" i="2"/>
  <c r="I2782" i="2"/>
  <c r="B2782" i="2"/>
  <c r="I2781" i="2"/>
  <c r="B2781" i="2"/>
  <c r="I2780" i="2"/>
  <c r="B2780" i="2"/>
  <c r="I2779" i="2"/>
  <c r="B2779" i="2"/>
  <c r="I2778" i="2"/>
  <c r="B2778" i="2"/>
  <c r="I2777" i="2"/>
  <c r="B2777" i="2"/>
  <c r="I2776" i="2"/>
  <c r="B2776" i="2"/>
  <c r="I2775" i="2"/>
  <c r="B2775" i="2"/>
  <c r="I2774" i="2"/>
  <c r="B2774" i="2"/>
  <c r="I2773" i="2"/>
  <c r="B2773" i="2"/>
  <c r="I2772" i="2"/>
  <c r="B2772" i="2"/>
  <c r="I2771" i="2"/>
  <c r="B2771" i="2"/>
  <c r="I2770" i="2"/>
  <c r="B2770" i="2"/>
  <c r="I2769" i="2"/>
  <c r="B2769" i="2"/>
  <c r="I2768" i="2"/>
  <c r="B2768" i="2"/>
  <c r="I2767" i="2"/>
  <c r="B2767" i="2"/>
  <c r="I2766" i="2"/>
  <c r="B2766" i="2"/>
  <c r="I2765" i="2"/>
  <c r="B2765" i="2"/>
  <c r="I2764" i="2"/>
  <c r="B2764" i="2"/>
  <c r="I2763" i="2"/>
  <c r="B2763" i="2"/>
  <c r="I2762" i="2"/>
  <c r="B2762" i="2"/>
  <c r="I2761" i="2"/>
  <c r="B2761" i="2"/>
  <c r="I2760" i="2"/>
  <c r="B2760" i="2"/>
  <c r="I2759" i="2"/>
  <c r="B2759" i="2"/>
  <c r="I2758" i="2"/>
  <c r="B2758" i="2"/>
  <c r="I2757" i="2"/>
  <c r="B2757" i="2"/>
  <c r="I2756" i="2"/>
  <c r="B2756" i="2"/>
  <c r="I2755" i="2"/>
  <c r="B2755" i="2"/>
  <c r="I2754" i="2"/>
  <c r="B2754" i="2"/>
  <c r="I2753" i="2"/>
  <c r="B2753" i="2"/>
  <c r="I2752" i="2"/>
  <c r="B2752" i="2"/>
  <c r="I2751" i="2"/>
  <c r="B2751" i="2"/>
  <c r="I2750" i="2"/>
  <c r="B2750" i="2"/>
  <c r="I2749" i="2"/>
  <c r="B2749" i="2"/>
  <c r="I2748" i="2"/>
  <c r="B2748" i="2"/>
  <c r="I2747" i="2"/>
  <c r="B2747" i="2"/>
  <c r="I2746" i="2"/>
  <c r="B2746" i="2"/>
  <c r="I2745" i="2"/>
  <c r="B2745" i="2"/>
  <c r="I2744" i="2"/>
  <c r="B2744" i="2"/>
  <c r="I2743" i="2"/>
  <c r="B2743" i="2"/>
  <c r="I2742" i="2"/>
  <c r="B2742" i="2"/>
  <c r="I2741" i="2"/>
  <c r="B2741" i="2"/>
  <c r="I2740" i="2"/>
  <c r="B2740" i="2"/>
  <c r="I2739" i="2"/>
  <c r="B2739" i="2"/>
  <c r="I2738" i="2"/>
  <c r="B2738" i="2"/>
  <c r="I2737" i="2"/>
  <c r="B2737" i="2"/>
  <c r="I2736" i="2"/>
  <c r="B2736" i="2"/>
  <c r="I2735" i="2"/>
  <c r="B2735" i="2"/>
  <c r="I2734" i="2"/>
  <c r="B2734" i="2"/>
  <c r="I2733" i="2"/>
  <c r="B2733" i="2"/>
  <c r="I2732" i="2"/>
  <c r="B2732" i="2"/>
  <c r="I2731" i="2"/>
  <c r="B2731" i="2"/>
  <c r="I2730" i="2"/>
  <c r="B2730" i="2"/>
  <c r="I2729" i="2"/>
  <c r="B2729" i="2"/>
  <c r="I2728" i="2"/>
  <c r="B2728" i="2"/>
  <c r="I2727" i="2"/>
  <c r="B2727" i="2"/>
  <c r="I2726" i="2"/>
  <c r="B2726" i="2"/>
  <c r="I2725" i="2"/>
  <c r="B2725" i="2"/>
  <c r="I2724" i="2"/>
  <c r="B2724" i="2"/>
  <c r="I2723" i="2"/>
  <c r="B2723" i="2"/>
  <c r="I2722" i="2"/>
  <c r="B2722" i="2"/>
  <c r="I2721" i="2"/>
  <c r="B2721" i="2"/>
  <c r="I2720" i="2"/>
  <c r="B2720" i="2"/>
  <c r="I2719" i="2"/>
  <c r="B2719" i="2"/>
  <c r="I2718" i="2"/>
  <c r="B2718" i="2"/>
  <c r="I2717" i="2"/>
  <c r="B2717" i="2"/>
  <c r="I2716" i="2"/>
  <c r="B2716" i="2"/>
  <c r="I2715" i="2"/>
  <c r="B2715" i="2"/>
  <c r="I2714" i="2"/>
  <c r="B2714" i="2"/>
  <c r="I2713" i="2"/>
  <c r="B2713" i="2"/>
  <c r="I2712" i="2"/>
  <c r="B2712" i="2"/>
  <c r="I2711" i="2"/>
  <c r="B2711" i="2"/>
  <c r="I2710" i="2"/>
  <c r="B2710" i="2"/>
  <c r="I2709" i="2"/>
  <c r="B2709" i="2"/>
  <c r="I2708" i="2"/>
  <c r="B2708" i="2"/>
  <c r="I2707" i="2"/>
  <c r="B2707" i="2"/>
  <c r="I2706" i="2"/>
  <c r="B2706" i="2"/>
  <c r="I2705" i="2"/>
  <c r="B2705" i="2"/>
  <c r="I2704" i="2"/>
  <c r="B2704" i="2"/>
  <c r="I2703" i="2"/>
  <c r="B2703" i="2"/>
  <c r="I2702" i="2"/>
  <c r="B2702" i="2"/>
  <c r="I2701" i="2"/>
  <c r="B2701" i="2"/>
  <c r="I2700" i="2"/>
  <c r="B2700" i="2"/>
  <c r="I2699" i="2"/>
  <c r="B2699" i="2"/>
  <c r="I2698" i="2"/>
  <c r="B2698" i="2"/>
  <c r="I2697" i="2"/>
  <c r="B2697" i="2"/>
  <c r="I2696" i="2"/>
  <c r="B2696" i="2"/>
  <c r="I2695" i="2"/>
  <c r="B2695" i="2"/>
  <c r="I2694" i="2"/>
  <c r="B2694" i="2"/>
  <c r="I2693" i="2"/>
  <c r="B2693" i="2"/>
  <c r="I2692" i="2"/>
  <c r="B2692" i="2"/>
  <c r="I2691" i="2"/>
  <c r="B2691" i="2"/>
  <c r="I2690" i="2"/>
  <c r="B2690" i="2"/>
  <c r="I2689" i="2"/>
  <c r="B2689" i="2"/>
  <c r="I2688" i="2"/>
  <c r="B2688" i="2"/>
  <c r="I2687" i="2"/>
  <c r="B2687" i="2"/>
  <c r="I2686" i="2"/>
  <c r="B2686" i="2"/>
  <c r="I2685" i="2"/>
  <c r="B2685" i="2"/>
  <c r="I2684" i="2"/>
  <c r="B2684" i="2"/>
  <c r="I2683" i="2"/>
  <c r="B2683" i="2"/>
  <c r="I2682" i="2"/>
  <c r="B2682" i="2"/>
  <c r="I2681" i="2"/>
  <c r="B2681" i="2"/>
  <c r="I2680" i="2"/>
  <c r="B2680" i="2"/>
  <c r="I2679" i="2"/>
  <c r="B2679" i="2"/>
  <c r="I2678" i="2"/>
  <c r="B2678" i="2"/>
  <c r="I2677" i="2"/>
  <c r="B2677" i="2"/>
  <c r="I2676" i="2"/>
  <c r="B2676" i="2"/>
  <c r="I2675" i="2"/>
  <c r="B2675" i="2"/>
  <c r="I2674" i="2"/>
  <c r="B2674" i="2"/>
  <c r="I2673" i="2"/>
  <c r="B2673" i="2"/>
  <c r="I2672" i="2"/>
  <c r="B2672" i="2"/>
  <c r="I2671" i="2"/>
  <c r="B2671" i="2"/>
  <c r="I2670" i="2"/>
  <c r="B2670" i="2"/>
  <c r="I2669" i="2"/>
  <c r="B2669" i="2"/>
  <c r="I2668" i="2"/>
  <c r="B2668" i="2"/>
  <c r="I2667" i="2"/>
  <c r="B2667" i="2"/>
  <c r="I2666" i="2"/>
  <c r="B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D1947" i="2"/>
  <c r="B1947" i="2" s="1"/>
  <c r="I1946" i="2"/>
  <c r="B1946" i="2"/>
  <c r="I1945" i="2"/>
  <c r="B1945" i="2"/>
  <c r="I1944" i="2"/>
  <c r="B1944" i="2"/>
  <c r="I1943" i="2"/>
  <c r="B1943" i="2"/>
  <c r="I1942" i="2"/>
  <c r="B1942" i="2"/>
  <c r="I1941" i="2"/>
  <c r="B1941" i="2"/>
  <c r="I1940" i="2"/>
  <c r="B1940" i="2"/>
  <c r="I1939" i="2"/>
  <c r="B1939" i="2"/>
  <c r="I1938" i="2"/>
  <c r="B1938" i="2"/>
  <c r="I1937" i="2"/>
  <c r="B1937" i="2"/>
  <c r="I1936" i="2"/>
  <c r="B1936" i="2"/>
  <c r="I1935" i="2"/>
  <c r="B1935" i="2"/>
  <c r="I1934" i="2"/>
  <c r="B1934" i="2"/>
  <c r="I1933" i="2"/>
  <c r="B1933" i="2"/>
  <c r="I1932" i="2"/>
  <c r="B1932" i="2"/>
  <c r="I1931" i="2"/>
  <c r="B1931" i="2"/>
  <c r="I1930" i="2"/>
  <c r="B1930" i="2"/>
  <c r="I1929" i="2"/>
  <c r="B1929" i="2"/>
  <c r="I1928" i="2"/>
  <c r="B1928" i="2"/>
  <c r="I1927" i="2"/>
  <c r="B1927" i="2"/>
  <c r="I1926" i="2"/>
  <c r="B1926" i="2"/>
  <c r="I1925" i="2"/>
  <c r="B1925" i="2"/>
  <c r="I1924" i="2"/>
  <c r="B1924" i="2"/>
  <c r="I1923" i="2"/>
  <c r="B1923" i="2"/>
  <c r="I1922" i="2"/>
  <c r="B1922" i="2"/>
  <c r="I1921" i="2"/>
  <c r="B1921" i="2"/>
  <c r="I1920" i="2"/>
  <c r="B1920" i="2"/>
  <c r="I1919" i="2"/>
  <c r="B1919" i="2"/>
  <c r="I1918" i="2"/>
  <c r="B1918" i="2"/>
  <c r="I1917" i="2"/>
  <c r="B1917" i="2"/>
  <c r="I1916" i="2"/>
  <c r="B1916" i="2"/>
  <c r="I1915" i="2"/>
  <c r="B1915" i="2"/>
  <c r="I1914" i="2"/>
  <c r="B1914" i="2"/>
  <c r="I1913" i="2"/>
  <c r="B1913" i="2"/>
  <c r="I1912" i="2"/>
  <c r="B1912" i="2"/>
  <c r="I1911" i="2"/>
  <c r="B1911" i="2"/>
  <c r="I1910" i="2"/>
  <c r="B1910" i="2"/>
  <c r="I1909" i="2"/>
  <c r="B1909" i="2"/>
  <c r="I1908" i="2"/>
  <c r="B1908" i="2"/>
  <c r="I1907" i="2"/>
  <c r="B1907" i="2"/>
  <c r="I1906" i="2"/>
  <c r="B1906" i="2"/>
  <c r="I1905" i="2"/>
  <c r="B1905" i="2"/>
  <c r="I1904" i="2"/>
  <c r="B1904" i="2"/>
  <c r="I1903" i="2"/>
  <c r="B1903" i="2"/>
  <c r="I1902" i="2"/>
  <c r="B1902" i="2"/>
  <c r="I1901" i="2"/>
  <c r="B1901" i="2"/>
  <c r="I1900" i="2"/>
  <c r="B1900" i="2"/>
  <c r="I1899" i="2"/>
  <c r="B1899" i="2"/>
  <c r="I1898" i="2"/>
  <c r="B1898" i="2"/>
  <c r="I1897" i="2"/>
  <c r="B1897" i="2"/>
  <c r="I1896" i="2"/>
  <c r="B1896" i="2"/>
  <c r="I1895" i="2"/>
  <c r="B1895" i="2"/>
  <c r="I1894" i="2"/>
  <c r="B1894" i="2"/>
  <c r="I1893" i="2"/>
  <c r="B1893" i="2"/>
  <c r="I1892" i="2"/>
  <c r="B1892" i="2"/>
  <c r="I1891" i="2"/>
  <c r="B1891" i="2"/>
  <c r="I1890" i="2"/>
  <c r="B1890" i="2"/>
  <c r="I1889" i="2"/>
  <c r="B1889" i="2"/>
  <c r="I1888" i="2"/>
  <c r="B1888" i="2"/>
  <c r="I1887" i="2"/>
  <c r="B1887" i="2"/>
  <c r="I1886" i="2"/>
  <c r="B1886" i="2"/>
  <c r="I1885" i="2"/>
  <c r="B1885" i="2"/>
  <c r="I1884" i="2"/>
  <c r="B1884" i="2"/>
  <c r="I1883" i="2"/>
  <c r="B1883" i="2"/>
  <c r="I1882" i="2"/>
  <c r="B1882" i="2"/>
  <c r="I1881" i="2"/>
  <c r="B1881" i="2"/>
  <c r="I1880" i="2"/>
  <c r="B1880" i="2"/>
  <c r="I1879" i="2"/>
  <c r="B1879" i="2"/>
  <c r="I1878" i="2"/>
  <c r="B1878" i="2"/>
  <c r="I1877" i="2"/>
  <c r="B1877" i="2"/>
  <c r="I1876" i="2"/>
  <c r="B1876" i="2"/>
  <c r="I1875" i="2"/>
  <c r="B1875" i="2"/>
  <c r="I1874" i="2"/>
  <c r="B1874" i="2"/>
  <c r="I1873" i="2"/>
  <c r="B1873" i="2"/>
  <c r="I1872" i="2"/>
  <c r="B1872" i="2"/>
  <c r="I1871" i="2"/>
  <c r="B1871" i="2"/>
  <c r="I1870" i="2"/>
  <c r="B1870" i="2"/>
  <c r="I1869" i="2"/>
  <c r="B1869" i="2"/>
  <c r="I1868" i="2"/>
  <c r="B1868" i="2"/>
  <c r="I1867" i="2"/>
  <c r="B1867" i="2"/>
  <c r="I1866" i="2"/>
  <c r="B1866" i="2"/>
  <c r="I1865" i="2"/>
  <c r="B1865" i="2"/>
  <c r="I1864" i="2"/>
  <c r="B1864" i="2"/>
  <c r="I1863" i="2"/>
  <c r="B1863" i="2"/>
  <c r="I1862" i="2"/>
  <c r="B1862" i="2"/>
  <c r="I1861" i="2"/>
  <c r="B1861" i="2"/>
  <c r="I1860" i="2"/>
  <c r="B1860" i="2"/>
  <c r="I1859" i="2"/>
  <c r="B1859" i="2"/>
  <c r="I1858" i="2"/>
  <c r="B1858" i="2"/>
  <c r="I1857" i="2"/>
  <c r="B1857" i="2"/>
  <c r="I1856" i="2"/>
  <c r="B1856" i="2"/>
  <c r="I1855" i="2"/>
  <c r="B1855" i="2"/>
  <c r="I1854" i="2"/>
  <c r="B1854" i="2"/>
  <c r="I1853" i="2"/>
  <c r="B1853" i="2"/>
  <c r="I1852" i="2"/>
  <c r="B1852" i="2"/>
  <c r="I1851" i="2"/>
  <c r="B1851" i="2"/>
  <c r="I1850" i="2"/>
  <c r="B1850" i="2"/>
  <c r="I1849" i="2"/>
  <c r="B1849" i="2"/>
  <c r="I1848" i="2"/>
  <c r="B1848" i="2"/>
  <c r="I1847" i="2"/>
  <c r="B1847" i="2"/>
  <c r="I1846" i="2"/>
  <c r="B1846" i="2"/>
  <c r="I1845" i="2"/>
  <c r="B1845" i="2"/>
  <c r="I1844" i="2"/>
  <c r="B1844" i="2"/>
  <c r="I1843" i="2"/>
  <c r="B1843" i="2"/>
  <c r="I1842" i="2"/>
  <c r="B1842" i="2"/>
  <c r="I1841" i="2"/>
  <c r="B1841" i="2"/>
  <c r="I1840" i="2"/>
  <c r="B1840" i="2"/>
  <c r="I1839" i="2"/>
  <c r="B1839" i="2"/>
  <c r="I1838" i="2"/>
  <c r="B1838" i="2"/>
  <c r="I1837" i="2"/>
  <c r="B1837" i="2"/>
  <c r="I1836" i="2"/>
  <c r="B1836" i="2"/>
  <c r="I1835" i="2"/>
  <c r="B1835" i="2"/>
  <c r="I1834" i="2"/>
  <c r="B1834" i="2"/>
  <c r="I1833" i="2"/>
  <c r="B1833" i="2"/>
  <c r="I1832" i="2"/>
  <c r="B1832" i="2"/>
  <c r="I1831" i="2"/>
  <c r="B1831" i="2"/>
  <c r="I1830" i="2"/>
  <c r="B1830" i="2"/>
  <c r="I1829" i="2"/>
  <c r="B1829" i="2"/>
  <c r="I1828" i="2"/>
  <c r="B1828" i="2"/>
  <c r="I1827" i="2"/>
  <c r="B1827" i="2"/>
  <c r="I1826" i="2"/>
  <c r="B1826" i="2"/>
  <c r="I1825" i="2"/>
  <c r="B1825" i="2"/>
  <c r="I1824" i="2"/>
  <c r="B1824" i="2"/>
  <c r="I1823" i="2"/>
  <c r="B1823" i="2"/>
  <c r="I1822" i="2"/>
  <c r="B1822" i="2"/>
  <c r="I1821" i="2"/>
  <c r="B1821" i="2"/>
  <c r="I1820" i="2"/>
  <c r="B1820" i="2"/>
  <c r="I1819" i="2"/>
  <c r="B1819" i="2"/>
  <c r="I1818" i="2"/>
  <c r="B1818" i="2"/>
  <c r="I1817" i="2"/>
  <c r="B1817" i="2"/>
  <c r="I1816" i="2"/>
  <c r="B1816" i="2"/>
  <c r="I1815" i="2"/>
  <c r="B1815" i="2"/>
  <c r="I1814" i="2"/>
  <c r="B1814" i="2"/>
  <c r="I1813" i="2"/>
  <c r="B1813" i="2"/>
  <c r="I1812" i="2"/>
  <c r="B1812" i="2"/>
  <c r="I1811" i="2"/>
  <c r="B1811" i="2"/>
  <c r="I1810" i="2"/>
  <c r="B1810" i="2"/>
  <c r="I1809" i="2"/>
  <c r="B1809" i="2"/>
  <c r="I1808" i="2"/>
  <c r="B1808" i="2"/>
  <c r="I1807" i="2"/>
  <c r="B1807" i="2"/>
  <c r="I1806" i="2"/>
  <c r="B1806" i="2"/>
  <c r="I1805" i="2"/>
  <c r="B1805" i="2"/>
  <c r="I1804" i="2"/>
  <c r="B1804" i="2"/>
  <c r="I1803" i="2"/>
  <c r="B1803" i="2"/>
  <c r="I1802" i="2"/>
  <c r="B1802" i="2"/>
  <c r="I1801" i="2"/>
  <c r="B1801" i="2"/>
  <c r="I1800" i="2"/>
  <c r="B1800" i="2"/>
  <c r="I1799" i="2"/>
  <c r="B1799" i="2"/>
  <c r="I1798" i="2"/>
  <c r="B1798" i="2"/>
  <c r="I1797" i="2"/>
  <c r="B1797" i="2"/>
  <c r="I1796" i="2"/>
  <c r="B1796" i="2"/>
  <c r="I1795" i="2"/>
  <c r="B1795" i="2"/>
  <c r="I1794" i="2"/>
  <c r="B1794" i="2"/>
  <c r="I1793" i="2"/>
  <c r="B1793" i="2"/>
  <c r="I1792" i="2"/>
  <c r="B1792" i="2"/>
  <c r="I1791" i="2"/>
  <c r="B1791" i="2"/>
  <c r="I1790" i="2"/>
  <c r="B1790" i="2"/>
  <c r="I1789" i="2"/>
  <c r="B1789" i="2"/>
  <c r="I1788" i="2"/>
  <c r="B1788" i="2"/>
  <c r="I1787" i="2"/>
  <c r="B1787" i="2"/>
  <c r="I1786" i="2"/>
  <c r="B1786" i="2"/>
  <c r="I1785" i="2"/>
  <c r="B1785" i="2"/>
  <c r="I1784" i="2"/>
  <c r="B1784" i="2"/>
  <c r="I1783" i="2"/>
  <c r="B1783" i="2"/>
  <c r="I1782" i="2"/>
  <c r="B1782" i="2"/>
  <c r="I1781" i="2"/>
  <c r="B1781" i="2"/>
  <c r="I1780" i="2"/>
  <c r="B1780" i="2"/>
  <c r="I1779" i="2"/>
  <c r="B1779" i="2"/>
  <c r="I1778" i="2"/>
  <c r="B1778" i="2"/>
  <c r="I1777" i="2"/>
  <c r="B1777" i="2"/>
  <c r="I1776" i="2"/>
  <c r="B1776" i="2"/>
  <c r="I1775" i="2"/>
  <c r="B1775" i="2"/>
  <c r="I1774" i="2"/>
  <c r="B1774" i="2"/>
  <c r="I1773" i="2"/>
  <c r="B1773" i="2"/>
  <c r="I1772" i="2"/>
  <c r="B1772" i="2"/>
  <c r="I1771" i="2"/>
  <c r="B1771" i="2"/>
  <c r="I1770" i="2"/>
  <c r="B1770" i="2"/>
  <c r="I1769" i="2"/>
  <c r="B1769" i="2"/>
  <c r="I1768" i="2"/>
  <c r="B1768" i="2"/>
  <c r="I1767" i="2"/>
  <c r="B1767" i="2"/>
  <c r="I1766" i="2"/>
  <c r="B1766" i="2"/>
  <c r="I1765" i="2"/>
  <c r="B1765" i="2"/>
  <c r="I1764" i="2"/>
  <c r="B1764" i="2"/>
  <c r="I1763" i="2"/>
  <c r="B1763" i="2"/>
  <c r="I1762" i="2"/>
  <c r="B1762" i="2"/>
  <c r="I1761" i="2"/>
  <c r="B1761" i="2"/>
  <c r="I1760" i="2"/>
  <c r="B1760" i="2"/>
  <c r="I1759" i="2"/>
  <c r="B1759" i="2"/>
  <c r="I1758" i="2"/>
  <c r="B1758" i="2"/>
  <c r="I1757" i="2"/>
  <c r="B1757" i="2"/>
  <c r="I1756" i="2"/>
  <c r="B1756" i="2"/>
  <c r="I1755" i="2"/>
  <c r="B1755" i="2"/>
  <c r="I1754" i="2"/>
  <c r="B1754" i="2"/>
  <c r="I1753" i="2"/>
  <c r="B1753" i="2"/>
  <c r="I1752" i="2"/>
  <c r="B1752" i="2"/>
  <c r="I1751" i="2"/>
  <c r="B1751" i="2"/>
  <c r="I1750" i="2"/>
  <c r="B1750" i="2"/>
  <c r="I1749" i="2"/>
  <c r="B1749" i="2"/>
  <c r="I1748" i="2"/>
  <c r="B1748" i="2"/>
  <c r="I1747" i="2"/>
  <c r="B1747" i="2"/>
  <c r="I1746" i="2"/>
  <c r="B1746" i="2"/>
  <c r="I1745" i="2"/>
  <c r="B1745" i="2"/>
  <c r="I1744" i="2"/>
  <c r="B1744" i="2"/>
  <c r="I1743" i="2"/>
  <c r="B1743" i="2"/>
  <c r="I1742" i="2"/>
  <c r="B1742" i="2"/>
  <c r="I1741" i="2"/>
  <c r="B1741" i="2"/>
  <c r="I1740" i="2"/>
  <c r="B1740" i="2"/>
  <c r="I1739" i="2"/>
  <c r="B1739" i="2"/>
  <c r="I1738" i="2"/>
  <c r="B1738" i="2"/>
  <c r="I1737" i="2"/>
  <c r="B1737" i="2"/>
  <c r="I1736" i="2"/>
  <c r="B1736" i="2"/>
  <c r="I1735" i="2"/>
  <c r="B1735" i="2"/>
  <c r="I1734" i="2"/>
  <c r="B1734" i="2"/>
  <c r="I1733" i="2"/>
  <c r="B1733" i="2"/>
  <c r="I1732" i="2"/>
  <c r="B1732" i="2"/>
  <c r="I1731" i="2"/>
  <c r="B1731" i="2"/>
  <c r="I1730" i="2"/>
  <c r="B1730" i="2"/>
  <c r="I1729" i="2"/>
  <c r="B1729" i="2"/>
  <c r="I1728" i="2"/>
  <c r="B1728" i="2"/>
  <c r="I1727" i="2"/>
  <c r="B1727" i="2"/>
  <c r="I1726" i="2"/>
  <c r="B1726" i="2"/>
  <c r="I1725" i="2"/>
  <c r="B1725" i="2"/>
  <c r="I1724" i="2"/>
  <c r="B1724" i="2"/>
  <c r="I1723" i="2"/>
  <c r="B1723" i="2"/>
  <c r="I1722" i="2"/>
  <c r="B1722" i="2"/>
  <c r="I1721" i="2"/>
  <c r="B1721" i="2"/>
  <c r="I1720" i="2"/>
  <c r="B1720" i="2"/>
  <c r="I1719" i="2"/>
  <c r="B1719" i="2"/>
  <c r="I1718" i="2"/>
  <c r="B1718" i="2"/>
  <c r="I1717" i="2"/>
  <c r="B1717" i="2"/>
  <c r="I1716" i="2"/>
  <c r="B1716" i="2"/>
  <c r="I1715" i="2"/>
  <c r="B1715" i="2"/>
  <c r="I1714" i="2"/>
  <c r="B1714" i="2"/>
  <c r="I1713" i="2"/>
  <c r="B1713" i="2"/>
  <c r="I1712" i="2"/>
  <c r="B1712" i="2"/>
  <c r="I1711" i="2"/>
  <c r="B1711" i="2"/>
  <c r="I1710" i="2"/>
  <c r="B1710" i="2"/>
  <c r="I1709" i="2"/>
  <c r="B1709" i="2"/>
  <c r="I1708" i="2"/>
  <c r="B1708" i="2"/>
  <c r="I1707" i="2"/>
  <c r="B1707" i="2"/>
  <c r="I1706" i="2"/>
  <c r="B1706" i="2"/>
  <c r="I1705" i="2"/>
  <c r="B1705" i="2"/>
  <c r="I1704" i="2"/>
  <c r="B1704" i="2"/>
  <c r="I1703" i="2"/>
  <c r="B1703" i="2"/>
  <c r="I1702" i="2"/>
  <c r="B1702" i="2"/>
  <c r="I1701" i="2"/>
  <c r="B1701" i="2"/>
  <c r="I1700" i="2"/>
  <c r="B1700" i="2"/>
  <c r="I1699" i="2"/>
  <c r="B1699" i="2"/>
  <c r="I1698" i="2"/>
  <c r="B1698" i="2"/>
  <c r="I1697" i="2"/>
  <c r="B1697" i="2"/>
  <c r="I1696" i="2"/>
  <c r="B1696" i="2"/>
  <c r="I1695" i="2"/>
  <c r="B1695" i="2"/>
  <c r="I1694" i="2"/>
  <c r="B1694" i="2"/>
  <c r="I1693" i="2"/>
  <c r="B1693" i="2"/>
  <c r="I1692" i="2"/>
  <c r="B1692" i="2"/>
  <c r="I1691" i="2"/>
  <c r="B1691" i="2"/>
  <c r="I1690" i="2"/>
  <c r="B1690" i="2"/>
  <c r="I1689" i="2"/>
  <c r="B1689" i="2"/>
  <c r="I1688" i="2"/>
  <c r="B1688" i="2"/>
  <c r="I1687" i="2"/>
  <c r="B1687" i="2"/>
  <c r="I1686" i="2"/>
  <c r="B1686" i="2"/>
  <c r="I1685" i="2"/>
  <c r="B1685" i="2"/>
  <c r="I1684" i="2"/>
  <c r="B1684" i="2"/>
  <c r="I1683" i="2"/>
  <c r="B1683" i="2"/>
  <c r="I1682" i="2"/>
  <c r="B1682" i="2"/>
  <c r="I1681" i="2"/>
  <c r="B1681" i="2"/>
  <c r="I1680" i="2"/>
  <c r="B1680" i="2"/>
  <c r="I1679" i="2"/>
  <c r="B1679" i="2"/>
  <c r="I1678" i="2"/>
  <c r="B1678" i="2"/>
  <c r="I1677" i="2"/>
  <c r="B1677" i="2"/>
  <c r="I1676" i="2"/>
  <c r="B1676" i="2"/>
  <c r="I1675" i="2"/>
  <c r="B1675" i="2"/>
  <c r="I1674" i="2"/>
  <c r="B1674" i="2"/>
  <c r="I1673" i="2"/>
  <c r="B1673" i="2"/>
  <c r="I1672" i="2"/>
  <c r="B1672" i="2"/>
  <c r="I1671" i="2"/>
  <c r="B1671" i="2"/>
  <c r="I1670" i="2"/>
  <c r="B1670" i="2"/>
  <c r="I1669" i="2"/>
  <c r="B1669" i="2"/>
  <c r="I1668" i="2"/>
  <c r="B1668" i="2"/>
  <c r="I1667" i="2"/>
  <c r="B1667" i="2"/>
  <c r="I1666" i="2"/>
  <c r="B1666" i="2"/>
  <c r="I1665" i="2"/>
  <c r="B1665" i="2"/>
  <c r="I1664" i="2"/>
  <c r="B1664" i="2"/>
  <c r="I1663" i="2"/>
  <c r="B1663" i="2"/>
  <c r="I1662" i="2"/>
  <c r="B1662" i="2"/>
  <c r="I1661" i="2"/>
  <c r="B1661" i="2"/>
  <c r="I1660" i="2"/>
  <c r="B1660" i="2"/>
  <c r="I1659" i="2"/>
  <c r="B1659" i="2"/>
  <c r="I1658" i="2"/>
  <c r="B1658" i="2"/>
  <c r="I1657" i="2"/>
  <c r="B1657" i="2"/>
  <c r="I1656" i="2"/>
  <c r="B1656" i="2"/>
  <c r="I1655" i="2"/>
  <c r="B1655" i="2"/>
  <c r="I1654" i="2"/>
  <c r="B1654" i="2"/>
  <c r="I1653" i="2"/>
  <c r="B1653" i="2"/>
  <c r="I1652" i="2"/>
  <c r="B1652" i="2"/>
  <c r="I1651" i="2"/>
  <c r="B1651" i="2"/>
  <c r="I1650" i="2"/>
  <c r="B1650" i="2"/>
  <c r="I1649" i="2"/>
  <c r="B1649" i="2"/>
  <c r="I1648" i="2"/>
  <c r="B1648" i="2"/>
  <c r="I1647" i="2"/>
  <c r="B1647" i="2"/>
  <c r="I1646" i="2"/>
  <c r="B1646" i="2"/>
  <c r="I1645" i="2"/>
  <c r="B1645" i="2"/>
  <c r="I1644" i="2"/>
  <c r="B1644" i="2"/>
  <c r="I1643" i="2"/>
  <c r="B1643" i="2"/>
  <c r="I1642" i="2"/>
  <c r="B1642" i="2"/>
  <c r="I1641" i="2"/>
  <c r="B1641" i="2"/>
  <c r="I1640" i="2"/>
  <c r="B1640" i="2"/>
  <c r="I1639" i="2"/>
  <c r="B1639" i="2"/>
  <c r="I1638" i="2"/>
  <c r="B1638" i="2"/>
  <c r="I1637" i="2"/>
  <c r="B1637" i="2"/>
  <c r="I1636" i="2"/>
  <c r="B1636" i="2"/>
  <c r="I1635" i="2"/>
  <c r="B1635" i="2"/>
  <c r="I1634" i="2"/>
  <c r="B1634" i="2"/>
  <c r="I1633" i="2"/>
  <c r="B1633" i="2"/>
  <c r="I1632" i="2"/>
  <c r="B1632" i="2"/>
  <c r="I1631" i="2"/>
  <c r="B1631" i="2"/>
  <c r="I1630" i="2"/>
  <c r="B1630" i="2"/>
  <c r="I1629" i="2"/>
  <c r="B1629" i="2"/>
  <c r="I1628" i="2"/>
  <c r="B1628" i="2"/>
  <c r="I1627" i="2"/>
  <c r="B1627" i="2"/>
  <c r="I1626" i="2"/>
  <c r="B1626" i="2"/>
  <c r="I1625" i="2"/>
  <c r="B1625" i="2"/>
  <c r="I1624" i="2"/>
  <c r="B1624" i="2"/>
  <c r="I1623" i="2"/>
  <c r="B1623" i="2"/>
  <c r="I1622" i="2"/>
  <c r="B1622" i="2"/>
  <c r="I1621" i="2"/>
  <c r="B1621" i="2"/>
  <c r="I1620" i="2"/>
  <c r="B1620" i="2"/>
  <c r="I1619" i="2"/>
  <c r="B1619" i="2"/>
  <c r="I1618" i="2"/>
  <c r="B1618" i="2"/>
  <c r="I1617" i="2"/>
  <c r="B1617" i="2"/>
  <c r="I1616" i="2"/>
  <c r="B1616" i="2"/>
  <c r="I1615" i="2"/>
  <c r="B1615" i="2"/>
  <c r="I1614" i="2"/>
  <c r="B1614" i="2"/>
  <c r="I1613" i="2"/>
  <c r="B1613" i="2"/>
  <c r="I1612" i="2"/>
  <c r="B1612" i="2"/>
  <c r="I1611" i="2"/>
  <c r="B1611" i="2"/>
  <c r="I1610" i="2"/>
  <c r="B1610" i="2"/>
  <c r="I1609" i="2"/>
  <c r="B1609" i="2"/>
  <c r="I1608" i="2"/>
  <c r="B1608" i="2"/>
  <c r="I1607" i="2"/>
  <c r="B1607" i="2"/>
  <c r="I1606" i="2"/>
  <c r="B1606" i="2"/>
  <c r="I1605" i="2"/>
  <c r="B1605" i="2"/>
  <c r="I1604" i="2"/>
  <c r="B1604" i="2"/>
  <c r="I1603" i="2"/>
  <c r="B1603" i="2"/>
  <c r="I1602" i="2"/>
  <c r="B1602" i="2"/>
  <c r="I1601" i="2"/>
  <c r="B1601" i="2"/>
  <c r="I1600" i="2"/>
  <c r="B1600" i="2"/>
  <c r="I1599" i="2"/>
  <c r="B1599" i="2"/>
  <c r="I1598" i="2"/>
  <c r="B1598" i="2"/>
  <c r="I1597" i="2"/>
  <c r="B1597" i="2"/>
  <c r="I1596" i="2"/>
  <c r="B1596" i="2"/>
  <c r="I1595" i="2"/>
  <c r="B1595" i="2"/>
  <c r="I1594" i="2"/>
  <c r="B1594" i="2"/>
  <c r="I1593" i="2"/>
  <c r="B1593" i="2"/>
  <c r="I1592" i="2"/>
  <c r="B1592" i="2"/>
  <c r="I1591" i="2"/>
  <c r="B1591" i="2"/>
  <c r="I1590" i="2"/>
  <c r="B1590" i="2"/>
  <c r="I1589" i="2"/>
  <c r="B1589" i="2"/>
  <c r="I1588" i="2"/>
  <c r="B1588" i="2"/>
  <c r="I1587" i="2"/>
  <c r="B1587" i="2"/>
  <c r="I1586" i="2"/>
  <c r="B1586" i="2"/>
  <c r="I1585" i="2"/>
  <c r="B1585" i="2"/>
  <c r="I1584" i="2"/>
  <c r="B1584" i="2"/>
  <c r="I1583" i="2"/>
  <c r="B1583" i="2"/>
  <c r="I1582" i="2"/>
  <c r="B1582" i="2"/>
  <c r="I1581" i="2"/>
  <c r="B1581" i="2"/>
  <c r="I1580" i="2"/>
  <c r="B1580" i="2"/>
  <c r="I1579" i="2"/>
  <c r="B1579" i="2"/>
  <c r="I1578" i="2"/>
  <c r="B1578" i="2"/>
  <c r="I1577" i="2"/>
  <c r="B1577" i="2"/>
  <c r="I1576" i="2"/>
  <c r="B1576" i="2"/>
  <c r="I1575" i="2"/>
  <c r="B1575" i="2"/>
  <c r="I1574" i="2"/>
  <c r="B1574" i="2"/>
  <c r="I1573" i="2"/>
  <c r="B1573" i="2"/>
  <c r="I1572" i="2"/>
  <c r="B1572" i="2"/>
  <c r="I1571" i="2"/>
  <c r="B1571" i="2"/>
  <c r="I1570" i="2"/>
  <c r="B1570" i="2"/>
  <c r="I1569" i="2"/>
  <c r="B1569" i="2"/>
  <c r="I1568" i="2"/>
  <c r="B1568" i="2"/>
  <c r="I1567" i="2"/>
  <c r="B1567" i="2"/>
  <c r="I1566" i="2"/>
  <c r="B1566" i="2"/>
  <c r="I1565" i="2"/>
  <c r="B1565" i="2"/>
  <c r="I1564" i="2"/>
  <c r="B1564" i="2"/>
  <c r="I1563" i="2"/>
  <c r="B1563" i="2"/>
  <c r="I1562" i="2"/>
  <c r="B1562" i="2"/>
  <c r="I1561" i="2"/>
  <c r="B1561" i="2"/>
  <c r="I1560" i="2"/>
  <c r="B1560" i="2"/>
  <c r="I1559" i="2"/>
  <c r="B1559" i="2"/>
  <c r="I1558" i="2"/>
  <c r="B1558" i="2"/>
  <c r="I1557" i="2"/>
  <c r="B1557" i="2"/>
  <c r="I1556" i="2"/>
  <c r="B1556" i="2"/>
  <c r="I1555" i="2"/>
  <c r="B1555" i="2"/>
  <c r="I1554" i="2"/>
  <c r="B1554" i="2"/>
  <c r="I1553" i="2"/>
  <c r="B1553" i="2"/>
  <c r="I1552" i="2"/>
  <c r="B1552" i="2"/>
  <c r="I1551" i="2"/>
  <c r="B1551" i="2"/>
  <c r="I1550" i="2"/>
  <c r="B1550" i="2"/>
  <c r="I1549" i="2"/>
  <c r="B1549" i="2"/>
  <c r="I1548" i="2"/>
  <c r="B1548" i="2"/>
  <c r="I1547" i="2"/>
  <c r="B1547" i="2"/>
  <c r="I1546" i="2"/>
  <c r="B1546" i="2"/>
  <c r="I1545" i="2"/>
  <c r="B1545" i="2"/>
  <c r="I1544" i="2"/>
  <c r="B1544" i="2"/>
  <c r="I1543" i="2"/>
  <c r="B1543" i="2"/>
  <c r="I1542" i="2"/>
  <c r="B1542" i="2"/>
  <c r="I1541" i="2"/>
  <c r="B1541" i="2"/>
  <c r="I1540" i="2"/>
  <c r="B1540" i="2"/>
  <c r="I1539" i="2"/>
  <c r="B1539" i="2"/>
  <c r="I1538" i="2"/>
  <c r="B1538" i="2"/>
  <c r="I1537" i="2"/>
  <c r="B1537" i="2"/>
  <c r="I1536" i="2"/>
  <c r="B1536" i="2"/>
  <c r="I1535" i="2"/>
  <c r="B1535" i="2"/>
  <c r="I1534" i="2"/>
  <c r="B1534" i="2"/>
  <c r="I1533" i="2"/>
  <c r="B1533" i="2"/>
  <c r="I1532" i="2"/>
  <c r="B1532" i="2"/>
  <c r="I1531" i="2"/>
  <c r="B1531" i="2"/>
  <c r="I1530" i="2"/>
  <c r="B1530" i="2"/>
  <c r="I1529" i="2"/>
  <c r="B1529" i="2"/>
  <c r="I1528" i="2"/>
  <c r="B1528" i="2"/>
  <c r="I1527" i="2"/>
  <c r="B1527" i="2"/>
  <c r="I1526" i="2"/>
  <c r="B1526" i="2"/>
  <c r="I1525" i="2"/>
  <c r="B1525" i="2"/>
  <c r="I1524" i="2"/>
  <c r="B1524" i="2"/>
  <c r="I1523" i="2"/>
  <c r="B1523" i="2"/>
  <c r="I1522" i="2"/>
  <c r="B1522" i="2"/>
  <c r="I1521" i="2"/>
  <c r="B1521" i="2"/>
  <c r="I1520" i="2"/>
  <c r="B1520" i="2"/>
  <c r="I1519" i="2"/>
  <c r="B1519" i="2"/>
  <c r="I1518" i="2"/>
  <c r="B1518" i="2"/>
  <c r="I1517" i="2"/>
  <c r="B1517" i="2"/>
  <c r="I1516" i="2"/>
  <c r="B1516" i="2"/>
  <c r="I1515" i="2"/>
  <c r="B1515" i="2"/>
  <c r="I1514" i="2"/>
  <c r="B1514" i="2"/>
  <c r="I1513" i="2"/>
  <c r="B1513" i="2"/>
  <c r="I1512" i="2"/>
  <c r="B1512" i="2"/>
  <c r="I1511" i="2"/>
  <c r="B1511" i="2"/>
  <c r="I1510" i="2"/>
  <c r="B1510" i="2"/>
  <c r="I1509" i="2"/>
  <c r="B1509" i="2"/>
  <c r="I1508" i="2"/>
  <c r="B1508" i="2"/>
  <c r="I1507" i="2"/>
  <c r="B1507" i="2"/>
  <c r="I1506" i="2"/>
  <c r="B1506" i="2"/>
  <c r="I1505" i="2"/>
  <c r="B1505" i="2"/>
  <c r="I1504" i="2"/>
  <c r="B1504" i="2"/>
  <c r="I1503" i="2"/>
  <c r="B1503" i="2"/>
  <c r="I1502" i="2"/>
  <c r="B1502" i="2"/>
  <c r="I1501" i="2"/>
  <c r="B1501" i="2"/>
  <c r="I1500" i="2"/>
  <c r="B1500" i="2"/>
  <c r="I1499" i="2"/>
  <c r="B1499" i="2"/>
  <c r="I1498" i="2"/>
  <c r="B1498" i="2"/>
  <c r="I1497" i="2"/>
  <c r="B1497" i="2"/>
  <c r="I1496" i="2"/>
  <c r="B1496" i="2"/>
  <c r="I1495" i="2"/>
  <c r="B1495" i="2"/>
  <c r="I1494" i="2"/>
  <c r="B1494" i="2"/>
  <c r="I1493" i="2"/>
  <c r="B1493" i="2"/>
  <c r="I1492" i="2"/>
  <c r="B1492" i="2"/>
  <c r="I1491" i="2"/>
  <c r="B1491" i="2"/>
  <c r="I1490" i="2"/>
  <c r="B1490" i="2"/>
  <c r="I1489" i="2"/>
  <c r="B1489" i="2"/>
  <c r="I1488" i="2"/>
  <c r="B1488" i="2"/>
  <c r="I1487" i="2"/>
  <c r="B1487" i="2"/>
  <c r="I1486" i="2"/>
  <c r="B1486" i="2"/>
  <c r="I1485" i="2"/>
  <c r="B1485" i="2"/>
  <c r="I1484" i="2"/>
  <c r="B1484" i="2"/>
  <c r="I1483" i="2"/>
  <c r="B1483" i="2"/>
  <c r="I1482" i="2"/>
  <c r="B1482" i="2"/>
  <c r="I1481" i="2"/>
  <c r="B1481" i="2"/>
  <c r="I1480" i="2"/>
  <c r="B1480" i="2"/>
  <c r="I1479" i="2"/>
  <c r="B1479" i="2"/>
  <c r="I1478" i="2"/>
  <c r="B1478" i="2"/>
  <c r="I1477" i="2"/>
  <c r="B1477" i="2"/>
  <c r="I1476" i="2"/>
  <c r="B1476" i="2"/>
  <c r="I1475" i="2"/>
  <c r="B1475" i="2"/>
  <c r="I1474" i="2"/>
  <c r="B1474" i="2"/>
  <c r="I1473" i="2"/>
  <c r="B1473" i="2"/>
  <c r="I1472" i="2"/>
  <c r="B1472" i="2"/>
  <c r="I1471" i="2"/>
  <c r="B1471" i="2"/>
  <c r="I1470" i="2"/>
  <c r="B1470" i="2"/>
  <c r="I1469" i="2"/>
  <c r="B1469" i="2"/>
  <c r="I1468" i="2"/>
  <c r="B1468" i="2"/>
  <c r="I1467" i="2"/>
  <c r="B1467" i="2"/>
  <c r="I1466" i="2"/>
  <c r="B1466" i="2"/>
  <c r="I1465" i="2"/>
  <c r="B1465" i="2"/>
  <c r="I1464" i="2"/>
  <c r="B1464" i="2"/>
  <c r="I1463" i="2"/>
  <c r="B1463" i="2"/>
  <c r="I1462" i="2"/>
  <c r="B1462" i="2"/>
  <c r="I1461" i="2"/>
  <c r="B1461" i="2"/>
  <c r="I1460" i="2"/>
  <c r="B1460" i="2"/>
  <c r="I1459" i="2"/>
  <c r="B1459" i="2"/>
  <c r="I1458" i="2"/>
  <c r="B1458" i="2"/>
  <c r="I1457" i="2"/>
  <c r="B1457" i="2"/>
  <c r="I1456" i="2"/>
  <c r="B1456" i="2"/>
  <c r="I1455" i="2"/>
  <c r="B1455" i="2"/>
  <c r="I1454" i="2"/>
  <c r="B1454" i="2"/>
  <c r="I1453" i="2"/>
  <c r="B1453" i="2"/>
  <c r="I1452" i="2"/>
  <c r="B1452" i="2"/>
  <c r="I1451" i="2"/>
  <c r="B1451" i="2"/>
  <c r="I1450" i="2"/>
  <c r="B1450" i="2"/>
  <c r="I1449" i="2"/>
  <c r="B1449" i="2"/>
  <c r="I1448" i="2"/>
  <c r="B1448" i="2"/>
  <c r="I1447" i="2"/>
  <c r="B1447" i="2"/>
  <c r="I1446" i="2"/>
  <c r="B1446" i="2"/>
  <c r="I1445" i="2"/>
  <c r="B1445" i="2"/>
  <c r="I1444" i="2"/>
  <c r="B1444" i="2"/>
  <c r="I1443" i="2"/>
  <c r="B1443" i="2"/>
  <c r="I1442" i="2"/>
  <c r="B1442" i="2"/>
  <c r="I1441" i="2"/>
  <c r="B1441" i="2"/>
  <c r="I1440" i="2"/>
  <c r="B1440" i="2"/>
  <c r="I1439" i="2"/>
  <c r="B1439" i="2"/>
  <c r="I1438" i="2"/>
  <c r="B1438" i="2"/>
  <c r="I1437" i="2"/>
  <c r="B1437" i="2"/>
  <c r="I1436" i="2"/>
  <c r="B1436" i="2"/>
  <c r="I1435" i="2"/>
  <c r="B1435" i="2"/>
  <c r="I1434" i="2"/>
  <c r="B1434" i="2"/>
  <c r="I1433" i="2"/>
  <c r="B1433" i="2"/>
  <c r="I1432" i="2"/>
  <c r="B1432" i="2"/>
  <c r="I1431" i="2"/>
  <c r="B1431" i="2"/>
  <c r="I1430" i="2"/>
  <c r="B1430" i="2"/>
  <c r="I1429" i="2"/>
  <c r="B1429" i="2"/>
  <c r="I1428" i="2"/>
  <c r="B1428" i="2"/>
  <c r="I1427" i="2"/>
  <c r="B1427" i="2"/>
  <c r="I1426" i="2"/>
  <c r="B1426" i="2"/>
  <c r="I1425" i="2"/>
  <c r="B1425" i="2"/>
  <c r="I1424" i="2"/>
  <c r="B1424" i="2"/>
  <c r="I1423" i="2"/>
  <c r="B1423" i="2"/>
  <c r="I1422" i="2"/>
  <c r="B1422" i="2"/>
  <c r="I1421" i="2"/>
  <c r="B1421" i="2"/>
  <c r="I1420" i="2"/>
  <c r="B1420" i="2"/>
  <c r="I1419" i="2"/>
  <c r="B1419" i="2"/>
  <c r="I1418" i="2"/>
  <c r="B1418" i="2"/>
  <c r="I1417" i="2"/>
  <c r="B1417" i="2"/>
  <c r="I1416" i="2"/>
  <c r="B1416" i="2"/>
  <c r="I1415" i="2"/>
  <c r="B1415" i="2"/>
  <c r="I1414" i="2"/>
  <c r="B1414" i="2"/>
  <c r="I1413" i="2"/>
  <c r="B1413" i="2"/>
  <c r="I1412" i="2"/>
  <c r="B1412" i="2"/>
  <c r="I1411" i="2"/>
  <c r="B1411" i="2"/>
  <c r="I1410" i="2"/>
  <c r="B1410" i="2"/>
  <c r="I1409" i="2"/>
  <c r="B1409" i="2"/>
  <c r="I1408" i="2"/>
  <c r="B1408" i="2"/>
  <c r="I1407" i="2"/>
  <c r="B1407" i="2"/>
  <c r="I1406" i="2"/>
  <c r="B1406" i="2"/>
  <c r="I1405" i="2"/>
  <c r="B1405" i="2"/>
  <c r="I1404" i="2"/>
  <c r="B1404" i="2"/>
  <c r="I1403" i="2"/>
  <c r="B1403" i="2"/>
  <c r="I1402" i="2"/>
  <c r="B1402" i="2"/>
  <c r="I1401" i="2"/>
  <c r="B1401" i="2"/>
  <c r="I1400" i="2"/>
  <c r="B1400" i="2"/>
  <c r="I1399" i="2"/>
  <c r="B1399" i="2"/>
  <c r="I1398" i="2"/>
  <c r="B1398" i="2"/>
  <c r="I1397" i="2"/>
  <c r="B1397" i="2"/>
  <c r="I1396" i="2"/>
  <c r="B1396" i="2"/>
  <c r="I1395" i="2"/>
  <c r="B1395" i="2"/>
  <c r="I1394" i="2"/>
  <c r="B1394" i="2"/>
  <c r="I1393" i="2"/>
  <c r="B1393" i="2"/>
  <c r="I1392" i="2"/>
  <c r="B1392" i="2"/>
  <c r="I1391" i="2"/>
  <c r="B1391" i="2"/>
  <c r="I1390" i="2"/>
  <c r="B1390" i="2"/>
  <c r="I1389" i="2"/>
  <c r="B1389" i="2"/>
  <c r="I1388" i="2"/>
  <c r="B1388" i="2"/>
  <c r="I1387" i="2"/>
  <c r="B1387" i="2"/>
  <c r="I1386" i="2"/>
  <c r="B1386" i="2"/>
  <c r="I1385" i="2"/>
  <c r="B1385" i="2"/>
  <c r="I1384" i="2"/>
  <c r="B1384" i="2"/>
  <c r="I1383" i="2"/>
  <c r="B1383" i="2"/>
  <c r="I1382" i="2"/>
  <c r="B1382" i="2"/>
  <c r="I1381" i="2"/>
  <c r="B1381" i="2"/>
  <c r="I1380" i="2"/>
  <c r="B1380" i="2"/>
  <c r="I1379" i="2"/>
  <c r="B1379" i="2"/>
  <c r="I1378" i="2"/>
  <c r="B1378" i="2"/>
  <c r="I1377" i="2"/>
  <c r="B1377" i="2"/>
  <c r="I1376" i="2"/>
  <c r="B1376" i="2"/>
  <c r="I1375" i="2"/>
  <c r="B1375" i="2"/>
  <c r="I1374" i="2"/>
  <c r="B1374" i="2"/>
  <c r="I1373" i="2"/>
  <c r="B1373" i="2"/>
  <c r="I1372" i="2"/>
  <c r="B1372" i="2"/>
  <c r="I1371" i="2"/>
  <c r="B1371" i="2"/>
  <c r="I1370" i="2"/>
  <c r="B1370" i="2"/>
  <c r="I1369" i="2"/>
  <c r="B1369" i="2"/>
  <c r="I1368" i="2"/>
  <c r="B1368" i="2"/>
  <c r="I1367" i="2"/>
  <c r="B1367" i="2"/>
  <c r="I1366" i="2"/>
  <c r="B1366" i="2"/>
  <c r="I1365" i="2"/>
  <c r="B1365" i="2"/>
  <c r="I1364" i="2"/>
  <c r="B1364" i="2"/>
  <c r="I1363" i="2"/>
  <c r="B1363" i="2"/>
  <c r="I1362" i="2"/>
  <c r="B1362" i="2"/>
  <c r="I1361" i="2"/>
  <c r="B1361" i="2"/>
  <c r="I1360" i="2"/>
  <c r="B1360" i="2"/>
  <c r="I1359" i="2"/>
  <c r="B1359" i="2"/>
  <c r="I1358" i="2"/>
  <c r="B1358" i="2"/>
  <c r="I1357" i="2"/>
  <c r="B1357" i="2"/>
  <c r="I1356" i="2"/>
  <c r="B1356" i="2"/>
  <c r="I1355" i="2"/>
  <c r="B1355" i="2"/>
  <c r="I1354" i="2"/>
  <c r="B1354" i="2"/>
  <c r="I1353" i="2"/>
  <c r="B1353" i="2"/>
  <c r="I1352" i="2"/>
  <c r="B1352" i="2"/>
  <c r="I1351" i="2"/>
  <c r="B1351" i="2"/>
  <c r="I1350" i="2"/>
  <c r="B1350" i="2"/>
  <c r="I1349" i="2"/>
  <c r="B1349" i="2"/>
  <c r="I1348" i="2"/>
  <c r="B1348" i="2"/>
  <c r="I1347" i="2"/>
  <c r="B1347" i="2"/>
  <c r="I1346" i="2"/>
  <c r="B1346" i="2"/>
  <c r="I1345" i="2"/>
  <c r="B1345" i="2"/>
  <c r="I1344" i="2"/>
  <c r="B1344" i="2"/>
  <c r="I1343" i="2"/>
  <c r="B1343" i="2"/>
  <c r="I1342" i="2"/>
  <c r="B1342" i="2"/>
  <c r="I1341" i="2"/>
  <c r="B1341" i="2"/>
  <c r="I1340" i="2"/>
  <c r="B1340" i="2"/>
  <c r="I1339" i="2"/>
  <c r="B1339" i="2"/>
  <c r="I1338" i="2"/>
  <c r="B1338" i="2"/>
  <c r="I1337" i="2"/>
  <c r="B1337" i="2"/>
  <c r="I1336" i="2"/>
  <c r="B1336" i="2"/>
  <c r="I1335" i="2"/>
  <c r="B1335" i="2"/>
  <c r="I1334" i="2"/>
  <c r="B1334" i="2"/>
  <c r="I1333" i="2"/>
  <c r="B1333" i="2"/>
  <c r="I1332" i="2"/>
  <c r="B1332" i="2"/>
  <c r="I1331" i="2"/>
  <c r="B1331" i="2"/>
  <c r="I1330" i="2"/>
  <c r="B1330" i="2"/>
  <c r="I1329" i="2"/>
  <c r="B1329" i="2"/>
  <c r="I1328" i="2"/>
  <c r="B1328" i="2"/>
  <c r="I1327" i="2"/>
  <c r="B1327" i="2"/>
  <c r="I1326" i="2"/>
  <c r="B1326" i="2"/>
  <c r="I1325" i="2"/>
  <c r="B1325" i="2"/>
  <c r="I1324" i="2"/>
  <c r="B1324" i="2"/>
  <c r="I1323" i="2"/>
  <c r="B1323" i="2"/>
  <c r="I1322" i="2"/>
  <c r="B1322" i="2"/>
  <c r="I1321" i="2"/>
  <c r="B1321" i="2"/>
  <c r="I1320" i="2"/>
  <c r="B1320" i="2"/>
  <c r="I1319" i="2"/>
  <c r="B1319" i="2"/>
  <c r="I1318" i="2"/>
  <c r="B1318" i="2"/>
  <c r="I1317" i="2"/>
  <c r="B1317" i="2"/>
  <c r="I1316" i="2"/>
  <c r="B1316" i="2"/>
  <c r="I1315" i="2"/>
  <c r="B1315" i="2"/>
  <c r="I1314" i="2"/>
  <c r="B1314" i="2"/>
  <c r="I1313" i="2"/>
  <c r="B1313" i="2"/>
  <c r="I1312" i="2"/>
  <c r="B1312" i="2"/>
  <c r="I1311" i="2"/>
  <c r="B1311" i="2"/>
  <c r="I1310" i="2"/>
  <c r="B1310" i="2"/>
  <c r="I1309" i="2"/>
  <c r="B1309" i="2"/>
  <c r="I1308" i="2"/>
  <c r="B1308" i="2"/>
  <c r="I1307" i="2"/>
  <c r="B1307" i="2"/>
  <c r="I1306" i="2"/>
  <c r="B1306" i="2"/>
  <c r="I1305" i="2"/>
  <c r="B1305" i="2"/>
  <c r="I1304" i="2"/>
  <c r="B1304" i="2"/>
  <c r="I1303" i="2"/>
  <c r="B1303" i="2"/>
  <c r="I1302" i="2"/>
  <c r="B1302" i="2"/>
  <c r="I1301" i="2"/>
  <c r="B1301" i="2"/>
  <c r="I1300" i="2"/>
  <c r="B1300" i="2"/>
  <c r="I1299" i="2"/>
  <c r="B1299" i="2"/>
  <c r="I1298" i="2"/>
  <c r="B1298" i="2"/>
  <c r="I1297" i="2"/>
  <c r="B1297" i="2"/>
  <c r="I1296" i="2"/>
  <c r="B1296" i="2"/>
  <c r="I1295" i="2"/>
  <c r="B1295" i="2"/>
  <c r="I1294" i="2"/>
  <c r="B1294" i="2"/>
  <c r="I1293" i="2"/>
  <c r="B1293" i="2"/>
  <c r="I1292" i="2"/>
  <c r="B1292" i="2"/>
  <c r="I1291" i="2"/>
  <c r="B1291" i="2"/>
  <c r="I1290" i="2"/>
  <c r="B1290" i="2"/>
  <c r="I1289" i="2"/>
  <c r="B1289" i="2"/>
  <c r="I1288" i="2"/>
  <c r="B1288" i="2"/>
  <c r="I1287" i="2"/>
  <c r="B1287" i="2"/>
  <c r="I1286" i="2"/>
  <c r="B1286" i="2"/>
  <c r="I1285" i="2"/>
  <c r="B1285" i="2"/>
  <c r="I1284" i="2"/>
  <c r="B1284" i="2"/>
  <c r="I1283" i="2"/>
  <c r="B1283" i="2"/>
  <c r="I1282" i="2"/>
  <c r="B1282" i="2"/>
  <c r="I1281" i="2"/>
  <c r="B1281" i="2"/>
  <c r="I1280" i="2"/>
  <c r="B1280" i="2"/>
  <c r="I1279" i="2"/>
  <c r="B1279" i="2"/>
  <c r="I1278" i="2"/>
  <c r="B1278" i="2"/>
  <c r="I1277" i="2"/>
  <c r="B1277" i="2"/>
  <c r="I1276" i="2"/>
  <c r="B1276" i="2"/>
  <c r="I1275" i="2"/>
  <c r="B1275" i="2"/>
  <c r="I1274" i="2"/>
  <c r="B1274" i="2"/>
  <c r="I1273" i="2"/>
  <c r="B1273" i="2"/>
  <c r="I1272" i="2"/>
  <c r="B1272" i="2"/>
  <c r="I1271" i="2"/>
  <c r="B1271" i="2"/>
  <c r="I1270" i="2"/>
  <c r="B1270" i="2"/>
  <c r="I1269" i="2"/>
  <c r="B1269" i="2"/>
  <c r="I1268" i="2"/>
  <c r="B1268" i="2"/>
  <c r="I1267" i="2"/>
  <c r="B1267" i="2"/>
  <c r="I1266" i="2"/>
  <c r="B1266" i="2"/>
  <c r="I1265" i="2"/>
  <c r="B1265" i="2"/>
  <c r="I1264" i="2"/>
  <c r="B1264" i="2"/>
  <c r="I1263" i="2"/>
  <c r="B1263" i="2"/>
  <c r="I1262" i="2"/>
  <c r="B1262" i="2"/>
  <c r="I1261" i="2"/>
  <c r="B1261" i="2"/>
  <c r="I1260" i="2"/>
  <c r="B1260" i="2"/>
  <c r="I1259" i="2"/>
  <c r="B1259" i="2"/>
  <c r="I1258" i="2"/>
  <c r="B1258" i="2"/>
  <c r="I1257" i="2"/>
  <c r="B1257" i="2"/>
  <c r="I1256" i="2"/>
  <c r="B1256" i="2"/>
  <c r="I1255" i="2"/>
  <c r="B1255" i="2"/>
  <c r="I1254" i="2"/>
  <c r="B1254" i="2"/>
  <c r="I1253" i="2"/>
  <c r="B1253" i="2"/>
  <c r="I1252" i="2"/>
  <c r="B1252" i="2"/>
  <c r="I1251" i="2"/>
  <c r="B1251" i="2"/>
  <c r="I1250" i="2"/>
  <c r="B1250" i="2"/>
  <c r="I1249" i="2"/>
  <c r="B1249" i="2"/>
  <c r="I1248" i="2"/>
  <c r="B1248" i="2"/>
  <c r="I1247" i="2"/>
  <c r="B1247" i="2"/>
  <c r="I1246" i="2"/>
  <c r="B1246" i="2"/>
  <c r="I1245" i="2"/>
  <c r="B1245" i="2"/>
  <c r="I1244" i="2"/>
  <c r="B1244" i="2"/>
  <c r="I1243" i="2"/>
  <c r="B1243" i="2"/>
  <c r="I1242" i="2"/>
  <c r="B1242" i="2"/>
  <c r="I1241" i="2"/>
  <c r="B1241" i="2"/>
  <c r="I1240" i="2"/>
  <c r="B1240" i="2"/>
  <c r="I1239" i="2"/>
  <c r="B1239" i="2"/>
  <c r="I1238" i="2"/>
  <c r="B1238" i="2"/>
  <c r="I1237" i="2"/>
  <c r="B1237" i="2"/>
  <c r="I1236" i="2"/>
  <c r="B1236" i="2"/>
  <c r="I1235" i="2"/>
  <c r="B1235" i="2"/>
  <c r="I1234" i="2"/>
  <c r="B1234" i="2"/>
  <c r="I1233" i="2"/>
  <c r="B1233" i="2"/>
  <c r="I1232" i="2"/>
  <c r="B1232" i="2"/>
  <c r="I1231" i="2"/>
  <c r="B1231" i="2"/>
  <c r="I1230" i="2"/>
  <c r="B1230" i="2"/>
  <c r="I1229" i="2"/>
  <c r="B1229" i="2"/>
  <c r="I1228" i="2"/>
  <c r="B1228" i="2"/>
  <c r="I1227" i="2"/>
  <c r="B1227" i="2"/>
  <c r="I1226" i="2"/>
  <c r="B1226" i="2"/>
  <c r="I1225" i="2"/>
  <c r="B1225" i="2"/>
  <c r="I1224" i="2"/>
  <c r="B1224" i="2"/>
  <c r="I1223" i="2"/>
  <c r="B1223" i="2"/>
  <c r="I1222" i="2"/>
  <c r="B1222" i="2"/>
  <c r="I1221" i="2"/>
  <c r="B1221" i="2"/>
  <c r="I1220" i="2"/>
  <c r="B1220" i="2"/>
  <c r="I1219" i="2"/>
  <c r="B1219" i="2"/>
  <c r="I1218" i="2"/>
  <c r="B1218" i="2"/>
  <c r="I1217" i="2"/>
  <c r="B1217" i="2"/>
  <c r="I1216" i="2"/>
  <c r="B1216" i="2"/>
  <c r="I1215" i="2"/>
  <c r="B1215" i="2"/>
  <c r="I1214" i="2"/>
  <c r="B1214" i="2"/>
  <c r="I1213" i="2"/>
  <c r="B1213" i="2"/>
  <c r="I1212" i="2"/>
  <c r="B1212" i="2"/>
  <c r="I1211" i="2"/>
  <c r="B1211" i="2"/>
  <c r="I1210" i="2"/>
  <c r="B1210" i="2"/>
  <c r="I1209" i="2"/>
  <c r="B1209" i="2"/>
  <c r="I1208" i="2"/>
  <c r="B1208" i="2"/>
  <c r="I1207" i="2"/>
  <c r="B1207" i="2"/>
  <c r="I1206" i="2"/>
  <c r="B1206" i="2"/>
  <c r="I1205" i="2"/>
  <c r="B1205" i="2"/>
  <c r="I1204" i="2"/>
  <c r="B1204" i="2"/>
  <c r="I1203" i="2"/>
  <c r="B1203" i="2"/>
  <c r="I1202" i="2"/>
  <c r="B1202" i="2"/>
  <c r="I1201" i="2"/>
  <c r="B1201" i="2"/>
  <c r="I1200" i="2"/>
  <c r="B1200" i="2"/>
  <c r="I1199" i="2"/>
  <c r="B1199" i="2"/>
  <c r="I1198" i="2"/>
  <c r="B1198" i="2"/>
  <c r="I1197" i="2"/>
  <c r="B1197" i="2"/>
  <c r="I1196" i="2"/>
  <c r="B1196" i="2"/>
  <c r="I1195" i="2"/>
  <c r="B1195" i="2"/>
  <c r="I1194" i="2"/>
  <c r="B1194" i="2"/>
  <c r="I1193" i="2"/>
  <c r="B1193" i="2"/>
  <c r="I1192" i="2"/>
  <c r="B1192" i="2"/>
  <c r="I1191" i="2"/>
  <c r="B1191" i="2"/>
  <c r="I1190" i="2"/>
  <c r="B1190" i="2"/>
  <c r="I1189" i="2"/>
  <c r="B1189" i="2"/>
  <c r="I1188" i="2"/>
  <c r="B1188" i="2"/>
  <c r="I1187" i="2"/>
  <c r="B1187" i="2"/>
  <c r="I1186" i="2"/>
  <c r="B1186" i="2"/>
  <c r="I1185" i="2"/>
  <c r="B1185" i="2"/>
  <c r="I1184" i="2"/>
  <c r="B1184" i="2"/>
  <c r="I1183" i="2"/>
  <c r="B1183" i="2"/>
  <c r="I1182" i="2"/>
  <c r="B1182" i="2"/>
  <c r="I1181" i="2"/>
  <c r="B1181" i="2"/>
  <c r="I1180" i="2"/>
  <c r="B1180" i="2"/>
  <c r="I1179" i="2"/>
  <c r="B1179" i="2"/>
  <c r="I1178" i="2"/>
  <c r="B1178" i="2"/>
  <c r="I1177" i="2"/>
  <c r="B1177" i="2"/>
  <c r="I1176" i="2"/>
  <c r="B1176" i="2"/>
  <c r="I1175" i="2"/>
  <c r="B1175" i="2"/>
  <c r="I1174" i="2"/>
  <c r="B1174" i="2"/>
  <c r="I1173" i="2"/>
  <c r="B1173" i="2"/>
  <c r="I1172" i="2"/>
  <c r="B1172" i="2"/>
  <c r="I1171" i="2"/>
  <c r="B1171" i="2"/>
  <c r="I1170" i="2"/>
  <c r="B1170" i="2"/>
  <c r="I1169" i="2"/>
  <c r="B1169" i="2"/>
  <c r="I1168" i="2"/>
  <c r="B1168" i="2"/>
  <c r="I1167" i="2"/>
  <c r="B1167" i="2"/>
  <c r="I1166" i="2"/>
  <c r="B1166" i="2"/>
  <c r="I1165" i="2"/>
  <c r="B1165" i="2"/>
  <c r="I1164" i="2"/>
  <c r="B1164" i="2"/>
  <c r="I1163" i="2"/>
  <c r="B1163" i="2"/>
  <c r="I1162" i="2"/>
  <c r="B1162" i="2"/>
  <c r="I1161" i="2"/>
  <c r="B1161" i="2"/>
  <c r="I1160" i="2"/>
  <c r="B1160" i="2"/>
  <c r="I1159" i="2"/>
  <c r="B1159" i="2"/>
  <c r="I1158" i="2"/>
  <c r="B1158" i="2"/>
  <c r="I1157" i="2"/>
  <c r="B1157" i="2"/>
  <c r="I1156" i="2"/>
  <c r="B1156" i="2"/>
  <c r="I1155" i="2"/>
  <c r="B1155" i="2"/>
  <c r="I1154" i="2"/>
  <c r="B1154" i="2"/>
  <c r="I1153" i="2"/>
  <c r="B1153" i="2"/>
  <c r="I1152" i="2"/>
  <c r="B1152" i="2"/>
  <c r="I1151" i="2"/>
  <c r="B1151" i="2"/>
  <c r="I1150" i="2"/>
  <c r="B1150" i="2"/>
  <c r="I1149" i="2"/>
  <c r="B1149" i="2"/>
  <c r="I1148" i="2"/>
  <c r="B1148" i="2"/>
  <c r="I1147" i="2"/>
  <c r="B1147" i="2"/>
  <c r="I1146" i="2"/>
  <c r="B1146" i="2"/>
  <c r="I1145" i="2"/>
  <c r="B1145" i="2"/>
  <c r="I1144" i="2"/>
  <c r="B1144" i="2"/>
  <c r="I1143" i="2"/>
  <c r="B1143" i="2"/>
  <c r="I1142" i="2"/>
  <c r="B1142" i="2"/>
  <c r="I1141" i="2"/>
  <c r="B1141" i="2"/>
  <c r="I1140" i="2"/>
  <c r="B1140" i="2"/>
  <c r="I1139" i="2"/>
  <c r="B1139" i="2"/>
  <c r="I1138" i="2"/>
  <c r="B1138" i="2"/>
  <c r="I1137" i="2"/>
  <c r="B1137" i="2"/>
  <c r="I1136" i="2"/>
  <c r="B1136" i="2"/>
  <c r="I1135" i="2"/>
  <c r="B1135" i="2"/>
  <c r="I1134" i="2"/>
  <c r="B1134" i="2"/>
  <c r="I1133" i="2"/>
  <c r="B1133" i="2"/>
  <c r="I1132" i="2"/>
  <c r="B1132" i="2"/>
  <c r="I1131" i="2"/>
  <c r="B1131" i="2"/>
  <c r="I1130" i="2"/>
  <c r="B1130" i="2"/>
  <c r="I1129" i="2"/>
  <c r="B1129" i="2"/>
  <c r="I1128" i="2"/>
  <c r="B1128" i="2"/>
  <c r="I1127" i="2"/>
  <c r="B1127" i="2"/>
  <c r="I1126" i="2"/>
  <c r="B1126" i="2"/>
  <c r="I1125" i="2"/>
  <c r="B1125" i="2"/>
  <c r="I1124" i="2"/>
  <c r="B1124" i="2"/>
  <c r="I1123" i="2"/>
  <c r="B1123" i="2"/>
  <c r="I1122" i="2"/>
  <c r="B1122" i="2"/>
  <c r="I1121" i="2"/>
  <c r="B1121" i="2"/>
  <c r="I1120" i="2"/>
  <c r="B1120" i="2"/>
  <c r="I1119" i="2"/>
  <c r="B1119" i="2"/>
  <c r="I1118" i="2"/>
  <c r="B1118" i="2"/>
  <c r="I1117" i="2"/>
  <c r="B1117" i="2"/>
  <c r="I1116" i="2"/>
  <c r="B1116" i="2"/>
  <c r="I1115" i="2"/>
  <c r="B1115" i="2"/>
  <c r="I1114" i="2"/>
  <c r="B1114" i="2"/>
  <c r="I1113" i="2"/>
  <c r="B1113" i="2"/>
  <c r="I1112" i="2"/>
  <c r="B1112" i="2"/>
  <c r="I1111" i="2"/>
  <c r="B1111" i="2"/>
  <c r="I1110" i="2"/>
  <c r="B1110" i="2"/>
  <c r="I1109" i="2"/>
  <c r="B1109" i="2"/>
  <c r="I1108" i="2"/>
  <c r="B1108" i="2"/>
  <c r="I1107" i="2"/>
  <c r="B1107" i="2"/>
  <c r="I1106" i="2"/>
  <c r="B1106" i="2"/>
  <c r="I1105" i="2"/>
  <c r="B1105" i="2"/>
  <c r="I1104" i="2"/>
  <c r="B1104" i="2"/>
  <c r="I1103" i="2"/>
  <c r="B1103" i="2"/>
  <c r="I1102" i="2"/>
  <c r="B1102" i="2"/>
  <c r="I1101" i="2"/>
  <c r="B1101" i="2"/>
  <c r="I1100" i="2"/>
  <c r="B1100" i="2"/>
  <c r="I1099" i="2"/>
  <c r="B1099" i="2"/>
  <c r="I1098" i="2"/>
  <c r="B1098" i="2"/>
  <c r="I1097" i="2"/>
  <c r="B1097" i="2"/>
  <c r="I1096" i="2"/>
  <c r="B1096" i="2"/>
  <c r="I1095" i="2"/>
  <c r="B1095" i="2"/>
  <c r="I1094" i="2"/>
  <c r="B1094" i="2"/>
  <c r="I1093" i="2"/>
  <c r="B1093" i="2"/>
  <c r="I1092" i="2"/>
  <c r="B1092" i="2"/>
  <c r="I1091" i="2"/>
  <c r="B1091" i="2"/>
  <c r="I1090" i="2"/>
  <c r="B1090" i="2"/>
  <c r="I1089" i="2"/>
  <c r="B1089" i="2"/>
  <c r="I1088" i="2"/>
  <c r="B1088" i="2"/>
  <c r="I1087" i="2"/>
  <c r="B1087" i="2"/>
  <c r="I1086" i="2"/>
  <c r="B1086" i="2"/>
  <c r="I1085" i="2"/>
  <c r="B1085" i="2"/>
  <c r="I1084" i="2"/>
  <c r="B1084" i="2"/>
  <c r="I1083" i="2"/>
  <c r="B1083" i="2"/>
  <c r="I1082" i="2"/>
  <c r="B1082" i="2"/>
  <c r="I1081" i="2"/>
  <c r="B1081" i="2"/>
  <c r="I1080" i="2"/>
  <c r="B1080" i="2"/>
  <c r="I1079" i="2"/>
  <c r="B1079" i="2"/>
  <c r="I1078" i="2"/>
  <c r="B1078" i="2"/>
  <c r="I1077" i="2"/>
  <c r="B1077" i="2"/>
  <c r="I1076" i="2"/>
  <c r="B1076" i="2"/>
  <c r="I1075" i="2"/>
  <c r="B1075" i="2"/>
  <c r="I1074" i="2"/>
  <c r="B1074" i="2"/>
  <c r="I1073" i="2"/>
  <c r="B1073" i="2"/>
  <c r="I1072" i="2"/>
  <c r="B1072" i="2"/>
  <c r="I1071" i="2"/>
  <c r="B1071" i="2"/>
  <c r="I1070" i="2"/>
  <c r="B1070" i="2"/>
  <c r="I1069" i="2"/>
  <c r="B1069" i="2"/>
  <c r="I1068" i="2"/>
  <c r="B1068" i="2"/>
  <c r="I1067" i="2"/>
  <c r="B1067" i="2"/>
  <c r="I1066" i="2"/>
  <c r="B1066" i="2"/>
  <c r="I1065" i="2"/>
  <c r="B1065" i="2"/>
  <c r="I1064" i="2"/>
  <c r="B1064" i="2"/>
  <c r="I1063" i="2"/>
  <c r="B1063" i="2"/>
  <c r="I1062" i="2"/>
  <c r="B1062" i="2"/>
  <c r="I1061" i="2"/>
  <c r="B1061" i="2"/>
  <c r="I1060" i="2"/>
  <c r="B1060" i="2"/>
  <c r="I1059" i="2"/>
  <c r="B1059" i="2"/>
  <c r="I1058" i="2"/>
  <c r="B1058" i="2"/>
  <c r="I1057" i="2"/>
  <c r="B1057" i="2"/>
  <c r="I1056" i="2"/>
  <c r="B1056" i="2"/>
  <c r="I1055" i="2"/>
  <c r="B1055" i="2"/>
  <c r="I1054" i="2"/>
  <c r="B1054" i="2"/>
  <c r="I1053" i="2"/>
  <c r="B1053" i="2"/>
  <c r="I1052" i="2"/>
  <c r="B1052" i="2"/>
  <c r="I1051" i="2"/>
  <c r="B1051" i="2"/>
  <c r="I1050" i="2"/>
  <c r="B1050" i="2"/>
  <c r="I1049" i="2"/>
  <c r="B1049" i="2"/>
  <c r="I1048" i="2"/>
  <c r="B1048" i="2"/>
  <c r="I1047" i="2"/>
  <c r="B1047" i="2"/>
  <c r="I1046" i="2"/>
  <c r="B1046" i="2"/>
  <c r="I1045" i="2"/>
  <c r="B1045" i="2"/>
  <c r="I1044" i="2"/>
  <c r="B1044" i="2"/>
  <c r="I1043" i="2"/>
  <c r="B1043" i="2"/>
  <c r="I1042" i="2"/>
  <c r="B1042" i="2"/>
  <c r="I1041" i="2"/>
  <c r="B1041" i="2"/>
  <c r="I1040" i="2"/>
  <c r="B1040" i="2"/>
  <c r="I1039" i="2"/>
  <c r="B1039" i="2"/>
  <c r="I1038" i="2"/>
  <c r="B1038" i="2"/>
  <c r="I1037" i="2"/>
  <c r="B1037" i="2"/>
  <c r="I1036" i="2"/>
  <c r="B1036" i="2"/>
  <c r="I1035" i="2"/>
  <c r="B1035" i="2"/>
  <c r="I1034" i="2"/>
  <c r="B1034" i="2"/>
  <c r="I1033" i="2"/>
  <c r="B1033" i="2"/>
  <c r="I1032" i="2"/>
  <c r="B1032" i="2"/>
  <c r="I1031" i="2"/>
  <c r="B1031" i="2"/>
  <c r="I1030" i="2"/>
  <c r="B1030" i="2"/>
  <c r="I1029" i="2"/>
  <c r="B1029" i="2"/>
  <c r="I1028" i="2"/>
  <c r="B1028" i="2"/>
  <c r="I1027" i="2"/>
  <c r="B1027" i="2"/>
  <c r="I1026" i="2"/>
  <c r="B1026" i="2"/>
  <c r="I1025" i="2"/>
  <c r="B1025" i="2"/>
  <c r="I1024" i="2"/>
  <c r="B1024" i="2"/>
  <c r="I1023" i="2"/>
  <c r="B1023" i="2"/>
  <c r="I1022" i="2"/>
  <c r="B1022" i="2"/>
  <c r="I1021" i="2"/>
  <c r="B1021" i="2"/>
  <c r="I1020" i="2"/>
  <c r="B1020" i="2"/>
  <c r="I1019" i="2"/>
  <c r="B1019" i="2"/>
  <c r="I1018" i="2"/>
  <c r="B1018" i="2"/>
  <c r="I1017" i="2"/>
  <c r="B1017" i="2"/>
  <c r="I1016" i="2"/>
  <c r="B1016" i="2"/>
  <c r="I1015" i="2"/>
  <c r="B1015" i="2"/>
  <c r="I1014" i="2"/>
  <c r="B1014" i="2"/>
  <c r="I1013" i="2"/>
  <c r="B1013" i="2"/>
  <c r="I1012" i="2"/>
  <c r="B1012" i="2"/>
  <c r="I1011" i="2"/>
  <c r="B1011" i="2"/>
  <c r="I1010" i="2"/>
  <c r="B1010" i="2"/>
  <c r="I1009" i="2"/>
  <c r="B1009" i="2"/>
  <c r="I1008" i="2"/>
  <c r="B1008" i="2"/>
  <c r="I1007" i="2"/>
  <c r="B1007" i="2"/>
  <c r="I1006" i="2"/>
  <c r="B1006" i="2"/>
  <c r="I1005" i="2"/>
  <c r="B1005" i="2"/>
  <c r="I1004" i="2"/>
  <c r="B1004" i="2"/>
  <c r="I1003" i="2"/>
  <c r="B1003" i="2"/>
  <c r="I1002" i="2"/>
  <c r="B1002" i="2"/>
  <c r="I1001" i="2"/>
  <c r="B1001" i="2"/>
  <c r="I1000" i="2"/>
  <c r="B1000" i="2"/>
  <c r="I999" i="2"/>
  <c r="B999" i="2"/>
  <c r="I998" i="2"/>
  <c r="B998" i="2"/>
  <c r="I997" i="2"/>
  <c r="B997" i="2"/>
  <c r="I996" i="2"/>
  <c r="B996" i="2"/>
  <c r="I995" i="2"/>
  <c r="B995" i="2"/>
  <c r="I994" i="2"/>
  <c r="B994" i="2"/>
  <c r="I993" i="2"/>
  <c r="B993" i="2"/>
  <c r="I992" i="2"/>
  <c r="B992" i="2"/>
  <c r="I991" i="2"/>
  <c r="B991" i="2"/>
  <c r="I990" i="2"/>
  <c r="B990" i="2"/>
  <c r="I989" i="2"/>
  <c r="B989" i="2"/>
  <c r="I988" i="2"/>
  <c r="B988" i="2"/>
  <c r="I987" i="2"/>
  <c r="B987" i="2"/>
  <c r="I986" i="2"/>
  <c r="B986" i="2"/>
  <c r="I985" i="2"/>
  <c r="B985" i="2"/>
  <c r="I984" i="2"/>
  <c r="B984" i="2"/>
  <c r="I983" i="2"/>
  <c r="B983" i="2"/>
  <c r="I982" i="2"/>
  <c r="B982" i="2"/>
  <c r="I981" i="2"/>
  <c r="B981" i="2"/>
  <c r="I980" i="2"/>
  <c r="B980" i="2"/>
  <c r="I979" i="2"/>
  <c r="B979" i="2"/>
  <c r="I978" i="2"/>
  <c r="B978" i="2"/>
  <c r="I977" i="2"/>
  <c r="B977" i="2"/>
  <c r="I976" i="2"/>
  <c r="B976" i="2"/>
  <c r="I975" i="2"/>
  <c r="B975" i="2"/>
  <c r="I974" i="2"/>
  <c r="B974" i="2"/>
  <c r="I973" i="2"/>
  <c r="B973" i="2"/>
  <c r="I972" i="2"/>
  <c r="B972" i="2"/>
  <c r="I971" i="2"/>
  <c r="B971" i="2"/>
  <c r="I970" i="2"/>
  <c r="B970" i="2"/>
  <c r="I969" i="2"/>
  <c r="B969" i="2"/>
  <c r="I968" i="2"/>
  <c r="B968" i="2"/>
  <c r="I967" i="2"/>
  <c r="B967" i="2"/>
  <c r="I966" i="2"/>
  <c r="B966" i="2"/>
  <c r="I965" i="2"/>
  <c r="B965" i="2"/>
  <c r="I964" i="2"/>
  <c r="B964" i="2"/>
  <c r="I963" i="2"/>
  <c r="B963" i="2"/>
  <c r="I962" i="2"/>
  <c r="B962" i="2"/>
  <c r="I961" i="2"/>
  <c r="B961" i="2"/>
  <c r="I960" i="2"/>
  <c r="B960" i="2"/>
  <c r="I959" i="2"/>
  <c r="B959" i="2"/>
  <c r="I958" i="2"/>
  <c r="B958" i="2"/>
  <c r="I957" i="2"/>
  <c r="B957" i="2"/>
  <c r="I956" i="2"/>
  <c r="B956" i="2"/>
  <c r="I955" i="2"/>
  <c r="B955" i="2"/>
  <c r="I954" i="2"/>
  <c r="B954" i="2"/>
  <c r="I953" i="2"/>
  <c r="B953" i="2"/>
  <c r="I952" i="2"/>
  <c r="B952" i="2"/>
  <c r="I951" i="2"/>
  <c r="B951" i="2"/>
  <c r="I950" i="2"/>
  <c r="B950" i="2"/>
  <c r="I949" i="2"/>
  <c r="B949" i="2"/>
  <c r="I948" i="2"/>
  <c r="B948" i="2"/>
  <c r="I947" i="2"/>
  <c r="B947" i="2"/>
  <c r="I946" i="2"/>
  <c r="B946" i="2"/>
  <c r="I945" i="2"/>
  <c r="B945" i="2"/>
  <c r="I944" i="2"/>
  <c r="B944" i="2"/>
  <c r="I943" i="2"/>
  <c r="B943" i="2"/>
  <c r="I942" i="2"/>
  <c r="B942" i="2"/>
  <c r="I941" i="2"/>
  <c r="B941" i="2"/>
  <c r="I940" i="2"/>
  <c r="B940" i="2"/>
  <c r="I939" i="2"/>
  <c r="B939" i="2"/>
  <c r="I938" i="2"/>
  <c r="B938" i="2"/>
  <c r="I937" i="2"/>
  <c r="B937" i="2"/>
  <c r="I936" i="2"/>
  <c r="B936" i="2"/>
  <c r="I935" i="2"/>
  <c r="B935" i="2"/>
  <c r="I934" i="2"/>
  <c r="B934" i="2"/>
  <c r="I933" i="2"/>
  <c r="B933" i="2"/>
  <c r="I932" i="2"/>
  <c r="B932" i="2"/>
  <c r="I931" i="2"/>
  <c r="B931" i="2"/>
  <c r="I930" i="2"/>
  <c r="B930" i="2"/>
  <c r="I929" i="2"/>
  <c r="B929" i="2"/>
  <c r="I928" i="2"/>
  <c r="B928" i="2"/>
  <c r="I927" i="2"/>
  <c r="B927" i="2"/>
  <c r="I926" i="2"/>
  <c r="B926" i="2"/>
  <c r="I925" i="2"/>
  <c r="B925" i="2"/>
  <c r="I924" i="2"/>
  <c r="B924" i="2"/>
  <c r="I923" i="2"/>
  <c r="B923" i="2"/>
  <c r="I922" i="2"/>
  <c r="B922" i="2"/>
  <c r="I921" i="2"/>
  <c r="B921" i="2"/>
  <c r="I920" i="2"/>
  <c r="B920" i="2"/>
  <c r="I919" i="2"/>
  <c r="B919" i="2"/>
  <c r="I918" i="2"/>
  <c r="B918" i="2"/>
  <c r="I917" i="2"/>
  <c r="B917" i="2"/>
  <c r="I916" i="2"/>
  <c r="B916" i="2"/>
  <c r="I915" i="2"/>
  <c r="B915" i="2"/>
  <c r="I914" i="2"/>
  <c r="B914" i="2"/>
  <c r="I913" i="2"/>
  <c r="B913" i="2"/>
  <c r="I912" i="2"/>
  <c r="B912" i="2"/>
  <c r="I911" i="2"/>
  <c r="B911" i="2"/>
  <c r="I910" i="2"/>
  <c r="B910" i="2"/>
  <c r="I909" i="2"/>
  <c r="B909" i="2"/>
  <c r="I908" i="2"/>
  <c r="B908" i="2"/>
  <c r="I907" i="2"/>
  <c r="B907" i="2"/>
  <c r="I906" i="2"/>
  <c r="B906" i="2"/>
  <c r="I905" i="2"/>
  <c r="B905" i="2"/>
  <c r="I904" i="2"/>
  <c r="B904" i="2"/>
  <c r="I903" i="2"/>
  <c r="B903" i="2"/>
  <c r="I902" i="2"/>
  <c r="B902" i="2"/>
  <c r="I901" i="2"/>
  <c r="B901" i="2"/>
  <c r="I900" i="2"/>
  <c r="B900" i="2"/>
  <c r="I899" i="2"/>
  <c r="B899" i="2"/>
  <c r="I898" i="2"/>
  <c r="B898" i="2"/>
  <c r="I897" i="2"/>
  <c r="B897" i="2"/>
  <c r="I896" i="2"/>
  <c r="B896" i="2"/>
  <c r="I895" i="2"/>
  <c r="B895" i="2"/>
  <c r="I894" i="2"/>
  <c r="B894" i="2"/>
  <c r="I893" i="2"/>
  <c r="B893" i="2"/>
  <c r="I892" i="2"/>
  <c r="B892" i="2"/>
  <c r="I891" i="2"/>
  <c r="B891" i="2"/>
  <c r="I890" i="2"/>
  <c r="B890" i="2"/>
  <c r="I889" i="2"/>
  <c r="B889" i="2"/>
  <c r="I888" i="2"/>
  <c r="B888" i="2"/>
  <c r="I887" i="2"/>
  <c r="B887" i="2"/>
  <c r="I886" i="2"/>
  <c r="B886" i="2"/>
  <c r="I885" i="2"/>
  <c r="B885" i="2"/>
  <c r="I884" i="2"/>
  <c r="B884" i="2"/>
  <c r="I883" i="2"/>
  <c r="B883" i="2"/>
  <c r="I882" i="2"/>
  <c r="B882" i="2"/>
  <c r="I881" i="2"/>
  <c r="B881" i="2"/>
  <c r="I880" i="2"/>
  <c r="B880" i="2"/>
  <c r="I879" i="2"/>
  <c r="B879" i="2"/>
  <c r="I878" i="2"/>
  <c r="B878" i="2"/>
  <c r="I877" i="2"/>
  <c r="B877" i="2"/>
  <c r="I876" i="2"/>
  <c r="B876" i="2"/>
  <c r="I875" i="2"/>
  <c r="B875" i="2"/>
  <c r="I874" i="2"/>
  <c r="B874" i="2"/>
  <c r="I873" i="2"/>
  <c r="B873" i="2"/>
  <c r="I872" i="2"/>
  <c r="B872" i="2"/>
  <c r="I871" i="2"/>
  <c r="B871" i="2"/>
  <c r="I870" i="2"/>
  <c r="B870" i="2"/>
  <c r="I869" i="2"/>
  <c r="B869" i="2"/>
  <c r="I868" i="2"/>
  <c r="B868" i="2"/>
  <c r="I867" i="2"/>
  <c r="B867" i="2"/>
  <c r="I866" i="2"/>
  <c r="B866" i="2"/>
  <c r="I865" i="2"/>
  <c r="B865" i="2"/>
  <c r="I864" i="2"/>
  <c r="B864" i="2"/>
  <c r="I863" i="2"/>
  <c r="B863" i="2"/>
  <c r="I862" i="2"/>
  <c r="B862" i="2"/>
  <c r="I861" i="2"/>
  <c r="B861" i="2"/>
  <c r="I860" i="2"/>
  <c r="B860" i="2"/>
  <c r="I859" i="2"/>
  <c r="B859" i="2"/>
  <c r="I858" i="2"/>
  <c r="B858" i="2"/>
  <c r="I857" i="2"/>
  <c r="B857" i="2"/>
  <c r="I856" i="2"/>
  <c r="B856" i="2"/>
  <c r="I855" i="2"/>
  <c r="B855" i="2"/>
  <c r="I854" i="2"/>
  <c r="B854" i="2"/>
  <c r="I853" i="2"/>
  <c r="B853" i="2"/>
  <c r="I852" i="2"/>
  <c r="B852" i="2"/>
  <c r="I851" i="2"/>
  <c r="B851" i="2"/>
  <c r="I850" i="2"/>
  <c r="B850" i="2"/>
  <c r="I849" i="2"/>
  <c r="B849" i="2"/>
  <c r="I848" i="2"/>
  <c r="B848" i="2"/>
  <c r="I847" i="2"/>
  <c r="B847" i="2"/>
  <c r="I846" i="2"/>
  <c r="B846" i="2"/>
  <c r="I845" i="2"/>
  <c r="B845" i="2"/>
  <c r="I844" i="2"/>
  <c r="B844" i="2"/>
  <c r="I843" i="2"/>
  <c r="B843" i="2"/>
  <c r="I842" i="2"/>
  <c r="B842" i="2"/>
  <c r="I841" i="2"/>
  <c r="B841" i="2"/>
  <c r="I840" i="2"/>
  <c r="B840" i="2"/>
  <c r="I839" i="2"/>
  <c r="B839" i="2"/>
  <c r="I838" i="2"/>
  <c r="B838" i="2"/>
  <c r="I837" i="2"/>
  <c r="B837" i="2"/>
  <c r="I836" i="2"/>
  <c r="B836" i="2"/>
  <c r="I835" i="2"/>
  <c r="B835" i="2"/>
  <c r="I834" i="2"/>
  <c r="B834" i="2"/>
  <c r="I833" i="2"/>
  <c r="B833" i="2"/>
  <c r="I832" i="2"/>
  <c r="B832" i="2"/>
  <c r="I831" i="2"/>
  <c r="B831" i="2"/>
  <c r="I830" i="2"/>
  <c r="B830" i="2"/>
  <c r="I829" i="2"/>
  <c r="B829" i="2"/>
  <c r="I828" i="2"/>
  <c r="B828" i="2"/>
  <c r="I827" i="2"/>
  <c r="B827" i="2"/>
  <c r="I826" i="2"/>
  <c r="B826" i="2"/>
  <c r="I825" i="2"/>
  <c r="B825" i="2"/>
  <c r="I824" i="2"/>
  <c r="B824" i="2"/>
  <c r="I823" i="2"/>
  <c r="B823" i="2"/>
  <c r="I822" i="2"/>
  <c r="B822" i="2"/>
  <c r="I821" i="2"/>
  <c r="B821" i="2"/>
  <c r="I820" i="2"/>
  <c r="B820" i="2"/>
  <c r="I819" i="2"/>
  <c r="B819" i="2"/>
  <c r="I818" i="2"/>
  <c r="B818" i="2"/>
  <c r="I817" i="2"/>
  <c r="B817" i="2"/>
  <c r="I816" i="2"/>
  <c r="B816" i="2"/>
  <c r="I815" i="2"/>
  <c r="B815" i="2"/>
  <c r="I814" i="2"/>
  <c r="B814" i="2"/>
  <c r="I813" i="2"/>
  <c r="B813" i="2"/>
  <c r="I812" i="2"/>
  <c r="B812" i="2"/>
  <c r="I811" i="2"/>
  <c r="B811" i="2"/>
  <c r="I810" i="2"/>
  <c r="B810" i="2"/>
  <c r="I809" i="2"/>
  <c r="B809" i="2"/>
  <c r="I808" i="2"/>
  <c r="B808" i="2"/>
  <c r="I807" i="2"/>
  <c r="B807" i="2"/>
  <c r="I806" i="2"/>
  <c r="B806" i="2"/>
  <c r="I805" i="2"/>
  <c r="B805" i="2"/>
  <c r="I804" i="2"/>
  <c r="B804" i="2"/>
  <c r="I803" i="2"/>
  <c r="B803" i="2"/>
  <c r="I802" i="2"/>
  <c r="B802" i="2"/>
  <c r="I801" i="2"/>
  <c r="B801" i="2"/>
  <c r="I800" i="2"/>
  <c r="B800" i="2"/>
  <c r="I799" i="2"/>
  <c r="B799" i="2"/>
  <c r="I798" i="2"/>
  <c r="B798" i="2"/>
  <c r="I797" i="2"/>
  <c r="B797" i="2"/>
  <c r="I796" i="2"/>
  <c r="B796" i="2"/>
  <c r="I795" i="2"/>
  <c r="B795" i="2"/>
  <c r="I794" i="2"/>
  <c r="B794" i="2"/>
  <c r="I793" i="2"/>
  <c r="B793" i="2"/>
  <c r="I792" i="2"/>
  <c r="B792" i="2"/>
  <c r="I791" i="2"/>
  <c r="B791" i="2"/>
  <c r="I790" i="2"/>
  <c r="B790" i="2"/>
  <c r="I789" i="2"/>
  <c r="B789" i="2"/>
  <c r="I788" i="2"/>
  <c r="B788" i="2"/>
  <c r="I787" i="2"/>
  <c r="B787" i="2"/>
  <c r="I786" i="2"/>
  <c r="B786" i="2"/>
  <c r="I785" i="2"/>
  <c r="B785" i="2"/>
  <c r="I784" i="2"/>
  <c r="B784" i="2"/>
  <c r="I783" i="2"/>
  <c r="B783" i="2"/>
  <c r="I782" i="2"/>
  <c r="B782" i="2"/>
  <c r="I781" i="2"/>
  <c r="B781" i="2"/>
  <c r="I780" i="2"/>
  <c r="B780" i="2"/>
  <c r="I779" i="2"/>
  <c r="B779" i="2"/>
  <c r="I778" i="2"/>
  <c r="B778" i="2"/>
  <c r="I777" i="2"/>
  <c r="B777" i="2"/>
  <c r="I776" i="2"/>
  <c r="B776" i="2"/>
  <c r="I775" i="2"/>
  <c r="B775" i="2"/>
  <c r="I774" i="2"/>
  <c r="B774" i="2"/>
  <c r="I773" i="2"/>
  <c r="B773" i="2"/>
  <c r="I772" i="2"/>
  <c r="B772" i="2"/>
  <c r="I771" i="2"/>
  <c r="B771" i="2"/>
  <c r="I770" i="2"/>
  <c r="B770" i="2"/>
  <c r="I769" i="2"/>
  <c r="B769" i="2"/>
  <c r="I768" i="2"/>
  <c r="B768" i="2"/>
  <c r="I767" i="2"/>
  <c r="B767" i="2"/>
  <c r="I766" i="2"/>
  <c r="B766" i="2"/>
  <c r="I765" i="2"/>
  <c r="B765" i="2"/>
  <c r="I764" i="2"/>
  <c r="B764" i="2"/>
  <c r="I763" i="2"/>
  <c r="B763" i="2"/>
  <c r="I762" i="2"/>
  <c r="B762" i="2"/>
  <c r="I761" i="2"/>
  <c r="B761" i="2"/>
  <c r="I760" i="2"/>
  <c r="B760" i="2"/>
  <c r="I759" i="2"/>
  <c r="B759" i="2"/>
  <c r="I758" i="2"/>
  <c r="B758" i="2"/>
  <c r="I757" i="2"/>
  <c r="B757" i="2"/>
  <c r="I756" i="2"/>
  <c r="B756" i="2"/>
  <c r="I755" i="2"/>
  <c r="B755" i="2"/>
  <c r="I754" i="2"/>
  <c r="B754" i="2"/>
  <c r="I753" i="2"/>
  <c r="B753" i="2"/>
  <c r="I752" i="2"/>
  <c r="B752" i="2"/>
  <c r="I751" i="2"/>
  <c r="B751" i="2"/>
  <c r="I750" i="2"/>
  <c r="B750" i="2"/>
  <c r="I749" i="2"/>
  <c r="B749" i="2"/>
  <c r="I748" i="2"/>
  <c r="B748" i="2"/>
  <c r="I747" i="2"/>
  <c r="B747" i="2"/>
  <c r="I746" i="2"/>
  <c r="B746" i="2"/>
  <c r="I745" i="2"/>
  <c r="B745" i="2"/>
  <c r="I744" i="2"/>
  <c r="B744" i="2"/>
  <c r="I743" i="2"/>
  <c r="B743" i="2"/>
  <c r="I742" i="2"/>
  <c r="B742" i="2"/>
  <c r="I741" i="2"/>
  <c r="B741" i="2"/>
  <c r="I740" i="2"/>
  <c r="B740" i="2"/>
  <c r="I739" i="2"/>
  <c r="B739" i="2"/>
  <c r="I738" i="2"/>
  <c r="B738" i="2"/>
  <c r="I737" i="2"/>
  <c r="B737" i="2"/>
  <c r="I736" i="2"/>
  <c r="B736" i="2"/>
  <c r="I735" i="2"/>
  <c r="B735" i="2"/>
  <c r="I734" i="2"/>
  <c r="B734" i="2"/>
  <c r="I733" i="2"/>
  <c r="B733" i="2"/>
  <c r="I732" i="2"/>
  <c r="B732" i="2"/>
  <c r="I731" i="2"/>
  <c r="B731" i="2"/>
  <c r="I730" i="2"/>
  <c r="B730" i="2"/>
  <c r="I729" i="2"/>
  <c r="B729" i="2"/>
  <c r="I728" i="2"/>
  <c r="B728" i="2"/>
  <c r="I727" i="2"/>
  <c r="B727" i="2"/>
  <c r="I726" i="2"/>
  <c r="B726" i="2"/>
  <c r="I725" i="2"/>
  <c r="B725" i="2"/>
  <c r="I724" i="2"/>
  <c r="B724" i="2"/>
  <c r="I723" i="2"/>
  <c r="B723" i="2"/>
  <c r="I722" i="2"/>
  <c r="B722" i="2"/>
  <c r="I721" i="2"/>
  <c r="B721" i="2"/>
  <c r="I720" i="2"/>
  <c r="B720" i="2"/>
  <c r="I719" i="2"/>
  <c r="B719" i="2"/>
  <c r="I718" i="2"/>
  <c r="B718" i="2"/>
  <c r="I717" i="2"/>
  <c r="B717" i="2"/>
  <c r="I716" i="2"/>
  <c r="B716" i="2"/>
  <c r="I715" i="2"/>
  <c r="B715" i="2"/>
  <c r="I714" i="2"/>
  <c r="B714" i="2"/>
  <c r="I713" i="2"/>
  <c r="B713" i="2"/>
  <c r="I712" i="2"/>
  <c r="B712" i="2"/>
  <c r="I711" i="2"/>
  <c r="B711" i="2"/>
  <c r="I710" i="2"/>
  <c r="B710" i="2"/>
  <c r="I709" i="2"/>
  <c r="B709" i="2"/>
  <c r="I708" i="2"/>
  <c r="B708" i="2"/>
  <c r="I707" i="2"/>
  <c r="B707" i="2"/>
  <c r="I706" i="2"/>
  <c r="B706" i="2"/>
  <c r="I705" i="2"/>
  <c r="B705" i="2"/>
  <c r="I704" i="2"/>
  <c r="B704" i="2"/>
  <c r="I703" i="2"/>
  <c r="B703" i="2"/>
  <c r="I702" i="2"/>
  <c r="B702" i="2"/>
  <c r="I701" i="2"/>
  <c r="B701" i="2"/>
  <c r="I700" i="2"/>
  <c r="B700" i="2"/>
  <c r="I699" i="2"/>
  <c r="B699" i="2"/>
  <c r="I698" i="2"/>
  <c r="B698" i="2"/>
  <c r="I697" i="2"/>
  <c r="B697" i="2"/>
  <c r="I696" i="2"/>
  <c r="B696" i="2"/>
  <c r="I695" i="2"/>
  <c r="B695" i="2"/>
  <c r="I694" i="2"/>
  <c r="B694" i="2"/>
  <c r="I693" i="2"/>
  <c r="B693" i="2"/>
  <c r="I692" i="2"/>
  <c r="B692" i="2"/>
  <c r="I691" i="2"/>
  <c r="B691" i="2"/>
  <c r="I690" i="2"/>
  <c r="B690" i="2"/>
  <c r="I689" i="2"/>
  <c r="B689" i="2"/>
  <c r="I688" i="2"/>
  <c r="B688" i="2"/>
  <c r="I687" i="2"/>
  <c r="B687" i="2"/>
  <c r="I686" i="2"/>
  <c r="B686" i="2"/>
  <c r="I685" i="2"/>
  <c r="B685" i="2"/>
  <c r="I684" i="2"/>
  <c r="B684" i="2"/>
  <c r="I683" i="2"/>
  <c r="B683" i="2"/>
  <c r="I682" i="2"/>
  <c r="B682" i="2"/>
  <c r="I681" i="2"/>
  <c r="B681" i="2"/>
  <c r="I680" i="2"/>
  <c r="B680" i="2"/>
  <c r="I679" i="2"/>
  <c r="B679" i="2"/>
  <c r="I678" i="2"/>
  <c r="B678" i="2"/>
  <c r="I677" i="2"/>
  <c r="B677" i="2"/>
  <c r="I676" i="2"/>
  <c r="B676" i="2"/>
  <c r="I675" i="2"/>
  <c r="B675" i="2"/>
  <c r="I674" i="2"/>
  <c r="B674" i="2"/>
  <c r="I673" i="2"/>
  <c r="B673" i="2"/>
  <c r="I672" i="2"/>
  <c r="B672" i="2"/>
  <c r="I671" i="2"/>
  <c r="B671" i="2"/>
  <c r="I670" i="2"/>
  <c r="B670" i="2"/>
  <c r="I669" i="2"/>
  <c r="B669" i="2"/>
  <c r="I668" i="2"/>
  <c r="B668" i="2"/>
  <c r="I667" i="2"/>
  <c r="B667" i="2"/>
  <c r="I666" i="2"/>
  <c r="B666" i="2"/>
  <c r="I665" i="2"/>
  <c r="B665" i="2"/>
  <c r="I664" i="2"/>
  <c r="B664" i="2"/>
  <c r="I663" i="2"/>
  <c r="B663" i="2"/>
  <c r="I662" i="2"/>
  <c r="B662" i="2"/>
  <c r="I661" i="2"/>
  <c r="B661" i="2"/>
  <c r="I660" i="2"/>
  <c r="B660" i="2"/>
  <c r="I659" i="2"/>
  <c r="B659" i="2"/>
  <c r="I658" i="2"/>
  <c r="B658" i="2"/>
  <c r="I657" i="2"/>
  <c r="B657" i="2"/>
  <c r="I656" i="2"/>
  <c r="B656" i="2"/>
  <c r="I655" i="2"/>
  <c r="B655" i="2"/>
  <c r="I654" i="2"/>
  <c r="B654" i="2"/>
  <c r="I653" i="2"/>
  <c r="B653" i="2"/>
  <c r="I652" i="2"/>
  <c r="B652" i="2"/>
  <c r="I651" i="2"/>
  <c r="B651" i="2"/>
  <c r="I650" i="2"/>
  <c r="B650" i="2"/>
  <c r="I649" i="2"/>
  <c r="B649" i="2"/>
  <c r="I648" i="2"/>
  <c r="B648" i="2"/>
  <c r="I647" i="2"/>
  <c r="B647" i="2"/>
  <c r="I646" i="2"/>
  <c r="B646" i="2"/>
  <c r="I645" i="2"/>
  <c r="B645" i="2"/>
  <c r="I644" i="2"/>
  <c r="B644" i="2"/>
  <c r="I643" i="2"/>
  <c r="B643" i="2"/>
  <c r="I642" i="2"/>
  <c r="B642" i="2"/>
  <c r="I641" i="2"/>
  <c r="B641" i="2"/>
  <c r="I640" i="2"/>
  <c r="B640" i="2"/>
  <c r="I639" i="2"/>
  <c r="B639" i="2"/>
  <c r="I638" i="2"/>
  <c r="B638" i="2"/>
  <c r="I637" i="2"/>
  <c r="B637" i="2"/>
  <c r="I636" i="2"/>
  <c r="B636" i="2"/>
  <c r="I635" i="2"/>
  <c r="B635" i="2"/>
  <c r="I634" i="2"/>
  <c r="B634" i="2"/>
  <c r="I633" i="2"/>
  <c r="B633" i="2"/>
  <c r="I632" i="2"/>
  <c r="B632" i="2"/>
  <c r="I631" i="2"/>
  <c r="B631" i="2"/>
  <c r="I630" i="2"/>
  <c r="B630" i="2"/>
  <c r="I629" i="2"/>
  <c r="B629" i="2"/>
  <c r="I628" i="2"/>
  <c r="B628" i="2"/>
  <c r="I627" i="2"/>
  <c r="B627" i="2"/>
  <c r="I626" i="2"/>
  <c r="B626" i="2"/>
  <c r="I625" i="2"/>
  <c r="B625" i="2"/>
  <c r="I624" i="2"/>
  <c r="B624" i="2"/>
  <c r="I623" i="2"/>
  <c r="B623" i="2"/>
  <c r="I622" i="2"/>
  <c r="B622" i="2"/>
  <c r="I621" i="2"/>
  <c r="B621" i="2"/>
  <c r="I620" i="2"/>
  <c r="B620" i="2"/>
  <c r="I619" i="2"/>
  <c r="B619" i="2"/>
  <c r="I618" i="2"/>
  <c r="B618" i="2"/>
  <c r="I617" i="2"/>
  <c r="B617" i="2"/>
  <c r="I616" i="2"/>
  <c r="B616" i="2"/>
  <c r="I615" i="2"/>
  <c r="B615" i="2"/>
  <c r="I614" i="2"/>
  <c r="B614" i="2"/>
  <c r="I613" i="2"/>
  <c r="B613" i="2"/>
  <c r="I612" i="2"/>
  <c r="B612" i="2"/>
  <c r="I611" i="2"/>
  <c r="B611" i="2"/>
  <c r="I610" i="2"/>
  <c r="B610" i="2"/>
  <c r="I609" i="2"/>
  <c r="B609" i="2"/>
  <c r="I608" i="2"/>
  <c r="B608" i="2"/>
  <c r="I607" i="2"/>
  <c r="B607" i="2"/>
  <c r="I606" i="2"/>
  <c r="B606" i="2"/>
  <c r="I605" i="2"/>
  <c r="B605" i="2"/>
  <c r="I604" i="2"/>
  <c r="B604" i="2"/>
  <c r="I603" i="2"/>
  <c r="B603" i="2"/>
  <c r="I602" i="2"/>
  <c r="B602" i="2"/>
  <c r="I601" i="2"/>
  <c r="B601" i="2"/>
  <c r="I600" i="2"/>
  <c r="B600" i="2"/>
  <c r="I599" i="2"/>
  <c r="B599" i="2"/>
  <c r="I598" i="2"/>
  <c r="B598" i="2"/>
  <c r="I597" i="2"/>
  <c r="B597" i="2"/>
  <c r="I596" i="2"/>
  <c r="B596" i="2"/>
  <c r="I595" i="2"/>
  <c r="B595" i="2"/>
  <c r="I594" i="2"/>
  <c r="B594" i="2"/>
  <c r="I593" i="2"/>
  <c r="B593" i="2"/>
  <c r="I592" i="2"/>
  <c r="B592" i="2"/>
  <c r="I591" i="2"/>
  <c r="B591" i="2"/>
  <c r="I590" i="2"/>
  <c r="B590" i="2"/>
  <c r="I589" i="2"/>
  <c r="B589" i="2"/>
  <c r="I588" i="2"/>
  <c r="B588" i="2"/>
  <c r="I587" i="2"/>
  <c r="B587" i="2"/>
  <c r="I586" i="2"/>
  <c r="B586" i="2"/>
  <c r="I585" i="2"/>
  <c r="B585" i="2"/>
  <c r="I584" i="2"/>
  <c r="B584" i="2"/>
  <c r="I583" i="2"/>
  <c r="B583" i="2"/>
  <c r="I582" i="2"/>
  <c r="B582" i="2"/>
  <c r="I581" i="2"/>
  <c r="B581" i="2"/>
  <c r="I580" i="2"/>
  <c r="B580" i="2"/>
  <c r="I579" i="2"/>
  <c r="B579" i="2"/>
  <c r="I578" i="2"/>
  <c r="B578" i="2"/>
  <c r="I577" i="2"/>
  <c r="B577" i="2"/>
  <c r="I576" i="2"/>
  <c r="B576" i="2"/>
  <c r="I575" i="2"/>
  <c r="B575" i="2"/>
  <c r="I574" i="2"/>
  <c r="B574" i="2"/>
  <c r="I573" i="2"/>
  <c r="B573" i="2"/>
  <c r="I572" i="2"/>
  <c r="B572" i="2"/>
  <c r="I571" i="2"/>
  <c r="B571" i="2"/>
  <c r="I570" i="2"/>
  <c r="B570" i="2"/>
  <c r="I569" i="2"/>
  <c r="B569" i="2"/>
  <c r="I568" i="2"/>
  <c r="B568" i="2"/>
  <c r="I567" i="2"/>
  <c r="B567" i="2"/>
  <c r="I566" i="2"/>
  <c r="B566" i="2"/>
  <c r="I565" i="2"/>
  <c r="B565" i="2"/>
  <c r="I564" i="2"/>
  <c r="B564" i="2"/>
  <c r="I563" i="2"/>
  <c r="B563" i="2"/>
  <c r="I562" i="2"/>
  <c r="B562" i="2"/>
  <c r="I561" i="2"/>
  <c r="B561" i="2"/>
  <c r="I560" i="2"/>
  <c r="B560" i="2"/>
  <c r="I559" i="2"/>
  <c r="B559" i="2"/>
  <c r="I558" i="2"/>
  <c r="B558" i="2"/>
  <c r="I557" i="2"/>
  <c r="B557" i="2"/>
  <c r="I556" i="2"/>
  <c r="B556" i="2"/>
  <c r="I555" i="2"/>
  <c r="B555" i="2"/>
  <c r="I554" i="2"/>
  <c r="B554" i="2"/>
  <c r="I553" i="2"/>
  <c r="B553" i="2"/>
  <c r="I552" i="2"/>
  <c r="B552" i="2"/>
  <c r="I551" i="2"/>
  <c r="B551" i="2"/>
  <c r="I550" i="2"/>
  <c r="B550" i="2"/>
  <c r="I549" i="2"/>
  <c r="B549" i="2"/>
  <c r="I548" i="2"/>
  <c r="B548" i="2"/>
  <c r="I547" i="2"/>
  <c r="B547" i="2"/>
  <c r="I546" i="2"/>
  <c r="B546" i="2"/>
  <c r="I545" i="2"/>
  <c r="B545" i="2"/>
  <c r="I544" i="2"/>
  <c r="B544" i="2"/>
  <c r="I543" i="2"/>
  <c r="B543" i="2"/>
  <c r="I542" i="2"/>
  <c r="B542" i="2"/>
  <c r="I541" i="2"/>
  <c r="B541" i="2"/>
  <c r="I540" i="2"/>
  <c r="B540" i="2"/>
  <c r="I539" i="2"/>
  <c r="B539" i="2"/>
  <c r="I538" i="2"/>
  <c r="B538" i="2"/>
  <c r="I537" i="2"/>
  <c r="B537" i="2"/>
  <c r="I536" i="2"/>
  <c r="B536" i="2"/>
  <c r="I535" i="2"/>
  <c r="B535" i="2"/>
  <c r="I534" i="2"/>
  <c r="B534" i="2"/>
  <c r="I533" i="2"/>
  <c r="B533" i="2"/>
  <c r="I532" i="2"/>
  <c r="B532" i="2"/>
  <c r="I531" i="2"/>
  <c r="B531" i="2"/>
  <c r="I530" i="2"/>
  <c r="B530" i="2"/>
  <c r="I529" i="2"/>
  <c r="B529" i="2"/>
  <c r="I528" i="2"/>
  <c r="B528" i="2"/>
  <c r="I527" i="2"/>
  <c r="B527" i="2"/>
  <c r="I526" i="2"/>
  <c r="B526" i="2"/>
  <c r="I525" i="2"/>
  <c r="B525" i="2"/>
  <c r="I524" i="2"/>
  <c r="B524" i="2"/>
  <c r="I523" i="2"/>
  <c r="B523" i="2"/>
  <c r="I522" i="2"/>
  <c r="B522" i="2"/>
  <c r="I521" i="2"/>
  <c r="B521" i="2"/>
  <c r="I520" i="2"/>
  <c r="B520" i="2"/>
  <c r="I519" i="2"/>
  <c r="B519" i="2"/>
  <c r="I518" i="2"/>
  <c r="B518" i="2"/>
  <c r="I517" i="2"/>
  <c r="B517" i="2"/>
  <c r="I516" i="2"/>
  <c r="B516" i="2"/>
  <c r="I515" i="2"/>
  <c r="B515" i="2"/>
  <c r="I514" i="2"/>
  <c r="B514" i="2"/>
  <c r="I513" i="2"/>
  <c r="B513" i="2"/>
  <c r="I512" i="2"/>
  <c r="B512" i="2"/>
  <c r="I511" i="2"/>
  <c r="B511" i="2"/>
  <c r="I510" i="2"/>
  <c r="B510" i="2"/>
  <c r="I509" i="2"/>
  <c r="B509" i="2"/>
  <c r="I508" i="2"/>
  <c r="B508" i="2"/>
  <c r="I507" i="2"/>
  <c r="B507" i="2"/>
  <c r="I506" i="2"/>
  <c r="B506" i="2"/>
  <c r="I505" i="2"/>
  <c r="B505" i="2"/>
  <c r="I504" i="2"/>
  <c r="B504" i="2"/>
  <c r="I503" i="2"/>
  <c r="B503" i="2"/>
  <c r="I502" i="2"/>
  <c r="B502" i="2"/>
  <c r="I501" i="2"/>
  <c r="B501" i="2"/>
  <c r="I500" i="2"/>
  <c r="B500" i="2"/>
  <c r="I499" i="2"/>
  <c r="B499" i="2"/>
  <c r="I498" i="2"/>
  <c r="B498" i="2"/>
  <c r="I497" i="2"/>
  <c r="B497" i="2"/>
  <c r="I496" i="2"/>
  <c r="B496" i="2"/>
  <c r="I495" i="2"/>
  <c r="B495" i="2"/>
  <c r="I494" i="2"/>
  <c r="B494" i="2"/>
  <c r="I493" i="2"/>
  <c r="B493" i="2"/>
  <c r="I492" i="2"/>
  <c r="B492" i="2"/>
  <c r="I491" i="2"/>
  <c r="B491" i="2"/>
  <c r="I490" i="2"/>
  <c r="B490" i="2"/>
  <c r="I489" i="2"/>
  <c r="B489" i="2"/>
  <c r="I488" i="2"/>
  <c r="B488" i="2"/>
  <c r="I487" i="2"/>
  <c r="B487" i="2"/>
  <c r="I486" i="2"/>
  <c r="B486" i="2"/>
  <c r="I485" i="2"/>
  <c r="B485" i="2"/>
  <c r="I484" i="2"/>
  <c r="B484" i="2"/>
  <c r="I483" i="2"/>
  <c r="B483" i="2"/>
  <c r="I482" i="2"/>
  <c r="B482" i="2"/>
  <c r="I481" i="2"/>
  <c r="B481" i="2"/>
  <c r="I480" i="2"/>
  <c r="B480" i="2"/>
  <c r="I479" i="2"/>
  <c r="B479" i="2"/>
  <c r="I478" i="2"/>
  <c r="B478" i="2"/>
  <c r="I477" i="2"/>
  <c r="B477" i="2"/>
  <c r="I476" i="2"/>
  <c r="B476" i="2"/>
  <c r="I475" i="2"/>
  <c r="B475" i="2"/>
  <c r="I474" i="2"/>
  <c r="B474" i="2"/>
  <c r="I473" i="2"/>
  <c r="B473" i="2"/>
  <c r="I472" i="2"/>
  <c r="B472" i="2"/>
  <c r="I471" i="2"/>
  <c r="B471" i="2"/>
  <c r="I470" i="2"/>
  <c r="B470" i="2"/>
  <c r="I469" i="2"/>
  <c r="B469" i="2"/>
  <c r="I468" i="2"/>
  <c r="B468" i="2"/>
  <c r="I467" i="2"/>
  <c r="B467" i="2"/>
  <c r="I466" i="2"/>
  <c r="B466" i="2"/>
  <c r="I465" i="2"/>
  <c r="B465" i="2"/>
  <c r="I464" i="2"/>
  <c r="B464" i="2"/>
  <c r="I463" i="2"/>
  <c r="B463" i="2"/>
  <c r="I462" i="2"/>
  <c r="B462" i="2"/>
  <c r="I461" i="2"/>
  <c r="B461" i="2"/>
  <c r="I460" i="2"/>
  <c r="B460" i="2"/>
  <c r="I459" i="2"/>
  <c r="B459" i="2"/>
  <c r="I458" i="2"/>
  <c r="B458" i="2"/>
  <c r="I457" i="2"/>
  <c r="B457" i="2"/>
  <c r="I456" i="2"/>
  <c r="B456" i="2"/>
  <c r="I455" i="2"/>
  <c r="B455" i="2"/>
  <c r="I454" i="2"/>
  <c r="B454" i="2"/>
  <c r="I453" i="2"/>
  <c r="B453" i="2"/>
  <c r="I452" i="2"/>
  <c r="B452" i="2"/>
  <c r="I451" i="2"/>
  <c r="B451" i="2"/>
  <c r="I450" i="2"/>
  <c r="B450" i="2"/>
  <c r="I449" i="2"/>
  <c r="B449" i="2"/>
  <c r="I448" i="2"/>
  <c r="B448" i="2"/>
  <c r="I447" i="2"/>
  <c r="B447" i="2"/>
  <c r="I446" i="2"/>
  <c r="B446" i="2"/>
  <c r="I445" i="2"/>
  <c r="B445" i="2"/>
  <c r="I444" i="2"/>
  <c r="B444" i="2"/>
  <c r="I443" i="2"/>
  <c r="B443" i="2"/>
  <c r="I442" i="2"/>
  <c r="B442" i="2"/>
  <c r="I441" i="2"/>
  <c r="B441" i="2"/>
  <c r="I440" i="2"/>
  <c r="B440" i="2"/>
  <c r="I439" i="2"/>
  <c r="B439" i="2"/>
  <c r="I438" i="2"/>
  <c r="B438" i="2"/>
  <c r="I437" i="2"/>
  <c r="B437" i="2"/>
  <c r="I436" i="2"/>
  <c r="B436" i="2"/>
  <c r="I435" i="2"/>
  <c r="B435" i="2"/>
  <c r="I434" i="2"/>
  <c r="B434" i="2"/>
  <c r="I433" i="2"/>
  <c r="B433" i="2"/>
  <c r="I432" i="2"/>
  <c r="B432" i="2"/>
  <c r="I431" i="2"/>
  <c r="B431" i="2"/>
  <c r="I430" i="2"/>
  <c r="B430" i="2"/>
  <c r="I429" i="2"/>
  <c r="B429" i="2"/>
  <c r="I428" i="2"/>
  <c r="B428" i="2"/>
  <c r="I427" i="2"/>
  <c r="B427" i="2"/>
  <c r="I426" i="2"/>
  <c r="B426" i="2"/>
  <c r="I425" i="2"/>
  <c r="B425" i="2"/>
  <c r="I424" i="2"/>
  <c r="B424" i="2"/>
  <c r="I423" i="2"/>
  <c r="B423" i="2"/>
  <c r="I422" i="2"/>
  <c r="B422" i="2"/>
  <c r="I421" i="2"/>
  <c r="B421" i="2"/>
  <c r="I420" i="2"/>
  <c r="B420" i="2"/>
  <c r="I419" i="2"/>
  <c r="B419" i="2"/>
  <c r="I418" i="2"/>
  <c r="B418" i="2"/>
  <c r="I417" i="2"/>
  <c r="B417" i="2"/>
  <c r="I416" i="2"/>
  <c r="B416" i="2"/>
  <c r="I415" i="2"/>
  <c r="B415" i="2"/>
  <c r="I414" i="2"/>
  <c r="B414" i="2"/>
  <c r="I413" i="2"/>
  <c r="B413" i="2"/>
  <c r="I412" i="2"/>
  <c r="B412" i="2"/>
  <c r="I411" i="2"/>
  <c r="B411" i="2"/>
  <c r="I410" i="2"/>
  <c r="B410" i="2"/>
  <c r="I409" i="2"/>
  <c r="B409" i="2"/>
  <c r="I408" i="2"/>
  <c r="B408" i="2"/>
  <c r="I407" i="2"/>
  <c r="B407" i="2"/>
  <c r="I406" i="2"/>
  <c r="B406" i="2"/>
  <c r="I405" i="2"/>
  <c r="B405" i="2"/>
  <c r="I404" i="2"/>
  <c r="B404" i="2"/>
  <c r="I403" i="2"/>
  <c r="B403" i="2"/>
  <c r="I402" i="2"/>
  <c r="B402" i="2"/>
  <c r="I401" i="2"/>
  <c r="B401" i="2"/>
  <c r="I400" i="2"/>
  <c r="B400" i="2"/>
  <c r="I399" i="2"/>
  <c r="B399" i="2"/>
  <c r="I398" i="2"/>
  <c r="B398" i="2"/>
  <c r="I397" i="2"/>
  <c r="B397" i="2"/>
  <c r="I396" i="2"/>
  <c r="B396" i="2"/>
  <c r="I395" i="2"/>
  <c r="B395" i="2"/>
  <c r="I394" i="2"/>
  <c r="B394" i="2"/>
  <c r="I393" i="2"/>
  <c r="B393" i="2"/>
  <c r="I392" i="2"/>
  <c r="B392" i="2"/>
  <c r="I391" i="2"/>
  <c r="B391" i="2"/>
  <c r="I390" i="2"/>
  <c r="B390" i="2"/>
  <c r="I389" i="2"/>
  <c r="B389" i="2"/>
  <c r="I388" i="2"/>
  <c r="B388" i="2"/>
  <c r="I387" i="2"/>
  <c r="B387" i="2"/>
  <c r="I386" i="2"/>
  <c r="B386" i="2"/>
  <c r="I385" i="2"/>
  <c r="B385" i="2"/>
  <c r="I384" i="2"/>
  <c r="B384" i="2"/>
  <c r="I383" i="2"/>
  <c r="B383" i="2"/>
  <c r="I382" i="2"/>
  <c r="B382" i="2"/>
  <c r="I381" i="2"/>
  <c r="B381" i="2"/>
  <c r="I380" i="2"/>
  <c r="B380" i="2"/>
  <c r="I379" i="2"/>
  <c r="B379" i="2"/>
  <c r="I378" i="2"/>
  <c r="B378" i="2"/>
  <c r="I377" i="2"/>
  <c r="B377" i="2"/>
  <c r="I376" i="2"/>
  <c r="B376" i="2"/>
  <c r="I375" i="2"/>
  <c r="B375" i="2"/>
  <c r="I374" i="2"/>
  <c r="B374" i="2"/>
  <c r="I373" i="2"/>
  <c r="B373" i="2"/>
  <c r="I372" i="2"/>
  <c r="B372" i="2"/>
  <c r="I371" i="2"/>
  <c r="B371" i="2"/>
  <c r="I370" i="2"/>
  <c r="B370" i="2"/>
  <c r="I369" i="2"/>
  <c r="B369" i="2"/>
  <c r="I368" i="2"/>
  <c r="B368" i="2"/>
  <c r="I367" i="2"/>
  <c r="B367" i="2"/>
  <c r="I366" i="2"/>
  <c r="B366" i="2"/>
  <c r="I365" i="2"/>
  <c r="B365" i="2"/>
  <c r="I364" i="2"/>
  <c r="B364" i="2"/>
  <c r="I363" i="2"/>
  <c r="B363" i="2"/>
  <c r="I362" i="2"/>
  <c r="B362" i="2"/>
  <c r="I361" i="2"/>
  <c r="B361" i="2"/>
  <c r="I360" i="2"/>
  <c r="B360" i="2"/>
  <c r="I359" i="2"/>
  <c r="B359" i="2"/>
  <c r="I358" i="2"/>
  <c r="B358" i="2"/>
  <c r="I357" i="2"/>
  <c r="B357" i="2"/>
  <c r="I356" i="2"/>
  <c r="B356" i="2"/>
  <c r="I355" i="2"/>
  <c r="B355" i="2"/>
  <c r="I354" i="2"/>
  <c r="B354" i="2"/>
  <c r="I353" i="2"/>
  <c r="B353" i="2"/>
  <c r="I352" i="2"/>
  <c r="B352" i="2"/>
  <c r="I351" i="2"/>
  <c r="B351" i="2"/>
  <c r="I350" i="2"/>
  <c r="B350" i="2"/>
  <c r="I349" i="2"/>
  <c r="B349" i="2"/>
  <c r="I348" i="2"/>
  <c r="B348" i="2"/>
  <c r="I347" i="2"/>
  <c r="B347" i="2"/>
  <c r="I346" i="2"/>
  <c r="B346" i="2"/>
  <c r="I345" i="2"/>
  <c r="B345" i="2"/>
  <c r="I344" i="2"/>
  <c r="B344" i="2"/>
  <c r="I343" i="2"/>
  <c r="B343" i="2"/>
  <c r="I342" i="2"/>
  <c r="B342" i="2"/>
  <c r="I341" i="2"/>
  <c r="B341" i="2"/>
  <c r="I340" i="2"/>
  <c r="B340" i="2"/>
  <c r="I339" i="2"/>
  <c r="B339" i="2"/>
  <c r="I338" i="2"/>
  <c r="B338" i="2"/>
  <c r="I337" i="2"/>
  <c r="B337" i="2"/>
  <c r="I336" i="2"/>
  <c r="B336" i="2"/>
  <c r="I335" i="2"/>
  <c r="B335" i="2"/>
  <c r="I334" i="2"/>
  <c r="B334" i="2"/>
  <c r="I333" i="2"/>
  <c r="B333" i="2"/>
  <c r="I332" i="2"/>
  <c r="B332" i="2"/>
  <c r="I331" i="2"/>
  <c r="B331" i="2"/>
  <c r="I330" i="2"/>
  <c r="B330" i="2"/>
  <c r="I329" i="2"/>
  <c r="B329" i="2"/>
  <c r="I328" i="2"/>
  <c r="B328" i="2"/>
  <c r="I327" i="2"/>
  <c r="B327" i="2"/>
  <c r="I326" i="2"/>
  <c r="B326" i="2"/>
  <c r="I325" i="2"/>
  <c r="B325" i="2"/>
  <c r="I324" i="2"/>
  <c r="B324" i="2"/>
  <c r="I323" i="2"/>
  <c r="B323" i="2"/>
  <c r="I322" i="2"/>
  <c r="B322" i="2"/>
  <c r="I321" i="2"/>
  <c r="B321" i="2"/>
  <c r="I320" i="2"/>
  <c r="B320" i="2"/>
  <c r="I319" i="2"/>
  <c r="B319" i="2"/>
  <c r="I318" i="2"/>
  <c r="B318" i="2"/>
  <c r="I317" i="2"/>
  <c r="B317" i="2"/>
  <c r="I316" i="2"/>
  <c r="B316" i="2"/>
  <c r="I315" i="2"/>
  <c r="B315" i="2"/>
  <c r="I314" i="2"/>
  <c r="B314" i="2"/>
  <c r="I313" i="2"/>
  <c r="B313" i="2"/>
  <c r="I312" i="2"/>
  <c r="B312" i="2"/>
  <c r="I311" i="2"/>
  <c r="B311" i="2"/>
  <c r="I310" i="2"/>
  <c r="B310" i="2"/>
  <c r="I309" i="2"/>
  <c r="B309" i="2"/>
  <c r="I308" i="2"/>
  <c r="B308" i="2"/>
  <c r="I307" i="2"/>
  <c r="B307" i="2"/>
  <c r="I306" i="2"/>
  <c r="B306" i="2"/>
  <c r="I305" i="2"/>
  <c r="B305" i="2"/>
  <c r="I304" i="2"/>
  <c r="B304" i="2"/>
  <c r="I303" i="2"/>
  <c r="B303" i="2"/>
  <c r="I302" i="2"/>
  <c r="B302" i="2"/>
  <c r="I301" i="2"/>
  <c r="B301" i="2"/>
  <c r="I300" i="2"/>
  <c r="B300" i="2"/>
  <c r="I299" i="2"/>
  <c r="B299" i="2"/>
  <c r="I298" i="2"/>
  <c r="B298" i="2"/>
  <c r="I297" i="2"/>
  <c r="B297" i="2"/>
  <c r="I296" i="2"/>
  <c r="B296" i="2"/>
  <c r="I295" i="2"/>
  <c r="B295" i="2"/>
  <c r="I294" i="2"/>
  <c r="B294" i="2"/>
  <c r="I293" i="2"/>
  <c r="B293" i="2"/>
  <c r="I292" i="2"/>
  <c r="B292" i="2"/>
  <c r="I291" i="2"/>
  <c r="B291" i="2"/>
  <c r="I290" i="2"/>
  <c r="B290" i="2"/>
  <c r="I289" i="2"/>
  <c r="B289" i="2"/>
  <c r="I288" i="2"/>
  <c r="B288" i="2"/>
  <c r="I287" i="2"/>
  <c r="B287" i="2"/>
  <c r="I286" i="2"/>
  <c r="B286" i="2"/>
  <c r="I285" i="2"/>
  <c r="B285" i="2"/>
  <c r="I284" i="2"/>
  <c r="B284" i="2"/>
  <c r="I283" i="2"/>
  <c r="B283" i="2"/>
  <c r="I282" i="2"/>
  <c r="B282" i="2"/>
  <c r="I281" i="2"/>
  <c r="B281" i="2"/>
  <c r="I280" i="2"/>
  <c r="B280" i="2"/>
  <c r="I279" i="2"/>
  <c r="B279" i="2"/>
  <c r="I278" i="2"/>
  <c r="B278" i="2"/>
  <c r="I277" i="2"/>
  <c r="B277" i="2"/>
  <c r="I276" i="2"/>
  <c r="B276" i="2"/>
  <c r="I275" i="2"/>
  <c r="B275" i="2"/>
  <c r="I274" i="2"/>
  <c r="B274" i="2"/>
  <c r="I273" i="2"/>
  <c r="B273" i="2"/>
  <c r="I272" i="2"/>
  <c r="B272" i="2"/>
  <c r="I271" i="2"/>
  <c r="B271" i="2"/>
  <c r="I270" i="2"/>
  <c r="B270" i="2"/>
  <c r="I269" i="2"/>
  <c r="B269" i="2"/>
  <c r="I268" i="2"/>
  <c r="B268" i="2"/>
  <c r="I267" i="2"/>
  <c r="B267" i="2"/>
  <c r="I266" i="2"/>
  <c r="B266" i="2"/>
  <c r="I265" i="2"/>
  <c r="B265" i="2"/>
  <c r="I264" i="2"/>
  <c r="B264" i="2"/>
  <c r="I263" i="2"/>
  <c r="B263" i="2"/>
  <c r="I262" i="2"/>
  <c r="B262" i="2"/>
  <c r="I261" i="2"/>
  <c r="B261" i="2"/>
  <c r="I260" i="2"/>
  <c r="B260" i="2"/>
  <c r="I259" i="2"/>
  <c r="B259" i="2"/>
  <c r="I258" i="2"/>
  <c r="B258" i="2"/>
  <c r="I257" i="2"/>
  <c r="B257" i="2"/>
  <c r="I256" i="2"/>
  <c r="B256" i="2"/>
  <c r="I255" i="2"/>
  <c r="B255" i="2"/>
  <c r="I254" i="2"/>
  <c r="B254" i="2"/>
  <c r="I253" i="2"/>
  <c r="B253" i="2"/>
  <c r="I252" i="2"/>
  <c r="B252" i="2"/>
  <c r="I251" i="2"/>
  <c r="B251" i="2"/>
  <c r="I250" i="2"/>
  <c r="B250" i="2"/>
  <c r="I249" i="2"/>
  <c r="B249" i="2"/>
  <c r="I248" i="2"/>
  <c r="B248" i="2"/>
  <c r="I247" i="2"/>
  <c r="B247" i="2"/>
  <c r="I246" i="2"/>
  <c r="B246" i="2"/>
  <c r="I245" i="2"/>
  <c r="B245" i="2"/>
  <c r="I244" i="2"/>
  <c r="B244" i="2"/>
  <c r="I243" i="2"/>
  <c r="B243" i="2"/>
  <c r="I242" i="2"/>
  <c r="B242" i="2"/>
  <c r="I241" i="2"/>
  <c r="B241" i="2"/>
  <c r="I240" i="2"/>
  <c r="B240" i="2"/>
  <c r="I239" i="2"/>
  <c r="B239" i="2"/>
  <c r="I238" i="2"/>
  <c r="B238" i="2"/>
  <c r="I237" i="2"/>
  <c r="B237" i="2"/>
  <c r="I236" i="2"/>
  <c r="B236" i="2"/>
  <c r="I235" i="2"/>
  <c r="B235" i="2"/>
  <c r="I234" i="2"/>
  <c r="B234" i="2"/>
  <c r="I233" i="2"/>
  <c r="B233" i="2"/>
  <c r="I232" i="2"/>
  <c r="B232" i="2"/>
  <c r="I231" i="2"/>
  <c r="B231" i="2"/>
  <c r="I230" i="2"/>
  <c r="B230" i="2"/>
  <c r="I229" i="2"/>
  <c r="B229" i="2"/>
  <c r="I228" i="2"/>
  <c r="B228" i="2"/>
  <c r="I227" i="2"/>
  <c r="B227" i="2"/>
  <c r="I226" i="2"/>
  <c r="B226" i="2"/>
  <c r="I225" i="2"/>
  <c r="B225" i="2"/>
  <c r="I224" i="2"/>
  <c r="B224" i="2"/>
  <c r="I223" i="2"/>
  <c r="B223" i="2"/>
  <c r="I222" i="2"/>
  <c r="B222" i="2"/>
  <c r="I221" i="2"/>
  <c r="B221" i="2"/>
  <c r="I220" i="2"/>
  <c r="B220" i="2"/>
  <c r="I219" i="2"/>
  <c r="B219" i="2"/>
  <c r="I218" i="2"/>
  <c r="B218" i="2"/>
  <c r="I217" i="2"/>
  <c r="B217" i="2"/>
  <c r="I216" i="2"/>
  <c r="B216" i="2"/>
  <c r="I215" i="2"/>
  <c r="B215" i="2"/>
  <c r="I214" i="2"/>
  <c r="B214" i="2"/>
  <c r="I213" i="2"/>
  <c r="B213" i="2"/>
  <c r="I212" i="2"/>
  <c r="B212" i="2"/>
  <c r="I211" i="2"/>
  <c r="B211" i="2"/>
  <c r="I210" i="2"/>
  <c r="B210" i="2"/>
  <c r="I209" i="2"/>
  <c r="B209" i="2"/>
  <c r="I208" i="2"/>
  <c r="B208" i="2"/>
  <c r="I207" i="2"/>
  <c r="B207" i="2"/>
  <c r="I206" i="2"/>
  <c r="B206" i="2"/>
  <c r="I205" i="2"/>
  <c r="B205" i="2"/>
  <c r="I204" i="2"/>
  <c r="B204" i="2"/>
  <c r="I203" i="2"/>
  <c r="B203" i="2"/>
  <c r="I202" i="2"/>
  <c r="B202" i="2"/>
  <c r="I201" i="2"/>
  <c r="B201" i="2"/>
  <c r="I200" i="2"/>
  <c r="B200" i="2"/>
  <c r="I199" i="2"/>
  <c r="B199" i="2"/>
  <c r="I198" i="2"/>
  <c r="B198" i="2"/>
  <c r="I197" i="2"/>
  <c r="B197" i="2"/>
  <c r="I196" i="2"/>
  <c r="B196" i="2"/>
  <c r="I195" i="2"/>
  <c r="B195" i="2"/>
  <c r="I194" i="2"/>
  <c r="B194" i="2"/>
  <c r="I193" i="2"/>
  <c r="B193" i="2"/>
  <c r="I192" i="2"/>
  <c r="B192" i="2"/>
  <c r="I191" i="2"/>
  <c r="B191" i="2"/>
  <c r="I190" i="2"/>
  <c r="B190" i="2"/>
  <c r="I189" i="2"/>
  <c r="B189" i="2"/>
  <c r="I188" i="2"/>
  <c r="B188" i="2"/>
  <c r="I187" i="2"/>
  <c r="B187" i="2"/>
  <c r="I186" i="2"/>
  <c r="B186" i="2"/>
  <c r="I185" i="2"/>
  <c r="B185" i="2"/>
  <c r="I184" i="2"/>
  <c r="B184" i="2"/>
  <c r="I183" i="2"/>
  <c r="B183" i="2"/>
  <c r="I182" i="2"/>
  <c r="B182" i="2"/>
  <c r="I181" i="2"/>
  <c r="B181" i="2"/>
  <c r="I180" i="2"/>
  <c r="B180" i="2"/>
  <c r="I179" i="2"/>
  <c r="B179" i="2"/>
  <c r="I178" i="2"/>
  <c r="B178" i="2"/>
  <c r="I177" i="2"/>
  <c r="B177" i="2"/>
  <c r="I176" i="2"/>
  <c r="B176" i="2"/>
  <c r="I175" i="2"/>
  <c r="B175" i="2"/>
  <c r="I174" i="2"/>
  <c r="B174" i="2"/>
  <c r="I173" i="2"/>
  <c r="B173" i="2"/>
  <c r="I172" i="2"/>
  <c r="B172" i="2"/>
  <c r="I171" i="2"/>
  <c r="B171" i="2"/>
  <c r="I170" i="2"/>
  <c r="B170" i="2"/>
  <c r="I169" i="2"/>
  <c r="B169" i="2"/>
  <c r="I168" i="2"/>
  <c r="B168" i="2"/>
  <c r="I167" i="2"/>
  <c r="B167" i="2"/>
  <c r="I166" i="2"/>
  <c r="B166" i="2"/>
  <c r="I165" i="2"/>
  <c r="B165" i="2"/>
  <c r="I164" i="2"/>
  <c r="B164" i="2"/>
  <c r="I163" i="2"/>
  <c r="B163" i="2"/>
  <c r="I162" i="2"/>
  <c r="B162" i="2"/>
  <c r="I161" i="2"/>
  <c r="B161" i="2"/>
  <c r="I160" i="2"/>
  <c r="B160" i="2"/>
  <c r="I159" i="2"/>
  <c r="B159" i="2"/>
  <c r="I158" i="2"/>
  <c r="B158" i="2"/>
  <c r="I157" i="2"/>
  <c r="B157" i="2"/>
  <c r="I156" i="2"/>
  <c r="B156" i="2"/>
  <c r="I155" i="2"/>
  <c r="B155" i="2"/>
  <c r="I154" i="2"/>
  <c r="B154" i="2"/>
  <c r="I153" i="2"/>
  <c r="B153" i="2"/>
  <c r="I152" i="2"/>
  <c r="B152" i="2"/>
  <c r="I151" i="2"/>
  <c r="B151" i="2"/>
  <c r="I150" i="2"/>
  <c r="B150" i="2"/>
  <c r="I149" i="2"/>
  <c r="B149" i="2"/>
  <c r="I148" i="2"/>
  <c r="B148" i="2"/>
  <c r="I147" i="2"/>
  <c r="B147" i="2"/>
  <c r="I146" i="2"/>
  <c r="B146" i="2"/>
  <c r="I145" i="2"/>
  <c r="B145" i="2"/>
  <c r="I144" i="2"/>
  <c r="B144" i="2"/>
  <c r="I143" i="2"/>
  <c r="B143" i="2"/>
  <c r="I142" i="2"/>
  <c r="B142" i="2"/>
  <c r="I141" i="2"/>
  <c r="B141" i="2"/>
  <c r="I140" i="2"/>
  <c r="B140" i="2"/>
  <c r="I139" i="2"/>
  <c r="B139" i="2"/>
  <c r="I138" i="2"/>
  <c r="B138" i="2"/>
  <c r="I137" i="2"/>
  <c r="B137" i="2"/>
  <c r="I136" i="2"/>
  <c r="B136" i="2"/>
  <c r="I135" i="2"/>
  <c r="B135" i="2"/>
  <c r="I134" i="2"/>
  <c r="B134" i="2"/>
  <c r="I133" i="2"/>
  <c r="B133" i="2"/>
  <c r="I132" i="2"/>
  <c r="B132" i="2"/>
  <c r="I131" i="2"/>
  <c r="B131" i="2"/>
  <c r="I130" i="2"/>
  <c r="B130" i="2"/>
  <c r="I129" i="2"/>
  <c r="B129" i="2"/>
  <c r="I128" i="2"/>
  <c r="B128" i="2"/>
  <c r="I127" i="2"/>
  <c r="B127" i="2"/>
  <c r="I126" i="2"/>
  <c r="B126" i="2"/>
  <c r="I125" i="2"/>
  <c r="B125" i="2"/>
  <c r="I124" i="2"/>
  <c r="B124" i="2"/>
  <c r="I123" i="2"/>
  <c r="B123" i="2"/>
  <c r="I122" i="2"/>
  <c r="B122" i="2"/>
  <c r="I121" i="2"/>
  <c r="B121" i="2"/>
  <c r="I120" i="2"/>
  <c r="B120" i="2"/>
  <c r="I119" i="2"/>
  <c r="B119" i="2"/>
  <c r="I118" i="2"/>
  <c r="B118" i="2"/>
  <c r="I117" i="2"/>
  <c r="B117" i="2"/>
  <c r="I116" i="2"/>
  <c r="B116" i="2"/>
  <c r="I115" i="2"/>
  <c r="B115" i="2"/>
  <c r="I114" i="2"/>
  <c r="B114" i="2"/>
  <c r="I113" i="2"/>
  <c r="B113" i="2"/>
  <c r="I112" i="2"/>
  <c r="B112" i="2"/>
  <c r="I111" i="2"/>
  <c r="B111" i="2"/>
  <c r="I110" i="2"/>
  <c r="B110" i="2"/>
  <c r="I109" i="2"/>
  <c r="B109" i="2"/>
  <c r="I108" i="2"/>
  <c r="B108" i="2"/>
  <c r="I107" i="2"/>
  <c r="B107" i="2"/>
  <c r="I106" i="2"/>
  <c r="B106" i="2"/>
  <c r="I105" i="2"/>
  <c r="B105" i="2"/>
  <c r="I104" i="2"/>
  <c r="B104" i="2"/>
  <c r="I103" i="2"/>
  <c r="B103" i="2"/>
  <c r="I102" i="2"/>
  <c r="B102" i="2"/>
  <c r="I101" i="2"/>
  <c r="B101" i="2"/>
  <c r="I100" i="2"/>
  <c r="B100" i="2"/>
  <c r="I99" i="2"/>
  <c r="B99" i="2"/>
  <c r="I98" i="2"/>
  <c r="B98" i="2"/>
  <c r="I97" i="2"/>
  <c r="B97" i="2"/>
  <c r="I96" i="2"/>
  <c r="B96" i="2"/>
  <c r="I95" i="2"/>
  <c r="B95" i="2"/>
  <c r="I94" i="2"/>
  <c r="B94" i="2"/>
  <c r="I93" i="2"/>
  <c r="B93" i="2"/>
  <c r="I92" i="2"/>
  <c r="B92" i="2"/>
  <c r="I91" i="2"/>
  <c r="B91" i="2"/>
  <c r="I90" i="2"/>
  <c r="B90" i="2"/>
  <c r="I89" i="2"/>
  <c r="B89" i="2"/>
  <c r="I88" i="2"/>
  <c r="B88" i="2"/>
  <c r="I87" i="2"/>
  <c r="B87" i="2"/>
  <c r="I86" i="2"/>
  <c r="B86" i="2"/>
  <c r="I85" i="2"/>
  <c r="B85" i="2"/>
  <c r="I84" i="2"/>
  <c r="B84" i="2"/>
  <c r="I83" i="2"/>
  <c r="B83" i="2"/>
  <c r="I82" i="2"/>
  <c r="B82" i="2"/>
  <c r="I81" i="2"/>
  <c r="B81" i="2"/>
  <c r="I80" i="2"/>
  <c r="B80" i="2"/>
  <c r="I79" i="2"/>
  <c r="B79" i="2"/>
  <c r="I78" i="2"/>
  <c r="B78" i="2"/>
  <c r="I77" i="2"/>
  <c r="B77" i="2"/>
  <c r="I76" i="2"/>
  <c r="B76" i="2"/>
  <c r="I75" i="2"/>
  <c r="B75" i="2"/>
  <c r="I74" i="2"/>
  <c r="B74" i="2"/>
  <c r="I73" i="2"/>
  <c r="B73" i="2"/>
  <c r="I72" i="2"/>
  <c r="B72" i="2"/>
  <c r="I71" i="2"/>
  <c r="B71" i="2"/>
  <c r="I70" i="2"/>
  <c r="B70" i="2"/>
  <c r="I69" i="2"/>
  <c r="B69" i="2"/>
  <c r="I68" i="2"/>
  <c r="B68" i="2"/>
  <c r="I67" i="2"/>
  <c r="B67" i="2"/>
  <c r="I66" i="2"/>
  <c r="B66" i="2"/>
  <c r="I65" i="2"/>
  <c r="B65" i="2"/>
  <c r="I64" i="2"/>
  <c r="B64" i="2"/>
  <c r="I63" i="2"/>
  <c r="B63" i="2"/>
  <c r="I62" i="2"/>
  <c r="B62" i="2"/>
  <c r="I61" i="2"/>
  <c r="B61" i="2"/>
  <c r="I60" i="2"/>
  <c r="B60" i="2"/>
  <c r="I59" i="2"/>
  <c r="B59" i="2"/>
  <c r="I58" i="2"/>
  <c r="B58" i="2"/>
  <c r="I57" i="2"/>
  <c r="B57" i="2"/>
  <c r="I56" i="2"/>
  <c r="B56" i="2"/>
  <c r="I55" i="2"/>
  <c r="B55" i="2"/>
  <c r="I54" i="2"/>
  <c r="B54" i="2"/>
  <c r="I53" i="2"/>
  <c r="B53" i="2"/>
  <c r="I52" i="2"/>
  <c r="B52" i="2"/>
  <c r="I51" i="2"/>
  <c r="B51" i="2"/>
  <c r="I50" i="2"/>
  <c r="B50" i="2"/>
  <c r="I49" i="2"/>
  <c r="B49" i="2"/>
  <c r="I48" i="2"/>
  <c r="B48" i="2"/>
  <c r="I47" i="2"/>
  <c r="B47" i="2"/>
  <c r="I46" i="2"/>
  <c r="B46" i="2"/>
  <c r="I45" i="2"/>
  <c r="B45" i="2"/>
  <c r="I44" i="2"/>
  <c r="B44" i="2"/>
  <c r="I43" i="2"/>
  <c r="B43" i="2"/>
  <c r="I42" i="2"/>
  <c r="B42" i="2"/>
  <c r="I41" i="2"/>
  <c r="B41" i="2"/>
  <c r="I40" i="2"/>
  <c r="B40" i="2"/>
  <c r="I39" i="2"/>
  <c r="B39" i="2"/>
  <c r="I38" i="2"/>
  <c r="B38" i="2"/>
  <c r="I37" i="2"/>
  <c r="B37" i="2"/>
  <c r="I36" i="2"/>
  <c r="B36" i="2"/>
  <c r="I35" i="2"/>
  <c r="B35" i="2"/>
  <c r="I34" i="2"/>
  <c r="B34" i="2"/>
  <c r="I33" i="2"/>
  <c r="B33" i="2"/>
  <c r="I32" i="2"/>
  <c r="B32" i="2"/>
  <c r="I31" i="2"/>
  <c r="B31" i="2"/>
  <c r="I30" i="2"/>
  <c r="B30" i="2"/>
  <c r="I29" i="2"/>
  <c r="B29" i="2"/>
  <c r="I28" i="2"/>
  <c r="B28" i="2"/>
  <c r="I27" i="2"/>
  <c r="B27" i="2"/>
  <c r="I26" i="2"/>
  <c r="B26" i="2"/>
  <c r="I25" i="2"/>
  <c r="B25" i="2"/>
  <c r="I24" i="2"/>
  <c r="B24" i="2"/>
  <c r="I23" i="2"/>
  <c r="B23" i="2"/>
  <c r="I22" i="2"/>
  <c r="B22" i="2"/>
  <c r="I21" i="2"/>
  <c r="B21" i="2"/>
  <c r="I20" i="2"/>
  <c r="B20" i="2"/>
  <c r="I19" i="2"/>
  <c r="B19" i="2"/>
  <c r="I18" i="2"/>
  <c r="B18" i="2"/>
  <c r="I17" i="2"/>
  <c r="B17" i="2"/>
  <c r="I16" i="2"/>
  <c r="B16" i="2"/>
  <c r="I15" i="2"/>
  <c r="B15" i="2"/>
  <c r="I14" i="2"/>
  <c r="B14" i="2"/>
  <c r="I13" i="2"/>
  <c r="B13" i="2"/>
  <c r="I12" i="2"/>
  <c r="B12" i="2"/>
  <c r="I11" i="2"/>
  <c r="B11" i="2"/>
  <c r="I10" i="2"/>
  <c r="B10" i="2"/>
  <c r="I9" i="2"/>
  <c r="B9" i="2"/>
  <c r="I8" i="2"/>
  <c r="B8" i="2"/>
  <c r="I7" i="2"/>
  <c r="B7" i="2"/>
  <c r="I6" i="2"/>
  <c r="B6" i="2"/>
  <c r="I5" i="2"/>
  <c r="B5" i="2"/>
  <c r="I4" i="2"/>
  <c r="B4" i="2"/>
  <c r="I3" i="2"/>
  <c r="B3" i="2"/>
  <c r="C2" i="2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D1948" i="2" l="1"/>
  <c r="D1949" i="2" s="1"/>
  <c r="D1950" i="2" s="1"/>
  <c r="C18" i="2"/>
  <c r="C52" i="2"/>
  <c r="C13" i="2"/>
  <c r="C66" i="2"/>
  <c r="C68" i="2"/>
  <c r="C29" i="2"/>
  <c r="C26" i="2"/>
  <c r="C84" i="2"/>
  <c r="C45" i="2"/>
  <c r="C31" i="2"/>
  <c r="C20" i="2"/>
  <c r="C38" i="2"/>
  <c r="C120" i="2"/>
  <c r="C24" i="2"/>
  <c r="C40" i="2"/>
  <c r="C34" i="2"/>
  <c r="C47" i="2"/>
  <c r="C87" i="2"/>
  <c r="C36" i="2"/>
  <c r="C5" i="2"/>
  <c r="C22" i="2"/>
  <c r="C17" i="2"/>
  <c r="C9" i="2"/>
  <c r="C25" i="2"/>
  <c r="C41" i="2"/>
  <c r="C57" i="2"/>
  <c r="C73" i="2"/>
  <c r="C89" i="2"/>
  <c r="C105" i="2"/>
  <c r="C121" i="2"/>
  <c r="C137" i="2"/>
  <c r="C67" i="2"/>
  <c r="C134" i="2"/>
  <c r="C15" i="2"/>
  <c r="C21" i="2"/>
  <c r="C6" i="2"/>
  <c r="C78" i="2"/>
  <c r="C133" i="2"/>
  <c r="C147" i="2"/>
  <c r="C162" i="2"/>
  <c r="C177" i="2"/>
  <c r="C192" i="2"/>
  <c r="C208" i="2"/>
  <c r="C224" i="2"/>
  <c r="C240" i="2"/>
  <c r="C256" i="2"/>
  <c r="C272" i="2"/>
  <c r="C288" i="2"/>
  <c r="C304" i="2"/>
  <c r="C320" i="2"/>
  <c r="C336" i="2"/>
  <c r="C352" i="2"/>
  <c r="C368" i="2"/>
  <c r="C384" i="2"/>
  <c r="C400" i="2"/>
  <c r="C416" i="2"/>
  <c r="C432" i="2"/>
  <c r="C448" i="2"/>
  <c r="C464" i="2"/>
  <c r="C480" i="2"/>
  <c r="C496" i="2"/>
  <c r="C512" i="2"/>
  <c r="C528" i="2"/>
  <c r="C544" i="2"/>
  <c r="C560" i="2"/>
  <c r="C568" i="2"/>
  <c r="C584" i="2"/>
  <c r="C592" i="2"/>
  <c r="C600" i="2"/>
  <c r="C608" i="2"/>
  <c r="C616" i="2"/>
  <c r="C624" i="2"/>
  <c r="C632" i="2"/>
  <c r="C640" i="2"/>
  <c r="C656" i="2"/>
  <c r="C672" i="2"/>
  <c r="C48" i="2"/>
  <c r="C546" i="2"/>
  <c r="C7" i="2"/>
  <c r="C72" i="2"/>
  <c r="C99" i="2"/>
  <c r="C112" i="2"/>
  <c r="C119" i="2"/>
  <c r="C140" i="2"/>
  <c r="C185" i="2"/>
  <c r="C42" i="2"/>
  <c r="C19" i="2"/>
  <c r="C30" i="2"/>
  <c r="C54" i="2"/>
  <c r="C60" i="2"/>
  <c r="C79" i="2"/>
  <c r="C86" i="2"/>
  <c r="C92" i="2"/>
  <c r="C126" i="2"/>
  <c r="C148" i="2"/>
  <c r="C163" i="2"/>
  <c r="C178" i="2"/>
  <c r="C193" i="2"/>
  <c r="C201" i="2"/>
  <c r="C209" i="2"/>
  <c r="C217" i="2"/>
  <c r="C225" i="2"/>
  <c r="C233" i="2"/>
  <c r="C241" i="2"/>
  <c r="C249" i="2"/>
  <c r="C257" i="2"/>
  <c r="C265" i="2"/>
  <c r="C273" i="2"/>
  <c r="C281" i="2"/>
  <c r="C289" i="2"/>
  <c r="C297" i="2"/>
  <c r="C305" i="2"/>
  <c r="C313" i="2"/>
  <c r="C321" i="2"/>
  <c r="C329" i="2"/>
  <c r="C337" i="2"/>
  <c r="C345" i="2"/>
  <c r="C353" i="2"/>
  <c r="C361" i="2"/>
  <c r="C369" i="2"/>
  <c r="C377" i="2"/>
  <c r="C385" i="2"/>
  <c r="C393" i="2"/>
  <c r="C401" i="2"/>
  <c r="C409" i="2"/>
  <c r="C417" i="2"/>
  <c r="C425" i="2"/>
  <c r="C433" i="2"/>
  <c r="C441" i="2"/>
  <c r="C449" i="2"/>
  <c r="C457" i="2"/>
  <c r="C465" i="2"/>
  <c r="C473" i="2"/>
  <c r="C481" i="2"/>
  <c r="C489" i="2"/>
  <c r="C497" i="2"/>
  <c r="C505" i="2"/>
  <c r="C513" i="2"/>
  <c r="C521" i="2"/>
  <c r="C529" i="2"/>
  <c r="C537" i="2"/>
  <c r="C545" i="2"/>
  <c r="C37" i="2"/>
  <c r="C80" i="2"/>
  <c r="C149" i="2"/>
  <c r="C274" i="2"/>
  <c r="C322" i="2"/>
  <c r="C354" i="2"/>
  <c r="C434" i="2"/>
  <c r="C482" i="2"/>
  <c r="C530" i="2"/>
  <c r="C570" i="2"/>
  <c r="C49" i="2"/>
  <c r="C55" i="2"/>
  <c r="C101" i="2"/>
  <c r="C114" i="2"/>
  <c r="C157" i="2"/>
  <c r="C172" i="2"/>
  <c r="C93" i="2"/>
  <c r="C127" i="2"/>
  <c r="C194" i="2"/>
  <c r="C226" i="2"/>
  <c r="C306" i="2"/>
  <c r="C386" i="2"/>
  <c r="C418" i="2"/>
  <c r="C466" i="2"/>
  <c r="C498" i="2"/>
  <c r="C554" i="2"/>
  <c r="C1944" i="2"/>
  <c r="C1935" i="2"/>
  <c r="C1919" i="2"/>
  <c r="C1903" i="2"/>
  <c r="C1887" i="2"/>
  <c r="C1871" i="2"/>
  <c r="C1855" i="2"/>
  <c r="C1839" i="2"/>
  <c r="C1823" i="2"/>
  <c r="C1807" i="2"/>
  <c r="C1791" i="2"/>
  <c r="C1775" i="2"/>
  <c r="C1759" i="2"/>
  <c r="C1743" i="2"/>
  <c r="C1727" i="2"/>
  <c r="C1711" i="2"/>
  <c r="C1695" i="2"/>
  <c r="C1679" i="2"/>
  <c r="C1663" i="2"/>
  <c r="C1647" i="2"/>
  <c r="C1631" i="2"/>
  <c r="C1615" i="2"/>
  <c r="C1599" i="2"/>
  <c r="C1583" i="2"/>
  <c r="C1567" i="2"/>
  <c r="C1551" i="2"/>
  <c r="C1535" i="2"/>
  <c r="C1519" i="2"/>
  <c r="C1503" i="2"/>
  <c r="C1487" i="2"/>
  <c r="C1471" i="2"/>
  <c r="C1940" i="2"/>
  <c r="C1934" i="2"/>
  <c r="C1918" i="2"/>
  <c r="C1902" i="2"/>
  <c r="C1886" i="2"/>
  <c r="C1870" i="2"/>
  <c r="C1854" i="2"/>
  <c r="C1838" i="2"/>
  <c r="C1822" i="2"/>
  <c r="C1806" i="2"/>
  <c r="C1790" i="2"/>
  <c r="C1774" i="2"/>
  <c r="C1758" i="2"/>
  <c r="C1742" i="2"/>
  <c r="C1726" i="2"/>
  <c r="C1710" i="2"/>
  <c r="C1694" i="2"/>
  <c r="C1678" i="2"/>
  <c r="C1662" i="2"/>
  <c r="C1646" i="2"/>
  <c r="C1630" i="2"/>
  <c r="C1614" i="2"/>
  <c r="C1598" i="2"/>
  <c r="C1933" i="2"/>
  <c r="C1917" i="2"/>
  <c r="C1901" i="2"/>
  <c r="C1885" i="2"/>
  <c r="C1927" i="2"/>
  <c r="C1911" i="2"/>
  <c r="C1895" i="2"/>
  <c r="C1879" i="2"/>
  <c r="C1863" i="2"/>
  <c r="C1936" i="2"/>
  <c r="C1920" i="2"/>
  <c r="C1904" i="2"/>
  <c r="C1888" i="2"/>
  <c r="C1925" i="2"/>
  <c r="C1909" i="2"/>
  <c r="C1893" i="2"/>
  <c r="C1877" i="2"/>
  <c r="C1926" i="2"/>
  <c r="C1853" i="2"/>
  <c r="C1840" i="2"/>
  <c r="C1629" i="2"/>
  <c r="C1550" i="2"/>
  <c r="C1486" i="2"/>
  <c r="C1429" i="2"/>
  <c r="C1423" i="2"/>
  <c r="C1406" i="2"/>
  <c r="C1846" i="2"/>
  <c r="C1814" i="2"/>
  <c r="C1782" i="2"/>
  <c r="C1750" i="2"/>
  <c r="C1718" i="2"/>
  <c r="C1686" i="2"/>
  <c r="C1654" i="2"/>
  <c r="C1585" i="2"/>
  <c r="C1544" i="2"/>
  <c r="C1538" i="2"/>
  <c r="C1515" i="2"/>
  <c r="C1480" i="2"/>
  <c r="C1474" i="2"/>
  <c r="C1417" i="2"/>
  <c r="C1400" i="2"/>
  <c r="C1394" i="2"/>
  <c r="C1383" i="2"/>
  <c r="C1372" i="2"/>
  <c r="C1356" i="2"/>
  <c r="C1340" i="2"/>
  <c r="C1324" i="2"/>
  <c r="C1308" i="2"/>
  <c r="C1292" i="2"/>
  <c r="C1276" i="2"/>
  <c r="C1260" i="2"/>
  <c r="C1910" i="2"/>
  <c r="C1597" i="2"/>
  <c r="C1573" i="2"/>
  <c r="C1509" i="2"/>
  <c r="C1800" i="2"/>
  <c r="C1768" i="2"/>
  <c r="C1736" i="2"/>
  <c r="C1704" i="2"/>
  <c r="C1672" i="2"/>
  <c r="C1628" i="2"/>
  <c r="C1622" i="2"/>
  <c r="C1549" i="2"/>
  <c r="C1526" i="2"/>
  <c r="C1520" i="2"/>
  <c r="C1485" i="2"/>
  <c r="C1462" i="2"/>
  <c r="C1456" i="2"/>
  <c r="C1445" i="2"/>
  <c r="C1439" i="2"/>
  <c r="C1422" i="2"/>
  <c r="C1405" i="2"/>
  <c r="C1388" i="2"/>
  <c r="C1366" i="2"/>
  <c r="C1350" i="2"/>
  <c r="C1334" i="2"/>
  <c r="C1318" i="2"/>
  <c r="C1302" i="2"/>
  <c r="C1286" i="2"/>
  <c r="C1270" i="2"/>
  <c r="C1254" i="2"/>
  <c r="C1238" i="2"/>
  <c r="C1222" i="2"/>
  <c r="C1206" i="2"/>
  <c r="C1190" i="2"/>
  <c r="C1174" i="2"/>
  <c r="C1158" i="2"/>
  <c r="C1142" i="2"/>
  <c r="C1126" i="2"/>
  <c r="C1110" i="2"/>
  <c r="C1094" i="2"/>
  <c r="C1078" i="2"/>
  <c r="C1062" i="2"/>
  <c r="C1046" i="2"/>
  <c r="C1030" i="2"/>
  <c r="C1014" i="2"/>
  <c r="C998" i="2"/>
  <c r="C982" i="2"/>
  <c r="C966" i="2"/>
  <c r="C950" i="2"/>
  <c r="C934" i="2"/>
  <c r="C918" i="2"/>
  <c r="C902" i="2"/>
  <c r="C886" i="2"/>
  <c r="C870" i="2"/>
  <c r="C854" i="2"/>
  <c r="C838" i="2"/>
  <c r="C822" i="2"/>
  <c r="C806" i="2"/>
  <c r="C1894" i="2"/>
  <c r="C1872" i="2"/>
  <c r="C1845" i="2"/>
  <c r="C1813" i="2"/>
  <c r="C1781" i="2"/>
  <c r="C1749" i="2"/>
  <c r="C1717" i="2"/>
  <c r="C1685" i="2"/>
  <c r="C1653" i="2"/>
  <c r="C1584" i="2"/>
  <c r="C1566" i="2"/>
  <c r="C1543" i="2"/>
  <c r="C1537" i="2"/>
  <c r="C1502" i="2"/>
  <c r="C1479" i="2"/>
  <c r="C1473" i="2"/>
  <c r="C1433" i="2"/>
  <c r="C1376" i="2"/>
  <c r="C1360" i="2"/>
  <c r="C1344" i="2"/>
  <c r="C1328" i="2"/>
  <c r="C1312" i="2"/>
  <c r="C1296" i="2"/>
  <c r="C1280" i="2"/>
  <c r="C1264" i="2"/>
  <c r="C1248" i="2"/>
  <c r="C1232" i="2"/>
  <c r="C1216" i="2"/>
  <c r="C1200" i="2"/>
  <c r="C1184" i="2"/>
  <c r="C1168" i="2"/>
  <c r="C1152" i="2"/>
  <c r="C1136" i="2"/>
  <c r="C1120" i="2"/>
  <c r="C1104" i="2"/>
  <c r="C1088" i="2"/>
  <c r="C1072" i="2"/>
  <c r="C1056" i="2"/>
  <c r="C1040" i="2"/>
  <c r="C1024" i="2"/>
  <c r="C1008" i="2"/>
  <c r="C992" i="2"/>
  <c r="C976" i="2"/>
  <c r="C960" i="2"/>
  <c r="C944" i="2"/>
  <c r="C928" i="2"/>
  <c r="C912" i="2"/>
  <c r="C896" i="2"/>
  <c r="C880" i="2"/>
  <c r="C864" i="2"/>
  <c r="C848" i="2"/>
  <c r="C832" i="2"/>
  <c r="C816" i="2"/>
  <c r="C800" i="2"/>
  <c r="C784" i="2"/>
  <c r="C1878" i="2"/>
  <c r="C1857" i="2"/>
  <c r="C1831" i="2"/>
  <c r="C1799" i="2"/>
  <c r="C1767" i="2"/>
  <c r="C1735" i="2"/>
  <c r="C1703" i="2"/>
  <c r="C1671" i="2"/>
  <c r="C1633" i="2"/>
  <c r="C1627" i="2"/>
  <c r="C1621" i="2"/>
  <c r="C1548" i="2"/>
  <c r="C1525" i="2"/>
  <c r="C1513" i="2"/>
  <c r="C1484" i="2"/>
  <c r="C1461" i="2"/>
  <c r="C1455" i="2"/>
  <c r="C1438" i="2"/>
  <c r="C1421" i="2"/>
  <c r="C1404" i="2"/>
  <c r="C1837" i="2"/>
  <c r="C1805" i="2"/>
  <c r="C1773" i="2"/>
  <c r="C1741" i="2"/>
  <c r="C1709" i="2"/>
  <c r="C1677" i="2"/>
  <c r="C1645" i="2"/>
  <c r="C1639" i="2"/>
  <c r="C1565" i="2"/>
  <c r="C1542" i="2"/>
  <c r="C1536" i="2"/>
  <c r="C1501" i="2"/>
  <c r="C1478" i="2"/>
  <c r="C1472" i="2"/>
  <c r="C1449" i="2"/>
  <c r="C1432" i="2"/>
  <c r="C1426" i="2"/>
  <c r="C1415" i="2"/>
  <c r="C1409" i="2"/>
  <c r="C1398" i="2"/>
  <c r="C1392" i="2"/>
  <c r="C1381" i="2"/>
  <c r="C1370" i="2"/>
  <c r="C1354" i="2"/>
  <c r="C1338" i="2"/>
  <c r="C1322" i="2"/>
  <c r="C1306" i="2"/>
  <c r="C1290" i="2"/>
  <c r="C1274" i="2"/>
  <c r="C1258" i="2"/>
  <c r="C1242" i="2"/>
  <c r="C1226" i="2"/>
  <c r="C1210" i="2"/>
  <c r="C1194" i="2"/>
  <c r="C1178" i="2"/>
  <c r="C1162" i="2"/>
  <c r="C1146" i="2"/>
  <c r="C1130" i="2"/>
  <c r="C1114" i="2"/>
  <c r="C1098" i="2"/>
  <c r="C1082" i="2"/>
  <c r="C1066" i="2"/>
  <c r="C1050" i="2"/>
  <c r="C1034" i="2"/>
  <c r="C1018" i="2"/>
  <c r="C1002" i="2"/>
  <c r="C986" i="2"/>
  <c r="C970" i="2"/>
  <c r="C954" i="2"/>
  <c r="C938" i="2"/>
  <c r="C922" i="2"/>
  <c r="C906" i="2"/>
  <c r="C890" i="2"/>
  <c r="C874" i="2"/>
  <c r="C858" i="2"/>
  <c r="C842" i="2"/>
  <c r="C826" i="2"/>
  <c r="C810" i="2"/>
  <c r="C794" i="2"/>
  <c r="C778" i="2"/>
  <c r="C1589" i="2"/>
  <c r="C1518" i="2"/>
  <c r="C1830" i="2"/>
  <c r="C1798" i="2"/>
  <c r="C1766" i="2"/>
  <c r="C1734" i="2"/>
  <c r="C1702" i="2"/>
  <c r="C1670" i="2"/>
  <c r="C1632" i="2"/>
  <c r="C1613" i="2"/>
  <c r="C1607" i="2"/>
  <c r="C1582" i="2"/>
  <c r="C1576" i="2"/>
  <c r="C1570" i="2"/>
  <c r="C1547" i="2"/>
  <c r="C1512" i="2"/>
  <c r="C1506" i="2"/>
  <c r="C1483" i="2"/>
  <c r="C1454" i="2"/>
  <c r="C1437" i="2"/>
  <c r="C1420" i="2"/>
  <c r="C1403" i="2"/>
  <c r="C1364" i="2"/>
  <c r="C1348" i="2"/>
  <c r="C1332" i="2"/>
  <c r="C1316" i="2"/>
  <c r="C1300" i="2"/>
  <c r="C1284" i="2"/>
  <c r="C1268" i="2"/>
  <c r="C1252" i="2"/>
  <c r="C1236" i="2"/>
  <c r="C1220" i="2"/>
  <c r="C1204" i="2"/>
  <c r="C1188" i="2"/>
  <c r="C1172" i="2"/>
  <c r="C1156" i="2"/>
  <c r="C1140" i="2"/>
  <c r="C1124" i="2"/>
  <c r="C1108" i="2"/>
  <c r="C1092" i="2"/>
  <c r="C1076" i="2"/>
  <c r="C1060" i="2"/>
  <c r="C1044" i="2"/>
  <c r="C1028" i="2"/>
  <c r="C1012" i="2"/>
  <c r="C996" i="2"/>
  <c r="C980" i="2"/>
  <c r="C964" i="2"/>
  <c r="C948" i="2"/>
  <c r="C932" i="2"/>
  <c r="C916" i="2"/>
  <c r="C900" i="2"/>
  <c r="C884" i="2"/>
  <c r="C868" i="2"/>
  <c r="C852" i="2"/>
  <c r="C836" i="2"/>
  <c r="C820" i="2"/>
  <c r="C804" i="2"/>
  <c r="C788" i="2"/>
  <c r="C772" i="2"/>
  <c r="C756" i="2"/>
  <c r="C740" i="2"/>
  <c r="C1862" i="2"/>
  <c r="C1836" i="2"/>
  <c r="C1541" i="2"/>
  <c r="C1477" i="2"/>
  <c r="C1397" i="2"/>
  <c r="C1391" i="2"/>
  <c r="C1869" i="2"/>
  <c r="C1752" i="2"/>
  <c r="C1720" i="2"/>
  <c r="C1688" i="2"/>
  <c r="C1656" i="2"/>
  <c r="C1600" i="2"/>
  <c r="C1558" i="2"/>
  <c r="C1552" i="2"/>
  <c r="C1517" i="2"/>
  <c r="C1494" i="2"/>
  <c r="C1488" i="2"/>
  <c r="C1385" i="2"/>
  <c r="C1374" i="2"/>
  <c r="C1358" i="2"/>
  <c r="C1342" i="2"/>
  <c r="C1326" i="2"/>
  <c r="C1310" i="2"/>
  <c r="C1294" i="2"/>
  <c r="C1278" i="2"/>
  <c r="C1262" i="2"/>
  <c r="C1246" i="2"/>
  <c r="C1230" i="2"/>
  <c r="C1214" i="2"/>
  <c r="C1198" i="2"/>
  <c r="C1182" i="2"/>
  <c r="C1166" i="2"/>
  <c r="C1150" i="2"/>
  <c r="C1134" i="2"/>
  <c r="C1118" i="2"/>
  <c r="C1102" i="2"/>
  <c r="C1086" i="2"/>
  <c r="C1070" i="2"/>
  <c r="C1054" i="2"/>
  <c r="C1038" i="2"/>
  <c r="C1022" i="2"/>
  <c r="C1006" i="2"/>
  <c r="C990" i="2"/>
  <c r="C974" i="2"/>
  <c r="C958" i="2"/>
  <c r="C942" i="2"/>
  <c r="C926" i="2"/>
  <c r="C910" i="2"/>
  <c r="C894" i="2"/>
  <c r="C878" i="2"/>
  <c r="C862" i="2"/>
  <c r="C846" i="2"/>
  <c r="C830" i="2"/>
  <c r="C814" i="2"/>
  <c r="C1829" i="2"/>
  <c r="C1797" i="2"/>
  <c r="C1765" i="2"/>
  <c r="C1733" i="2"/>
  <c r="C1701" i="2"/>
  <c r="C1669" i="2"/>
  <c r="C1612" i="2"/>
  <c r="C1606" i="2"/>
  <c r="C1581" i="2"/>
  <c r="C1534" i="2"/>
  <c r="C1470" i="2"/>
  <c r="C1861" i="2"/>
  <c r="C1637" i="2"/>
  <c r="C1413" i="2"/>
  <c r="C1407" i="2"/>
  <c r="C1390" i="2"/>
  <c r="C1847" i="2"/>
  <c r="C1815" i="2"/>
  <c r="C1783" i="2"/>
  <c r="C1751" i="2"/>
  <c r="C1719" i="2"/>
  <c r="C1687" i="2"/>
  <c r="C1655" i="2"/>
  <c r="C1557" i="2"/>
  <c r="C1545" i="2"/>
  <c r="C1516" i="2"/>
  <c r="C1493" i="2"/>
  <c r="C1481" i="2"/>
  <c r="C1401" i="2"/>
  <c r="C1384" i="2"/>
  <c r="C1373" i="2"/>
  <c r="C1357" i="2"/>
  <c r="C1341" i="2"/>
  <c r="C1325" i="2"/>
  <c r="C1309" i="2"/>
  <c r="C1293" i="2"/>
  <c r="C1277" i="2"/>
  <c r="C1261" i="2"/>
  <c r="C1245" i="2"/>
  <c r="C1229" i="2"/>
  <c r="C1213" i="2"/>
  <c r="C1197" i="2"/>
  <c r="C1181" i="2"/>
  <c r="C1165" i="2"/>
  <c r="C1149" i="2"/>
  <c r="C1133" i="2"/>
  <c r="C1117" i="2"/>
  <c r="C1101" i="2"/>
  <c r="C1085" i="2"/>
  <c r="C1069" i="2"/>
  <c r="C1053" i="2"/>
  <c r="C1037" i="2"/>
  <c r="C1021" i="2"/>
  <c r="C1005" i="2"/>
  <c r="C989" i="2"/>
  <c r="C973" i="2"/>
  <c r="C957" i="2"/>
  <c r="C941" i="2"/>
  <c r="C925" i="2"/>
  <c r="C909" i="2"/>
  <c r="C893" i="2"/>
  <c r="C877" i="2"/>
  <c r="C861" i="2"/>
  <c r="C845" i="2"/>
  <c r="C829" i="2"/>
  <c r="C813" i="2"/>
  <c r="C797" i="2"/>
  <c r="C781" i="2"/>
  <c r="C1821" i="2"/>
  <c r="C1789" i="2"/>
  <c r="C1757" i="2"/>
  <c r="C1725" i="2"/>
  <c r="C1693" i="2"/>
  <c r="C1661" i="2"/>
  <c r="C1617" i="2"/>
  <c r="C1611" i="2"/>
  <c r="C1605" i="2"/>
  <c r="C1592" i="2"/>
  <c r="C1580" i="2"/>
  <c r="C1574" i="2"/>
  <c r="C1533" i="2"/>
  <c r="C1510" i="2"/>
  <c r="C1469" i="2"/>
  <c r="C1378" i="2"/>
  <c r="C1362" i="2"/>
  <c r="C1346" i="2"/>
  <c r="C1330" i="2"/>
  <c r="C1314" i="2"/>
  <c r="C1298" i="2"/>
  <c r="C1282" i="2"/>
  <c r="C1266" i="2"/>
  <c r="C1250" i="2"/>
  <c r="C1234" i="2"/>
  <c r="C1218" i="2"/>
  <c r="C1202" i="2"/>
  <c r="C1186" i="2"/>
  <c r="C1170" i="2"/>
  <c r="C1154" i="2"/>
  <c r="C1138" i="2"/>
  <c r="C1122" i="2"/>
  <c r="C1106" i="2"/>
  <c r="C1090" i="2"/>
  <c r="C1074" i="2"/>
  <c r="C1058" i="2"/>
  <c r="C1042" i="2"/>
  <c r="C1026" i="2"/>
  <c r="C1010" i="2"/>
  <c r="C994" i="2"/>
  <c r="C978" i="2"/>
  <c r="C962" i="2"/>
  <c r="C946" i="2"/>
  <c r="C930" i="2"/>
  <c r="C914" i="2"/>
  <c r="C898" i="2"/>
  <c r="C882" i="2"/>
  <c r="C866" i="2"/>
  <c r="C850" i="2"/>
  <c r="C834" i="2"/>
  <c r="C818" i="2"/>
  <c r="C802" i="2"/>
  <c r="C786" i="2"/>
  <c r="C770" i="2"/>
  <c r="C754" i="2"/>
  <c r="C738" i="2"/>
  <c r="C722" i="2"/>
  <c r="C706" i="2"/>
  <c r="C690" i="2"/>
  <c r="C674" i="2"/>
  <c r="C658" i="2"/>
  <c r="C642" i="2"/>
  <c r="C626" i="2"/>
  <c r="C1100" i="2"/>
  <c r="C844" i="2"/>
  <c r="C742" i="2"/>
  <c r="C702" i="2"/>
  <c r="C621" i="2"/>
  <c r="C542" i="2"/>
  <c r="C526" i="2"/>
  <c r="C510" i="2"/>
  <c r="C494" i="2"/>
  <c r="C478" i="2"/>
  <c r="C462" i="2"/>
  <c r="C446" i="2"/>
  <c r="C430" i="2"/>
  <c r="C414" i="2"/>
  <c r="C398" i="2"/>
  <c r="C382" i="2"/>
  <c r="C366" i="2"/>
  <c r="C350" i="2"/>
  <c r="C334" i="2"/>
  <c r="C318" i="2"/>
  <c r="C302" i="2"/>
  <c r="C286" i="2"/>
  <c r="C270" i="2"/>
  <c r="C254" i="2"/>
  <c r="C238" i="2"/>
  <c r="C222" i="2"/>
  <c r="C206" i="2"/>
  <c r="C1084" i="2"/>
  <c r="C828" i="2"/>
  <c r="C790" i="2"/>
  <c r="C768" i="2"/>
  <c r="C762" i="2"/>
  <c r="C676" i="2"/>
  <c r="C580" i="2"/>
  <c r="C3" i="2"/>
  <c r="C1068" i="2"/>
  <c r="C812" i="2"/>
  <c r="C782" i="2"/>
  <c r="C748" i="2"/>
  <c r="C734" i="2"/>
  <c r="C708" i="2"/>
  <c r="C688" i="2"/>
  <c r="C682" i="2"/>
  <c r="C669" i="2"/>
  <c r="C638" i="2"/>
  <c r="C603" i="2"/>
  <c r="C597" i="2"/>
  <c r="C591" i="2"/>
  <c r="C574" i="2"/>
  <c r="C563" i="2"/>
  <c r="C552" i="2"/>
  <c r="C536" i="2"/>
  <c r="C520" i="2"/>
  <c r="C504" i="2"/>
  <c r="C488" i="2"/>
  <c r="C472" i="2"/>
  <c r="C456" i="2"/>
  <c r="C440" i="2"/>
  <c r="C424" i="2"/>
  <c r="C408" i="2"/>
  <c r="C392" i="2"/>
  <c r="C376" i="2"/>
  <c r="C360" i="2"/>
  <c r="C344" i="2"/>
  <c r="C328" i="2"/>
  <c r="C312" i="2"/>
  <c r="C296" i="2"/>
  <c r="C280" i="2"/>
  <c r="C264" i="2"/>
  <c r="C248" i="2"/>
  <c r="C232" i="2"/>
  <c r="C216" i="2"/>
  <c r="C200" i="2"/>
  <c r="C184" i="2"/>
  <c r="C168" i="2"/>
  <c r="C152" i="2"/>
  <c r="C136" i="2"/>
  <c r="C1052" i="2"/>
  <c r="C701" i="2"/>
  <c r="C620" i="2"/>
  <c r="C1036" i="2"/>
  <c r="C796" i="2"/>
  <c r="C774" i="2"/>
  <c r="C720" i="2"/>
  <c r="C714" i="2"/>
  <c r="C694" i="2"/>
  <c r="C650" i="2"/>
  <c r="C644" i="2"/>
  <c r="C1020" i="2"/>
  <c r="C733" i="2"/>
  <c r="C668" i="2"/>
  <c r="C637" i="2"/>
  <c r="C602" i="2"/>
  <c r="C596" i="2"/>
  <c r="C590" i="2"/>
  <c r="C573" i="2"/>
  <c r="C562" i="2"/>
  <c r="C551" i="2"/>
  <c r="C535" i="2"/>
  <c r="C519" i="2"/>
  <c r="C503" i="2"/>
  <c r="C487" i="2"/>
  <c r="C471" i="2"/>
  <c r="C455" i="2"/>
  <c r="C439" i="2"/>
  <c r="C423" i="2"/>
  <c r="C407" i="2"/>
  <c r="C391" i="2"/>
  <c r="C375" i="2"/>
  <c r="C359" i="2"/>
  <c r="C343" i="2"/>
  <c r="C327" i="2"/>
  <c r="C311" i="2"/>
  <c r="C295" i="2"/>
  <c r="C279" i="2"/>
  <c r="C263" i="2"/>
  <c r="C247" i="2"/>
  <c r="C231" i="2"/>
  <c r="C215" i="2"/>
  <c r="C199" i="2"/>
  <c r="C183" i="2"/>
  <c r="C167" i="2"/>
  <c r="C151" i="2"/>
  <c r="C1004" i="2"/>
  <c r="C766" i="2"/>
  <c r="C726" i="2"/>
  <c r="C700" i="2"/>
  <c r="C1244" i="2"/>
  <c r="C988" i="2"/>
  <c r="C780" i="2"/>
  <c r="C752" i="2"/>
  <c r="C746" i="2"/>
  <c r="C686" i="2"/>
  <c r="C578" i="2"/>
  <c r="C1228" i="2"/>
  <c r="C972" i="2"/>
  <c r="C732" i="2"/>
  <c r="C667" i="2"/>
  <c r="C654" i="2"/>
  <c r="C636" i="2"/>
  <c r="C630" i="2"/>
  <c r="C589" i="2"/>
  <c r="C572" i="2"/>
  <c r="C561" i="2"/>
  <c r="C550" i="2"/>
  <c r="C534" i="2"/>
  <c r="C518" i="2"/>
  <c r="C502" i="2"/>
  <c r="C486" i="2"/>
  <c r="C470" i="2"/>
  <c r="C454" i="2"/>
  <c r="C438" i="2"/>
  <c r="C422" i="2"/>
  <c r="C406" i="2"/>
  <c r="C390" i="2"/>
  <c r="C374" i="2"/>
  <c r="C358" i="2"/>
  <c r="C342" i="2"/>
  <c r="C326" i="2"/>
  <c r="C310" i="2"/>
  <c r="C294" i="2"/>
  <c r="C278" i="2"/>
  <c r="C262" i="2"/>
  <c r="C246" i="2"/>
  <c r="C230" i="2"/>
  <c r="C214" i="2"/>
  <c r="C198" i="2"/>
  <c r="C1212" i="2"/>
  <c r="C956" i="2"/>
  <c r="C765" i="2"/>
  <c r="C718" i="2"/>
  <c r="C692" i="2"/>
  <c r="C648" i="2"/>
  <c r="C618" i="2"/>
  <c r="C612" i="2"/>
  <c r="C606" i="2"/>
  <c r="C566" i="2"/>
  <c r="C539" i="2"/>
  <c r="C523" i="2"/>
  <c r="C507" i="2"/>
  <c r="C491" i="2"/>
  <c r="C475" i="2"/>
  <c r="C459" i="2"/>
  <c r="C443" i="2"/>
  <c r="C427" i="2"/>
  <c r="C411" i="2"/>
  <c r="C395" i="2"/>
  <c r="C379" i="2"/>
  <c r="C363" i="2"/>
  <c r="C347" i="2"/>
  <c r="C331" i="2"/>
  <c r="C315" i="2"/>
  <c r="C299" i="2"/>
  <c r="C283" i="2"/>
  <c r="C267" i="2"/>
  <c r="C251" i="2"/>
  <c r="C235" i="2"/>
  <c r="C219" i="2"/>
  <c r="C203" i="2"/>
  <c r="C187" i="2"/>
  <c r="C171" i="2"/>
  <c r="C155" i="2"/>
  <c r="C139" i="2"/>
  <c r="C123" i="2"/>
  <c r="C107" i="2"/>
  <c r="C91" i="2"/>
  <c r="C75" i="2"/>
  <c r="C59" i="2"/>
  <c r="C1196" i="2"/>
  <c r="C940" i="2"/>
  <c r="C758" i="2"/>
  <c r="C685" i="2"/>
  <c r="C660" i="2"/>
  <c r="C594" i="2"/>
  <c r="C1180" i="2"/>
  <c r="C924" i="2"/>
  <c r="C724" i="2"/>
  <c r="C704" i="2"/>
  <c r="C698" i="2"/>
  <c r="C678" i="2"/>
  <c r="C666" i="2"/>
  <c r="C653" i="2"/>
  <c r="C588" i="2"/>
  <c r="C1164" i="2"/>
  <c r="C908" i="2"/>
  <c r="C764" i="2"/>
  <c r="C750" i="2"/>
  <c r="C717" i="2"/>
  <c r="C605" i="2"/>
  <c r="C576" i="2"/>
  <c r="C565" i="2"/>
  <c r="C538" i="2"/>
  <c r="C522" i="2"/>
  <c r="C506" i="2"/>
  <c r="C490" i="2"/>
  <c r="C474" i="2"/>
  <c r="C458" i="2"/>
  <c r="C442" i="2"/>
  <c r="C426" i="2"/>
  <c r="C410" i="2"/>
  <c r="C394" i="2"/>
  <c r="C378" i="2"/>
  <c r="C362" i="2"/>
  <c r="C346" i="2"/>
  <c r="C330" i="2"/>
  <c r="C314" i="2"/>
  <c r="C298" i="2"/>
  <c r="C282" i="2"/>
  <c r="C266" i="2"/>
  <c r="C250" i="2"/>
  <c r="C234" i="2"/>
  <c r="C218" i="2"/>
  <c r="C202" i="2"/>
  <c r="C186" i="2"/>
  <c r="C170" i="2"/>
  <c r="C154" i="2"/>
  <c r="C138" i="2"/>
  <c r="C122" i="2"/>
  <c r="C1148" i="2"/>
  <c r="C892" i="2"/>
  <c r="C736" i="2"/>
  <c r="C730" i="2"/>
  <c r="C710" i="2"/>
  <c r="C684" i="2"/>
  <c r="C622" i="2"/>
  <c r="C1132" i="2"/>
  <c r="C876" i="2"/>
  <c r="C652" i="2"/>
  <c r="C634" i="2"/>
  <c r="C628" i="2"/>
  <c r="C610" i="2"/>
  <c r="C548" i="2"/>
  <c r="C1116" i="2"/>
  <c r="C860" i="2"/>
  <c r="C798" i="2"/>
  <c r="C749" i="2"/>
  <c r="C716" i="2"/>
  <c r="C670" i="2"/>
  <c r="C604" i="2"/>
  <c r="C564" i="2"/>
  <c r="C14" i="2"/>
  <c r="C43" i="2"/>
  <c r="C81" i="2"/>
  <c r="C128" i="2"/>
  <c r="C135" i="2"/>
  <c r="C142" i="2"/>
  <c r="C165" i="2"/>
  <c r="C180" i="2"/>
  <c r="C195" i="2"/>
  <c r="C211" i="2"/>
  <c r="C227" i="2"/>
  <c r="C243" i="2"/>
  <c r="C259" i="2"/>
  <c r="C275" i="2"/>
  <c r="C291" i="2"/>
  <c r="C307" i="2"/>
  <c r="C323" i="2"/>
  <c r="C339" i="2"/>
  <c r="C355" i="2"/>
  <c r="C371" i="2"/>
  <c r="C387" i="2"/>
  <c r="C403" i="2"/>
  <c r="C419" i="2"/>
  <c r="C435" i="2"/>
  <c r="C451" i="2"/>
  <c r="C467" i="2"/>
  <c r="C483" i="2"/>
  <c r="C499" i="2"/>
  <c r="C515" i="2"/>
  <c r="C531" i="2"/>
  <c r="C547" i="2"/>
  <c r="C555" i="2"/>
  <c r="C571" i="2"/>
  <c r="C579" i="2"/>
  <c r="C587" i="2"/>
  <c r="C619" i="2"/>
  <c r="C635" i="2"/>
  <c r="C651" i="2"/>
  <c r="C100" i="2"/>
  <c r="C141" i="2"/>
  <c r="C210" i="2"/>
  <c r="C290" i="2"/>
  <c r="C338" i="2"/>
  <c r="C402" i="2"/>
  <c r="C450" i="2"/>
  <c r="C514" i="2"/>
  <c r="C586" i="2"/>
  <c r="C32" i="2"/>
  <c r="C62" i="2"/>
  <c r="C74" i="2"/>
  <c r="C94" i="2"/>
  <c r="C115" i="2"/>
  <c r="C150" i="2"/>
  <c r="C173" i="2"/>
  <c r="C188" i="2"/>
  <c r="C129" i="2"/>
  <c r="C143" i="2"/>
  <c r="C158" i="2"/>
  <c r="C181" i="2"/>
  <c r="C196" i="2"/>
  <c r="C204" i="2"/>
  <c r="C212" i="2"/>
  <c r="C220" i="2"/>
  <c r="C228" i="2"/>
  <c r="C236" i="2"/>
  <c r="C244" i="2"/>
  <c r="C252" i="2"/>
  <c r="C260" i="2"/>
  <c r="C268" i="2"/>
  <c r="C276" i="2"/>
  <c r="C284" i="2"/>
  <c r="C292" i="2"/>
  <c r="C300" i="2"/>
  <c r="C308" i="2"/>
  <c r="C316" i="2"/>
  <c r="C324" i="2"/>
  <c r="C332" i="2"/>
  <c r="C340" i="2"/>
  <c r="C348" i="2"/>
  <c r="C356" i="2"/>
  <c r="C364" i="2"/>
  <c r="C372" i="2"/>
  <c r="C380" i="2"/>
  <c r="C388" i="2"/>
  <c r="C396" i="2"/>
  <c r="C404" i="2"/>
  <c r="C412" i="2"/>
  <c r="C420" i="2"/>
  <c r="C428" i="2"/>
  <c r="C436" i="2"/>
  <c r="C444" i="2"/>
  <c r="C452" i="2"/>
  <c r="C460" i="2"/>
  <c r="C468" i="2"/>
  <c r="C476" i="2"/>
  <c r="C484" i="2"/>
  <c r="C492" i="2"/>
  <c r="C500" i="2"/>
  <c r="C508" i="2"/>
  <c r="C516" i="2"/>
  <c r="C524" i="2"/>
  <c r="C532" i="2"/>
  <c r="C540" i="2"/>
  <c r="C556" i="2"/>
  <c r="C8" i="2"/>
  <c r="C106" i="2"/>
  <c r="C164" i="2"/>
  <c r="C242" i="2"/>
  <c r="C82" i="2"/>
  <c r="C88" i="2"/>
  <c r="C102" i="2"/>
  <c r="C108" i="2"/>
  <c r="C95" i="2"/>
  <c r="C116" i="2"/>
  <c r="C166" i="2"/>
  <c r="C189" i="2"/>
  <c r="C44" i="2"/>
  <c r="C50" i="2"/>
  <c r="C56" i="2"/>
  <c r="C16" i="2"/>
  <c r="C63" i="2"/>
  <c r="C83" i="2"/>
  <c r="C109" i="2"/>
  <c r="C130" i="2"/>
  <c r="C144" i="2"/>
  <c r="C159" i="2"/>
  <c r="C174" i="2"/>
  <c r="C197" i="2"/>
  <c r="C205" i="2"/>
  <c r="C213" i="2"/>
  <c r="C221" i="2"/>
  <c r="C229" i="2"/>
  <c r="C237" i="2"/>
  <c r="C245" i="2"/>
  <c r="C253" i="2"/>
  <c r="C261" i="2"/>
  <c r="C269" i="2"/>
  <c r="C277" i="2"/>
  <c r="C285" i="2"/>
  <c r="C293" i="2"/>
  <c r="C301" i="2"/>
  <c r="C309" i="2"/>
  <c r="C317" i="2"/>
  <c r="C325" i="2"/>
  <c r="C333" i="2"/>
  <c r="C341" i="2"/>
  <c r="C349" i="2"/>
  <c r="C357" i="2"/>
  <c r="C365" i="2"/>
  <c r="C373" i="2"/>
  <c r="C381" i="2"/>
  <c r="C389" i="2"/>
  <c r="C397" i="2"/>
  <c r="C405" i="2"/>
  <c r="C413" i="2"/>
  <c r="C421" i="2"/>
  <c r="C429" i="2"/>
  <c r="C437" i="2"/>
  <c r="C445" i="2"/>
  <c r="C453" i="2"/>
  <c r="C461" i="2"/>
  <c r="C469" i="2"/>
  <c r="C477" i="2"/>
  <c r="C485" i="2"/>
  <c r="C493" i="2"/>
  <c r="C501" i="2"/>
  <c r="C509" i="2"/>
  <c r="C517" i="2"/>
  <c r="C525" i="2"/>
  <c r="C533" i="2"/>
  <c r="C541" i="2"/>
  <c r="C549" i="2"/>
  <c r="C557" i="2"/>
  <c r="C581" i="2"/>
  <c r="C613" i="2"/>
  <c r="C629" i="2"/>
  <c r="C645" i="2"/>
  <c r="C661" i="2"/>
  <c r="C677" i="2"/>
  <c r="C61" i="2"/>
  <c r="C179" i="2"/>
  <c r="C258" i="2"/>
  <c r="C69" i="2"/>
  <c r="C27" i="2"/>
  <c r="C33" i="2"/>
  <c r="C39" i="2"/>
  <c r="C51" i="2"/>
  <c r="C70" i="2"/>
  <c r="C76" i="2"/>
  <c r="C96" i="2"/>
  <c r="C103" i="2"/>
  <c r="C117" i="2"/>
  <c r="C182" i="2"/>
  <c r="C113" i="2"/>
  <c r="C156" i="2"/>
  <c r="C64" i="2"/>
  <c r="C131" i="2"/>
  <c r="C145" i="2"/>
  <c r="C160" i="2"/>
  <c r="C175" i="2"/>
  <c r="C190" i="2"/>
  <c r="C558" i="2"/>
  <c r="C582" i="2"/>
  <c r="C598" i="2"/>
  <c r="C614" i="2"/>
  <c r="C646" i="2"/>
  <c r="C662" i="2"/>
  <c r="C10" i="2"/>
  <c r="C28" i="2"/>
  <c r="C11" i="2"/>
  <c r="C77" i="2"/>
  <c r="C97" i="2"/>
  <c r="C110" i="2"/>
  <c r="C124" i="2"/>
  <c r="C153" i="2"/>
  <c r="C370" i="2"/>
  <c r="C4" i="2"/>
  <c r="C23" i="2"/>
  <c r="C46" i="2"/>
  <c r="C58" i="2"/>
  <c r="C65" i="2"/>
  <c r="C71" i="2"/>
  <c r="C90" i="2"/>
  <c r="C104" i="2"/>
  <c r="C118" i="2"/>
  <c r="C132" i="2"/>
  <c r="C146" i="2"/>
  <c r="C161" i="2"/>
  <c r="C176" i="2"/>
  <c r="C191" i="2"/>
  <c r="C207" i="2"/>
  <c r="C223" i="2"/>
  <c r="C239" i="2"/>
  <c r="C255" i="2"/>
  <c r="C271" i="2"/>
  <c r="C287" i="2"/>
  <c r="C303" i="2"/>
  <c r="C319" i="2"/>
  <c r="C335" i="2"/>
  <c r="C351" i="2"/>
  <c r="C367" i="2"/>
  <c r="C383" i="2"/>
  <c r="C399" i="2"/>
  <c r="C415" i="2"/>
  <c r="C431" i="2"/>
  <c r="C447" i="2"/>
  <c r="C463" i="2"/>
  <c r="C479" i="2"/>
  <c r="C495" i="2"/>
  <c r="C511" i="2"/>
  <c r="C527" i="2"/>
  <c r="C543" i="2"/>
  <c r="C559" i="2"/>
  <c r="C567" i="2"/>
  <c r="C575" i="2"/>
  <c r="C607" i="2"/>
  <c r="C623" i="2"/>
  <c r="C12" i="2"/>
  <c r="C35" i="2"/>
  <c r="C53" i="2"/>
  <c r="C85" i="2"/>
  <c r="C98" i="2"/>
  <c r="C111" i="2"/>
  <c r="C125" i="2"/>
  <c r="C169" i="2"/>
  <c r="C763" i="2"/>
  <c r="C769" i="2"/>
  <c r="C791" i="2"/>
  <c r="C837" i="2"/>
  <c r="C899" i="2"/>
  <c r="C907" i="2"/>
  <c r="C961" i="2"/>
  <c r="C969" i="2"/>
  <c r="C1000" i="2"/>
  <c r="C1023" i="2"/>
  <c r="C1031" i="2"/>
  <c r="C1093" i="2"/>
  <c r="C1155" i="2"/>
  <c r="C1163" i="2"/>
  <c r="C1217" i="2"/>
  <c r="C1225" i="2"/>
  <c r="C1256" i="2"/>
  <c r="C1272" i="2"/>
  <c r="C1288" i="2"/>
  <c r="C1304" i="2"/>
  <c r="C1320" i="2"/>
  <c r="C1336" i="2"/>
  <c r="C1352" i="2"/>
  <c r="C1368" i="2"/>
  <c r="C1408" i="2"/>
  <c r="C1416" i="2"/>
  <c r="C1424" i="2"/>
  <c r="C1440" i="2"/>
  <c r="C1448" i="2"/>
  <c r="C1464" i="2"/>
  <c r="C1496" i="2"/>
  <c r="C1504" i="2"/>
  <c r="C1528" i="2"/>
  <c r="C1560" i="2"/>
  <c r="C1568" i="2"/>
  <c r="C1608" i="2"/>
  <c r="C1616" i="2"/>
  <c r="C1624" i="2"/>
  <c r="C1640" i="2"/>
  <c r="C1648" i="2"/>
  <c r="C1664" i="2"/>
  <c r="C1680" i="2"/>
  <c r="C1696" i="2"/>
  <c r="C1712" i="2"/>
  <c r="C1728" i="2"/>
  <c r="C1744" i="2"/>
  <c r="C1760" i="2"/>
  <c r="C1776" i="2"/>
  <c r="C1784" i="2"/>
  <c r="C1792" i="2"/>
  <c r="C1808" i="2"/>
  <c r="C1816" i="2"/>
  <c r="C1824" i="2"/>
  <c r="C1832" i="2"/>
  <c r="C1848" i="2"/>
  <c r="C1856" i="2"/>
  <c r="C665" i="2"/>
  <c r="C697" i="2"/>
  <c r="C703" i="2"/>
  <c r="C723" i="2"/>
  <c r="C743" i="2"/>
  <c r="C777" i="2"/>
  <c r="C853" i="2"/>
  <c r="C915" i="2"/>
  <c r="C923" i="2"/>
  <c r="C977" i="2"/>
  <c r="C985" i="2"/>
  <c r="C1016" i="2"/>
  <c r="C1039" i="2"/>
  <c r="C1047" i="2"/>
  <c r="C1109" i="2"/>
  <c r="C1171" i="2"/>
  <c r="C1179" i="2"/>
  <c r="C1233" i="2"/>
  <c r="C1241" i="2"/>
  <c r="C593" i="2"/>
  <c r="C599" i="2"/>
  <c r="C659" i="2"/>
  <c r="C671" i="2"/>
  <c r="C757" i="2"/>
  <c r="C792" i="2"/>
  <c r="C799" i="2"/>
  <c r="C807" i="2"/>
  <c r="C869" i="2"/>
  <c r="C931" i="2"/>
  <c r="C939" i="2"/>
  <c r="C993" i="2"/>
  <c r="C1001" i="2"/>
  <c r="C1032" i="2"/>
  <c r="C1055" i="2"/>
  <c r="C1063" i="2"/>
  <c r="C1125" i="2"/>
  <c r="C1187" i="2"/>
  <c r="C1195" i="2"/>
  <c r="C1249" i="2"/>
  <c r="C1257" i="2"/>
  <c r="C1265" i="2"/>
  <c r="C1273" i="2"/>
  <c r="C1281" i="2"/>
  <c r="C1289" i="2"/>
  <c r="C1297" i="2"/>
  <c r="C1305" i="2"/>
  <c r="C1313" i="2"/>
  <c r="C1321" i="2"/>
  <c r="C1329" i="2"/>
  <c r="C1337" i="2"/>
  <c r="C1345" i="2"/>
  <c r="C1353" i="2"/>
  <c r="C1361" i="2"/>
  <c r="C1369" i="2"/>
  <c r="C1377" i="2"/>
  <c r="C1393" i="2"/>
  <c r="C1425" i="2"/>
  <c r="C1441" i="2"/>
  <c r="C1457" i="2"/>
  <c r="C1465" i="2"/>
  <c r="C1489" i="2"/>
  <c r="C1497" i="2"/>
  <c r="C1505" i="2"/>
  <c r="C1521" i="2"/>
  <c r="C1529" i="2"/>
  <c r="C1553" i="2"/>
  <c r="C1561" i="2"/>
  <c r="C1569" i="2"/>
  <c r="C1601" i="2"/>
  <c r="C1649" i="2"/>
  <c r="C1665" i="2"/>
  <c r="C1681" i="2"/>
  <c r="C1697" i="2"/>
  <c r="C1713" i="2"/>
  <c r="C1729" i="2"/>
  <c r="C1745" i="2"/>
  <c r="C1761" i="2"/>
  <c r="C1777" i="2"/>
  <c r="C1793" i="2"/>
  <c r="C1809" i="2"/>
  <c r="C1825" i="2"/>
  <c r="C1841" i="2"/>
  <c r="C1873" i="2"/>
  <c r="C1889" i="2"/>
  <c r="C1905" i="2"/>
  <c r="C1921" i="2"/>
  <c r="C611" i="2"/>
  <c r="C617" i="2"/>
  <c r="C647" i="2"/>
  <c r="C691" i="2"/>
  <c r="C744" i="2"/>
  <c r="C785" i="2"/>
  <c r="C815" i="2"/>
  <c r="C823" i="2"/>
  <c r="C885" i="2"/>
  <c r="C947" i="2"/>
  <c r="C955" i="2"/>
  <c r="C1009" i="2"/>
  <c r="C1017" i="2"/>
  <c r="C1048" i="2"/>
  <c r="C1071" i="2"/>
  <c r="C1079" i="2"/>
  <c r="C1141" i="2"/>
  <c r="C1203" i="2"/>
  <c r="C1211" i="2"/>
  <c r="C641" i="2"/>
  <c r="C711" i="2"/>
  <c r="C731" i="2"/>
  <c r="C737" i="2"/>
  <c r="C771" i="2"/>
  <c r="C793" i="2"/>
  <c r="C808" i="2"/>
  <c r="C831" i="2"/>
  <c r="C839" i="2"/>
  <c r="C901" i="2"/>
  <c r="C963" i="2"/>
  <c r="C971" i="2"/>
  <c r="C1025" i="2"/>
  <c r="C1033" i="2"/>
  <c r="C1064" i="2"/>
  <c r="C1087" i="2"/>
  <c r="C1095" i="2"/>
  <c r="C1157" i="2"/>
  <c r="C1219" i="2"/>
  <c r="C1227" i="2"/>
  <c r="C1410" i="2"/>
  <c r="C1442" i="2"/>
  <c r="C1458" i="2"/>
  <c r="C1490" i="2"/>
  <c r="C1522" i="2"/>
  <c r="C1554" i="2"/>
  <c r="C577" i="2"/>
  <c r="C745" i="2"/>
  <c r="C751" i="2"/>
  <c r="C779" i="2"/>
  <c r="C824" i="2"/>
  <c r="C847" i="2"/>
  <c r="C855" i="2"/>
  <c r="C917" i="2"/>
  <c r="C979" i="2"/>
  <c r="C987" i="2"/>
  <c r="C1041" i="2"/>
  <c r="C1049" i="2"/>
  <c r="C1080" i="2"/>
  <c r="C1103" i="2"/>
  <c r="C1111" i="2"/>
  <c r="C1173" i="2"/>
  <c r="C1235" i="2"/>
  <c r="C1243" i="2"/>
  <c r="C583" i="2"/>
  <c r="C679" i="2"/>
  <c r="C699" i="2"/>
  <c r="C705" i="2"/>
  <c r="C712" i="2"/>
  <c r="C725" i="2"/>
  <c r="C801" i="2"/>
  <c r="C809" i="2"/>
  <c r="C840" i="2"/>
  <c r="C863" i="2"/>
  <c r="C871" i="2"/>
  <c r="C933" i="2"/>
  <c r="C995" i="2"/>
  <c r="C1003" i="2"/>
  <c r="C1057" i="2"/>
  <c r="C1065" i="2"/>
  <c r="C1096" i="2"/>
  <c r="C1119" i="2"/>
  <c r="C1127" i="2"/>
  <c r="C1189" i="2"/>
  <c r="C1251" i="2"/>
  <c r="C1259" i="2"/>
  <c r="C1267" i="2"/>
  <c r="C1275" i="2"/>
  <c r="C1283" i="2"/>
  <c r="C1291" i="2"/>
  <c r="C1299" i="2"/>
  <c r="C1307" i="2"/>
  <c r="C1315" i="2"/>
  <c r="C1323" i="2"/>
  <c r="C1331" i="2"/>
  <c r="C1339" i="2"/>
  <c r="C1347" i="2"/>
  <c r="C1355" i="2"/>
  <c r="C1363" i="2"/>
  <c r="C1371" i="2"/>
  <c r="C1387" i="2"/>
  <c r="C1419" i="2"/>
  <c r="C1435" i="2"/>
  <c r="C1451" i="2"/>
  <c r="C1467" i="2"/>
  <c r="C1499" i="2"/>
  <c r="C1531" i="2"/>
  <c r="C1563" i="2"/>
  <c r="C1579" i="2"/>
  <c r="C1595" i="2"/>
  <c r="C1643" i="2"/>
  <c r="C595" i="2"/>
  <c r="C601" i="2"/>
  <c r="C673" i="2"/>
  <c r="C759" i="2"/>
  <c r="C787" i="2"/>
  <c r="C817" i="2"/>
  <c r="C825" i="2"/>
  <c r="C856" i="2"/>
  <c r="C879" i="2"/>
  <c r="C887" i="2"/>
  <c r="C949" i="2"/>
  <c r="C1011" i="2"/>
  <c r="C1019" i="2"/>
  <c r="C1073" i="2"/>
  <c r="C1081" i="2"/>
  <c r="C1112" i="2"/>
  <c r="C1135" i="2"/>
  <c r="C1143" i="2"/>
  <c r="C1205" i="2"/>
  <c r="C643" i="2"/>
  <c r="C649" i="2"/>
  <c r="C680" i="2"/>
  <c r="C693" i="2"/>
  <c r="C713" i="2"/>
  <c r="C719" i="2"/>
  <c r="C739" i="2"/>
  <c r="C773" i="2"/>
  <c r="C795" i="2"/>
  <c r="C833" i="2"/>
  <c r="C841" i="2"/>
  <c r="C872" i="2"/>
  <c r="C895" i="2"/>
  <c r="C903" i="2"/>
  <c r="C965" i="2"/>
  <c r="C1027" i="2"/>
  <c r="C1035" i="2"/>
  <c r="C1089" i="2"/>
  <c r="C1097" i="2"/>
  <c r="C1128" i="2"/>
  <c r="C1151" i="2"/>
  <c r="C1159" i="2"/>
  <c r="C1221" i="2"/>
  <c r="C1380" i="2"/>
  <c r="C1436" i="2"/>
  <c r="C1452" i="2"/>
  <c r="C1468" i="2"/>
  <c r="C1500" i="2"/>
  <c r="C1532" i="2"/>
  <c r="C1564" i="2"/>
  <c r="C1596" i="2"/>
  <c r="C1644" i="2"/>
  <c r="C1660" i="2"/>
  <c r="C1676" i="2"/>
  <c r="C1692" i="2"/>
  <c r="C1708" i="2"/>
  <c r="C1724" i="2"/>
  <c r="C1740" i="2"/>
  <c r="C1756" i="2"/>
  <c r="C1772" i="2"/>
  <c r="C1788" i="2"/>
  <c r="C1804" i="2"/>
  <c r="C1820" i="2"/>
  <c r="C631" i="2"/>
  <c r="C655" i="2"/>
  <c r="C760" i="2"/>
  <c r="C849" i="2"/>
  <c r="C857" i="2"/>
  <c r="C888" i="2"/>
  <c r="C911" i="2"/>
  <c r="C919" i="2"/>
  <c r="C981" i="2"/>
  <c r="C1043" i="2"/>
  <c r="C1051" i="2"/>
  <c r="C1105" i="2"/>
  <c r="C1113" i="2"/>
  <c r="C1144" i="2"/>
  <c r="C1167" i="2"/>
  <c r="C1175" i="2"/>
  <c r="C1237" i="2"/>
  <c r="C625" i="2"/>
  <c r="C681" i="2"/>
  <c r="C687" i="2"/>
  <c r="C707" i="2"/>
  <c r="C747" i="2"/>
  <c r="C753" i="2"/>
  <c r="C803" i="2"/>
  <c r="C811" i="2"/>
  <c r="C865" i="2"/>
  <c r="C873" i="2"/>
  <c r="C904" i="2"/>
  <c r="C927" i="2"/>
  <c r="C935" i="2"/>
  <c r="C997" i="2"/>
  <c r="C1059" i="2"/>
  <c r="C1067" i="2"/>
  <c r="C1121" i="2"/>
  <c r="C1129" i="2"/>
  <c r="C1160" i="2"/>
  <c r="C1183" i="2"/>
  <c r="C1191" i="2"/>
  <c r="C1253" i="2"/>
  <c r="C1269" i="2"/>
  <c r="C1285" i="2"/>
  <c r="C1301" i="2"/>
  <c r="C1317" i="2"/>
  <c r="C1333" i="2"/>
  <c r="C1349" i="2"/>
  <c r="C1365" i="2"/>
  <c r="C1389" i="2"/>
  <c r="C1453" i="2"/>
  <c r="C585" i="2"/>
  <c r="C675" i="2"/>
  <c r="C727" i="2"/>
  <c r="C761" i="2"/>
  <c r="C767" i="2"/>
  <c r="C789" i="2"/>
  <c r="C819" i="2"/>
  <c r="C827" i="2"/>
  <c r="C881" i="2"/>
  <c r="C889" i="2"/>
  <c r="C920" i="2"/>
  <c r="C943" i="2"/>
  <c r="C951" i="2"/>
  <c r="C1013" i="2"/>
  <c r="C1075" i="2"/>
  <c r="C1083" i="2"/>
  <c r="C1137" i="2"/>
  <c r="C1145" i="2"/>
  <c r="C1176" i="2"/>
  <c r="C1199" i="2"/>
  <c r="C1207" i="2"/>
  <c r="C741" i="2"/>
  <c r="C835" i="2"/>
  <c r="C843" i="2"/>
  <c r="C897" i="2"/>
  <c r="C905" i="2"/>
  <c r="C936" i="2"/>
  <c r="C959" i="2"/>
  <c r="C967" i="2"/>
  <c r="C1029" i="2"/>
  <c r="C1091" i="2"/>
  <c r="C1099" i="2"/>
  <c r="C1153" i="2"/>
  <c r="C1161" i="2"/>
  <c r="C1192" i="2"/>
  <c r="C1215" i="2"/>
  <c r="C1223" i="2"/>
  <c r="C1382" i="2"/>
  <c r="C1414" i="2"/>
  <c r="C1430" i="2"/>
  <c r="C1446" i="2"/>
  <c r="C1590" i="2"/>
  <c r="C1638" i="2"/>
  <c r="C663" i="2"/>
  <c r="C695" i="2"/>
  <c r="C715" i="2"/>
  <c r="C721" i="2"/>
  <c r="C728" i="2"/>
  <c r="C775" i="2"/>
  <c r="C851" i="2"/>
  <c r="C859" i="2"/>
  <c r="C913" i="2"/>
  <c r="C921" i="2"/>
  <c r="C952" i="2"/>
  <c r="C975" i="2"/>
  <c r="C983" i="2"/>
  <c r="C1045" i="2"/>
  <c r="C1107" i="2"/>
  <c r="C1115" i="2"/>
  <c r="C1169" i="2"/>
  <c r="C1177" i="2"/>
  <c r="C1208" i="2"/>
  <c r="C1231" i="2"/>
  <c r="C1239" i="2"/>
  <c r="C569" i="2"/>
  <c r="C609" i="2"/>
  <c r="C615" i="2"/>
  <c r="C627" i="2"/>
  <c r="C633" i="2"/>
  <c r="C657" i="2"/>
  <c r="C755" i="2"/>
  <c r="C805" i="2"/>
  <c r="C867" i="2"/>
  <c r="C875" i="2"/>
  <c r="C929" i="2"/>
  <c r="C937" i="2"/>
  <c r="C968" i="2"/>
  <c r="C991" i="2"/>
  <c r="C999" i="2"/>
  <c r="C1061" i="2"/>
  <c r="C1123" i="2"/>
  <c r="C1131" i="2"/>
  <c r="C1185" i="2"/>
  <c r="C1193" i="2"/>
  <c r="C1224" i="2"/>
  <c r="C1247" i="2"/>
  <c r="C1255" i="2"/>
  <c r="C1263" i="2"/>
  <c r="C1271" i="2"/>
  <c r="C1279" i="2"/>
  <c r="C1287" i="2"/>
  <c r="C1295" i="2"/>
  <c r="C1303" i="2"/>
  <c r="C1311" i="2"/>
  <c r="C1319" i="2"/>
  <c r="C1327" i="2"/>
  <c r="C1335" i="2"/>
  <c r="C1343" i="2"/>
  <c r="C1351" i="2"/>
  <c r="C1359" i="2"/>
  <c r="C1367" i="2"/>
  <c r="C1375" i="2"/>
  <c r="C1399" i="2"/>
  <c r="C1431" i="2"/>
  <c r="C1447" i="2"/>
  <c r="C1463" i="2"/>
  <c r="C1495" i="2"/>
  <c r="C1511" i="2"/>
  <c r="C1527" i="2"/>
  <c r="C1559" i="2"/>
  <c r="C1575" i="2"/>
  <c r="C1591" i="2"/>
  <c r="C1623" i="2"/>
  <c r="C553" i="2"/>
  <c r="C639" i="2"/>
  <c r="C664" i="2"/>
  <c r="C683" i="2"/>
  <c r="C689" i="2"/>
  <c r="C696" i="2"/>
  <c r="C709" i="2"/>
  <c r="C729" i="2"/>
  <c r="C735" i="2"/>
  <c r="C776" i="2"/>
  <c r="C783" i="2"/>
  <c r="C821" i="2"/>
  <c r="C883" i="2"/>
  <c r="C891" i="2"/>
  <c r="C945" i="2"/>
  <c r="C953" i="2"/>
  <c r="C984" i="2"/>
  <c r="C1007" i="2"/>
  <c r="C1015" i="2"/>
  <c r="C1077" i="2"/>
  <c r="C1139" i="2"/>
  <c r="C1147" i="2"/>
  <c r="C1201" i="2"/>
  <c r="C1209" i="2"/>
  <c r="C1240" i="2"/>
  <c r="C1395" i="2"/>
  <c r="C1418" i="2"/>
  <c r="C1475" i="2"/>
  <c r="C1539" i="2"/>
  <c r="C1586" i="2"/>
  <c r="C1668" i="2"/>
  <c r="C1674" i="2"/>
  <c r="C1700" i="2"/>
  <c r="C1706" i="2"/>
  <c r="C1732" i="2"/>
  <c r="C1738" i="2"/>
  <c r="C1764" i="2"/>
  <c r="C1770" i="2"/>
  <c r="C1796" i="2"/>
  <c r="C1802" i="2"/>
  <c r="C1828" i="2"/>
  <c r="C1834" i="2"/>
  <c r="C1874" i="2"/>
  <c r="C1868" i="2"/>
  <c r="C1882" i="2"/>
  <c r="C1897" i="2"/>
  <c r="C1912" i="2"/>
  <c r="C1943" i="2"/>
  <c r="C1379" i="2"/>
  <c r="C1396" i="2"/>
  <c r="C1476" i="2"/>
  <c r="C1540" i="2"/>
  <c r="C1587" i="2"/>
  <c r="C1593" i="2"/>
  <c r="C1618" i="2"/>
  <c r="C1675" i="2"/>
  <c r="C1707" i="2"/>
  <c r="C1739" i="2"/>
  <c r="C1771" i="2"/>
  <c r="C1803" i="2"/>
  <c r="C1835" i="2"/>
  <c r="C1875" i="2"/>
  <c r="C1890" i="2"/>
  <c r="C1402" i="2"/>
  <c r="C1482" i="2"/>
  <c r="C1546" i="2"/>
  <c r="C1883" i="2"/>
  <c r="C1898" i="2"/>
  <c r="C1913" i="2"/>
  <c r="C1928" i="2"/>
  <c r="C1459" i="2"/>
  <c r="C1523" i="2"/>
  <c r="C1588" i="2"/>
  <c r="C1594" i="2"/>
  <c r="C1619" i="2"/>
  <c r="C1625" i="2"/>
  <c r="C1650" i="2"/>
  <c r="C1682" i="2"/>
  <c r="C1714" i="2"/>
  <c r="C1746" i="2"/>
  <c r="C1778" i="2"/>
  <c r="C1810" i="2"/>
  <c r="C1842" i="2"/>
  <c r="C1876" i="2"/>
  <c r="C1891" i="2"/>
  <c r="C1906" i="2"/>
  <c r="C1884" i="2"/>
  <c r="C1899" i="2"/>
  <c r="C1914" i="2"/>
  <c r="C1929" i="2"/>
  <c r="C1937" i="2"/>
  <c r="C1386" i="2"/>
  <c r="C1460" i="2"/>
  <c r="C1524" i="2"/>
  <c r="C1620" i="2"/>
  <c r="C1626" i="2"/>
  <c r="C1651" i="2"/>
  <c r="C1657" i="2"/>
  <c r="C1683" i="2"/>
  <c r="C1689" i="2"/>
  <c r="C1715" i="2"/>
  <c r="C1721" i="2"/>
  <c r="C1747" i="2"/>
  <c r="C1753" i="2"/>
  <c r="C1779" i="2"/>
  <c r="C1785" i="2"/>
  <c r="C1811" i="2"/>
  <c r="C1817" i="2"/>
  <c r="C1843" i="2"/>
  <c r="C1849" i="2"/>
  <c r="C1892" i="2"/>
  <c r="C1907" i="2"/>
  <c r="C1922" i="2"/>
  <c r="C1443" i="2"/>
  <c r="C1466" i="2"/>
  <c r="C1530" i="2"/>
  <c r="C1900" i="2"/>
  <c r="C1915" i="2"/>
  <c r="C1930" i="2"/>
  <c r="C1938" i="2"/>
  <c r="C1946" i="2"/>
  <c r="C1507" i="2"/>
  <c r="C1571" i="2"/>
  <c r="C1577" i="2"/>
  <c r="C1652" i="2"/>
  <c r="C1658" i="2"/>
  <c r="C1684" i="2"/>
  <c r="C1690" i="2"/>
  <c r="C1716" i="2"/>
  <c r="C1722" i="2"/>
  <c r="C1748" i="2"/>
  <c r="C1754" i="2"/>
  <c r="C1780" i="2"/>
  <c r="C1786" i="2"/>
  <c r="C1812" i="2"/>
  <c r="C1818" i="2"/>
  <c r="C1844" i="2"/>
  <c r="C1850" i="2"/>
  <c r="C1908" i="2"/>
  <c r="C1923" i="2"/>
  <c r="C1444" i="2"/>
  <c r="C1602" i="2"/>
  <c r="C1864" i="2"/>
  <c r="C1916" i="2"/>
  <c r="C1931" i="2"/>
  <c r="C1947" i="2"/>
  <c r="C1427" i="2"/>
  <c r="C1450" i="2"/>
  <c r="C1508" i="2"/>
  <c r="C1572" i="2"/>
  <c r="C1578" i="2"/>
  <c r="C1659" i="2"/>
  <c r="C1691" i="2"/>
  <c r="C1723" i="2"/>
  <c r="C1755" i="2"/>
  <c r="C1787" i="2"/>
  <c r="C1819" i="2"/>
  <c r="C1851" i="2"/>
  <c r="C1924" i="2"/>
  <c r="C1514" i="2"/>
  <c r="C1603" i="2"/>
  <c r="C1609" i="2"/>
  <c r="C1634" i="2"/>
  <c r="C1858" i="2"/>
  <c r="C1865" i="2"/>
  <c r="C1932" i="2"/>
  <c r="C1428" i="2"/>
  <c r="C1491" i="2"/>
  <c r="C1555" i="2"/>
  <c r="C1666" i="2"/>
  <c r="C1698" i="2"/>
  <c r="C1730" i="2"/>
  <c r="C1762" i="2"/>
  <c r="C1794" i="2"/>
  <c r="C1826" i="2"/>
  <c r="C1852" i="2"/>
  <c r="D1951" i="2"/>
  <c r="B1950" i="2"/>
  <c r="C1411" i="2"/>
  <c r="C1434" i="2"/>
  <c r="C1604" i="2"/>
  <c r="C1610" i="2"/>
  <c r="C1635" i="2"/>
  <c r="C1641" i="2"/>
  <c r="C1859" i="2"/>
  <c r="C1866" i="2"/>
  <c r="C1880" i="2"/>
  <c r="C1941" i="2"/>
  <c r="C1492" i="2"/>
  <c r="C1556" i="2"/>
  <c r="C1667" i="2"/>
  <c r="C1673" i="2"/>
  <c r="C1699" i="2"/>
  <c r="C1705" i="2"/>
  <c r="C1731" i="2"/>
  <c r="C1737" i="2"/>
  <c r="C1763" i="2"/>
  <c r="C1769" i="2"/>
  <c r="C1795" i="2"/>
  <c r="C1801" i="2"/>
  <c r="C1827" i="2"/>
  <c r="C1833" i="2"/>
  <c r="C1412" i="2"/>
  <c r="C1498" i="2"/>
  <c r="C1562" i="2"/>
  <c r="C1636" i="2"/>
  <c r="C1642" i="2"/>
  <c r="C1860" i="2"/>
  <c r="C1867" i="2"/>
  <c r="C1881" i="2"/>
  <c r="C1896" i="2"/>
  <c r="C1942" i="2"/>
  <c r="B1948" i="2"/>
  <c r="C1948" i="2" s="1"/>
  <c r="B1949" i="2"/>
  <c r="C1939" i="2"/>
  <c r="C1945" i="2"/>
  <c r="C1949" i="2" l="1"/>
  <c r="C1950" i="2"/>
  <c r="B1951" i="2"/>
  <c r="D1952" i="2"/>
  <c r="D1953" i="2" l="1"/>
  <c r="B1952" i="2"/>
  <c r="C1951" i="2"/>
  <c r="C1952" i="2" l="1"/>
  <c r="D1954" i="2"/>
  <c r="B1953" i="2"/>
  <c r="C1953" i="2" l="1"/>
  <c r="B1954" i="2"/>
  <c r="D1955" i="2"/>
  <c r="B1955" i="2" l="1"/>
  <c r="D1956" i="2"/>
  <c r="C1954" i="2"/>
  <c r="D1957" i="2" l="1"/>
  <c r="B1956" i="2"/>
  <c r="C1955" i="2"/>
  <c r="C1956" i="2" l="1"/>
  <c r="D1958" i="2"/>
  <c r="B1957" i="2"/>
  <c r="C1957" i="2" s="1"/>
  <c r="B1958" i="2" l="1"/>
  <c r="C1958" i="2" s="1"/>
  <c r="D1959" i="2"/>
  <c r="D1960" i="2" l="1"/>
  <c r="B1959" i="2"/>
  <c r="C1959" i="2" s="1"/>
  <c r="D1961" i="2" l="1"/>
  <c r="B1960" i="2"/>
  <c r="C1960" i="2" s="1"/>
  <c r="D1962" i="2" l="1"/>
  <c r="B1961" i="2"/>
  <c r="C1961" i="2" s="1"/>
  <c r="D1963" i="2" l="1"/>
  <c r="B1962" i="2"/>
  <c r="C1962" i="2" s="1"/>
  <c r="D1964" i="2" l="1"/>
  <c r="B1963" i="2"/>
  <c r="C1963" i="2" s="1"/>
  <c r="D1965" i="2" l="1"/>
  <c r="B1964" i="2"/>
  <c r="C1964" i="2" s="1"/>
  <c r="D1966" i="2" l="1"/>
  <c r="B1965" i="2"/>
  <c r="C1965" i="2" s="1"/>
  <c r="B1966" i="2" l="1"/>
  <c r="C1966" i="2" s="1"/>
  <c r="D1967" i="2"/>
  <c r="D1968" i="2" l="1"/>
  <c r="B1967" i="2"/>
  <c r="C1967" i="2" s="1"/>
  <c r="D1969" i="2" l="1"/>
  <c r="B1968" i="2"/>
  <c r="C1968" i="2" s="1"/>
  <c r="D1970" i="2" l="1"/>
  <c r="B1969" i="2"/>
  <c r="C1969" i="2" s="1"/>
  <c r="B1970" i="2" l="1"/>
  <c r="C1970" i="2" s="1"/>
  <c r="D1971" i="2"/>
  <c r="B1971" i="2" l="1"/>
  <c r="C1971" i="2" s="1"/>
  <c r="D1972" i="2"/>
  <c r="D1973" i="2" l="1"/>
  <c r="B1972" i="2"/>
  <c r="C1972" i="2" s="1"/>
  <c r="D1974" i="2" l="1"/>
  <c r="B1973" i="2"/>
  <c r="C1973" i="2" s="1"/>
  <c r="D1975" i="2" l="1"/>
  <c r="B1974" i="2"/>
  <c r="C1974" i="2" s="1"/>
  <c r="B1975" i="2" l="1"/>
  <c r="C1975" i="2" s="1"/>
  <c r="D1976" i="2"/>
  <c r="D1977" i="2" l="1"/>
  <c r="B1976" i="2"/>
  <c r="C1976" i="2" s="1"/>
  <c r="D1978" i="2" l="1"/>
  <c r="B1977" i="2"/>
  <c r="C1977" i="2" s="1"/>
  <c r="D1979" i="2" l="1"/>
  <c r="B1978" i="2"/>
  <c r="C1978" i="2" s="1"/>
  <c r="B1979" i="2" l="1"/>
  <c r="C1979" i="2" s="1"/>
  <c r="D1980" i="2"/>
  <c r="D1981" i="2" l="1"/>
  <c r="B1980" i="2"/>
  <c r="C1980" i="2" s="1"/>
  <c r="D1982" i="2" l="1"/>
  <c r="B1981" i="2"/>
  <c r="C1981" i="2" s="1"/>
  <c r="D1983" i="2" l="1"/>
  <c r="B1982" i="2"/>
  <c r="C1982" i="2" s="1"/>
  <c r="D1984" i="2" l="1"/>
  <c r="B1983" i="2"/>
  <c r="C1983" i="2" s="1"/>
  <c r="D1985" i="2" l="1"/>
  <c r="B1984" i="2"/>
  <c r="C1984" i="2" s="1"/>
  <c r="D1986" i="2" l="1"/>
  <c r="B1985" i="2"/>
  <c r="C1985" i="2" s="1"/>
  <c r="D1987" i="2" l="1"/>
  <c r="B1986" i="2"/>
  <c r="C1986" i="2" s="1"/>
  <c r="D1988" i="2" l="1"/>
  <c r="B1987" i="2"/>
  <c r="C1987" i="2" s="1"/>
  <c r="D1989" i="2" l="1"/>
  <c r="B1988" i="2"/>
  <c r="C1988" i="2" s="1"/>
  <c r="B1989" i="2" l="1"/>
  <c r="C1989" i="2" s="1"/>
  <c r="D1990" i="2"/>
  <c r="B1990" i="2" l="1"/>
  <c r="C1990" i="2" s="1"/>
  <c r="D1991" i="2"/>
  <c r="D1992" i="2" l="1"/>
  <c r="B1991" i="2"/>
  <c r="C1991" i="2" s="1"/>
  <c r="D1993" i="2" l="1"/>
  <c r="B1992" i="2"/>
  <c r="C1992" i="2" s="1"/>
  <c r="D1994" i="2" l="1"/>
  <c r="B1993" i="2"/>
  <c r="C1993" i="2" s="1"/>
  <c r="B1994" i="2" l="1"/>
  <c r="C1994" i="2" s="1"/>
  <c r="D1995" i="2"/>
  <c r="B1995" i="2" l="1"/>
  <c r="C1995" i="2" s="1"/>
  <c r="D1996" i="2"/>
  <c r="D1997" i="2" l="1"/>
  <c r="B1996" i="2"/>
  <c r="C1996" i="2" s="1"/>
  <c r="B1997" i="2" l="1"/>
  <c r="C1997" i="2" s="1"/>
  <c r="D1998" i="2"/>
  <c r="B1998" i="2" l="1"/>
  <c r="C1998" i="2" s="1"/>
  <c r="D1999" i="2"/>
  <c r="B1999" i="2" l="1"/>
  <c r="C1999" i="2" s="1"/>
  <c r="D2000" i="2"/>
  <c r="D2001" i="2" l="1"/>
  <c r="B2000" i="2"/>
  <c r="C2000" i="2" s="1"/>
  <c r="D2002" i="2" l="1"/>
  <c r="B2001" i="2"/>
  <c r="C2001" i="2" s="1"/>
  <c r="D2003" i="2" l="1"/>
  <c r="B2002" i="2"/>
  <c r="C2002" i="2" s="1"/>
  <c r="D2004" i="2" l="1"/>
  <c r="B2003" i="2"/>
  <c r="C2003" i="2" s="1"/>
  <c r="D2005" i="2" l="1"/>
  <c r="B2004" i="2"/>
  <c r="C2004" i="2" s="1"/>
  <c r="B2005" i="2" l="1"/>
  <c r="C2005" i="2" s="1"/>
  <c r="D2006" i="2"/>
  <c r="B2006" i="2" l="1"/>
  <c r="C2006" i="2" s="1"/>
  <c r="D2007" i="2"/>
  <c r="B2007" i="2" l="1"/>
  <c r="C2007" i="2" s="1"/>
  <c r="D2008" i="2"/>
  <c r="D2009" i="2" l="1"/>
  <c r="B2008" i="2"/>
  <c r="C2008" i="2" s="1"/>
  <c r="D2010" i="2" l="1"/>
  <c r="B2009" i="2"/>
  <c r="C2009" i="2" s="1"/>
  <c r="B2010" i="2" l="1"/>
  <c r="C2010" i="2" s="1"/>
  <c r="D2011" i="2"/>
  <c r="B2011" i="2" l="1"/>
  <c r="C2011" i="2" s="1"/>
  <c r="D2012" i="2"/>
  <c r="D2013" i="2" l="1"/>
  <c r="B2012" i="2"/>
  <c r="C2012" i="2" s="1"/>
  <c r="B2013" i="2" l="1"/>
  <c r="C2013" i="2" s="1"/>
  <c r="D2014" i="2"/>
  <c r="D2015" i="2" l="1"/>
  <c r="B2014" i="2"/>
  <c r="C2014" i="2" s="1"/>
  <c r="B2015" i="2" l="1"/>
  <c r="C2015" i="2" s="1"/>
  <c r="D2016" i="2"/>
  <c r="D2017" i="2" l="1"/>
  <c r="B2016" i="2"/>
  <c r="C2016" i="2" s="1"/>
  <c r="D2018" i="2" l="1"/>
  <c r="B2017" i="2"/>
  <c r="C2017" i="2" s="1"/>
  <c r="D2019" i="2" l="1"/>
  <c r="B2018" i="2"/>
  <c r="C2018" i="2" s="1"/>
  <c r="D2020" i="2" l="1"/>
  <c r="B2019" i="2"/>
  <c r="C2019" i="2" s="1"/>
  <c r="D2021" i="2" l="1"/>
  <c r="B2020" i="2"/>
  <c r="C2020" i="2" s="1"/>
  <c r="B2021" i="2" l="1"/>
  <c r="C2021" i="2" s="1"/>
  <c r="D2022" i="2"/>
  <c r="B2022" i="2" l="1"/>
  <c r="C2022" i="2" s="1"/>
  <c r="D2023" i="2"/>
  <c r="D2024" i="2" l="1"/>
  <c r="B2023" i="2"/>
  <c r="C2023" i="2" s="1"/>
  <c r="D2025" i="2" l="1"/>
  <c r="B2024" i="2"/>
  <c r="C2024" i="2" s="1"/>
  <c r="B2025" i="2" l="1"/>
  <c r="C2025" i="2" s="1"/>
  <c r="D2026" i="2"/>
  <c r="B2026" i="2" l="1"/>
  <c r="C2026" i="2" s="1"/>
  <c r="D2027" i="2"/>
  <c r="B2027" i="2" l="1"/>
  <c r="C2027" i="2" s="1"/>
  <c r="D2028" i="2"/>
  <c r="D2029" i="2" l="1"/>
  <c r="B2028" i="2"/>
  <c r="C2028" i="2" s="1"/>
  <c r="B2029" i="2" l="1"/>
  <c r="C2029" i="2" s="1"/>
  <c r="D2030" i="2"/>
  <c r="B2030" i="2" l="1"/>
  <c r="C2030" i="2" s="1"/>
  <c r="D2031" i="2"/>
  <c r="B2031" i="2" l="1"/>
  <c r="C2031" i="2" s="1"/>
  <c r="D2032" i="2"/>
  <c r="D2033" i="2" l="1"/>
  <c r="B2032" i="2"/>
  <c r="C2032" i="2" s="1"/>
  <c r="D2034" i="2" l="1"/>
  <c r="B2033" i="2"/>
  <c r="C2033" i="2" s="1"/>
  <c r="D2035" i="2" l="1"/>
  <c r="B2034" i="2"/>
  <c r="C2034" i="2" s="1"/>
  <c r="D2036" i="2" l="1"/>
  <c r="B2035" i="2"/>
  <c r="C2035" i="2" s="1"/>
  <c r="D2037" i="2" l="1"/>
  <c r="B2036" i="2"/>
  <c r="C2036" i="2" s="1"/>
  <c r="D2038" i="2" l="1"/>
  <c r="B2037" i="2"/>
  <c r="C2037" i="2" s="1"/>
  <c r="B2038" i="2" l="1"/>
  <c r="C2038" i="2" s="1"/>
  <c r="D2039" i="2"/>
  <c r="D2040" i="2" l="1"/>
  <c r="B2039" i="2"/>
  <c r="C2039" i="2" s="1"/>
  <c r="D2041" i="2" l="1"/>
  <c r="B2040" i="2"/>
  <c r="C2040" i="2" s="1"/>
  <c r="D2042" i="2" l="1"/>
  <c r="B2041" i="2"/>
  <c r="C2041" i="2" s="1"/>
  <c r="D2043" i="2" l="1"/>
  <c r="B2042" i="2"/>
  <c r="C2042" i="2" s="1"/>
  <c r="B2043" i="2" l="1"/>
  <c r="C2043" i="2" s="1"/>
  <c r="D2044" i="2"/>
  <c r="D2045" i="2" l="1"/>
  <c r="B2044" i="2"/>
  <c r="C2044" i="2" s="1"/>
  <c r="B2045" i="2" l="1"/>
  <c r="C2045" i="2" s="1"/>
  <c r="D2046" i="2"/>
  <c r="D2047" i="2" l="1"/>
  <c r="B2046" i="2"/>
  <c r="C2046" i="2" s="1"/>
  <c r="D2048" i="2" l="1"/>
  <c r="B2047" i="2"/>
  <c r="C2047" i="2" s="1"/>
  <c r="D2049" i="2" l="1"/>
  <c r="B2048" i="2"/>
  <c r="C2048" i="2" s="1"/>
  <c r="B2049" i="2" l="1"/>
  <c r="C2049" i="2" s="1"/>
  <c r="D2050" i="2"/>
  <c r="D2051" i="2" l="1"/>
  <c r="B2050" i="2"/>
  <c r="C2050" i="2" s="1"/>
  <c r="D2052" i="2" l="1"/>
  <c r="B2051" i="2"/>
  <c r="C2051" i="2" s="1"/>
  <c r="D2053" i="2" l="1"/>
  <c r="B2052" i="2"/>
  <c r="C2052" i="2" s="1"/>
  <c r="B2053" i="2" l="1"/>
  <c r="C2053" i="2" s="1"/>
  <c r="D2054" i="2"/>
  <c r="B2054" i="2" l="1"/>
  <c r="C2054" i="2" s="1"/>
  <c r="D2055" i="2"/>
  <c r="D2056" i="2" l="1"/>
  <c r="B2055" i="2"/>
  <c r="C2055" i="2" s="1"/>
  <c r="D2057" i="2" l="1"/>
  <c r="B2056" i="2"/>
  <c r="C2056" i="2" s="1"/>
  <c r="D2058" i="2" l="1"/>
  <c r="B2057" i="2"/>
  <c r="C2057" i="2" s="1"/>
  <c r="B2058" i="2" l="1"/>
  <c r="C2058" i="2" s="1"/>
  <c r="D2059" i="2"/>
  <c r="B2059" i="2" l="1"/>
  <c r="C2059" i="2" s="1"/>
  <c r="D2060" i="2"/>
  <c r="D2061" i="2" l="1"/>
  <c r="B2060" i="2"/>
  <c r="C2060" i="2" s="1"/>
  <c r="D2062" i="2" l="1"/>
  <c r="B2061" i="2"/>
  <c r="C2061" i="2" s="1"/>
  <c r="B2062" i="2" l="1"/>
  <c r="C2062" i="2" s="1"/>
  <c r="D2063" i="2"/>
  <c r="B2063" i="2" l="1"/>
  <c r="C2063" i="2" s="1"/>
  <c r="D2064" i="2"/>
  <c r="D2065" i="2" l="1"/>
  <c r="B2064" i="2"/>
  <c r="C2064" i="2" s="1"/>
  <c r="D2066" i="2" l="1"/>
  <c r="B2065" i="2"/>
  <c r="C2065" i="2" s="1"/>
  <c r="D2067" i="2" l="1"/>
  <c r="B2066" i="2"/>
  <c r="C2066" i="2" s="1"/>
  <c r="D2068" i="2" l="1"/>
  <c r="B2067" i="2"/>
  <c r="C2067" i="2" s="1"/>
  <c r="D2069" i="2" l="1"/>
  <c r="B2068" i="2"/>
  <c r="C2068" i="2" s="1"/>
  <c r="D2070" i="2" l="1"/>
  <c r="B2069" i="2"/>
  <c r="C2069" i="2" s="1"/>
  <c r="B2070" i="2" l="1"/>
  <c r="C2070" i="2" s="1"/>
  <c r="D2071" i="2"/>
  <c r="B2071" i="2" l="1"/>
  <c r="C2071" i="2" s="1"/>
  <c r="D2072" i="2"/>
  <c r="D2073" i="2" l="1"/>
  <c r="B2072" i="2"/>
  <c r="C2072" i="2" s="1"/>
  <c r="D2074" i="2" l="1"/>
  <c r="B2073" i="2"/>
  <c r="C2073" i="2" s="1"/>
  <c r="D2075" i="2" l="1"/>
  <c r="B2074" i="2"/>
  <c r="C2074" i="2" s="1"/>
  <c r="B2075" i="2" l="1"/>
  <c r="C2075" i="2" s="1"/>
  <c r="D2076" i="2"/>
  <c r="D2077" i="2" l="1"/>
  <c r="B2076" i="2"/>
  <c r="C2076" i="2" s="1"/>
  <c r="D2078" i="2" l="1"/>
  <c r="B2077" i="2"/>
  <c r="C2077" i="2" s="1"/>
  <c r="D2079" i="2" l="1"/>
  <c r="B2078" i="2"/>
  <c r="C2078" i="2" s="1"/>
  <c r="D2080" i="2" l="1"/>
  <c r="B2079" i="2"/>
  <c r="C2079" i="2" s="1"/>
  <c r="D2081" i="2" l="1"/>
  <c r="B2080" i="2"/>
  <c r="C2080" i="2" s="1"/>
  <c r="B2081" i="2" l="1"/>
  <c r="C2081" i="2" s="1"/>
  <c r="D2082" i="2"/>
  <c r="D2083" i="2" l="1"/>
  <c r="B2082" i="2"/>
  <c r="C2082" i="2" s="1"/>
  <c r="D2084" i="2" l="1"/>
  <c r="B2083" i="2"/>
  <c r="C2083" i="2" s="1"/>
  <c r="D2085" i="2" l="1"/>
  <c r="B2084" i="2"/>
  <c r="C2084" i="2" s="1"/>
  <c r="D2086" i="2" l="1"/>
  <c r="B2085" i="2"/>
  <c r="C2085" i="2" s="1"/>
  <c r="B2086" i="2" l="1"/>
  <c r="C2086" i="2" s="1"/>
  <c r="D2087" i="2"/>
  <c r="D2088" i="2" l="1"/>
  <c r="B2087" i="2"/>
  <c r="C2087" i="2" s="1"/>
  <c r="D2089" i="2" l="1"/>
  <c r="B2088" i="2"/>
  <c r="C2088" i="2" s="1"/>
  <c r="D2090" i="2" l="1"/>
  <c r="B2089" i="2"/>
  <c r="C2089" i="2" s="1"/>
  <c r="B2090" i="2" l="1"/>
  <c r="C2090" i="2" s="1"/>
  <c r="D2091" i="2"/>
  <c r="B2091" i="2" l="1"/>
  <c r="C2091" i="2" s="1"/>
  <c r="D2092" i="2"/>
  <c r="D2093" i="2" l="1"/>
  <c r="B2092" i="2"/>
  <c r="C2092" i="2" s="1"/>
  <c r="D2094" i="2" l="1"/>
  <c r="B2093" i="2"/>
  <c r="C2093" i="2" s="1"/>
  <c r="D2095" i="2" l="1"/>
  <c r="B2094" i="2"/>
  <c r="C2094" i="2" s="1"/>
  <c r="D2096" i="2" l="1"/>
  <c r="B2095" i="2"/>
  <c r="C2095" i="2" s="1"/>
  <c r="D2097" i="2" l="1"/>
  <c r="B2096" i="2"/>
  <c r="C2096" i="2" s="1"/>
  <c r="D2098" i="2" l="1"/>
  <c r="B2097" i="2"/>
  <c r="C2097" i="2" s="1"/>
  <c r="B2098" i="2" l="1"/>
  <c r="C2098" i="2" s="1"/>
  <c r="D2099" i="2"/>
  <c r="D2100" i="2" l="1"/>
  <c r="B2099" i="2"/>
  <c r="C2099" i="2" s="1"/>
  <c r="D2101" i="2" l="1"/>
  <c r="B2100" i="2"/>
  <c r="C2100" i="2" s="1"/>
  <c r="D2102" i="2" l="1"/>
  <c r="B2101" i="2"/>
  <c r="C2101" i="2" s="1"/>
  <c r="B2102" i="2" l="1"/>
  <c r="C2102" i="2" s="1"/>
  <c r="D2103" i="2"/>
  <c r="D2104" i="2" l="1"/>
  <c r="B2103" i="2"/>
  <c r="C2103" i="2" s="1"/>
  <c r="D2105" i="2" l="1"/>
  <c r="B2104" i="2"/>
  <c r="C2104" i="2" s="1"/>
  <c r="B2105" i="2" l="1"/>
  <c r="C2105" i="2" s="1"/>
  <c r="D2106" i="2"/>
  <c r="D2107" i="2" l="1"/>
  <c r="B2106" i="2"/>
  <c r="C2106" i="2" s="1"/>
  <c r="D2108" i="2" l="1"/>
  <c r="B2107" i="2"/>
  <c r="C2107" i="2" s="1"/>
  <c r="D2109" i="2" l="1"/>
  <c r="B2108" i="2"/>
  <c r="C2108" i="2" s="1"/>
  <c r="B2109" i="2" l="1"/>
  <c r="C2109" i="2" s="1"/>
  <c r="D2110" i="2"/>
  <c r="D2111" i="2" l="1"/>
  <c r="B2110" i="2"/>
  <c r="C2110" i="2" s="1"/>
  <c r="D2112" i="2" l="1"/>
  <c r="B2111" i="2"/>
  <c r="C2111" i="2" s="1"/>
  <c r="D2113" i="2" l="1"/>
  <c r="B2112" i="2"/>
  <c r="C2112" i="2" s="1"/>
  <c r="D2114" i="2" l="1"/>
  <c r="B2113" i="2"/>
  <c r="C2113" i="2" s="1"/>
  <c r="D2115" i="2" l="1"/>
  <c r="B2114" i="2"/>
  <c r="C2114" i="2" s="1"/>
  <c r="D2116" i="2" l="1"/>
  <c r="B2115" i="2"/>
  <c r="C2115" i="2" s="1"/>
  <c r="D2117" i="2" l="1"/>
  <c r="B2116" i="2"/>
  <c r="C2116" i="2" s="1"/>
  <c r="D2118" i="2" l="1"/>
  <c r="B2117" i="2"/>
  <c r="C2117" i="2" s="1"/>
  <c r="B2118" i="2" l="1"/>
  <c r="C2118" i="2" s="1"/>
  <c r="D2119" i="2"/>
  <c r="D2120" i="2" l="1"/>
  <c r="B2119" i="2"/>
  <c r="C2119" i="2" s="1"/>
  <c r="D2121" i="2" l="1"/>
  <c r="B2120" i="2"/>
  <c r="C2120" i="2" s="1"/>
  <c r="D2122" i="2" l="1"/>
  <c r="B2121" i="2"/>
  <c r="C2121" i="2" s="1"/>
  <c r="B2122" i="2" l="1"/>
  <c r="C2122" i="2" s="1"/>
  <c r="D2123" i="2"/>
  <c r="D2124" i="2" l="1"/>
  <c r="B2123" i="2"/>
  <c r="C2123" i="2" s="1"/>
  <c r="D2125" i="2" l="1"/>
  <c r="B2124" i="2"/>
  <c r="C2124" i="2" s="1"/>
  <c r="D2126" i="2" l="1"/>
  <c r="B2125" i="2"/>
  <c r="C2125" i="2" s="1"/>
  <c r="D2127" i="2" l="1"/>
  <c r="B2126" i="2"/>
  <c r="C2126" i="2" s="1"/>
  <c r="D2128" i="2" l="1"/>
  <c r="B2127" i="2"/>
  <c r="C2127" i="2" s="1"/>
  <c r="D2129" i="2" l="1"/>
  <c r="B2128" i="2"/>
  <c r="C2128" i="2" s="1"/>
  <c r="D2130" i="2" l="1"/>
  <c r="B2129" i="2"/>
  <c r="C2129" i="2" s="1"/>
  <c r="D2131" i="2" l="1"/>
  <c r="B2130" i="2"/>
  <c r="C2130" i="2" s="1"/>
  <c r="D2132" i="2" l="1"/>
  <c r="B2131" i="2"/>
  <c r="C2131" i="2" s="1"/>
  <c r="D2133" i="2" l="1"/>
  <c r="B2132" i="2"/>
  <c r="C2132" i="2" s="1"/>
  <c r="B2133" i="2" l="1"/>
  <c r="C2133" i="2" s="1"/>
  <c r="D2134" i="2"/>
  <c r="B2134" i="2" l="1"/>
  <c r="C2134" i="2" s="1"/>
  <c r="D2135" i="2"/>
  <c r="D2136" i="2" l="1"/>
  <c r="B2135" i="2"/>
  <c r="C2135" i="2" s="1"/>
  <c r="D2137" i="2" l="1"/>
  <c r="B2136" i="2"/>
  <c r="C2136" i="2" s="1"/>
  <c r="D2138" i="2" l="1"/>
  <c r="B2137" i="2"/>
  <c r="C2137" i="2" s="1"/>
  <c r="B2138" i="2" l="1"/>
  <c r="C2138" i="2" s="1"/>
  <c r="D2139" i="2"/>
  <c r="B2139" i="2" l="1"/>
  <c r="C2139" i="2" s="1"/>
  <c r="D2140" i="2"/>
  <c r="D2141" i="2" l="1"/>
  <c r="B2140" i="2"/>
  <c r="C2140" i="2" s="1"/>
  <c r="D2142" i="2" l="1"/>
  <c r="B2141" i="2"/>
  <c r="C2141" i="2" s="1"/>
  <c r="D2143" i="2" l="1"/>
  <c r="B2142" i="2"/>
  <c r="C2142" i="2" s="1"/>
  <c r="D2144" i="2" l="1"/>
  <c r="B2143" i="2"/>
  <c r="C2143" i="2" s="1"/>
  <c r="D2145" i="2" l="1"/>
  <c r="B2144" i="2"/>
  <c r="C2144" i="2" s="1"/>
  <c r="D2146" i="2" l="1"/>
  <c r="B2145" i="2"/>
  <c r="C2145" i="2" s="1"/>
  <c r="D2147" i="2" l="1"/>
  <c r="B2146" i="2"/>
  <c r="C2146" i="2" s="1"/>
  <c r="B2147" i="2" l="1"/>
  <c r="C2147" i="2" s="1"/>
  <c r="D2148" i="2"/>
  <c r="D2149" i="2" l="1"/>
  <c r="B2148" i="2"/>
  <c r="C2148" i="2" s="1"/>
  <c r="D2150" i="2" l="1"/>
  <c r="B2149" i="2"/>
  <c r="C2149" i="2" s="1"/>
  <c r="D2151" i="2" l="1"/>
  <c r="B2150" i="2"/>
  <c r="C2150" i="2" s="1"/>
  <c r="B2151" i="2" l="1"/>
  <c r="C2151" i="2" s="1"/>
  <c r="D2152" i="2"/>
  <c r="D2153" i="2" l="1"/>
  <c r="B2152" i="2"/>
  <c r="C2152" i="2" s="1"/>
  <c r="B2153" i="2" l="1"/>
  <c r="C2153" i="2" s="1"/>
  <c r="D2154" i="2"/>
  <c r="D2155" i="2" l="1"/>
  <c r="B2154" i="2"/>
  <c r="C2154" i="2" s="1"/>
  <c r="D2156" i="2" l="1"/>
  <c r="B2155" i="2"/>
  <c r="C2155" i="2" s="1"/>
  <c r="D2157" i="2" l="1"/>
  <c r="B2156" i="2"/>
  <c r="C2156" i="2" s="1"/>
  <c r="D2158" i="2" l="1"/>
  <c r="B2157" i="2"/>
  <c r="C2157" i="2" s="1"/>
  <c r="B2158" i="2" l="1"/>
  <c r="C2158" i="2" s="1"/>
  <c r="D2159" i="2"/>
  <c r="D2160" i="2" l="1"/>
  <c r="B2159" i="2"/>
  <c r="C2159" i="2" s="1"/>
  <c r="D2161" i="2" l="1"/>
  <c r="B2160" i="2"/>
  <c r="C2160" i="2" s="1"/>
  <c r="B2161" i="2" l="1"/>
  <c r="C2161" i="2" s="1"/>
  <c r="D2162" i="2"/>
  <c r="D2163" i="2" l="1"/>
  <c r="B2162" i="2"/>
  <c r="C2162" i="2" s="1"/>
  <c r="D2164" i="2" l="1"/>
  <c r="B2163" i="2"/>
  <c r="C2163" i="2" s="1"/>
  <c r="D2165" i="2" l="1"/>
  <c r="B2164" i="2"/>
  <c r="C2164" i="2" s="1"/>
  <c r="B2165" i="2" l="1"/>
  <c r="C2165" i="2" s="1"/>
  <c r="D2166" i="2"/>
  <c r="B2166" i="2" l="1"/>
  <c r="C2166" i="2" s="1"/>
  <c r="D2167" i="2"/>
  <c r="D2168" i="2" l="1"/>
  <c r="B2167" i="2"/>
  <c r="C2167" i="2" s="1"/>
  <c r="D2169" i="2" l="1"/>
  <c r="B2168" i="2"/>
  <c r="C2168" i="2" s="1"/>
  <c r="D2170" i="2" l="1"/>
  <c r="B2169" i="2"/>
  <c r="C2169" i="2" s="1"/>
  <c r="B2170" i="2" l="1"/>
  <c r="C2170" i="2" s="1"/>
  <c r="D2171" i="2"/>
  <c r="B2171" i="2" l="1"/>
  <c r="C2171" i="2" s="1"/>
  <c r="D2172" i="2"/>
  <c r="D2173" i="2" l="1"/>
  <c r="B2172" i="2"/>
  <c r="C2172" i="2" s="1"/>
  <c r="B2173" i="2" l="1"/>
  <c r="C2173" i="2" s="1"/>
  <c r="D2174" i="2"/>
  <c r="B2174" i="2" l="1"/>
  <c r="C2174" i="2" s="1"/>
  <c r="D2175" i="2"/>
  <c r="B2175" i="2" l="1"/>
  <c r="C2175" i="2" s="1"/>
  <c r="D2176" i="2"/>
  <c r="D2177" i="2" l="1"/>
  <c r="B2176" i="2"/>
  <c r="C2176" i="2" s="1"/>
  <c r="D2178" i="2" l="1"/>
  <c r="B2177" i="2"/>
  <c r="C2177" i="2" s="1"/>
  <c r="D2179" i="2" l="1"/>
  <c r="B2178" i="2"/>
  <c r="C2178" i="2" s="1"/>
  <c r="D2180" i="2" l="1"/>
  <c r="B2179" i="2"/>
  <c r="C2179" i="2" s="1"/>
  <c r="D2181" i="2" l="1"/>
  <c r="B2180" i="2"/>
  <c r="C2180" i="2" s="1"/>
  <c r="D2182" i="2" l="1"/>
  <c r="B2181" i="2"/>
  <c r="C2181" i="2" s="1"/>
  <c r="D2183" i="2" l="1"/>
  <c r="B2182" i="2"/>
  <c r="C2182" i="2" s="1"/>
  <c r="D2184" i="2" l="1"/>
  <c r="B2183" i="2"/>
  <c r="C2183" i="2" s="1"/>
  <c r="D2185" i="2" l="1"/>
  <c r="B2184" i="2"/>
  <c r="C2184" i="2" s="1"/>
  <c r="D2186" i="2" l="1"/>
  <c r="B2185" i="2"/>
  <c r="C2185" i="2" s="1"/>
  <c r="B2186" i="2" l="1"/>
  <c r="C2186" i="2" s="1"/>
  <c r="D2187" i="2"/>
  <c r="D2188" i="2" l="1"/>
  <c r="B2187" i="2"/>
  <c r="C2187" i="2" s="1"/>
  <c r="D2189" i="2" l="1"/>
  <c r="B2188" i="2"/>
  <c r="C2188" i="2" s="1"/>
  <c r="B2189" i="2" l="1"/>
  <c r="C2189" i="2" s="1"/>
  <c r="D2190" i="2"/>
  <c r="B2190" i="2" l="1"/>
  <c r="C2190" i="2" s="1"/>
  <c r="D2191" i="2"/>
  <c r="D2192" i="2" l="1"/>
  <c r="B2191" i="2"/>
  <c r="C2191" i="2" s="1"/>
  <c r="D2193" i="2" l="1"/>
  <c r="B2192" i="2"/>
  <c r="C2192" i="2" s="1"/>
  <c r="D2194" i="2" l="1"/>
  <c r="B2193" i="2"/>
  <c r="C2193" i="2" s="1"/>
  <c r="B2194" i="2" l="1"/>
  <c r="C2194" i="2" s="1"/>
  <c r="D2195" i="2"/>
  <c r="B2195" i="2" l="1"/>
  <c r="C2195" i="2" s="1"/>
  <c r="D2196" i="2"/>
  <c r="D2197" i="2" l="1"/>
  <c r="B2196" i="2"/>
  <c r="C2196" i="2" s="1"/>
  <c r="D2198" i="2" l="1"/>
  <c r="B2197" i="2"/>
  <c r="C2197" i="2" s="1"/>
  <c r="D2199" i="2" l="1"/>
  <c r="B2198" i="2"/>
  <c r="C2198" i="2" s="1"/>
  <c r="D2200" i="2" l="1"/>
  <c r="B2199" i="2"/>
  <c r="C2199" i="2" s="1"/>
  <c r="D2201" i="2" l="1"/>
  <c r="B2200" i="2"/>
  <c r="C2200" i="2" s="1"/>
  <c r="B2201" i="2" l="1"/>
  <c r="C2201" i="2" s="1"/>
  <c r="D2202" i="2"/>
  <c r="B2202" i="2" l="1"/>
  <c r="C2202" i="2" s="1"/>
  <c r="D2203" i="2"/>
  <c r="B2203" i="2" l="1"/>
  <c r="C2203" i="2" s="1"/>
  <c r="D2204" i="2"/>
  <c r="D2205" i="2" l="1"/>
  <c r="B2204" i="2"/>
  <c r="C2204" i="2" s="1"/>
  <c r="B2205" i="2" l="1"/>
  <c r="C2205" i="2" s="1"/>
  <c r="D2206" i="2"/>
  <c r="D2207" i="2" l="1"/>
  <c r="B2206" i="2"/>
  <c r="C2206" i="2" s="1"/>
  <c r="D2208" i="2" l="1"/>
  <c r="B2207" i="2"/>
  <c r="C2207" i="2" s="1"/>
  <c r="D2209" i="2" l="1"/>
  <c r="B2208" i="2"/>
  <c r="C2208" i="2" s="1"/>
  <c r="B2209" i="2" l="1"/>
  <c r="C2209" i="2" s="1"/>
  <c r="D2210" i="2"/>
  <c r="D2211" i="2" l="1"/>
  <c r="B2210" i="2"/>
  <c r="C2210" i="2" s="1"/>
  <c r="B2211" i="2" l="1"/>
  <c r="C2211" i="2" s="1"/>
  <c r="D2212" i="2"/>
  <c r="D2213" i="2" l="1"/>
  <c r="B2212" i="2"/>
  <c r="C2212" i="2" s="1"/>
  <c r="D2214" i="2" l="1"/>
  <c r="B2213" i="2"/>
  <c r="C2213" i="2" s="1"/>
  <c r="D2215" i="2" l="1"/>
  <c r="B2214" i="2"/>
  <c r="C2214" i="2" s="1"/>
  <c r="D2216" i="2" l="1"/>
  <c r="B2215" i="2"/>
  <c r="C2215" i="2" s="1"/>
  <c r="D2217" i="2" l="1"/>
  <c r="B2216" i="2"/>
  <c r="C2216" i="2" s="1"/>
  <c r="D2218" i="2" l="1"/>
  <c r="B2217" i="2"/>
  <c r="C2217" i="2" s="1"/>
  <c r="D2219" i="2" l="1"/>
  <c r="B2218" i="2"/>
  <c r="C2218" i="2" s="1"/>
  <c r="B2219" i="2" l="1"/>
  <c r="C2219" i="2" s="1"/>
  <c r="D2220" i="2"/>
  <c r="D2221" i="2" l="1"/>
  <c r="B2220" i="2"/>
  <c r="C2220" i="2" s="1"/>
  <c r="D2222" i="2" l="1"/>
  <c r="B2221" i="2"/>
  <c r="C2221" i="2" s="1"/>
  <c r="B2222" i="2" l="1"/>
  <c r="C2222" i="2" s="1"/>
  <c r="D2223" i="2"/>
  <c r="D2224" i="2" l="1"/>
  <c r="B2223" i="2"/>
  <c r="C2223" i="2" s="1"/>
  <c r="D2225" i="2" l="1"/>
  <c r="B2224" i="2"/>
  <c r="C2224" i="2" s="1"/>
  <c r="D2226" i="2" l="1"/>
  <c r="B2225" i="2"/>
  <c r="C2225" i="2" s="1"/>
  <c r="B2226" i="2" l="1"/>
  <c r="C2226" i="2" s="1"/>
  <c r="D2227" i="2"/>
  <c r="D2228" i="2" l="1"/>
  <c r="B2227" i="2"/>
  <c r="C2227" i="2" s="1"/>
  <c r="D2229" i="2" l="1"/>
  <c r="B2228" i="2"/>
  <c r="C2228" i="2" s="1"/>
  <c r="B2229" i="2" l="1"/>
  <c r="C2229" i="2" s="1"/>
  <c r="D2230" i="2"/>
  <c r="B2230" i="2" l="1"/>
  <c r="C2230" i="2" s="1"/>
  <c r="D2231" i="2"/>
  <c r="D2232" i="2" l="1"/>
  <c r="B2231" i="2"/>
  <c r="C2231" i="2" s="1"/>
  <c r="D2233" i="2" l="1"/>
  <c r="B2232" i="2"/>
  <c r="C2232" i="2" s="1"/>
  <c r="D2234" i="2" l="1"/>
  <c r="B2233" i="2"/>
  <c r="C2233" i="2" s="1"/>
  <c r="B2234" i="2" l="1"/>
  <c r="C2234" i="2" s="1"/>
  <c r="D2235" i="2"/>
  <c r="B2235" i="2" l="1"/>
  <c r="C2235" i="2" s="1"/>
  <c r="D2236" i="2"/>
  <c r="D2237" i="2" l="1"/>
  <c r="B2236" i="2"/>
  <c r="C2236" i="2" s="1"/>
  <c r="D2238" i="2" l="1"/>
  <c r="B2237" i="2"/>
  <c r="C2237" i="2" s="1"/>
  <c r="B2238" i="2" l="1"/>
  <c r="C2238" i="2" s="1"/>
  <c r="D2239" i="2"/>
  <c r="B2239" i="2" l="1"/>
  <c r="C2239" i="2" s="1"/>
  <c r="D2240" i="2"/>
  <c r="D2241" i="2" l="1"/>
  <c r="B2240" i="2"/>
  <c r="C2240" i="2" s="1"/>
  <c r="D2242" i="2" l="1"/>
  <c r="B2241" i="2"/>
  <c r="C2241" i="2" s="1"/>
  <c r="B2242" i="2" l="1"/>
  <c r="C2242" i="2" s="1"/>
  <c r="D2243" i="2"/>
  <c r="B2243" i="2" l="1"/>
  <c r="C2243" i="2" s="1"/>
  <c r="D2244" i="2"/>
  <c r="D2245" i="2" l="1"/>
  <c r="B2244" i="2"/>
  <c r="C2244" i="2" s="1"/>
  <c r="B2245" i="2" l="1"/>
  <c r="C2245" i="2" s="1"/>
  <c r="D2246" i="2"/>
  <c r="B2246" i="2" l="1"/>
  <c r="C2246" i="2" s="1"/>
  <c r="D2247" i="2"/>
  <c r="B2247" i="2" l="1"/>
  <c r="C2247" i="2" s="1"/>
  <c r="D2248" i="2"/>
  <c r="D2249" i="2" l="1"/>
  <c r="B2248" i="2"/>
  <c r="C2248" i="2" s="1"/>
  <c r="D2250" i="2" l="1"/>
  <c r="B2249" i="2"/>
  <c r="C2249" i="2" s="1"/>
  <c r="B2250" i="2" l="1"/>
  <c r="C2250" i="2" s="1"/>
  <c r="D2251" i="2"/>
  <c r="B2251" i="2" l="1"/>
  <c r="C2251" i="2" s="1"/>
  <c r="D2252" i="2"/>
  <c r="D2253" i="2" l="1"/>
  <c r="B2252" i="2"/>
  <c r="C2252" i="2" s="1"/>
  <c r="B2253" i="2" l="1"/>
  <c r="C2253" i="2" s="1"/>
  <c r="D2254" i="2"/>
  <c r="B2254" i="2" l="1"/>
  <c r="C2254" i="2" s="1"/>
  <c r="D2255" i="2"/>
  <c r="D2256" i="2" l="1"/>
  <c r="B2255" i="2"/>
  <c r="C2255" i="2" s="1"/>
  <c r="D2257" i="2" l="1"/>
  <c r="B2256" i="2"/>
  <c r="C2256" i="2" s="1"/>
  <c r="B2257" i="2" l="1"/>
  <c r="C2257" i="2" s="1"/>
  <c r="D2258" i="2"/>
  <c r="B2258" i="2" l="1"/>
  <c r="C2258" i="2" s="1"/>
  <c r="D2259" i="2"/>
  <c r="D2260" i="2" l="1"/>
  <c r="B2259" i="2"/>
  <c r="C2259" i="2" s="1"/>
  <c r="D2261" i="2" l="1"/>
  <c r="B2260" i="2"/>
  <c r="C2260" i="2" s="1"/>
  <c r="B2261" i="2" l="1"/>
  <c r="C2261" i="2" s="1"/>
  <c r="D2262" i="2"/>
  <c r="B2262" i="2" l="1"/>
  <c r="C2262" i="2" s="1"/>
  <c r="D2263" i="2"/>
  <c r="D2264" i="2" l="1"/>
  <c r="B2263" i="2"/>
  <c r="C2263" i="2" s="1"/>
  <c r="D2265" i="2" l="1"/>
  <c r="B2264" i="2"/>
  <c r="C2264" i="2" s="1"/>
  <c r="D2266" i="2" l="1"/>
  <c r="B2265" i="2"/>
  <c r="C2265" i="2" s="1"/>
  <c r="B2266" i="2" l="1"/>
  <c r="C2266" i="2" s="1"/>
  <c r="D2267" i="2"/>
  <c r="B2267" i="2" l="1"/>
  <c r="C2267" i="2" s="1"/>
  <c r="D2268" i="2"/>
  <c r="D2269" i="2" l="1"/>
  <c r="B2268" i="2"/>
  <c r="C2268" i="2" s="1"/>
  <c r="D2270" i="2" l="1"/>
  <c r="B2269" i="2"/>
  <c r="C2269" i="2" s="1"/>
  <c r="B2270" i="2" l="1"/>
  <c r="C2270" i="2" s="1"/>
  <c r="D2271" i="2"/>
  <c r="B2271" i="2" l="1"/>
  <c r="C2271" i="2" s="1"/>
  <c r="D2272" i="2"/>
  <c r="D2273" i="2" l="1"/>
  <c r="B2272" i="2"/>
  <c r="C2272" i="2" s="1"/>
  <c r="B2273" i="2" l="1"/>
  <c r="C2273" i="2" s="1"/>
  <c r="D2274" i="2"/>
  <c r="B2274" i="2" l="1"/>
  <c r="C2274" i="2" s="1"/>
  <c r="D2275" i="2"/>
  <c r="B2275" i="2" l="1"/>
  <c r="C2275" i="2" s="1"/>
  <c r="D2276" i="2"/>
  <c r="D2277" i="2" l="1"/>
  <c r="B2276" i="2"/>
  <c r="C2276" i="2" s="1"/>
  <c r="B2277" i="2" l="1"/>
  <c r="C2277" i="2" s="1"/>
  <c r="D2278" i="2"/>
  <c r="B2278" i="2" l="1"/>
  <c r="C2278" i="2" s="1"/>
  <c r="D2279" i="2"/>
  <c r="B2279" i="2" l="1"/>
  <c r="C2279" i="2" s="1"/>
  <c r="D2280" i="2"/>
  <c r="D2281" i="2" l="1"/>
  <c r="B2280" i="2"/>
  <c r="C2280" i="2" s="1"/>
  <c r="B2281" i="2" l="1"/>
  <c r="C2281" i="2" s="1"/>
  <c r="D2282" i="2"/>
  <c r="B2282" i="2" l="1"/>
  <c r="C2282" i="2" s="1"/>
  <c r="D2283" i="2"/>
  <c r="D2284" i="2" l="1"/>
  <c r="B2283" i="2"/>
  <c r="C2283" i="2" s="1"/>
  <c r="D2285" i="2" l="1"/>
  <c r="B2284" i="2"/>
  <c r="C2284" i="2" s="1"/>
  <c r="D2286" i="2" l="1"/>
  <c r="B2285" i="2"/>
  <c r="C2285" i="2" s="1"/>
  <c r="B2286" i="2" l="1"/>
  <c r="C2286" i="2" s="1"/>
  <c r="D2287" i="2"/>
  <c r="B2287" i="2" l="1"/>
  <c r="C2287" i="2" s="1"/>
  <c r="D2288" i="2"/>
  <c r="D2289" i="2" l="1"/>
  <c r="B2288" i="2"/>
  <c r="C2288" i="2" s="1"/>
  <c r="B2289" i="2" l="1"/>
  <c r="C2289" i="2" s="1"/>
  <c r="D2290" i="2"/>
  <c r="B2290" i="2" l="1"/>
  <c r="C2290" i="2" s="1"/>
  <c r="D2291" i="2"/>
  <c r="D2292" i="2" l="1"/>
  <c r="B2291" i="2"/>
  <c r="C2291" i="2" s="1"/>
  <c r="D2293" i="2" l="1"/>
  <c r="B2292" i="2"/>
  <c r="C2292" i="2" s="1"/>
  <c r="D2294" i="2" l="1"/>
  <c r="B2293" i="2"/>
  <c r="C2293" i="2" s="1"/>
  <c r="B2294" i="2" l="1"/>
  <c r="C2294" i="2" s="1"/>
  <c r="D2295" i="2"/>
  <c r="D2296" i="2" l="1"/>
  <c r="B2295" i="2"/>
  <c r="C2295" i="2" s="1"/>
  <c r="D2297" i="2" l="1"/>
  <c r="B2296" i="2"/>
  <c r="C2296" i="2" s="1"/>
  <c r="D2298" i="2" l="1"/>
  <c r="B2297" i="2"/>
  <c r="C2297" i="2" s="1"/>
  <c r="B2298" i="2" l="1"/>
  <c r="C2298" i="2" s="1"/>
  <c r="D2299" i="2"/>
  <c r="B2299" i="2" l="1"/>
  <c r="C2299" i="2" s="1"/>
  <c r="D2300" i="2"/>
  <c r="B2300" i="2" l="1"/>
  <c r="C2300" i="2" s="1"/>
  <c r="D2301" i="2"/>
  <c r="D2302" i="2" l="1"/>
  <c r="B2301" i="2"/>
  <c r="C2301" i="2" s="1"/>
  <c r="D2303" i="2" l="1"/>
  <c r="B2302" i="2"/>
  <c r="C2302" i="2" s="1"/>
  <c r="B2303" i="2" l="1"/>
  <c r="C2303" i="2" s="1"/>
  <c r="D2304" i="2"/>
  <c r="B2304" i="2" l="1"/>
  <c r="C2304" i="2" s="1"/>
  <c r="D2305" i="2"/>
  <c r="D2306" i="2" l="1"/>
  <c r="B2305" i="2"/>
  <c r="C2305" i="2" s="1"/>
  <c r="B2306" i="2" l="1"/>
  <c r="C2306" i="2" s="1"/>
  <c r="D2307" i="2"/>
  <c r="B2307" i="2" l="1"/>
  <c r="C2307" i="2" s="1"/>
  <c r="D2308" i="2"/>
  <c r="D2309" i="2" l="1"/>
  <c r="B2308" i="2"/>
  <c r="C2308" i="2" s="1"/>
  <c r="B2309" i="2" l="1"/>
  <c r="C2309" i="2" s="1"/>
  <c r="D2310" i="2"/>
  <c r="D2311" i="2" l="1"/>
  <c r="B2310" i="2"/>
  <c r="C2310" i="2" s="1"/>
  <c r="B2311" i="2" l="1"/>
  <c r="C2311" i="2" s="1"/>
  <c r="D2312" i="2"/>
  <c r="D2313" i="2" l="1"/>
  <c r="B2312" i="2"/>
  <c r="C2312" i="2" s="1"/>
  <c r="D2314" i="2" l="1"/>
  <c r="B2313" i="2"/>
  <c r="C2313" i="2" s="1"/>
  <c r="D2315" i="2" l="1"/>
  <c r="B2314" i="2"/>
  <c r="C2314" i="2" s="1"/>
  <c r="B2315" i="2" l="1"/>
  <c r="C2315" i="2" s="1"/>
  <c r="D2316" i="2"/>
  <c r="D2317" i="2" l="1"/>
  <c r="B2316" i="2"/>
  <c r="C2316" i="2" s="1"/>
  <c r="D2318" i="2" l="1"/>
  <c r="B2317" i="2"/>
  <c r="C2317" i="2" s="1"/>
  <c r="D2319" i="2" l="1"/>
  <c r="B2318" i="2"/>
  <c r="C2318" i="2" s="1"/>
  <c r="B2319" i="2" l="1"/>
  <c r="C2319" i="2" s="1"/>
  <c r="D2320" i="2"/>
  <c r="B2320" i="2" l="1"/>
  <c r="C2320" i="2" s="1"/>
  <c r="D2321" i="2"/>
  <c r="D2322" i="2" l="1"/>
  <c r="B2321" i="2"/>
  <c r="C2321" i="2" s="1"/>
  <c r="D2323" i="2" l="1"/>
  <c r="B2322" i="2"/>
  <c r="C2322" i="2" s="1"/>
  <c r="B2323" i="2" l="1"/>
  <c r="C2323" i="2" s="1"/>
  <c r="D2324" i="2"/>
  <c r="B2324" i="2" l="1"/>
  <c r="C2324" i="2" s="1"/>
  <c r="D2325" i="2"/>
  <c r="B2325" i="2" l="1"/>
  <c r="C2325" i="2" s="1"/>
  <c r="D2326" i="2"/>
  <c r="B2326" i="2" l="1"/>
  <c r="C2326" i="2" s="1"/>
  <c r="D2327" i="2"/>
  <c r="D2328" i="2" l="1"/>
  <c r="B2327" i="2"/>
  <c r="C2327" i="2" s="1"/>
  <c r="B2328" i="2" l="1"/>
  <c r="C2328" i="2" s="1"/>
  <c r="D2329" i="2"/>
  <c r="D2330" i="2" l="1"/>
  <c r="B2329" i="2"/>
  <c r="C2329" i="2" s="1"/>
  <c r="D2331" i="2" l="1"/>
  <c r="B2330" i="2"/>
  <c r="C2330" i="2" s="1"/>
  <c r="D2332" i="2" l="1"/>
  <c r="B2331" i="2"/>
  <c r="C2331" i="2" s="1"/>
  <c r="D2333" i="2" l="1"/>
  <c r="B2332" i="2"/>
  <c r="C2332" i="2" s="1"/>
  <c r="B2333" i="2" l="1"/>
  <c r="C2333" i="2" s="1"/>
  <c r="D2334" i="2"/>
  <c r="B2334" i="2" l="1"/>
  <c r="C2334" i="2" s="1"/>
  <c r="D2335" i="2"/>
  <c r="B2335" i="2" l="1"/>
  <c r="C2335" i="2" s="1"/>
  <c r="D2336" i="2"/>
  <c r="D2337" i="2" l="1"/>
  <c r="B2336" i="2"/>
  <c r="C2336" i="2" s="1"/>
  <c r="B2337" i="2" l="1"/>
  <c r="C2337" i="2" s="1"/>
  <c r="D2338" i="2"/>
  <c r="D2339" i="2" l="1"/>
  <c r="B2338" i="2"/>
  <c r="C2338" i="2" s="1"/>
  <c r="B2339" i="2" l="1"/>
  <c r="C2339" i="2" s="1"/>
  <c r="D2340" i="2"/>
  <c r="B2340" i="2" l="1"/>
  <c r="C2340" i="2" s="1"/>
  <c r="D2341" i="2"/>
  <c r="B2341" i="2" l="1"/>
  <c r="C2341" i="2" s="1"/>
  <c r="D2342" i="2"/>
  <c r="D2343" i="2" l="1"/>
  <c r="B2342" i="2"/>
  <c r="C2342" i="2" s="1"/>
  <c r="D2344" i="2" l="1"/>
  <c r="B2343" i="2"/>
  <c r="C2343" i="2" s="1"/>
  <c r="D2345" i="2" l="1"/>
  <c r="B2344" i="2"/>
  <c r="C2344" i="2" s="1"/>
  <c r="B2345" i="2" l="1"/>
  <c r="C2345" i="2" s="1"/>
  <c r="D2346" i="2"/>
  <c r="D2347" i="2" l="1"/>
  <c r="B2346" i="2"/>
  <c r="C2346" i="2" s="1"/>
  <c r="B2347" i="2" l="1"/>
  <c r="C2347" i="2" s="1"/>
  <c r="D2348" i="2"/>
  <c r="D2349" i="2" l="1"/>
  <c r="B2348" i="2"/>
  <c r="C2348" i="2" s="1"/>
  <c r="D2350" i="2" l="1"/>
  <c r="B2349" i="2"/>
  <c r="C2349" i="2" s="1"/>
  <c r="B2350" i="2" l="1"/>
  <c r="C2350" i="2" s="1"/>
  <c r="D2351" i="2"/>
  <c r="D2352" i="2" l="1"/>
  <c r="B2351" i="2"/>
  <c r="C2351" i="2" s="1"/>
  <c r="D2353" i="2" l="1"/>
  <c r="B2352" i="2"/>
  <c r="C2352" i="2" s="1"/>
  <c r="B2353" i="2" l="1"/>
  <c r="C2353" i="2" s="1"/>
  <c r="D2354" i="2"/>
  <c r="B2354" i="2" l="1"/>
  <c r="C2354" i="2" s="1"/>
  <c r="D2355" i="2"/>
  <c r="D2356" i="2" l="1"/>
  <c r="B2355" i="2"/>
  <c r="C2355" i="2" s="1"/>
  <c r="B2356" i="2" l="1"/>
  <c r="C2356" i="2" s="1"/>
  <c r="D2357" i="2"/>
  <c r="D2358" i="2" l="1"/>
  <c r="B2357" i="2"/>
  <c r="C2357" i="2" s="1"/>
  <c r="B2358" i="2" l="1"/>
  <c r="C2358" i="2" s="1"/>
  <c r="D2359" i="2"/>
  <c r="B2359" i="2" l="1"/>
  <c r="C2359" i="2" s="1"/>
  <c r="D2360" i="2"/>
  <c r="D2361" i="2" l="1"/>
  <c r="B2360" i="2"/>
  <c r="C2360" i="2" s="1"/>
  <c r="D2362" i="2" l="1"/>
  <c r="B2361" i="2"/>
  <c r="C2361" i="2" s="1"/>
  <c r="D2363" i="2" l="1"/>
  <c r="B2362" i="2"/>
  <c r="C2362" i="2" s="1"/>
  <c r="B2363" i="2" l="1"/>
  <c r="C2363" i="2" s="1"/>
  <c r="D2364" i="2"/>
  <c r="D2365" i="2" l="1"/>
  <c r="B2364" i="2"/>
  <c r="C2364" i="2" s="1"/>
  <c r="D2366" i="2" l="1"/>
  <c r="B2365" i="2"/>
  <c r="C2365" i="2" s="1"/>
  <c r="D2367" i="2" l="1"/>
  <c r="B2366" i="2"/>
  <c r="C2366" i="2" s="1"/>
  <c r="B2367" i="2" l="1"/>
  <c r="C2367" i="2" s="1"/>
  <c r="D2368" i="2"/>
  <c r="D2369" i="2" l="1"/>
  <c r="B2368" i="2"/>
  <c r="C2368" i="2" s="1"/>
  <c r="D2370" i="2" l="1"/>
  <c r="B2369" i="2"/>
  <c r="C2369" i="2" s="1"/>
  <c r="B2370" i="2" l="1"/>
  <c r="C2370" i="2" s="1"/>
  <c r="D2371" i="2"/>
  <c r="B2371" i="2" l="1"/>
  <c r="C2371" i="2" s="1"/>
  <c r="D2372" i="2"/>
  <c r="B2372" i="2" l="1"/>
  <c r="C2372" i="2" s="1"/>
  <c r="D2373" i="2"/>
  <c r="D2374" i="2" l="1"/>
  <c r="B2373" i="2"/>
  <c r="C2373" i="2" s="1"/>
  <c r="D2375" i="2" l="1"/>
  <c r="B2374" i="2"/>
  <c r="C2374" i="2" s="1"/>
  <c r="B2375" i="2" l="1"/>
  <c r="C2375" i="2" s="1"/>
  <c r="D2376" i="2"/>
  <c r="D2377" i="2" l="1"/>
  <c r="B2376" i="2"/>
  <c r="C2376" i="2" s="1"/>
  <c r="D2378" i="2" l="1"/>
  <c r="B2377" i="2"/>
  <c r="C2377" i="2" s="1"/>
  <c r="D2379" i="2" l="1"/>
  <c r="B2378" i="2"/>
  <c r="C2378" i="2" s="1"/>
  <c r="D2380" i="2" l="1"/>
  <c r="B2379" i="2"/>
  <c r="C2379" i="2" s="1"/>
  <c r="D2381" i="2" l="1"/>
  <c r="B2380" i="2"/>
  <c r="C2380" i="2" s="1"/>
  <c r="D2382" i="2" l="1"/>
  <c r="B2381" i="2"/>
  <c r="C2381" i="2" s="1"/>
  <c r="D2383" i="2" l="1"/>
  <c r="B2382" i="2"/>
  <c r="C2382" i="2" s="1"/>
  <c r="B2383" i="2" l="1"/>
  <c r="C2383" i="2" s="1"/>
  <c r="D2384" i="2"/>
  <c r="B2384" i="2" l="1"/>
  <c r="C2384" i="2" s="1"/>
  <c r="D2385" i="2"/>
  <c r="B2385" i="2" l="1"/>
  <c r="C2385" i="2" s="1"/>
  <c r="D2386" i="2"/>
  <c r="D2387" i="2" l="1"/>
  <c r="B2386" i="2"/>
  <c r="C2386" i="2" s="1"/>
  <c r="B2387" i="2" l="1"/>
  <c r="C2387" i="2" s="1"/>
  <c r="D2388" i="2"/>
  <c r="B2388" i="2" l="1"/>
  <c r="C2388" i="2" s="1"/>
  <c r="D2389" i="2"/>
  <c r="D2390" i="2" l="1"/>
  <c r="B2389" i="2"/>
  <c r="C2389" i="2" s="1"/>
  <c r="B2390" i="2" l="1"/>
  <c r="C2390" i="2" s="1"/>
  <c r="D2391" i="2"/>
  <c r="D2392" i="2" l="1"/>
  <c r="B2391" i="2"/>
  <c r="C2391" i="2" s="1"/>
  <c r="B2392" i="2" l="1"/>
  <c r="C2392" i="2" s="1"/>
  <c r="D2393" i="2"/>
  <c r="D2394" i="2" l="1"/>
  <c r="B2393" i="2"/>
  <c r="C2393" i="2" s="1"/>
  <c r="D2395" i="2" l="1"/>
  <c r="B2394" i="2"/>
  <c r="C2394" i="2" s="1"/>
  <c r="D2396" i="2" l="1"/>
  <c r="B2395" i="2"/>
  <c r="C2395" i="2" s="1"/>
  <c r="D2397" i="2" l="1"/>
  <c r="B2396" i="2"/>
  <c r="C2396" i="2" s="1"/>
  <c r="B2397" i="2" l="1"/>
  <c r="C2397" i="2" s="1"/>
  <c r="D2398" i="2"/>
  <c r="D2399" i="2" l="1"/>
  <c r="B2398" i="2"/>
  <c r="C2398" i="2" s="1"/>
  <c r="D2400" i="2" l="1"/>
  <c r="B2399" i="2"/>
  <c r="C2399" i="2" s="1"/>
  <c r="B2400" i="2" l="1"/>
  <c r="C2400" i="2" s="1"/>
  <c r="D2401" i="2"/>
  <c r="B2401" i="2" l="1"/>
  <c r="C2401" i="2" s="1"/>
  <c r="D2402" i="2"/>
  <c r="D2403" i="2" l="1"/>
  <c r="B2402" i="2"/>
  <c r="C2402" i="2" s="1"/>
  <c r="D2404" i="2" l="1"/>
  <c r="B2403" i="2"/>
  <c r="C2403" i="2" s="1"/>
  <c r="B2404" i="2" l="1"/>
  <c r="C2404" i="2" s="1"/>
  <c r="D2405" i="2"/>
  <c r="B2405" i="2" l="1"/>
  <c r="C2405" i="2" s="1"/>
  <c r="D2406" i="2"/>
  <c r="D2407" i="2" l="1"/>
  <c r="B2406" i="2"/>
  <c r="C2406" i="2" s="1"/>
  <c r="D2408" i="2" l="1"/>
  <c r="B2407" i="2"/>
  <c r="C2407" i="2" s="1"/>
  <c r="D2409" i="2" l="1"/>
  <c r="B2408" i="2"/>
  <c r="C2408" i="2" s="1"/>
  <c r="D2410" i="2" l="1"/>
  <c r="B2409" i="2"/>
  <c r="C2409" i="2" s="1"/>
  <c r="D2411" i="2" l="1"/>
  <c r="B2410" i="2"/>
  <c r="C2410" i="2" s="1"/>
  <c r="D2412" i="2" l="1"/>
  <c r="B2411" i="2"/>
  <c r="C2411" i="2" s="1"/>
  <c r="D2413" i="2" l="1"/>
  <c r="B2412" i="2"/>
  <c r="C2412" i="2" s="1"/>
  <c r="D2414" i="2" l="1"/>
  <c r="B2413" i="2"/>
  <c r="C2413" i="2" s="1"/>
  <c r="B2414" i="2" l="1"/>
  <c r="C2414" i="2" s="1"/>
  <c r="D2415" i="2"/>
  <c r="D2416" i="2" l="1"/>
  <c r="B2415" i="2"/>
  <c r="C2415" i="2" s="1"/>
  <c r="B2416" i="2" l="1"/>
  <c r="C2416" i="2" s="1"/>
  <c r="D2417" i="2"/>
  <c r="B2417" i="2" l="1"/>
  <c r="C2417" i="2" s="1"/>
  <c r="D2418" i="2"/>
  <c r="B2418" i="2" l="1"/>
  <c r="C2418" i="2" s="1"/>
  <c r="D2419" i="2"/>
  <c r="D2420" i="2" l="1"/>
  <c r="B2419" i="2"/>
  <c r="C2419" i="2" s="1"/>
  <c r="B2420" i="2" l="1"/>
  <c r="C2420" i="2" s="1"/>
  <c r="D2421" i="2"/>
  <c r="D2422" i="2" l="1"/>
  <c r="B2421" i="2"/>
  <c r="C2421" i="2" s="1"/>
  <c r="B2422" i="2" l="1"/>
  <c r="C2422" i="2" s="1"/>
  <c r="D2423" i="2"/>
  <c r="B2423" i="2" l="1"/>
  <c r="C2423" i="2" s="1"/>
  <c r="D2424" i="2"/>
  <c r="D2425" i="2" l="1"/>
  <c r="B2424" i="2"/>
  <c r="C2424" i="2" s="1"/>
  <c r="D2426" i="2" l="1"/>
  <c r="B2425" i="2"/>
  <c r="C2425" i="2" s="1"/>
  <c r="D2427" i="2" l="1"/>
  <c r="B2426" i="2"/>
  <c r="C2426" i="2" s="1"/>
  <c r="B2427" i="2" l="1"/>
  <c r="C2427" i="2" s="1"/>
  <c r="D2428" i="2"/>
  <c r="D2429" i="2" l="1"/>
  <c r="B2428" i="2"/>
  <c r="C2428" i="2" s="1"/>
  <c r="D2430" i="2" l="1"/>
  <c r="B2429" i="2"/>
  <c r="C2429" i="2" s="1"/>
  <c r="B2430" i="2" l="1"/>
  <c r="C2430" i="2" s="1"/>
  <c r="D2431" i="2"/>
  <c r="D2432" i="2" l="1"/>
  <c r="B2431" i="2"/>
  <c r="C2431" i="2" s="1"/>
  <c r="D2433" i="2" l="1"/>
  <c r="B2432" i="2"/>
  <c r="C2432" i="2" s="1"/>
  <c r="B2433" i="2" l="1"/>
  <c r="C2433" i="2" s="1"/>
  <c r="D2434" i="2"/>
  <c r="D2435" i="2" l="1"/>
  <c r="B2434" i="2"/>
  <c r="C2434" i="2" s="1"/>
  <c r="B2435" i="2" l="1"/>
  <c r="C2435" i="2" s="1"/>
  <c r="D2436" i="2"/>
  <c r="B2436" i="2" l="1"/>
  <c r="C2436" i="2" s="1"/>
  <c r="D2437" i="2"/>
  <c r="D2438" i="2" l="1"/>
  <c r="B2437" i="2"/>
  <c r="C2437" i="2" s="1"/>
  <c r="D2439" i="2" l="1"/>
  <c r="B2438" i="2"/>
  <c r="C2438" i="2" s="1"/>
  <c r="B2439" i="2" l="1"/>
  <c r="C2439" i="2" s="1"/>
  <c r="D2440" i="2"/>
  <c r="B2440" i="2" l="1"/>
  <c r="C2440" i="2" s="1"/>
  <c r="D2441" i="2"/>
  <c r="B2441" i="2" l="1"/>
  <c r="C2441" i="2" s="1"/>
  <c r="D2442" i="2"/>
  <c r="D2443" i="2" l="1"/>
  <c r="B2442" i="2"/>
  <c r="C2442" i="2" s="1"/>
  <c r="B2443" i="2" l="1"/>
  <c r="C2443" i="2" s="1"/>
  <c r="D2444" i="2"/>
  <c r="B2444" i="2" l="1"/>
  <c r="C2444" i="2" s="1"/>
  <c r="D2445" i="2"/>
  <c r="B2445" i="2" l="1"/>
  <c r="C2445" i="2" s="1"/>
  <c r="D2446" i="2"/>
  <c r="B2446" i="2" l="1"/>
  <c r="C2446" i="2" s="1"/>
  <c r="D2447" i="2"/>
  <c r="D2448" i="2" l="1"/>
  <c r="B2447" i="2"/>
  <c r="C2447" i="2" s="1"/>
  <c r="D2449" i="2" l="1"/>
  <c r="B2448" i="2"/>
  <c r="C2448" i="2" s="1"/>
  <c r="B2449" i="2" l="1"/>
  <c r="C2449" i="2" s="1"/>
  <c r="D2450" i="2"/>
  <c r="D2451" i="2" l="1"/>
  <c r="B2450" i="2"/>
  <c r="C2450" i="2" s="1"/>
  <c r="B2451" i="2" l="1"/>
  <c r="C2451" i="2" s="1"/>
  <c r="D2452" i="2"/>
  <c r="D2453" i="2" l="1"/>
  <c r="B2452" i="2"/>
  <c r="C2452" i="2" s="1"/>
  <c r="B2453" i="2" l="1"/>
  <c r="C2453" i="2" s="1"/>
  <c r="D2454" i="2"/>
  <c r="D2455" i="2" l="1"/>
  <c r="B2454" i="2"/>
  <c r="C2454" i="2" s="1"/>
  <c r="D2456" i="2" l="1"/>
  <c r="B2455" i="2"/>
  <c r="C2455" i="2" s="1"/>
  <c r="D2457" i="2" l="1"/>
  <c r="B2456" i="2"/>
  <c r="C2456" i="2" s="1"/>
  <c r="D2458" i="2" l="1"/>
  <c r="B2457" i="2"/>
  <c r="C2457" i="2" s="1"/>
  <c r="B2458" i="2" l="1"/>
  <c r="C2458" i="2" s="1"/>
  <c r="D2459" i="2"/>
  <c r="B2459" i="2" l="1"/>
  <c r="C2459" i="2" s="1"/>
  <c r="D2460" i="2"/>
  <c r="D2461" i="2" l="1"/>
  <c r="B2460" i="2"/>
  <c r="C2460" i="2" s="1"/>
  <c r="B2461" i="2" l="1"/>
  <c r="C2461" i="2" s="1"/>
  <c r="D2462" i="2"/>
  <c r="B2462" i="2" l="1"/>
  <c r="C2462" i="2" s="1"/>
  <c r="D2463" i="2"/>
  <c r="D2464" i="2" l="1"/>
  <c r="B2463" i="2"/>
  <c r="C2463" i="2" s="1"/>
  <c r="D2465" i="2" l="1"/>
  <c r="B2464" i="2"/>
  <c r="C2464" i="2" s="1"/>
  <c r="D2466" i="2" l="1"/>
  <c r="B2465" i="2"/>
  <c r="C2465" i="2" s="1"/>
  <c r="D2467" i="2" l="1"/>
  <c r="B2466" i="2"/>
  <c r="C2466" i="2" s="1"/>
  <c r="B2467" i="2" l="1"/>
  <c r="C2467" i="2" s="1"/>
  <c r="D2468" i="2"/>
  <c r="B2468" i="2" l="1"/>
  <c r="C2468" i="2" s="1"/>
  <c r="D2469" i="2"/>
  <c r="B2469" i="2" l="1"/>
  <c r="C2469" i="2" s="1"/>
  <c r="D2470" i="2"/>
  <c r="B2470" i="2" l="1"/>
  <c r="C2470" i="2" s="1"/>
  <c r="D2471" i="2"/>
  <c r="B2471" i="2" l="1"/>
  <c r="C2471" i="2" s="1"/>
  <c r="D2472" i="2"/>
  <c r="B2472" i="2" l="1"/>
  <c r="C2472" i="2" s="1"/>
  <c r="D2473" i="2"/>
  <c r="B2473" i="2" l="1"/>
  <c r="C2473" i="2" s="1"/>
  <c r="D2474" i="2"/>
  <c r="D2475" i="2" l="1"/>
  <c r="B2474" i="2"/>
  <c r="C2474" i="2" s="1"/>
  <c r="B2475" i="2" l="1"/>
  <c r="C2475" i="2" s="1"/>
  <c r="D2476" i="2"/>
  <c r="B2476" i="2" l="1"/>
  <c r="C2476" i="2" s="1"/>
  <c r="D2477" i="2"/>
  <c r="B2477" i="2" l="1"/>
  <c r="C2477" i="2" s="1"/>
  <c r="D2478" i="2"/>
  <c r="D2479" i="2" l="1"/>
  <c r="B2478" i="2"/>
  <c r="C2478" i="2" s="1"/>
  <c r="D2480" i="2" l="1"/>
  <c r="B2479" i="2"/>
  <c r="C2479" i="2" s="1"/>
  <c r="B2480" i="2" l="1"/>
  <c r="C2480" i="2" s="1"/>
  <c r="D2481" i="2"/>
  <c r="D2482" i="2" l="1"/>
  <c r="B2481" i="2"/>
  <c r="C2481" i="2" s="1"/>
  <c r="D2483" i="2" l="1"/>
  <c r="B2482" i="2"/>
  <c r="C2482" i="2" s="1"/>
  <c r="D2484" i="2" l="1"/>
  <c r="B2483" i="2"/>
  <c r="C2483" i="2" s="1"/>
  <c r="D2485" i="2" l="1"/>
  <c r="B2484" i="2"/>
  <c r="C2484" i="2" s="1"/>
  <c r="B2485" i="2" l="1"/>
  <c r="C2485" i="2" s="1"/>
  <c r="D2486" i="2"/>
  <c r="D2487" i="2" l="1"/>
  <c r="B2486" i="2"/>
  <c r="C2486" i="2" s="1"/>
  <c r="B2487" i="2" l="1"/>
  <c r="C2487" i="2" s="1"/>
  <c r="D2488" i="2"/>
  <c r="B2488" i="2" l="1"/>
  <c r="C2488" i="2" s="1"/>
  <c r="D2489" i="2"/>
  <c r="B2489" i="2" l="1"/>
  <c r="C2489" i="2" s="1"/>
  <c r="D2490" i="2"/>
  <c r="D2491" i="2" l="1"/>
  <c r="B2490" i="2"/>
  <c r="C2490" i="2" s="1"/>
  <c r="D2492" i="2" l="1"/>
  <c r="B2491" i="2"/>
  <c r="C2491" i="2" s="1"/>
  <c r="D2493" i="2" l="1"/>
  <c r="B2492" i="2"/>
  <c r="C2492" i="2" s="1"/>
  <c r="B2493" i="2" l="1"/>
  <c r="C2493" i="2" s="1"/>
  <c r="D2494" i="2"/>
  <c r="D2495" i="2" l="1"/>
  <c r="B2494" i="2"/>
  <c r="C2494" i="2" s="1"/>
  <c r="D2496" i="2" l="1"/>
  <c r="B2495" i="2"/>
  <c r="C2495" i="2" s="1"/>
  <c r="B2496" i="2" l="1"/>
  <c r="C2496" i="2" s="1"/>
  <c r="D2497" i="2"/>
  <c r="B2497" i="2" l="1"/>
  <c r="C2497" i="2" s="1"/>
  <c r="D2498" i="2"/>
  <c r="B2498" i="2" l="1"/>
  <c r="C2498" i="2" s="1"/>
  <c r="D2499" i="2"/>
  <c r="D2500" i="2" l="1"/>
  <c r="B2499" i="2"/>
  <c r="C2499" i="2" s="1"/>
  <c r="D2501" i="2" l="1"/>
  <c r="B2500" i="2"/>
  <c r="C2500" i="2" s="1"/>
  <c r="D2502" i="2" l="1"/>
  <c r="B2501" i="2"/>
  <c r="C2501" i="2" s="1"/>
  <c r="B2502" i="2" l="1"/>
  <c r="C2502" i="2" s="1"/>
  <c r="D2503" i="2"/>
  <c r="D2504" i="2" l="1"/>
  <c r="B2503" i="2"/>
  <c r="C2503" i="2" s="1"/>
  <c r="B2504" i="2" l="1"/>
  <c r="C2504" i="2" s="1"/>
  <c r="D2505" i="2"/>
  <c r="B2505" i="2" l="1"/>
  <c r="C2505" i="2" s="1"/>
  <c r="D2506" i="2"/>
  <c r="D2507" i="2" l="1"/>
  <c r="B2506" i="2"/>
  <c r="C2506" i="2" s="1"/>
  <c r="B2507" i="2" l="1"/>
  <c r="C2507" i="2" s="1"/>
  <c r="D2508" i="2"/>
  <c r="D2509" i="2" l="1"/>
  <c r="B2508" i="2"/>
  <c r="C2508" i="2" s="1"/>
  <c r="B2509" i="2" l="1"/>
  <c r="C2509" i="2" s="1"/>
  <c r="D2510" i="2"/>
  <c r="D2511" i="2" l="1"/>
  <c r="B2510" i="2"/>
  <c r="C2510" i="2" s="1"/>
  <c r="B2511" i="2" l="1"/>
  <c r="C2511" i="2" s="1"/>
  <c r="D2512" i="2"/>
  <c r="D2513" i="2" l="1"/>
  <c r="B2512" i="2"/>
  <c r="C2512" i="2" s="1"/>
  <c r="D2514" i="2" l="1"/>
  <c r="B2513" i="2"/>
  <c r="C2513" i="2" s="1"/>
  <c r="B2514" i="2" l="1"/>
  <c r="C2514" i="2" s="1"/>
  <c r="D2515" i="2"/>
  <c r="D2516" i="2" l="1"/>
  <c r="B2515" i="2"/>
  <c r="C2515" i="2" s="1"/>
  <c r="B2516" i="2" l="1"/>
  <c r="C2516" i="2" s="1"/>
  <c r="D2517" i="2"/>
  <c r="D2518" i="2" l="1"/>
  <c r="B2517" i="2"/>
  <c r="C2517" i="2" s="1"/>
  <c r="D2519" i="2" l="1"/>
  <c r="B2518" i="2"/>
  <c r="C2518" i="2" s="1"/>
  <c r="B2519" i="2" l="1"/>
  <c r="C2519" i="2" s="1"/>
  <c r="D2520" i="2"/>
  <c r="B2520" i="2" l="1"/>
  <c r="C2520" i="2" s="1"/>
  <c r="D2521" i="2"/>
  <c r="B2521" i="2" l="1"/>
  <c r="C2521" i="2" s="1"/>
  <c r="D2522" i="2"/>
  <c r="B2522" i="2" l="1"/>
  <c r="C2522" i="2" s="1"/>
  <c r="D2523" i="2"/>
  <c r="D2524" i="2" l="1"/>
  <c r="B2523" i="2"/>
  <c r="C2523" i="2" s="1"/>
  <c r="D2525" i="2" l="1"/>
  <c r="B2524" i="2"/>
  <c r="C2524" i="2" s="1"/>
  <c r="B2525" i="2" l="1"/>
  <c r="C2525" i="2" s="1"/>
  <c r="D2526" i="2"/>
  <c r="D2527" i="2" l="1"/>
  <c r="B2526" i="2"/>
  <c r="C2526" i="2" s="1"/>
  <c r="B2527" i="2" l="1"/>
  <c r="C2527" i="2" s="1"/>
  <c r="D2528" i="2"/>
  <c r="D2529" i="2" l="1"/>
  <c r="B2528" i="2"/>
  <c r="C2528" i="2" s="1"/>
  <c r="D2530" i="2" l="1"/>
  <c r="B2529" i="2"/>
  <c r="C2529" i="2" s="1"/>
  <c r="D2531" i="2" l="1"/>
  <c r="B2530" i="2"/>
  <c r="C2530" i="2" s="1"/>
  <c r="D2532" i="2" l="1"/>
  <c r="B2531" i="2"/>
  <c r="C2531" i="2" s="1"/>
  <c r="D2533" i="2" l="1"/>
  <c r="B2532" i="2"/>
  <c r="C2532" i="2" s="1"/>
  <c r="D2534" i="2" l="1"/>
  <c r="B2533" i="2"/>
  <c r="C2533" i="2" s="1"/>
  <c r="B2534" i="2" l="1"/>
  <c r="C2534" i="2" s="1"/>
  <c r="D2535" i="2"/>
  <c r="D2536" i="2" l="1"/>
  <c r="B2535" i="2"/>
  <c r="C2535" i="2" s="1"/>
  <c r="D2537" i="2" l="1"/>
  <c r="B2536" i="2"/>
  <c r="C2536" i="2" s="1"/>
  <c r="B2537" i="2" l="1"/>
  <c r="C2537" i="2" s="1"/>
  <c r="D2538" i="2"/>
  <c r="B2538" i="2" l="1"/>
  <c r="C2538" i="2" s="1"/>
  <c r="D2539" i="2"/>
  <c r="B2539" i="2" l="1"/>
  <c r="C2539" i="2" s="1"/>
  <c r="D2540" i="2"/>
  <c r="D2541" i="2" l="1"/>
  <c r="B2540" i="2"/>
  <c r="C2540" i="2" s="1"/>
  <c r="D2542" i="2" l="1"/>
  <c r="B2541" i="2"/>
  <c r="C2541" i="2" s="1"/>
  <c r="D2543" i="2" l="1"/>
  <c r="B2542" i="2"/>
  <c r="C2542" i="2" s="1"/>
  <c r="B2543" i="2" l="1"/>
  <c r="C2543" i="2" s="1"/>
  <c r="D2544" i="2"/>
  <c r="D2545" i="2" l="1"/>
  <c r="B2544" i="2"/>
  <c r="C2544" i="2" s="1"/>
  <c r="D2546" i="2" l="1"/>
  <c r="B2545" i="2"/>
  <c r="C2545" i="2" s="1"/>
  <c r="B2546" i="2" l="1"/>
  <c r="C2546" i="2" s="1"/>
  <c r="D2547" i="2"/>
  <c r="B2547" i="2" l="1"/>
  <c r="C2547" i="2" s="1"/>
  <c r="D2548" i="2"/>
  <c r="B2548" i="2" l="1"/>
  <c r="C2548" i="2" s="1"/>
  <c r="D2549" i="2"/>
  <c r="D2550" i="2" l="1"/>
  <c r="B2549" i="2"/>
  <c r="C2549" i="2" s="1"/>
  <c r="D2551" i="2" l="1"/>
  <c r="B2550" i="2"/>
  <c r="C2550" i="2" s="1"/>
  <c r="B2551" i="2" l="1"/>
  <c r="C2551" i="2" s="1"/>
  <c r="D2552" i="2"/>
  <c r="B2552" i="2" l="1"/>
  <c r="C2552" i="2" s="1"/>
  <c r="D2553" i="2"/>
  <c r="D2554" i="2" l="1"/>
  <c r="B2553" i="2"/>
  <c r="C2553" i="2" s="1"/>
  <c r="D2555" i="2" l="1"/>
  <c r="B2554" i="2"/>
  <c r="C2554" i="2" s="1"/>
  <c r="D2556" i="2" l="1"/>
  <c r="B2555" i="2"/>
  <c r="C2555" i="2" s="1"/>
  <c r="B2556" i="2" l="1"/>
  <c r="C2556" i="2" s="1"/>
  <c r="D2557" i="2"/>
  <c r="B2557" i="2" l="1"/>
  <c r="C2557" i="2" s="1"/>
  <c r="D2558" i="2"/>
  <c r="D2559" i="2" l="1"/>
  <c r="B2558" i="2"/>
  <c r="C2558" i="2" s="1"/>
  <c r="D2560" i="2" l="1"/>
  <c r="B2559" i="2"/>
  <c r="C2559" i="2" s="1"/>
  <c r="B2560" i="2" l="1"/>
  <c r="C2560" i="2" s="1"/>
  <c r="D2561" i="2"/>
  <c r="B2561" i="2" l="1"/>
  <c r="C2561" i="2" s="1"/>
  <c r="D2562" i="2"/>
  <c r="D2563" i="2" l="1"/>
  <c r="B2562" i="2"/>
  <c r="C2562" i="2" s="1"/>
  <c r="D2564" i="2" l="1"/>
  <c r="B2563" i="2"/>
  <c r="C2563" i="2" s="1"/>
  <c r="B2564" i="2" l="1"/>
  <c r="C2564" i="2" s="1"/>
  <c r="D2565" i="2"/>
  <c r="B2565" i="2" l="1"/>
  <c r="C2565" i="2" s="1"/>
  <c r="D2566" i="2"/>
  <c r="D2567" i="2" l="1"/>
  <c r="B2566" i="2"/>
  <c r="C2566" i="2" s="1"/>
  <c r="D2568" i="2" l="1"/>
  <c r="B2567" i="2"/>
  <c r="C2567" i="2" s="1"/>
  <c r="D2569" i="2" l="1"/>
  <c r="B2568" i="2"/>
  <c r="C2568" i="2" s="1"/>
  <c r="B2569" i="2" l="1"/>
  <c r="C2569" i="2" s="1"/>
  <c r="D2570" i="2"/>
  <c r="B2570" i="2" l="1"/>
  <c r="C2570" i="2" s="1"/>
  <c r="D2571" i="2"/>
  <c r="B2571" i="2" l="1"/>
  <c r="C2571" i="2" s="1"/>
  <c r="D2572" i="2"/>
  <c r="D2573" i="2" l="1"/>
  <c r="B2572" i="2"/>
  <c r="C2572" i="2" s="1"/>
  <c r="D2574" i="2" l="1"/>
  <c r="B2573" i="2"/>
  <c r="C2573" i="2" s="1"/>
  <c r="B2574" i="2" l="1"/>
  <c r="C2574" i="2" s="1"/>
  <c r="D2575" i="2"/>
  <c r="B2575" i="2" l="1"/>
  <c r="C2575" i="2" s="1"/>
  <c r="D2576" i="2"/>
  <c r="D2577" i="2" l="1"/>
  <c r="B2576" i="2"/>
  <c r="C2576" i="2" s="1"/>
  <c r="D2578" i="2" l="1"/>
  <c r="B2577" i="2"/>
  <c r="C2577" i="2" s="1"/>
  <c r="D2579" i="2" l="1"/>
  <c r="B2578" i="2"/>
  <c r="C2578" i="2" s="1"/>
  <c r="D2580" i="2" l="1"/>
  <c r="B2579" i="2"/>
  <c r="C2579" i="2" s="1"/>
  <c r="D2581" i="2" l="1"/>
  <c r="B2580" i="2"/>
  <c r="C2580" i="2" s="1"/>
  <c r="D2582" i="2" l="1"/>
  <c r="B2581" i="2"/>
  <c r="C2581" i="2" s="1"/>
  <c r="B2582" i="2" l="1"/>
  <c r="C2582" i="2" s="1"/>
  <c r="D2583" i="2"/>
  <c r="B2583" i="2" l="1"/>
  <c r="C2583" i="2" s="1"/>
  <c r="D2584" i="2"/>
  <c r="D2585" i="2" l="1"/>
  <c r="B2584" i="2"/>
  <c r="C2584" i="2" s="1"/>
  <c r="B2585" i="2" l="1"/>
  <c r="C2585" i="2" s="1"/>
  <c r="D2586" i="2"/>
  <c r="B2586" i="2" l="1"/>
  <c r="C2586" i="2" s="1"/>
  <c r="D2587" i="2"/>
  <c r="B2587" i="2" l="1"/>
  <c r="C2587" i="2" s="1"/>
  <c r="D2588" i="2"/>
  <c r="D2589" i="2" l="1"/>
  <c r="B2588" i="2"/>
  <c r="C2588" i="2" s="1"/>
  <c r="D2590" i="2" l="1"/>
  <c r="B2589" i="2"/>
  <c r="C2589" i="2" s="1"/>
  <c r="D2591" i="2" l="1"/>
  <c r="B2590" i="2"/>
  <c r="C2590" i="2" s="1"/>
  <c r="D2592" i="2" l="1"/>
  <c r="B2591" i="2"/>
  <c r="C2591" i="2" s="1"/>
  <c r="B2592" i="2" l="1"/>
  <c r="C2592" i="2" s="1"/>
  <c r="D2593" i="2"/>
  <c r="D2594" i="2" l="1"/>
  <c r="B2593" i="2"/>
  <c r="C2593" i="2" s="1"/>
  <c r="B2594" i="2" l="1"/>
  <c r="C2594" i="2" s="1"/>
  <c r="D2595" i="2"/>
  <c r="B2595" i="2" l="1"/>
  <c r="C2595" i="2" s="1"/>
  <c r="D2596" i="2"/>
  <c r="D2597" i="2" l="1"/>
  <c r="B2596" i="2"/>
  <c r="C2596" i="2" s="1"/>
  <c r="B2597" i="2" l="1"/>
  <c r="C2597" i="2" s="1"/>
  <c r="D2598" i="2"/>
  <c r="D2599" i="2" l="1"/>
  <c r="B2598" i="2"/>
  <c r="C2598" i="2" s="1"/>
  <c r="D2600" i="2" l="1"/>
  <c r="B2599" i="2"/>
  <c r="C2599" i="2" s="1"/>
  <c r="B2600" i="2" l="1"/>
  <c r="C2600" i="2" s="1"/>
  <c r="D2601" i="2"/>
  <c r="B2601" i="2" l="1"/>
  <c r="C2601" i="2" s="1"/>
  <c r="D2602" i="2"/>
  <c r="B2602" i="2" l="1"/>
  <c r="C2602" i="2" s="1"/>
  <c r="D2603" i="2"/>
  <c r="D2604" i="2" l="1"/>
  <c r="B2603" i="2"/>
  <c r="C2603" i="2" s="1"/>
  <c r="D2605" i="2" l="1"/>
  <c r="B2604" i="2"/>
  <c r="C2604" i="2" s="1"/>
  <c r="D2606" i="2" l="1"/>
  <c r="B2605" i="2"/>
  <c r="C2605" i="2" s="1"/>
  <c r="B2606" i="2" l="1"/>
  <c r="C2606" i="2" s="1"/>
  <c r="D2607" i="2"/>
  <c r="D2608" i="2" l="1"/>
  <c r="B2607" i="2"/>
  <c r="C2607" i="2" s="1"/>
  <c r="D2609" i="2" l="1"/>
  <c r="B2608" i="2"/>
  <c r="C2608" i="2" s="1"/>
  <c r="D2610" i="2" l="1"/>
  <c r="B2609" i="2"/>
  <c r="C2609" i="2" s="1"/>
  <c r="D2611" i="2" l="1"/>
  <c r="B2610" i="2"/>
  <c r="C2610" i="2" s="1"/>
  <c r="B2611" i="2" l="1"/>
  <c r="C2611" i="2" s="1"/>
  <c r="D2612" i="2"/>
  <c r="D2613" i="2" l="1"/>
  <c r="B2612" i="2"/>
  <c r="C2612" i="2" s="1"/>
  <c r="B2613" i="2" l="1"/>
  <c r="C2613" i="2" s="1"/>
  <c r="D2614" i="2"/>
  <c r="D2615" i="2" l="1"/>
  <c r="B2614" i="2"/>
  <c r="C2614" i="2" s="1"/>
  <c r="B2615" i="2" l="1"/>
  <c r="C2615" i="2" s="1"/>
  <c r="D2616" i="2"/>
  <c r="D2617" i="2" l="1"/>
  <c r="B2616" i="2"/>
  <c r="C2616" i="2" s="1"/>
  <c r="D2618" i="2" l="1"/>
  <c r="B2617" i="2"/>
  <c r="C2617" i="2" s="1"/>
  <c r="D2619" i="2" l="1"/>
  <c r="B2618" i="2"/>
  <c r="C2618" i="2" s="1"/>
  <c r="B2619" i="2" l="1"/>
  <c r="C2619" i="2" s="1"/>
  <c r="D2620" i="2"/>
  <c r="D2621" i="2" l="1"/>
  <c r="B2620" i="2"/>
  <c r="C2620" i="2" s="1"/>
  <c r="D2622" i="2" l="1"/>
  <c r="B2621" i="2"/>
  <c r="C2621" i="2" s="1"/>
  <c r="B2622" i="2" l="1"/>
  <c r="C2622" i="2" s="1"/>
  <c r="D2623" i="2"/>
  <c r="B2623" i="2" l="1"/>
  <c r="C2623" i="2" s="1"/>
  <c r="D2624" i="2"/>
  <c r="D2625" i="2" l="1"/>
  <c r="B2624" i="2"/>
  <c r="C2624" i="2" s="1"/>
  <c r="B2625" i="2" l="1"/>
  <c r="C2625" i="2" s="1"/>
  <c r="D2626" i="2"/>
  <c r="D2627" i="2" l="1"/>
  <c r="B2626" i="2"/>
  <c r="C2626" i="2" s="1"/>
  <c r="D2628" i="2" l="1"/>
  <c r="B2627" i="2"/>
  <c r="C2627" i="2" s="1"/>
  <c r="D2629" i="2" l="1"/>
  <c r="B2628" i="2"/>
  <c r="C2628" i="2" s="1"/>
  <c r="B2629" i="2" l="1"/>
  <c r="C2629" i="2" s="1"/>
  <c r="D2630" i="2"/>
  <c r="B2630" i="2" l="1"/>
  <c r="C2630" i="2" s="1"/>
  <c r="D2631" i="2"/>
  <c r="D2632" i="2" l="1"/>
  <c r="B2631" i="2"/>
  <c r="C2631" i="2" s="1"/>
  <c r="D2633" i="2" l="1"/>
  <c r="B2632" i="2"/>
  <c r="C2632" i="2" s="1"/>
  <c r="B2633" i="2" l="1"/>
  <c r="C2633" i="2" s="1"/>
  <c r="D2634" i="2"/>
  <c r="D2635" i="2" l="1"/>
  <c r="B2634" i="2"/>
  <c r="C2634" i="2" s="1"/>
  <c r="B2635" i="2" l="1"/>
  <c r="C2635" i="2" s="1"/>
  <c r="D2636" i="2"/>
  <c r="D2637" i="2" l="1"/>
  <c r="B2636" i="2"/>
  <c r="C2636" i="2" s="1"/>
  <c r="B2637" i="2" l="1"/>
  <c r="C2637" i="2" s="1"/>
  <c r="D2638" i="2"/>
  <c r="D2639" i="2" l="1"/>
  <c r="B2638" i="2"/>
  <c r="C2638" i="2" s="1"/>
  <c r="B2639" i="2" l="1"/>
  <c r="C2639" i="2" s="1"/>
  <c r="D2640" i="2"/>
  <c r="B2640" i="2" l="1"/>
  <c r="C2640" i="2" s="1"/>
  <c r="D2641" i="2"/>
  <c r="B2641" i="2" l="1"/>
  <c r="C2641" i="2" s="1"/>
  <c r="D2642" i="2"/>
  <c r="D2643" i="2" l="1"/>
  <c r="B2642" i="2"/>
  <c r="C2642" i="2" s="1"/>
  <c r="D2644" i="2" l="1"/>
  <c r="B2643" i="2"/>
  <c r="C2643" i="2" s="1"/>
  <c r="D2645" i="2" l="1"/>
  <c r="B2644" i="2"/>
  <c r="C2644" i="2" s="1"/>
  <c r="B2645" i="2" l="1"/>
  <c r="C2645" i="2" s="1"/>
  <c r="D2646" i="2"/>
  <c r="D2647" i="2" l="1"/>
  <c r="B2646" i="2"/>
  <c r="C2646" i="2" s="1"/>
  <c r="D2648" i="2" l="1"/>
  <c r="B2647" i="2"/>
  <c r="C2647" i="2" s="1"/>
  <c r="B2648" i="2" l="1"/>
  <c r="C2648" i="2" s="1"/>
  <c r="D2649" i="2"/>
  <c r="B2649" i="2" l="1"/>
  <c r="C2649" i="2" s="1"/>
  <c r="D2650" i="2"/>
  <c r="D2651" i="2" l="1"/>
  <c r="B2650" i="2"/>
  <c r="C2650" i="2" s="1"/>
  <c r="D2652" i="2" l="1"/>
  <c r="B2651" i="2"/>
  <c r="C2651" i="2" s="1"/>
  <c r="B2652" i="2" l="1"/>
  <c r="C2652" i="2" s="1"/>
  <c r="D2653" i="2"/>
  <c r="B2653" i="2" l="1"/>
  <c r="C2653" i="2" s="1"/>
  <c r="D2654" i="2"/>
  <c r="B2654" i="2" l="1"/>
  <c r="C2654" i="2" s="1"/>
  <c r="D2655" i="2"/>
  <c r="D2656" i="2" l="1"/>
  <c r="B2655" i="2"/>
  <c r="C2655" i="2" s="1"/>
  <c r="D2657" i="2" l="1"/>
  <c r="B2656" i="2"/>
  <c r="C2656" i="2" s="1"/>
  <c r="B2657" i="2" l="1"/>
  <c r="C2657" i="2" s="1"/>
  <c r="D2658" i="2"/>
  <c r="D2659" i="2" l="1"/>
  <c r="B2658" i="2"/>
  <c r="C2658" i="2" s="1"/>
  <c r="B2659" i="2" l="1"/>
  <c r="C2659" i="2" s="1"/>
  <c r="D2660" i="2"/>
  <c r="D2661" i="2" l="1"/>
  <c r="B2660" i="2"/>
  <c r="C2660" i="2" s="1"/>
  <c r="B2661" i="2" l="1"/>
  <c r="C2661" i="2" s="1"/>
  <c r="D2662" i="2"/>
  <c r="B2662" i="2" l="1"/>
  <c r="C2662" i="2" s="1"/>
  <c r="D2663" i="2"/>
  <c r="B2663" i="2" l="1"/>
  <c r="C2663" i="2" s="1"/>
  <c r="D2664" i="2"/>
  <c r="B2664" i="2" l="1"/>
  <c r="C2664" i="2" s="1"/>
  <c r="D2665" i="2"/>
  <c r="B2665" i="2" s="1"/>
  <c r="C2665" i="2" l="1"/>
  <c r="C3189" i="2"/>
  <c r="C3407" i="2"/>
  <c r="C3538" i="2"/>
  <c r="C3028" i="2"/>
  <c r="C3784" i="2"/>
  <c r="C2984" i="2"/>
  <c r="C3427" i="2"/>
  <c r="C3201" i="2"/>
  <c r="C3252" i="2"/>
  <c r="C3844" i="2"/>
  <c r="C3170" i="2"/>
  <c r="C2811" i="2"/>
  <c r="C3475" i="2"/>
  <c r="C3203" i="2"/>
  <c r="C3715" i="2"/>
  <c r="C2797" i="2"/>
  <c r="C3026" i="2"/>
  <c r="C2722" i="2"/>
  <c r="C2869" i="2"/>
  <c r="C3008" i="2"/>
  <c r="C3111" i="2"/>
  <c r="C3812" i="2"/>
  <c r="C3646" i="2"/>
  <c r="C3250" i="2"/>
  <c r="C2712" i="2"/>
  <c r="C3069" i="2"/>
  <c r="C3064" i="2"/>
  <c r="C3370" i="2"/>
  <c r="C2696" i="2"/>
  <c r="C3611" i="2"/>
  <c r="C2817" i="2"/>
  <c r="C3412" i="2"/>
  <c r="C3533" i="2"/>
  <c r="C3348" i="2"/>
  <c r="C3860" i="2"/>
  <c r="C2819" i="2"/>
  <c r="C3685" i="2"/>
  <c r="C3569" i="2"/>
  <c r="C3518" i="2"/>
  <c r="C3016" i="2"/>
  <c r="C2724" i="2"/>
  <c r="C2886" i="2"/>
  <c r="C3491" i="2"/>
  <c r="C3544" i="2"/>
  <c r="C3629" i="2"/>
  <c r="C2996" i="2"/>
  <c r="C3434" i="2"/>
  <c r="C3046" i="2"/>
  <c r="C3178" i="2"/>
  <c r="C3486" i="2"/>
  <c r="C3168" i="2"/>
  <c r="C3598" i="2"/>
  <c r="C2881" i="2"/>
  <c r="C3265" i="2"/>
  <c r="C3688" i="2"/>
  <c r="C2772" i="2"/>
  <c r="C3303" i="2"/>
  <c r="C3472" i="2"/>
  <c r="C3213" i="2"/>
  <c r="C2668" i="2"/>
  <c r="C2676" i="2"/>
  <c r="C2694" i="2"/>
  <c r="C3169" i="2"/>
  <c r="C3349" i="2"/>
  <c r="C3300" i="2"/>
  <c r="C2732" i="2"/>
  <c r="C2854" i="2"/>
  <c r="C3641" i="2"/>
  <c r="C2874" i="2"/>
  <c r="C3144" i="2"/>
  <c r="C2920" i="2"/>
  <c r="C3268" i="2"/>
  <c r="C3082" i="2"/>
  <c r="C2872" i="2"/>
  <c r="C3220" i="2"/>
  <c r="C3344" i="2"/>
  <c r="C3027" i="2"/>
  <c r="C2884" i="2"/>
  <c r="C3626" i="2"/>
  <c r="C2866" i="2"/>
  <c r="C2851" i="2"/>
  <c r="C2756" i="2"/>
  <c r="C3826" i="2"/>
  <c r="C3316" i="2"/>
  <c r="C3691" i="2"/>
  <c r="C3176" i="2"/>
  <c r="C3760" i="2"/>
  <c r="C3596" i="2"/>
  <c r="C3747" i="2"/>
  <c r="C2763" i="2"/>
  <c r="C3684" i="2"/>
  <c r="C3496" i="2"/>
  <c r="C3793" i="2"/>
  <c r="C2678" i="2"/>
  <c r="C3011" i="2"/>
  <c r="C3768" i="2"/>
  <c r="C3534" i="2"/>
  <c r="C3074" i="2"/>
  <c r="C3157" i="2"/>
  <c r="C2812" i="2"/>
  <c r="C3764" i="2"/>
  <c r="C3010" i="2"/>
  <c r="C3568" i="2"/>
  <c r="C3587" i="2"/>
  <c r="C2859" i="2"/>
  <c r="C2916" i="2"/>
  <c r="C3015" i="2"/>
  <c r="C3507" i="2"/>
  <c r="C3859" i="2"/>
  <c r="C2850" i="2"/>
  <c r="C3597" i="2"/>
  <c r="C3493" i="2"/>
  <c r="C3126" i="2"/>
  <c r="C2704" i="2"/>
  <c r="C2805" i="2"/>
  <c r="C3379" i="2"/>
  <c r="C2849" i="2"/>
  <c r="C3194" i="2"/>
  <c r="C3713" i="2"/>
  <c r="C3782" i="2"/>
  <c r="C3734" i="2"/>
  <c r="C3003" i="2"/>
  <c r="C2952" i="2"/>
  <c r="C2938" i="2"/>
  <c r="C2747" i="2"/>
  <c r="C3013" i="2"/>
  <c r="C3060" i="2"/>
  <c r="C3121" i="2"/>
  <c r="C3138" i="2"/>
  <c r="C3253" i="2"/>
  <c r="C3285" i="2"/>
  <c r="C3841" i="2"/>
  <c r="C2700" i="2"/>
  <c r="C2948" i="2"/>
  <c r="C3380" i="2"/>
  <c r="C3862" i="2"/>
  <c r="C3112" i="2"/>
  <c r="C3156" i="2"/>
  <c r="C2962" i="2"/>
  <c r="C3059" i="2"/>
  <c r="C3560" i="2"/>
  <c r="C2864" i="2"/>
  <c r="C3829" i="2"/>
  <c r="C3828" i="2"/>
  <c r="C3101" i="2"/>
  <c r="C3219" i="2"/>
  <c r="C3256" i="2"/>
  <c r="C3351" i="2"/>
  <c r="C3593" i="2"/>
  <c r="C2673" i="2"/>
  <c r="C2778" i="2"/>
  <c r="C3331" i="2"/>
  <c r="C3701" i="2"/>
  <c r="C3857" i="2"/>
  <c r="C3110" i="2"/>
  <c r="C3450" i="2"/>
  <c r="C3133" i="2"/>
  <c r="C3281" i="2"/>
  <c r="C3863" i="2"/>
  <c r="C3861" i="2"/>
  <c r="C3586" i="2"/>
  <c r="C3490" i="2"/>
  <c r="C2980" i="2"/>
  <c r="C3537" i="2"/>
  <c r="C3610" i="2"/>
  <c r="C2848" i="2"/>
  <c r="C3509" i="2"/>
  <c r="C2683" i="2"/>
  <c r="C3288" i="2"/>
  <c r="C3367" i="2"/>
  <c r="C2877" i="2"/>
  <c r="C3460" i="2"/>
  <c r="C2892" i="2"/>
  <c r="C3224" i="2"/>
  <c r="C3817" i="2"/>
  <c r="C2771" i="2"/>
  <c r="C3012" i="2"/>
  <c r="C3223" i="2"/>
  <c r="C3556" i="2"/>
  <c r="C3536" i="2"/>
  <c r="C3524" i="2"/>
  <c r="C2979" i="2"/>
  <c r="C3408" i="2"/>
  <c r="C3018" i="2"/>
  <c r="C3426" i="2"/>
  <c r="C3280" i="2"/>
  <c r="C2755" i="2"/>
  <c r="C2738" i="2"/>
  <c r="C3442" i="2"/>
  <c r="C3607" i="2"/>
  <c r="C2964" i="2"/>
  <c r="C2885" i="2"/>
  <c r="C3700" i="2"/>
  <c r="C3595" i="2"/>
  <c r="C3048" i="2"/>
  <c r="C2910" i="2"/>
  <c r="C2987" i="2"/>
  <c r="C3480" i="2"/>
  <c r="C3572" i="2"/>
  <c r="C2786" i="2"/>
  <c r="C2954" i="2"/>
  <c r="C3162" i="2"/>
  <c r="C3697" i="2"/>
  <c r="C2733" i="2"/>
  <c r="C2672" i="2"/>
  <c r="C3000" i="2"/>
  <c r="C3702" i="2"/>
  <c r="C2787" i="2"/>
  <c r="C3319" i="2"/>
  <c r="C2695" i="2"/>
  <c r="C2758" i="2"/>
  <c r="C3658" i="2"/>
  <c r="C2752" i="2"/>
  <c r="C3659" i="2"/>
  <c r="C3482" i="2"/>
  <c r="C3523" i="2"/>
  <c r="C3107" i="2"/>
  <c r="C3858" i="2"/>
  <c r="C3638" i="2"/>
  <c r="C3183" i="2"/>
  <c r="C3505" i="2"/>
  <c r="C3040" i="2"/>
  <c r="C3787" i="2"/>
  <c r="C2977" i="2"/>
  <c r="C2827" i="2"/>
  <c r="C3200" i="2"/>
  <c r="C3072" i="2"/>
  <c r="C3283" i="2"/>
  <c r="C3543" i="2"/>
  <c r="C3689" i="2"/>
  <c r="C3816" i="2"/>
  <c r="C2828" i="2"/>
  <c r="C3474" i="2"/>
  <c r="C3620" i="2"/>
  <c r="C3585" i="2"/>
  <c r="C3807" i="2"/>
  <c r="C3656" i="2"/>
  <c r="C2878" i="2"/>
  <c r="C2708" i="2"/>
  <c r="C3376" i="2"/>
  <c r="C2838" i="2"/>
  <c r="C3448" i="2"/>
  <c r="C3417" i="2"/>
  <c r="C3645" i="2"/>
  <c r="C3830" i="2"/>
  <c r="C2836" i="2"/>
  <c r="C3706" i="2"/>
  <c r="C3113" i="2"/>
  <c r="C3707" i="2"/>
  <c r="C3502" i="2"/>
  <c r="C3819" i="2"/>
  <c r="C2840" i="2"/>
  <c r="C3832" i="2"/>
  <c r="C3642" i="2"/>
  <c r="C2944" i="2"/>
  <c r="C3761" i="2"/>
  <c r="C3044" i="2"/>
  <c r="C2919" i="2"/>
  <c r="C2728" i="2"/>
  <c r="C2693" i="2"/>
  <c r="C3589" i="2"/>
  <c r="C3801" i="2"/>
  <c r="C3050" i="2"/>
  <c r="C2922" i="2"/>
  <c r="C3204" i="2"/>
  <c r="C3663" i="2"/>
  <c r="C3557" i="2"/>
  <c r="C3454" i="2"/>
  <c r="C3075" i="2"/>
  <c r="C3686" i="2"/>
  <c r="C2856" i="2"/>
  <c r="C2716" i="2"/>
  <c r="C3037" i="2"/>
  <c r="C3073" i="2"/>
  <c r="C2820" i="2"/>
  <c r="C3347" i="2"/>
  <c r="C3682" i="2"/>
  <c r="C3833" i="2"/>
  <c r="C3282" i="2"/>
  <c r="C3579" i="2"/>
  <c r="C3643" i="2"/>
  <c r="C2810" i="2"/>
  <c r="C2808" i="2"/>
  <c r="C3717" i="2"/>
  <c r="C3683" i="2"/>
  <c r="C3476" i="2"/>
  <c r="C3089" i="2"/>
  <c r="C3365" i="2"/>
  <c r="C3731" i="2"/>
  <c r="C2674" i="2"/>
  <c r="C3608" i="2"/>
  <c r="C2744" i="2"/>
  <c r="C3047" i="2"/>
  <c r="C3727" i="2"/>
  <c r="C2792" i="2"/>
  <c r="C3272" i="2"/>
  <c r="C3171" i="2"/>
  <c r="C3266" i="2"/>
  <c r="C3424" i="2"/>
  <c r="C3104" i="2"/>
  <c r="C3733" i="2"/>
  <c r="C3076" i="2"/>
  <c r="C3188" i="2"/>
  <c r="C3377" i="2"/>
  <c r="C3381" i="2"/>
  <c r="C3856" i="2"/>
  <c r="C3566" i="2"/>
  <c r="C3525" i="2"/>
  <c r="C3314" i="2"/>
  <c r="C3410" i="2"/>
  <c r="C2804" i="2"/>
  <c r="C3851" i="2"/>
  <c r="C2721" i="2"/>
  <c r="C3640" i="2"/>
  <c r="C2835" i="2"/>
  <c r="C3386" i="2"/>
  <c r="C2941" i="2"/>
  <c r="C2887" i="2"/>
  <c r="C3461" i="2"/>
  <c r="C3794" i="2"/>
  <c r="C3654" i="2"/>
  <c r="C3554" i="2"/>
  <c r="C2803" i="2"/>
  <c r="C3130" i="2"/>
  <c r="C2907" i="2"/>
  <c r="C3077" i="2"/>
  <c r="C2737" i="2"/>
  <c r="C3667" i="2"/>
  <c r="C3845" i="2"/>
  <c r="C2776" i="2"/>
  <c r="C2791" i="2"/>
  <c r="C3409" i="2"/>
  <c r="C2710" i="2"/>
  <c r="C2685" i="2"/>
  <c r="C3785" i="2"/>
  <c r="C3473" i="2"/>
  <c r="C3835" i="2"/>
  <c r="C3681" i="2"/>
  <c r="C3827" i="2"/>
  <c r="C3043" i="2"/>
  <c r="C2692" i="2"/>
  <c r="C3470" i="2"/>
  <c r="C2748" i="2"/>
  <c r="C3539" i="2"/>
  <c r="C3627" i="2"/>
  <c r="C3155" i="2"/>
  <c r="C3458" i="2"/>
  <c r="C3152" i="2"/>
  <c r="C2753" i="2"/>
  <c r="C3636" i="2"/>
  <c r="C3639" i="2"/>
  <c r="C3540" i="2"/>
  <c r="C2945" i="2"/>
  <c r="C3606" i="2"/>
  <c r="C3464" i="2"/>
  <c r="C3614" i="2"/>
  <c r="C2759" i="2"/>
  <c r="C3399" i="2"/>
  <c r="C3766" i="2"/>
  <c r="C3202" i="2"/>
  <c r="C3125" i="2"/>
  <c r="C3124" i="2"/>
  <c r="C3492" i="2"/>
  <c r="C3495" i="2"/>
  <c r="C3232" i="2"/>
  <c r="C2947" i="2"/>
  <c r="C2899" i="2"/>
  <c r="C3811" i="2"/>
  <c r="C3345" i="2"/>
  <c r="C3267" i="2"/>
  <c r="C3095" i="2"/>
  <c r="C3459" i="2"/>
  <c r="C3797" i="2"/>
  <c r="C3400" i="2"/>
  <c r="C2963" i="2"/>
  <c r="C3855" i="2"/>
  <c r="C3457" i="2"/>
  <c r="C3669" i="2"/>
  <c r="C3216" i="2"/>
  <c r="C3051" i="2"/>
  <c r="C3301" i="2"/>
  <c r="C2875" i="2"/>
  <c r="C3394" i="2"/>
  <c r="C3441" i="2"/>
  <c r="C2915" i="2"/>
  <c r="C3440" i="2"/>
  <c r="C2715" i="2"/>
  <c r="C2677" i="2"/>
  <c r="C2982" i="2"/>
  <c r="C3143" i="2"/>
  <c r="C2823" i="2"/>
  <c r="C2936" i="2"/>
  <c r="C3527" i="2"/>
  <c r="C2933" i="2"/>
  <c r="C2802" i="2"/>
  <c r="C3248" i="2"/>
  <c r="C3031" i="2"/>
  <c r="C3297" i="2"/>
  <c r="C3205" i="2"/>
  <c r="C3067" i="2"/>
  <c r="C3249" i="2"/>
  <c r="C3749" i="2"/>
  <c r="C2868" i="2"/>
  <c r="C3140" i="2"/>
  <c r="C3825" i="2"/>
  <c r="C3673" i="2"/>
  <c r="C3748" i="2"/>
  <c r="C2739" i="2"/>
  <c r="C2956" i="2"/>
  <c r="C3750" i="2"/>
  <c r="C3714" i="2"/>
  <c r="C3100" i="2"/>
  <c r="C2946" i="2"/>
  <c r="C3413" i="2"/>
  <c r="C3416" i="2"/>
  <c r="C2675" i="2"/>
  <c r="C3777" i="2"/>
  <c r="C3079" i="2"/>
  <c r="C3066" i="2"/>
  <c r="C3136" i="2"/>
  <c r="C3657" i="2"/>
  <c r="C3264" i="2"/>
  <c r="C2844" i="2"/>
  <c r="C2680" i="2"/>
  <c r="C2709" i="2"/>
  <c r="C2730" i="2"/>
  <c r="C3718" i="2"/>
  <c r="C3317" i="2"/>
  <c r="C3679" i="2"/>
  <c r="C3522" i="2"/>
  <c r="C2785" i="2"/>
  <c r="C3296" i="2"/>
  <c r="C2858" i="2"/>
  <c r="C3384" i="2"/>
  <c r="C3839" i="2"/>
  <c r="C3315" i="2"/>
  <c r="C2740" i="2"/>
  <c r="C2900" i="2"/>
  <c r="C3508" i="2"/>
  <c r="C3233" i="2"/>
  <c r="C3703" i="2"/>
  <c r="C2972" i="2"/>
  <c r="C3443" i="2"/>
  <c r="C2932" i="2"/>
  <c r="C3584" i="2"/>
  <c r="C3613" i="2"/>
  <c r="C2788" i="2"/>
  <c r="C3364" i="2"/>
  <c r="C3552" i="2"/>
  <c r="C3791" i="2"/>
  <c r="C2995" i="2"/>
  <c r="C3823" i="2"/>
  <c r="C3477" i="2"/>
  <c r="C3795" i="2"/>
  <c r="C2939" i="2"/>
  <c r="C3312" i="2"/>
  <c r="C2723" i="2"/>
  <c r="C2818" i="2"/>
  <c r="C3313" i="2"/>
  <c r="C2794" i="2"/>
  <c r="C3530" i="2"/>
  <c r="C3137" i="2"/>
  <c r="C3021" i="2"/>
  <c r="C3068" i="2"/>
  <c r="C3245" i="2"/>
  <c r="C3605" i="2"/>
  <c r="C3108" i="2"/>
  <c r="C3542" i="2"/>
  <c r="C3786" i="2"/>
  <c r="C3393" i="2"/>
  <c r="C3814" i="2"/>
  <c r="C3269" i="2"/>
  <c r="C3042" i="2"/>
  <c r="C3676" i="2"/>
  <c r="C3299" i="2"/>
  <c r="C2857" i="2"/>
  <c r="C3254" i="2"/>
  <c r="C3148" i="2"/>
  <c r="C2793" i="2"/>
  <c r="C3762" i="2"/>
  <c r="C3403" i="2"/>
  <c r="C3428" i="2"/>
  <c r="C3594" i="2"/>
  <c r="C3359" i="2"/>
  <c r="C3019" i="2"/>
  <c r="C3588" i="2"/>
  <c r="C2725" i="2"/>
  <c r="C3519" i="2"/>
  <c r="C3368" i="2"/>
  <c r="C3668" i="2"/>
  <c r="C3751" i="2"/>
  <c r="C3234" i="2"/>
  <c r="C2908" i="2"/>
  <c r="C3622" i="2"/>
  <c r="C3699" i="2"/>
  <c r="C3712" i="2"/>
  <c r="C3109" i="2"/>
  <c r="C2727" i="2"/>
  <c r="C2955" i="2"/>
  <c r="C3779" i="2"/>
  <c r="C3318" i="2"/>
  <c r="C3206" i="2"/>
  <c r="C3773" i="2"/>
  <c r="C3020" i="2"/>
  <c r="C3277" i="2"/>
  <c r="C2713" i="2"/>
  <c r="C2749" i="2"/>
  <c r="C2853" i="2"/>
  <c r="C3159" i="2"/>
  <c r="C2898" i="2"/>
  <c r="C3824" i="2"/>
  <c r="C3711" i="2"/>
  <c r="C2927" i="2"/>
  <c r="C3574" i="2"/>
  <c r="C3320" i="2"/>
  <c r="C2883" i="2"/>
  <c r="C3271" i="2"/>
  <c r="C2925" i="2"/>
  <c r="C3088" i="2"/>
  <c r="C3406" i="2"/>
  <c r="C3690" i="2"/>
  <c r="C2815" i="2"/>
  <c r="C3836" i="2"/>
  <c r="C3185" i="2"/>
  <c r="C2934" i="2"/>
  <c r="C3087" i="2"/>
  <c r="C3644" i="2"/>
  <c r="C3358" i="2"/>
  <c r="C3840" i="2"/>
  <c r="C3057" i="2"/>
  <c r="C3080" i="2"/>
  <c r="C3337" i="2"/>
  <c r="C3395" i="2"/>
  <c r="C2902" i="2"/>
  <c r="C2825" i="2"/>
  <c r="C3513" i="2"/>
  <c r="C3164" i="2"/>
  <c r="C3438" i="2"/>
  <c r="C3609" i="2"/>
  <c r="C3119" i="2"/>
  <c r="C3447" i="2"/>
  <c r="C3103" i="2"/>
  <c r="C3647" i="2"/>
  <c r="C3058" i="2"/>
  <c r="C3570" i="2"/>
  <c r="C3309" i="2"/>
  <c r="C2845" i="2"/>
  <c r="C3838" i="2"/>
  <c r="C3425" i="2"/>
  <c r="C3350" i="2"/>
  <c r="C3653" i="2"/>
  <c r="C2959" i="2"/>
  <c r="C2751" i="2"/>
  <c r="C3802" i="2"/>
  <c r="C3809" i="2"/>
  <c r="C3488" i="2"/>
  <c r="C2914" i="2"/>
  <c r="C3145" i="2"/>
  <c r="C2813" i="2"/>
  <c r="C3231" i="2"/>
  <c r="C2754" i="2"/>
  <c r="C3741" i="2"/>
  <c r="C3705" i="2"/>
  <c r="C3469" i="2"/>
  <c r="C2729" i="2"/>
  <c r="C2830" i="2"/>
  <c r="C2969" i="2"/>
  <c r="C3444" i="2"/>
  <c r="C3721" i="2"/>
  <c r="C3615" i="2"/>
  <c r="C3325" i="2"/>
  <c r="C2717" i="2"/>
  <c r="C3652" i="2"/>
  <c r="C2690" i="2"/>
  <c r="C3286" i="2"/>
  <c r="C3637" i="2"/>
  <c r="C3633" i="2"/>
  <c r="C3084" i="2"/>
  <c r="C3478" i="2"/>
  <c r="C3494" i="2"/>
  <c r="C2912" i="2"/>
  <c r="C3322" i="2"/>
  <c r="C3324" i="2"/>
  <c r="C2895" i="2"/>
  <c r="C3391" i="2"/>
  <c r="C3388" i="2"/>
  <c r="C3099" i="2"/>
  <c r="C2896" i="2"/>
  <c r="C3063" i="2"/>
  <c r="C3246" i="2"/>
  <c r="C3481" i="2"/>
  <c r="C3553" i="2"/>
  <c r="C3191" i="2"/>
  <c r="C2837" i="2"/>
  <c r="C3501" i="2"/>
  <c r="C3831" i="2"/>
  <c r="C3279" i="2"/>
  <c r="C3102" i="2"/>
  <c r="C3342" i="2"/>
  <c r="C2904" i="2"/>
  <c r="C3081" i="2"/>
  <c r="C2826" i="2"/>
  <c r="C3581" i="2"/>
  <c r="C3430" i="2"/>
  <c r="C3514" i="2"/>
  <c r="C3545" i="2"/>
  <c r="C2847" i="2"/>
  <c r="C3263" i="2"/>
  <c r="C3382" i="2"/>
  <c r="C3484" i="2"/>
  <c r="C3497" i="2"/>
  <c r="C2852" i="2"/>
  <c r="C2679" i="2"/>
  <c r="C3617" i="2"/>
  <c r="C3625" i="2"/>
  <c r="C3158" i="2"/>
  <c r="C3550" i="2"/>
  <c r="C3696" i="2"/>
  <c r="C2951" i="2"/>
  <c r="C3241" i="2"/>
  <c r="C3070" i="2"/>
  <c r="C3105" i="2"/>
  <c r="C3738" i="2"/>
  <c r="C3166" i="2"/>
  <c r="C3131" i="2"/>
  <c r="C3078" i="2"/>
  <c r="C3328" i="2"/>
  <c r="C3821" i="2"/>
  <c r="C3304" i="2"/>
  <c r="C3236" i="2"/>
  <c r="C3805" i="2"/>
  <c r="C2789" i="2"/>
  <c r="C3732" i="2"/>
  <c r="C2750" i="2"/>
  <c r="C3520" i="2"/>
  <c r="C2814" i="2"/>
  <c r="C2779" i="2"/>
  <c r="C3092" i="2"/>
  <c r="C3563" i="2"/>
  <c r="C2720" i="2"/>
  <c r="C2829" i="2"/>
  <c r="C2862" i="2"/>
  <c r="C2824" i="2"/>
  <c r="C3693" i="2"/>
  <c r="C3468" i="2"/>
  <c r="C3259" i="2"/>
  <c r="C3754" i="2"/>
  <c r="C3810" i="2"/>
  <c r="C3415" i="2"/>
  <c r="C2860" i="2"/>
  <c r="C3122" i="2"/>
  <c r="C3419" i="2"/>
  <c r="C2669" i="2"/>
  <c r="C3210" i="2"/>
  <c r="C3247" i="2"/>
  <c r="C3096" i="2"/>
  <c r="C2935" i="2"/>
  <c r="C3165" i="2"/>
  <c r="C3842" i="2"/>
  <c r="C2983" i="2"/>
  <c r="C3744" i="2"/>
  <c r="C3759" i="2"/>
  <c r="C2928" i="2"/>
  <c r="C3535" i="2"/>
  <c r="C3330" i="2"/>
  <c r="C3471" i="2"/>
  <c r="C2960" i="2"/>
  <c r="C3335" i="2"/>
  <c r="C3007" i="2"/>
  <c r="C2911" i="2"/>
  <c r="C3433" i="2"/>
  <c r="C3660" i="2"/>
  <c r="C3326" i="2"/>
  <c r="C3212" i="2"/>
  <c r="C3195" i="2"/>
  <c r="C3177" i="2"/>
  <c r="C3528" i="2"/>
  <c r="C3290" i="2"/>
  <c r="C2834" i="2"/>
  <c r="C3227" i="2"/>
  <c r="C2989" i="2"/>
  <c r="C2769" i="2"/>
  <c r="C2783" i="2"/>
  <c r="C3590" i="2"/>
  <c r="C3489" i="2"/>
  <c r="C3190" i="2"/>
  <c r="C3106" i="2"/>
  <c r="C2957" i="2"/>
  <c r="C2719" i="2"/>
  <c r="C3792" i="2"/>
  <c r="C3655" i="2"/>
  <c r="C2767" i="2"/>
  <c r="C2913" i="2"/>
  <c r="C3154" i="2"/>
  <c r="C2981" i="2"/>
  <c r="C2909" i="2"/>
  <c r="C2990" i="2"/>
  <c r="C3302" i="2"/>
  <c r="C2958" i="2"/>
  <c r="C3737" i="2"/>
  <c r="C3739" i="2"/>
  <c r="C3352" i="2"/>
  <c r="C3735" i="2"/>
  <c r="C2799" i="2"/>
  <c r="C3397" i="2"/>
  <c r="C2843" i="2"/>
  <c r="C2926" i="2"/>
  <c r="C3294" i="2"/>
  <c r="C3270" i="2"/>
  <c r="C3323" i="2"/>
  <c r="C3429" i="2"/>
  <c r="C3775" i="2"/>
  <c r="C3559" i="2"/>
  <c r="C2871" i="2"/>
  <c r="C3396" i="2"/>
  <c r="C2735" i="2"/>
  <c r="C3571" i="2"/>
  <c r="C3041" i="2"/>
  <c r="C2821" i="2"/>
  <c r="C3307" i="2"/>
  <c r="C3094" i="2"/>
  <c r="C3237" i="2"/>
  <c r="C3665" i="2"/>
  <c r="C2671" i="2"/>
  <c r="C3635" i="2"/>
  <c r="C2774" i="2"/>
  <c r="C3767" i="2"/>
  <c r="C2682" i="2"/>
  <c r="C3332" i="2"/>
  <c r="C2796" i="2"/>
  <c r="C3235" i="2"/>
  <c r="C3062" i="2"/>
  <c r="C3172" i="2"/>
  <c r="C3242" i="2"/>
  <c r="C3198" i="2"/>
  <c r="C3680" i="2"/>
  <c r="C3147" i="2"/>
  <c r="C3004" i="2"/>
  <c r="C3555" i="2"/>
  <c r="C3179" i="2"/>
  <c r="C3763" i="2"/>
  <c r="C3583" i="2"/>
  <c r="C2897" i="2"/>
  <c r="C2929" i="2"/>
  <c r="C3515" i="2"/>
  <c r="C3820" i="2"/>
  <c r="C2942" i="2"/>
  <c r="C3038" i="2"/>
  <c r="C3423" i="2"/>
  <c r="C3854" i="2"/>
  <c r="C3291" i="2"/>
  <c r="C3258" i="2"/>
  <c r="C3531" i="2"/>
  <c r="C3218" i="2"/>
  <c r="C3180" i="2"/>
  <c r="C3196" i="2"/>
  <c r="C2731" i="2"/>
  <c r="C3061" i="2"/>
  <c r="C3616" i="2"/>
  <c r="C3132" i="2"/>
  <c r="C2971" i="2"/>
  <c r="C3036" i="2"/>
  <c r="C3698" i="2"/>
  <c r="C3035" i="2"/>
  <c r="C3694" i="2"/>
  <c r="C3575" i="2"/>
  <c r="C2832" i="2"/>
  <c r="C3648" i="2"/>
  <c r="C3371" i="2"/>
  <c r="C3420" i="2"/>
  <c r="C3798" i="2"/>
  <c r="C3298" i="2"/>
  <c r="C2993" i="2"/>
  <c r="C2930" i="2"/>
  <c r="C3029" i="2"/>
  <c r="C3755" i="2"/>
  <c r="C3710" i="2"/>
  <c r="C3671" i="2"/>
  <c r="C3649" i="2"/>
  <c r="C3193" i="2"/>
  <c r="C3601" i="2"/>
  <c r="C2988" i="2"/>
  <c r="C3002" i="2"/>
  <c r="C2965" i="2"/>
  <c r="C3214" i="2"/>
  <c r="C3770" i="2"/>
  <c r="C3278" i="2"/>
  <c r="C2686" i="2"/>
  <c r="C3014" i="2"/>
  <c r="C3276" i="2"/>
  <c r="C3788" i="2"/>
  <c r="C2726" i="2"/>
  <c r="C3150" i="2"/>
  <c r="C2873" i="2"/>
  <c r="C2718" i="2"/>
  <c r="C3709" i="2"/>
  <c r="C2970" i="2"/>
  <c r="C3431" i="2"/>
  <c r="C2991" i="2"/>
  <c r="C2807" i="2"/>
  <c r="C2706" i="2"/>
  <c r="C3780" i="2"/>
  <c r="C3650" i="2"/>
  <c r="C3053" i="2"/>
  <c r="C3704" i="2"/>
  <c r="C3049" i="2"/>
  <c r="C3541" i="2"/>
  <c r="C3678" i="2"/>
  <c r="C3790" i="2"/>
  <c r="C3083" i="2"/>
  <c r="C3151" i="2"/>
  <c r="C3591" i="2"/>
  <c r="C3504" i="2"/>
  <c r="C3603" i="2"/>
  <c r="C3209" i="2"/>
  <c r="C3383" i="2"/>
  <c r="C3093" i="2"/>
  <c r="C3045" i="2"/>
  <c r="C2766" i="2"/>
  <c r="C2994" i="2"/>
  <c r="C2940" i="2"/>
  <c r="C3142" i="2"/>
  <c r="C3822" i="2"/>
  <c r="C3604" i="2"/>
  <c r="C3843" i="2"/>
  <c r="C3487" i="2"/>
  <c r="C3799" i="2"/>
  <c r="C3510" i="2"/>
  <c r="C3852" i="2"/>
  <c r="C3392" i="2"/>
  <c r="C3361" i="2"/>
  <c r="C2707" i="2"/>
  <c r="C3815" i="2"/>
  <c r="C2809" i="2"/>
  <c r="C3708" i="2"/>
  <c r="C3564" i="2"/>
  <c r="C3153" i="2"/>
  <c r="C2816" i="2"/>
  <c r="C3600" i="2"/>
  <c r="C2882" i="2"/>
  <c r="C2992" i="2"/>
  <c r="C3346" i="2"/>
  <c r="C3418" i="2"/>
  <c r="C3837" i="2"/>
  <c r="C3746" i="2"/>
  <c r="C3740" i="2"/>
  <c r="C2741" i="2"/>
  <c r="C2879" i="2"/>
  <c r="C3120" i="2"/>
  <c r="C2931" i="2"/>
  <c r="C3343" i="2"/>
  <c r="C3022" i="2"/>
  <c r="C3225" i="2"/>
  <c r="C3284" i="2"/>
  <c r="C2950" i="2"/>
  <c r="C3651" i="2"/>
  <c r="C3226" i="2"/>
  <c r="C3375" i="2"/>
  <c r="C2801" i="2"/>
  <c r="C3098" i="2"/>
  <c r="C2742" i="2"/>
  <c r="C3333" i="2"/>
  <c r="C3404" i="2"/>
  <c r="C2699" i="2"/>
  <c r="C3251" i="2"/>
  <c r="C3024" i="2"/>
  <c r="C3146" i="2"/>
  <c r="C2701" i="2"/>
  <c r="C2870" i="2"/>
  <c r="C2775" i="2"/>
  <c r="C3529" i="2"/>
  <c r="C3729" i="2"/>
  <c r="C3724" i="2"/>
  <c r="C3149" i="2"/>
  <c r="C3390" i="2"/>
  <c r="C3462" i="2"/>
  <c r="C3592" i="2"/>
  <c r="C3548" i="2"/>
  <c r="C3800" i="2"/>
  <c r="C3506" i="2"/>
  <c r="C3517" i="2"/>
  <c r="C3618" i="2"/>
  <c r="C3813" i="2"/>
  <c r="C3664" i="2"/>
  <c r="C3778" i="2"/>
  <c r="C3661" i="2"/>
  <c r="C2768" i="2"/>
  <c r="C2867" i="2"/>
  <c r="C3753" i="2"/>
  <c r="C3561" i="2"/>
  <c r="C3577" i="2"/>
  <c r="C3065" i="2"/>
  <c r="C3221" i="2"/>
  <c r="C3275" i="2"/>
  <c r="C3500" i="2"/>
  <c r="C2889" i="2"/>
  <c r="C3116" i="2"/>
  <c r="C3672" i="2"/>
  <c r="C3695" i="2"/>
  <c r="C3546" i="2"/>
  <c r="C3006" i="2"/>
  <c r="C3516" i="2"/>
  <c r="C3463" i="2"/>
  <c r="C3086" i="2"/>
  <c r="C3479" i="2"/>
  <c r="C2702" i="2"/>
  <c r="C2949" i="2"/>
  <c r="C2831" i="2"/>
  <c r="C3402" i="2"/>
  <c r="C3238" i="2"/>
  <c r="C3619" i="2"/>
  <c r="C2999" i="2"/>
  <c r="C2734" i="2"/>
  <c r="C3354" i="2"/>
  <c r="C3453" i="2"/>
  <c r="C2760" i="2"/>
  <c r="C2863" i="2"/>
  <c r="C3244" i="2"/>
  <c r="C3187" i="2"/>
  <c r="C3341" i="2"/>
  <c r="C3207" i="2"/>
  <c r="C3630" i="2"/>
  <c r="C3090" i="2"/>
  <c r="C3374" i="2"/>
  <c r="C2691" i="2"/>
  <c r="C3765" i="2"/>
  <c r="C3411" i="2"/>
  <c r="C3373" i="2"/>
  <c r="C3327" i="2"/>
  <c r="C3846" i="2"/>
  <c r="C3582" i="2"/>
  <c r="C3217" i="2"/>
  <c r="C2841" i="2"/>
  <c r="C3273" i="2"/>
  <c r="C3134" i="2"/>
  <c r="C3498" i="2"/>
  <c r="C3398" i="2"/>
  <c r="C2861" i="2"/>
  <c r="C2905" i="2"/>
  <c r="C2890" i="2"/>
  <c r="C3456" i="2"/>
  <c r="C3670" i="2"/>
  <c r="C3757" i="2"/>
  <c r="C2894" i="2"/>
  <c r="C3776" i="2"/>
  <c r="C3321" i="2"/>
  <c r="C3796" i="2"/>
  <c r="C3123" i="2"/>
  <c r="C3356" i="2"/>
  <c r="C2966" i="2"/>
  <c r="C3215" i="2"/>
  <c r="C2921" i="2"/>
  <c r="C3720" i="2"/>
  <c r="C3772" i="2"/>
  <c r="C3435" i="2"/>
  <c r="C3599" i="2"/>
  <c r="C3355" i="2"/>
  <c r="C3756" i="2"/>
  <c r="C3091" i="2"/>
  <c r="C2888" i="2"/>
  <c r="C2670" i="2"/>
  <c r="C3369" i="2"/>
  <c r="C3612" i="2"/>
  <c r="C3338" i="2"/>
  <c r="C3208" i="2"/>
  <c r="C2937" i="2"/>
  <c r="C3452" i="2"/>
  <c r="C2745" i="2"/>
  <c r="C3128" i="2"/>
  <c r="C3677" i="2"/>
  <c r="C2790" i="2"/>
  <c r="C2967" i="2"/>
  <c r="C2770" i="2"/>
  <c r="C2973" i="2"/>
  <c r="C2842" i="2"/>
  <c r="C3455" i="2"/>
  <c r="C3085" i="2"/>
  <c r="C2684" i="2"/>
  <c r="C3141" i="2"/>
  <c r="C2985" i="2"/>
  <c r="C3054" i="2"/>
  <c r="C2798" i="2"/>
  <c r="C3674" i="2"/>
  <c r="C2917" i="2"/>
  <c r="C3274" i="2"/>
  <c r="C3758" i="2"/>
  <c r="C3849" i="2"/>
  <c r="C2764" i="2"/>
  <c r="C3017" i="2"/>
  <c r="C3175" i="2"/>
  <c r="C3789" i="2"/>
  <c r="C3853" i="2"/>
  <c r="C2986" i="2"/>
  <c r="C3848" i="2"/>
  <c r="C2968" i="2"/>
  <c r="C3228" i="2"/>
  <c r="C2880" i="2"/>
  <c r="C3360" i="2"/>
  <c r="C3211" i="2"/>
  <c r="C3192" i="2"/>
  <c r="C2822" i="2"/>
  <c r="C2762" i="2"/>
  <c r="C3287" i="2"/>
  <c r="C3558" i="2"/>
  <c r="C2855" i="2"/>
  <c r="C3804" i="2"/>
  <c r="C3199" i="2"/>
  <c r="C3602" i="2"/>
  <c r="C3632" i="2"/>
  <c r="C3781" i="2"/>
  <c r="C3446" i="2"/>
  <c r="C2961" i="2"/>
  <c r="C2689" i="2"/>
  <c r="C3432" i="2"/>
  <c r="C2923" i="2"/>
  <c r="C3115" i="2"/>
  <c r="C3666" i="2"/>
  <c r="C3181" i="2"/>
  <c r="C3357" i="2"/>
  <c r="C2800" i="2"/>
  <c r="C3311" i="2"/>
  <c r="C3736" i="2"/>
  <c r="C2765" i="2"/>
  <c r="C2784" i="2"/>
  <c r="C3726" i="2"/>
  <c r="C3039" i="2"/>
  <c r="C3521" i="2"/>
  <c r="C2714" i="2"/>
  <c r="C3512" i="2"/>
  <c r="C3005" i="2"/>
  <c r="C3129" i="2"/>
  <c r="C3576" i="2"/>
  <c r="C3692" i="2"/>
  <c r="C3184" i="2"/>
  <c r="C3229" i="2"/>
  <c r="C3628" i="2"/>
  <c r="C2681" i="2"/>
  <c r="C3001" i="2"/>
  <c r="C3118" i="2"/>
  <c r="C2901" i="2"/>
  <c r="C3549" i="2"/>
  <c r="C3445" i="2"/>
  <c r="C3262" i="2"/>
  <c r="C2687" i="2"/>
  <c r="C3261" i="2"/>
  <c r="C2974" i="2"/>
  <c r="C3034" i="2"/>
  <c r="C2997" i="2"/>
  <c r="C2918" i="2"/>
  <c r="C3743" i="2"/>
  <c r="C3723" i="2"/>
  <c r="C3032" i="2"/>
  <c r="C3503" i="2"/>
  <c r="C3160" i="2"/>
  <c r="C3197" i="2"/>
  <c r="C3806" i="2"/>
  <c r="C3052" i="2"/>
  <c r="C3293" i="2"/>
  <c r="C3730" i="2"/>
  <c r="C3033" i="2"/>
  <c r="C3783" i="2"/>
  <c r="C3624" i="2"/>
  <c r="C2893" i="2"/>
  <c r="C2978" i="2"/>
  <c r="C3716" i="2"/>
  <c r="C3847" i="2"/>
  <c r="C3097" i="2"/>
  <c r="C2667" i="2"/>
  <c r="C2924" i="2"/>
  <c r="C3292" i="2"/>
  <c r="C3389" i="2"/>
  <c r="C3362" i="2"/>
  <c r="C3526" i="2"/>
  <c r="C2703" i="2"/>
  <c r="C3240" i="2"/>
  <c r="C3567" i="2"/>
  <c r="C3023" i="2"/>
  <c r="C3114" i="2"/>
  <c r="C3305" i="2"/>
  <c r="C3329" i="2"/>
  <c r="C2998" i="2"/>
  <c r="C3745" i="2"/>
  <c r="C3547" i="2"/>
  <c r="C3186" i="2"/>
  <c r="C3675" i="2"/>
  <c r="C3499" i="2"/>
  <c r="C3573" i="2"/>
  <c r="C2865" i="2"/>
  <c r="C3728" i="2"/>
  <c r="C3623" i="2"/>
  <c r="C3025" i="2"/>
  <c r="C3771" i="2"/>
  <c r="C2705" i="2"/>
  <c r="C3167" i="2"/>
  <c r="C3774" i="2"/>
  <c r="C3437" i="2"/>
  <c r="C3260" i="2"/>
  <c r="C2777" i="2"/>
  <c r="C3631" i="2"/>
  <c r="C3769" i="2"/>
  <c r="C3385" i="2"/>
  <c r="C2906" i="2"/>
  <c r="C3353" i="2"/>
  <c r="C3295" i="2"/>
  <c r="C2698" i="2"/>
  <c r="C3436" i="2"/>
  <c r="C2903" i="2"/>
  <c r="C2757" i="2"/>
  <c r="C3255" i="2"/>
  <c r="C3173" i="2"/>
  <c r="C2773" i="2"/>
  <c r="C3387" i="2"/>
  <c r="C3532" i="2"/>
  <c r="C3578" i="2"/>
  <c r="C3808" i="2"/>
  <c r="C2795" i="2"/>
  <c r="C3056" i="2"/>
  <c r="C3117" i="2"/>
  <c r="C3257" i="2"/>
  <c r="C3336" i="2"/>
  <c r="C2782" i="2"/>
  <c r="C3405" i="2"/>
  <c r="C2697" i="2"/>
  <c r="C3363" i="2"/>
  <c r="C3239" i="2"/>
  <c r="C3334" i="2"/>
  <c r="C3719" i="2"/>
  <c r="C3565" i="2"/>
  <c r="C3009" i="2"/>
  <c r="C2781" i="2"/>
  <c r="C3139" i="2"/>
  <c r="C2976" i="2"/>
  <c r="C3310" i="2"/>
  <c r="C3339" i="2"/>
  <c r="C2743" i="2"/>
  <c r="C3055" i="2"/>
  <c r="C3580" i="2"/>
  <c r="C3834" i="2"/>
  <c r="C3850" i="2"/>
  <c r="C3289" i="2"/>
  <c r="C2761" i="2"/>
  <c r="C3378" i="2"/>
  <c r="C3182" i="2"/>
  <c r="C3634" i="2"/>
  <c r="C3562" i="2"/>
  <c r="C3071" i="2"/>
  <c r="C2975" i="2"/>
  <c r="C3306" i="2"/>
  <c r="C2839" i="2"/>
  <c r="C3551" i="2"/>
  <c r="C3163" i="2"/>
  <c r="C3621" i="2"/>
  <c r="C3161" i="2"/>
  <c r="C2711" i="2"/>
  <c r="C2833" i="2"/>
  <c r="C3366" i="2"/>
  <c r="C2688" i="2"/>
  <c r="C3818" i="2"/>
  <c r="C3243" i="2"/>
  <c r="C3742" i="2"/>
  <c r="C3372" i="2"/>
  <c r="C3725" i="2"/>
  <c r="C3127" i="2"/>
  <c r="C3135" i="2"/>
  <c r="C3722" i="2"/>
  <c r="C3439" i="2"/>
  <c r="C3340" i="2"/>
  <c r="C3422" i="2"/>
  <c r="C3483" i="2"/>
  <c r="C3465" i="2"/>
  <c r="C3752" i="2"/>
  <c r="C2780" i="2"/>
  <c r="C2943" i="2"/>
  <c r="C2846" i="2"/>
  <c r="C3687" i="2"/>
  <c r="C2666" i="2"/>
  <c r="C2876" i="2"/>
  <c r="C2806" i="2"/>
  <c r="C3230" i="2"/>
  <c r="C3451" i="2"/>
  <c r="C3467" i="2"/>
  <c r="C3485" i="2"/>
  <c r="C3449" i="2"/>
  <c r="C3511" i="2"/>
  <c r="C3030" i="2"/>
  <c r="C2953" i="2"/>
  <c r="C3466" i="2"/>
  <c r="C2746" i="2"/>
  <c r="C2736" i="2"/>
  <c r="C3401" i="2"/>
  <c r="C3222" i="2"/>
  <c r="C3803" i="2"/>
  <c r="C2891" i="2"/>
  <c r="C3421" i="2"/>
  <c r="C3174" i="2"/>
  <c r="C3662" i="2"/>
  <c r="C3308" i="2"/>
  <c r="C3414" i="2"/>
</calcChain>
</file>

<file path=xl/sharedStrings.xml><?xml version="1.0" encoding="utf-8"?>
<sst xmlns="http://schemas.openxmlformats.org/spreadsheetml/2006/main" count="26255" uniqueCount="9304">
  <si>
    <t>label</t>
  </si>
  <si>
    <t>description</t>
  </si>
  <si>
    <t>version</t>
  </si>
  <si>
    <t>firmwareVersion</t>
  </si>
  <si>
    <t>deviceType</t>
  </si>
  <si>
    <t>protocol</t>
  </si>
  <si>
    <t>pqEvent</t>
  </si>
  <si>
    <t>pqEventProto</t>
  </si>
  <si>
    <t>waveform</t>
  </si>
  <si>
    <t>waveformProto</t>
  </si>
  <si>
    <t>AcuRev-4110</t>
  </si>
  <si>
    <t>AcuRev-4110 three-phase AC meter</t>
  </si>
  <si>
    <t>v1.00p01</t>
  </si>
  <si>
    <t>v1.01p22</t>
  </si>
  <si>
    <t>threePhaseACMeter</t>
  </si>
  <si>
    <t>{
            "type": "Modbus",
            "transports": ["modbus-tcp", "modbus-rtu"]
        }</t>
  </si>
  <si>
    <t>true</t>
  </si>
  <si>
    <t>AcuRev4110-Class-S-Event</t>
  </si>
  <si>
    <t>AcuRev4110-Class-S-Waveform</t>
  </si>
  <si>
    <t>groupId</t>
  </si>
  <si>
    <t>groupType</t>
  </si>
  <si>
    <t>paramCount</t>
  </si>
  <si>
    <t>trend</t>
  </si>
  <si>
    <t>select from
datalog_range,</t>
  </si>
  <si>
    <t>此分组参数是在web界面选择增减的 9月5日文档说选择范围是datalog_range 9月6日文档没提</t>
  </si>
  <si>
    <t>trendreal</t>
  </si>
  <si>
    <t>9-16文档第59页说可以选，subo10月13日输出了范围，固定</t>
  </si>
  <si>
    <t>trendenergy</t>
  </si>
  <si>
    <t>north_range</t>
  </si>
  <si>
    <t>range</t>
  </si>
  <si>
    <r>
      <rPr>
        <sz val="11"/>
        <color rgb="FF196B24"/>
        <rFont val="等线"/>
        <family val="2"/>
      </rPr>
      <t>AcuCloud,BACnet/IP,SNMP不可选择</t>
    </r>
    <r>
      <rPr>
        <sz val="11"/>
        <color rgb="FF000000"/>
        <rFont val="等线"/>
        <family val="2"/>
      </rPr>
      <t>,</t>
    </r>
    <r>
      <rPr>
        <sz val="11"/>
        <color rgb="FFFF0000"/>
        <rFont val="等线"/>
        <family val="2"/>
      </rPr>
      <t>MQTT可选择参数</t>
    </r>
    <r>
      <rPr>
        <sz val="11"/>
        <color rgb="FF000000"/>
        <rFont val="等线"/>
        <family val="2"/>
      </rPr>
      <t>，范围都是这个。比datalog_range还多energy参数</t>
    </r>
  </si>
  <si>
    <t>diCounterRange</t>
  </si>
  <si>
    <t>比alarm_ao_range多energy(9月5日)DI status, DI counter, RO Status, DO status;
AcuCloud,BACnet/IP,SNMP不可选择MQTT可选择参数，范围都是这个。比datalog_range还多energy参数</t>
  </si>
  <si>
    <t>alarm_ao_maxmin_range</t>
  </si>
  <si>
    <t>Demand没有min所以min默认0</t>
  </si>
  <si>
    <t>alarm_range</t>
  </si>
  <si>
    <t>比alarm_ao_range多DI status</t>
  </si>
  <si>
    <t>alarm_ao_range</t>
  </si>
  <si>
    <r>
      <rPr>
        <sz val="11"/>
        <color rgb="FF000000"/>
        <rFont val="宋体"/>
        <family val="2"/>
        <scheme val="minor"/>
      </rPr>
      <t>Basic Parameter (</t>
    </r>
    <r>
      <rPr>
        <sz val="11"/>
        <color rgb="FF000000"/>
        <rFont val="等线"/>
        <family val="2"/>
      </rPr>
      <t>不含</t>
    </r>
    <r>
      <rPr>
        <sz val="11"/>
        <color rgb="FF000000"/>
        <rFont val="宋体"/>
        <family val="2"/>
        <scheme val="minor"/>
      </rPr>
      <t>LN)</t>
    </r>
    <r>
      <rPr>
        <sz val="11"/>
        <color rgb="FF000000"/>
        <rFont val="等线"/>
        <family val="2"/>
      </rPr>
      <t>,</t>
    </r>
    <r>
      <rPr>
        <sz val="11"/>
        <color rgb="FF000000"/>
        <rFont val="宋体"/>
        <family val="2"/>
        <scheme val="minor"/>
      </rPr>
      <t>Demand</t>
    </r>
    <r>
      <rPr>
        <sz val="11"/>
        <color rgb="FF000000"/>
        <rFont val="等线"/>
        <family val="2"/>
      </rPr>
      <t>,	Power Quality (不含individual harmonics)</t>
    </r>
  </si>
  <si>
    <t>realtime_system</t>
  </si>
  <si>
    <t>readings</t>
  </si>
  <si>
    <t>realtime_channel</t>
  </si>
  <si>
    <t>energy_system</t>
  </si>
  <si>
    <t>energy_channel</t>
  </si>
  <si>
    <t>thd_system</t>
  </si>
  <si>
    <t>thd_channel</t>
  </si>
  <si>
    <t>demand_system</t>
  </si>
  <si>
    <t>demand_channel</t>
  </si>
  <si>
    <t>PowerQuality</t>
  </si>
  <si>
    <t>deviceInfo</t>
  </si>
  <si>
    <t>SOElog</t>
  </si>
  <si>
    <t>max_demand_system</t>
  </si>
  <si>
    <t>max_demand_channel</t>
  </si>
  <si>
    <t>ctrl_io_range</t>
  </si>
  <si>
    <t>maxmin_system</t>
  </si>
  <si>
    <t>maxmin_channel</t>
  </si>
  <si>
    <t>20-23-36-38</t>
  </si>
  <si>
    <t>roStatusRange</t>
  </si>
  <si>
    <t>暂时没用，后边增加时会替换</t>
  </si>
  <si>
    <t>io</t>
  </si>
  <si>
    <t>deviceSetting_ClassS</t>
  </si>
  <si>
    <t>conf</t>
  </si>
  <si>
    <t>deviceSetting_UserAndCt</t>
  </si>
  <si>
    <t>deviceSetting_Batch_UserAndCt</t>
  </si>
  <si>
    <t>deviceSetting_General</t>
  </si>
  <si>
    <t>2.4Management</t>
  </si>
  <si>
    <t>mqtt</t>
  </si>
  <si>
    <t>select from
basicParamRange
demandRange
powerQualityRange
energyRange</t>
  </si>
  <si>
    <t>datalog</t>
  </si>
  <si>
    <t>SNMP</t>
  </si>
  <si>
    <t>doStatusRange</t>
  </si>
  <si>
    <t>deviceInspectionInfo</t>
  </si>
  <si>
    <t>squence_system</t>
  </si>
  <si>
    <t>squence_channel</t>
  </si>
  <si>
    <t>harmonic_system</t>
  </si>
  <si>
    <t>harmonic_channel</t>
  </si>
  <si>
    <t>basicParamRange</t>
  </si>
  <si>
    <t>demandRange</t>
  </si>
  <si>
    <t>powerQualityRange</t>
  </si>
  <si>
    <t>energyRange</t>
  </si>
  <si>
    <t>diStatusRange</t>
  </si>
  <si>
    <t>management</t>
  </si>
  <si>
    <t>appId</t>
  </si>
  <si>
    <t>appName</t>
  </si>
  <si>
    <t>isTimer</t>
  </si>
  <si>
    <t>interval</t>
  </si>
  <si>
    <t>isEnable</t>
  </si>
  <si>
    <t>jsonConfig</t>
  </si>
  <si>
    <t>appType</t>
  </si>
  <si>
    <t>说明</t>
  </si>
  <si>
    <t>bacnet</t>
  </si>
  <si>
    <t>""</t>
  </si>
  <si>
    <t>不可选,使用datalog_range,目前有:AcuCloud,BACnet/IP,SNMP</t>
  </si>
  <si>
    <t>alarm</t>
  </si>
  <si>
    <t>2.2.1章节使用</t>
  </si>
  <si>
    <t>alarm_ao功能通过此app获取数据，然后根据自己的列表匹配后通过调用doAppParamsConfig,app传aio设备serialnumber，appname传ctr_ao</t>
  </si>
  <si>
    <t>north</t>
  </si>
  <si>
    <t>ctrl_io</t>
  </si>
  <si>
    <t>acucloud</t>
  </si>
  <si>
    <t>ClassSSetting</t>
  </si>
  <si>
    <t>UserAndCtSetting</t>
  </si>
  <si>
    <t>Batch_UserAndCtSetting</t>
  </si>
  <si>
    <t>GeneralSetting</t>
  </si>
  <si>
    <t>trendlog</t>
  </si>
  <si>
    <t xml:space="preserve">可选datalog_range参数范围，将参数选择添加到group：mqtt </t>
  </si>
  <si>
    <t>trendlogreal</t>
  </si>
  <si>
    <t>可选datalog_range参数范围，将参数选择添加到group：trendlog_real</t>
  </si>
  <si>
    <t>trendlogenergy</t>
  </si>
  <si>
    <t>可选datalog_range参数范围，将参数选择添加到group：trendlogenergy</t>
  </si>
  <si>
    <t>datalog1</t>
  </si>
  <si>
    <t>可选datalog_range参数范围，将参数选择添加到group：postparam</t>
  </si>
  <si>
    <t>datalog2</t>
  </si>
  <si>
    <t>datalog3</t>
  </si>
  <si>
    <t>snmp</t>
  </si>
  <si>
    <t>false</t>
  </si>
  <si>
    <t>加到此处是为调用doAppParamsConfig设置寄存器使用，但此app下参数都没有读属性，所以不能调用getParamByApplicationInfo读值，
开机时tApp isTimerEnable，isEnable 同时为1时会加到采集队列
之后按需采集appType=2的app会释放</t>
  </si>
  <si>
    <t>analysisId</t>
  </si>
  <si>
    <t>analysisUnitId</t>
  </si>
  <si>
    <t>analysisName</t>
  </si>
  <si>
    <t>three_phase_realtime</t>
  </si>
  <si>
    <t>three_phase_energy_demand</t>
  </si>
  <si>
    <t>three_phase_thd</t>
  </si>
  <si>
    <t>three_phase_harmonics</t>
  </si>
  <si>
    <t>three_phase_sequence</t>
  </si>
  <si>
    <t>threePhaseMeterAnalysis</t>
  </si>
  <si>
    <t>VLN_a_V</t>
  </si>
  <si>
    <t>EP_IMP_a_kWh</t>
  </si>
  <si>
    <t>THD_V_a_%</t>
  </si>
  <si>
    <t>HAR2_V_a_%</t>
  </si>
  <si>
    <t>SEQ_POS_REAL_I</t>
  </si>
  <si>
    <t>ANG_VLN_a</t>
  </si>
  <si>
    <t>EQ_IMP_a_kvarh</t>
  </si>
  <si>
    <t>OTHD_V_a_%</t>
  </si>
  <si>
    <t>HAR3_V_a_%</t>
  </si>
  <si>
    <t>SEQ_NEG_REAL_I</t>
  </si>
  <si>
    <t>VLL_ab_V</t>
  </si>
  <si>
    <t>EP_EXP_a_kWh</t>
  </si>
  <si>
    <t>ETHD_V_a_%</t>
  </si>
  <si>
    <t>HAR4_V_a_%</t>
  </si>
  <si>
    <t>SEQ_ZERO_REAL_I</t>
  </si>
  <si>
    <t>ANG_VLL_ab</t>
  </si>
  <si>
    <t>EQ_EXP_a_kvarh</t>
  </si>
  <si>
    <t>CF_V_a_%</t>
  </si>
  <si>
    <t>HAR5_V_a_%</t>
  </si>
  <si>
    <t>SEQ_POS_IMG_I</t>
  </si>
  <si>
    <t>I_a_A</t>
  </si>
  <si>
    <t>EP_NET_a_kWh</t>
  </si>
  <si>
    <t>THD_I_a_%</t>
  </si>
  <si>
    <t>HAR6_V_a_%</t>
  </si>
  <si>
    <t>SEQ_NEG_IMG_I</t>
  </si>
  <si>
    <t>ANG_I_a</t>
  </si>
  <si>
    <t>EQ_NET_a_kvarh</t>
  </si>
  <si>
    <t>OTHD_I_a_%</t>
  </si>
  <si>
    <t>HAR7_V_a_%</t>
  </si>
  <si>
    <t>SEQ_ZERO_IMG_I</t>
  </si>
  <si>
    <t>P_a_kW</t>
  </si>
  <si>
    <t>EP_TOTAL_a_kWh</t>
  </si>
  <si>
    <t>ETHD_I_a_%</t>
  </si>
  <si>
    <t>HAR8_V_a_%</t>
  </si>
  <si>
    <t>SEQ_POS_REAL_V</t>
  </si>
  <si>
    <t>Q_a_kvar</t>
  </si>
  <si>
    <t>EQ_TOTAL_a_kvarh</t>
  </si>
  <si>
    <t>TDD_I_a_%</t>
  </si>
  <si>
    <t>HAR9_V_a_%</t>
  </si>
  <si>
    <t>SEQ_NEG_REAL_V</t>
  </si>
  <si>
    <t>S_a_kVA</t>
  </si>
  <si>
    <t>ES_a_kVAh</t>
  </si>
  <si>
    <t>CF_I_a_%</t>
  </si>
  <si>
    <t>HAR10_V_a_%</t>
  </si>
  <si>
    <t>SEQ_ZERO_REAL_V</t>
  </si>
  <si>
    <t>LC_a</t>
  </si>
  <si>
    <t>EP_IMP_b_kWh</t>
  </si>
  <si>
    <t>KF_I_a_%</t>
  </si>
  <si>
    <t>HAR11_V_a_%</t>
  </si>
  <si>
    <t>SEQ_POS_IMG_V</t>
  </si>
  <si>
    <t>PF_a</t>
  </si>
  <si>
    <t>EQ_IMP_b_kvarh</t>
  </si>
  <si>
    <t>THD_V_b_%</t>
  </si>
  <si>
    <t>HAR12_V_a_%</t>
  </si>
  <si>
    <t>SEQ_NEG_IMG_V</t>
  </si>
  <si>
    <t>LEAD_PF_a</t>
  </si>
  <si>
    <t>EP_EXP_b_kWh</t>
  </si>
  <si>
    <t>OTHD_V_b_%</t>
  </si>
  <si>
    <t>HAR13_V_a_%</t>
  </si>
  <si>
    <t>SEQ_ZERO_IMG_V</t>
  </si>
  <si>
    <t>LAG_PF_a</t>
  </si>
  <si>
    <t>EQ_EXP_b_kvarh</t>
  </si>
  <si>
    <t>ETHD_V_b_%</t>
  </si>
  <si>
    <t>HAR14_V_a_%</t>
  </si>
  <si>
    <t>UNBL_V_%</t>
  </si>
  <si>
    <t>VLN_b_V</t>
  </si>
  <si>
    <t>EP_NET_b_kWh</t>
  </si>
  <si>
    <t>CF_V_b_%</t>
  </si>
  <si>
    <t>HAR15_V_a_%</t>
  </si>
  <si>
    <t>UNBL_I_%</t>
  </si>
  <si>
    <t>ANG_VLN_b</t>
  </si>
  <si>
    <t>EQ_NET_b_kvarh</t>
  </si>
  <si>
    <t>THD_I_b_%</t>
  </si>
  <si>
    <t>HAR16_V_a_%</t>
  </si>
  <si>
    <t>SEQ_ZERO_RATIO_V_%</t>
  </si>
  <si>
    <t>VLL_bc_V</t>
  </si>
  <si>
    <t>EP_TOTAL_b_kWh</t>
  </si>
  <si>
    <t>OTHD_I_b_%</t>
  </si>
  <si>
    <t>HAR17_V_a_%</t>
  </si>
  <si>
    <t>SEQ_ZERO_RATIO_I_%</t>
  </si>
  <si>
    <t>ANG_VLL_bb</t>
  </si>
  <si>
    <t>EQ_TOTAL_b_kvarh</t>
  </si>
  <si>
    <t>ETHD_I_b_%</t>
  </si>
  <si>
    <t>HAR18_V_a_%</t>
  </si>
  <si>
    <t>I_b_A</t>
  </si>
  <si>
    <t>ES_b_kVAh</t>
  </si>
  <si>
    <t>TDD_I_b_%</t>
  </si>
  <si>
    <t>HAR19_V_a_%</t>
  </si>
  <si>
    <t>ANG_I_b</t>
  </si>
  <si>
    <t>EP_IMP_c_kWh</t>
  </si>
  <si>
    <t>CF_I_b_%</t>
  </si>
  <si>
    <t>HAR20_V_a_%</t>
  </si>
  <si>
    <t>P_b_kW</t>
  </si>
  <si>
    <t>EQ_IMP_c_kvarh</t>
  </si>
  <si>
    <t>KF_I_b_%</t>
  </si>
  <si>
    <t>HAR21_V_a_%</t>
  </si>
  <si>
    <t>Q_b_kvar</t>
  </si>
  <si>
    <t>EP_EXP_c_kWh</t>
  </si>
  <si>
    <t>THD_V_c_%</t>
  </si>
  <si>
    <t>HAR22_V_a_%</t>
  </si>
  <si>
    <t>S_b_kVA</t>
  </si>
  <si>
    <t>EQ_EXP_c_kvarh</t>
  </si>
  <si>
    <t>OTHD_V_c_%</t>
  </si>
  <si>
    <t>HAR23_V_a_%</t>
  </si>
  <si>
    <t>LC_b</t>
  </si>
  <si>
    <t>EP_NET_c_kWh</t>
  </si>
  <si>
    <t>ETHD_V_c_%</t>
  </si>
  <si>
    <t>HAR24_V_a_%</t>
  </si>
  <si>
    <t>PF_b</t>
  </si>
  <si>
    <t>EQ_NET_c_kvarh</t>
  </si>
  <si>
    <t>CF_V_c_%</t>
  </si>
  <si>
    <t>HAR25_V_a_%</t>
  </si>
  <si>
    <t>LEAD_PF_b</t>
  </si>
  <si>
    <t>EP_TOTAL_c_kWh</t>
  </si>
  <si>
    <t>THD_I_c_%</t>
  </si>
  <si>
    <t>HAR26_V_a_%</t>
  </si>
  <si>
    <t>LAG_PF_b</t>
  </si>
  <si>
    <t>EQ_TOTAL_c_kvarh</t>
  </si>
  <si>
    <t>OTHD_I_c_%</t>
  </si>
  <si>
    <t>HAR27_V_a_%</t>
  </si>
  <si>
    <t>VLN_c_V</t>
  </si>
  <si>
    <t>ES_c_kVAh</t>
  </si>
  <si>
    <t>ETHD_I_c_%</t>
  </si>
  <si>
    <t>HAR28_V_a_%</t>
  </si>
  <si>
    <t>ANG_VLN_c</t>
  </si>
  <si>
    <t>EP_IMP_kWh</t>
  </si>
  <si>
    <t>TDD_I_c_%</t>
  </si>
  <si>
    <t>HAR29_V_a_%</t>
  </si>
  <si>
    <t>VLL_ca_V</t>
  </si>
  <si>
    <t>EQ_IMP_kvarh</t>
  </si>
  <si>
    <t>CF_I_c_%</t>
  </si>
  <si>
    <t>HAR30_V_a_%</t>
  </si>
  <si>
    <t>ANG_VLL_cb</t>
  </si>
  <si>
    <t>EP_EXP_kWh</t>
  </si>
  <si>
    <t>KF_I_c_%</t>
  </si>
  <si>
    <t>HAR31_V_a_%</t>
  </si>
  <si>
    <t>I_c_A</t>
  </si>
  <si>
    <t>EQ_EXP_kvarh</t>
  </si>
  <si>
    <t>THD_V_avg_%</t>
  </si>
  <si>
    <t>HAR32_V_a_%</t>
  </si>
  <si>
    <t>ANG_I_c</t>
  </si>
  <si>
    <t>EP_NET_kWh</t>
  </si>
  <si>
    <t>OTHD_V_avg_%</t>
  </si>
  <si>
    <t>HAR33_V_a_%</t>
  </si>
  <si>
    <t>P_c_kW</t>
  </si>
  <si>
    <t>EQ_NET_kvarh</t>
  </si>
  <si>
    <t>ETHD_V_avg_%</t>
  </si>
  <si>
    <t>HAR34_V_a_%</t>
  </si>
  <si>
    <t>Q_c_kvar</t>
  </si>
  <si>
    <t>EP_TOTAL_kWh</t>
  </si>
  <si>
    <t>CF_V_avg_%</t>
  </si>
  <si>
    <t>HAR35_V_a_%</t>
  </si>
  <si>
    <t>S_c_kVA</t>
  </si>
  <si>
    <t>EQ_TOTAL_kvarh</t>
  </si>
  <si>
    <t>THD_I_avg_%</t>
  </si>
  <si>
    <t>HAR36_V_a_%</t>
  </si>
  <si>
    <t>LC_c</t>
  </si>
  <si>
    <t>ES_kVAh</t>
  </si>
  <si>
    <t>OTHD_I_avg_%</t>
  </si>
  <si>
    <t>HAR37_V_a_%</t>
  </si>
  <si>
    <t>PF_c</t>
  </si>
  <si>
    <t>DMD_P_a_kW</t>
  </si>
  <si>
    <t>ETHD_I_avg_%</t>
  </si>
  <si>
    <t>HAR38_V_a_%</t>
  </si>
  <si>
    <t>LEAD_PF_c</t>
  </si>
  <si>
    <t>DMD_Q_a_kvar</t>
  </si>
  <si>
    <t>TDD_I_avg_%</t>
  </si>
  <si>
    <t>HAR39_V_a_%</t>
  </si>
  <si>
    <t>LAG_PF_c</t>
  </si>
  <si>
    <t>DMD_S_a_kVA</t>
  </si>
  <si>
    <t>CF_I_avg_%</t>
  </si>
  <si>
    <t>HAR40_V_a_%</t>
  </si>
  <si>
    <t>VLN_avg_V</t>
  </si>
  <si>
    <t>DMD_P_b_kW</t>
  </si>
  <si>
    <t>KF_I_avg_%</t>
  </si>
  <si>
    <t>HAR41_V_a_%</t>
  </si>
  <si>
    <t>VLL_avg_V</t>
  </si>
  <si>
    <t>DMD_Q_b_kvar</t>
  </si>
  <si>
    <t>HAR42_V_a_%</t>
  </si>
  <si>
    <t>I_avg_A</t>
  </si>
  <si>
    <t>DMD_S_b_kVA</t>
  </si>
  <si>
    <t>HAR43_V_a_%</t>
  </si>
  <si>
    <t>LC_avg</t>
  </si>
  <si>
    <t>DMD_P_c_kW</t>
  </si>
  <si>
    <t>HAR44_V_a_%</t>
  </si>
  <si>
    <t>I_n_A</t>
  </si>
  <si>
    <t>DMD_Q_c_kvar</t>
  </si>
  <si>
    <t>HAR45_V_a_%</t>
  </si>
  <si>
    <t>P_kW</t>
  </si>
  <si>
    <t>DMD_S_c_kVA</t>
  </si>
  <si>
    <t>HAR46_V_a_%</t>
  </si>
  <si>
    <t>Q_kvar</t>
  </si>
  <si>
    <t>DMD_P_kW</t>
  </si>
  <si>
    <t>HAR47_V_a_%</t>
  </si>
  <si>
    <t>S_kVA</t>
  </si>
  <si>
    <t>DMD_Q_kvar</t>
  </si>
  <si>
    <t>HAR48_V_a_%</t>
  </si>
  <si>
    <t>PF</t>
  </si>
  <si>
    <t>DMD_S_kVA</t>
  </si>
  <si>
    <t>HAR49_V_a_%</t>
  </si>
  <si>
    <t>LEAD_PF</t>
  </si>
  <si>
    <t>HAR50_V_a_%</t>
  </si>
  <si>
    <t>LAG_PF</t>
  </si>
  <si>
    <t>HAR51_V_a_%</t>
  </si>
  <si>
    <t>FREQ_Hz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</si>
  <si>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</si>
  <si>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</si>
  <si>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</si>
  <si>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</si>
  <si>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</si>
  <si>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</si>
  <si>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</si>
  <si>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</si>
  <si>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</si>
  <si>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</si>
  <si>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</si>
  <si>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</si>
  <si>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</si>
  <si>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</si>
  <si>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</si>
  <si>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</si>
  <si>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</si>
  <si>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</si>
  <si>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</si>
  <si>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</si>
  <si>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</si>
  <si>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</si>
  <si>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</si>
  <si>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</si>
  <si>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</si>
  <si>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</si>
  <si>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</si>
  <si>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</si>
  <si>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</si>
  <si>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</si>
  <si>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</si>
  <si>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</si>
  <si>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</si>
  <si>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</si>
  <si>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</si>
  <si>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</si>
  <si>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</si>
  <si>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</si>
  <si>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</si>
  <si>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</si>
  <si>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</si>
  <si>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</si>
  <si>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</si>
  <si>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</si>
  <si>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</si>
  <si>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</si>
  <si>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</si>
  <si>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</si>
  <si>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</si>
  <si>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</si>
  <si>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</si>
  <si>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</si>
  <si>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</si>
  <si>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</si>
  <si>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</si>
  <si>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</si>
  <si>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</si>
  <si>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</si>
  <si>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</si>
  <si>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</si>
  <si>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</si>
  <si>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</si>
  <si>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</si>
  <si>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</si>
  <si>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</si>
  <si>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</si>
  <si>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</si>
  <si>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</si>
  <si>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</si>
  <si>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</si>
  <si>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</si>
  <si>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</si>
  <si>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</si>
  <si>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</si>
  <si>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</si>
  <si>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</si>
  <si>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</si>
  <si>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</si>
  <si>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</si>
  <si>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</si>
  <si>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</si>
  <si>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</si>
  <si>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</si>
  <si>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</si>
  <si>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</si>
  <si>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</si>
  <si>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</si>
  <si>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</si>
  <si>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</si>
  <si>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</si>
  <si>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</si>
  <si>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</si>
  <si>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</si>
  <si>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</si>
  <si>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</si>
  <si>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</si>
  <si>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</si>
  <si>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</si>
  <si>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</si>
  <si>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</si>
  <si>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</si>
  <si>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</si>
  <si>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</si>
  <si>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</si>
  <si>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</si>
  <si>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</si>
  <si>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</si>
  <si>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</si>
  <si>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</si>
  <si>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</si>
  <si>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</si>
  <si>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</si>
  <si>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</si>
  <si>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</si>
  <si>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</si>
  <si>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</si>
  <si>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</si>
  <si>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</si>
  <si>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</si>
  <si>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</si>
  <si>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</si>
  <si>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</si>
  <si>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</si>
  <si>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</si>
  <si>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</si>
  <si>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</si>
  <si>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</si>
  <si>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</si>
  <si>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</si>
  <si>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</si>
  <si>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</si>
  <si>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</si>
  <si>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</si>
  <si>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</si>
  <si>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</si>
  <si>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</si>
  <si>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</si>
  <si>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</si>
  <si>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</si>
  <si>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</si>
  <si>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</si>
  <si>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</si>
  <si>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</si>
  <si>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</si>
  <si>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</si>
  <si>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</si>
  <si>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</si>
  <si>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</si>
  <si>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</si>
  <si>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</si>
  <si>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</si>
  <si>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</si>
  <si>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</si>
  <si>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</si>
  <si>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</si>
  <si>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</si>
  <si>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</si>
  <si>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</si>
  <si>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</si>
  <si>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</si>
  <si>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</si>
  <si>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</si>
  <si>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</si>
  <si>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</si>
  <si>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</si>
  <si>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</si>
  <si>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</si>
  <si>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</si>
  <si>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</si>
  <si>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</si>
  <si>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</si>
  <si>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</si>
  <si>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</si>
  <si>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</si>
  <si>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</si>
  <si>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</si>
  <si>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</si>
  <si>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</si>
  <si>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</si>
  <si>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</si>
  <si>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</si>
  <si>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</si>
  <si>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</si>
  <si>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</si>
  <si>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</si>
  <si>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</si>
  <si>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</si>
  <si>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</si>
  <si>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</si>
  <si>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</si>
  <si>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</si>
  <si>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</si>
  <si>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</si>
  <si>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</si>
  <si>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</si>
  <si>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</si>
  <si>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</si>
  <si>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</si>
  <si>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</si>
  <si>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</si>
  <si>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</si>
  <si>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</si>
  <si>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HAR2_V_b_%</t>
  </si>
  <si>
    <t>HAR3_V_b_%</t>
  </si>
  <si>
    <t>HAR4_V_b_%</t>
  </si>
  <si>
    <t>HAR5_V_b_%</t>
  </si>
  <si>
    <t>HAR6_V_b_%</t>
  </si>
  <si>
    <t>HAR7_V_b_%</t>
  </si>
  <si>
    <t>HAR8_V_b_%</t>
  </si>
  <si>
    <t>HAR9_V_b_%</t>
  </si>
  <si>
    <t>HAR10_V_b_%</t>
  </si>
  <si>
    <t>HAR11_V_b_%</t>
  </si>
  <si>
    <t>HAR12_V_b_%</t>
  </si>
  <si>
    <t>HAR13_V_b_%</t>
  </si>
  <si>
    <t>HAR14_V_b_%</t>
  </si>
  <si>
    <t>HAR15_V_b_%</t>
  </si>
  <si>
    <t>HAR16_V_b_%</t>
  </si>
  <si>
    <t>HAR17_V_b_%</t>
  </si>
  <si>
    <t>HAR18_V_b_%</t>
  </si>
  <si>
    <t>HAR19_V_b_%</t>
  </si>
  <si>
    <t>HAR20_V_b_%</t>
  </si>
  <si>
    <t>HAR21_V_b_%</t>
  </si>
  <si>
    <t>HAR22_V_b_%</t>
  </si>
  <si>
    <t>HAR23_V_b_%</t>
  </si>
  <si>
    <t>HAR24_V_b_%</t>
  </si>
  <si>
    <t>HAR25_V_b_%</t>
  </si>
  <si>
    <t>HAR26_V_b_%</t>
  </si>
  <si>
    <t>HAR27_V_b_%</t>
  </si>
  <si>
    <t>HAR28_V_b_%</t>
  </si>
  <si>
    <t>HAR29_V_b_%</t>
  </si>
  <si>
    <t>HAR30_V_b_%</t>
  </si>
  <si>
    <t>HAR31_V_b_%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</si>
  <si>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</si>
  <si>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</si>
  <si>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</si>
  <si>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</si>
  <si>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</si>
  <si>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</si>
  <si>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</si>
  <si>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</si>
  <si>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</si>
  <si>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</si>
  <si>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</si>
  <si>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</si>
  <si>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</si>
  <si>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</si>
  <si>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</si>
  <si>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</si>
  <si>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</si>
  <si>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</si>
  <si>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</si>
  <si>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</si>
  <si>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</si>
  <si>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</si>
  <si>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</si>
  <si>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</si>
  <si>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</si>
  <si>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</si>
  <si>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</si>
  <si>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</si>
  <si>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</si>
  <si>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</si>
  <si>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</si>
  <si>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</si>
  <si>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</si>
  <si>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</si>
  <si>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</si>
  <si>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</si>
  <si>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</si>
  <si>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</si>
  <si>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</si>
  <si>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</si>
  <si>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</si>
  <si>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</si>
  <si>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</si>
  <si>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</si>
  <si>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</si>
  <si>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</si>
  <si>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</si>
  <si>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</si>
  <si>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</si>
  <si>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</si>
  <si>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</si>
  <si>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</si>
  <si>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</si>
  <si>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</si>
  <si>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</si>
  <si>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</si>
  <si>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</si>
  <si>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</si>
  <si>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</si>
  <si>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</si>
  <si>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</si>
  <si>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</si>
  <si>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</si>
  <si>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</si>
  <si>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</si>
  <si>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</si>
  <si>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</si>
  <si>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</si>
  <si>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</si>
  <si>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</si>
  <si>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</si>
  <si>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</si>
  <si>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</si>
  <si>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</si>
  <si>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</si>
  <si>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</si>
  <si>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</si>
  <si>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</si>
  <si>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</si>
  <si>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</si>
  <si>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</si>
  <si>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</si>
  <si>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</si>
  <si>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</si>
  <si>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</si>
  <si>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</si>
  <si>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</si>
  <si>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</si>
  <si>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</si>
  <si>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</si>
  <si>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</si>
  <si>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</si>
  <si>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</si>
  <si>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</si>
  <si>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</si>
  <si>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</si>
  <si>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</si>
  <si>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</si>
  <si>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</si>
  <si>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</si>
  <si>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</si>
  <si>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</si>
  <si>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</si>
  <si>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</si>
  <si>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</si>
  <si>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</si>
  <si>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</si>
  <si>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</si>
  <si>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</si>
  <si>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</si>
  <si>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</si>
  <si>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</si>
  <si>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</si>
  <si>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</si>
  <si>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</si>
  <si>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</si>
  <si>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</si>
  <si>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</si>
  <si>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</si>
  <si>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</si>
  <si>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</si>
  <si>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</si>
  <si>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</si>
  <si>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</si>
  <si>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</si>
  <si>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</si>
  <si>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</si>
  <si>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</si>
  <si>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</si>
  <si>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</si>
  <si>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</si>
  <si>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</si>
  <si>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</si>
  <si>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</si>
  <si>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</si>
  <si>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</si>
  <si>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</si>
  <si>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</si>
  <si>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</si>
  <si>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</si>
  <si>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</si>
  <si>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</si>
  <si>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</si>
  <si>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</si>
  <si>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</si>
  <si>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</si>
  <si>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</si>
  <si>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</si>
  <si>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</si>
  <si>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</si>
  <si>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</si>
  <si>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</si>
  <si>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</si>
  <si>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</si>
  <si>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</si>
  <si>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</si>
  <si>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</si>
  <si>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</si>
  <si>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</si>
  <si>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</si>
  <si>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</si>
  <si>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</si>
  <si>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</si>
  <si>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</si>
  <si>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</si>
  <si>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</si>
  <si>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</si>
  <si>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</si>
  <si>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</si>
  <si>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</si>
  <si>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</si>
  <si>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</si>
  <si>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</si>
  <si>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</si>
  <si>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</si>
  <si>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</si>
  <si>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</si>
  <si>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</si>
  <si>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</si>
  <si>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</si>
  <si>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</si>
  <si>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</si>
  <si>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</si>
  <si>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</si>
  <si>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</si>
  <si>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</si>
  <si>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</si>
  <si>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</si>
  <si>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</si>
  <si>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</si>
  <si>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</si>
  <si>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</si>
  <si>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</si>
  <si>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</si>
  <si>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</si>
  <si>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</si>
  <si>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</si>
  <si>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</si>
  <si>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</si>
  <si>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</si>
  <si>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</si>
  <si>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</si>
  <si>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</si>
  <si>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</si>
  <si>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</si>
  <si>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</si>
  <si>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</si>
  <si>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</si>
  <si>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</si>
  <si>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</si>
  <si>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</si>
  <si>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</si>
  <si>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</si>
  <si>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</si>
  <si>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</si>
  <si>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</si>
  <si>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</si>
  <si>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</si>
  <si>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</si>
  <si>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</si>
  <si>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</si>
  <si>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</si>
  <si>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HAR2_V_c_%</t>
  </si>
  <si>
    <t>HAR3_V_c_%</t>
  </si>
  <si>
    <t>HAR4_V_c_%</t>
  </si>
  <si>
    <t>HAR5_V_c_%</t>
  </si>
  <si>
    <t>HAR6_V_c_%</t>
  </si>
  <si>
    <t>HAR7_V_c_%</t>
  </si>
  <si>
    <t>HAR8_V_c_%</t>
  </si>
  <si>
    <t>HAR9_V_c_%</t>
  </si>
  <si>
    <t>HAR10_V_c_%</t>
  </si>
  <si>
    <t>HAR11_V_c_%</t>
  </si>
  <si>
    <t>HAR12_V_c_%</t>
  </si>
  <si>
    <t>HAR13_V_c_%</t>
  </si>
  <si>
    <t>HAR14_V_c_%</t>
  </si>
  <si>
    <t>HAR15_V_c_%</t>
  </si>
  <si>
    <t>HAR16_V_c_%</t>
  </si>
  <si>
    <t>HAR17_V_c_%</t>
  </si>
  <si>
    <t>HAR18_V_c_%</t>
  </si>
  <si>
    <t>HAR19_V_c_%</t>
  </si>
  <si>
    <t>HAR20_V_c_%</t>
  </si>
  <si>
    <t>HAR21_V_c_%</t>
  </si>
  <si>
    <t>HAR22_V_c_%</t>
  </si>
  <si>
    <t>HAR23_V_c_%</t>
  </si>
  <si>
    <t>HAR24_V_c_%</t>
  </si>
  <si>
    <t>HAR25_V_c_%</t>
  </si>
  <si>
    <t>HAR26_V_c_%</t>
  </si>
  <si>
    <t>HAR27_V_c_%</t>
  </si>
  <si>
    <t>HAR28_V_c_%</t>
  </si>
  <si>
    <t>HAR29_V_c_%</t>
  </si>
  <si>
    <t>HAR30_V_c_%</t>
  </si>
  <si>
    <t>HAR31_V_c_%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</si>
  <si>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</si>
  <si>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</si>
  <si>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</si>
  <si>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</si>
  <si>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</si>
  <si>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</si>
  <si>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</si>
  <si>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</si>
  <si>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</si>
  <si>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</si>
  <si>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</si>
  <si>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</si>
  <si>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</si>
  <si>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</si>
  <si>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</si>
  <si>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</si>
  <si>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</si>
  <si>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</si>
  <si>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</si>
  <si>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</si>
  <si>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</si>
  <si>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</si>
  <si>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</si>
  <si>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</si>
  <si>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</si>
  <si>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</si>
  <si>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</si>
  <si>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</si>
  <si>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</si>
  <si>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</si>
  <si>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</si>
  <si>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</si>
  <si>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</si>
  <si>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</si>
  <si>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</si>
  <si>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</si>
  <si>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</si>
  <si>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</si>
  <si>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</si>
  <si>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</si>
  <si>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</si>
  <si>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</si>
  <si>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</si>
  <si>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</si>
  <si>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</si>
  <si>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</si>
  <si>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</si>
  <si>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</si>
  <si>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</si>
  <si>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</si>
  <si>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</si>
  <si>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</si>
  <si>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</si>
  <si>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</si>
  <si>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</si>
  <si>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</si>
  <si>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</si>
  <si>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</si>
  <si>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</si>
  <si>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</si>
  <si>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</si>
  <si>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</si>
  <si>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</si>
  <si>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</si>
  <si>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</si>
  <si>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</si>
  <si>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</si>
  <si>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</si>
  <si>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</si>
  <si>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</si>
  <si>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</si>
  <si>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</si>
  <si>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</si>
  <si>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</si>
  <si>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</si>
  <si>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</si>
  <si>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</si>
  <si>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</si>
  <si>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</si>
  <si>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</si>
  <si>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</si>
  <si>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</si>
  <si>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</si>
  <si>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</si>
  <si>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</si>
  <si>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</si>
  <si>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</si>
  <si>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</si>
  <si>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</si>
  <si>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</si>
  <si>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</si>
  <si>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</si>
  <si>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</si>
  <si>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</si>
  <si>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</si>
  <si>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</si>
  <si>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</si>
  <si>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</si>
  <si>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</si>
  <si>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</si>
  <si>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</si>
  <si>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</si>
  <si>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</si>
  <si>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</si>
  <si>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</si>
  <si>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</si>
  <si>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</si>
  <si>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</si>
  <si>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</si>
  <si>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</si>
  <si>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</si>
  <si>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</si>
  <si>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</si>
  <si>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</si>
  <si>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</si>
  <si>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</si>
  <si>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</si>
  <si>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</si>
  <si>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</si>
  <si>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</si>
  <si>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</si>
  <si>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</si>
  <si>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</si>
  <si>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</si>
  <si>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</si>
  <si>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</si>
  <si>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</si>
  <si>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</si>
  <si>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</si>
  <si>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</si>
  <si>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</si>
  <si>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</si>
  <si>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</si>
  <si>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</si>
  <si>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</si>
  <si>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</si>
  <si>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</si>
  <si>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</si>
  <si>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</si>
  <si>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</si>
  <si>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</si>
  <si>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</si>
  <si>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</si>
  <si>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</si>
  <si>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</si>
  <si>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</si>
  <si>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</si>
  <si>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</si>
  <si>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</si>
  <si>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</si>
  <si>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</si>
  <si>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</si>
  <si>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</si>
  <si>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</si>
  <si>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</si>
  <si>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</si>
  <si>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</si>
  <si>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</si>
  <si>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</si>
  <si>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</si>
  <si>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</si>
  <si>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</si>
  <si>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</si>
  <si>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</si>
  <si>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</si>
  <si>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</si>
  <si>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</si>
  <si>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</si>
  <si>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</si>
  <si>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</si>
  <si>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</si>
  <si>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</si>
  <si>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</si>
  <si>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</si>
  <si>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</si>
  <si>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</si>
  <si>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</si>
  <si>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</si>
  <si>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</si>
  <si>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</si>
  <si>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</si>
  <si>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</si>
  <si>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</si>
  <si>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</si>
  <si>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</si>
  <si>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</si>
  <si>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</si>
  <si>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</si>
  <si>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</si>
  <si>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</si>
  <si>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</si>
  <si>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</si>
  <si>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</si>
  <si>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</si>
  <si>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</si>
  <si>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</si>
  <si>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</si>
  <si>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</si>
  <si>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</si>
  <si>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</si>
  <si>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</si>
  <si>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</si>
  <si>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</si>
  <si>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</si>
  <si>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</si>
  <si>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</si>
  <si>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</si>
  <si>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</si>
  <si>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</si>
  <si>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</si>
  <si>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</si>
  <si>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</si>
  <si>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</si>
  <si>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</si>
  <si>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</si>
  <si>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</si>
  <si>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</si>
  <si>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</si>
  <si>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</si>
  <si>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</si>
  <si>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</si>
  <si>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</si>
  <si>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</si>
  <si>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</si>
  <si>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</si>
  <si>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</si>
  <si>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</si>
  <si>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</si>
  <si>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</si>
  <si>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</si>
  <si>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</si>
  <si>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</si>
  <si>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</si>
  <si>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</si>
  <si>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</si>
  <si>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</si>
  <si>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</si>
  <si>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</si>
  <si>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</si>
  <si>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</si>
  <si>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</si>
  <si>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</si>
  <si>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</si>
  <si>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</si>
  <si>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</si>
  <si>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</si>
  <si>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</si>
  <si>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</si>
  <si>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</si>
  <si>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</si>
  <si>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</si>
  <si>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</si>
  <si>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</si>
  <si>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</si>
  <si>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</si>
  <si>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</si>
  <si>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</si>
  <si>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</si>
  <si>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</si>
  <si>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</si>
  <si>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</si>
  <si>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</si>
  <si>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</si>
  <si>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</si>
  <si>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</si>
  <si>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</si>
  <si>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</si>
  <si>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</si>
  <si>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</si>
  <si>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</si>
  <si>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</si>
  <si>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</si>
  <si>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</si>
  <si>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</si>
  <si>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</si>
  <si>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</si>
  <si>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</si>
  <si>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</si>
  <si>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</si>
  <si>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</si>
  <si>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</si>
  <si>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</si>
  <si>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</si>
  <si>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</si>
  <si>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</si>
  <si>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</si>
  <si>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</si>
  <si>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</si>
  <si>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</si>
  <si>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</si>
  <si>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</si>
  <si>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</si>
  <si>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</si>
  <si>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</si>
  <si>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</si>
  <si>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</si>
  <si>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</si>
  <si>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</si>
  <si>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</si>
  <si>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</si>
  <si>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</si>
  <si>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</si>
  <si>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</si>
  <si>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</si>
  <si>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</si>
  <si>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</si>
  <si>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</si>
  <si>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</si>
  <si>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</si>
  <si>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</si>
  <si>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</si>
  <si>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</si>
  <si>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</si>
  <si>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</si>
  <si>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</si>
  <si>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</si>
  <si>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</si>
  <si>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</si>
  <si>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</si>
  <si>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</si>
  <si>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</si>
  <si>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</si>
  <si>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</si>
  <si>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</si>
  <si>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</si>
  <si>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</si>
  <si>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</si>
  <si>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</si>
  <si>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</si>
  <si>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</si>
  <si>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</si>
  <si>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</si>
  <si>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</si>
  <si>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</si>
  <si>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</si>
  <si>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</si>
  <si>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</si>
  <si>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</si>
  <si>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</si>
  <si>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</si>
  <si>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</si>
  <si>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</si>
  <si>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</si>
  <si>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</si>
  <si>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</si>
  <si>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</si>
  <si>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</si>
  <si>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</si>
  <si>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</si>
  <si>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</si>
  <si>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</si>
  <si>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</si>
  <si>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</si>
  <si>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</si>
  <si>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</si>
  <si>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</si>
  <si>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</si>
  <si>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</si>
  <si>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</si>
  <si>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</si>
  <si>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</si>
  <si>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</si>
  <si>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</si>
  <si>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</si>
  <si>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</si>
  <si>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</si>
  <si>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</si>
  <si>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</si>
  <si>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</si>
  <si>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</si>
  <si>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</si>
  <si>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</si>
  <si>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</si>
  <si>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</si>
  <si>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</si>
  <si>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</si>
  <si>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</si>
  <si>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</si>
  <si>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</si>
  <si>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</si>
  <si>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</si>
  <si>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</si>
  <si>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</si>
  <si>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</si>
  <si>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</si>
  <si>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</si>
  <si>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</si>
  <si>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</si>
  <si>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</si>
  <si>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</si>
  <si>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</si>
  <si>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</si>
  <si>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</si>
  <si>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</si>
  <si>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</si>
  <si>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</si>
  <si>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</si>
  <si>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</si>
  <si>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</si>
  <si>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</si>
  <si>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</si>
  <si>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</si>
  <si>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</si>
  <si>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</si>
  <si>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</si>
  <si>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</si>
  <si>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</si>
  <si>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</si>
  <si>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</si>
  <si>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</si>
  <si>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</si>
  <si>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</si>
  <si>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</si>
  <si>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</si>
  <si>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</si>
  <si>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</si>
  <si>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</si>
  <si>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</si>
  <si>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</si>
  <si>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</si>
  <si>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</si>
  <si>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</si>
  <si>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</si>
  <si>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</si>
  <si>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</si>
  <si>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</si>
  <si>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</si>
  <si>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</si>
  <si>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</si>
  <si>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</si>
  <si>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</si>
  <si>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</si>
  <si>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</si>
  <si>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</si>
  <si>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</si>
  <si>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</si>
  <si>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</si>
  <si>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</si>
  <si>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</si>
  <si>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</si>
  <si>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</si>
  <si>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</si>
  <si>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</si>
  <si>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</si>
  <si>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</si>
  <si>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</si>
  <si>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</si>
  <si>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</si>
  <si>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</si>
  <si>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</si>
  <si>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</si>
  <si>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</si>
  <si>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</si>
  <si>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</si>
  <si>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</si>
  <si>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</si>
  <si>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</si>
  <si>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</si>
  <si>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</si>
  <si>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</si>
  <si>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</si>
  <si>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</si>
  <si>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</si>
  <si>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</si>
  <si>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</si>
  <si>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</si>
  <si>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</si>
  <si>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</si>
  <si>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</si>
  <si>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</si>
  <si>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</si>
  <si>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</si>
  <si>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</si>
  <si>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</si>
  <si>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</si>
  <si>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</si>
  <si>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</si>
  <si>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</si>
  <si>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</si>
  <si>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</si>
  <si>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</si>
  <si>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</si>
  <si>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</si>
  <si>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</si>
  <si>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</si>
  <si>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</si>
  <si>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</si>
  <si>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</si>
  <si>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</si>
  <si>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</si>
  <si>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</si>
  <si>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</si>
  <si>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</si>
  <si>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</si>
  <si>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</si>
  <si>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</si>
  <si>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</si>
  <si>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</si>
  <si>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</si>
  <si>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</si>
  <si>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</si>
  <si>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</si>
  <si>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</si>
  <si>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</si>
  <si>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</si>
  <si>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</si>
  <si>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</si>
  <si>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</si>
  <si>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</si>
  <si>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</si>
  <si>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</si>
  <si>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</si>
  <si>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</si>
  <si>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</si>
  <si>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</si>
  <si>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</si>
  <si>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</si>
  <si>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</si>
  <si>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</si>
  <si>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</si>
  <si>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</si>
  <si>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</si>
  <si>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</si>
  <si>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</si>
  <si>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</si>
  <si>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</si>
  <si>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</si>
  <si>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</si>
  <si>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</si>
  <si>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</si>
  <si>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</si>
  <si>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</si>
  <si>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</si>
  <si>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</si>
  <si>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</si>
  <si>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</si>
  <si>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</si>
  <si>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</si>
  <si>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</si>
  <si>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</si>
  <si>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</si>
  <si>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</si>
  <si>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</si>
  <si>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</si>
  <si>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</si>
  <si>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</si>
  <si>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</si>
  <si>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</si>
  <si>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</si>
  <si>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</si>
  <si>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</si>
  <si>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</si>
  <si>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</si>
  <si>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</si>
  <si>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</si>
  <si>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</si>
  <si>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</si>
  <si>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</si>
  <si>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</si>
  <si>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</si>
  <si>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</si>
  <si>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</si>
  <si>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</si>
  <si>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</si>
  <si>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</si>
  <si>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</si>
  <si>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</si>
  <si>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</si>
  <si>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</si>
  <si>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</si>
  <si>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</si>
  <si>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</si>
  <si>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</si>
  <si>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</si>
  <si>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</si>
  <si>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</si>
  <si>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</si>
  <si>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</si>
  <si>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</si>
  <si>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</si>
  <si>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</si>
  <si>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</si>
  <si>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</si>
  <si>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</si>
  <si>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</si>
  <si>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</si>
  <si>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</si>
  <si>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</si>
  <si>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</si>
  <si>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</si>
  <si>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</si>
  <si>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</si>
  <si>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</si>
  <si>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</si>
  <si>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</si>
  <si>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</si>
  <si>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</si>
  <si>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</si>
  <si>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</si>
  <si>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</si>
  <si>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</si>
  <si>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</si>
  <si>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</si>
  <si>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</si>
  <si>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</si>
  <si>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</si>
  <si>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</si>
  <si>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</si>
  <si>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</si>
  <si>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</si>
  <si>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</si>
  <si>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</si>
  <si>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</si>
  <si>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</si>
  <si>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</si>
  <si>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</si>
  <si>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</si>
  <si>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</si>
  <si>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</si>
  <si>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</si>
  <si>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</si>
  <si>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</si>
  <si>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</si>
  <si>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</si>
  <si>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</si>
  <si>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</si>
  <si>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</si>
  <si>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</si>
  <si>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</si>
  <si>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</si>
  <si>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</si>
  <si>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</si>
  <si>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</si>
  <si>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</si>
  <si>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</si>
  <si>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</si>
  <si>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</si>
  <si>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</si>
  <si>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</si>
  <si>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</si>
  <si>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</si>
  <si>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</si>
  <si>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</si>
  <si>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</si>
  <si>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</si>
  <si>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</si>
  <si>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</si>
  <si>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</si>
  <si>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</si>
  <si>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</si>
  <si>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</si>
  <si>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</si>
  <si>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</si>
  <si>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</si>
  <si>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</si>
  <si>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</si>
  <si>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</si>
  <si>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</si>
  <si>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</si>
  <si>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</si>
  <si>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</si>
  <si>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</si>
  <si>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</si>
  <si>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</si>
  <si>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</si>
  <si>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</si>
  <si>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</si>
  <si>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</si>
  <si>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</si>
  <si>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</si>
  <si>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</si>
  <si>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</si>
  <si>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</si>
  <si>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</si>
  <si>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</si>
  <si>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</si>
  <si>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</si>
  <si>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</si>
  <si>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</si>
  <si>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</si>
  <si>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</si>
  <si>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</si>
  <si>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</si>
  <si>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</si>
  <si>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</si>
  <si>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</si>
  <si>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</si>
  <si>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</si>
  <si>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</si>
  <si>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</si>
  <si>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</si>
  <si>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</si>
  <si>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</si>
  <si>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</si>
  <si>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</si>
  <si>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</si>
  <si>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</si>
  <si>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</si>
  <si>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</si>
  <si>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</si>
  <si>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</si>
  <si>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</si>
  <si>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</si>
  <si>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</si>
  <si>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</si>
  <si>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</si>
  <si>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</si>
  <si>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</si>
  <si>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</si>
  <si>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</si>
  <si>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</si>
  <si>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</si>
  <si>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</si>
  <si>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</si>
  <si>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</si>
  <si>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</si>
  <si>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</si>
  <si>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</si>
  <si>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</si>
  <si>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</si>
  <si>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</si>
  <si>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</si>
  <si>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</si>
  <si>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</si>
  <si>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</si>
  <si>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</si>
  <si>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</si>
  <si>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</si>
  <si>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</si>
  <si>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</si>
  <si>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</si>
  <si>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</si>
  <si>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</si>
  <si>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</si>
  <si>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</si>
  <si>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</si>
  <si>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</si>
  <si>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</si>
  <si>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</si>
  <si>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</si>
  <si>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</si>
  <si>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</si>
  <si>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</si>
  <si>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</si>
  <si>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</si>
  <si>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</si>
  <si>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</si>
  <si>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</si>
  <si>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</si>
  <si>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</si>
  <si>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</si>
  <si>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</si>
  <si>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</si>
  <si>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</si>
  <si>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</si>
  <si>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</si>
  <si>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</si>
  <si>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</si>
  <si>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</si>
  <si>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</si>
  <si>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</si>
  <si>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</si>
  <si>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</si>
  <si>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</si>
  <si>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</si>
  <si>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</si>
  <si>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</si>
  <si>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</si>
  <si>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</si>
  <si>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</si>
  <si>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</si>
  <si>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</si>
  <si>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</si>
  <si>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</si>
  <si>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</si>
  <si>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</si>
  <si>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</si>
  <si>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</si>
  <si>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</si>
  <si>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</si>
  <si>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</si>
  <si>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</si>
  <si>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</si>
  <si>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</si>
  <si>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</si>
  <si>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</si>
  <si>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</si>
  <si>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</si>
  <si>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</si>
  <si>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</si>
  <si>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</si>
  <si>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</si>
  <si>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</si>
  <si>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</si>
  <si>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</si>
  <si>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</si>
  <si>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</si>
  <si>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</si>
  <si>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</si>
  <si>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</si>
  <si>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</si>
  <si>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</si>
  <si>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</si>
  <si>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</si>
  <si>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</si>
  <si>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</si>
  <si>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</si>
  <si>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</si>
  <si>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</si>
  <si>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</si>
  <si>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</si>
  <si>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</si>
  <si>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</si>
  <si>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</si>
  <si>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</si>
  <si>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</si>
  <si>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</si>
  <si>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</si>
  <si>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</si>
  <si>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</si>
  <si>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</si>
  <si>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</si>
  <si>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</si>
  <si>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</si>
  <si>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</si>
  <si>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</si>
  <si>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</si>
  <si>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</si>
  <si>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</si>
  <si>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</si>
  <si>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</si>
  <si>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</si>
  <si>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</si>
  <si>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</si>
  <si>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</si>
  <si>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</si>
  <si>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</si>
  <si>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</si>
  <si>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</si>
  <si>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</si>
  <si>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</si>
  <si>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</si>
  <si>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</si>
  <si>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</si>
  <si>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</si>
  <si>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</si>
  <si>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</si>
  <si>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</si>
  <si>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</si>
  <si>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</si>
  <si>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</si>
  <si>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</si>
  <si>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</si>
  <si>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</si>
  <si>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</si>
  <si>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</si>
  <si>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</si>
  <si>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</si>
  <si>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</si>
  <si>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</si>
  <si>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</si>
  <si>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</si>
  <si>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</si>
  <si>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</si>
  <si>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</si>
  <si>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</si>
  <si>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</si>
  <si>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</si>
  <si>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</si>
  <si>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</si>
  <si>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</si>
  <si>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</si>
  <si>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</si>
  <si>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</si>
  <si>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</si>
  <si>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</si>
  <si>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</si>
  <si>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</si>
  <si>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</si>
  <si>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</si>
  <si>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</si>
  <si>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</si>
  <si>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</si>
  <si>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</si>
  <si>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</si>
  <si>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</si>
  <si>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</si>
  <si>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</si>
  <si>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</si>
  <si>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</si>
  <si>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</si>
  <si>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</si>
  <si>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</si>
  <si>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</si>
  <si>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</si>
  <si>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</si>
  <si>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</si>
  <si>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</si>
  <si>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</si>
  <si>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</si>
  <si>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</si>
  <si>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</si>
  <si>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</si>
  <si>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</si>
  <si>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</si>
  <si>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</si>
  <si>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</si>
  <si>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</si>
  <si>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</si>
  <si>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</si>
  <si>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</si>
  <si>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</si>
  <si>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</si>
  <si>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</si>
  <si>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</si>
  <si>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</si>
  <si>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</si>
  <si>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</si>
  <si>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</si>
  <si>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</si>
  <si>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</si>
  <si>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</si>
  <si>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</si>
  <si>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</si>
  <si>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</si>
  <si>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</si>
  <si>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</si>
  <si>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</si>
  <si>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</si>
  <si>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</si>
  <si>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</si>
  <si>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</si>
  <si>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</si>
  <si>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</si>
  <si>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</si>
  <si>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</si>
  <si>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</si>
  <si>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</si>
  <si>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</si>
  <si>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</si>
  <si>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</si>
  <si>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</si>
  <si>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</si>
  <si>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</si>
  <si>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</si>
  <si>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</si>
  <si>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</si>
  <si>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</si>
  <si>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</si>
  <si>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</si>
  <si>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</si>
  <si>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</si>
  <si>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</si>
  <si>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</si>
  <si>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</si>
  <si>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</si>
  <si>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</si>
  <si>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</si>
  <si>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</si>
  <si>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</si>
  <si>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</si>
  <si>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</si>
  <si>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</si>
  <si>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</si>
  <si>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</si>
  <si>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</si>
  <si>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</si>
  <si>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</si>
  <si>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</si>
  <si>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</si>
  <si>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</si>
  <si>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</si>
  <si>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</si>
  <si>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</si>
  <si>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</si>
  <si>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</si>
  <si>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</si>
  <si>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</si>
  <si>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</si>
  <si>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analysisUnitTypeName</t>
  </si>
  <si>
    <t>ID</t>
  </si>
  <si>
    <t>blockId</t>
  </si>
  <si>
    <t>paramId</t>
  </si>
  <si>
    <t>Start(Dec)</t>
  </si>
  <si>
    <t>descrption</t>
  </si>
  <si>
    <t>paramType</t>
  </si>
  <si>
    <t>unit</t>
  </si>
  <si>
    <t>dataType</t>
  </si>
  <si>
    <t>byteOrder</t>
  </si>
  <si>
    <t>RW</t>
  </si>
  <si>
    <t>Reg</t>
  </si>
  <si>
    <t>scale</t>
  </si>
  <si>
    <t>IsOnline</t>
  </si>
  <si>
    <t>isOnline</t>
  </si>
  <si>
    <t>R</t>
  </si>
  <si>
    <t>7</t>
  </si>
  <si>
    <t>System Frequency</t>
  </si>
  <si>
    <t>Hz</t>
  </si>
  <si>
    <t>float32</t>
  </si>
  <si>
    <t>4-7-8-40</t>
  </si>
  <si>
    <t>9-2-35-1</t>
  </si>
  <si>
    <t>Phase A Line-to-Neutral Voltage</t>
  </si>
  <si>
    <t>V</t>
  </si>
  <si>
    <t>Phase B Line-to-Neutral Voltage</t>
  </si>
  <si>
    <t>Phase C Line-to-Neutral Voltage</t>
  </si>
  <si>
    <t>Average Line-to-Neutral Voltage</t>
  </si>
  <si>
    <t>9-2-1</t>
  </si>
  <si>
    <t>Phase A-B Line-to-Line Voltage</t>
  </si>
  <si>
    <t>Phase B-C Line-to-Line Voltage</t>
  </si>
  <si>
    <t>Phase C-A Line-to-Line Voltage</t>
  </si>
  <si>
    <t>Average Line-to-Line Voltage</t>
  </si>
  <si>
    <t>Phase A Line-to-Neutral Voltage Phase Angle</t>
  </si>
  <si>
    <t>°</t>
  </si>
  <si>
    <t>Phase B Line-to-Neutral Voltage Phase Angle</t>
  </si>
  <si>
    <t>Phase C Line-to-Neutral Voltage Phase Angle</t>
  </si>
  <si>
    <t>Phase A Current</t>
  </si>
  <si>
    <t>A</t>
  </si>
  <si>
    <t>Phase A Active Power</t>
  </si>
  <si>
    <t>kW</t>
  </si>
  <si>
    <t>Phase A Reactive Power</t>
  </si>
  <si>
    <t>kvar</t>
  </si>
  <si>
    <t>Phase A Apparent Power</t>
  </si>
  <si>
    <t>kVA</t>
  </si>
  <si>
    <t>Phase A Load Nature</t>
  </si>
  <si>
    <t>uint32</t>
  </si>
  <si>
    <t>Phase A Power Factor</t>
  </si>
  <si>
    <t>%</t>
  </si>
  <si>
    <t>Phase B Current</t>
  </si>
  <si>
    <t>Phase B Active Power</t>
  </si>
  <si>
    <t>Phase B Reactive Power</t>
  </si>
  <si>
    <t>Phase B Apparent Power</t>
  </si>
  <si>
    <t>Phase B Load Nature</t>
  </si>
  <si>
    <t>Phase B Power Factor</t>
  </si>
  <si>
    <t>Phase C Current</t>
  </si>
  <si>
    <t>Phase C Active Power</t>
  </si>
  <si>
    <t>Phase C Reactive Power</t>
  </si>
  <si>
    <t>Phase C Apparent Power</t>
  </si>
  <si>
    <t>Phase C Load Nature</t>
  </si>
  <si>
    <t>Phase C Power Factor</t>
  </si>
  <si>
    <t>System Average Current</t>
  </si>
  <si>
    <t>System Active Power</t>
  </si>
  <si>
    <t>System Reactive Power</t>
  </si>
  <si>
    <t>System Apparent Power</t>
  </si>
  <si>
    <t>System Load Nature</t>
  </si>
  <si>
    <t>LC</t>
  </si>
  <si>
    <t>System Power Factor</t>
  </si>
  <si>
    <t>Input Channel 1 Current</t>
  </si>
  <si>
    <t>I_001_A</t>
  </si>
  <si>
    <t>4-7-8</t>
  </si>
  <si>
    <t>10-2-1-35</t>
  </si>
  <si>
    <t>Input Channel 1 Active Power</t>
  </si>
  <si>
    <t>P_001_kW</t>
  </si>
  <si>
    <t>Input Channel 1 Reactive Power</t>
  </si>
  <si>
    <t>Q_001_kvar</t>
  </si>
  <si>
    <t>10-2-1</t>
  </si>
  <si>
    <t>Input Channel 1 Apparent Power</t>
  </si>
  <si>
    <t>S_001_kVA</t>
  </si>
  <si>
    <t>Input Channel 1 Load Nature</t>
  </si>
  <si>
    <t>LC_001</t>
  </si>
  <si>
    <t>Input Channel 1 Power Factor</t>
  </si>
  <si>
    <t>PF_001</t>
  </si>
  <si>
    <t>10-35</t>
  </si>
  <si>
    <t>Input Channel 1 Current Phase Angle</t>
  </si>
  <si>
    <t>ANG_I_001</t>
  </si>
  <si>
    <t>Input Channel 2 Current</t>
  </si>
  <si>
    <t>I_002_A</t>
  </si>
  <si>
    <t>Input Channel 2 Active Power</t>
  </si>
  <si>
    <t>P_002_kW</t>
  </si>
  <si>
    <t>Input Channel 2 Reactive Power</t>
  </si>
  <si>
    <t>Q_002_kvar</t>
  </si>
  <si>
    <t>Input Channel 2 Apparent Power</t>
  </si>
  <si>
    <t>S_002_kVA</t>
  </si>
  <si>
    <t>Input Channel 2 Load Nature</t>
  </si>
  <si>
    <t>LC_002</t>
  </si>
  <si>
    <t>Input Channel 2 Power Factor</t>
  </si>
  <si>
    <t>PF_002</t>
  </si>
  <si>
    <t>Input Channel 2 Current Phase Angle</t>
  </si>
  <si>
    <t>ANG_I_002</t>
  </si>
  <si>
    <t>Input Channel 3 Current</t>
  </si>
  <si>
    <t>I_003_A</t>
  </si>
  <si>
    <t>Input Channel 3 Active Power</t>
  </si>
  <si>
    <t>P_003_kW</t>
  </si>
  <si>
    <t>Input Channel 3 Reactive Power</t>
  </si>
  <si>
    <t>Q_003_kvar</t>
  </si>
  <si>
    <t>Input Channel 3 Apparent Power</t>
  </si>
  <si>
    <t>S_003_kVA</t>
  </si>
  <si>
    <t>Input Channel 3 Load Nature</t>
  </si>
  <si>
    <t>LC_003</t>
  </si>
  <si>
    <t>Input Channel 3 Power Factor</t>
  </si>
  <si>
    <t>PF_003</t>
  </si>
  <si>
    <t>Input Channel 3 Current Phase Angle</t>
  </si>
  <si>
    <t>ANG_I_003</t>
  </si>
  <si>
    <t>Input Channel 4 Current</t>
  </si>
  <si>
    <t>I_004_A</t>
  </si>
  <si>
    <t>Input Channel 4 Active Power</t>
  </si>
  <si>
    <t>P_004_kW</t>
  </si>
  <si>
    <t>Input Channel 4 Reactive Power</t>
  </si>
  <si>
    <t>Q_004_kvar</t>
  </si>
  <si>
    <t>Input Channel 4 Apparent Power</t>
  </si>
  <si>
    <t>S_004_kVA</t>
  </si>
  <si>
    <t>Input Channel 4 Load Nature</t>
  </si>
  <si>
    <t>LC_004</t>
  </si>
  <si>
    <t>Input Channel 4 Power Factor</t>
  </si>
  <si>
    <t>PF_004</t>
  </si>
  <si>
    <t>Input Channel 4 Current Phase Angle</t>
  </si>
  <si>
    <t>ANG_I_004</t>
  </si>
  <si>
    <t>Input Channel 5 Current</t>
  </si>
  <si>
    <t>I_005_A</t>
  </si>
  <si>
    <t>Input Channel 5 Active Power</t>
  </si>
  <si>
    <t>P_005_kW</t>
  </si>
  <si>
    <t>Input Channel 5 Reactive Power</t>
  </si>
  <si>
    <t>Q_005_kvar</t>
  </si>
  <si>
    <t>Input Channel 5 Apparent Power</t>
  </si>
  <si>
    <t>S_005_kVA</t>
  </si>
  <si>
    <t>Input Channel 5 Load Nature</t>
  </si>
  <si>
    <t>LC_005</t>
  </si>
  <si>
    <t>Input Channel 5 Power Factor</t>
  </si>
  <si>
    <t>PF_005</t>
  </si>
  <si>
    <t>Input Channel 5 Current Phase Angle</t>
  </si>
  <si>
    <t>ANG_I_005</t>
  </si>
  <si>
    <t>Input Channel 6 Current</t>
  </si>
  <si>
    <t>I_006_A</t>
  </si>
  <si>
    <t>Input Channel 6 Active Power</t>
  </si>
  <si>
    <t>P_006_kW</t>
  </si>
  <si>
    <t>Input Channel 6 Reactive Power</t>
  </si>
  <si>
    <t>Q_006_kvar</t>
  </si>
  <si>
    <t>Input Channel 6 Apparent Power</t>
  </si>
  <si>
    <t>S_006_kVA</t>
  </si>
  <si>
    <t>Input Channel 6 Load Nature</t>
  </si>
  <si>
    <t>LC_006</t>
  </si>
  <si>
    <t>Input Channel 6 Power Factor</t>
  </si>
  <si>
    <t>PF_006</t>
  </si>
  <si>
    <t>Input Channel 6 Current Phase Angle</t>
  </si>
  <si>
    <t>ANG_I_006</t>
  </si>
  <si>
    <t>Input Channel 7 Current</t>
  </si>
  <si>
    <t>I_007_A</t>
  </si>
  <si>
    <t>Input Channel 7 Active Power</t>
  </si>
  <si>
    <t>P_007_kW</t>
  </si>
  <si>
    <t>Input Channel 7 Reactive Power</t>
  </si>
  <si>
    <t>Q_007_kvar</t>
  </si>
  <si>
    <t>Input Channel 7 Apparent Power</t>
  </si>
  <si>
    <t>S_007_kVA</t>
  </si>
  <si>
    <t>Input Channel 7 Load Nature</t>
  </si>
  <si>
    <t>LC_007</t>
  </si>
  <si>
    <t>Input Channel 7 Power Factor</t>
  </si>
  <si>
    <t>PF_007</t>
  </si>
  <si>
    <t>Input Channel 7 Current Phase Angle</t>
  </si>
  <si>
    <t>ANG_I_007</t>
  </si>
  <si>
    <t>Input Channel 8 Current</t>
  </si>
  <si>
    <t>I_008_A</t>
  </si>
  <si>
    <t>Input Channel 8 Active Power</t>
  </si>
  <si>
    <t>P_008_kW</t>
  </si>
  <si>
    <t>Input Channel 8 Reactive Power</t>
  </si>
  <si>
    <t>Q_008_kvar</t>
  </si>
  <si>
    <t>Input Channel 8 Apparent Power</t>
  </si>
  <si>
    <t>S_008_kVA</t>
  </si>
  <si>
    <t>Input Channel 8 Load Nature</t>
  </si>
  <si>
    <t>LC_008</t>
  </si>
  <si>
    <t>Input Channel 8 Power Factor</t>
  </si>
  <si>
    <t>PF_008</t>
  </si>
  <si>
    <t>Input Channel 8 Current Phase Angle</t>
  </si>
  <si>
    <t>ANG_I_008</t>
  </si>
  <si>
    <t>Input Channel 9 Current</t>
  </si>
  <si>
    <t>I_009_A</t>
  </si>
  <si>
    <t>Input Channel 9 Active Power</t>
  </si>
  <si>
    <t>P_009_kW</t>
  </si>
  <si>
    <t>Input Channel 9 Reactive Power</t>
  </si>
  <si>
    <t>Q_009_kvar</t>
  </si>
  <si>
    <t>Input Channel 9 Apparent Power</t>
  </si>
  <si>
    <t>S_009_kVA</t>
  </si>
  <si>
    <t>Input Channel 9 Load Nature</t>
  </si>
  <si>
    <t>LC_009</t>
  </si>
  <si>
    <t>Input Channel 9 Power Factor</t>
  </si>
  <si>
    <t>PF_009</t>
  </si>
  <si>
    <t>Input Channel 9 Current Phase Angle</t>
  </si>
  <si>
    <t>ANG_I_009</t>
  </si>
  <si>
    <t>Input Channel 10 Current</t>
  </si>
  <si>
    <t>I_010_A</t>
  </si>
  <si>
    <t>Input Channel 10 Active Power</t>
  </si>
  <si>
    <t>P_010_kW</t>
  </si>
  <si>
    <t>Input Channel 10 Reactive Power</t>
  </si>
  <si>
    <t>Q_010_kvar</t>
  </si>
  <si>
    <t>Input Channel 10 Apparent Power</t>
  </si>
  <si>
    <t>S_010_kVA</t>
  </si>
  <si>
    <t>Input Channel 10 Load Nature</t>
  </si>
  <si>
    <t>LC_010</t>
  </si>
  <si>
    <t>Input Channel 10 Power Factor</t>
  </si>
  <si>
    <t>PF_010</t>
  </si>
  <si>
    <t>Input Channel 10 Current Phase Angle</t>
  </si>
  <si>
    <t>ANG_I_010</t>
  </si>
  <si>
    <t>Input Channel 11 Current</t>
  </si>
  <si>
    <t>I_011_A</t>
  </si>
  <si>
    <t>Input Channel 11 Active Power</t>
  </si>
  <si>
    <t>P_011_kW</t>
  </si>
  <si>
    <t>Input Channel 11 Reactive Power</t>
  </si>
  <si>
    <t>Q_011_kvar</t>
  </si>
  <si>
    <t>Input Channel 11 Apparent Power</t>
  </si>
  <si>
    <t>S_011_kVA</t>
  </si>
  <si>
    <t>Input Channel 11 Load Nature</t>
  </si>
  <si>
    <t>LC_011</t>
  </si>
  <si>
    <t>Input Channel 11 Power Factor</t>
  </si>
  <si>
    <t>PF_011</t>
  </si>
  <si>
    <t>Input Channel 11 Current Phase Angle</t>
  </si>
  <si>
    <t>ANG_I_011</t>
  </si>
  <si>
    <t>Input Channel 12 Current</t>
  </si>
  <si>
    <t>I_012_A</t>
  </si>
  <si>
    <t>Input Channel 12 Active Power</t>
  </si>
  <si>
    <t>P_012_kW</t>
  </si>
  <si>
    <t>Input Channel 12 Reactive Power</t>
  </si>
  <si>
    <t>Q_012_kvar</t>
  </si>
  <si>
    <t>Input Channel 12 Apparent Power</t>
  </si>
  <si>
    <t>S_012_kVA</t>
  </si>
  <si>
    <t>Input Channel 12 Load Nature</t>
  </si>
  <si>
    <t>LC_012</t>
  </si>
  <si>
    <t>Input Channel 12 Power Factor</t>
  </si>
  <si>
    <t>PF_012</t>
  </si>
  <si>
    <t>Input Channel 12 Current Phase Angle</t>
  </si>
  <si>
    <t>ANG_I_012</t>
  </si>
  <si>
    <t>Input Channel 13 Current</t>
  </si>
  <si>
    <t>I_013_A</t>
  </si>
  <si>
    <t>Input Channel 13 Active Power</t>
  </si>
  <si>
    <t>P_013_kW</t>
  </si>
  <si>
    <t>Input Channel 13 Reactive Power</t>
  </si>
  <si>
    <t>Q_013_kvar</t>
  </si>
  <si>
    <t>Input Channel 13 Apparent Power</t>
  </si>
  <si>
    <t>S_013_kVA</t>
  </si>
  <si>
    <t>Input Channel 13 Load Nature</t>
  </si>
  <si>
    <t>LC_013</t>
  </si>
  <si>
    <t>Input Channel 13 Power Factor</t>
  </si>
  <si>
    <t>PF_013</t>
  </si>
  <si>
    <t>Input Channel 13 Current Phase Angle</t>
  </si>
  <si>
    <t>ANG_I_013</t>
  </si>
  <si>
    <t>Input Channel 14 Current</t>
  </si>
  <si>
    <t>I_014_A</t>
  </si>
  <si>
    <t>Input Channel 14 Active Power</t>
  </si>
  <si>
    <t>P_014_kW</t>
  </si>
  <si>
    <t>Input Channel 14 Reactive Power</t>
  </si>
  <si>
    <t>Q_014_kvar</t>
  </si>
  <si>
    <t>Input Channel 14 Apparent Power</t>
  </si>
  <si>
    <t>S_014_kVA</t>
  </si>
  <si>
    <t>Input Channel 14 Load Nature</t>
  </si>
  <si>
    <t>LC_014</t>
  </si>
  <si>
    <t>Input Channel 14 Power Factor</t>
  </si>
  <si>
    <t>PF_014</t>
  </si>
  <si>
    <t>Input Channel 14 Current Phase Angle</t>
  </si>
  <si>
    <t>ANG_I_014</t>
  </si>
  <si>
    <t>Input Channel 15 Current</t>
  </si>
  <si>
    <t>I_015_A</t>
  </si>
  <si>
    <t>Input Channel 15 Active Power</t>
  </si>
  <si>
    <t>P_015_kW</t>
  </si>
  <si>
    <t>Input Channel 15 Reactive Power</t>
  </si>
  <si>
    <t>Q_015_kvar</t>
  </si>
  <si>
    <t>Input Channel 15 Apparent Power</t>
  </si>
  <si>
    <t>S_015_kVA</t>
  </si>
  <si>
    <t>Input Channel 15 Load Nature</t>
  </si>
  <si>
    <t>LC_015</t>
  </si>
  <si>
    <t>Input Channel 15 Power Factor</t>
  </si>
  <si>
    <t>PF_015</t>
  </si>
  <si>
    <t>Input Channel 15 Current Phase Angle</t>
  </si>
  <si>
    <t>ANG_I_015</t>
  </si>
  <si>
    <t>Input Channel 16 Current</t>
  </si>
  <si>
    <t>I_016_A</t>
  </si>
  <si>
    <t>Input Channel 16 Active Power</t>
  </si>
  <si>
    <t>P_016_kW</t>
  </si>
  <si>
    <t>Input Channel 16 Reactive Power</t>
  </si>
  <si>
    <t>Q_016_kvar</t>
  </si>
  <si>
    <t>Input Channel 16 Apparent Power</t>
  </si>
  <si>
    <t>S_016_kVA</t>
  </si>
  <si>
    <t>Input Channel 16 Load Nature</t>
  </si>
  <si>
    <t>LC_016</t>
  </si>
  <si>
    <t>Input Channel 16 Power Factor</t>
  </si>
  <si>
    <t>PF_016</t>
  </si>
  <si>
    <t>Input Channel 16 Current Phase Angle</t>
  </si>
  <si>
    <t>ANG_I_016</t>
  </si>
  <si>
    <t>Input Channel 17 Current</t>
  </si>
  <si>
    <t>I_017_A</t>
  </si>
  <si>
    <t>Input Channel 17 Active Power</t>
  </si>
  <si>
    <t>P_017_kW</t>
  </si>
  <si>
    <t>Input Channel 17 Reactive Power</t>
  </si>
  <si>
    <t>Q_017_kvar</t>
  </si>
  <si>
    <t>Input Channel 17 Apparent Power</t>
  </si>
  <si>
    <t>S_017_kVA</t>
  </si>
  <si>
    <t>Input Channel 17 Load Nature</t>
  </si>
  <si>
    <t>LC_017</t>
  </si>
  <si>
    <t>Input Channel 17 Power Factor</t>
  </si>
  <si>
    <t>PF_017</t>
  </si>
  <si>
    <t>Input Channel 17 Current Phase Angle</t>
  </si>
  <si>
    <t>ANG_I_017</t>
  </si>
  <si>
    <t>Input Channel 18 Current</t>
  </si>
  <si>
    <t>I_018_A</t>
  </si>
  <si>
    <t>Input Channel 18 Active Power</t>
  </si>
  <si>
    <t>P_018_kW</t>
  </si>
  <si>
    <t>Input Channel 18 Reactive Power</t>
  </si>
  <si>
    <t>Q_018_kvar</t>
  </si>
  <si>
    <t>Input Channel 18 Apparent Power</t>
  </si>
  <si>
    <t>S_018_kVA</t>
  </si>
  <si>
    <t>Input Channel 18 Load Nature</t>
  </si>
  <si>
    <t>LC_018</t>
  </si>
  <si>
    <t>Input Channel 18 Power Factor</t>
  </si>
  <si>
    <t>PF_018</t>
  </si>
  <si>
    <t>Input Channel 18 Current Phase Angle</t>
  </si>
  <si>
    <t>ANG_I_018</t>
  </si>
  <si>
    <t>Input Channel 19 Current</t>
  </si>
  <si>
    <t>I_019_A</t>
  </si>
  <si>
    <t>Input Channel 19 Active Power</t>
  </si>
  <si>
    <t>P_019_kW</t>
  </si>
  <si>
    <t>Input Channel 19 Reactive Power</t>
  </si>
  <si>
    <t>Q_019_kvar</t>
  </si>
  <si>
    <t>Input Channel 19 Apparent Power</t>
  </si>
  <si>
    <t>S_019_kVA</t>
  </si>
  <si>
    <t>Input Channel 19 Load Nature</t>
  </si>
  <si>
    <t>LC_019</t>
  </si>
  <si>
    <t>Input Channel 19 Power Factor</t>
  </si>
  <si>
    <t>PF_019</t>
  </si>
  <si>
    <t>Input Channel 19 Current Phase Angle</t>
  </si>
  <si>
    <t>ANG_I_019</t>
  </si>
  <si>
    <t>Input Channel 20 Current</t>
  </si>
  <si>
    <t>I_020_A</t>
  </si>
  <si>
    <t>Input Channel 20 Active Power</t>
  </si>
  <si>
    <t>P_020_kW</t>
  </si>
  <si>
    <t>Input Channel 20 Reactive Power</t>
  </si>
  <si>
    <t>Q_020_kvar</t>
  </si>
  <si>
    <t>Input Channel 20 Apparent Power</t>
  </si>
  <si>
    <t>S_020_kVA</t>
  </si>
  <si>
    <t>Input Channel 20 Load Nature</t>
  </si>
  <si>
    <t>LC_020</t>
  </si>
  <si>
    <t>Input Channel 20 Power Factor</t>
  </si>
  <si>
    <t>PF_020</t>
  </si>
  <si>
    <t>Input Channel 20 Current Phase Angle</t>
  </si>
  <si>
    <t>ANG_I_020</t>
  </si>
  <si>
    <t>Input Channel 21 Current</t>
  </si>
  <si>
    <t>I_021_A</t>
  </si>
  <si>
    <t>Input Channel 21 Active Power</t>
  </si>
  <si>
    <t>P_021_kW</t>
  </si>
  <si>
    <t>Input Channel 21 Reactive Power</t>
  </si>
  <si>
    <t>Q_021_kvar</t>
  </si>
  <si>
    <t>Input Channel 21 Apparent Power</t>
  </si>
  <si>
    <t>S_021_kVA</t>
  </si>
  <si>
    <t>Input Channel 21 Load Nature</t>
  </si>
  <si>
    <t>LC_021</t>
  </si>
  <si>
    <t>Input Channel 21 Power Factor</t>
  </si>
  <si>
    <t>PF_021</t>
  </si>
  <si>
    <t>Input Channel 21 Current Phase Angle</t>
  </si>
  <si>
    <t>ANG_I_021</t>
  </si>
  <si>
    <t>Input Channel 22 Current</t>
  </si>
  <si>
    <t>I_022_A</t>
  </si>
  <si>
    <t>Input Channel 22 Active Power</t>
  </si>
  <si>
    <t>P_022_kW</t>
  </si>
  <si>
    <t>Input Channel 22 Reactive Power</t>
  </si>
  <si>
    <t>Q_022_kvar</t>
  </si>
  <si>
    <t>Input Channel 22 Apparent Power</t>
  </si>
  <si>
    <t>S_022_kVA</t>
  </si>
  <si>
    <t>Input Channel 22 Load Nature</t>
  </si>
  <si>
    <t>LC_022</t>
  </si>
  <si>
    <t>Input Channel 22 Power Factor</t>
  </si>
  <si>
    <t>PF_022</t>
  </si>
  <si>
    <t>Input Channel 22 Current Phase Angle</t>
  </si>
  <si>
    <t>ANG_I_022</t>
  </si>
  <si>
    <t>Input Channel 23 Current</t>
  </si>
  <si>
    <t>I_023_A</t>
  </si>
  <si>
    <t>Input Channel 23 Active Power</t>
  </si>
  <si>
    <t>P_023_kW</t>
  </si>
  <si>
    <t>Input Channel 23 Reactive Power</t>
  </si>
  <si>
    <t>Q_023_kvar</t>
  </si>
  <si>
    <t>Input Channel 23 Apparent Power</t>
  </si>
  <si>
    <t>S_023_kVA</t>
  </si>
  <si>
    <t>Input Channel 23 Load Nature</t>
  </si>
  <si>
    <t>LC_023</t>
  </si>
  <si>
    <t>Input Channel 23 Power Factor</t>
  </si>
  <si>
    <t>PF_023</t>
  </si>
  <si>
    <t>Input Channel 23 Current Phase Angle</t>
  </si>
  <si>
    <t>ANG_I_023</t>
  </si>
  <si>
    <t>Input Channel 24 Current</t>
  </si>
  <si>
    <t>I_024_A</t>
  </si>
  <si>
    <t>Input Channel 24 Active Power</t>
  </si>
  <si>
    <t>P_024_kW</t>
  </si>
  <si>
    <t>Input Channel 24 Reactive Power</t>
  </si>
  <si>
    <t>Q_024_kvar</t>
  </si>
  <si>
    <t>Input Channel 24 Apparent Power</t>
  </si>
  <si>
    <t>S_024_kVA</t>
  </si>
  <si>
    <t>Input Channel 24 Load Nature</t>
  </si>
  <si>
    <t>LC_024</t>
  </si>
  <si>
    <t>Input Channel 24 Power Factor</t>
  </si>
  <si>
    <t>PF_024</t>
  </si>
  <si>
    <t>Input Channel 24 Current Phase Angle</t>
  </si>
  <si>
    <t>ANG_I_024</t>
  </si>
  <si>
    <t>User Channel 1 Current</t>
  </si>
  <si>
    <t>I_s001_%</t>
  </si>
  <si>
    <t>User Channel 1 Active Power</t>
  </si>
  <si>
    <t>P_s001_kW</t>
  </si>
  <si>
    <t>User Channel 1 Reactive Power</t>
  </si>
  <si>
    <t>Q_s001_kvar</t>
  </si>
  <si>
    <t>User Channel 1 Apparent Power</t>
  </si>
  <si>
    <t>S_s001_kVA</t>
  </si>
  <si>
    <t>User Channel 1 Load Nature</t>
  </si>
  <si>
    <t>LC_s001</t>
  </si>
  <si>
    <t>User Channel 1 Power Factor</t>
  </si>
  <si>
    <t>PF_s001</t>
  </si>
  <si>
    <t>10</t>
  </si>
  <si>
    <t>User Channel 2 Current</t>
  </si>
  <si>
    <t>I_s002_%</t>
  </si>
  <si>
    <t>User Channel 2 Active Power</t>
  </si>
  <si>
    <t>P_s002_kW</t>
  </si>
  <si>
    <t>User Channel 2 Reactive Power</t>
  </si>
  <si>
    <t>Q_s002_kvar</t>
  </si>
  <si>
    <t>User Channel 2 Apparent Power</t>
  </si>
  <si>
    <t>S_s002_kVA</t>
  </si>
  <si>
    <t>User Channel 2 Load Nature</t>
  </si>
  <si>
    <t>LC_s002</t>
  </si>
  <si>
    <t>User Channel 2 Power Factor</t>
  </si>
  <si>
    <t>PF_s002</t>
  </si>
  <si>
    <t>User Channel 3 Current</t>
  </si>
  <si>
    <t>I_s003_%</t>
  </si>
  <si>
    <t>User Channel 3 Active Power</t>
  </si>
  <si>
    <t>P_s003_kW</t>
  </si>
  <si>
    <t>User Channel 3 Reactive Power</t>
  </si>
  <si>
    <t>Q_s003_kvar</t>
  </si>
  <si>
    <t>User Channel 3 Apparent Power</t>
  </si>
  <si>
    <t>S_s003_kVA</t>
  </si>
  <si>
    <t>User Channel 3 Load Nature</t>
  </si>
  <si>
    <t>LC_s003</t>
  </si>
  <si>
    <t>User Channel 3 Power Factor</t>
  </si>
  <si>
    <t>PF_s003</t>
  </si>
  <si>
    <t>User Channel 4 Current</t>
  </si>
  <si>
    <t>I_s004_%</t>
  </si>
  <si>
    <t>User Channel 4 Active Power</t>
  </si>
  <si>
    <t>P_s004_kW</t>
  </si>
  <si>
    <t>User Channel 4 Reactive Power</t>
  </si>
  <si>
    <t>Q_s004_kvar</t>
  </si>
  <si>
    <t>User Channel 4 Apparent Power</t>
  </si>
  <si>
    <t>S_s004_kVA</t>
  </si>
  <si>
    <t>User Channel 4 Load Nature</t>
  </si>
  <si>
    <t>LC_s004</t>
  </si>
  <si>
    <t>User Channel 4 Power Factor</t>
  </si>
  <si>
    <t>PF_s004</t>
  </si>
  <si>
    <t>User Channel 5 Current</t>
  </si>
  <si>
    <t>I_s005_%</t>
  </si>
  <si>
    <t>User Channel 5 Active Power</t>
  </si>
  <si>
    <t>P_s005_kW</t>
  </si>
  <si>
    <t>User Channel 5 Reactive Power</t>
  </si>
  <si>
    <t>Q_s005_kvar</t>
  </si>
  <si>
    <t>User Channel 5 Apparent Power</t>
  </si>
  <si>
    <t>S_s005_kVA</t>
  </si>
  <si>
    <t>User Channel 5 Load Nature</t>
  </si>
  <si>
    <t>LC_s005</t>
  </si>
  <si>
    <t>User Channel 5 Power Factor</t>
  </si>
  <si>
    <t>PF_s005</t>
  </si>
  <si>
    <t>User Channel 6 Current</t>
  </si>
  <si>
    <t>I_s006_%</t>
  </si>
  <si>
    <t>User Channel 6 Active Power</t>
  </si>
  <si>
    <t>P_s006_kW</t>
  </si>
  <si>
    <t>User Channel 6 Reactive Power</t>
  </si>
  <si>
    <t>Q_s006_kvar</t>
  </si>
  <si>
    <t>User Channel 6 Apparent Power</t>
  </si>
  <si>
    <t>S_s006_kVA</t>
  </si>
  <si>
    <t>User Channel 6 Load Nature</t>
  </si>
  <si>
    <t>LC_s006</t>
  </si>
  <si>
    <t>User Channel 6 Power Factor</t>
  </si>
  <si>
    <t>PF_s006</t>
  </si>
  <si>
    <t>User Channel 7 Current</t>
  </si>
  <si>
    <t>I_s007_%</t>
  </si>
  <si>
    <t>User Channel 7 Active Power</t>
  </si>
  <si>
    <t>P_s007_kW</t>
  </si>
  <si>
    <t>User Channel 7 Reactive Power</t>
  </si>
  <si>
    <t>Q_s007_kvar</t>
  </si>
  <si>
    <t>User Channel 7 Apparent Power</t>
  </si>
  <si>
    <t>S_s007_kVA</t>
  </si>
  <si>
    <t>User Channel 7 Load Nature</t>
  </si>
  <si>
    <t>LC_s007</t>
  </si>
  <si>
    <t>User Channel 7 Power Factor</t>
  </si>
  <si>
    <t>PF_s007</t>
  </si>
  <si>
    <t>User Channel 8 Current</t>
  </si>
  <si>
    <t>I_s008_%</t>
  </si>
  <si>
    <t>User Channel 8 Active Power</t>
  </si>
  <si>
    <t>P_s008_kW</t>
  </si>
  <si>
    <t>User Channel 8 Reactive Power</t>
  </si>
  <si>
    <t>Q_s008_kvar</t>
  </si>
  <si>
    <t>User Channel 8 Apparent Power</t>
  </si>
  <si>
    <t>S_s008_kVA</t>
  </si>
  <si>
    <t>User Channel 8 Load Nature</t>
  </si>
  <si>
    <t>LC_s008</t>
  </si>
  <si>
    <t>User Channel 8 Power Factor</t>
  </si>
  <si>
    <t>PF_s008</t>
  </si>
  <si>
    <t>User Channel 9 Current</t>
  </si>
  <si>
    <t>I_s009_%</t>
  </si>
  <si>
    <t>User Channel 9 Active Power</t>
  </si>
  <si>
    <t>P_s009_kW</t>
  </si>
  <si>
    <t>User Channel 9 Reactive Power</t>
  </si>
  <si>
    <t>Q_s009_kvar</t>
  </si>
  <si>
    <t>User Channel 9 Apparent Power</t>
  </si>
  <si>
    <t>S_s009_kVA</t>
  </si>
  <si>
    <t>User Channel 9 Load Nature</t>
  </si>
  <si>
    <t>LC_s009</t>
  </si>
  <si>
    <t>User Channel 9 Power Factor</t>
  </si>
  <si>
    <t>PF_s009</t>
  </si>
  <si>
    <t>User Channel 10 Current</t>
  </si>
  <si>
    <t>I_s010_%</t>
  </si>
  <si>
    <t>User Channel 10 Active Power</t>
  </si>
  <si>
    <t>P_s010_kW</t>
  </si>
  <si>
    <t>User Channel 10 Reactive Power</t>
  </si>
  <si>
    <t>Q_s010_kvar</t>
  </si>
  <si>
    <t>User Channel 10 Apparent Power</t>
  </si>
  <si>
    <t>S_s010_kVA</t>
  </si>
  <si>
    <t>User Channel 10 Load Nature</t>
  </si>
  <si>
    <t>LC_s010</t>
  </si>
  <si>
    <t>User Channel 10 Power Factor</t>
  </si>
  <si>
    <t>PF_s010</t>
  </si>
  <si>
    <t>User Channel 11 Current</t>
  </si>
  <si>
    <t>I_s011_%</t>
  </si>
  <si>
    <t>User Channel 11 Active Power</t>
  </si>
  <si>
    <t>P_s011_kW</t>
  </si>
  <si>
    <t>User Channel 11 Reactive Power</t>
  </si>
  <si>
    <t>Q_s011_kvar</t>
  </si>
  <si>
    <t>User Channel 11 Apparent Power</t>
  </si>
  <si>
    <t>S_s011_kVA</t>
  </si>
  <si>
    <t>User Channel 11 Load Nature</t>
  </si>
  <si>
    <t>LC_s011</t>
  </si>
  <si>
    <t>User Channel 11 Power Factor</t>
  </si>
  <si>
    <t>PF_s011</t>
  </si>
  <si>
    <t>User Channel 12 Current</t>
  </si>
  <si>
    <t>I_s012_%</t>
  </si>
  <si>
    <t>User Channel 12 Active Power</t>
  </si>
  <si>
    <t>P_s012_kW</t>
  </si>
  <si>
    <t>User Channel 12 Reactive Power</t>
  </si>
  <si>
    <t>Q_s012_kvar</t>
  </si>
  <si>
    <t>User Channel 12 Apparent Power</t>
  </si>
  <si>
    <t>S_s012_kVA</t>
  </si>
  <si>
    <t>User Channel 12 Load Nature</t>
  </si>
  <si>
    <t>LC_s012</t>
  </si>
  <si>
    <t>User Channel 12 Power Factor</t>
  </si>
  <si>
    <t>PF_s012</t>
  </si>
  <si>
    <t>Phase A Current Demand</t>
  </si>
  <si>
    <t>DMD_I_a_A</t>
  </si>
  <si>
    <t>4-7-8-41</t>
  </si>
  <si>
    <t>15-2-1</t>
  </si>
  <si>
    <t>Phase A Import Active Power Demand</t>
  </si>
  <si>
    <t>DMD_IMP_P_a_kW</t>
  </si>
  <si>
    <t>Phase A Export Active Power Demand</t>
  </si>
  <si>
    <t>DMD_EXP_P_a_kW</t>
  </si>
  <si>
    <t>Phase A Import Reactive Power Demand</t>
  </si>
  <si>
    <t>DMD_IMP_Q_a_kvar</t>
  </si>
  <si>
    <t>Phase A Export Reactive Power Demand</t>
  </si>
  <si>
    <t>DMD_EXP_Q_a_kvar</t>
  </si>
  <si>
    <t>Phase A Apparent Power Demand</t>
  </si>
  <si>
    <t>Phase B Current Demand</t>
  </si>
  <si>
    <t>DMD_I_b_A</t>
  </si>
  <si>
    <t>Phase B Import Active Power Demand</t>
  </si>
  <si>
    <t>DMD_IMP_P_b_kW</t>
  </si>
  <si>
    <t>Phase B Export Active Power Demand</t>
  </si>
  <si>
    <t>DMD_EXP_P_b_kW</t>
  </si>
  <si>
    <t>Phase B Import Reactive Power Demand</t>
  </si>
  <si>
    <t>DMD_IMP_Q_b_kvar</t>
  </si>
  <si>
    <t>Phase B Export Reactive Power Demand</t>
  </si>
  <si>
    <t>DMD_EXP_Q_b_kvar</t>
  </si>
  <si>
    <t>Phase B Apparent Power Demand</t>
  </si>
  <si>
    <t>Phase C Current Demand</t>
  </si>
  <si>
    <t>DMD_I_c_A</t>
  </si>
  <si>
    <t>Phase C Import Active Power Demand</t>
  </si>
  <si>
    <t>DMD_IMP_P_c_kW</t>
  </si>
  <si>
    <t>Phase C Export Active Power Demand</t>
  </si>
  <si>
    <t>DMD_EXP_P_c_kW</t>
  </si>
  <si>
    <t>Phase C Import Reactive Power Demand</t>
  </si>
  <si>
    <t>DMD_IMP_Q_c_kvar</t>
  </si>
  <si>
    <t>Phase C Export Reactive Power Demand</t>
  </si>
  <si>
    <t>DMD_EXP_Q_c_kvar</t>
  </si>
  <si>
    <t>Phase C Apparent Power Demand</t>
  </si>
  <si>
    <t>System Average Current Demand</t>
  </si>
  <si>
    <t>DMD_I_avg_A</t>
  </si>
  <si>
    <t>System Import Active Power Demand</t>
  </si>
  <si>
    <t>DMD_IMP_P_kW</t>
  </si>
  <si>
    <t>System Export Active Power Demand</t>
  </si>
  <si>
    <t>DMD_EXP_P_kW</t>
  </si>
  <si>
    <t>System Import Reactive Power Demand</t>
  </si>
  <si>
    <t>DMD_IMP_Q_kvar</t>
  </si>
  <si>
    <t>System Export Reactive Power Demand</t>
  </si>
  <si>
    <t>DMD_EXP_Q_kvar</t>
  </si>
  <si>
    <t>System Apparent Power Demand</t>
  </si>
  <si>
    <t>Input Channel 1 Current Demand</t>
  </si>
  <si>
    <t>DMD_I_001_A</t>
  </si>
  <si>
    <t>16-2-1</t>
  </si>
  <si>
    <t>Input Channel 1 Import Active Power Demand</t>
  </si>
  <si>
    <t>DMD_IMP_P_001_kW</t>
  </si>
  <si>
    <t>Input Channel 1 Export Active Power Demand</t>
  </si>
  <si>
    <t>DMD_EXP_P_001_kW</t>
  </si>
  <si>
    <t>Input Channel 1 Import Reactive Power Demand</t>
  </si>
  <si>
    <t>DMD_IMP_Q_001_kvar</t>
  </si>
  <si>
    <t>Input Channel 1 Export Reactive Power Demand</t>
  </si>
  <si>
    <t>DMD_EXP_Q_001_kvar</t>
  </si>
  <si>
    <t>Input Channel 1 Apparent Power Demand</t>
  </si>
  <si>
    <t>DMD_S_001_kVA</t>
  </si>
  <si>
    <t>Input Channel 2 Current Demand</t>
  </si>
  <si>
    <t>DMD_I_002_A</t>
  </si>
  <si>
    <t>Input Channel 2 Import Active Power Demand</t>
  </si>
  <si>
    <t>DMD_IMP_P_002_kW</t>
  </si>
  <si>
    <t>Input Channel 2 Export Active Power Demand</t>
  </si>
  <si>
    <t>DMD_EXP_P_002_kW</t>
  </si>
  <si>
    <t>Input Channel 2 Import Reactive Power Demand</t>
  </si>
  <si>
    <t>DMD_IMP_Q_002_kvar</t>
  </si>
  <si>
    <t>Input Channel 2 Export Reactive Power Demand</t>
  </si>
  <si>
    <t>DMD_EXP_Q_002_kvar</t>
  </si>
  <si>
    <t>Input Channel 2 Apparent Power Demand</t>
  </si>
  <si>
    <t>DMD_S_002_kVA</t>
  </si>
  <si>
    <t>Input Channel 3 Current Demand</t>
  </si>
  <si>
    <t>DMD_I_003_A</t>
  </si>
  <si>
    <t>Input Channel 3 Import Active Power Demand</t>
  </si>
  <si>
    <t>DMD_IMP_P_003_kW</t>
  </si>
  <si>
    <t>Input Channel 3 Export Active Power Demand</t>
  </si>
  <si>
    <t>DMD_EXP_P_003_kW</t>
  </si>
  <si>
    <t>Input Channel 3 Import Reactive Power Demand</t>
  </si>
  <si>
    <t>DMD_IMP_Q_003_kvar</t>
  </si>
  <si>
    <t>Input Channel 3 Export Reactive Power Demand</t>
  </si>
  <si>
    <t>DMD_EXP_Q_003_kvar</t>
  </si>
  <si>
    <t>Input Channel 3 Apparent Power Demand</t>
  </si>
  <si>
    <t>DMD_S_003_kVA</t>
  </si>
  <si>
    <t>Input Channel 4 Current Demand</t>
  </si>
  <si>
    <t>DMD_I_004_A</t>
  </si>
  <si>
    <t>Input Channel 4 Import Active Power Demand</t>
  </si>
  <si>
    <t>DMD_IMP_P_004_kW</t>
  </si>
  <si>
    <t>Input Channel 4 Export Active Power Demand</t>
  </si>
  <si>
    <t>DMD_EXP_P_004_kW</t>
  </si>
  <si>
    <t>Input Channel 4 Import Reactive Power Demand</t>
  </si>
  <si>
    <t>DMD_IMP_Q_004_kvar</t>
  </si>
  <si>
    <t>Input Channel 4 Export Reactive Power Demand</t>
  </si>
  <si>
    <t>DMD_EXP_Q_004_kvar</t>
  </si>
  <si>
    <t>Input Channel 4 Apparent Power Demand</t>
  </si>
  <si>
    <t>DMD_S_004_kVA</t>
  </si>
  <si>
    <t>Input Channel 5 Current Demand</t>
  </si>
  <si>
    <t>DMD_I_005_A</t>
  </si>
  <si>
    <t>Input Channel 5 Import Active Power Demand</t>
  </si>
  <si>
    <t>DMD_IMP_P_005_kW</t>
  </si>
  <si>
    <t>Input Channel 5 Export Active Power Demand</t>
  </si>
  <si>
    <t>DMD_EXP_P_005_kW</t>
  </si>
  <si>
    <t>Input Channel 5 Import Reactive Power Demand</t>
  </si>
  <si>
    <t>DMD_IMP_Q_005_kvar</t>
  </si>
  <si>
    <t>Input Channel 5 Export Reactive Power Demand</t>
  </si>
  <si>
    <t>DMD_EXP_Q_005_kvar</t>
  </si>
  <si>
    <t>Input Channel 5 Apparent Power Demand</t>
  </si>
  <si>
    <t>DMD_S_005_kVA</t>
  </si>
  <si>
    <t>Input Channel 6 Current Demand</t>
  </si>
  <si>
    <t>DMD_I_006_A</t>
  </si>
  <si>
    <t>Input Channel 6 Import Active Power Demand</t>
  </si>
  <si>
    <t>DMD_IMP_P_006_kW</t>
  </si>
  <si>
    <t>Input Channel 6 Export Active Power Demand</t>
  </si>
  <si>
    <t>DMD_EXP_P_006_kW</t>
  </si>
  <si>
    <t>Input Channel 6 Import Reactive Power Demand</t>
  </si>
  <si>
    <t>DMD_IMP_Q_006_kvar</t>
  </si>
  <si>
    <t>Input Channel 6 Export Reactive Power Demand</t>
  </si>
  <si>
    <t>DMD_EXP_Q_006_kvar</t>
  </si>
  <si>
    <t>Input Channel 6 Apparent Power Demand</t>
  </si>
  <si>
    <t>DMD_S_006_kVA</t>
  </si>
  <si>
    <t>Input Channel 7 Current Demand</t>
  </si>
  <si>
    <t>DMD_I_007_A</t>
  </si>
  <si>
    <t>Input Channel 7 Import Active Power Demand</t>
  </si>
  <si>
    <t>DMD_IMP_P_007_kW</t>
  </si>
  <si>
    <t>Input Channel 7 Export Active Power Demand</t>
  </si>
  <si>
    <t>DMD_EXP_P_007_kW</t>
  </si>
  <si>
    <t>Input Channel 7 Import Reactive Power Demand</t>
  </si>
  <si>
    <t>DMD_IMP_Q_007_kvar</t>
  </si>
  <si>
    <t>Input Channel 7 Export Reactive Power Demand</t>
  </si>
  <si>
    <t>DMD_EXP_Q_007_kvar</t>
  </si>
  <si>
    <t>Input Channel 7 Apparent Power Demand</t>
  </si>
  <si>
    <t>DMD_S_007_kVA</t>
  </si>
  <si>
    <t>Input Channel 8 Current Demand</t>
  </si>
  <si>
    <t>DMD_I_008_A</t>
  </si>
  <si>
    <t>Input Channel 8 Import Active Power Demand</t>
  </si>
  <si>
    <t>DMD_IMP_P_008_kW</t>
  </si>
  <si>
    <t>Input Channel 8 Export Active Power Demand</t>
  </si>
  <si>
    <t>DMD_EXP_P_008_kW</t>
  </si>
  <si>
    <t>Input Channel 8 Import Reactive Power Demand</t>
  </si>
  <si>
    <t>DMD_IMP_Q_008_kvar</t>
  </si>
  <si>
    <t>Input Channel 8 Export Reactive Power Demand</t>
  </si>
  <si>
    <t>DMD_EXP_Q_008_kvar</t>
  </si>
  <si>
    <t>Input Channel 8 Apparent Power Demand</t>
  </si>
  <si>
    <t>DMD_S_008_kVA</t>
  </si>
  <si>
    <t>Input Channel 9 Current Demand</t>
  </si>
  <si>
    <t>DMD_I_009_A</t>
  </si>
  <si>
    <t>Input Channel 9 Import Active Power Demand</t>
  </si>
  <si>
    <t>DMD_IMP_P_009_kW</t>
  </si>
  <si>
    <t>Input Channel 9 Export Active Power Demand</t>
  </si>
  <si>
    <t>DMD_EXP_P_009_kW</t>
  </si>
  <si>
    <t>Input Channel 9 Import Reactive Power Demand</t>
  </si>
  <si>
    <t>DMD_IMP_Q_009_kvar</t>
  </si>
  <si>
    <t>Input Channel 9 Export Reactive Power Demand</t>
  </si>
  <si>
    <t>DMD_EXP_Q_009_kvar</t>
  </si>
  <si>
    <t>Input Channel 9 Apparent Power Demand</t>
  </si>
  <si>
    <t>DMD_S_009_kVA</t>
  </si>
  <si>
    <t>Input Channel 10 Current Demand</t>
  </si>
  <si>
    <t>DMD_I_010_A</t>
  </si>
  <si>
    <t>Input Channel 10 Import Active Power Demand</t>
  </si>
  <si>
    <t>DMD_IMP_P_010_kW</t>
  </si>
  <si>
    <t>Input Channel 10 Export Active Power Demand</t>
  </si>
  <si>
    <t>DMD_EXP_P_010_kW</t>
  </si>
  <si>
    <t>Input Channel 10 Import Reactive Power Demand</t>
  </si>
  <si>
    <t>DMD_IMP_Q_010_kvar</t>
  </si>
  <si>
    <t>Input Channel 10 Export Reactive Power Demand</t>
  </si>
  <si>
    <t>DMD_EXP_Q_010_kvar</t>
  </si>
  <si>
    <t>Input Channel 10 Apparent Power Demand</t>
  </si>
  <si>
    <t>DMD_S_010_kVA</t>
  </si>
  <si>
    <t>Input Channel 11 Current Demand</t>
  </si>
  <si>
    <t>DMD_I_011_A</t>
  </si>
  <si>
    <t>Input Channel 11 Import Active Power Demand</t>
  </si>
  <si>
    <t>DMD_IMP_P_011_kW</t>
  </si>
  <si>
    <t>Input Channel 11 Export Active Power Demand</t>
  </si>
  <si>
    <t>DMD_EXP_P_011_kW</t>
  </si>
  <si>
    <t>Input Channel 11 Import Reactive Power Demand</t>
  </si>
  <si>
    <t>DMD_IMP_Q_011_kvar</t>
  </si>
  <si>
    <t>Input Channel 11 Export Reactive Power Demand</t>
  </si>
  <si>
    <t>DMD_EXP_Q_011_kvar</t>
  </si>
  <si>
    <t>Input Channel 11 Apparent Power Demand</t>
  </si>
  <si>
    <t>DMD_S_011_kVA</t>
  </si>
  <si>
    <t>Input Channel 12 Current Demand</t>
  </si>
  <si>
    <t>DMD_I_012_A</t>
  </si>
  <si>
    <t>Input Channel 12 Import Active Power Demand</t>
  </si>
  <si>
    <t>DMD_IMP_P_012_kW</t>
  </si>
  <si>
    <t>Input Channel 12 Export Active Power Demand</t>
  </si>
  <si>
    <t>DMD_EXP_P_012_kW</t>
  </si>
  <si>
    <t>Input Channel 12 Import Reactive Power Demand</t>
  </si>
  <si>
    <t>DMD_IMP_Q_012_kvar</t>
  </si>
  <si>
    <t>Input Channel 12 Export Reactive Power Demand</t>
  </si>
  <si>
    <t>DMD_EXP_Q_012_kvar</t>
  </si>
  <si>
    <t>Input Channel 12 Apparent Power Demand</t>
  </si>
  <si>
    <t>DMD_S_012_kVA</t>
  </si>
  <si>
    <t>Input Channel 13 Current Demand</t>
  </si>
  <si>
    <t>DMD_I_013_A</t>
  </si>
  <si>
    <t>Input Channel 13 Import Active Power Demand</t>
  </si>
  <si>
    <t>DMD_IMP_P_013_kW</t>
  </si>
  <si>
    <t>Input Channel 13 Export Active Power Demand</t>
  </si>
  <si>
    <t>DMD_EXP_P_013_kW</t>
  </si>
  <si>
    <t>Input Channel 13 Import Reactive Power Demand</t>
  </si>
  <si>
    <t>DMD_IMP_Q_013_kvar</t>
  </si>
  <si>
    <t>Input Channel 13 Export Reactive Power Demand</t>
  </si>
  <si>
    <t>DMD_EXP_Q_013_kvar</t>
  </si>
  <si>
    <t>Input Channel 13 Apparent Power Demand</t>
  </si>
  <si>
    <t>DMD_S_013_kVA</t>
  </si>
  <si>
    <t>Input Channel 14 Current Demand</t>
  </si>
  <si>
    <t>DMD_I_014_A</t>
  </si>
  <si>
    <t>Input Channel 14 Import Active Power Demand</t>
  </si>
  <si>
    <t>DMD_IMP_P_014_kW</t>
  </si>
  <si>
    <t>Input Channel 14 Export Active Power Demand</t>
  </si>
  <si>
    <t>DMD_EXP_P_014_kW</t>
  </si>
  <si>
    <t>Input Channel 14 Import Reactive Power Demand</t>
  </si>
  <si>
    <t>DMD_IMP_Q_014_kvar</t>
  </si>
  <si>
    <t>Input Channel 14 Export Reactive Power Demand</t>
  </si>
  <si>
    <t>DMD_EXP_Q_014_kvar</t>
  </si>
  <si>
    <t>Input Channel 14 Apparent Power Demand</t>
  </si>
  <si>
    <t>DMD_S_014_kVA</t>
  </si>
  <si>
    <t>Input Channel 15 Current Demand</t>
  </si>
  <si>
    <t>DMD_I_015_A</t>
  </si>
  <si>
    <t>Input Channel 15 Import Active Power Demand</t>
  </si>
  <si>
    <t>DMD_IMP_P_015_kW</t>
  </si>
  <si>
    <t>Input Channel 15 Export Active Power Demand</t>
  </si>
  <si>
    <t>DMD_EXP_P_015_kW</t>
  </si>
  <si>
    <t>Input Channel 15 Import Reactive Power Demand</t>
  </si>
  <si>
    <t>DMD_IMP_Q_015_kvar</t>
  </si>
  <si>
    <t>Input Channel 15 Export Reactive Power Demand</t>
  </si>
  <si>
    <t>DMD_EXP_Q_015_kvar</t>
  </si>
  <si>
    <t>Input Channel 15 Apparent Power Demand</t>
  </si>
  <si>
    <t>DMD_S_015_kVA</t>
  </si>
  <si>
    <t>Input Channel 16 Current Demand</t>
  </si>
  <si>
    <t>DMD_I_016_A</t>
  </si>
  <si>
    <t>Input Channel 16 Import Active Power Demand</t>
  </si>
  <si>
    <t>DMD_IMP_P_016_kW</t>
  </si>
  <si>
    <t>Input Channel 16 Export Active Power Demand</t>
  </si>
  <si>
    <t>DMD_EXP_P_016_kW</t>
  </si>
  <si>
    <t>Input Channel 16 Import Reactive Power Demand</t>
  </si>
  <si>
    <t>DMD_IMP_Q_016_kvar</t>
  </si>
  <si>
    <t>Input Channel 16 Export Reactive Power Demand</t>
  </si>
  <si>
    <t>DMD_EXP_Q_016_kvar</t>
  </si>
  <si>
    <t>Input Channel 16 Apparent Power Demand</t>
  </si>
  <si>
    <t>DMD_S_016_kVA</t>
  </si>
  <si>
    <t>Input Channel 17 Current Demand</t>
  </si>
  <si>
    <t>DMD_I_017_A</t>
  </si>
  <si>
    <t>Input Channel 17 Import Active Power Demand</t>
  </si>
  <si>
    <t>DMD_IMP_P_017_kW</t>
  </si>
  <si>
    <t>Input Channel 17 Export Active Power Demand</t>
  </si>
  <si>
    <t>DMD_EXP_P_017_kW</t>
  </si>
  <si>
    <t>Input Channel 17 Import Reactive Power Demand</t>
  </si>
  <si>
    <t>DMD_IMP_Q_017_kvar</t>
  </si>
  <si>
    <t>Input Channel 17 Export Reactive Power Demand</t>
  </si>
  <si>
    <t>DMD_EXP_Q_017_kvar</t>
  </si>
  <si>
    <t>Input Channel 17 Apparent Power Demand</t>
  </si>
  <si>
    <t>DMD_S_017_kVA</t>
  </si>
  <si>
    <t>Input Channel 18 Current Demand</t>
  </si>
  <si>
    <t>DMD_I_018_A</t>
  </si>
  <si>
    <t>Input Channel 18 Import Active Power Demand</t>
  </si>
  <si>
    <t>DMD_IMP_P_018_kW</t>
  </si>
  <si>
    <t>Input Channel 18 Export Active Power Demand</t>
  </si>
  <si>
    <t>DMD_EXP_P_018_kW</t>
  </si>
  <si>
    <t>Input Channel 18 Import Reactive Power Demand</t>
  </si>
  <si>
    <t>DMD_IMP_Q_018_kvar</t>
  </si>
  <si>
    <t>Input Channel 18 Export Reactive Power Demand</t>
  </si>
  <si>
    <t>DMD_EXP_Q_018_kvar</t>
  </si>
  <si>
    <t>Input Channel 18 Apparent Power Demand</t>
  </si>
  <si>
    <t>DMD_S_018_kVA</t>
  </si>
  <si>
    <t>Input Channel 19 Current Demand</t>
  </si>
  <si>
    <t>DMD_I_019_A</t>
  </si>
  <si>
    <t>Input Channel 19 Import Active Power Demand</t>
  </si>
  <si>
    <t>DMD_IMP_P_019_kW</t>
  </si>
  <si>
    <t>Input Channel 19 Export Active Power Demand</t>
  </si>
  <si>
    <t>DMD_EXP_P_019_kW</t>
  </si>
  <si>
    <t>Input Channel 19 Import Reactive Power Demand</t>
  </si>
  <si>
    <t>DMD_IMP_Q_019_kvar</t>
  </si>
  <si>
    <t>Input Channel 19 Export Reactive Power Demand</t>
  </si>
  <si>
    <t>DMD_EXP_Q_019_kvar</t>
  </si>
  <si>
    <t>Input Channel 19 Apparent Power Demand</t>
  </si>
  <si>
    <t>DMD_S_019_kVA</t>
  </si>
  <si>
    <t>Input Channel 20 Current Demand</t>
  </si>
  <si>
    <t>DMD_I_020_A</t>
  </si>
  <si>
    <t>Input Channel 20 Import Active Power Demand</t>
  </si>
  <si>
    <t>DMD_IMP_P_020_kW</t>
  </si>
  <si>
    <t>Input Channel 20 Export Active Power Demand</t>
  </si>
  <si>
    <t>DMD_EXP_P_020_kW</t>
  </si>
  <si>
    <t>Input Channel 20 Import Reactive Power Demand</t>
  </si>
  <si>
    <t>DMD_IMP_Q_020_kvar</t>
  </si>
  <si>
    <t>Input Channel 20 Export Reactive Power Demand</t>
  </si>
  <si>
    <t>DMD_EXP_Q_020_kvar</t>
  </si>
  <si>
    <t>Input Channel 20 Apparent Power Demand</t>
  </si>
  <si>
    <t>DMD_S_020_kVA</t>
  </si>
  <si>
    <t>Input Channel 21 Current Demand</t>
  </si>
  <si>
    <t>DMD_I_021_A</t>
  </si>
  <si>
    <t>Input Channel 21 Import Active Power Demand</t>
  </si>
  <si>
    <t>DMD_IMP_P_021_kW</t>
  </si>
  <si>
    <t>Input Channel 21 Export Active Power Demand</t>
  </si>
  <si>
    <t>DMD_EXP_P_021_kW</t>
  </si>
  <si>
    <t>Input Channel 21 Import Reactive Power Demand</t>
  </si>
  <si>
    <t>DMD_IMP_Q_021_kvar</t>
  </si>
  <si>
    <t>Input Channel 21 Export Reactive Power Demand</t>
  </si>
  <si>
    <t>DMD_EXP_Q_021_kvar</t>
  </si>
  <si>
    <t>Input Channel 21 Apparent Power Demand</t>
  </si>
  <si>
    <t>DMD_S_021_kVA</t>
  </si>
  <si>
    <t>Input Channel 22 Current Demand</t>
  </si>
  <si>
    <t>DMD_I_022_A</t>
  </si>
  <si>
    <t>Input Channel 22 Import Active Power Demand</t>
  </si>
  <si>
    <t>DMD_IMP_P_022_kW</t>
  </si>
  <si>
    <t>Input Channel 22 Export Active Power Demand</t>
  </si>
  <si>
    <t>DMD_EXP_P_022_kW</t>
  </si>
  <si>
    <t>Input Channel 22 Import Reactive Power Demand</t>
  </si>
  <si>
    <t>DMD_IMP_Q_022_kvar</t>
  </si>
  <si>
    <t>Input Channel 22 Export Reactive Power Demand</t>
  </si>
  <si>
    <t>DMD_EXP_Q_022_kvar</t>
  </si>
  <si>
    <t>Input Channel 22 Apparent Power Demand</t>
  </si>
  <si>
    <t>DMD_S_022_kVA</t>
  </si>
  <si>
    <t>Input Channel 23 Current Demand</t>
  </si>
  <si>
    <t>DMD_I_023_A</t>
  </si>
  <si>
    <t>Input Channel 23 Import Active Power Demand</t>
  </si>
  <si>
    <t>DMD_IMP_P_023_kW</t>
  </si>
  <si>
    <t>Input Channel 23 Export Active Power Demand</t>
  </si>
  <si>
    <t>DMD_EXP_P_023_kW</t>
  </si>
  <si>
    <t>Input Channel 23 Import Reactive Power Demand</t>
  </si>
  <si>
    <t>DMD_IMP_Q_023_kvar</t>
  </si>
  <si>
    <t>Input Channel 23 Export Reactive Power Demand</t>
  </si>
  <si>
    <t>DMD_EXP_Q_023_kvar</t>
  </si>
  <si>
    <t>Input Channel 23 Apparent Power Demand</t>
  </si>
  <si>
    <t>DMD_S_023_kVA</t>
  </si>
  <si>
    <t>Input Channel 24 Current Demand</t>
  </si>
  <si>
    <t>DMD_I_024_A</t>
  </si>
  <si>
    <t>Input Channel 24 Import Active Power Demand</t>
  </si>
  <si>
    <t>DMD_IMP_P_024_kW</t>
  </si>
  <si>
    <t>Input Channel 24 Export Active Power Demand</t>
  </si>
  <si>
    <t>DMD_EXP_P_024_kW</t>
  </si>
  <si>
    <t>Input Channel 24 Import Reactive Power Demand</t>
  </si>
  <si>
    <t>DMD_IMP_Q_024_kvar</t>
  </si>
  <si>
    <t>Input Channel 24 Export Reactive Power Demand</t>
  </si>
  <si>
    <t>DMD_EXP_Q_024_kvar</t>
  </si>
  <si>
    <t>Input Channel 24 Apparent Power Demand</t>
  </si>
  <si>
    <t>DMD_S_024_kVA</t>
  </si>
  <si>
    <t>User Channel 1 Current Demand</t>
  </si>
  <si>
    <t>DMD_I_s001_A</t>
  </si>
  <si>
    <t>User Channel 1 Import Active Power Demand</t>
  </si>
  <si>
    <t>DMD_IMP_P_s001_kW</t>
  </si>
  <si>
    <t>User Channel 1 Export Active Power Demand</t>
  </si>
  <si>
    <t>DMD_EXP_P_s001_kW</t>
  </si>
  <si>
    <t>User Channel 1 Import Reactive Power Demand</t>
  </si>
  <si>
    <t>DMD_IMP_Q_s001_kvar</t>
  </si>
  <si>
    <t>User Channel 1 Export Reactive Power Demand</t>
  </si>
  <si>
    <t>DMD_EXP_Q_s001_kvar</t>
  </si>
  <si>
    <t>User Channel 1 Apparent Power Demand</t>
  </si>
  <si>
    <t>DMD_S_s001_kVA</t>
  </si>
  <si>
    <t>User Channel 2 Current Demand</t>
  </si>
  <si>
    <t>DMD_I_s002_A</t>
  </si>
  <si>
    <t>User Channel 2 Import Active Power Demand</t>
  </si>
  <si>
    <t>DMD_IMP_P_s002_kW</t>
  </si>
  <si>
    <t>User Channel 2 Export Active Power Demand</t>
  </si>
  <si>
    <t>DMD_EXP_P_s002_kW</t>
  </si>
  <si>
    <t>User Channel 2 Import Reactive Power Demand</t>
  </si>
  <si>
    <t>DMD_IMP_Q_s002_kvar</t>
  </si>
  <si>
    <t>User Channel 2 Export Reactive Power Demand</t>
  </si>
  <si>
    <t>DMD_EXP_Q_s002_kvar</t>
  </si>
  <si>
    <t>User Channel 2 Apparent Power Demand</t>
  </si>
  <si>
    <t>DMD_S_s002_kVA</t>
  </si>
  <si>
    <t>User Channel 3 Current Demand</t>
  </si>
  <si>
    <t>DMD_I_s003_A</t>
  </si>
  <si>
    <t>User Channel 3 Import Active Power Demand</t>
  </si>
  <si>
    <t>DMD_IMP_P_s003_kW</t>
  </si>
  <si>
    <t>User Channel 3 Export Active Power Demand</t>
  </si>
  <si>
    <t>DMD_EXP_P_s003_kW</t>
  </si>
  <si>
    <t>User Channel 3 Import Reactive Power Demand</t>
  </si>
  <si>
    <t>DMD_IMP_Q_s003_kvar</t>
  </si>
  <si>
    <t>User Channel 3 Export Reactive Power Demand</t>
  </si>
  <si>
    <t>DMD_EXP_Q_s003_kvar</t>
  </si>
  <si>
    <t>User Channel 3 Apparent Power Demand</t>
  </si>
  <si>
    <t>DMD_S_s003_kVA</t>
  </si>
  <si>
    <t>User Channel 4 Current Demand</t>
  </si>
  <si>
    <t>DMD_I_s004_A</t>
  </si>
  <si>
    <t>User Channel 4 Import Active Power Demand</t>
  </si>
  <si>
    <t>DMD_IMP_P_s004_kW</t>
  </si>
  <si>
    <t>User Channel 4 Export Active Power Demand</t>
  </si>
  <si>
    <t>DMD_EXP_P_s004_kW</t>
  </si>
  <si>
    <t>User Channel 4 Import Reactive Power Demand</t>
  </si>
  <si>
    <t>DMD_IMP_Q_s004_kvar</t>
  </si>
  <si>
    <t>User Channel 4 Export Reactive Power Demand</t>
  </si>
  <si>
    <t>DMD_EXP_Q_s004_kvar</t>
  </si>
  <si>
    <t>User Channel 4 Apparent Power Demand</t>
  </si>
  <si>
    <t>DMD_S_s004_kVA</t>
  </si>
  <si>
    <t>User Channel 5 Current Demand</t>
  </si>
  <si>
    <t>DMD_I_s005_A</t>
  </si>
  <si>
    <t>User Channel 5 Import Active Power Demand</t>
  </si>
  <si>
    <t>DMD_IMP_P_s005_kW</t>
  </si>
  <si>
    <t>User Channel 5 Export Active Power Demand</t>
  </si>
  <si>
    <t>DMD_EXP_P_s005_kW</t>
  </si>
  <si>
    <t>User Channel 5 Import Reactive Power Demand</t>
  </si>
  <si>
    <t>DMD_IMP_Q_s005_kvar</t>
  </si>
  <si>
    <t>User Channel 5 Export Reactive Power Demand</t>
  </si>
  <si>
    <t>DMD_EXP_Q_s005_kvar</t>
  </si>
  <si>
    <t>User Channel 5 Apparent Power Demand</t>
  </si>
  <si>
    <t>DMD_S_s005_kVA</t>
  </si>
  <si>
    <t>User Channel 6 Current Demand</t>
  </si>
  <si>
    <t>DMD_I_s006_A</t>
  </si>
  <si>
    <t>User Channel 6 Import Active Power Demand</t>
  </si>
  <si>
    <t>DMD_IMP_P_s006_kW</t>
  </si>
  <si>
    <t>User Channel 6 Export Active Power Demand</t>
  </si>
  <si>
    <t>DMD_EXP_P_s006_kW</t>
  </si>
  <si>
    <t>User Channel 6 Import Reactive Power Demand</t>
  </si>
  <si>
    <t>DMD_IMP_Q_s006_kvar</t>
  </si>
  <si>
    <t>User Channel 6 Export Reactive Power Demand</t>
  </si>
  <si>
    <t>DMD_EXP_Q_s006_kvar</t>
  </si>
  <si>
    <t>User Channel 6 Apparent Power Demand</t>
  </si>
  <si>
    <t>DMD_S_s006_kVA</t>
  </si>
  <si>
    <t>User Channel 7 Current Demand</t>
  </si>
  <si>
    <t>DMD_I_s007_A</t>
  </si>
  <si>
    <t>User Channel 7 Import Active Power Demand</t>
  </si>
  <si>
    <t>DMD_IMP_P_s007_kW</t>
  </si>
  <si>
    <t>User Channel 7 Export Active Power Demand</t>
  </si>
  <si>
    <t>DMD_EXP_P_s007_kW</t>
  </si>
  <si>
    <t>User Channel 7 Import Reactive Power Demand</t>
  </si>
  <si>
    <t>DMD_IMP_Q_s007_kvar</t>
  </si>
  <si>
    <t>User Channel 7 Export Reactive Power Demand</t>
  </si>
  <si>
    <t>DMD_EXP_Q_s007_kvar</t>
  </si>
  <si>
    <t>User Channel 7 Apparent Power Demand</t>
  </si>
  <si>
    <t>DMD_S_s007_kVA</t>
  </si>
  <si>
    <t>User Channel 8 Current Demand</t>
  </si>
  <si>
    <t>DMD_I_s008_A</t>
  </si>
  <si>
    <t>User Channel 8 Import Active Power Demand</t>
  </si>
  <si>
    <t>DMD_IMP_P_s008_kW</t>
  </si>
  <si>
    <t>User Channel 8 Export Active Power Demand</t>
  </si>
  <si>
    <t>DMD_EXP_P_s008_kW</t>
  </si>
  <si>
    <t>User Channel 8 Import Reactive Power Demand</t>
  </si>
  <si>
    <t>DMD_IMP_Q_s008_kvar</t>
  </si>
  <si>
    <t>User Channel 8 Export Reactive Power Demand</t>
  </si>
  <si>
    <t>DMD_EXP_Q_s008_kvar</t>
  </si>
  <si>
    <t>User Channel 8 Apparent Power Demand</t>
  </si>
  <si>
    <t>DMD_S_s008_kVA</t>
  </si>
  <si>
    <t>User Channel 9 Current Demand</t>
  </si>
  <si>
    <t>DMD_I_s009_A</t>
  </si>
  <si>
    <t>User Channel 9 Import Active Power Demand</t>
  </si>
  <si>
    <t>DMD_IMP_P_s009_kW</t>
  </si>
  <si>
    <t>User Channel 9 Export Active Power Demand</t>
  </si>
  <si>
    <t>DMD_EXP_P_s009_kW</t>
  </si>
  <si>
    <t>User Channel 9 Import Reactive Power Demand</t>
  </si>
  <si>
    <t>DMD_IMP_Q_s009_kvar</t>
  </si>
  <si>
    <t>User Channel 9 Export Reactive Power Demand</t>
  </si>
  <si>
    <t>DMD_EXP_Q_s009_kvar</t>
  </si>
  <si>
    <t>User Channel 9 Apparent Power Demand</t>
  </si>
  <si>
    <t>DMD_S_s009_kVA</t>
  </si>
  <si>
    <t>User Channel 10 Current Demand</t>
  </si>
  <si>
    <t>DMD_I_s010_A</t>
  </si>
  <si>
    <t>User Channel 10 Import Active Power Demand</t>
  </si>
  <si>
    <t>DMD_IMP_P_s010_kW</t>
  </si>
  <si>
    <t>User Channel 10 Export Active Power Demand</t>
  </si>
  <si>
    <t>DMD_EXP_P_s010_kW</t>
  </si>
  <si>
    <t>User Channel 10 Import Reactive Power Demand</t>
  </si>
  <si>
    <t>DMD_IMP_Q_s010_kvar</t>
  </si>
  <si>
    <t>User Channel 10 Export Reactive Power Demand</t>
  </si>
  <si>
    <t>DMD_EXP_Q_s010_kvar</t>
  </si>
  <si>
    <t>User Channel 10 Apparent Power Demand</t>
  </si>
  <si>
    <t>DMD_S_s010_kVA</t>
  </si>
  <si>
    <t>User Channel 11 Current Demand</t>
  </si>
  <si>
    <t>DMD_I_s011_A</t>
  </si>
  <si>
    <t>User Channel 11 Import Active Power Demand</t>
  </si>
  <si>
    <t>DMD_IMP_P_s011_kW</t>
  </si>
  <si>
    <t>User Channel 11 Export Active Power Demand</t>
  </si>
  <si>
    <t>DMD_EXP_P_s011_kW</t>
  </si>
  <si>
    <t>User Channel 11 Import Reactive Power Demand</t>
  </si>
  <si>
    <t>DMD_IMP_Q_s011_kvar</t>
  </si>
  <si>
    <t>User Channel 11 Export Reactive Power Demand</t>
  </si>
  <si>
    <t>DMD_EXP_Q_s011_kvar</t>
  </si>
  <si>
    <t>User Channel 11 Apparent Power Demand</t>
  </si>
  <si>
    <t>DMD_S_s011_kVA</t>
  </si>
  <si>
    <t>User Channel 12 Current Demand</t>
  </si>
  <si>
    <t>DMD_I_s012_A</t>
  </si>
  <si>
    <t>User Channel 12 Import Active Power Demand</t>
  </si>
  <si>
    <t>DMD_IMP_P_s012_kW</t>
  </si>
  <si>
    <t>User Channel 12 Export Active Power Demand</t>
  </si>
  <si>
    <t>DMD_EXP_P_s012_kW</t>
  </si>
  <si>
    <t>User Channel 12 Import Reactive Power Demand</t>
  </si>
  <si>
    <t>DMD_IMP_Q_s012_kvar</t>
  </si>
  <si>
    <t>User Channel 12 Export Reactive Power Demand</t>
  </si>
  <si>
    <t>DMD_EXP_Q_s012_kvar</t>
  </si>
  <si>
    <t>User Channel 12 Apparent Power Demand</t>
  </si>
  <si>
    <t>DMD_S_s012_kVA</t>
  </si>
  <si>
    <t>Voltage Positive Sequence Magnitude</t>
  </si>
  <si>
    <t>MAG_SEQ_POS_V</t>
  </si>
  <si>
    <t>4-7-8-42</t>
  </si>
  <si>
    <t>13-36</t>
  </si>
  <si>
    <t>Voltage Zero Sequence Magnitude</t>
  </si>
  <si>
    <t>MAG_SEQ_ZERO_V</t>
  </si>
  <si>
    <t>Voltage Negative Sequence Magnitude</t>
  </si>
  <si>
    <t>MAG_SEQ_NEG_V</t>
  </si>
  <si>
    <t>Voltage Positive Sequence Angle</t>
  </si>
  <si>
    <t>ANG_SEQ_POS_V</t>
  </si>
  <si>
    <t>Voltage Zero Sequence Angle</t>
  </si>
  <si>
    <t>ANG_SEQ_ZERO_V</t>
  </si>
  <si>
    <t>Voltage Negative Sequence Angle</t>
  </si>
  <si>
    <t>ANG_SEQ_NEG_V</t>
  </si>
  <si>
    <t>Voltage Unbalance Factor Magnitude</t>
  </si>
  <si>
    <t>13-36-38</t>
  </si>
  <si>
    <t>Phase A Voltage THD</t>
  </si>
  <si>
    <t>Phase A Voltage THD Odd</t>
  </si>
  <si>
    <t>Phase A Voltage THD Even</t>
  </si>
  <si>
    <t>Phase A Voltage Crest Factor</t>
  </si>
  <si>
    <t>Phase A Voltage THFF Factor</t>
  </si>
  <si>
    <t>THFF_V_a_%</t>
  </si>
  <si>
    <t>Phase A Voltage individual Harmonics 2 percentage</t>
  </si>
  <si>
    <t>38</t>
  </si>
  <si>
    <t>Phase A Voltage individual Harmonics 3 percentage</t>
  </si>
  <si>
    <t>Phase A Voltage individual Harmonics 4 percentage</t>
  </si>
  <si>
    <t>Phase A Voltage individual Harmonics 5 percentage</t>
  </si>
  <si>
    <t>Phase A Voltage individual Harmonics 6 percentage</t>
  </si>
  <si>
    <t>Phase A Voltage individual Harmonics 7 percentage</t>
  </si>
  <si>
    <t>Phase A Voltage individual Harmonics 8 percentage</t>
  </si>
  <si>
    <t>Phase A Voltage individual Harmonics 9 percentage</t>
  </si>
  <si>
    <t>Phase A Voltage individual Harmonics 10 percentage</t>
  </si>
  <si>
    <t>Phase A Voltage individual Harmonics 11 percentage</t>
  </si>
  <si>
    <t>Phase A Voltage individual Harmonics 12 percentage</t>
  </si>
  <si>
    <t>Phase A Voltage individual Harmonics 13 percentage</t>
  </si>
  <si>
    <t>Phase A Voltage individual Harmonics 14 percentage</t>
  </si>
  <si>
    <t>Phase A Voltage individual Harmonics 15 percentage</t>
  </si>
  <si>
    <t>Phase A Voltage individual Harmonics 16 percentage</t>
  </si>
  <si>
    <t>Phase A Voltage individual Harmonics 17 percentage</t>
  </si>
  <si>
    <t>Phase A Voltage individual Harmonics 18 percentage</t>
  </si>
  <si>
    <t>Phase A Voltage individual Harmonics 19 percentage</t>
  </si>
  <si>
    <t>Phase A Voltage individual Harmonics 20 percentage</t>
  </si>
  <si>
    <t>Phase A Voltage individual Harmonics 21 percentage</t>
  </si>
  <si>
    <t>Phase A Voltage individual Harmonics 22 percentage</t>
  </si>
  <si>
    <t>Phase A Voltage individual Harmonics 23 percentage</t>
  </si>
  <si>
    <t>Phase A Voltage individual Harmonics 24 percentage</t>
  </si>
  <si>
    <t>Phase A Voltage individual Harmonics 25 percentage</t>
  </si>
  <si>
    <t>Phase A Voltage individual Harmonics 26 percentage</t>
  </si>
  <si>
    <t>Phase A Voltage individual Harmonics 27 percentage</t>
  </si>
  <si>
    <t>Phase A Voltage individual Harmonics 28 percentage</t>
  </si>
  <si>
    <t>Phase A Voltage individual Harmonics 29 percentage</t>
  </si>
  <si>
    <t>Phase A Voltage individual Harmonics 30 percentage</t>
  </si>
  <si>
    <t>Phase A Voltage individual Harmonics 31 percentage</t>
  </si>
  <si>
    <t>Phase B Voltage THD</t>
  </si>
  <si>
    <t>Phase B Voltage THD Odd</t>
  </si>
  <si>
    <t>Phase B Voltage THD Even</t>
  </si>
  <si>
    <t>Phase B Voltage Crest Factor</t>
  </si>
  <si>
    <t>Phase B Voltage THFF Factor</t>
  </si>
  <si>
    <t>THFF_V_b_%</t>
  </si>
  <si>
    <t>Phase B Voltage individual Harmonics 2 percentage</t>
  </si>
  <si>
    <t>Phase B Voltage individual Harmonics 3 percentage</t>
  </si>
  <si>
    <t>Phase B Voltage individual Harmonics 4 percentage</t>
  </si>
  <si>
    <t>Phase B Voltage individual Harmonics 5 percentage</t>
  </si>
  <si>
    <t>Phase B Voltage individual Harmonics 6 percentage</t>
  </si>
  <si>
    <t>Phase B Voltage individual Harmonics 7 percentage</t>
  </si>
  <si>
    <t>Phase B Voltage individual Harmonics 8 percentage</t>
  </si>
  <si>
    <t>Phase B Voltage individual Harmonics 9 percentage</t>
  </si>
  <si>
    <t>Phase B Voltage individual Harmonics 10 percentage</t>
  </si>
  <si>
    <t>Phase B Voltage individual Harmonics 11 percentage</t>
  </si>
  <si>
    <t>Phase B Voltage individual Harmonics 12 percentage</t>
  </si>
  <si>
    <t>Phase B Voltage individual Harmonics 13 percentage</t>
  </si>
  <si>
    <t>Phase B Voltage individual Harmonics 14 percentage</t>
  </si>
  <si>
    <t>Phase B Voltage individual Harmonics 15 percentage</t>
  </si>
  <si>
    <t>Phase B Voltage individual Harmonics 16 percentage</t>
  </si>
  <si>
    <t>Phase B Voltage individual Harmonics 17 percentage</t>
  </si>
  <si>
    <t>Phase B Voltage individual Harmonics 18 percentage</t>
  </si>
  <si>
    <t>Phase B Voltage individual Harmonics 19 percentage</t>
  </si>
  <si>
    <t>Phase B Voltage individual Harmonics 20 percentage</t>
  </si>
  <si>
    <t>Phase B Voltage individual Harmonics 21 percentage</t>
  </si>
  <si>
    <t>Phase B Voltage individual Harmonics 22 percentage</t>
  </si>
  <si>
    <t>Phase B Voltage individual Harmonics 23 percentage</t>
  </si>
  <si>
    <t>Phase B Voltage individual Harmonics 24 percentage</t>
  </si>
  <si>
    <t>Phase B Voltage individual Harmonics 25 percentage</t>
  </si>
  <si>
    <t>Phase B Voltage individual Harmonics 26 percentage</t>
  </si>
  <si>
    <t>Phase B Voltage individual Harmonics 27 percentage</t>
  </si>
  <si>
    <t>Phase B Voltage individual Harmonics 28 percentage</t>
  </si>
  <si>
    <t>Phase B Voltage individual Harmonics 29 percentage</t>
  </si>
  <si>
    <t>Phase B Voltage individual Harmonics 30 percentage</t>
  </si>
  <si>
    <t>Phase B Voltage individual Harmonics 31 percentage</t>
  </si>
  <si>
    <t>Phase C Voltage THD</t>
  </si>
  <si>
    <t>Phase C Voltage THD Odd</t>
  </si>
  <si>
    <t>Phase C Voltage THD Even</t>
  </si>
  <si>
    <t>Phase C Voltage Crest Factor</t>
  </si>
  <si>
    <t>Phase C Voltage THFF Factor</t>
  </si>
  <si>
    <t>THFF_V_c_%</t>
  </si>
  <si>
    <t>Phase C Voltage individual Harmonics 2 percentage</t>
  </si>
  <si>
    <t>Phase C Voltage individual Harmonics 3 percentage</t>
  </si>
  <si>
    <t>Phase C Voltage individual Harmonics 4 percentage</t>
  </si>
  <si>
    <t>Phase C Voltage individual Harmonics 5 percentage</t>
  </si>
  <si>
    <t>Phase C Voltage individual Harmonics 6 percentage</t>
  </si>
  <si>
    <t>Phase C Voltage individual Harmonics 7 percentage</t>
  </si>
  <si>
    <t>Phase C Voltage individual Harmonics 8 percentage</t>
  </si>
  <si>
    <t>Phase C Voltage individual Harmonics 9 percentage</t>
  </si>
  <si>
    <t>Phase C Voltage individual Harmonics 10 percentage</t>
  </si>
  <si>
    <t>Phase C Voltage individual Harmonics 11 percentage</t>
  </si>
  <si>
    <t>Phase C Voltage individual Harmonics 12 percentage</t>
  </si>
  <si>
    <t>Phase C Voltage individual Harmonics 13 percentage</t>
  </si>
  <si>
    <t>Phase C Voltage individual Harmonics 14 percentage</t>
  </si>
  <si>
    <t>Phase C Voltage individual Harmonics 15 percentage</t>
  </si>
  <si>
    <t>Phase C Voltage individual Harmonics 16 percentage</t>
  </si>
  <si>
    <t>Phase C Voltage individual Harmonics 17 percentage</t>
  </si>
  <si>
    <t>Phase C Voltage individual Harmonics 18 percentage</t>
  </si>
  <si>
    <t>Phase C Voltage individual Harmonics 19 percentage</t>
  </si>
  <si>
    <t>Phase C Voltage individual Harmonics 20 percentage</t>
  </si>
  <si>
    <t>Phase C Voltage individual Harmonics 21 percentage</t>
  </si>
  <si>
    <t>Phase C Voltage individual Harmonics 22 percentage</t>
  </si>
  <si>
    <t>Phase C Voltage individual Harmonics 23 percentage</t>
  </si>
  <si>
    <t>Phase C Voltage individual Harmonics 24 percentage</t>
  </si>
  <si>
    <t>Phase C Voltage individual Harmonics 25 percentage</t>
  </si>
  <si>
    <t>Phase C Voltage individual Harmonics 26 percentage</t>
  </si>
  <si>
    <t>Phase C Voltage individual Harmonics 27 percentage</t>
  </si>
  <si>
    <t>Phase C Voltage individual Harmonics 28 percentage</t>
  </si>
  <si>
    <t>Phase C Voltage individual Harmonics 29 percentage</t>
  </si>
  <si>
    <t>Phase C Voltage individual Harmonics 30 percentage</t>
  </si>
  <si>
    <t>Phase C Voltage individual Harmonics 31 percentage</t>
  </si>
  <si>
    <t>Average Voltage THD</t>
  </si>
  <si>
    <t>Average Voltage THD Odd</t>
  </si>
  <si>
    <t>Average Voltage THD Even</t>
  </si>
  <si>
    <t>Input Channel 1 Current THD</t>
  </si>
  <si>
    <t>THD_I_001_%</t>
  </si>
  <si>
    <t>Input Channel 1 Current THD Odd</t>
  </si>
  <si>
    <t>OTHD_I_001_%</t>
  </si>
  <si>
    <t>Input Channel 1 Current THD Even</t>
  </si>
  <si>
    <t>ETHD_I_001_%</t>
  </si>
  <si>
    <t>Input Channel 1 Current K Factor</t>
  </si>
  <si>
    <t>KF_I_001_%</t>
  </si>
  <si>
    <t>Input Channel 1 Current individual Harmonics 2 percentage</t>
  </si>
  <si>
    <t>HAR2_I_001_%</t>
  </si>
  <si>
    <t>39</t>
  </si>
  <si>
    <t>Input Channel 1 Current individual Harmonics 3 percentage</t>
  </si>
  <si>
    <t>HAR3_I_001_%</t>
  </si>
  <si>
    <t>Input Channel 1 Current individual Harmonics 4 percentage</t>
  </si>
  <si>
    <t>HAR4_I_001_%</t>
  </si>
  <si>
    <t>Input Channel 1 Current individual Harmonics 5 percentage</t>
  </si>
  <si>
    <t>HAR5_I_001_%</t>
  </si>
  <si>
    <t>Input Channel 1 Current individual Harmonics 6 percentage</t>
  </si>
  <si>
    <t>HAR6_I_001_%</t>
  </si>
  <si>
    <t>Input Channel 1 Current individual Harmonics 7 percentage</t>
  </si>
  <si>
    <t>HAR7_I_001_%</t>
  </si>
  <si>
    <t>Input Channel 1 Current individual Harmonics 8 percentage</t>
  </si>
  <si>
    <t>HAR8_I_001_%</t>
  </si>
  <si>
    <t>Input Channel 1 Current individual Harmonics 9 percentage</t>
  </si>
  <si>
    <t>HAR9_I_001_%</t>
  </si>
  <si>
    <t>Input Channel 1 Current individual Harmonics 10 percentage</t>
  </si>
  <si>
    <t>HAR10_I_001_%</t>
  </si>
  <si>
    <t>Input Channel 1 Current individual Harmonics 11 percentage</t>
  </si>
  <si>
    <t>HAR11_I_001_%</t>
  </si>
  <si>
    <t>Input Channel 1 Current individual Harmonics 12 percentage</t>
  </si>
  <si>
    <t>HAR12_I_001_%</t>
  </si>
  <si>
    <t>Input Channel 1 Current individual Harmonics 13 percentage</t>
  </si>
  <si>
    <t>HAR13_I_001_%</t>
  </si>
  <si>
    <t>Input Channel 1 Current individual Harmonics 14 percentage</t>
  </si>
  <si>
    <t>HAR14_I_001_%</t>
  </si>
  <si>
    <t>Input Channel 1 Current individual Harmonics 15 percentage</t>
  </si>
  <si>
    <t>HAR15_I_001_%</t>
  </si>
  <si>
    <t>Input Channel 1 Current individual Harmonics 16 percentage</t>
  </si>
  <si>
    <t>HAR16_I_001_%</t>
  </si>
  <si>
    <t>Input Channel 1 Current individual Harmonics 17 percentage</t>
  </si>
  <si>
    <t>HAR17_I_001_%</t>
  </si>
  <si>
    <t>Input Channel 1 Current individual Harmonics 18 percentage</t>
  </si>
  <si>
    <t>HAR18_I_001_%</t>
  </si>
  <si>
    <t>Input Channel 1 Current individual Harmonics 19 percentage</t>
  </si>
  <si>
    <t>HAR19_I_001_%</t>
  </si>
  <si>
    <t>Input Channel 1 Current individual Harmonics 20 percentage</t>
  </si>
  <si>
    <t>HAR20_I_001_%</t>
  </si>
  <si>
    <t>Input Channel 1 Current individual Harmonics 21 percentage</t>
  </si>
  <si>
    <t>HAR21_I_001_%</t>
  </si>
  <si>
    <t>Input Channel 1 Current individual Harmonics 22 percentage</t>
  </si>
  <si>
    <t>HAR22_I_001_%</t>
  </si>
  <si>
    <t>Input Channel 1 Current individual Harmonics 23 percentage</t>
  </si>
  <si>
    <t>HAR23_I_001_%</t>
  </si>
  <si>
    <t>Input Channel 1 Current individual Harmonics 24 percentage</t>
  </si>
  <si>
    <t>HAR24_I_001_%</t>
  </si>
  <si>
    <t>Input Channel 1 Current individual Harmonics 25 percentage</t>
  </si>
  <si>
    <t>HAR25_I_001_%</t>
  </si>
  <si>
    <t>Input Channel 1 Current individual Harmonics 26 percentage</t>
  </si>
  <si>
    <t>HAR26_I_001_%</t>
  </si>
  <si>
    <t>Input Channel 1 Current individual Harmonics 27 percentage</t>
  </si>
  <si>
    <t>HAR27_I_001_%</t>
  </si>
  <si>
    <t>Input Channel 1 Current individual Harmonics 28 percentage</t>
  </si>
  <si>
    <t>HAR28_I_001_%</t>
  </si>
  <si>
    <t>Input Channel 1 Current individual Harmonics 29 percentage</t>
  </si>
  <si>
    <t>HAR29_I_001_%</t>
  </si>
  <si>
    <t>Input Channel 1 Current individual Harmonics 30 percentage</t>
  </si>
  <si>
    <t>HAR30_I_001_%</t>
  </si>
  <si>
    <t>Input Channel 1 Current individual Harmonics 31 percentage</t>
  </si>
  <si>
    <t>HAR31_I_001_%</t>
  </si>
  <si>
    <t>Input Channel 2 Current THD</t>
  </si>
  <si>
    <t>THD_I_002_%</t>
  </si>
  <si>
    <t>Input Channel 2 Current THD Odd</t>
  </si>
  <si>
    <t>OTHD_I_002_%</t>
  </si>
  <si>
    <t>Input Channel 2 Current THD Even</t>
  </si>
  <si>
    <t>ETHD_I_002_%</t>
  </si>
  <si>
    <t>Input Channel 2 Current K Factor</t>
  </si>
  <si>
    <t>KF_I_002_%</t>
  </si>
  <si>
    <t>Input Channel 2 Current individual Harmonics 2 percentage</t>
  </si>
  <si>
    <t>HAR2_I_002_%</t>
  </si>
  <si>
    <t>Input Channel 2 Current individual Harmonics 3 percentage</t>
  </si>
  <si>
    <t>HAR3_I_002_%</t>
  </si>
  <si>
    <t>Input Channel 2 Current individual Harmonics 4 percentage</t>
  </si>
  <si>
    <t>HAR4_I_002_%</t>
  </si>
  <si>
    <t>Input Channel 2 Current individual Harmonics 5 percentage</t>
  </si>
  <si>
    <t>HAR5_I_002_%</t>
  </si>
  <si>
    <t>Input Channel 2 Current individual Harmonics 6 percentage</t>
  </si>
  <si>
    <t>HAR6_I_002_%</t>
  </si>
  <si>
    <t>Input Channel 2 Current individual Harmonics 7 percentage</t>
  </si>
  <si>
    <t>HAR7_I_002_%</t>
  </si>
  <si>
    <t>Input Channel 2 Current individual Harmonics 8 percentage</t>
  </si>
  <si>
    <t>HAR8_I_002_%</t>
  </si>
  <si>
    <t>Input Channel 2 Current individual Harmonics 9 percentage</t>
  </si>
  <si>
    <t>HAR9_I_002_%</t>
  </si>
  <si>
    <t>Input Channel 2 Current individual Harmonics 10 percentage</t>
  </si>
  <si>
    <t>HAR10_I_002_%</t>
  </si>
  <si>
    <t>Input Channel 2 Current individual Harmonics 11 percentage</t>
  </si>
  <si>
    <t>HAR11_I_002_%</t>
  </si>
  <si>
    <t>Input Channel 2 Current individual Harmonics 12 percentage</t>
  </si>
  <si>
    <t>HAR12_I_002_%</t>
  </si>
  <si>
    <t>Input Channel 2 Current individual Harmonics 13 percentage</t>
  </si>
  <si>
    <t>HAR13_I_002_%</t>
  </si>
  <si>
    <t>Input Channel 2 Current individual Harmonics 14 percentage</t>
  </si>
  <si>
    <t>HAR14_I_002_%</t>
  </si>
  <si>
    <t>Input Channel 2 Current individual Harmonics 15 percentage</t>
  </si>
  <si>
    <t>HAR15_I_002_%</t>
  </si>
  <si>
    <t>Input Channel 2 Current individual Harmonics 16 percentage</t>
  </si>
  <si>
    <t>HAR16_I_002_%</t>
  </si>
  <si>
    <t>Input Channel 2 Current individual Harmonics 17 percentage</t>
  </si>
  <si>
    <t>HAR17_I_002_%</t>
  </si>
  <si>
    <t>Input Channel 2 Current individual Harmonics 18 percentage</t>
  </si>
  <si>
    <t>HAR18_I_002_%</t>
  </si>
  <si>
    <t>Input Channel 2 Current individual Harmonics 19 percentage</t>
  </si>
  <si>
    <t>HAR19_I_002_%</t>
  </si>
  <si>
    <t>Input Channel 2 Current individual Harmonics 20 percentage</t>
  </si>
  <si>
    <t>HAR20_I_002_%</t>
  </si>
  <si>
    <t>Input Channel 2 Current individual Harmonics 21 percentage</t>
  </si>
  <si>
    <t>HAR21_I_002_%</t>
  </si>
  <si>
    <t>Input Channel 2 Current individual Harmonics 22 percentage</t>
  </si>
  <si>
    <t>HAR22_I_002_%</t>
  </si>
  <si>
    <t>Input Channel 2 Current individual Harmonics 23 percentage</t>
  </si>
  <si>
    <t>HAR23_I_002_%</t>
  </si>
  <si>
    <t>Input Channel 2 Current individual Harmonics 24 percentage</t>
  </si>
  <si>
    <t>HAR24_I_002_%</t>
  </si>
  <si>
    <t>Input Channel 2 Current individual Harmonics 25 percentage</t>
  </si>
  <si>
    <t>HAR25_I_002_%</t>
  </si>
  <si>
    <t>Input Channel 2 Current individual Harmonics 26 percentage</t>
  </si>
  <si>
    <t>HAR26_I_002_%</t>
  </si>
  <si>
    <t>Input Channel 2 Current individual Harmonics 27 percentage</t>
  </si>
  <si>
    <t>HAR27_I_002_%</t>
  </si>
  <si>
    <t>Input Channel 2 Current individual Harmonics 28 percentage</t>
  </si>
  <si>
    <t>HAR28_I_002_%</t>
  </si>
  <si>
    <t>Input Channel 2 Current individual Harmonics 29 percentage</t>
  </si>
  <si>
    <t>HAR29_I_002_%</t>
  </si>
  <si>
    <t>Input Channel 2 Current individual Harmonics 30 percentage</t>
  </si>
  <si>
    <t>HAR30_I_002_%</t>
  </si>
  <si>
    <t>Input Channel 2 Current individual Harmonics 31 percentage</t>
  </si>
  <si>
    <t>HAR31_I_002_%</t>
  </si>
  <si>
    <t>Input Channel 3 Current THD</t>
  </si>
  <si>
    <t>THD_I_003_%</t>
  </si>
  <si>
    <t>Input Channel 3 Current THD Odd</t>
  </si>
  <si>
    <t>OTHD_I_003_%</t>
  </si>
  <si>
    <t>Input Channel 3 Current THD Even</t>
  </si>
  <si>
    <t>ETHD_I_003_%</t>
  </si>
  <si>
    <t>Input Channel 3 Current K Factor</t>
  </si>
  <si>
    <t>KF_I_003_%</t>
  </si>
  <si>
    <t>Input Channel 3 Current individual Harmonics 2 percentage</t>
  </si>
  <si>
    <t>HAR2_I_003_%</t>
  </si>
  <si>
    <t>Input Channel 3 Current individual Harmonics 3 percentage</t>
  </si>
  <si>
    <t>HAR3_I_003_%</t>
  </si>
  <si>
    <t>Input Channel 3 Current individual Harmonics 4 percentage</t>
  </si>
  <si>
    <t>HAR4_I_003_%</t>
  </si>
  <si>
    <t>Input Channel 3 Current individual Harmonics 5 percentage</t>
  </si>
  <si>
    <t>HAR5_I_003_%</t>
  </si>
  <si>
    <t>Input Channel 3 Current individual Harmonics 6 percentage</t>
  </si>
  <si>
    <t>HAR6_I_003_%</t>
  </si>
  <si>
    <t>Input Channel 3 Current individual Harmonics 7 percentage</t>
  </si>
  <si>
    <t>HAR7_I_003_%</t>
  </si>
  <si>
    <t>Input Channel 3 Current individual Harmonics 8 percentage</t>
  </si>
  <si>
    <t>HAR8_I_003_%</t>
  </si>
  <si>
    <t>Input Channel 3 Current individual Harmonics 9 percentage</t>
  </si>
  <si>
    <t>HAR9_I_003_%</t>
  </si>
  <si>
    <t>Input Channel 3 Current individual Harmonics 10 percentage</t>
  </si>
  <si>
    <t>HAR10_I_003_%</t>
  </si>
  <si>
    <t>Input Channel 3 Current individual Harmonics 11 percentage</t>
  </si>
  <si>
    <t>HAR11_I_003_%</t>
  </si>
  <si>
    <t>Input Channel 3 Current individual Harmonics 12 percentage</t>
  </si>
  <si>
    <t>HAR12_I_003_%</t>
  </si>
  <si>
    <t>Input Channel 3 Current individual Harmonics 13 percentage</t>
  </si>
  <si>
    <t>HAR13_I_003_%</t>
  </si>
  <si>
    <t>Input Channel 3 Current individual Harmonics 14 percentage</t>
  </si>
  <si>
    <t>HAR14_I_003_%</t>
  </si>
  <si>
    <t>Input Channel 3 Current individual Harmonics 15 percentage</t>
  </si>
  <si>
    <t>HAR15_I_003_%</t>
  </si>
  <si>
    <t>Input Channel 3 Current individual Harmonics 16 percentage</t>
  </si>
  <si>
    <t>HAR16_I_003_%</t>
  </si>
  <si>
    <t>Input Channel 3 Current individual Harmonics 17 percentage</t>
  </si>
  <si>
    <t>HAR17_I_003_%</t>
  </si>
  <si>
    <t>Input Channel 3 Current individual Harmonics 18 percentage</t>
  </si>
  <si>
    <t>HAR18_I_003_%</t>
  </si>
  <si>
    <t>Input Channel 3 Current individual Harmonics 19 percentage</t>
  </si>
  <si>
    <t>HAR19_I_003_%</t>
  </si>
  <si>
    <t>Input Channel 3 Current individual Harmonics 20 percentage</t>
  </si>
  <si>
    <t>HAR20_I_003_%</t>
  </si>
  <si>
    <t>Input Channel 3 Current individual Harmonics 21 percentage</t>
  </si>
  <si>
    <t>HAR21_I_003_%</t>
  </si>
  <si>
    <t>Input Channel 3 Current individual Harmonics 22 percentage</t>
  </si>
  <si>
    <t>HAR22_I_003_%</t>
  </si>
  <si>
    <t>Input Channel 3 Current individual Harmonics 23 percentage</t>
  </si>
  <si>
    <t>HAR23_I_003_%</t>
  </si>
  <si>
    <t>Input Channel 3 Current individual Harmonics 24 percentage</t>
  </si>
  <si>
    <t>HAR24_I_003_%</t>
  </si>
  <si>
    <t>Input Channel 3 Current individual Harmonics 25 percentage</t>
  </si>
  <si>
    <t>HAR25_I_003_%</t>
  </si>
  <si>
    <t>Input Channel 3 Current individual Harmonics 26 percentage</t>
  </si>
  <si>
    <t>HAR26_I_003_%</t>
  </si>
  <si>
    <t>Input Channel 3 Current individual Harmonics 27 percentage</t>
  </si>
  <si>
    <t>HAR27_I_003_%</t>
  </si>
  <si>
    <t>Input Channel 3 Current individual Harmonics 28 percentage</t>
  </si>
  <si>
    <t>HAR28_I_003_%</t>
  </si>
  <si>
    <t>Input Channel 3 Current individual Harmonics 29 percentage</t>
  </si>
  <si>
    <t>HAR29_I_003_%</t>
  </si>
  <si>
    <t>Input Channel 3 Current individual Harmonics 30 percentage</t>
  </si>
  <si>
    <t>HAR30_I_003_%</t>
  </si>
  <si>
    <t>Input Channel 3 Current individual Harmonics 31 percentage</t>
  </si>
  <si>
    <t>HAR31_I_003_%</t>
  </si>
  <si>
    <t>Input Channel 4 Current THD</t>
  </si>
  <si>
    <t>THD_I_004_%</t>
  </si>
  <si>
    <t>Input Channel 4 Current THD Odd</t>
  </si>
  <si>
    <t>OTHD_I_004_%</t>
  </si>
  <si>
    <t>Input Channel 4 Current THD Even</t>
  </si>
  <si>
    <t>ETHD_I_004_%</t>
  </si>
  <si>
    <t>Input Channel 4 Current K Factor</t>
  </si>
  <si>
    <t>KF_I_004_%</t>
  </si>
  <si>
    <t>Input Channel 4 Current individual Harmonics 2 percentage</t>
  </si>
  <si>
    <t>HAR2_I_004_%</t>
  </si>
  <si>
    <t>Input Channel 4 Current individual Harmonics 3 percentage</t>
  </si>
  <si>
    <t>HAR3_I_004_%</t>
  </si>
  <si>
    <t>Input Channel 4 Current individual Harmonics 4 percentage</t>
  </si>
  <si>
    <t>HAR4_I_004_%</t>
  </si>
  <si>
    <t>Input Channel 4 Current individual Harmonics 5 percentage</t>
  </si>
  <si>
    <t>HAR5_I_004_%</t>
  </si>
  <si>
    <t>Input Channel 4 Current individual Harmonics 6 percentage</t>
  </si>
  <si>
    <t>HAR6_I_004_%</t>
  </si>
  <si>
    <t>Input Channel 4 Current individual Harmonics 7 percentage</t>
  </si>
  <si>
    <t>HAR7_I_004_%</t>
  </si>
  <si>
    <t>Input Channel 4 Current individual Harmonics 8 percentage</t>
  </si>
  <si>
    <t>HAR8_I_004_%</t>
  </si>
  <si>
    <t>Input Channel 4 Current individual Harmonics 9 percentage</t>
  </si>
  <si>
    <t>HAR9_I_004_%</t>
  </si>
  <si>
    <t>Input Channel 4 Current individual Harmonics 10 percentage</t>
  </si>
  <si>
    <t>HAR10_I_004_%</t>
  </si>
  <si>
    <t>Input Channel 4 Current individual Harmonics 11 percentage</t>
  </si>
  <si>
    <t>HAR11_I_004_%</t>
  </si>
  <si>
    <t>Input Channel 4 Current individual Harmonics 12 percentage</t>
  </si>
  <si>
    <t>HAR12_I_004_%</t>
  </si>
  <si>
    <t>Input Channel 4 Current individual Harmonics 13 percentage</t>
  </si>
  <si>
    <t>HAR13_I_004_%</t>
  </si>
  <si>
    <t>Input Channel 4 Current individual Harmonics 14 percentage</t>
  </si>
  <si>
    <t>HAR14_I_004_%</t>
  </si>
  <si>
    <t>Input Channel 4 Current individual Harmonics 15 percentage</t>
  </si>
  <si>
    <t>HAR15_I_004_%</t>
  </si>
  <si>
    <t>Input Channel 4 Current individual Harmonics 16 percentage</t>
  </si>
  <si>
    <t>HAR16_I_004_%</t>
  </si>
  <si>
    <t>Input Channel 4 Current individual Harmonics 17 percentage</t>
  </si>
  <si>
    <t>HAR17_I_004_%</t>
  </si>
  <si>
    <t>Input Channel 4 Current individual Harmonics 18 percentage</t>
  </si>
  <si>
    <t>HAR18_I_004_%</t>
  </si>
  <si>
    <t>Input Channel 4 Current individual Harmonics 19 percentage</t>
  </si>
  <si>
    <t>HAR19_I_004_%</t>
  </si>
  <si>
    <t>Input Channel 4 Current individual Harmonics 20 percentage</t>
  </si>
  <si>
    <t>HAR20_I_004_%</t>
  </si>
  <si>
    <t>Input Channel 4 Current individual Harmonics 21 percentage</t>
  </si>
  <si>
    <t>HAR21_I_004_%</t>
  </si>
  <si>
    <t>Input Channel 4 Current individual Harmonics 22 percentage</t>
  </si>
  <si>
    <t>HAR22_I_004_%</t>
  </si>
  <si>
    <t>Input Channel 4 Current individual Harmonics 23 percentage</t>
  </si>
  <si>
    <t>HAR23_I_004_%</t>
  </si>
  <si>
    <t>Input Channel 4 Current individual Harmonics 24 percentage</t>
  </si>
  <si>
    <t>HAR24_I_004_%</t>
  </si>
  <si>
    <t>Input Channel 4 Current individual Harmonics 25 percentage</t>
  </si>
  <si>
    <t>HAR25_I_004_%</t>
  </si>
  <si>
    <t>Input Channel 4 Current individual Harmonics 26 percentage</t>
  </si>
  <si>
    <t>HAR26_I_004_%</t>
  </si>
  <si>
    <t>Input Channel 4 Current individual Harmonics 27 percentage</t>
  </si>
  <si>
    <t>HAR27_I_004_%</t>
  </si>
  <si>
    <t>Input Channel 4 Current individual Harmonics 28 percentage</t>
  </si>
  <si>
    <t>HAR28_I_004_%</t>
  </si>
  <si>
    <t>Input Channel 4 Current individual Harmonics 29 percentage</t>
  </si>
  <si>
    <t>HAR29_I_004_%</t>
  </si>
  <si>
    <t>Input Channel 4 Current individual Harmonics 30 percentage</t>
  </si>
  <si>
    <t>HAR30_I_004_%</t>
  </si>
  <si>
    <t>Input Channel 4 Current individual Harmonics 31 percentage</t>
  </si>
  <si>
    <t>HAR31_I_004_%</t>
  </si>
  <si>
    <t>Input Channel 5 Current THD</t>
  </si>
  <si>
    <t>THD_I_005_%</t>
  </si>
  <si>
    <t>Input Channel 5 Current THD Odd</t>
  </si>
  <si>
    <t>OTHD_I_005_%</t>
  </si>
  <si>
    <t>Input Channel 5 Current THD Even</t>
  </si>
  <si>
    <t>ETHD_I_005_%</t>
  </si>
  <si>
    <t>Input Channel 5 Current K Factor</t>
  </si>
  <si>
    <t>KF_I_005_%</t>
  </si>
  <si>
    <t>Input Channel 5 Current individual Harmonics 2 percentage</t>
  </si>
  <si>
    <t>HAR2_I_005_%</t>
  </si>
  <si>
    <t>Input Channel 5 Current individual Harmonics 3 percentage</t>
  </si>
  <si>
    <t>HAR3_I_005_%</t>
  </si>
  <si>
    <t>Input Channel 5 Current individual Harmonics 4 percentage</t>
  </si>
  <si>
    <t>HAR4_I_005_%</t>
  </si>
  <si>
    <t>Input Channel 5 Current individual Harmonics 5 percentage</t>
  </si>
  <si>
    <t>HAR5_I_005_%</t>
  </si>
  <si>
    <t>Input Channel 5 Current individual Harmonics 6 percentage</t>
  </si>
  <si>
    <t>HAR6_I_005_%</t>
  </si>
  <si>
    <t>Input Channel 5 Current individual Harmonics 7 percentage</t>
  </si>
  <si>
    <t>HAR7_I_005_%</t>
  </si>
  <si>
    <t>Input Channel 5 Current individual Harmonics 8 percentage</t>
  </si>
  <si>
    <t>HAR8_I_005_%</t>
  </si>
  <si>
    <t>Input Channel 5 Current individual Harmonics 9 percentage</t>
  </si>
  <si>
    <t>HAR9_I_005_%</t>
  </si>
  <si>
    <t>Input Channel 5 Current individual Harmonics 10 percentage</t>
  </si>
  <si>
    <t>HAR10_I_005_%</t>
  </si>
  <si>
    <t>Input Channel 5 Current individual Harmonics 11 percentage</t>
  </si>
  <si>
    <t>HAR11_I_005_%</t>
  </si>
  <si>
    <t>Input Channel 5 Current individual Harmonics 12 percentage</t>
  </si>
  <si>
    <t>HAR12_I_005_%</t>
  </si>
  <si>
    <t>Input Channel 5 Current individual Harmonics 13 percentage</t>
  </si>
  <si>
    <t>HAR13_I_005_%</t>
  </si>
  <si>
    <t>Input Channel 5 Current individual Harmonics 14 percentage</t>
  </si>
  <si>
    <t>HAR14_I_005_%</t>
  </si>
  <si>
    <t>Input Channel 5 Current individual Harmonics 15 percentage</t>
  </si>
  <si>
    <t>HAR15_I_005_%</t>
  </si>
  <si>
    <t>Input Channel 5 Current individual Harmonics 16 percentage</t>
  </si>
  <si>
    <t>HAR16_I_005_%</t>
  </si>
  <si>
    <t>Input Channel 5 Current individual Harmonics 17 percentage</t>
  </si>
  <si>
    <t>HAR17_I_005_%</t>
  </si>
  <si>
    <t>Input Channel 5 Current individual Harmonics 18 percentage</t>
  </si>
  <si>
    <t>HAR18_I_005_%</t>
  </si>
  <si>
    <t>Input Channel 5 Current individual Harmonics 19 percentage</t>
  </si>
  <si>
    <t>HAR19_I_005_%</t>
  </si>
  <si>
    <t>Input Channel 5 Current individual Harmonics 20 percentage</t>
  </si>
  <si>
    <t>HAR20_I_005_%</t>
  </si>
  <si>
    <t>Input Channel 5 Current individual Harmonics 21 percentage</t>
  </si>
  <si>
    <t>HAR21_I_005_%</t>
  </si>
  <si>
    <t>Input Channel 5 Current individual Harmonics 22 percentage</t>
  </si>
  <si>
    <t>HAR22_I_005_%</t>
  </si>
  <si>
    <t>Input Channel 5 Current individual Harmonics 23 percentage</t>
  </si>
  <si>
    <t>HAR23_I_005_%</t>
  </si>
  <si>
    <t>Input Channel 5 Current individual Harmonics 24 percentage</t>
  </si>
  <si>
    <t>HAR24_I_005_%</t>
  </si>
  <si>
    <t>Input Channel 5 Current individual Harmonics 25 percentage</t>
  </si>
  <si>
    <t>HAR25_I_005_%</t>
  </si>
  <si>
    <t>Input Channel 5 Current individual Harmonics 26 percentage</t>
  </si>
  <si>
    <t>HAR26_I_005_%</t>
  </si>
  <si>
    <t>Input Channel 5 Current individual Harmonics 27 percentage</t>
  </si>
  <si>
    <t>HAR27_I_005_%</t>
  </si>
  <si>
    <t>Input Channel 5 Current individual Harmonics 28 percentage</t>
  </si>
  <si>
    <t>HAR28_I_005_%</t>
  </si>
  <si>
    <t>Input Channel 5 Current individual Harmonics 29 percentage</t>
  </si>
  <si>
    <t>HAR29_I_005_%</t>
  </si>
  <si>
    <t>Input Channel 5 Current individual Harmonics 30 percentage</t>
  </si>
  <si>
    <t>HAR30_I_005_%</t>
  </si>
  <si>
    <t>Input Channel 5 Current individual Harmonics 31 percentage</t>
  </si>
  <si>
    <t>HAR31_I_005_%</t>
  </si>
  <si>
    <t>Input Channel 6 Current THD</t>
  </si>
  <si>
    <t>THD_I_006_%</t>
  </si>
  <si>
    <t>Input Channel 6 Current THD Odd</t>
  </si>
  <si>
    <t>OTHD_I_006_%</t>
  </si>
  <si>
    <t>Input Channel 6 Current THD Even</t>
  </si>
  <si>
    <t>ETHD_I_006_%</t>
  </si>
  <si>
    <t>Input Channel 6 Current K Factor</t>
  </si>
  <si>
    <t>KF_I_006_%</t>
  </si>
  <si>
    <t>Input Channel 6 Current individual Harmonics 2 percentage</t>
  </si>
  <si>
    <t>HAR2_I_006_%</t>
  </si>
  <si>
    <t>Input Channel 6 Current individual Harmonics 3 percentage</t>
  </si>
  <si>
    <t>HAR3_I_006_%</t>
  </si>
  <si>
    <t>Input Channel 6 Current individual Harmonics 4 percentage</t>
  </si>
  <si>
    <t>HAR4_I_006_%</t>
  </si>
  <si>
    <t>Input Channel 6 Current individual Harmonics 5 percentage</t>
  </si>
  <si>
    <t>HAR5_I_006_%</t>
  </si>
  <si>
    <t>Input Channel 6 Current individual Harmonics 6 percentage</t>
  </si>
  <si>
    <t>HAR6_I_006_%</t>
  </si>
  <si>
    <t>Input Channel 6 Current individual Harmonics 7 percentage</t>
  </si>
  <si>
    <t>HAR7_I_006_%</t>
  </si>
  <si>
    <t>Input Channel 6 Current individual Harmonics 8 percentage</t>
  </si>
  <si>
    <t>HAR8_I_006_%</t>
  </si>
  <si>
    <t>Input Channel 6 Current individual Harmonics 9 percentage</t>
  </si>
  <si>
    <t>HAR9_I_006_%</t>
  </si>
  <si>
    <t>Input Channel 6 Current individual Harmonics 10 percentage</t>
  </si>
  <si>
    <t>HAR10_I_006_%</t>
  </si>
  <si>
    <t>Input Channel 6 Current individual Harmonics 11 percentage</t>
  </si>
  <si>
    <t>HAR11_I_006_%</t>
  </si>
  <si>
    <t>Input Channel 6 Current individual Harmonics 12 percentage</t>
  </si>
  <si>
    <t>HAR12_I_006_%</t>
  </si>
  <si>
    <t>Input Channel 6 Current individual Harmonics 13 percentage</t>
  </si>
  <si>
    <t>HAR13_I_006_%</t>
  </si>
  <si>
    <t>Input Channel 6 Current individual Harmonics 14 percentage</t>
  </si>
  <si>
    <t>HAR14_I_006_%</t>
  </si>
  <si>
    <t>Input Channel 6 Current individual Harmonics 15 percentage</t>
  </si>
  <si>
    <t>HAR15_I_006_%</t>
  </si>
  <si>
    <t>Input Channel 6 Current individual Harmonics 16 percentage</t>
  </si>
  <si>
    <t>HAR16_I_006_%</t>
  </si>
  <si>
    <t>Input Channel 6 Current individual Harmonics 17 percentage</t>
  </si>
  <si>
    <t>HAR17_I_006_%</t>
  </si>
  <si>
    <t>Input Channel 6 Current individual Harmonics 18 percentage</t>
  </si>
  <si>
    <t>HAR18_I_006_%</t>
  </si>
  <si>
    <t>Input Channel 6 Current individual Harmonics 19 percentage</t>
  </si>
  <si>
    <t>HAR19_I_006_%</t>
  </si>
  <si>
    <t>Input Channel 6 Current individual Harmonics 20 percentage</t>
  </si>
  <si>
    <t>HAR20_I_006_%</t>
  </si>
  <si>
    <t>Input Channel 6 Current individual Harmonics 21 percentage</t>
  </si>
  <si>
    <t>HAR21_I_006_%</t>
  </si>
  <si>
    <t>Input Channel 6 Current individual Harmonics 22 percentage</t>
  </si>
  <si>
    <t>HAR22_I_006_%</t>
  </si>
  <si>
    <t>Input Channel 6 Current individual Harmonics 23 percentage</t>
  </si>
  <si>
    <t>HAR23_I_006_%</t>
  </si>
  <si>
    <t>Input Channel 6 Current individual Harmonics 24 percentage</t>
  </si>
  <si>
    <t>HAR24_I_006_%</t>
  </si>
  <si>
    <t>Input Channel 6 Current individual Harmonics 25 percentage</t>
  </si>
  <si>
    <t>HAR25_I_006_%</t>
  </si>
  <si>
    <t>Input Channel 6 Current individual Harmonics 26 percentage</t>
  </si>
  <si>
    <t>HAR26_I_006_%</t>
  </si>
  <si>
    <t>Input Channel 6 Current individual Harmonics 27 percentage</t>
  </si>
  <si>
    <t>HAR27_I_006_%</t>
  </si>
  <si>
    <t>Input Channel 6 Current individual Harmonics 28 percentage</t>
  </si>
  <si>
    <t>HAR28_I_006_%</t>
  </si>
  <si>
    <t>Input Channel 6 Current individual Harmonics 29 percentage</t>
  </si>
  <si>
    <t>HAR29_I_006_%</t>
  </si>
  <si>
    <t>Input Channel 6 Current individual Harmonics 30 percentage</t>
  </si>
  <si>
    <t>HAR30_I_006_%</t>
  </si>
  <si>
    <t>Input Channel 6 Current individual Harmonics 31 percentage</t>
  </si>
  <si>
    <t>HAR31_I_006_%</t>
  </si>
  <si>
    <t>Input Channel 7 Current THD</t>
  </si>
  <si>
    <t>THD_I_007_%</t>
  </si>
  <si>
    <t>Input Channel 7 Current THD Odd</t>
  </si>
  <si>
    <t>OTHD_I_007_%</t>
  </si>
  <si>
    <t>Input Channel 7 Current THD Even</t>
  </si>
  <si>
    <t>ETHD_I_007_%</t>
  </si>
  <si>
    <t>Input Channel 7 Current K Factor</t>
  </si>
  <si>
    <t>KF_I_007_%</t>
  </si>
  <si>
    <t>Input Channel 7 Current individual Harmonics 2 percentage</t>
  </si>
  <si>
    <t>HAR2_I_007_%</t>
  </si>
  <si>
    <t>Input Channel 7 Current individual Harmonics 3 percentage</t>
  </si>
  <si>
    <t>HAR3_I_007_%</t>
  </si>
  <si>
    <t>Input Channel 7 Current individual Harmonics 4 percentage</t>
  </si>
  <si>
    <t>HAR4_I_007_%</t>
  </si>
  <si>
    <t>Input Channel 7 Current individual Harmonics 5 percentage</t>
  </si>
  <si>
    <t>HAR5_I_007_%</t>
  </si>
  <si>
    <t>Input Channel 7 Current individual Harmonics 6 percentage</t>
  </si>
  <si>
    <t>HAR6_I_007_%</t>
  </si>
  <si>
    <t>Input Channel 7 Current individual Harmonics 7 percentage</t>
  </si>
  <si>
    <t>HAR7_I_007_%</t>
  </si>
  <si>
    <t>Input Channel 7 Current individual Harmonics 8 percentage</t>
  </si>
  <si>
    <t>HAR8_I_007_%</t>
  </si>
  <si>
    <t>Input Channel 7 Current individual Harmonics 9 percentage</t>
  </si>
  <si>
    <t>HAR9_I_007_%</t>
  </si>
  <si>
    <t>Input Channel 7 Current individual Harmonics 10 percentage</t>
  </si>
  <si>
    <t>HAR10_I_007_%</t>
  </si>
  <si>
    <t>Input Channel 7 Current individual Harmonics 11 percentage</t>
  </si>
  <si>
    <t>HAR11_I_007_%</t>
  </si>
  <si>
    <t>Input Channel 7 Current individual Harmonics 12 percentage</t>
  </si>
  <si>
    <t>HAR12_I_007_%</t>
  </si>
  <si>
    <t>Input Channel 7 Current individual Harmonics 13 percentage</t>
  </si>
  <si>
    <t>HAR13_I_007_%</t>
  </si>
  <si>
    <t>Input Channel 7 Current individual Harmonics 14 percentage</t>
  </si>
  <si>
    <t>HAR14_I_007_%</t>
  </si>
  <si>
    <t>Input Channel 7 Current individual Harmonics 15 percentage</t>
  </si>
  <si>
    <t>HAR15_I_007_%</t>
  </si>
  <si>
    <t>Input Channel 7 Current individual Harmonics 16 percentage</t>
  </si>
  <si>
    <t>HAR16_I_007_%</t>
  </si>
  <si>
    <t>Input Channel 7 Current individual Harmonics 17 percentage</t>
  </si>
  <si>
    <t>HAR17_I_007_%</t>
  </si>
  <si>
    <t>Input Channel 7 Current individual Harmonics 18 percentage</t>
  </si>
  <si>
    <t>HAR18_I_007_%</t>
  </si>
  <si>
    <t>Input Channel 7 Current individual Harmonics 19 percentage</t>
  </si>
  <si>
    <t>HAR19_I_007_%</t>
  </si>
  <si>
    <t>Input Channel 7 Current individual Harmonics 20 percentage</t>
  </si>
  <si>
    <t>HAR20_I_007_%</t>
  </si>
  <si>
    <t>Input Channel 7 Current individual Harmonics 21 percentage</t>
  </si>
  <si>
    <t>HAR21_I_007_%</t>
  </si>
  <si>
    <t>Input Channel 7 Current individual Harmonics 22 percentage</t>
  </si>
  <si>
    <t>HAR22_I_007_%</t>
  </si>
  <si>
    <t>Input Channel 7 Current individual Harmonics 23 percentage</t>
  </si>
  <si>
    <t>HAR23_I_007_%</t>
  </si>
  <si>
    <t>Input Channel 7 Current individual Harmonics 24 percentage</t>
  </si>
  <si>
    <t>HAR24_I_007_%</t>
  </si>
  <si>
    <t>Input Channel 7 Current individual Harmonics 25 percentage</t>
  </si>
  <si>
    <t>HAR25_I_007_%</t>
  </si>
  <si>
    <t>Input Channel 7 Current individual Harmonics 26 percentage</t>
  </si>
  <si>
    <t>HAR26_I_007_%</t>
  </si>
  <si>
    <t>Input Channel 7 Current individual Harmonics 27 percentage</t>
  </si>
  <si>
    <t>HAR27_I_007_%</t>
  </si>
  <si>
    <t>Input Channel 7 Current individual Harmonics 28 percentage</t>
  </si>
  <si>
    <t>HAR28_I_007_%</t>
  </si>
  <si>
    <t>Input Channel 7 Current individual Harmonics 29 percentage</t>
  </si>
  <si>
    <t>HAR29_I_007_%</t>
  </si>
  <si>
    <t>Input Channel 7 Current individual Harmonics 30 percentage</t>
  </si>
  <si>
    <t>HAR30_I_007_%</t>
  </si>
  <si>
    <t>Input Channel 7 Current individual Harmonics 31 percentage</t>
  </si>
  <si>
    <t>HAR31_I_007_%</t>
  </si>
  <si>
    <t>Input Channel 8 Current THD</t>
  </si>
  <si>
    <t>THD_I_008_%</t>
  </si>
  <si>
    <t>Input Channel 8 Current THD Odd</t>
  </si>
  <si>
    <t>OTHD_I_008_%</t>
  </si>
  <si>
    <t>Input Channel 8 Current THD Even</t>
  </si>
  <si>
    <t>ETHD_I_008_%</t>
  </si>
  <si>
    <t>Input Channel 8 Current K Factor</t>
  </si>
  <si>
    <t>KF_I_008_%</t>
  </si>
  <si>
    <t>Input Channel 8 Current individual Harmonics 2 percentage</t>
  </si>
  <si>
    <t>HAR2_I_008_%</t>
  </si>
  <si>
    <t>Input Channel 8 Current individual Harmonics 3 percentage</t>
  </si>
  <si>
    <t>HAR3_I_008_%</t>
  </si>
  <si>
    <t>Input Channel 8 Current individual Harmonics 4 percentage</t>
  </si>
  <si>
    <t>HAR4_I_008_%</t>
  </si>
  <si>
    <t>Input Channel 8 Current individual Harmonics 5 percentage</t>
  </si>
  <si>
    <t>HAR5_I_008_%</t>
  </si>
  <si>
    <t>Input Channel 8 Current individual Harmonics 6 percentage</t>
  </si>
  <si>
    <t>HAR6_I_008_%</t>
  </si>
  <si>
    <t>Input Channel 8 Current individual Harmonics 7 percentage</t>
  </si>
  <si>
    <t>HAR7_I_008_%</t>
  </si>
  <si>
    <t>Input Channel 8 Current individual Harmonics 8 percentage</t>
  </si>
  <si>
    <t>HAR8_I_008_%</t>
  </si>
  <si>
    <t>Input Channel 8 Current individual Harmonics 9 percentage</t>
  </si>
  <si>
    <t>HAR9_I_008_%</t>
  </si>
  <si>
    <t>Input Channel 8 Current individual Harmonics 10 percentage</t>
  </si>
  <si>
    <t>HAR10_I_008_%</t>
  </si>
  <si>
    <t>Input Channel 8 Current individual Harmonics 11 percentage</t>
  </si>
  <si>
    <t>HAR11_I_008_%</t>
  </si>
  <si>
    <t>Input Channel 8 Current individual Harmonics 12 percentage</t>
  </si>
  <si>
    <t>HAR12_I_008_%</t>
  </si>
  <si>
    <t>Input Channel 8 Current individual Harmonics 13 percentage</t>
  </si>
  <si>
    <t>HAR13_I_008_%</t>
  </si>
  <si>
    <t>Input Channel 8 Current individual Harmonics 14 percentage</t>
  </si>
  <si>
    <t>HAR14_I_008_%</t>
  </si>
  <si>
    <t>Input Channel 8 Current individual Harmonics 15 percentage</t>
  </si>
  <si>
    <t>HAR15_I_008_%</t>
  </si>
  <si>
    <t>Input Channel 8 Current individual Harmonics 16 percentage</t>
  </si>
  <si>
    <t>HAR16_I_008_%</t>
  </si>
  <si>
    <t>Input Channel 8 Current individual Harmonics 17 percentage</t>
  </si>
  <si>
    <t>HAR17_I_008_%</t>
  </si>
  <si>
    <t>Input Channel 8 Current individual Harmonics 18 percentage</t>
  </si>
  <si>
    <t>HAR18_I_008_%</t>
  </si>
  <si>
    <t>Input Channel 8 Current individual Harmonics 19 percentage</t>
  </si>
  <si>
    <t>HAR19_I_008_%</t>
  </si>
  <si>
    <t>Input Channel 8 Current individual Harmonics 20 percentage</t>
  </si>
  <si>
    <t>HAR20_I_008_%</t>
  </si>
  <si>
    <t>Input Channel 8 Current individual Harmonics 21 percentage</t>
  </si>
  <si>
    <t>HAR21_I_008_%</t>
  </si>
  <si>
    <t>Input Channel 8 Current individual Harmonics 22 percentage</t>
  </si>
  <si>
    <t>HAR22_I_008_%</t>
  </si>
  <si>
    <t>Input Channel 8 Current individual Harmonics 23 percentage</t>
  </si>
  <si>
    <t>HAR23_I_008_%</t>
  </si>
  <si>
    <t>Input Channel 8 Current individual Harmonics 24 percentage</t>
  </si>
  <si>
    <t>HAR24_I_008_%</t>
  </si>
  <si>
    <t>Input Channel 8 Current individual Harmonics 25 percentage</t>
  </si>
  <si>
    <t>HAR25_I_008_%</t>
  </si>
  <si>
    <t>Input Channel 8 Current individual Harmonics 26 percentage</t>
  </si>
  <si>
    <t>HAR26_I_008_%</t>
  </si>
  <si>
    <t>Input Channel 8 Current individual Harmonics 27 percentage</t>
  </si>
  <si>
    <t>HAR27_I_008_%</t>
  </si>
  <si>
    <t>Input Channel 8 Current individual Harmonics 28 percentage</t>
  </si>
  <si>
    <t>HAR28_I_008_%</t>
  </si>
  <si>
    <t>Input Channel 8 Current individual Harmonics 29 percentage</t>
  </si>
  <si>
    <t>HAR29_I_008_%</t>
  </si>
  <si>
    <t>Input Channel 8 Current individual Harmonics 30 percentage</t>
  </si>
  <si>
    <t>HAR30_I_008_%</t>
  </si>
  <si>
    <t>Input Channel 8 Current individual Harmonics 31 percentage</t>
  </si>
  <si>
    <t>HAR31_I_008_%</t>
  </si>
  <si>
    <t>Input Channel 9 Current THD</t>
  </si>
  <si>
    <t>THD_I_009_%</t>
  </si>
  <si>
    <t>Input Channel 9 Current THD Odd</t>
  </si>
  <si>
    <t>OTHD_I_009_%</t>
  </si>
  <si>
    <t>Input Channel 9 Current THD Even</t>
  </si>
  <si>
    <t>ETHD_I_009_%</t>
  </si>
  <si>
    <t>Input Channel 9 Current K Factor</t>
  </si>
  <si>
    <t>KF_I_009_%</t>
  </si>
  <si>
    <t>Input Channel 9 Current individual Harmonics 2 percentage</t>
  </si>
  <si>
    <t>HAR2_I_009_%</t>
  </si>
  <si>
    <t>Input Channel 9 Current individual Harmonics 3 percentage</t>
  </si>
  <si>
    <t>HAR3_I_009_%</t>
  </si>
  <si>
    <t>Input Channel 9 Current individual Harmonics 4 percentage</t>
  </si>
  <si>
    <t>HAR4_I_009_%</t>
  </si>
  <si>
    <t>Input Channel 9 Current individual Harmonics 5 percentage</t>
  </si>
  <si>
    <t>HAR5_I_009_%</t>
  </si>
  <si>
    <t>Input Channel 9 Current individual Harmonics 6 percentage</t>
  </si>
  <si>
    <t>HAR6_I_009_%</t>
  </si>
  <si>
    <t>Input Channel 9 Current individual Harmonics 7 percentage</t>
  </si>
  <si>
    <t>HAR7_I_009_%</t>
  </si>
  <si>
    <t>Input Channel 9 Current individual Harmonics 8 percentage</t>
  </si>
  <si>
    <t>HAR8_I_009_%</t>
  </si>
  <si>
    <t>Input Channel 9 Current individual Harmonics 9 percentage</t>
  </si>
  <si>
    <t>HAR9_I_009_%</t>
  </si>
  <si>
    <t>Input Channel 9 Current individual Harmonics 10 percentage</t>
  </si>
  <si>
    <t>HAR10_I_009_%</t>
  </si>
  <si>
    <t>Input Channel 9 Current individual Harmonics 11 percentage</t>
  </si>
  <si>
    <t>HAR11_I_009_%</t>
  </si>
  <si>
    <t>Input Channel 9 Current individual Harmonics 12 percentage</t>
  </si>
  <si>
    <t>HAR12_I_009_%</t>
  </si>
  <si>
    <t>Input Channel 9 Current individual Harmonics 13 percentage</t>
  </si>
  <si>
    <t>HAR13_I_009_%</t>
  </si>
  <si>
    <t>Input Channel 9 Current individual Harmonics 14 percentage</t>
  </si>
  <si>
    <t>HAR14_I_009_%</t>
  </si>
  <si>
    <t>Input Channel 9 Current individual Harmonics 15 percentage</t>
  </si>
  <si>
    <t>HAR15_I_009_%</t>
  </si>
  <si>
    <t>Input Channel 9 Current individual Harmonics 16 percentage</t>
  </si>
  <si>
    <t>HAR16_I_009_%</t>
  </si>
  <si>
    <t>Input Channel 9 Current individual Harmonics 17 percentage</t>
  </si>
  <si>
    <t>HAR17_I_009_%</t>
  </si>
  <si>
    <t>Input Channel 9 Current individual Harmonics 18 percentage</t>
  </si>
  <si>
    <t>HAR18_I_009_%</t>
  </si>
  <si>
    <t>Input Channel 9 Current individual Harmonics 19 percentage</t>
  </si>
  <si>
    <t>HAR19_I_009_%</t>
  </si>
  <si>
    <t>Input Channel 9 Current individual Harmonics 20 percentage</t>
  </si>
  <si>
    <t>HAR20_I_009_%</t>
  </si>
  <si>
    <t>Input Channel 9 Current individual Harmonics 21 percentage</t>
  </si>
  <si>
    <t>HAR21_I_009_%</t>
  </si>
  <si>
    <t>Input Channel 9 Current individual Harmonics 22 percentage</t>
  </si>
  <si>
    <t>HAR22_I_009_%</t>
  </si>
  <si>
    <t>Input Channel 9 Current individual Harmonics 23 percentage</t>
  </si>
  <si>
    <t>HAR23_I_009_%</t>
  </si>
  <si>
    <t>Input Channel 9 Current individual Harmonics 24 percentage</t>
  </si>
  <si>
    <t>HAR24_I_009_%</t>
  </si>
  <si>
    <t>Input Channel 9 Current individual Harmonics 25 percentage</t>
  </si>
  <si>
    <t>HAR25_I_009_%</t>
  </si>
  <si>
    <t>Input Channel 9 Current individual Harmonics 26 percentage</t>
  </si>
  <si>
    <t>HAR26_I_009_%</t>
  </si>
  <si>
    <t>Input Channel 9 Current individual Harmonics 27 percentage</t>
  </si>
  <si>
    <t>HAR27_I_009_%</t>
  </si>
  <si>
    <t>Input Channel 9 Current individual Harmonics 28 percentage</t>
  </si>
  <si>
    <t>HAR28_I_009_%</t>
  </si>
  <si>
    <t>Input Channel 9 Current individual Harmonics 29 percentage</t>
  </si>
  <si>
    <t>HAR29_I_009_%</t>
  </si>
  <si>
    <t>Input Channel 9 Current individual Harmonics 30 percentage</t>
  </si>
  <si>
    <t>HAR30_I_009_%</t>
  </si>
  <si>
    <t>Input Channel 9 Current individual Harmonics 31 percentage</t>
  </si>
  <si>
    <t>HAR31_I_009_%</t>
  </si>
  <si>
    <t>Input Channel 10 Current THD</t>
  </si>
  <si>
    <t>THD_I_010_%</t>
  </si>
  <si>
    <t>Input Channel 10 Current THD Odd</t>
  </si>
  <si>
    <t>OTHD_I_010_%</t>
  </si>
  <si>
    <t>Input Channel 10 Current THD Even</t>
  </si>
  <si>
    <t>ETHD_I_010_%</t>
  </si>
  <si>
    <t>Input Channel 10 Current K Factor</t>
  </si>
  <si>
    <t>KF_I_010_%</t>
  </si>
  <si>
    <t>Input Channel 10 Current individual Harmonics 2 percentage</t>
  </si>
  <si>
    <t>HAR2_I_010_%</t>
  </si>
  <si>
    <t>Input Channel 10 Current individual Harmonics 3 percentage</t>
  </si>
  <si>
    <t>HAR3_I_010_%</t>
  </si>
  <si>
    <t>Input Channel 10 Current individual Harmonics 4 percentage</t>
  </si>
  <si>
    <t>HAR4_I_010_%</t>
  </si>
  <si>
    <t>Input Channel 10 Current individual Harmonics 5 percentage</t>
  </si>
  <si>
    <t>HAR5_I_010_%</t>
  </si>
  <si>
    <t>Input Channel 10 Current individual Harmonics 6 percentage</t>
  </si>
  <si>
    <t>HAR6_I_010_%</t>
  </si>
  <si>
    <t>Input Channel 10 Current individual Harmonics 7 percentage</t>
  </si>
  <si>
    <t>HAR7_I_010_%</t>
  </si>
  <si>
    <t>Input Channel 10 Current individual Harmonics 8 percentage</t>
  </si>
  <si>
    <t>HAR8_I_010_%</t>
  </si>
  <si>
    <t>Input Channel 10 Current individual Harmonics 9 percentage</t>
  </si>
  <si>
    <t>HAR9_I_010_%</t>
  </si>
  <si>
    <t>Input Channel 10 Current individual Harmonics 10 percentage</t>
  </si>
  <si>
    <t>HAR10_I_010_%</t>
  </si>
  <si>
    <t>Input Channel 10 Current individual Harmonics 11 percentage</t>
  </si>
  <si>
    <t>HAR11_I_010_%</t>
  </si>
  <si>
    <t>Input Channel 10 Current individual Harmonics 12 percentage</t>
  </si>
  <si>
    <t>HAR12_I_010_%</t>
  </si>
  <si>
    <t>Input Channel 10 Current individual Harmonics 13 percentage</t>
  </si>
  <si>
    <t>HAR13_I_010_%</t>
  </si>
  <si>
    <t>Input Channel 10 Current individual Harmonics 14 percentage</t>
  </si>
  <si>
    <t>HAR14_I_010_%</t>
  </si>
  <si>
    <t>Input Channel 10 Current individual Harmonics 15 percentage</t>
  </si>
  <si>
    <t>HAR15_I_010_%</t>
  </si>
  <si>
    <t>Input Channel 10 Current individual Harmonics 16 percentage</t>
  </si>
  <si>
    <t>HAR16_I_010_%</t>
  </si>
  <si>
    <t>Input Channel 10 Current individual Harmonics 17 percentage</t>
  </si>
  <si>
    <t>HAR17_I_010_%</t>
  </si>
  <si>
    <t>Input Channel 10 Current individual Harmonics 18 percentage</t>
  </si>
  <si>
    <t>HAR18_I_010_%</t>
  </si>
  <si>
    <t>Input Channel 10 Current individual Harmonics 19 percentage</t>
  </si>
  <si>
    <t>HAR19_I_010_%</t>
  </si>
  <si>
    <t>Input Channel 10 Current individual Harmonics 20 percentage</t>
  </si>
  <si>
    <t>HAR20_I_010_%</t>
  </si>
  <si>
    <t>Input Channel 10 Current individual Harmonics 21 percentage</t>
  </si>
  <si>
    <t>HAR21_I_010_%</t>
  </si>
  <si>
    <t>Input Channel 10 Current individual Harmonics 22 percentage</t>
  </si>
  <si>
    <t>HAR22_I_010_%</t>
  </si>
  <si>
    <t>Input Channel 10 Current individual Harmonics 23 percentage</t>
  </si>
  <si>
    <t>HAR23_I_010_%</t>
  </si>
  <si>
    <t>Input Channel 10 Current individual Harmonics 24 percentage</t>
  </si>
  <si>
    <t>HAR24_I_010_%</t>
  </si>
  <si>
    <t>Input Channel 10 Current individual Harmonics 25 percentage</t>
  </si>
  <si>
    <t>HAR25_I_010_%</t>
  </si>
  <si>
    <t>Input Channel 10 Current individual Harmonics 26 percentage</t>
  </si>
  <si>
    <t>HAR26_I_010_%</t>
  </si>
  <si>
    <t>Input Channel 10 Current individual Harmonics 27 percentage</t>
  </si>
  <si>
    <t>HAR27_I_010_%</t>
  </si>
  <si>
    <t>Input Channel 10 Current individual Harmonics 28 percentage</t>
  </si>
  <si>
    <t>HAR28_I_010_%</t>
  </si>
  <si>
    <t>Input Channel 10 Current individual Harmonics 29 percentage</t>
  </si>
  <si>
    <t>HAR29_I_010_%</t>
  </si>
  <si>
    <t>Input Channel 10 Current individual Harmonics 30 percentage</t>
  </si>
  <si>
    <t>HAR30_I_010_%</t>
  </si>
  <si>
    <t>Input Channel 10 Current individual Harmonics 31 percentage</t>
  </si>
  <si>
    <t>HAR31_I_010_%</t>
  </si>
  <si>
    <t>Input Channel 11 Current THD</t>
  </si>
  <si>
    <t>THD_I_011_%</t>
  </si>
  <si>
    <t>Input Channel 11 Current THD Odd</t>
  </si>
  <si>
    <t>OTHD_I_011_%</t>
  </si>
  <si>
    <t>Input Channel 11 Current THD Even</t>
  </si>
  <si>
    <t>ETHD_I_011_%</t>
  </si>
  <si>
    <t>Input Channel 11 Current K Factor</t>
  </si>
  <si>
    <t>KF_I_011_%</t>
  </si>
  <si>
    <t>Input Channel 11 Current individual Harmonics 2 percentage</t>
  </si>
  <si>
    <t>HAR2_I_011_%</t>
  </si>
  <si>
    <t>Input Channel 11 Current individual Harmonics 3 percentage</t>
  </si>
  <si>
    <t>HAR3_I_011_%</t>
  </si>
  <si>
    <t>Input Channel 11 Current individual Harmonics 4 percentage</t>
  </si>
  <si>
    <t>HAR4_I_011_%</t>
  </si>
  <si>
    <t>Input Channel 11 Current individual Harmonics 5 percentage</t>
  </si>
  <si>
    <t>HAR5_I_011_%</t>
  </si>
  <si>
    <t>Input Channel 11 Current individual Harmonics 6 percentage</t>
  </si>
  <si>
    <t>HAR6_I_011_%</t>
  </si>
  <si>
    <t>Input Channel 11 Current individual Harmonics 7 percentage</t>
  </si>
  <si>
    <t>HAR7_I_011_%</t>
  </si>
  <si>
    <t>Input Channel 11 Current individual Harmonics 8 percentage</t>
  </si>
  <si>
    <t>HAR8_I_011_%</t>
  </si>
  <si>
    <t>Input Channel 11 Current individual Harmonics 9 percentage</t>
  </si>
  <si>
    <t>HAR9_I_011_%</t>
  </si>
  <si>
    <t>Input Channel 11 Current individual Harmonics 10 percentage</t>
  </si>
  <si>
    <t>HAR10_I_011_%</t>
  </si>
  <si>
    <t>Input Channel 11 Current individual Harmonics 11 percentage</t>
  </si>
  <si>
    <t>HAR11_I_011_%</t>
  </si>
  <si>
    <t>Input Channel 11 Current individual Harmonics 12 percentage</t>
  </si>
  <si>
    <t>HAR12_I_011_%</t>
  </si>
  <si>
    <t>Input Channel 11 Current individual Harmonics 13 percentage</t>
  </si>
  <si>
    <t>HAR13_I_011_%</t>
  </si>
  <si>
    <t>Input Channel 11 Current individual Harmonics 14 percentage</t>
  </si>
  <si>
    <t>HAR14_I_011_%</t>
  </si>
  <si>
    <t>Input Channel 11 Current individual Harmonics 15 percentage</t>
  </si>
  <si>
    <t>HAR15_I_011_%</t>
  </si>
  <si>
    <t>Input Channel 11 Current individual Harmonics 16 percentage</t>
  </si>
  <si>
    <t>HAR16_I_011_%</t>
  </si>
  <si>
    <t>Input Channel 11 Current individual Harmonics 17 percentage</t>
  </si>
  <si>
    <t>HAR17_I_011_%</t>
  </si>
  <si>
    <t>Input Channel 11 Current individual Harmonics 18 percentage</t>
  </si>
  <si>
    <t>HAR18_I_011_%</t>
  </si>
  <si>
    <t>Input Channel 11 Current individual Harmonics 19 percentage</t>
  </si>
  <si>
    <t>HAR19_I_011_%</t>
  </si>
  <si>
    <t>Input Channel 11 Current individual Harmonics 20 percentage</t>
  </si>
  <si>
    <t>HAR20_I_011_%</t>
  </si>
  <si>
    <t>Input Channel 11 Current individual Harmonics 21 percentage</t>
  </si>
  <si>
    <t>HAR21_I_011_%</t>
  </si>
  <si>
    <t>Input Channel 11 Current individual Harmonics 22 percentage</t>
  </si>
  <si>
    <t>HAR22_I_011_%</t>
  </si>
  <si>
    <t>Input Channel 11 Current individual Harmonics 23 percentage</t>
  </si>
  <si>
    <t>HAR23_I_011_%</t>
  </si>
  <si>
    <t>Input Channel 11 Current individual Harmonics 24 percentage</t>
  </si>
  <si>
    <t>HAR24_I_011_%</t>
  </si>
  <si>
    <t>Input Channel 11 Current individual Harmonics 25 percentage</t>
  </si>
  <si>
    <t>HAR25_I_011_%</t>
  </si>
  <si>
    <t>Input Channel 11 Current individual Harmonics 26 percentage</t>
  </si>
  <si>
    <t>HAR26_I_011_%</t>
  </si>
  <si>
    <t>Input Channel 11 Current individual Harmonics 27 percentage</t>
  </si>
  <si>
    <t>HAR27_I_011_%</t>
  </si>
  <si>
    <t>Input Channel 11 Current individual Harmonics 28 percentage</t>
  </si>
  <si>
    <t>HAR28_I_011_%</t>
  </si>
  <si>
    <t>Input Channel 11 Current individual Harmonics 29 percentage</t>
  </si>
  <si>
    <t>HAR29_I_011_%</t>
  </si>
  <si>
    <t>Input Channel 11 Current individual Harmonics 30 percentage</t>
  </si>
  <si>
    <t>HAR30_I_011_%</t>
  </si>
  <si>
    <t>Input Channel 11 Current individual Harmonics 31 percentage</t>
  </si>
  <si>
    <t>HAR31_I_011_%</t>
  </si>
  <si>
    <t>Input Channel 12 Current THD</t>
  </si>
  <si>
    <t>THD_I_012_%</t>
  </si>
  <si>
    <t>Input Channel 12 Current THD Odd</t>
  </si>
  <si>
    <t>OTHD_I_012_%</t>
  </si>
  <si>
    <t>Input Channel 12 Current THD Even</t>
  </si>
  <si>
    <t>ETHD_I_012_%</t>
  </si>
  <si>
    <t>Input Channel 12 Current K Factor</t>
  </si>
  <si>
    <t>KF_I_012_%</t>
  </si>
  <si>
    <t>Input Channel 12 Current individual Harmonics 2 percentage</t>
  </si>
  <si>
    <t>HAR2_I_012_%</t>
  </si>
  <si>
    <t>Input Channel 12 Current individual Harmonics 3 percentage</t>
  </si>
  <si>
    <t>HAR3_I_012_%</t>
  </si>
  <si>
    <t>Input Channel 12 Current individual Harmonics 4 percentage</t>
  </si>
  <si>
    <t>HAR4_I_012_%</t>
  </si>
  <si>
    <t>Input Channel 12 Current individual Harmonics 5 percentage</t>
  </si>
  <si>
    <t>HAR5_I_012_%</t>
  </si>
  <si>
    <t>Input Channel 12 Current individual Harmonics 6 percentage</t>
  </si>
  <si>
    <t>HAR6_I_012_%</t>
  </si>
  <si>
    <t>Input Channel 12 Current individual Harmonics 7 percentage</t>
  </si>
  <si>
    <t>HAR7_I_012_%</t>
  </si>
  <si>
    <t>Input Channel 12 Current individual Harmonics 8 percentage</t>
  </si>
  <si>
    <t>HAR8_I_012_%</t>
  </si>
  <si>
    <t>Input Channel 12 Current individual Harmonics 9 percentage</t>
  </si>
  <si>
    <t>HAR9_I_012_%</t>
  </si>
  <si>
    <t>Input Channel 12 Current individual Harmonics 10 percentage</t>
  </si>
  <si>
    <t>HAR10_I_012_%</t>
  </si>
  <si>
    <t>Input Channel 12 Current individual Harmonics 11 percentage</t>
  </si>
  <si>
    <t>HAR11_I_012_%</t>
  </si>
  <si>
    <t>Input Channel 12 Current individual Harmonics 12 percentage</t>
  </si>
  <si>
    <t>HAR12_I_012_%</t>
  </si>
  <si>
    <t>Input Channel 12 Current individual Harmonics 13 percentage</t>
  </si>
  <si>
    <t>HAR13_I_012_%</t>
  </si>
  <si>
    <t>Input Channel 12 Current individual Harmonics 14 percentage</t>
  </si>
  <si>
    <t>HAR14_I_012_%</t>
  </si>
  <si>
    <t>Input Channel 12 Current individual Harmonics 15 percentage</t>
  </si>
  <si>
    <t>HAR15_I_012_%</t>
  </si>
  <si>
    <t>Input Channel 12 Current individual Harmonics 16 percentage</t>
  </si>
  <si>
    <t>HAR16_I_012_%</t>
  </si>
  <si>
    <t>Input Channel 12 Current individual Harmonics 17 percentage</t>
  </si>
  <si>
    <t>HAR17_I_012_%</t>
  </si>
  <si>
    <t>Input Channel 12 Current individual Harmonics 18 percentage</t>
  </si>
  <si>
    <t>HAR18_I_012_%</t>
  </si>
  <si>
    <t>Input Channel 12 Current individual Harmonics 19 percentage</t>
  </si>
  <si>
    <t>HAR19_I_012_%</t>
  </si>
  <si>
    <t>Input Channel 12 Current individual Harmonics 20 percentage</t>
  </si>
  <si>
    <t>HAR20_I_012_%</t>
  </si>
  <si>
    <t>Input Channel 12 Current individual Harmonics 21 percentage</t>
  </si>
  <si>
    <t>HAR21_I_012_%</t>
  </si>
  <si>
    <t>Input Channel 12 Current individual Harmonics 22 percentage</t>
  </si>
  <si>
    <t>HAR22_I_012_%</t>
  </si>
  <si>
    <t>Input Channel 12 Current individual Harmonics 23 percentage</t>
  </si>
  <si>
    <t>HAR23_I_012_%</t>
  </si>
  <si>
    <t>Input Channel 12 Current individual Harmonics 24 percentage</t>
  </si>
  <si>
    <t>HAR24_I_012_%</t>
  </si>
  <si>
    <t>Input Channel 12 Current individual Harmonics 25 percentage</t>
  </si>
  <si>
    <t>HAR25_I_012_%</t>
  </si>
  <si>
    <t>Input Channel 12 Current individual Harmonics 26 percentage</t>
  </si>
  <si>
    <t>HAR26_I_012_%</t>
  </si>
  <si>
    <t>Input Channel 12 Current individual Harmonics 27 percentage</t>
  </si>
  <si>
    <t>HAR27_I_012_%</t>
  </si>
  <si>
    <t>Input Channel 12 Current individual Harmonics 28 percentage</t>
  </si>
  <si>
    <t>HAR28_I_012_%</t>
  </si>
  <si>
    <t>Input Channel 12 Current individual Harmonics 29 percentage</t>
  </si>
  <si>
    <t>HAR29_I_012_%</t>
  </si>
  <si>
    <t>Input Channel 12 Current individual Harmonics 30 percentage</t>
  </si>
  <si>
    <t>HAR30_I_012_%</t>
  </si>
  <si>
    <t>Input Channel 12 Current individual Harmonics 31 percentage</t>
  </si>
  <si>
    <t>HAR31_I_012_%</t>
  </si>
  <si>
    <t>Input Channel 13 Current THD</t>
  </si>
  <si>
    <t>THD_I_013_%</t>
  </si>
  <si>
    <t>Input Channel 13 Current THD Odd</t>
  </si>
  <si>
    <t>OTHD_I_013_%</t>
  </si>
  <si>
    <t>Input Channel 13 Current THD Even</t>
  </si>
  <si>
    <t>ETHD_I_013_%</t>
  </si>
  <si>
    <t>Input Channel 13 Current K Factor</t>
  </si>
  <si>
    <t>KF_I_013_%</t>
  </si>
  <si>
    <t>Input Channel 13 Current individual Harmonics 2 percentage</t>
  </si>
  <si>
    <t>HAR2_I_013_%</t>
  </si>
  <si>
    <t>Input Channel 13 Current individual Harmonics 3 percentage</t>
  </si>
  <si>
    <t>HAR3_I_013_%</t>
  </si>
  <si>
    <t>Input Channel 13 Current individual Harmonics 4 percentage</t>
  </si>
  <si>
    <t>HAR4_I_013_%</t>
  </si>
  <si>
    <t>Input Channel 13 Current individual Harmonics 5 percentage</t>
  </si>
  <si>
    <t>HAR5_I_013_%</t>
  </si>
  <si>
    <t>Input Channel 13 Current individual Harmonics 6 percentage</t>
  </si>
  <si>
    <t>HAR6_I_013_%</t>
  </si>
  <si>
    <t>Input Channel 13 Current individual Harmonics 7 percentage</t>
  </si>
  <si>
    <t>HAR7_I_013_%</t>
  </si>
  <si>
    <t>Input Channel 13 Current individual Harmonics 8 percentage</t>
  </si>
  <si>
    <t>HAR8_I_013_%</t>
  </si>
  <si>
    <t>Input Channel 13 Current individual Harmonics 9 percentage</t>
  </si>
  <si>
    <t>HAR9_I_013_%</t>
  </si>
  <si>
    <t>Input Channel 13 Current individual Harmonics 10 percentage</t>
  </si>
  <si>
    <t>HAR10_I_013_%</t>
  </si>
  <si>
    <t>Input Channel 13 Current individual Harmonics 11 percentage</t>
  </si>
  <si>
    <t>HAR11_I_013_%</t>
  </si>
  <si>
    <t>Input Channel 13 Current individual Harmonics 12 percentage</t>
  </si>
  <si>
    <t>HAR12_I_013_%</t>
  </si>
  <si>
    <t>Input Channel 13 Current individual Harmonics 13 percentage</t>
  </si>
  <si>
    <t>HAR13_I_013_%</t>
  </si>
  <si>
    <t>Input Channel 13 Current individual Harmonics 14 percentage</t>
  </si>
  <si>
    <t>HAR14_I_013_%</t>
  </si>
  <si>
    <t>Input Channel 13 Current individual Harmonics 15 percentage</t>
  </si>
  <si>
    <t>HAR15_I_013_%</t>
  </si>
  <si>
    <t>Input Channel 13 Current individual Harmonics 16 percentage</t>
  </si>
  <si>
    <t>HAR16_I_013_%</t>
  </si>
  <si>
    <t>Input Channel 13 Current individual Harmonics 17 percentage</t>
  </si>
  <si>
    <t>HAR17_I_013_%</t>
  </si>
  <si>
    <t>Input Channel 13 Current individual Harmonics 18 percentage</t>
  </si>
  <si>
    <t>HAR18_I_013_%</t>
  </si>
  <si>
    <t>Input Channel 13 Current individual Harmonics 19 percentage</t>
  </si>
  <si>
    <t>HAR19_I_013_%</t>
  </si>
  <si>
    <t>Input Channel 13 Current individual Harmonics 20 percentage</t>
  </si>
  <si>
    <t>HAR20_I_013_%</t>
  </si>
  <si>
    <t>Input Channel 13 Current individual Harmonics 21 percentage</t>
  </si>
  <si>
    <t>HAR21_I_013_%</t>
  </si>
  <si>
    <t>Input Channel 13 Current individual Harmonics 22 percentage</t>
  </si>
  <si>
    <t>HAR22_I_013_%</t>
  </si>
  <si>
    <t>Input Channel 13 Current individual Harmonics 23 percentage</t>
  </si>
  <si>
    <t>HAR23_I_013_%</t>
  </si>
  <si>
    <t>Input Channel 13 Current individual Harmonics 24 percentage</t>
  </si>
  <si>
    <t>HAR24_I_013_%</t>
  </si>
  <si>
    <t>Input Channel 13 Current individual Harmonics 25 percentage</t>
  </si>
  <si>
    <t>HAR25_I_013_%</t>
  </si>
  <si>
    <t>Input Channel 13 Current individual Harmonics 26 percentage</t>
  </si>
  <si>
    <t>HAR26_I_013_%</t>
  </si>
  <si>
    <t>Input Channel 13 Current individual Harmonics 27 percentage</t>
  </si>
  <si>
    <t>HAR27_I_013_%</t>
  </si>
  <si>
    <t>Input Channel 13 Current individual Harmonics 28 percentage</t>
  </si>
  <si>
    <t>HAR28_I_013_%</t>
  </si>
  <si>
    <t>Input Channel 13 Current individual Harmonics 29 percentage</t>
  </si>
  <si>
    <t>HAR29_I_013_%</t>
  </si>
  <si>
    <t>Input Channel 13 Current individual Harmonics 30 percentage</t>
  </si>
  <si>
    <t>HAR30_I_013_%</t>
  </si>
  <si>
    <t>Input Channel 13 Current individual Harmonics 31 percentage</t>
  </si>
  <si>
    <t>HAR31_I_013_%</t>
  </si>
  <si>
    <t>Input Channel 14 Current THD</t>
  </si>
  <si>
    <t>THD_I_014_%</t>
  </si>
  <si>
    <t>Input Channel 14 Current THD Odd</t>
  </si>
  <si>
    <t>OTHD_I_014_%</t>
  </si>
  <si>
    <t>Input Channel 14 Current THD Even</t>
  </si>
  <si>
    <t>ETHD_I_014_%</t>
  </si>
  <si>
    <t>Input Channel 14 Current K Factor</t>
  </si>
  <si>
    <t>KF_I_014_%</t>
  </si>
  <si>
    <t>Input Channel 14 Current individual Harmonics 2 percentage</t>
  </si>
  <si>
    <t>HAR2_I_014_%</t>
  </si>
  <si>
    <t>Input Channel 14 Current individual Harmonics 3 percentage</t>
  </si>
  <si>
    <t>HAR3_I_014_%</t>
  </si>
  <si>
    <t>Input Channel 14 Current individual Harmonics 4 percentage</t>
  </si>
  <si>
    <t>HAR4_I_014_%</t>
  </si>
  <si>
    <t>Input Channel 14 Current individual Harmonics 5 percentage</t>
  </si>
  <si>
    <t>HAR5_I_014_%</t>
  </si>
  <si>
    <t>Input Channel 14 Current individual Harmonics 6 percentage</t>
  </si>
  <si>
    <t>HAR6_I_014_%</t>
  </si>
  <si>
    <t>Input Channel 14 Current individual Harmonics 7 percentage</t>
  </si>
  <si>
    <t>HAR7_I_014_%</t>
  </si>
  <si>
    <t>Input Channel 14 Current individual Harmonics 8 percentage</t>
  </si>
  <si>
    <t>HAR8_I_014_%</t>
  </si>
  <si>
    <t>Input Channel 14 Current individual Harmonics 9 percentage</t>
  </si>
  <si>
    <t>HAR9_I_014_%</t>
  </si>
  <si>
    <t>Input Channel 14 Current individual Harmonics 10 percentage</t>
  </si>
  <si>
    <t>HAR10_I_014_%</t>
  </si>
  <si>
    <t>Input Channel 14 Current individual Harmonics 11 percentage</t>
  </si>
  <si>
    <t>HAR11_I_014_%</t>
  </si>
  <si>
    <t>Input Channel 14 Current individual Harmonics 12 percentage</t>
  </si>
  <si>
    <t>HAR12_I_014_%</t>
  </si>
  <si>
    <t>Input Channel 14 Current individual Harmonics 13 percentage</t>
  </si>
  <si>
    <t>HAR13_I_014_%</t>
  </si>
  <si>
    <t>Input Channel 14 Current individual Harmonics 14 percentage</t>
  </si>
  <si>
    <t>HAR14_I_014_%</t>
  </si>
  <si>
    <t>Input Channel 14 Current individual Harmonics 15 percentage</t>
  </si>
  <si>
    <t>HAR15_I_014_%</t>
  </si>
  <si>
    <t>Input Channel 14 Current individual Harmonics 16 percentage</t>
  </si>
  <si>
    <t>HAR16_I_014_%</t>
  </si>
  <si>
    <t>Input Channel 14 Current individual Harmonics 17 percentage</t>
  </si>
  <si>
    <t>HAR17_I_014_%</t>
  </si>
  <si>
    <t>Input Channel 14 Current individual Harmonics 18 percentage</t>
  </si>
  <si>
    <t>HAR18_I_014_%</t>
  </si>
  <si>
    <t>Input Channel 14 Current individual Harmonics 19 percentage</t>
  </si>
  <si>
    <t>HAR19_I_014_%</t>
  </si>
  <si>
    <t>Input Channel 14 Current individual Harmonics 20 percentage</t>
  </si>
  <si>
    <t>HAR20_I_014_%</t>
  </si>
  <si>
    <t>Input Channel 14 Current individual Harmonics 21 percentage</t>
  </si>
  <si>
    <t>HAR21_I_014_%</t>
  </si>
  <si>
    <t>Input Channel 14 Current individual Harmonics 22 percentage</t>
  </si>
  <si>
    <t>HAR22_I_014_%</t>
  </si>
  <si>
    <t>Input Channel 14 Current individual Harmonics 23 percentage</t>
  </si>
  <si>
    <t>HAR23_I_014_%</t>
  </si>
  <si>
    <t>Input Channel 14 Current individual Harmonics 24 percentage</t>
  </si>
  <si>
    <t>HAR24_I_014_%</t>
  </si>
  <si>
    <t>Input Channel 14 Current individual Harmonics 25 percentage</t>
  </si>
  <si>
    <t>HAR25_I_014_%</t>
  </si>
  <si>
    <t>Input Channel 14 Current individual Harmonics 26 percentage</t>
  </si>
  <si>
    <t>HAR26_I_014_%</t>
  </si>
  <si>
    <t>Input Channel 14 Current individual Harmonics 27 percentage</t>
  </si>
  <si>
    <t>HAR27_I_014_%</t>
  </si>
  <si>
    <t>Input Channel 14 Current individual Harmonics 28 percentage</t>
  </si>
  <si>
    <t>HAR28_I_014_%</t>
  </si>
  <si>
    <t>Input Channel 14 Current individual Harmonics 29 percentage</t>
  </si>
  <si>
    <t>HAR29_I_014_%</t>
  </si>
  <si>
    <t>Input Channel 14 Current individual Harmonics 30 percentage</t>
  </si>
  <si>
    <t>HAR30_I_014_%</t>
  </si>
  <si>
    <t>Input Channel 14 Current individual Harmonics 31 percentage</t>
  </si>
  <si>
    <t>HAR31_I_014_%</t>
  </si>
  <si>
    <t>Input Channel 15 Current THD</t>
  </si>
  <si>
    <t>THD_I_015_%</t>
  </si>
  <si>
    <t>Input Channel 15 Current THD Odd</t>
  </si>
  <si>
    <t>OTHD_I_015_%</t>
  </si>
  <si>
    <t>Input Channel 15 Current THD Even</t>
  </si>
  <si>
    <t>ETHD_I_015_%</t>
  </si>
  <si>
    <t>Input Channel 15 Current K Factor</t>
  </si>
  <si>
    <t>KF_I_015_%</t>
  </si>
  <si>
    <t>Input Channel 15 Current individual Harmonics 2 percentage</t>
  </si>
  <si>
    <t>HAR2_I_015_%</t>
  </si>
  <si>
    <t>Input Channel 15 Current individual Harmonics 3 percentage</t>
  </si>
  <si>
    <t>HAR3_I_015_%</t>
  </si>
  <si>
    <t>Input Channel 15 Current individual Harmonics 4 percentage</t>
  </si>
  <si>
    <t>HAR4_I_015_%</t>
  </si>
  <si>
    <t>Input Channel 15 Current individual Harmonics 5 percentage</t>
  </si>
  <si>
    <t>HAR5_I_015_%</t>
  </si>
  <si>
    <t>Input Channel 15 Current individual Harmonics 6 percentage</t>
  </si>
  <si>
    <t>HAR6_I_015_%</t>
  </si>
  <si>
    <t>Input Channel 15 Current individual Harmonics 7 percentage</t>
  </si>
  <si>
    <t>HAR7_I_015_%</t>
  </si>
  <si>
    <t>Input Channel 15 Current individual Harmonics 8 percentage</t>
  </si>
  <si>
    <t>HAR8_I_015_%</t>
  </si>
  <si>
    <t>Input Channel 15 Current individual Harmonics 9 percentage</t>
  </si>
  <si>
    <t>HAR9_I_015_%</t>
  </si>
  <si>
    <t>Input Channel 15 Current individual Harmonics 10 percentage</t>
  </si>
  <si>
    <t>HAR10_I_015_%</t>
  </si>
  <si>
    <t>Input Channel 15 Current individual Harmonics 11 percentage</t>
  </si>
  <si>
    <t>HAR11_I_015_%</t>
  </si>
  <si>
    <t>Input Channel 15 Current individual Harmonics 12 percentage</t>
  </si>
  <si>
    <t>HAR12_I_015_%</t>
  </si>
  <si>
    <t>Input Channel 15 Current individual Harmonics 13 percentage</t>
  </si>
  <si>
    <t>HAR13_I_015_%</t>
  </si>
  <si>
    <t>Input Channel 15 Current individual Harmonics 14 percentage</t>
  </si>
  <si>
    <t>HAR14_I_015_%</t>
  </si>
  <si>
    <t>Input Channel 15 Current individual Harmonics 15 percentage</t>
  </si>
  <si>
    <t>HAR15_I_015_%</t>
  </si>
  <si>
    <t>Input Channel 15 Current individual Harmonics 16 percentage</t>
  </si>
  <si>
    <t>HAR16_I_015_%</t>
  </si>
  <si>
    <t>Input Channel 15 Current individual Harmonics 17 percentage</t>
  </si>
  <si>
    <t>HAR17_I_015_%</t>
  </si>
  <si>
    <t>Input Channel 15 Current individual Harmonics 18 percentage</t>
  </si>
  <si>
    <t>HAR18_I_015_%</t>
  </si>
  <si>
    <t>Input Channel 15 Current individual Harmonics 19 percentage</t>
  </si>
  <si>
    <t>HAR19_I_015_%</t>
  </si>
  <si>
    <t>Input Channel 15 Current individual Harmonics 20 percentage</t>
  </si>
  <si>
    <t>HAR20_I_015_%</t>
  </si>
  <si>
    <t>Input Channel 15 Current individual Harmonics 21 percentage</t>
  </si>
  <si>
    <t>HAR21_I_015_%</t>
  </si>
  <si>
    <t>Input Channel 15 Current individual Harmonics 22 percentage</t>
  </si>
  <si>
    <t>HAR22_I_015_%</t>
  </si>
  <si>
    <t>Input Channel 15 Current individual Harmonics 23 percentage</t>
  </si>
  <si>
    <t>HAR23_I_015_%</t>
  </si>
  <si>
    <t>Input Channel 15 Current individual Harmonics 24 percentage</t>
  </si>
  <si>
    <t>HAR24_I_015_%</t>
  </si>
  <si>
    <t>Input Channel 15 Current individual Harmonics 25 percentage</t>
  </si>
  <si>
    <t>HAR25_I_015_%</t>
  </si>
  <si>
    <t>Input Channel 15 Current individual Harmonics 26 percentage</t>
  </si>
  <si>
    <t>HAR26_I_015_%</t>
  </si>
  <si>
    <t>Input Channel 15 Current individual Harmonics 27 percentage</t>
  </si>
  <si>
    <t>HAR27_I_015_%</t>
  </si>
  <si>
    <t>Input Channel 15 Current individual Harmonics 28 percentage</t>
  </si>
  <si>
    <t>HAR28_I_015_%</t>
  </si>
  <si>
    <t>Input Channel 15 Current individual Harmonics 29 percentage</t>
  </si>
  <si>
    <t>HAR29_I_015_%</t>
  </si>
  <si>
    <t>Input Channel 15 Current individual Harmonics 30 percentage</t>
  </si>
  <si>
    <t>HAR30_I_015_%</t>
  </si>
  <si>
    <t>Input Channel 15 Current individual Harmonics 31 percentage</t>
  </si>
  <si>
    <t>HAR31_I_015_%</t>
  </si>
  <si>
    <t>Input Channel 16 Current THD</t>
  </si>
  <si>
    <t>THD_I_016_%</t>
  </si>
  <si>
    <t>Input Channel 16 Current THD Odd</t>
  </si>
  <si>
    <t>OTHD_I_016_%</t>
  </si>
  <si>
    <t>Input Channel 16 Current THD Even</t>
  </si>
  <si>
    <t>ETHD_I_016_%</t>
  </si>
  <si>
    <t>Input Channel 16 Current K Factor</t>
  </si>
  <si>
    <t>KF_I_016_%</t>
  </si>
  <si>
    <t>Input Channel 16 Current individual Harmonics 2 percentage</t>
  </si>
  <si>
    <t>HAR2_I_016_%</t>
  </si>
  <si>
    <t>Input Channel 16 Current individual Harmonics 3 percentage</t>
  </si>
  <si>
    <t>HAR3_I_016_%</t>
  </si>
  <si>
    <t>Input Channel 16 Current individual Harmonics 4 percentage</t>
  </si>
  <si>
    <t>HAR4_I_016_%</t>
  </si>
  <si>
    <t>Input Channel 16 Current individual Harmonics 5 percentage</t>
  </si>
  <si>
    <t>HAR5_I_016_%</t>
  </si>
  <si>
    <t>Input Channel 16 Current individual Harmonics 6 percentage</t>
  </si>
  <si>
    <t>HAR6_I_016_%</t>
  </si>
  <si>
    <t>Input Channel 16 Current individual Harmonics 7 percentage</t>
  </si>
  <si>
    <t>HAR7_I_016_%</t>
  </si>
  <si>
    <t>Input Channel 16 Current individual Harmonics 8 percentage</t>
  </si>
  <si>
    <t>HAR8_I_016_%</t>
  </si>
  <si>
    <t>Input Channel 16 Current individual Harmonics 9 percentage</t>
  </si>
  <si>
    <t>HAR9_I_016_%</t>
  </si>
  <si>
    <t>Input Channel 16 Current individual Harmonics 10 percentage</t>
  </si>
  <si>
    <t>HAR10_I_016_%</t>
  </si>
  <si>
    <t>Input Channel 16 Current individual Harmonics 11 percentage</t>
  </si>
  <si>
    <t>HAR11_I_016_%</t>
  </si>
  <si>
    <t>Input Channel 16 Current individual Harmonics 12 percentage</t>
  </si>
  <si>
    <t>HAR12_I_016_%</t>
  </si>
  <si>
    <t>Input Channel 16 Current individual Harmonics 13 percentage</t>
  </si>
  <si>
    <t>HAR13_I_016_%</t>
  </si>
  <si>
    <t>Input Channel 16 Current individual Harmonics 14 percentage</t>
  </si>
  <si>
    <t>HAR14_I_016_%</t>
  </si>
  <si>
    <t>Input Channel 16 Current individual Harmonics 15 percentage</t>
  </si>
  <si>
    <t>HAR15_I_016_%</t>
  </si>
  <si>
    <t>Input Channel 16 Current individual Harmonics 16 percentage</t>
  </si>
  <si>
    <t>HAR16_I_016_%</t>
  </si>
  <si>
    <t>Input Channel 16 Current individual Harmonics 17 percentage</t>
  </si>
  <si>
    <t>HAR17_I_016_%</t>
  </si>
  <si>
    <t>Input Channel 16 Current individual Harmonics 18 percentage</t>
  </si>
  <si>
    <t>HAR18_I_016_%</t>
  </si>
  <si>
    <t>Input Channel 16 Current individual Harmonics 19 percentage</t>
  </si>
  <si>
    <t>HAR19_I_016_%</t>
  </si>
  <si>
    <t>Input Channel 16 Current individual Harmonics 20 percentage</t>
  </si>
  <si>
    <t>HAR20_I_016_%</t>
  </si>
  <si>
    <t>Input Channel 16 Current individual Harmonics 21 percentage</t>
  </si>
  <si>
    <t>HAR21_I_016_%</t>
  </si>
  <si>
    <t>Input Channel 16 Current individual Harmonics 22 percentage</t>
  </si>
  <si>
    <t>HAR22_I_016_%</t>
  </si>
  <si>
    <t>Input Channel 16 Current individual Harmonics 23 percentage</t>
  </si>
  <si>
    <t>HAR23_I_016_%</t>
  </si>
  <si>
    <t>Input Channel 16 Current individual Harmonics 24 percentage</t>
  </si>
  <si>
    <t>HAR24_I_016_%</t>
  </si>
  <si>
    <t>Input Channel 16 Current individual Harmonics 25 percentage</t>
  </si>
  <si>
    <t>HAR25_I_016_%</t>
  </si>
  <si>
    <t>Input Channel 16 Current individual Harmonics 26 percentage</t>
  </si>
  <si>
    <t>HAR26_I_016_%</t>
  </si>
  <si>
    <t>Input Channel 16 Current individual Harmonics 27 percentage</t>
  </si>
  <si>
    <t>HAR27_I_016_%</t>
  </si>
  <si>
    <t>Input Channel 16 Current individual Harmonics 28 percentage</t>
  </si>
  <si>
    <t>HAR28_I_016_%</t>
  </si>
  <si>
    <t>Input Channel 16 Current individual Harmonics 29 percentage</t>
  </si>
  <si>
    <t>HAR29_I_016_%</t>
  </si>
  <si>
    <t>Input Channel 16 Current individual Harmonics 30 percentage</t>
  </si>
  <si>
    <t>HAR30_I_016_%</t>
  </si>
  <si>
    <t>Input Channel 16 Current individual Harmonics 31 percentage</t>
  </si>
  <si>
    <t>HAR31_I_016_%</t>
  </si>
  <si>
    <t>Input Channel 17 Current THD</t>
  </si>
  <si>
    <t>THD_I_017_%</t>
  </si>
  <si>
    <t>Input Channel 17 Current THD Odd</t>
  </si>
  <si>
    <t>OTHD_I_017_%</t>
  </si>
  <si>
    <t>Input Channel 17 Current THD Even</t>
  </si>
  <si>
    <t>ETHD_I_017_%</t>
  </si>
  <si>
    <t>Input Channel 17 Current K Factor</t>
  </si>
  <si>
    <t>KF_I_017_%</t>
  </si>
  <si>
    <t>Input Channel 17 Current individual Harmonics 2 percentage</t>
  </si>
  <si>
    <t>HAR2_I_017_%</t>
  </si>
  <si>
    <t>Input Channel 17 Current individual Harmonics 3 percentage</t>
  </si>
  <si>
    <t>HAR3_I_017_%</t>
  </si>
  <si>
    <t>Input Channel 17 Current individual Harmonics 4 percentage</t>
  </si>
  <si>
    <t>HAR4_I_017_%</t>
  </si>
  <si>
    <t>Input Channel 17 Current individual Harmonics 5 percentage</t>
  </si>
  <si>
    <t>HAR5_I_017_%</t>
  </si>
  <si>
    <t>Input Channel 17 Current individual Harmonics 6 percentage</t>
  </si>
  <si>
    <t>HAR6_I_017_%</t>
  </si>
  <si>
    <t>Input Channel 17 Current individual Harmonics 7 percentage</t>
  </si>
  <si>
    <t>HAR7_I_017_%</t>
  </si>
  <si>
    <t>Input Channel 17 Current individual Harmonics 8 percentage</t>
  </si>
  <si>
    <t>HAR8_I_017_%</t>
  </si>
  <si>
    <t>Input Channel 17 Current individual Harmonics 9 percentage</t>
  </si>
  <si>
    <t>HAR9_I_017_%</t>
  </si>
  <si>
    <t>Input Channel 17 Current individual Harmonics 10 percentage</t>
  </si>
  <si>
    <t>HAR10_I_017_%</t>
  </si>
  <si>
    <t>Input Channel 17 Current individual Harmonics 11 percentage</t>
  </si>
  <si>
    <t>HAR11_I_017_%</t>
  </si>
  <si>
    <t>Input Channel 17 Current individual Harmonics 12 percentage</t>
  </si>
  <si>
    <t>HAR12_I_017_%</t>
  </si>
  <si>
    <t>Input Channel 17 Current individual Harmonics 13 percentage</t>
  </si>
  <si>
    <t>HAR13_I_017_%</t>
  </si>
  <si>
    <t>Input Channel 17 Current individual Harmonics 14 percentage</t>
  </si>
  <si>
    <t>HAR14_I_017_%</t>
  </si>
  <si>
    <t>Input Channel 17 Current individual Harmonics 15 percentage</t>
  </si>
  <si>
    <t>HAR15_I_017_%</t>
  </si>
  <si>
    <t>Input Channel 17 Current individual Harmonics 16 percentage</t>
  </si>
  <si>
    <t>HAR16_I_017_%</t>
  </si>
  <si>
    <t>Input Channel 17 Current individual Harmonics 17 percentage</t>
  </si>
  <si>
    <t>HAR17_I_017_%</t>
  </si>
  <si>
    <t>Input Channel 17 Current individual Harmonics 18 percentage</t>
  </si>
  <si>
    <t>HAR18_I_017_%</t>
  </si>
  <si>
    <t>Input Channel 17 Current individual Harmonics 19 percentage</t>
  </si>
  <si>
    <t>HAR19_I_017_%</t>
  </si>
  <si>
    <t>Input Channel 17 Current individual Harmonics 20 percentage</t>
  </si>
  <si>
    <t>HAR20_I_017_%</t>
  </si>
  <si>
    <t>Input Channel 17 Current individual Harmonics 21 percentage</t>
  </si>
  <si>
    <t>HAR21_I_017_%</t>
  </si>
  <si>
    <t>Input Channel 17 Current individual Harmonics 22 percentage</t>
  </si>
  <si>
    <t>HAR22_I_017_%</t>
  </si>
  <si>
    <t>Input Channel 17 Current individual Harmonics 23 percentage</t>
  </si>
  <si>
    <t>HAR23_I_017_%</t>
  </si>
  <si>
    <t>Input Channel 17 Current individual Harmonics 24 percentage</t>
  </si>
  <si>
    <t>HAR24_I_017_%</t>
  </si>
  <si>
    <t>Input Channel 17 Current individual Harmonics 25 percentage</t>
  </si>
  <si>
    <t>HAR25_I_017_%</t>
  </si>
  <si>
    <t>Input Channel 17 Current individual Harmonics 26 percentage</t>
  </si>
  <si>
    <t>HAR26_I_017_%</t>
  </si>
  <si>
    <t>Input Channel 17 Current individual Harmonics 27 percentage</t>
  </si>
  <si>
    <t>HAR27_I_017_%</t>
  </si>
  <si>
    <t>Input Channel 17 Current individual Harmonics 28 percentage</t>
  </si>
  <si>
    <t>HAR28_I_017_%</t>
  </si>
  <si>
    <t>Input Channel 17 Current individual Harmonics 29 percentage</t>
  </si>
  <si>
    <t>HAR29_I_017_%</t>
  </si>
  <si>
    <t>Input Channel 17 Current individual Harmonics 30 percentage</t>
  </si>
  <si>
    <t>HAR30_I_017_%</t>
  </si>
  <si>
    <t>Input Channel 17 Current individual Harmonics 31 percentage</t>
  </si>
  <si>
    <t>HAR31_I_017_%</t>
  </si>
  <si>
    <t>Input Channel 18 Current THD</t>
  </si>
  <si>
    <t>THD_I_018_%</t>
  </si>
  <si>
    <t>Input Channel 18 Current THD Odd</t>
  </si>
  <si>
    <t>OTHD_I_018_%</t>
  </si>
  <si>
    <t>Input Channel 18 Current THD Even</t>
  </si>
  <si>
    <t>ETHD_I_018_%</t>
  </si>
  <si>
    <t>Input Channel 18 Current K Factor</t>
  </si>
  <si>
    <t>KF_I_018_%</t>
  </si>
  <si>
    <t>Input Channel 18 Current individual Harmonics 2 percentage</t>
  </si>
  <si>
    <t>HAR2_I_018_%</t>
  </si>
  <si>
    <t>Input Channel 18 Current individual Harmonics 3 percentage</t>
  </si>
  <si>
    <t>HAR3_I_018_%</t>
  </si>
  <si>
    <t>Input Channel 18 Current individual Harmonics 4 percentage</t>
  </si>
  <si>
    <t>HAR4_I_018_%</t>
  </si>
  <si>
    <t>Input Channel 18 Current individual Harmonics 5 percentage</t>
  </si>
  <si>
    <t>HAR5_I_018_%</t>
  </si>
  <si>
    <t>Input Channel 18 Current individual Harmonics 6 percentage</t>
  </si>
  <si>
    <t>HAR6_I_018_%</t>
  </si>
  <si>
    <t>Input Channel 18 Current individual Harmonics 7 percentage</t>
  </si>
  <si>
    <t>HAR7_I_018_%</t>
  </si>
  <si>
    <t>Input Channel 18 Current individual Harmonics 8 percentage</t>
  </si>
  <si>
    <t>HAR8_I_018_%</t>
  </si>
  <si>
    <t>Input Channel 18 Current individual Harmonics 9 percentage</t>
  </si>
  <si>
    <t>HAR9_I_018_%</t>
  </si>
  <si>
    <t>Input Channel 18 Current individual Harmonics 10 percentage</t>
  </si>
  <si>
    <t>HAR10_I_018_%</t>
  </si>
  <si>
    <t>Input Channel 18 Current individual Harmonics 11 percentage</t>
  </si>
  <si>
    <t>HAR11_I_018_%</t>
  </si>
  <si>
    <t>Input Channel 18 Current individual Harmonics 12 percentage</t>
  </si>
  <si>
    <t>HAR12_I_018_%</t>
  </si>
  <si>
    <t>Input Channel 18 Current individual Harmonics 13 percentage</t>
  </si>
  <si>
    <t>HAR13_I_018_%</t>
  </si>
  <si>
    <t>Input Channel 18 Current individual Harmonics 14 percentage</t>
  </si>
  <si>
    <t>HAR14_I_018_%</t>
  </si>
  <si>
    <t>Input Channel 18 Current individual Harmonics 15 percentage</t>
  </si>
  <si>
    <t>HAR15_I_018_%</t>
  </si>
  <si>
    <t>Input Channel 18 Current individual Harmonics 16 percentage</t>
  </si>
  <si>
    <t>HAR16_I_018_%</t>
  </si>
  <si>
    <t>Input Channel 18 Current individual Harmonics 17 percentage</t>
  </si>
  <si>
    <t>HAR17_I_018_%</t>
  </si>
  <si>
    <t>Input Channel 18 Current individual Harmonics 18 percentage</t>
  </si>
  <si>
    <t>HAR18_I_018_%</t>
  </si>
  <si>
    <t>Input Channel 18 Current individual Harmonics 19 percentage</t>
  </si>
  <si>
    <t>HAR19_I_018_%</t>
  </si>
  <si>
    <t>Input Channel 18 Current individual Harmonics 20 percentage</t>
  </si>
  <si>
    <t>HAR20_I_018_%</t>
  </si>
  <si>
    <t>Input Channel 18 Current individual Harmonics 21 percentage</t>
  </si>
  <si>
    <t>HAR21_I_018_%</t>
  </si>
  <si>
    <t>Input Channel 18 Current individual Harmonics 22 percentage</t>
  </si>
  <si>
    <t>HAR22_I_018_%</t>
  </si>
  <si>
    <t>Input Channel 18 Current individual Harmonics 23 percentage</t>
  </si>
  <si>
    <t>HAR23_I_018_%</t>
  </si>
  <si>
    <t>Input Channel 18 Current individual Harmonics 24 percentage</t>
  </si>
  <si>
    <t>HAR24_I_018_%</t>
  </si>
  <si>
    <t>Input Channel 18 Current individual Harmonics 25 percentage</t>
  </si>
  <si>
    <t>HAR25_I_018_%</t>
  </si>
  <si>
    <t>Input Channel 18 Current individual Harmonics 26 percentage</t>
  </si>
  <si>
    <t>HAR26_I_018_%</t>
  </si>
  <si>
    <t>Input Channel 18 Current individual Harmonics 27 percentage</t>
  </si>
  <si>
    <t>HAR27_I_018_%</t>
  </si>
  <si>
    <t>Input Channel 18 Current individual Harmonics 28 percentage</t>
  </si>
  <si>
    <t>HAR28_I_018_%</t>
  </si>
  <si>
    <t>Input Channel 18 Current individual Harmonics 29 percentage</t>
  </si>
  <si>
    <t>HAR29_I_018_%</t>
  </si>
  <si>
    <t>Input Channel 18 Current individual Harmonics 30 percentage</t>
  </si>
  <si>
    <t>HAR30_I_018_%</t>
  </si>
  <si>
    <t>Input Channel 18 Current individual Harmonics 31 percentage</t>
  </si>
  <si>
    <t>HAR31_I_018_%</t>
  </si>
  <si>
    <t>Input Channel 19 Current THD</t>
  </si>
  <si>
    <t>THD_I_019_%</t>
  </si>
  <si>
    <t>Input Channel 19 Current THD Odd</t>
  </si>
  <si>
    <t>OTHD_I_019_%</t>
  </si>
  <si>
    <t>Input Channel 19 Current THD Even</t>
  </si>
  <si>
    <t>ETHD_I_019_%</t>
  </si>
  <si>
    <t>Input Channel 19 Current K Factor</t>
  </si>
  <si>
    <t>KF_I_019_%</t>
  </si>
  <si>
    <t>Input Channel 19 Current individual Harmonics 2 percentage</t>
  </si>
  <si>
    <t>HAR2_I_019_%</t>
  </si>
  <si>
    <t>Input Channel 19 Current individual Harmonics 3 percentage</t>
  </si>
  <si>
    <t>HAR3_I_019_%</t>
  </si>
  <si>
    <t>Input Channel 19 Current individual Harmonics 4 percentage</t>
  </si>
  <si>
    <t>HAR4_I_019_%</t>
  </si>
  <si>
    <t>Input Channel 19 Current individual Harmonics 5 percentage</t>
  </si>
  <si>
    <t>HAR5_I_019_%</t>
  </si>
  <si>
    <t>Input Channel 19 Current individual Harmonics 6 percentage</t>
  </si>
  <si>
    <t>HAR6_I_019_%</t>
  </si>
  <si>
    <t>Input Channel 19 Current individual Harmonics 7 percentage</t>
  </si>
  <si>
    <t>HAR7_I_019_%</t>
  </si>
  <si>
    <t>Input Channel 19 Current individual Harmonics 8 percentage</t>
  </si>
  <si>
    <t>HAR8_I_019_%</t>
  </si>
  <si>
    <t>Input Channel 19 Current individual Harmonics 9 percentage</t>
  </si>
  <si>
    <t>HAR9_I_019_%</t>
  </si>
  <si>
    <t>Input Channel 19 Current individual Harmonics 10 percentage</t>
  </si>
  <si>
    <t>HAR10_I_019_%</t>
  </si>
  <si>
    <t>Input Channel 19 Current individual Harmonics 11 percentage</t>
  </si>
  <si>
    <t>HAR11_I_019_%</t>
  </si>
  <si>
    <t>Input Channel 19 Current individual Harmonics 12 percentage</t>
  </si>
  <si>
    <t>HAR12_I_019_%</t>
  </si>
  <si>
    <t>Input Channel 19 Current individual Harmonics 13 percentage</t>
  </si>
  <si>
    <t>HAR13_I_019_%</t>
  </si>
  <si>
    <t>Input Channel 19 Current individual Harmonics 14 percentage</t>
  </si>
  <si>
    <t>HAR14_I_019_%</t>
  </si>
  <si>
    <t>Input Channel 19 Current individual Harmonics 15 percentage</t>
  </si>
  <si>
    <t>HAR15_I_019_%</t>
  </si>
  <si>
    <t>Input Channel 19 Current individual Harmonics 16 percentage</t>
  </si>
  <si>
    <t>HAR16_I_019_%</t>
  </si>
  <si>
    <t>Input Channel 19 Current individual Harmonics 17 percentage</t>
  </si>
  <si>
    <t>HAR17_I_019_%</t>
  </si>
  <si>
    <t>Input Channel 19 Current individual Harmonics 18 percentage</t>
  </si>
  <si>
    <t>HAR18_I_019_%</t>
  </si>
  <si>
    <t>Input Channel 19 Current individual Harmonics 19 percentage</t>
  </si>
  <si>
    <t>HAR19_I_019_%</t>
  </si>
  <si>
    <t>Input Channel 19 Current individual Harmonics 20 percentage</t>
  </si>
  <si>
    <t>HAR20_I_019_%</t>
  </si>
  <si>
    <t>Input Channel 19 Current individual Harmonics 21 percentage</t>
  </si>
  <si>
    <t>HAR21_I_019_%</t>
  </si>
  <si>
    <t>Input Channel 19 Current individual Harmonics 22 percentage</t>
  </si>
  <si>
    <t>HAR22_I_019_%</t>
  </si>
  <si>
    <t>Input Channel 19 Current individual Harmonics 23 percentage</t>
  </si>
  <si>
    <t>HAR23_I_019_%</t>
  </si>
  <si>
    <t>Input Channel 19 Current individual Harmonics 24 percentage</t>
  </si>
  <si>
    <t>HAR24_I_019_%</t>
  </si>
  <si>
    <t>Input Channel 19 Current individual Harmonics 25 percentage</t>
  </si>
  <si>
    <t>HAR25_I_019_%</t>
  </si>
  <si>
    <t>Input Channel 19 Current individual Harmonics 26 percentage</t>
  </si>
  <si>
    <t>HAR26_I_019_%</t>
  </si>
  <si>
    <t>Input Channel 19 Current individual Harmonics 27 percentage</t>
  </si>
  <si>
    <t>HAR27_I_019_%</t>
  </si>
  <si>
    <t>Input Channel 19 Current individual Harmonics 28 percentage</t>
  </si>
  <si>
    <t>HAR28_I_019_%</t>
  </si>
  <si>
    <t>Input Channel 19 Current individual Harmonics 29 percentage</t>
  </si>
  <si>
    <t>HAR29_I_019_%</t>
  </si>
  <si>
    <t>Input Channel 19 Current individual Harmonics 30 percentage</t>
  </si>
  <si>
    <t>HAR30_I_019_%</t>
  </si>
  <si>
    <t>Input Channel 19 Current individual Harmonics 31 percentage</t>
  </si>
  <si>
    <t>HAR31_I_019_%</t>
  </si>
  <si>
    <t>Input Channel 20 Current THD</t>
  </si>
  <si>
    <t>THD_I_020_%</t>
  </si>
  <si>
    <t>Input Channel 20 Current THD Odd</t>
  </si>
  <si>
    <t>OTHD_I_020_%</t>
  </si>
  <si>
    <t>Input Channel 20 Current THD Even</t>
  </si>
  <si>
    <t>ETHD_I_020_%</t>
  </si>
  <si>
    <t>Input Channel 20 Current K Factor</t>
  </si>
  <si>
    <t>KF_I_020_%</t>
  </si>
  <si>
    <t>Input Channel 20 Current individual Harmonics 2 percentage</t>
  </si>
  <si>
    <t>HAR2_I_020_%</t>
  </si>
  <si>
    <t>Input Channel 20 Current individual Harmonics 3 percentage</t>
  </si>
  <si>
    <t>HAR3_I_020_%</t>
  </si>
  <si>
    <t>Input Channel 20 Current individual Harmonics 4 percentage</t>
  </si>
  <si>
    <t>HAR4_I_020_%</t>
  </si>
  <si>
    <t>Input Channel 20 Current individual Harmonics 5 percentage</t>
  </si>
  <si>
    <t>HAR5_I_020_%</t>
  </si>
  <si>
    <t>Input Channel 20 Current individual Harmonics 6 percentage</t>
  </si>
  <si>
    <t>HAR6_I_020_%</t>
  </si>
  <si>
    <t>Input Channel 20 Current individual Harmonics 7 percentage</t>
  </si>
  <si>
    <t>HAR7_I_020_%</t>
  </si>
  <si>
    <t>Input Channel 20 Current individual Harmonics 8 percentage</t>
  </si>
  <si>
    <t>HAR8_I_020_%</t>
  </si>
  <si>
    <t>Input Channel 20 Current individual Harmonics 9 percentage</t>
  </si>
  <si>
    <t>HAR9_I_020_%</t>
  </si>
  <si>
    <t>Input Channel 20 Current individual Harmonics 10 percentage</t>
  </si>
  <si>
    <t>HAR10_I_020_%</t>
  </si>
  <si>
    <t>Input Channel 20 Current individual Harmonics 11 percentage</t>
  </si>
  <si>
    <t>HAR11_I_020_%</t>
  </si>
  <si>
    <t>Input Channel 20 Current individual Harmonics 12 percentage</t>
  </si>
  <si>
    <t>HAR12_I_020_%</t>
  </si>
  <si>
    <t>Input Channel 20 Current individual Harmonics 13 percentage</t>
  </si>
  <si>
    <t>HAR13_I_020_%</t>
  </si>
  <si>
    <t>Input Channel 20 Current individual Harmonics 14 percentage</t>
  </si>
  <si>
    <t>HAR14_I_020_%</t>
  </si>
  <si>
    <t>Input Channel 20 Current individual Harmonics 15 percentage</t>
  </si>
  <si>
    <t>HAR15_I_020_%</t>
  </si>
  <si>
    <t>Input Channel 20 Current individual Harmonics 16 percentage</t>
  </si>
  <si>
    <t>HAR16_I_020_%</t>
  </si>
  <si>
    <t>Input Channel 20 Current individual Harmonics 17 percentage</t>
  </si>
  <si>
    <t>HAR17_I_020_%</t>
  </si>
  <si>
    <t>Input Channel 20 Current individual Harmonics 18 percentage</t>
  </si>
  <si>
    <t>HAR18_I_020 %</t>
  </si>
  <si>
    <t>Input Channel 20 Current individual Harmonics 19 percentage</t>
  </si>
  <si>
    <t>HAR19_I_020_%</t>
  </si>
  <si>
    <t>Input Channel 20 Current individual Harmonics 20 percentage</t>
  </si>
  <si>
    <t>HAR20_I_020_%</t>
  </si>
  <si>
    <t>Input Channel 20 Current individual Harmonics 21 percentage</t>
  </si>
  <si>
    <t>HAR21_I_020_%</t>
  </si>
  <si>
    <t>Input Channel 20 Current individual Harmonics 22 percentage</t>
  </si>
  <si>
    <t>HAR22_I_020_%</t>
  </si>
  <si>
    <t>Input Channel 20 Current individual Harmonics 23 percentage</t>
  </si>
  <si>
    <t>HAR23_I_020_%</t>
  </si>
  <si>
    <t>Input Channel 20 Current individual Harmonics 24 percentage</t>
  </si>
  <si>
    <t>HAR24_I_020_%</t>
  </si>
  <si>
    <t>Input Channel 20 Current individual Harmonics 25 percentage</t>
  </si>
  <si>
    <t>HAR25_I_020_%</t>
  </si>
  <si>
    <t>Input Channel 20 Current individual Harmonics 26 percentage</t>
  </si>
  <si>
    <t>HAR26_I_020_%</t>
  </si>
  <si>
    <t>Input Channel 20 Current individual Harmonics 27 percentage</t>
  </si>
  <si>
    <t>HAR27_I_020_%</t>
  </si>
  <si>
    <t>Input Channel 20 Current individual Harmonics 28 percentage</t>
  </si>
  <si>
    <t>HAR28_I_020_%</t>
  </si>
  <si>
    <t>Input Channel 20 Current individual Harmonics 29 percentage</t>
  </si>
  <si>
    <t>HAR29_I_020_%</t>
  </si>
  <si>
    <t>Input Channel 20 Current individual Harmonics 30 percentage</t>
  </si>
  <si>
    <t>HAR30_I_020_%</t>
  </si>
  <si>
    <t>Input Channel 20 Current individual Harmonics 31 percentage</t>
  </si>
  <si>
    <t>HAR31_I_020_%</t>
  </si>
  <si>
    <t>Input Channel 21 Current THD</t>
  </si>
  <si>
    <t>THD_I_021_%</t>
  </si>
  <si>
    <t>Input Channel 21 Current THD Odd</t>
  </si>
  <si>
    <t>OTHD_I_021_%</t>
  </si>
  <si>
    <t>Input Channel 21 Current THD Even</t>
  </si>
  <si>
    <t>ETHD_I_021_%</t>
  </si>
  <si>
    <t>Input Channel 21 Current K Factor</t>
  </si>
  <si>
    <t>KF_I_021_%</t>
  </si>
  <si>
    <t>Input Channel 21 Current individual Harmonics 2 percentage</t>
  </si>
  <si>
    <t>HAR2_I_021_%</t>
  </si>
  <si>
    <t>Input Channel 21 Current individual Harmonics 3 percentage</t>
  </si>
  <si>
    <t>HAR3_I_021_%</t>
  </si>
  <si>
    <t>Input Channel 21 Current individual Harmonics 4 percentage</t>
  </si>
  <si>
    <t>HAR4_I_021_%</t>
  </si>
  <si>
    <t>Input Channel 21 Current individual Harmonics 5 percentage</t>
  </si>
  <si>
    <t>HAR5_I_021_%</t>
  </si>
  <si>
    <t>Input Channel 21 Current individual Harmonics 6 percentage</t>
  </si>
  <si>
    <t>HAR6_I_021_%</t>
  </si>
  <si>
    <t>Input Channel 21 Current individual Harmonics 7 percentage</t>
  </si>
  <si>
    <t>HAR7_I_021_%</t>
  </si>
  <si>
    <t>Input Channel 21 Current individual Harmonics 8 percentage</t>
  </si>
  <si>
    <t>HAR8_I_021_%</t>
  </si>
  <si>
    <t>Input Channel 21 Current individual Harmonics 9 percentage</t>
  </si>
  <si>
    <t>HAR9_I_021_%</t>
  </si>
  <si>
    <t>Input Channel 21 Current individual Harmonics 10 percentage</t>
  </si>
  <si>
    <t>HAR10_I_021_%</t>
  </si>
  <si>
    <t>Input Channel 21 Current individual Harmonics 11 percentage</t>
  </si>
  <si>
    <t>HAR11_I_021_%</t>
  </si>
  <si>
    <t>Input Channel 21 Current individual Harmonics 12 percentage</t>
  </si>
  <si>
    <t>HAR12_I_021_%</t>
  </si>
  <si>
    <t>Input Channel 21 Current individual Harmonics 13 percentage</t>
  </si>
  <si>
    <t>HAR13_I_021_%</t>
  </si>
  <si>
    <t>Input Channel 21 Current individual Harmonics 14 percentage</t>
  </si>
  <si>
    <t>HAR14_I_021_%</t>
  </si>
  <si>
    <t>Input Channel 21 Current individual Harmonics 15 percentage</t>
  </si>
  <si>
    <t>HAR15_I_021_%</t>
  </si>
  <si>
    <t>Input Channel 21 Current individual Harmonics 16 percentage</t>
  </si>
  <si>
    <t>HAR16_I_021_%</t>
  </si>
  <si>
    <t>Input Channel 21 Current individual Harmonics 17 percentage</t>
  </si>
  <si>
    <t>HAR17_I_021_%</t>
  </si>
  <si>
    <t>Input Channel 21 Current individual Harmonics 18 percentage</t>
  </si>
  <si>
    <t>HAR18_I_021_%</t>
  </si>
  <si>
    <t>Input Channel 21 Current individual Harmonics 19 percentage</t>
  </si>
  <si>
    <t>HAR19_I_021_%</t>
  </si>
  <si>
    <t>Input Channel 21 Current individual Harmonics 20 percentage</t>
  </si>
  <si>
    <t>HAR20_I_021_%</t>
  </si>
  <si>
    <t>Input Channel 21 Current individual Harmonics 21 percentage</t>
  </si>
  <si>
    <t>HAR21_I_021_%</t>
  </si>
  <si>
    <t>Input Channel 21 Current individual Harmonics 22 percentage</t>
  </si>
  <si>
    <t>HAR22_I_021_%</t>
  </si>
  <si>
    <t>Input Channel 21 Current individual Harmonics 23 percentage</t>
  </si>
  <si>
    <t>HAR23_I_021_%</t>
  </si>
  <si>
    <t>Input Channel 21 Current individual Harmonics 24 percentage</t>
  </si>
  <si>
    <t>HAR24_I_021_%</t>
  </si>
  <si>
    <t>Input Channel 21 Current individual Harmonics 25 percentage</t>
  </si>
  <si>
    <t>HAR25_I_021_%</t>
  </si>
  <si>
    <t>Input Channel 21 Current individual Harmonics 26 percentage</t>
  </si>
  <si>
    <t>HAR26_I_021_%</t>
  </si>
  <si>
    <t>Input Channel 21 Current individual Harmonics 27 percentage</t>
  </si>
  <si>
    <t>HAR27_I_021_%</t>
  </si>
  <si>
    <t>Input Channel 21 Current individual Harmonics 28 percentage</t>
  </si>
  <si>
    <t>HAR28_I_021_%</t>
  </si>
  <si>
    <t>Input Channel 21 Current individual Harmonics 29 percentage</t>
  </si>
  <si>
    <t>HAR29_I_021_%</t>
  </si>
  <si>
    <t>Input Channel 21 Current individual Harmonics 30 percentage</t>
  </si>
  <si>
    <t>HAR30_I_021_%</t>
  </si>
  <si>
    <t>Input Channel 21 Current individual Harmonics 31 percentage</t>
  </si>
  <si>
    <t>HAR31_I_021_%</t>
  </si>
  <si>
    <t>Input Channel 22 Current THD</t>
  </si>
  <si>
    <t>THD_I_022_%</t>
  </si>
  <si>
    <t>Input Channel 22 Current THD Odd</t>
  </si>
  <si>
    <t>OTHD_I_022_%</t>
  </si>
  <si>
    <t>Input Channel 22 Current THD Even</t>
  </si>
  <si>
    <t>ETHD_I_022_%</t>
  </si>
  <si>
    <t>Input Channel 22 Current K Factor</t>
  </si>
  <si>
    <t>KF_I_022_%</t>
  </si>
  <si>
    <t>Input Channel 22 Current individual Harmonics 2 percentage</t>
  </si>
  <si>
    <t>HAR2_I_022_%</t>
  </si>
  <si>
    <t>Input Channel 22 Current individual Harmonics 3 percentage</t>
  </si>
  <si>
    <t>HAR3_I_022_%</t>
  </si>
  <si>
    <t>Input Channel 22 Current individual Harmonics 4 percentage</t>
  </si>
  <si>
    <t>HAR4_I_022_%</t>
  </si>
  <si>
    <t>Input Channel 22 Current individual Harmonics 5 percentage</t>
  </si>
  <si>
    <t>HAR5_I_022_%</t>
  </si>
  <si>
    <t>Input Channel 22 Current individual Harmonics 6 percentage</t>
  </si>
  <si>
    <t>HAR6_I_022_%</t>
  </si>
  <si>
    <t>Input Channel 22 Current individual Harmonics 7 percentage</t>
  </si>
  <si>
    <t>HAR7_I_022_%</t>
  </si>
  <si>
    <t>Input Channel 22 Current individual Harmonics 8 percentage</t>
  </si>
  <si>
    <t>HAR8_I_022_%</t>
  </si>
  <si>
    <t>Input Channel 22 Current individual Harmonics 9 percentage</t>
  </si>
  <si>
    <t>HAR9_I_022_%</t>
  </si>
  <si>
    <t>Input Channel 22 Current individual Harmonics 10 percentage</t>
  </si>
  <si>
    <t>HAR10_I_022_%</t>
  </si>
  <si>
    <t>Input Channel 22 Current individual Harmonics 11 percentage</t>
  </si>
  <si>
    <t>HAR11_I_022_%</t>
  </si>
  <si>
    <t>Input Channel 22 Current individual Harmonics 12 percentage</t>
  </si>
  <si>
    <t>HAR12_I_022_%</t>
  </si>
  <si>
    <t>Input Channel 22 Current individual Harmonics 13 percentage</t>
  </si>
  <si>
    <t>HAR13_I_022_%</t>
  </si>
  <si>
    <t>Input Channel 22 Current individual Harmonics 14 percentage</t>
  </si>
  <si>
    <t>HAR14_I_022_%</t>
  </si>
  <si>
    <t>Input Channel 22 Current individual Harmonics 15 percentage</t>
  </si>
  <si>
    <t>HAR15_I_022_%</t>
  </si>
  <si>
    <t>Input Channel 22 Current individual Harmonics 16 percentage</t>
  </si>
  <si>
    <t>HAR16_I_022_%</t>
  </si>
  <si>
    <t>Input Channel 22 Current individual Harmonics 17 percentage</t>
  </si>
  <si>
    <t>HAR17_I_022_%</t>
  </si>
  <si>
    <t>Input Channel 22 Current individual Harmonics 18 percentage</t>
  </si>
  <si>
    <t>HAR18_I_022_%</t>
  </si>
  <si>
    <t>Input Channel 22 Current individual Harmonics 19 percentage</t>
  </si>
  <si>
    <t>HAR19_I_022_%</t>
  </si>
  <si>
    <t>Input Channel 22 Current individual Harmonics 20 percentage</t>
  </si>
  <si>
    <t>HAR20_I_022_%</t>
  </si>
  <si>
    <t>Input Channel 22 Current individual Harmonics 21 percentage</t>
  </si>
  <si>
    <t>HAR21_I_022_%</t>
  </si>
  <si>
    <t>Input Channel 22 Current individual Harmonics 22 percentage</t>
  </si>
  <si>
    <t>HAR22_I_022_%</t>
  </si>
  <si>
    <t>Input Channel 22 Current individual Harmonics 23 percentage</t>
  </si>
  <si>
    <t>HAR23_I_022_%</t>
  </si>
  <si>
    <t>Input Channel 22 Current individual Harmonics 24 percentage</t>
  </si>
  <si>
    <t>HAR24_I_022_%</t>
  </si>
  <si>
    <t>Input Channel 22 Current individual Harmonics 25 percentage</t>
  </si>
  <si>
    <t>HAR25_I_022_%</t>
  </si>
  <si>
    <t>Input Channel 22 Current individual Harmonics 26 percentage</t>
  </si>
  <si>
    <t>HAR26_I_022_%</t>
  </si>
  <si>
    <t>Input Channel 22 Current individual Harmonics 27 percentage</t>
  </si>
  <si>
    <t>HAR27_I_022_%</t>
  </si>
  <si>
    <t>Input Channel 22 Current individual Harmonics 28 percentage</t>
  </si>
  <si>
    <t>HAR28_I_022_%</t>
  </si>
  <si>
    <t>Input Channel 22 Current individual Harmonics 29 percentage</t>
  </si>
  <si>
    <t>HAR29_I_022_%</t>
  </si>
  <si>
    <t>Input Channel 22 Current individual Harmonics 30 percentage</t>
  </si>
  <si>
    <t>HAR30_I_022_%</t>
  </si>
  <si>
    <t>Input Channel 22 Current individual Harmonics 31 percentage</t>
  </si>
  <si>
    <t>HAR31_I_022_%</t>
  </si>
  <si>
    <t>Input Channel 23 Current THD</t>
  </si>
  <si>
    <t>THD_I_023_%</t>
  </si>
  <si>
    <t>Input Channel 23 Current THD Odd</t>
  </si>
  <si>
    <t>OTHD_I_023_%</t>
  </si>
  <si>
    <t>Input Channel 23 Current THD Even</t>
  </si>
  <si>
    <t>ETHD_I_023_%</t>
  </si>
  <si>
    <t>Input Channel 23 Current K Factor</t>
  </si>
  <si>
    <t>KF_I_023_%</t>
  </si>
  <si>
    <t>Input Channel 23 Current individual Harmonics 2 percentage</t>
  </si>
  <si>
    <t>HAR2_I_023_%</t>
  </si>
  <si>
    <t>Input Channel 23 Current individual Harmonics 3 percentage</t>
  </si>
  <si>
    <t>HAR3_I_023_%</t>
  </si>
  <si>
    <t>Input Channel 23 Current individual Harmonics 4 percentage</t>
  </si>
  <si>
    <t>HAR4_I_023_%</t>
  </si>
  <si>
    <t>Input Channel 23 Current individual Harmonics 5 percentage</t>
  </si>
  <si>
    <t>HAR5_I_023_%</t>
  </si>
  <si>
    <t>Input Channel 23 Current individual Harmonics 6 percentage</t>
  </si>
  <si>
    <t>HAR6_I_023_%</t>
  </si>
  <si>
    <t>Input Channel 23 Current individual Harmonics 7 percentage</t>
  </si>
  <si>
    <t>HAR7_I_023_%</t>
  </si>
  <si>
    <t>Input Channel 23 Current individual Harmonics 8 percentage</t>
  </si>
  <si>
    <t>HAR8_I_023_%</t>
  </si>
  <si>
    <t>Input Channel 23 Current individual Harmonics 9 percentage</t>
  </si>
  <si>
    <t>HAR9_I_023_%</t>
  </si>
  <si>
    <t>Input Channel 23 Current individual Harmonics 10 percentage</t>
  </si>
  <si>
    <t>HAR10_I_023_%</t>
  </si>
  <si>
    <t>Input Channel 23 Current individual Harmonics 11 percentage</t>
  </si>
  <si>
    <t>HAR11_I_023_%</t>
  </si>
  <si>
    <t>Input Channel 23 Current individual Harmonics 12 percentage</t>
  </si>
  <si>
    <t>HAR12_I_023_%</t>
  </si>
  <si>
    <t>Input Channel 23 Current individual Harmonics 13 percentage</t>
  </si>
  <si>
    <t>HAR13_I_023_%</t>
  </si>
  <si>
    <t>Input Channel 23 Current individual Harmonics 14 percentage</t>
  </si>
  <si>
    <t>HAR14_I_023_%</t>
  </si>
  <si>
    <t>Input Channel 23 Current individual Harmonics 15 percentage</t>
  </si>
  <si>
    <t>HAR15_I_023_%</t>
  </si>
  <si>
    <t>Input Channel 23 Current individual Harmonics 16 percentage</t>
  </si>
  <si>
    <t>HAR16_I_023_%</t>
  </si>
  <si>
    <t>Input Channel 23 Current individual Harmonics 17 percentage</t>
  </si>
  <si>
    <t>HAR17_I_023_%</t>
  </si>
  <si>
    <t>Input Channel 23 Current individual Harmonics 18 percentage</t>
  </si>
  <si>
    <t>HAR18_I_023_%</t>
  </si>
  <si>
    <t>Input Channel 23 Current individual Harmonics 19 percentage</t>
  </si>
  <si>
    <t>HAR19_I_023_%</t>
  </si>
  <si>
    <t>Input Channel 23 Current individual Harmonics 20 percentage</t>
  </si>
  <si>
    <t>HAR20_I_023_%</t>
  </si>
  <si>
    <t>Input Channel 23 Current individual Harmonics 21 percentage</t>
  </si>
  <si>
    <t>HAR21_I_023_%</t>
  </si>
  <si>
    <t>Input Channel 23 Current individual Harmonics 22 percentage</t>
  </si>
  <si>
    <t>HAR22_I_023_%</t>
  </si>
  <si>
    <t>Input Channel 23 Current individual Harmonics 23 percentage</t>
  </si>
  <si>
    <t>HAR23_I_023_%</t>
  </si>
  <si>
    <t>Input Channel 23 Current individual Harmonics 24 percentage</t>
  </si>
  <si>
    <t>HAR24_I_023_%</t>
  </si>
  <si>
    <t>Input Channel 23 Current individual Harmonics 25 percentage</t>
  </si>
  <si>
    <t>HAR25_I_023_%</t>
  </si>
  <si>
    <t>Input Channel 23 Current individual Harmonics 26 percentage</t>
  </si>
  <si>
    <t>HAR26_I_023_%</t>
  </si>
  <si>
    <t>Input Channel 23 Current individual Harmonics 27 percentage</t>
  </si>
  <si>
    <t>HAR27_I_023_%</t>
  </si>
  <si>
    <t>Input Channel 23 Current individual Harmonics 28 percentage</t>
  </si>
  <si>
    <t>HAR28_I_023_%</t>
  </si>
  <si>
    <t>Input Channel 23 Current individual Harmonics 29 percentage</t>
  </si>
  <si>
    <t>HAR29_I_023_%</t>
  </si>
  <si>
    <t>Input Channel 23 Current individual Harmonics 30 percentage</t>
  </si>
  <si>
    <t>HAR30_I_023_%</t>
  </si>
  <si>
    <t>Input Channel 23 Current individual Harmonics 31 percentage</t>
  </si>
  <si>
    <t>HAR31_I_023_%</t>
  </si>
  <si>
    <t>Input Channel 24 Current THD</t>
  </si>
  <si>
    <t>THD_I_024_%</t>
  </si>
  <si>
    <t>Input Channel 24 Current THD Odd</t>
  </si>
  <si>
    <t>OTHD_I_024_%</t>
  </si>
  <si>
    <t>Input Channel 24 Current THD Even</t>
  </si>
  <si>
    <t>ETHD_I_024_%</t>
  </si>
  <si>
    <t>Input Channel 24 Current K Factor</t>
  </si>
  <si>
    <t>KF_I_024_%</t>
  </si>
  <si>
    <t>Input Channel 24 Current individual Harmonics 2 percentage</t>
  </si>
  <si>
    <t>HAR2_I_024_%</t>
  </si>
  <si>
    <t>Input Channel 24 Current individual Harmonics 3 percentage</t>
  </si>
  <si>
    <t>HAR3_I_024_%</t>
  </si>
  <si>
    <t>Input Channel 24 Current individual Harmonics 4 percentage</t>
  </si>
  <si>
    <t>HAR4_I_024_%</t>
  </si>
  <si>
    <t>Input Channel 24 Current individual Harmonics 5 percentage</t>
  </si>
  <si>
    <t>HAR5_I_024_%</t>
  </si>
  <si>
    <t>Input Channel 24 Current individual Harmonics 6 percentage</t>
  </si>
  <si>
    <t>HAR6_I_024_%</t>
  </si>
  <si>
    <t>Input Channel 24 Current individual Harmonics 7 percentage</t>
  </si>
  <si>
    <t>HAR7_I_024_%</t>
  </si>
  <si>
    <t>Input Channel 24 Current individual Harmonics 8 percentage</t>
  </si>
  <si>
    <t>HAR8_I_024_%</t>
  </si>
  <si>
    <t>Input Channel 24 Current individual Harmonics 9 percentage</t>
  </si>
  <si>
    <t>HAR9_I_024_%</t>
  </si>
  <si>
    <t>Input Channel 24 Current individual Harmonics 10 percentage</t>
  </si>
  <si>
    <t>HAR10_I_024_%</t>
  </si>
  <si>
    <t>Input Channel 24 Current individual Harmonics 11 percentage</t>
  </si>
  <si>
    <t>HAR11_I_024_%</t>
  </si>
  <si>
    <t>Input Channel 24 Current individual Harmonics 12 percentage</t>
  </si>
  <si>
    <t>HAR12_I_024_%</t>
  </si>
  <si>
    <t>HAR13_I_024_%</t>
  </si>
  <si>
    <t>Input Channel 24 Current individual Harmonics 14 percentage</t>
  </si>
  <si>
    <t>HAR14_I_024_%</t>
  </si>
  <si>
    <t>Input Channel 24 Current individual Harmonics 15 percentage</t>
  </si>
  <si>
    <t>HAR15_I_024_%</t>
  </si>
  <si>
    <t>Input Channel 24 Current individual Harmonics 16 percentage</t>
  </si>
  <si>
    <t>HAR16_I_024_%</t>
  </si>
  <si>
    <t>Input Channel 24 Current individual Harmonics 17 percentage</t>
  </si>
  <si>
    <t>HAR17_I_024_%</t>
  </si>
  <si>
    <t>Input Channel 24 Current individual Harmonics 18 percentage</t>
  </si>
  <si>
    <t>HAR18_I_024_%</t>
  </si>
  <si>
    <t>Input Channel 24 Current individual Harmonics 19 percentage</t>
  </si>
  <si>
    <t>HAR19_I_024_%</t>
  </si>
  <si>
    <t>Input Channel 24 Current individual Harmonics 20 percentage</t>
  </si>
  <si>
    <t>HAR20_I_024_%</t>
  </si>
  <si>
    <t>Input Channel 24 Current individual Harmonics 21 percentage</t>
  </si>
  <si>
    <t>HAR21_I_024_%</t>
  </si>
  <si>
    <t>Input Channel 24 Current individual Harmonics 22 percentage</t>
  </si>
  <si>
    <t>HAR22_I_024_%</t>
  </si>
  <si>
    <t>Input Channel 24 Current individual Harmonics 23 percentage</t>
  </si>
  <si>
    <t>HAR23_I_024_%</t>
  </si>
  <si>
    <t>Input Channel 24 Current individual Harmonics 24 percentage</t>
  </si>
  <si>
    <t>HAR24_I_024_%</t>
  </si>
  <si>
    <t>Input Channel 24 Current individual Harmonics 25 percentage</t>
  </si>
  <si>
    <t>HAR25_I_024_%</t>
  </si>
  <si>
    <t>Input Channel 24 Current individual Harmonics 26 percentage</t>
  </si>
  <si>
    <t>HAR26_I_024_%</t>
  </si>
  <si>
    <t>Input Channel 24 Current individual Harmonics 27 percentage</t>
  </si>
  <si>
    <t>HAR27_I_024_%</t>
  </si>
  <si>
    <t>Input Channel 24 Current individual Harmonics 28 percentage</t>
  </si>
  <si>
    <t>HAR28_I_024_%</t>
  </si>
  <si>
    <t>Input Channel 24 Current individual Harmonics 29 percentage</t>
  </si>
  <si>
    <t>HAR29_I_024_%</t>
  </si>
  <si>
    <t>Input Channel 24 Current individual Harmonics 30 percentage</t>
  </si>
  <si>
    <t>HAR30_I_024_%</t>
  </si>
  <si>
    <t>Input Channel 24 Current individual Harmonics 31 percentage</t>
  </si>
  <si>
    <t>HAR31_I_024_%</t>
  </si>
  <si>
    <t>User Channel 1 Current Positive Sequence Magnitude</t>
  </si>
  <si>
    <t>MAG_SEQ_POS_I_s001</t>
  </si>
  <si>
    <t>14-37</t>
  </si>
  <si>
    <t>User Channel 1 Current Zero Sequence Magnitude</t>
  </si>
  <si>
    <t>MAG_SEQ_ZERO_I_s001</t>
  </si>
  <si>
    <t>User Channel 1 Current Negative Sequence Magnitude</t>
  </si>
  <si>
    <t>MAG_SEQ_NEG_I_s001</t>
  </si>
  <si>
    <t>User Channel 1 Current Positive Sequence Angle</t>
  </si>
  <si>
    <t>ANG_SEQ_POS_I_s001</t>
  </si>
  <si>
    <t>User Channel 1 Current Zero Sequence Angle</t>
  </si>
  <si>
    <t>ANG_SEQ_ZERO_I_s001</t>
  </si>
  <si>
    <t>User Channel 1 Current Negative Sequence Angle</t>
  </si>
  <si>
    <t>ANG_SEQ_NEG_I_s001</t>
  </si>
  <si>
    <t>User Channel 1 Current Unbalance Factor Magnitude</t>
  </si>
  <si>
    <t>UNBL_I_s001_%</t>
  </si>
  <si>
    <t>User Channel 2 Current Positive Sequence Magnitude</t>
  </si>
  <si>
    <t>MAG_SEQ_POS_I_s002</t>
  </si>
  <si>
    <t>User Channel 2 Current Zero Sequence Magnitude</t>
  </si>
  <si>
    <t>MAG_SEQ_ZERO_I_s002</t>
  </si>
  <si>
    <t>User Channel 2 Current Negative Sequence Magnitude</t>
  </si>
  <si>
    <t>MAG_SEQ_NEG_I_s002</t>
  </si>
  <si>
    <t>User Channel 2 Current Positive Sequence Angle</t>
  </si>
  <si>
    <t>ANG_SEQ_POS_I_s002</t>
  </si>
  <si>
    <t>User Channel 2 Current Zero Sequence Angle</t>
  </si>
  <si>
    <t>ANG_SEQ_ZERO_I_s002</t>
  </si>
  <si>
    <t>User Channel 2 Current Negative Sequence Angle</t>
  </si>
  <si>
    <t>ANG_SEQ_NEG_I_s002</t>
  </si>
  <si>
    <t>User Channel 2 Current Unbalance Factor Magnitude</t>
  </si>
  <si>
    <t>UNBL_I_s002_%</t>
  </si>
  <si>
    <t>User Channel 3 Current Positive Sequence Magnitude</t>
  </si>
  <si>
    <t>MAG_SEQ_POS_I_s003</t>
  </si>
  <si>
    <t>User Channel 3 Current Zero Sequence Magnitude</t>
  </si>
  <si>
    <t>MAG_SEQ_ZERO_I_s003</t>
  </si>
  <si>
    <t>User Channel 3 Current Negative Sequence Magnitude</t>
  </si>
  <si>
    <t>MAG_SEQ_NEG_I_s003</t>
  </si>
  <si>
    <t>User Channel 3 Current Positive Sequence Angle</t>
  </si>
  <si>
    <t>ANG_SEQ_POS_I_s003</t>
  </si>
  <si>
    <t>User Channel 3 Current Zero Sequence Angle</t>
  </si>
  <si>
    <t>ANG_SEQ_ZERO_I_s003</t>
  </si>
  <si>
    <t>User Channel 3 Current Negative Sequence Angle</t>
  </si>
  <si>
    <t>ANG_SEQ_NEG_I_s003</t>
  </si>
  <si>
    <t>User Channel 3 Current Unbalance Factor Magnitude</t>
  </si>
  <si>
    <t>UNBL_I_s003_%</t>
  </si>
  <si>
    <t>User Channel 4 Current Positive Sequence Magnitude</t>
  </si>
  <si>
    <t>MAG_SEQ_POS_I_s004</t>
  </si>
  <si>
    <t>User Channel 4 Current Zero Sequence Magnitude</t>
  </si>
  <si>
    <t>MAG_SEQ_ZERO_I_s004</t>
  </si>
  <si>
    <t>User Channel 4 Current Negative Sequence Magnitude</t>
  </si>
  <si>
    <t>MAG_SEQ_NEG_I_s004</t>
  </si>
  <si>
    <t>User Channel 4 Current Positive Sequence Angle</t>
  </si>
  <si>
    <t>ANG_SEQ_POS_I_s004</t>
  </si>
  <si>
    <t>User Channel 4 Current Zero Sequence Angle</t>
  </si>
  <si>
    <t>ANG_SEQ_ZERO_I_s004</t>
  </si>
  <si>
    <t>User Channel 4 Current Negative Sequence Angle</t>
  </si>
  <si>
    <t>ANG_SEQ_NEG_I_s004</t>
  </si>
  <si>
    <t>User Channel 4 Current Unbalance Factor Magnitude</t>
  </si>
  <si>
    <t>UNBL_I_s004_%</t>
  </si>
  <si>
    <t>User Channel 5 Current Positive Sequence Magnitude</t>
  </si>
  <si>
    <t>MAG_SEQ_POS_I_s005</t>
  </si>
  <si>
    <t>User Channel 5 Current Zero Sequence Magnitude</t>
  </si>
  <si>
    <t>MAG_SEQ_ZERO_I_s005</t>
  </si>
  <si>
    <t>User Channel 5 Current Negative Sequence Magnitude</t>
  </si>
  <si>
    <t>MAG_SEQ_NEG_I_s005</t>
  </si>
  <si>
    <t>User Channel 5 Current Positive Sequence Angle</t>
  </si>
  <si>
    <t>ANG_SEQ_POS_I_s005</t>
  </si>
  <si>
    <t>User Channel 5 Current Zero Sequence Angle</t>
  </si>
  <si>
    <t>ANG_SEQ_ZERO_I_s005</t>
  </si>
  <si>
    <t>User Channel 5 Current Negative Sequence Angle</t>
  </si>
  <si>
    <t>ANG_SEQ_NEG_I_s005</t>
  </si>
  <si>
    <t>User Channel 5 Current Unbalance Factor Magnitude</t>
  </si>
  <si>
    <t>UNBL_I_s005_%</t>
  </si>
  <si>
    <t>User Channel 6 Current Positive Sequence Magnitude</t>
  </si>
  <si>
    <t>MAG_SEQ_POS_I_s006</t>
  </si>
  <si>
    <t>User Channel 6 Current Zero Sequence Magnitude</t>
  </si>
  <si>
    <t>MAG_SEQ_ZERO_I_s006</t>
  </si>
  <si>
    <t>User Channel 6 Current Negative Sequence Magnitude</t>
  </si>
  <si>
    <t>MAG_SEQ_NEG_I_s006</t>
  </si>
  <si>
    <t>User Channel 6 Current Positive Sequence Angle</t>
  </si>
  <si>
    <t>ANG_SEQ_POS_I_s006</t>
  </si>
  <si>
    <t>User Channel 6 Current Zero Sequence Angle</t>
  </si>
  <si>
    <t>ANG_SEQ_ZERO_I_s006</t>
  </si>
  <si>
    <t>User Channel 6 Current Negative Sequence Angle</t>
  </si>
  <si>
    <t>ANG_SEQ_NEG_I_s006</t>
  </si>
  <si>
    <t>User Channel 6 Current Unbalance Factor Magnitude</t>
  </si>
  <si>
    <t>UNBL_I_s006_%</t>
  </si>
  <si>
    <t>User Channel 7 Current Positive Sequence Magnitude</t>
  </si>
  <si>
    <t>MAG_SEQ_POS_I_s007</t>
  </si>
  <si>
    <t>User Channel 7 Current Zero Sequence Magnitude</t>
  </si>
  <si>
    <t>MAG_SEQ_ZERO_I_s007</t>
  </si>
  <si>
    <t>User Channel 7 Current Negative Sequence Magnitude</t>
  </si>
  <si>
    <t>MAG_SEQ_NEG_I_s007</t>
  </si>
  <si>
    <t>User Channel 7 Current Positive Sequence Angle</t>
  </si>
  <si>
    <t>ANG_SEQ_POS_I_s007</t>
  </si>
  <si>
    <t>User Channel 7 Current Zero Sequence Angle</t>
  </si>
  <si>
    <t>ANG_SEQ_ZERO_I_s007</t>
  </si>
  <si>
    <t>User Channel 7 Current Negative Sequence Angle</t>
  </si>
  <si>
    <t>ANG_SEQ_NEG_I_s007</t>
  </si>
  <si>
    <t>User Channel 7 Current Unbalance Factor Magnitude</t>
  </si>
  <si>
    <t>UNBL_I_s007_%</t>
  </si>
  <si>
    <t>User Channel 8 Current Positive Sequence Magnitude</t>
  </si>
  <si>
    <t>MAG_SEQ_POS_I_s008</t>
  </si>
  <si>
    <t>User Channel 8 Current Zero Sequence Magnitude</t>
  </si>
  <si>
    <t>MAG_SEQ_ZERO_I_s008</t>
  </si>
  <si>
    <t>User Channel 8 Current Negative Sequence Magnitude</t>
  </si>
  <si>
    <t>MAG_SEQ_NEG_I_s008</t>
  </si>
  <si>
    <t>User Channel 8 Current Positive Sequence Angle</t>
  </si>
  <si>
    <t>ANG_SEQ_POS_I_s008</t>
  </si>
  <si>
    <t>User Channel 8 Current Zero Sequence Angle</t>
  </si>
  <si>
    <t>ANG_SEQ_ZERO_I_s008</t>
  </si>
  <si>
    <t>User Channel 8 Current Negative Sequence Angle</t>
  </si>
  <si>
    <t>ANG_SEQ_NEG_I_s008</t>
  </si>
  <si>
    <t>User Channel 8 Current Unbalance Factor Magnitude</t>
  </si>
  <si>
    <t>UNBL_I_s008_%</t>
  </si>
  <si>
    <t>User Channel 9 Current Positive Sequence Magnitude</t>
  </si>
  <si>
    <t>MAG_SEQ_POS_I_s009</t>
  </si>
  <si>
    <t>User Channel 9 Current Zero Sequence Magnitude</t>
  </si>
  <si>
    <t>MAG_SEQ_ZERO_I_s009</t>
  </si>
  <si>
    <t>User Channel 9 Current Negative Sequence Magnitude</t>
  </si>
  <si>
    <t>MAG_SEQ_NEG_I_s009</t>
  </si>
  <si>
    <t>User Channel 9 Current Positive Sequence Angle</t>
  </si>
  <si>
    <t>ANG_SEQ_POS_I_s009</t>
  </si>
  <si>
    <t>User Channel 9 Current Zero Sequence Angle</t>
  </si>
  <si>
    <t>ANG_SEQ_ZERO_I_s009</t>
  </si>
  <si>
    <t>User Channel 9 Current Negative Sequence Angle</t>
  </si>
  <si>
    <t>ANG_SEQ_NEG_I_s009</t>
  </si>
  <si>
    <t>User Channel 9 Current Unbalance Factor Magnitude</t>
  </si>
  <si>
    <t>UNBL_I_s009_%</t>
  </si>
  <si>
    <t>User Channel 10 Current Positive Sequence Magnitude</t>
  </si>
  <si>
    <t>MAG_SEQ_POS_I_s010</t>
  </si>
  <si>
    <t>User Channel 10 Current Zero Sequence Magnitude</t>
  </si>
  <si>
    <t>MAG_SEQ_ZERO_I_s010</t>
  </si>
  <si>
    <t>User Channel 10 Current Negative Sequence Magnitude</t>
  </si>
  <si>
    <t>MAG_SEQ_NEG_I_s010</t>
  </si>
  <si>
    <t>User Channel 10 Current Positive Sequence Angle</t>
  </si>
  <si>
    <t>ANG_SEQ_POS_I_s010</t>
  </si>
  <si>
    <t>User Channel 10 Current Zero Sequence Angle</t>
  </si>
  <si>
    <t>ANG_SEQ_ZERO_I_s010</t>
  </si>
  <si>
    <t>User Channel 10 Current Negative Sequence Angle</t>
  </si>
  <si>
    <t>ANG_SEQ_NEG_I_s010</t>
  </si>
  <si>
    <t>User Channel 10 Current Unbalance Factor Magnitude</t>
  </si>
  <si>
    <t>UNBL_I_s010_%</t>
  </si>
  <si>
    <t>User Channel 11 Current Positive Sequence Magnitude</t>
  </si>
  <si>
    <t>MAG_SEQ_POS_I_s011</t>
  </si>
  <si>
    <t>User Channel 11 Current Zero Sequence Magnitude</t>
  </si>
  <si>
    <t>MAG_SEQ_ZERO_I_s011</t>
  </si>
  <si>
    <t>User Channel 11 Current Negative Sequence Magnitude</t>
  </si>
  <si>
    <t>MAG_SEQ_NEG_I_s011</t>
  </si>
  <si>
    <t>User Channel 11 Current Positive Sequence Angle</t>
  </si>
  <si>
    <t>ANG_SEQ_POS_I_s011</t>
  </si>
  <si>
    <t>User Channel 11 Current Zero Sequence Angle</t>
  </si>
  <si>
    <t>ANG_SEQ_ZERO_I_s011</t>
  </si>
  <si>
    <t>User Channel 11 Current Negative Sequence Angle</t>
  </si>
  <si>
    <t>ANG_SEQ_NEG_I_s011</t>
  </si>
  <si>
    <t>User Channel 11 Current Unbalance Factor Magnitude</t>
  </si>
  <si>
    <t>UNBL_I_s011_%</t>
  </si>
  <si>
    <t>User Channel 12 Current Positive Sequence Magnitude</t>
  </si>
  <si>
    <t>MAG_SEQ_POS_I_s012</t>
  </si>
  <si>
    <t>User Channel 12 Current Zero Sequence Magnitude</t>
  </si>
  <si>
    <t>MAG_SEQ_ZERO_I_s012</t>
  </si>
  <si>
    <t>User Channel 12 Current Negative Sequence Magnitude</t>
  </si>
  <si>
    <t>MAG_SEQ_NEG_I_s012</t>
  </si>
  <si>
    <t>User Channel 12 Current Positive Sequence Angle</t>
  </si>
  <si>
    <t>ANG_SEQ_POS_I_s012</t>
  </si>
  <si>
    <t>User Channel 12 Current Zero Sequence Angle</t>
  </si>
  <si>
    <t>ANG_SEQ_ZERO_I_s012</t>
  </si>
  <si>
    <t>User Channel 12 Current Negative Sequence Angle</t>
  </si>
  <si>
    <t>ANG_SEQ_NEG_I_s012</t>
  </si>
  <si>
    <t>User Channel 12 Current Unbalance Factor Magnitude</t>
  </si>
  <si>
    <t>UNBL_I_s012_%</t>
  </si>
  <si>
    <t>Phase A active energy import</t>
  </si>
  <si>
    <t>kWh</t>
  </si>
  <si>
    <t>double</t>
  </si>
  <si>
    <t>4-43</t>
  </si>
  <si>
    <t>11-3-1-26</t>
  </si>
  <si>
    <t>Phase A active energy export</t>
  </si>
  <si>
    <t>Phase A active energy net</t>
  </si>
  <si>
    <t>Phase A active energy total</t>
  </si>
  <si>
    <t>Phase A reactive energy import</t>
  </si>
  <si>
    <t>kvarh</t>
  </si>
  <si>
    <t>Phase A reactive energy export</t>
  </si>
  <si>
    <t>Phase A reactive energy net</t>
  </si>
  <si>
    <t>Phase A reactive energy total</t>
  </si>
  <si>
    <t>Phase A apparent energy</t>
  </si>
  <si>
    <t>kVAh</t>
  </si>
  <si>
    <t>Phase B active energy import</t>
  </si>
  <si>
    <t>Phase B active energy export</t>
  </si>
  <si>
    <t>Phase B active energy net</t>
  </si>
  <si>
    <t>Phase B active energy total</t>
  </si>
  <si>
    <t>Phase B reactive energy import</t>
  </si>
  <si>
    <t>Phase B reactive energy export</t>
  </si>
  <si>
    <t>Phase B reactive energy net</t>
  </si>
  <si>
    <t>Phase B reactive energy total</t>
  </si>
  <si>
    <t>Phase B apparent energy</t>
  </si>
  <si>
    <t>Phase C active energy import</t>
  </si>
  <si>
    <t>Phase C active energy export</t>
  </si>
  <si>
    <t>Phase C active energy net</t>
  </si>
  <si>
    <t>Phase C active energy total</t>
  </si>
  <si>
    <t>Phase C reactive energy import</t>
  </si>
  <si>
    <t>Phase C reactive energy export</t>
  </si>
  <si>
    <t>Phase C reactive energy net</t>
  </si>
  <si>
    <t>Phase C reactive energy total</t>
  </si>
  <si>
    <t>Phase C apparent energy</t>
  </si>
  <si>
    <t>System active energy import</t>
  </si>
  <si>
    <t>11-3-1</t>
  </si>
  <si>
    <t>System active energy export</t>
  </si>
  <si>
    <t>System active energy net</t>
  </si>
  <si>
    <t>System active energy total</t>
  </si>
  <si>
    <t>System reactive energy import</t>
  </si>
  <si>
    <t>System reactive energy export</t>
  </si>
  <si>
    <t>System reactive energy net</t>
  </si>
  <si>
    <t>System reactive energy total</t>
  </si>
  <si>
    <t>System apparent energy</t>
  </si>
  <si>
    <t>Input Channel 1 active energy import</t>
  </si>
  <si>
    <t>EP_IMP_001_kWh</t>
  </si>
  <si>
    <t>12-3-1</t>
  </si>
  <si>
    <t>Input Channel 1 active energy export</t>
  </si>
  <si>
    <t>EP_EXP_001_kWh</t>
  </si>
  <si>
    <t>Input Channel 1 active energy net</t>
  </si>
  <si>
    <t>EP_NET_001_kWh</t>
  </si>
  <si>
    <t>Input Channel 1 active energy total</t>
  </si>
  <si>
    <t>EP_TOTAL_001_kWh</t>
  </si>
  <si>
    <t>Input Channel 1 reactive energy import</t>
  </si>
  <si>
    <t>EQ_IMP_001_kvarh</t>
  </si>
  <si>
    <t>Input Channel 1 reactive energy export</t>
  </si>
  <si>
    <t>EQ_EXP_001_kvarh</t>
  </si>
  <si>
    <t>Input Channel 1 reactive energy net</t>
  </si>
  <si>
    <t>EQ_NET_001_kvarh</t>
  </si>
  <si>
    <t>Input Channel 1 reactive energy total</t>
  </si>
  <si>
    <t>EQ_TOTAL_001_kvarh</t>
  </si>
  <si>
    <t>Input Channel 1 apparent energy</t>
  </si>
  <si>
    <t>ES_001_kVAh</t>
  </si>
  <si>
    <t>Input Channel 2 active energy import</t>
  </si>
  <si>
    <t>EP_IMP_002_kWh</t>
  </si>
  <si>
    <t>Input Channel 2 active energy export</t>
  </si>
  <si>
    <t>EP_EXP_002_kWh</t>
  </si>
  <si>
    <t>Input Channel 2 active energy net</t>
  </si>
  <si>
    <t>EP_NET_002_kWh</t>
  </si>
  <si>
    <t>Input Channel 2 active energy total</t>
  </si>
  <si>
    <t>EP_TOTAL_002_kWh</t>
  </si>
  <si>
    <t>Input Channel 2 reactive energy import</t>
  </si>
  <si>
    <t>EQ_IMP_002_kvarh</t>
  </si>
  <si>
    <t>Input Channel 2 reactive energy export</t>
  </si>
  <si>
    <t>EQ_EXP_002_kvarh</t>
  </si>
  <si>
    <t>Input Channel 2 reactive energy net</t>
  </si>
  <si>
    <t>EQ_NET_002_kvarh</t>
  </si>
  <si>
    <t>Input Channel 2 reactive energy total</t>
  </si>
  <si>
    <t>EQ_TOTAL_002_kvarh</t>
  </si>
  <si>
    <t>Input Channel 2 apparent energy</t>
  </si>
  <si>
    <t>ES_002_kVAh</t>
  </si>
  <si>
    <t>Input Channel 3 active energy import</t>
  </si>
  <si>
    <t>EP_IMP_003_kWh</t>
  </si>
  <si>
    <t>Input Channel 3 active energy export</t>
  </si>
  <si>
    <t>EP_EXP_003_kWh</t>
  </si>
  <si>
    <t>Input Channel 3 active energy net</t>
  </si>
  <si>
    <t>EP_NET_003_kWh</t>
  </si>
  <si>
    <t>Input Channel 3 active energy total</t>
  </si>
  <si>
    <t>EP_TOTAL_003_kWh</t>
  </si>
  <si>
    <t>Input Channel 3 reactive energy import</t>
  </si>
  <si>
    <t>EQ_IMP_003_kvarh</t>
  </si>
  <si>
    <t>Input Channel 3 reactive energy export</t>
  </si>
  <si>
    <t>EQ_EXP_003_kvarh</t>
  </si>
  <si>
    <t>Input Channel 3 reactive energy net</t>
  </si>
  <si>
    <t>EQ_NET_003_kvarh</t>
  </si>
  <si>
    <t>Input Channel 3 reactive energy total</t>
  </si>
  <si>
    <t>EQ_TOTAL_003_kvarh</t>
  </si>
  <si>
    <t>Input Channel 3 apparent energy</t>
  </si>
  <si>
    <t>ES_003_kVAh</t>
  </si>
  <si>
    <t>Input Channel 4 active energy import</t>
  </si>
  <si>
    <t>EP_IMP_004_kWh</t>
  </si>
  <si>
    <t>Input Channel 4 active energy export</t>
  </si>
  <si>
    <t>EP_EXP_004_kWh</t>
  </si>
  <si>
    <t>Input Channel 4 active energy net</t>
  </si>
  <si>
    <t>EP_NET_004_kWh</t>
  </si>
  <si>
    <t>Input Channel 4 active energy total</t>
  </si>
  <si>
    <t>EP_TOTAL_004_kWh</t>
  </si>
  <si>
    <t>Input Channel 4 reactive energy import</t>
  </si>
  <si>
    <t>EQ_IMP_004_kvarh</t>
  </si>
  <si>
    <t>Input Channel 4 reactive energy export</t>
  </si>
  <si>
    <t>EQ_EXP_004_kvarh</t>
  </si>
  <si>
    <t>Input Channel 4 reactive energy net</t>
  </si>
  <si>
    <t>EQ_NET_004_kvarh</t>
  </si>
  <si>
    <t>Input Channel 4 reactive energy total</t>
  </si>
  <si>
    <t>EQ_TOTAL_004_kvarh</t>
  </si>
  <si>
    <t>Input Channel 4 apparent energy</t>
  </si>
  <si>
    <t>ES_004_kVAh</t>
  </si>
  <si>
    <t>Input Channel 5 active energy import</t>
  </si>
  <si>
    <t>EP_IMP_005_kWh</t>
  </si>
  <si>
    <t>Input Channel 5 active energy export</t>
  </si>
  <si>
    <t>EP_EXP_005_kWh</t>
  </si>
  <si>
    <t>Input Channel 5 active energy net</t>
  </si>
  <si>
    <t>EP_NET_005_kWh</t>
  </si>
  <si>
    <t>Input Channel 5 active energy total</t>
  </si>
  <si>
    <t>EP_TOTAL_005_kWh</t>
  </si>
  <si>
    <t>Input Channel 5 reactive energy import</t>
  </si>
  <si>
    <t>EQ_IMP_005_kvarh</t>
  </si>
  <si>
    <t>Input Channel 5 reactive energy export</t>
  </si>
  <si>
    <t>EQ_EXP_005_kvarh</t>
  </si>
  <si>
    <t>Input Channel 5 reactive energy net</t>
  </si>
  <si>
    <t>EQ_NET_005_kvarh</t>
  </si>
  <si>
    <t>Input Channel 5 reactive energy total</t>
  </si>
  <si>
    <t>EQ_TOTAL_005_kvarh</t>
  </si>
  <si>
    <t>Input Channel 5 apparent energy</t>
  </si>
  <si>
    <t>ES_005_kVAh</t>
  </si>
  <si>
    <t>Input Channel 6 active energy import</t>
  </si>
  <si>
    <t>EP_IMP_006_kWh</t>
  </si>
  <si>
    <t>Input Channel 6 active energy export</t>
  </si>
  <si>
    <t>EP_EXP_006_kWh</t>
  </si>
  <si>
    <t>Input Channel 6 active energy net</t>
  </si>
  <si>
    <t>EP_NET_006_kWh</t>
  </si>
  <si>
    <t>Input Channel 6 active energy total</t>
  </si>
  <si>
    <t>EP_TOTAL_006_kWh</t>
  </si>
  <si>
    <t>Input Channel 6 reactive energy import</t>
  </si>
  <si>
    <t>EQ_IMP_006_kvarh</t>
  </si>
  <si>
    <t>Input Channel 6 reactive energy export</t>
  </si>
  <si>
    <t>EQ_EXP_006_kvarh</t>
  </si>
  <si>
    <t>Input Channel 6 reactive energy net</t>
  </si>
  <si>
    <t>EQ_NET_006_kvarh</t>
  </si>
  <si>
    <t>Input Channel 6 reactive energy total</t>
  </si>
  <si>
    <t>EQ_TOTAL_006_kvarh</t>
  </si>
  <si>
    <t>Input Channel 6 apparent energy</t>
  </si>
  <si>
    <t>ES_006_kVAh</t>
  </si>
  <si>
    <t>Input Channel 7 active energy import</t>
  </si>
  <si>
    <t>EP_IMP_007_kWh</t>
  </si>
  <si>
    <t>Input Channel 7 active energy export</t>
  </si>
  <si>
    <t>EP_EXP_007_kWh</t>
  </si>
  <si>
    <t>Input Channel 7 active energy net</t>
  </si>
  <si>
    <t>EP_NET_007_kWh</t>
  </si>
  <si>
    <t>Input Channel 7 active energy total</t>
  </si>
  <si>
    <t>EP_TOTAL_007_kWh</t>
  </si>
  <si>
    <t>Input Channel 7 reactive energy import</t>
  </si>
  <si>
    <t>EQ_IMP_007_kvarh</t>
  </si>
  <si>
    <t>Input Channel 7 reactive energy export</t>
  </si>
  <si>
    <t>EQ_EXP_007_kvarh</t>
  </si>
  <si>
    <t>Input Channel 7 reactive energy net</t>
  </si>
  <si>
    <t>EQ_NET_007_kvarh</t>
  </si>
  <si>
    <t>Input Channel 7 reactive energy total</t>
  </si>
  <si>
    <t>EQ_TOTAL_007_kvarh</t>
  </si>
  <si>
    <t>Input Channel 7 apparent energy</t>
  </si>
  <si>
    <t>ES_007_kVAh</t>
  </si>
  <si>
    <t>Input Channel 8 active energy import</t>
  </si>
  <si>
    <t>EP_IMP_008_kWh</t>
  </si>
  <si>
    <t>Input Channel 8 active energy export</t>
  </si>
  <si>
    <t>EP_EXP_008_kWh</t>
  </si>
  <si>
    <t>Input Channel 8 active energy net</t>
  </si>
  <si>
    <t>EP_NET_008_kWh</t>
  </si>
  <si>
    <t>Input Channel 8 active energy total</t>
  </si>
  <si>
    <t>EP_TOTAL_008_kWh</t>
  </si>
  <si>
    <t>Input Channel 8 reactive energy import</t>
  </si>
  <si>
    <t>EQ_IMP_008_kvarh</t>
  </si>
  <si>
    <t>Input Channel 8 reactive energy export</t>
  </si>
  <si>
    <t>EQ_EXP_008_kvarh</t>
  </si>
  <si>
    <t>Input Channel 8 reactive energy net</t>
  </si>
  <si>
    <t>EQ_NET_008_kvarh</t>
  </si>
  <si>
    <t>Input Channel 8 reactive energy total</t>
  </si>
  <si>
    <t>EQ_TOTAL_008_kvarh</t>
  </si>
  <si>
    <t>Input Channel 8 apparent energy</t>
  </si>
  <si>
    <t>ES_008_kVAh</t>
  </si>
  <si>
    <t>Input Channel 9 active energy import</t>
  </si>
  <si>
    <t>EP_IMP_009_kWh</t>
  </si>
  <si>
    <t>Input Channel 9 active energy export</t>
  </si>
  <si>
    <t>EP_EXP_009_kWh</t>
  </si>
  <si>
    <t>Input Channel 9 active energy net</t>
  </si>
  <si>
    <t>EP_NET_009_kWh</t>
  </si>
  <si>
    <t>Input Channel 9 active energy total</t>
  </si>
  <si>
    <t>EP_TOTAL_009_kWh</t>
  </si>
  <si>
    <t>Input Channel 9 reactive energy import</t>
  </si>
  <si>
    <t>EQ_IMP_009_kvarh</t>
  </si>
  <si>
    <t>Input Channel 9 reactive energy export</t>
  </si>
  <si>
    <t>EQ_EXP_009_kvarh</t>
  </si>
  <si>
    <t>Input Channel 9 reactive energy net</t>
  </si>
  <si>
    <t>EQ_NET_009_kvarh</t>
  </si>
  <si>
    <t>Input Channel 9 reactive energy total</t>
  </si>
  <si>
    <t>EQ_TOTAL_009_kvarh</t>
  </si>
  <si>
    <t>Input Channel 9 apparent energy</t>
  </si>
  <si>
    <t>ES_009_kVAh</t>
  </si>
  <si>
    <t>Input Channel 10 active energy import</t>
  </si>
  <si>
    <t>EP_IMP_010_kWh</t>
  </si>
  <si>
    <t>Input Channel 10 active energy export</t>
  </si>
  <si>
    <t>EP_EXP_010_kWh</t>
  </si>
  <si>
    <t>Input Channel 10 active energy net</t>
  </si>
  <si>
    <t>EP_NET_010_kWh</t>
  </si>
  <si>
    <t>Input Channel 10 active energy total</t>
  </si>
  <si>
    <t>EP_TOTAL_010_kWh</t>
  </si>
  <si>
    <t>Input Channel 10 reactive energy import</t>
  </si>
  <si>
    <t>EQ_IMP_010_kvarh</t>
  </si>
  <si>
    <t>Input Channel 10 reactive energy export</t>
  </si>
  <si>
    <t>EQ_EXP_010_kvarh</t>
  </si>
  <si>
    <t>Input Channel 10 reactive energy net</t>
  </si>
  <si>
    <t>EQ_NET_010_kvarh</t>
  </si>
  <si>
    <t>Input Channel 10 reactive energy total</t>
  </si>
  <si>
    <t>EQ_TOTAL_010_kvarh</t>
  </si>
  <si>
    <t>Input Channel 10 apparent energy</t>
  </si>
  <si>
    <t>ES_010_kVAh</t>
  </si>
  <si>
    <t>Input Channel 11 active energy import</t>
  </si>
  <si>
    <t>EP_IMP_011_kWh</t>
  </si>
  <si>
    <t>Input Channel 11 active energy export</t>
  </si>
  <si>
    <t>EP_EXP_011_kWh</t>
  </si>
  <si>
    <t>Input Channel 11 active energy net</t>
  </si>
  <si>
    <t>EP_NET_011_kWh</t>
  </si>
  <si>
    <t>Input Channel 11 active energy total</t>
  </si>
  <si>
    <t>EP_TOTAL_011_kWh</t>
  </si>
  <si>
    <t>Input Channel 11 reactive energy import</t>
  </si>
  <si>
    <t>EQ_IMP_011_kvarh</t>
  </si>
  <si>
    <t>Input Channel 11 reactive energy export</t>
  </si>
  <si>
    <t>EQ_EXP_011_kvarh</t>
  </si>
  <si>
    <t>Input Channel 11 reactive energy net</t>
  </si>
  <si>
    <t>EQ_NET_011_kvarh</t>
  </si>
  <si>
    <t>Input Channel 11 reactive energy total</t>
  </si>
  <si>
    <t>EQ_TOTAL_011_kvarh</t>
  </si>
  <si>
    <t>Input Channel 11 apparent energy</t>
  </si>
  <si>
    <t>ES_011_kVAh</t>
  </si>
  <si>
    <t>Input Channel 12 active energy import</t>
  </si>
  <si>
    <t>EP_IMP_012_kWh</t>
  </si>
  <si>
    <t>Input Channel 12 active energy export</t>
  </si>
  <si>
    <t>EP_EXP_012_kWh</t>
  </si>
  <si>
    <t>Input Channel 12 active energy net</t>
  </si>
  <si>
    <t>EP_NET_012_kWh</t>
  </si>
  <si>
    <t>Input Channel 12 active energy total</t>
  </si>
  <si>
    <t>EP_TOTAL_012_kWh</t>
  </si>
  <si>
    <t>Input Channel 12 reactive energy import</t>
  </si>
  <si>
    <t>EQ_IMP_012_kvarh</t>
  </si>
  <si>
    <t>Input Channel 12 reactive energy export</t>
  </si>
  <si>
    <t>EQ_EXP_012_kvarh</t>
  </si>
  <si>
    <t>Input Channel 12 reactive energy net</t>
  </si>
  <si>
    <t>EQ_NET_012_kvarh</t>
  </si>
  <si>
    <t>Input Channel 12 reactive energy total</t>
  </si>
  <si>
    <t>EQ_TOTAL_012_kvarh</t>
  </si>
  <si>
    <t>Input Channel 12 apparent energy</t>
  </si>
  <si>
    <t>ES_012_kVAh</t>
  </si>
  <si>
    <t>Input Channel 13 active energy import</t>
  </si>
  <si>
    <t>EP_IMP_013_kWh</t>
  </si>
  <si>
    <t>Input Channel 13 active energy export</t>
  </si>
  <si>
    <t>EP_EXP_013_kWh</t>
  </si>
  <si>
    <t>Input Channel 13 active energy net</t>
  </si>
  <si>
    <t>EP_NET_013_kWh</t>
  </si>
  <si>
    <t>Input Channel 13 active energy total</t>
  </si>
  <si>
    <t>EP_TOTAL_013_kWh</t>
  </si>
  <si>
    <t>Input Channel 13 reactive energy import</t>
  </si>
  <si>
    <t>EQ_IMP_013_kvarh</t>
  </si>
  <si>
    <t>Input Channel 13 reactive energy export</t>
  </si>
  <si>
    <t>EQ_EXP_013_kvarh</t>
  </si>
  <si>
    <t>Input Channel 13 reactive energy net</t>
  </si>
  <si>
    <t>EQ_NET_013_kvarh</t>
  </si>
  <si>
    <t>Input Channel 13 reactive energy total</t>
  </si>
  <si>
    <t>EQ_TOTAL_013_kvarh</t>
  </si>
  <si>
    <t>Input Channel 13 apparent energy</t>
  </si>
  <si>
    <t>ES_013_kVAh</t>
  </si>
  <si>
    <t>Input Channel 14 active energy import</t>
  </si>
  <si>
    <t>EP_IMP_014_kWh</t>
  </si>
  <si>
    <t>Input Channel 14 active energy export</t>
  </si>
  <si>
    <t>EP_EXP_014_kWh</t>
  </si>
  <si>
    <t>Input Channel 14 active energy net</t>
  </si>
  <si>
    <t>EP_NET_014_kWh</t>
  </si>
  <si>
    <t>Input Channel 14 active energy total</t>
  </si>
  <si>
    <t>EP_TOTAL_014_kWh</t>
  </si>
  <si>
    <t>Input Channel 14 reactive energy import</t>
  </si>
  <si>
    <t>EQ_IMP_014_kvarh</t>
  </si>
  <si>
    <t>Input Channel 14 reactive energy export</t>
  </si>
  <si>
    <t>EQ_EXP_014_kvarh</t>
  </si>
  <si>
    <t>Input Channel 14 reactive energy net</t>
  </si>
  <si>
    <t>EQ_NET_014_kvarh</t>
  </si>
  <si>
    <t>Input Channel 14 reactive energy total</t>
  </si>
  <si>
    <t>EQ_TOTAL_014_kvarh</t>
  </si>
  <si>
    <t>Input Channel 14 apparent energy</t>
  </si>
  <si>
    <t>ES_014_kVAh</t>
  </si>
  <si>
    <t>Input Channel 15 active energy import</t>
  </si>
  <si>
    <t>EP_IMP_015_kWh</t>
  </si>
  <si>
    <t>Input Channel 15 active energy export</t>
  </si>
  <si>
    <t>EP_EXP_015_kWh</t>
  </si>
  <si>
    <t>Input Channel 15 active energy net</t>
  </si>
  <si>
    <t>EP_NET_015_kWh</t>
  </si>
  <si>
    <t>Input Channel 15 active energy total</t>
  </si>
  <si>
    <t>EP_TOTAL_015_kWh</t>
  </si>
  <si>
    <t>Input Channel 15 reactive energy import</t>
  </si>
  <si>
    <t>EQ_IMP_015_kvarh</t>
  </si>
  <si>
    <t>Input Channel 15 reactive energy export</t>
  </si>
  <si>
    <t>EQ_EXP_015_kvarh</t>
  </si>
  <si>
    <t>Input Channel 15 reactive energy net</t>
  </si>
  <si>
    <t>EQ_NET_015_kvarh</t>
  </si>
  <si>
    <t>Input Channel 15 reactive energy total</t>
  </si>
  <si>
    <t>EQ_TOTAL_015_kvarh</t>
  </si>
  <si>
    <t>Input Channel 15 apparent energy</t>
  </si>
  <si>
    <t>ES_015_kVAh</t>
  </si>
  <si>
    <t>Input Channel 16 active energy import</t>
  </si>
  <si>
    <t>EP_IMP_016_kWh</t>
  </si>
  <si>
    <t>Input Channel 16 active energy export</t>
  </si>
  <si>
    <t>EP_EXP_016_kWh</t>
  </si>
  <si>
    <t>Input Channel 16 active energy net</t>
  </si>
  <si>
    <t>EP_NET_016_kWh</t>
  </si>
  <si>
    <t>Input Channel 16 active energy total</t>
  </si>
  <si>
    <t>EP_TOTAL_016_kWh</t>
  </si>
  <si>
    <t>Input Channel 16 reactive energy import</t>
  </si>
  <si>
    <t>EQ_IMP_016_kvarh</t>
  </si>
  <si>
    <t>Input Channel 16 reactive energy export</t>
  </si>
  <si>
    <t>EQ_EXP_016_kvarh</t>
  </si>
  <si>
    <t>Input Channel 16 reactive energy net</t>
  </si>
  <si>
    <t>EQ_NET_016_kvarh</t>
  </si>
  <si>
    <t>Input Channel 16 reactive energy total</t>
  </si>
  <si>
    <t>EQ_TOTAL_016_kvarh</t>
  </si>
  <si>
    <t>Input Channel 16 apparent energy</t>
  </si>
  <si>
    <t>ES_016_kVAh</t>
  </si>
  <si>
    <t>Input Channel 17 active energy import</t>
  </si>
  <si>
    <t>EP_IMP_017_kWh</t>
  </si>
  <si>
    <t>Input Channel 17 active energy export</t>
  </si>
  <si>
    <t>EP_EXP_017_kWh</t>
  </si>
  <si>
    <t>Input Channel 17 active energy net</t>
  </si>
  <si>
    <t>EP_NET_017_kWh</t>
  </si>
  <si>
    <t>Input Channel 17 active energy total</t>
  </si>
  <si>
    <t>EP_TOTAL_017_kWh</t>
  </si>
  <si>
    <t>Input Channel 17 reactive energy import</t>
  </si>
  <si>
    <t>EQ_IMP_017_kvarh</t>
  </si>
  <si>
    <t>Input Channel 17 reactive energy export</t>
  </si>
  <si>
    <t>EQ_EXP_017_kvarh</t>
  </si>
  <si>
    <t>Input Channel 17 reactive energy net</t>
  </si>
  <si>
    <t>EQ_NET_017_kvarh</t>
  </si>
  <si>
    <t>Input Channel 17 reactive energy total</t>
  </si>
  <si>
    <t>EQ_TOTAL_017_kvarh</t>
  </si>
  <si>
    <t>Input Channel 17 apparent energy</t>
  </si>
  <si>
    <t>ES_017_kVAh</t>
  </si>
  <si>
    <t>Input Channel 18 active energy import</t>
  </si>
  <si>
    <t>EP_IMP_018_kWh</t>
  </si>
  <si>
    <t>Input Channel 18 active energy export</t>
  </si>
  <si>
    <t>EP_EXP_018_kWh</t>
  </si>
  <si>
    <t>Input Channel 18 active energy net</t>
  </si>
  <si>
    <t>EP_NET_018_kWh</t>
  </si>
  <si>
    <t>Input Channel 18 active energy total</t>
  </si>
  <si>
    <t>EP_TOTAL_018_kWh</t>
  </si>
  <si>
    <t>Input Channel 18 reactive energy import</t>
  </si>
  <si>
    <t>EQ_IMP_018_kvarh</t>
  </si>
  <si>
    <t>Input Channel 18 reactive energy export</t>
  </si>
  <si>
    <t>EQ_EXP_018_kvarh</t>
  </si>
  <si>
    <t>Input Channel 18 reactive energy net</t>
  </si>
  <si>
    <t>EQ_NET_018_kvarh</t>
  </si>
  <si>
    <t>Input Channel 18 reactive energy total</t>
  </si>
  <si>
    <t>EQ_TOTAL_018_kvarh</t>
  </si>
  <si>
    <t>Input Channel 18 apparent energy</t>
  </si>
  <si>
    <t>ES_018_kVAh</t>
  </si>
  <si>
    <t>Input Channel 19 active energy import</t>
  </si>
  <si>
    <t>EP_IMP_019_kWh</t>
  </si>
  <si>
    <t>Input Channel 19 active energy export</t>
  </si>
  <si>
    <t>EP_EXP_019_kWh</t>
  </si>
  <si>
    <t>Input Channel 19 active energy net</t>
  </si>
  <si>
    <t>EP_NET_019_kWh</t>
  </si>
  <si>
    <t>Input Channel 19 active energy total</t>
  </si>
  <si>
    <t>EP_TOTAL_019_kWh</t>
  </si>
  <si>
    <t>Input Channel 19 reactive energy import</t>
  </si>
  <si>
    <t>EQ_IMP_019_kvarh</t>
  </si>
  <si>
    <t>Input Channel 19 reactive energy export</t>
  </si>
  <si>
    <t>EQ_EXP_019_kvarh</t>
  </si>
  <si>
    <t>Input Channel 19 reactive energy net</t>
  </si>
  <si>
    <t>EQ_NET_019_kvarh</t>
  </si>
  <si>
    <t>Input Channel 19 reactive energy total</t>
  </si>
  <si>
    <t>EQ_TOTAL_019_kvarh</t>
  </si>
  <si>
    <t>Input Channel 19 apparent energy</t>
  </si>
  <si>
    <t>ES_019_kVAh</t>
  </si>
  <si>
    <t>Input Channel 20 active energy import</t>
  </si>
  <si>
    <t>EP_IMP_020_kWh</t>
  </si>
  <si>
    <t>Input Channel 20 active energy export</t>
  </si>
  <si>
    <t>EP_EXP_020_kWh</t>
  </si>
  <si>
    <t>Input Channel 20 active energy net</t>
  </si>
  <si>
    <t>EP_NET_020_kWh</t>
  </si>
  <si>
    <t>Input Channel 20 active energy total</t>
  </si>
  <si>
    <t>EP_TOTAL_020_kWh</t>
  </si>
  <si>
    <t>Input Channel 20 reactive energy import</t>
  </si>
  <si>
    <t>EQ_IMP_020_kvarh</t>
  </si>
  <si>
    <t>Input Channel 20 reactive energy export</t>
  </si>
  <si>
    <t>EQ_EXP_020_kvarh</t>
  </si>
  <si>
    <t>Input Channel 20 reactive energy net</t>
  </si>
  <si>
    <t>EQ_NET_020_kvarh</t>
  </si>
  <si>
    <t>Input Channel 20 reactive energy total</t>
  </si>
  <si>
    <t>EQ_TOTAL_020_kvarh</t>
  </si>
  <si>
    <t>Input Channel 20 apparent energy</t>
  </si>
  <si>
    <t>ES_020_kVAh</t>
  </si>
  <si>
    <t>Input Channel 21 active energy import</t>
  </si>
  <si>
    <t>EP_IMP_021_kWh</t>
  </si>
  <si>
    <t>Input Channel 21 active energy export</t>
  </si>
  <si>
    <t>EP_EXP_021_kWh</t>
  </si>
  <si>
    <t>Input Channel 21 active energy net</t>
  </si>
  <si>
    <t>EP_NET_021_kWh</t>
  </si>
  <si>
    <t>Input Channel 21 active energy total</t>
  </si>
  <si>
    <t>EP_TOTAL_021_kWh</t>
  </si>
  <si>
    <t>Input Channel 21 reactive energy import</t>
  </si>
  <si>
    <t>EQ_IMP_021_kvarh</t>
  </si>
  <si>
    <t>Input Channel 21 reactive energy export</t>
  </si>
  <si>
    <t>EQ_EXP_021_kvarh</t>
  </si>
  <si>
    <t>Input Channel 21 reactive energy net</t>
  </si>
  <si>
    <t>EQ_NET_021_kvarh</t>
  </si>
  <si>
    <t>Input Channel 21 reactive energy total</t>
  </si>
  <si>
    <t>EQ_TOTAL_021_kvarh</t>
  </si>
  <si>
    <t>Input Channel 21 apparent energy</t>
  </si>
  <si>
    <t>ES_021_kVAh</t>
  </si>
  <si>
    <t>Input Channel 22 active energy import</t>
  </si>
  <si>
    <t>EP_IMP_022_kWh</t>
  </si>
  <si>
    <t>Input Channel 22 active energy export</t>
  </si>
  <si>
    <t>EP_EXP_022_kWh</t>
  </si>
  <si>
    <t>Input Channel 22 active energy net</t>
  </si>
  <si>
    <t>EP_NET_022_kWh</t>
  </si>
  <si>
    <t>Input Channel 22 active energy total</t>
  </si>
  <si>
    <t>EP_TOTAL_022_kWh</t>
  </si>
  <si>
    <t>Input Channel 22 reactive energy import</t>
  </si>
  <si>
    <t>EQ_IMP_022_kvarh</t>
  </si>
  <si>
    <t>Input Channel 22 reactive energy export</t>
  </si>
  <si>
    <t>EQ_EXP_022_kvarh</t>
  </si>
  <si>
    <t>Input Channel 22 reactive energy net</t>
  </si>
  <si>
    <t>EQ_NET_022_kvarh</t>
  </si>
  <si>
    <t>Input Channel 22 reactive energy total</t>
  </si>
  <si>
    <t>EQ_TOTAL_022_kvarh</t>
  </si>
  <si>
    <t>Input Channel 22 apparent energy</t>
  </si>
  <si>
    <t>ES_022_kVAh</t>
  </si>
  <si>
    <t>Input Channel 23 active energy import</t>
  </si>
  <si>
    <t>EP_IMP_023_kWh</t>
  </si>
  <si>
    <t>Input Channel 23 active energy export</t>
  </si>
  <si>
    <t>EP_EXP_023_kWh</t>
  </si>
  <si>
    <t>Input Channel 23 active energy net</t>
  </si>
  <si>
    <t>EP_NET_023_kWh</t>
  </si>
  <si>
    <t>Input Channel 23 active energy total</t>
  </si>
  <si>
    <t>EP_TOTAL_023_kWh</t>
  </si>
  <si>
    <t>Input Channel 23 reactive energy import</t>
  </si>
  <si>
    <t>EQ_IMP_023_kvarh</t>
  </si>
  <si>
    <t>Input Channel 23 reactive energy export</t>
  </si>
  <si>
    <t>EQ_EXP_023_kvarh</t>
  </si>
  <si>
    <t>Input Channel 23 reactive energy net</t>
  </si>
  <si>
    <t>EQ_NET_023_kvarh</t>
  </si>
  <si>
    <t>Input Channel 23 reactive energy total</t>
  </si>
  <si>
    <t>EQ_TOTAL_023_kvarh</t>
  </si>
  <si>
    <t>Input Channel 23 apparent energy</t>
  </si>
  <si>
    <t>ES_023_kVAh</t>
  </si>
  <si>
    <t>Input Channel 24 active energy import</t>
  </si>
  <si>
    <t>EP_IMP_024_kWh</t>
  </si>
  <si>
    <t>Input Channel 24 active energy export</t>
  </si>
  <si>
    <t>EP_EXP_024_kWh</t>
  </si>
  <si>
    <t>Input Channel 24 active energy net</t>
  </si>
  <si>
    <t>EP_NET_024_kWh</t>
  </si>
  <si>
    <t>Input Channel 24 active energy total</t>
  </si>
  <si>
    <t>EP_TOTAL_024_kWh</t>
  </si>
  <si>
    <t>Input Channel 24 reactive energy import</t>
  </si>
  <si>
    <t>EQ_IMP_024_kvarh</t>
  </si>
  <si>
    <t>Input Channel 24 reactive energy export</t>
  </si>
  <si>
    <t>EQ_EXP_024_kvarh</t>
  </si>
  <si>
    <t>Input Channel 24 reactive energy net</t>
  </si>
  <si>
    <t>EQ_NET_024_kvarh</t>
  </si>
  <si>
    <t>Input Channel 24 reactive energy total</t>
  </si>
  <si>
    <t>EQ_TOTAL_024_kvarh</t>
  </si>
  <si>
    <t>Input Channel 24 apparent energy</t>
  </si>
  <si>
    <t>ES_024_kVAh</t>
  </si>
  <si>
    <t>User Channel 1 active energy import</t>
  </si>
  <si>
    <t>EP_IMP_s001_kWh</t>
  </si>
  <si>
    <t>User Channel 1 active energy export</t>
  </si>
  <si>
    <t>EP_EXP_s001_kWh</t>
  </si>
  <si>
    <t>User Channel 1 active energy net</t>
  </si>
  <si>
    <t>EP_NET_s001_kWh</t>
  </si>
  <si>
    <t>User Channel 1 active energy total</t>
  </si>
  <si>
    <t>EP_TOTAL_s001_kWh</t>
  </si>
  <si>
    <t>User Channel 1 reactive energy import</t>
  </si>
  <si>
    <t>EQ_IMP_s001_kvarh</t>
  </si>
  <si>
    <t>User Channel 1 reactive energy export</t>
  </si>
  <si>
    <t>EQ_EXP_s001_kvarh</t>
  </si>
  <si>
    <t>User Channel 1 reactive energy net</t>
  </si>
  <si>
    <t>EQ_NET_s001_kvarh</t>
  </si>
  <si>
    <t>User Channel 1 reactive energy total</t>
  </si>
  <si>
    <t>EQ_TOTAL_s001_kvarh</t>
  </si>
  <si>
    <t>User Channel 1 apparent energy</t>
  </si>
  <si>
    <t>ES_s001_kVAh</t>
  </si>
  <si>
    <t>User Channel 2 active energy import</t>
  </si>
  <si>
    <t>EP_IMP_s002_kWh</t>
  </si>
  <si>
    <t>User Channel 2 active energy export</t>
  </si>
  <si>
    <t>EP_EXP_s002_kWh</t>
  </si>
  <si>
    <t>User Channel 2 active energy net</t>
  </si>
  <si>
    <t>EP_NET_s002_kWh</t>
  </si>
  <si>
    <t>User Channel 2 active energy total</t>
  </si>
  <si>
    <t>EP_TOTAL_s002_kWh</t>
  </si>
  <si>
    <t>User Channel 2 reactive energy import</t>
  </si>
  <si>
    <t>EQ_IMP_s002_kvarh</t>
  </si>
  <si>
    <t>User Channel 2 reactive energy export</t>
  </si>
  <si>
    <t>EQ_EXP_s002_kvarh</t>
  </si>
  <si>
    <t>User Channel 2 reactive energy net</t>
  </si>
  <si>
    <t>EQ_NET_s002_kvarh</t>
  </si>
  <si>
    <t>User Channel 2 reactive energy total</t>
  </si>
  <si>
    <t>EQ_TOTAL_s002_kvarh</t>
  </si>
  <si>
    <t>User Channel 2 apparent energy</t>
  </si>
  <si>
    <t>ES_s002_kVAh</t>
  </si>
  <si>
    <t>User Channel 3 active energy import</t>
  </si>
  <si>
    <t>EP_IMP_s003_kWh</t>
  </si>
  <si>
    <t>User Channel 3 active energy export</t>
  </si>
  <si>
    <t>EP_EXP_s003_kWh</t>
  </si>
  <si>
    <t>User Channel 3 active energy net</t>
  </si>
  <si>
    <t>EP_NET_s003_kWh</t>
  </si>
  <si>
    <t>User Channel 3 active energy total</t>
  </si>
  <si>
    <t>EP_TOTAL_s003_kWh</t>
  </si>
  <si>
    <t>User Channel 3 reactive energy import</t>
  </si>
  <si>
    <t>EQ_IMP_s003_kvarh</t>
  </si>
  <si>
    <t>User Channel 3 reactive energy export</t>
  </si>
  <si>
    <t>EQ_EXP_s003_kvarh</t>
  </si>
  <si>
    <t>User Channel 3 reactive energy net</t>
  </si>
  <si>
    <t>EQ_NET_s003_kvarh</t>
  </si>
  <si>
    <t>User Channel 3 reactive energy total</t>
  </si>
  <si>
    <t>EQ_TOTAL_s003_kvarh</t>
  </si>
  <si>
    <t>User Channel 3 apparent energy</t>
  </si>
  <si>
    <t>ES_s003_kVAh</t>
  </si>
  <si>
    <t>User Channel 4 active energy import</t>
  </si>
  <si>
    <t>EP_IMP_s004_kWh</t>
  </si>
  <si>
    <t>User Channel 4 active energy export</t>
  </si>
  <si>
    <t>EP_EXP_s004_kWh</t>
  </si>
  <si>
    <t>User Channel 4 active energy net</t>
  </si>
  <si>
    <t>EP_NET_s004_kWh</t>
  </si>
  <si>
    <t>User Channel 4 active energy total</t>
  </si>
  <si>
    <t>EP_TOTAL_s004_kWh</t>
  </si>
  <si>
    <t>User Channel 4 reactive energy import</t>
  </si>
  <si>
    <t>EQ_IMP_s004_kvarh</t>
  </si>
  <si>
    <t>User Channel 4 reactive energy export</t>
  </si>
  <si>
    <t>EQ_EXP_s004_kvarh</t>
  </si>
  <si>
    <t>User Channel 4 reactive energy net</t>
  </si>
  <si>
    <t>EQ_NET_s004_kvarh</t>
  </si>
  <si>
    <t>User Channel 4 reactive energy total</t>
  </si>
  <si>
    <t>EQ_TOTAL_s004_kvarh</t>
  </si>
  <si>
    <t>User Channel 4 apparent energy</t>
  </si>
  <si>
    <t>ES_s004_kVAh</t>
  </si>
  <si>
    <t>User Channel 5 active energy import</t>
  </si>
  <si>
    <t>EP_IMP_s005_kWh</t>
  </si>
  <si>
    <t>User Channel 5 active energy export</t>
  </si>
  <si>
    <t>EP_EXP_s005_kWh</t>
  </si>
  <si>
    <t>User Channel 5 active energy net</t>
  </si>
  <si>
    <t>EP_NET_s005_kWh</t>
  </si>
  <si>
    <t>User Channel 5 active energy total</t>
  </si>
  <si>
    <t>EP_TOTAL_s005_kWh</t>
  </si>
  <si>
    <t>User Channel 5 reactive energy import</t>
  </si>
  <si>
    <t>EQ_IMP_s005_kvarh</t>
  </si>
  <si>
    <t>User Channel 5 reactive energy export</t>
  </si>
  <si>
    <t>EQ_EXP_s005_kvarh</t>
  </si>
  <si>
    <t>User Channel 5 reactive energy net</t>
  </si>
  <si>
    <t>EQ_NET_s005_kvarh</t>
  </si>
  <si>
    <t>User Channel 5 reactive energy total</t>
  </si>
  <si>
    <t>EQ_TOTAL_s005_kvarh</t>
  </si>
  <si>
    <t>User Channel 5 apparent energy</t>
  </si>
  <si>
    <t>ES_s005_kVAh</t>
  </si>
  <si>
    <t>User Channel 6 active energy import</t>
  </si>
  <si>
    <t>EP_IMP_s006_kWh</t>
  </si>
  <si>
    <t>User Channel 6 active energy export</t>
  </si>
  <si>
    <t>EP_EXP_s006_kWh</t>
  </si>
  <si>
    <t>User Channel 6 active energy net</t>
  </si>
  <si>
    <t>EP_NET_s006_kWh</t>
  </si>
  <si>
    <t>User Channel 6 active energy total</t>
  </si>
  <si>
    <t>EP_TOTAL_s006_kWh</t>
  </si>
  <si>
    <t>User Channel 6 reactive energy import</t>
  </si>
  <si>
    <t>EQ_IMP_s006_kvarh</t>
  </si>
  <si>
    <t>User Channel 6 reactive energy export</t>
  </si>
  <si>
    <t>EQ_EXP_s006_kvarh</t>
  </si>
  <si>
    <t>User Channel 6 reactive energy net</t>
  </si>
  <si>
    <t>EQ_NET_s006_kvarh</t>
  </si>
  <si>
    <t>User Channel 6 reactive energy total</t>
  </si>
  <si>
    <t>EQ_TOTAL_s006_kvarh</t>
  </si>
  <si>
    <t>User Channel 6 apparent energy</t>
  </si>
  <si>
    <t>ES_s006_kVAh</t>
  </si>
  <si>
    <t>User Channel 7 active energy import</t>
  </si>
  <si>
    <t>EP_IMP_s007_kWh</t>
  </si>
  <si>
    <t>User Channel 7 active energy export</t>
  </si>
  <si>
    <t>EP_EXP_s007_kWh</t>
  </si>
  <si>
    <t>User Channel 7 active energy net</t>
  </si>
  <si>
    <t>EP_NET_s007_kWh</t>
  </si>
  <si>
    <t>User Channel 7 active energy total</t>
  </si>
  <si>
    <t>EP_TOTAL_s007_kWh</t>
  </si>
  <si>
    <t>User Channel 7 reactive energy import</t>
  </si>
  <si>
    <t>EQ_IMP_s007_kvarh</t>
  </si>
  <si>
    <t>User Channel 7 reactive energy export</t>
  </si>
  <si>
    <t>EQ_EXP_s007_kvarh</t>
  </si>
  <si>
    <t>User Channel 7 reactive energy net</t>
  </si>
  <si>
    <t>EQ_NET_s007_kvarh</t>
  </si>
  <si>
    <t>User Channel 7 reactive energy total</t>
  </si>
  <si>
    <t>EQ_TOTAL_s007_kvarh</t>
  </si>
  <si>
    <t>User Channel 7 apparent energy</t>
  </si>
  <si>
    <t>ES_s007_kVAh</t>
  </si>
  <si>
    <t>User Channel 8 active energy import</t>
  </si>
  <si>
    <t>EP_IMP_s008_kWh</t>
  </si>
  <si>
    <t>User Channel 8 active energy export</t>
  </si>
  <si>
    <t>EP_EXP_s008_kWh</t>
  </si>
  <si>
    <t>User Channel 8 active energy net</t>
  </si>
  <si>
    <t>EP_NET_s008_kWh</t>
  </si>
  <si>
    <t>User Channel 8 active energy total</t>
  </si>
  <si>
    <t>EP_TOTAL_s008_kWh</t>
  </si>
  <si>
    <t>User Channel 8 reactive energy import</t>
  </si>
  <si>
    <t>EQ_IMP_s008_kvarh</t>
  </si>
  <si>
    <t>User Channel 8 reactive energy export</t>
  </si>
  <si>
    <t>EQ_EXP_s008_kvarh</t>
  </si>
  <si>
    <t>User Channel 8 reactive energy net</t>
  </si>
  <si>
    <t>EQ_NET_s008_kvarh</t>
  </si>
  <si>
    <t>User Channel 8 reactive energy total</t>
  </si>
  <si>
    <t>EQ_TOTAL_s008_kvarh</t>
  </si>
  <si>
    <t>User Channel 8 apparent energy</t>
  </si>
  <si>
    <t>ES_s008_kVAh</t>
  </si>
  <si>
    <t>User Channel 9 active energy import</t>
  </si>
  <si>
    <t>EP_IMP_s009_kWh</t>
  </si>
  <si>
    <t>User Channel 9 active energy export</t>
  </si>
  <si>
    <t>EP_EXP_s009_kWh</t>
  </si>
  <si>
    <t>User Channel 9 active energy net</t>
  </si>
  <si>
    <t>EP_NET_s009_kWh</t>
  </si>
  <si>
    <t>User Channel 9 active energy total</t>
  </si>
  <si>
    <t>EP_TOTAL_s009_kWh</t>
  </si>
  <si>
    <t>User Channel 9 reactive energy import</t>
  </si>
  <si>
    <t>EQ_IMP_s009_kvarh</t>
  </si>
  <si>
    <t>User Channel 9 reactive energy export</t>
  </si>
  <si>
    <t>EQ_EXP_s009_kvarh</t>
  </si>
  <si>
    <t>User Channel 9 reactive energy net</t>
  </si>
  <si>
    <t>EQ_NET_s009_kvarh</t>
  </si>
  <si>
    <t>User Channel 9 reactive energy total</t>
  </si>
  <si>
    <t>EQ_TOTAL_s009_kvarh</t>
  </si>
  <si>
    <t>User Channel 9 apparent energy</t>
  </si>
  <si>
    <t>ES_s009_kVAh</t>
  </si>
  <si>
    <t>User Channel 10 active energy import</t>
  </si>
  <si>
    <t>EP_IMP_s010_kWh</t>
  </si>
  <si>
    <t>User Channel 10 active energy export</t>
  </si>
  <si>
    <t>EP_EXP_s010_kWh</t>
  </si>
  <si>
    <t>User Channel 10 active energy net</t>
  </si>
  <si>
    <t>EP_NET_s010_kWh</t>
  </si>
  <si>
    <t>User Channel 10 active energy total</t>
  </si>
  <si>
    <t>EP_TOTAL_s010_kWh</t>
  </si>
  <si>
    <t>User Channel 10 reactive energy import</t>
  </si>
  <si>
    <t>EQ_IMP_s010_kvarh</t>
  </si>
  <si>
    <t>User Channel 10 reactive energy export</t>
  </si>
  <si>
    <t>EQ_EXP_s010_kvarh</t>
  </si>
  <si>
    <t>User Channel 10 reactive energy net</t>
  </si>
  <si>
    <t>EQ_NET_s010_kvarh</t>
  </si>
  <si>
    <t>User Channel 10 reactive energy total</t>
  </si>
  <si>
    <t>EQ_TOTAL_s010_kvarh</t>
  </si>
  <si>
    <t>User Channel 10 apparent energy</t>
  </si>
  <si>
    <t>ES_s010_kVAh</t>
  </si>
  <si>
    <t>User Channel 11 active energy import</t>
  </si>
  <si>
    <t>EP_IMP_s011_kWh</t>
  </si>
  <si>
    <t>User Channel 11 active energy export</t>
  </si>
  <si>
    <t>EP_EXP_s011_kWh</t>
  </si>
  <si>
    <t>User Channel 11 active energy net</t>
  </si>
  <si>
    <t>EP_NET_s011_kWh</t>
  </si>
  <si>
    <t>User Channel 11 active energy total</t>
  </si>
  <si>
    <t>EP_TOTAL_s011_kWh</t>
  </si>
  <si>
    <t>User Channel 11 reactive energy import</t>
  </si>
  <si>
    <t>EQ_IMP_s011_kvarh</t>
  </si>
  <si>
    <t>User Channel 11 reactive energy export</t>
  </si>
  <si>
    <t>EQ_EXP_s011_kvarh</t>
  </si>
  <si>
    <t>User Channel 11 reactive energy net</t>
  </si>
  <si>
    <t>EQ_NET_s011_kvarh</t>
  </si>
  <si>
    <t>User Channel 11 reactive energy total</t>
  </si>
  <si>
    <t>EQ_TOTAL_s011_kvarh</t>
  </si>
  <si>
    <t>User Channel 11 apparent energy</t>
  </si>
  <si>
    <t>ES_s011_kVAh</t>
  </si>
  <si>
    <t>User Channel 12 active energy import</t>
  </si>
  <si>
    <t>EP_IMP_s012_kWh</t>
  </si>
  <si>
    <t>User Channel 12 active energy export</t>
  </si>
  <si>
    <t>EP_EXP_s012_kWh</t>
  </si>
  <si>
    <t>User Channel 12 active energy net</t>
  </si>
  <si>
    <t>EP_NET_s012_kWh</t>
  </si>
  <si>
    <t>User Channel 12 active energy total</t>
  </si>
  <si>
    <t>EP_TOTAL_s012_kWh</t>
  </si>
  <si>
    <t>User Channel 12 reactive energy import</t>
  </si>
  <si>
    <t>EQ_IMP_s012_kvarh</t>
  </si>
  <si>
    <t>User Channel 12 reactive energy export</t>
  </si>
  <si>
    <t>EQ_EXP_s012_kvarh</t>
  </si>
  <si>
    <t>User Channel 12 reactive energy net</t>
  </si>
  <si>
    <t>EQ_NET_s012_kvarh</t>
  </si>
  <si>
    <t>User Channel 12 reactive energy total</t>
  </si>
  <si>
    <t>EQ_TOTAL_s012_kvarh</t>
  </si>
  <si>
    <t>User Channel 12 apparent energy</t>
  </si>
  <si>
    <t>ES_s012_kVAh</t>
  </si>
  <si>
    <t>DI1 pulse count</t>
  </si>
  <si>
    <t>DI_PC_001</t>
  </si>
  <si>
    <t>R/W</t>
  </si>
  <si>
    <t>4-5</t>
  </si>
  <si>
    <t>26</t>
  </si>
  <si>
    <t>DI2 pulse count</t>
  </si>
  <si>
    <t>DI_PC_002</t>
  </si>
  <si>
    <t>DI3 pulse count</t>
  </si>
  <si>
    <t>DI_PC_003</t>
  </si>
  <si>
    <t>DI4 pulse count</t>
  </si>
  <si>
    <t>DI_PC_004</t>
  </si>
  <si>
    <t>DI1 status</t>
  </si>
  <si>
    <t>DI_ST_001</t>
  </si>
  <si>
    <t>uint16</t>
  </si>
  <si>
    <t>4-7-44</t>
  </si>
  <si>
    <t>DI2 status</t>
  </si>
  <si>
    <t>DI_ST_002</t>
  </si>
  <si>
    <t>DI3 status</t>
  </si>
  <si>
    <t>DI_ST_003</t>
  </si>
  <si>
    <t>DI4 status</t>
  </si>
  <si>
    <t>DI_ST_004</t>
  </si>
  <si>
    <t>DO1 status</t>
  </si>
  <si>
    <t>DO_ST_001</t>
  </si>
  <si>
    <t>22-4-34</t>
  </si>
  <si>
    <t>DO2 status</t>
  </si>
  <si>
    <t>DO_ST_002</t>
  </si>
  <si>
    <t>DO3 status</t>
  </si>
  <si>
    <t>DO_ST_003</t>
  </si>
  <si>
    <t>DO4 status</t>
  </si>
  <si>
    <t>DO_ST_004</t>
  </si>
  <si>
    <t>DO5 status</t>
  </si>
  <si>
    <t>DO_ST_005</t>
  </si>
  <si>
    <t>DO6 status</t>
  </si>
  <si>
    <t>DO_ST_006</t>
  </si>
  <si>
    <t>DO7 status</t>
  </si>
  <si>
    <t>DO_ST_007</t>
  </si>
  <si>
    <t>DO8 status</t>
  </si>
  <si>
    <t>DO_ST_008</t>
  </si>
  <si>
    <t>RO1 status</t>
  </si>
  <si>
    <t>RO_ST_001</t>
  </si>
  <si>
    <t>22-4-25</t>
  </si>
  <si>
    <t>RO2 status</t>
  </si>
  <si>
    <t>RO_ST_002</t>
  </si>
  <si>
    <t>Current Rated Value</t>
  </si>
  <si>
    <t>Conf_NominalCurrent</t>
  </si>
  <si>
    <t>27-30</t>
  </si>
  <si>
    <t>35</t>
  </si>
  <si>
    <t>Voltage Rated Value</t>
  </si>
  <si>
    <t>Conf_NominalVolt</t>
  </si>
  <si>
    <t>Voltage Sag Enable</t>
  </si>
  <si>
    <t>Conf_VoltSag_Enable</t>
  </si>
  <si>
    <t>Voltage Sag Threshold</t>
  </si>
  <si>
    <t>Conf_VoltSag_Threshold</t>
  </si>
  <si>
    <t>Voltage Sag Jitter</t>
  </si>
  <si>
    <t>Conf_VoltSag_Hyst</t>
  </si>
  <si>
    <t>Voltage Sag Triggers Waveform Recording</t>
  </si>
  <si>
    <t>Conf_VoltSag_TrigWave</t>
  </si>
  <si>
    <t>Voltage Sag  - switch to output DO</t>
  </si>
  <si>
    <t>Conf_VoltSag_TrigDO</t>
  </si>
  <si>
    <t>Voltage Sag  - switch to output RO</t>
  </si>
  <si>
    <t>Conf_VoltSag_TrigRO</t>
  </si>
  <si>
    <t>Voltage Swell Enable</t>
  </si>
  <si>
    <t>Conf_VoltSwell_Enable</t>
  </si>
  <si>
    <t>Voltage Swell Threshold</t>
  </si>
  <si>
    <t>Conf_VoltSwell_Threshold</t>
  </si>
  <si>
    <t>Voltage Swell Jitter</t>
  </si>
  <si>
    <t>Conf_VoltSwell_Hyst</t>
  </si>
  <si>
    <t>Voltage Swell Triggers Waveform Recording</t>
  </si>
  <si>
    <t>Conf_VoltSwell_TrigWave</t>
  </si>
  <si>
    <t>Voltage Swell - switch to output DO</t>
  </si>
  <si>
    <t>Conf_VoltSwell_TrigDO</t>
  </si>
  <si>
    <t>Voltage Swell - switch to output RO</t>
  </si>
  <si>
    <t>Conf_VoltSwell_TrigRO</t>
  </si>
  <si>
    <t>Voltage Interruption Enable</t>
  </si>
  <si>
    <t>Conf_VoltInt_Enable</t>
  </si>
  <si>
    <t>Voltage Interruption Threshold</t>
  </si>
  <si>
    <t>Conf_VoltInt_Threshold</t>
  </si>
  <si>
    <t>Voltage Interruption Jitter</t>
  </si>
  <si>
    <t>Conf_VoltInt_Hyst</t>
  </si>
  <si>
    <t>Voltage Interruption Triggers Waveform Recording</t>
  </si>
  <si>
    <t>Conf_VoltInt_TrigWave</t>
  </si>
  <si>
    <t>Voltage Interruption - switch to output DO</t>
  </si>
  <si>
    <t>Conf_VoltInt_TrigDO</t>
  </si>
  <si>
    <t>Voltage Interruption - switch to output RO</t>
  </si>
  <si>
    <t>Conf_VoltInt_TrigRO</t>
  </si>
  <si>
    <t>Current Swell Enable</t>
  </si>
  <si>
    <t>Conf_CurrentSwell_Enable</t>
  </si>
  <si>
    <t>Current Swell Threshold</t>
  </si>
  <si>
    <t>Conf_CurrentSwell_Threshold</t>
  </si>
  <si>
    <t>Current Swell Jitter</t>
  </si>
  <si>
    <t>Conf_CurrentSwell_Hyst</t>
  </si>
  <si>
    <t>Current Triggers Waveform Recording</t>
  </si>
  <si>
    <t>Conf_CurrentSwell_TrigWave</t>
  </si>
  <si>
    <t>Current Swell - switch to output DO</t>
  </si>
  <si>
    <t>Conf_CurrentSwell_TrigDO</t>
  </si>
  <si>
    <t>Current Swell - switch to output RO</t>
  </si>
  <si>
    <t>Conf_CurrentSwell_TrigRO</t>
  </si>
  <si>
    <t>sampling rate</t>
  </si>
  <si>
    <t>Conf_SampleRate</t>
  </si>
  <si>
    <t>Number of cycles before the event occurred</t>
  </si>
  <si>
    <t>Conf_Cyc_Pre_Evt</t>
  </si>
  <si>
    <t>Number of cycles after the event occurred</t>
  </si>
  <si>
    <t>Conf_Cyc_Post_Evt</t>
  </si>
  <si>
    <t>DI1 Trigger</t>
  </si>
  <si>
    <t>Conf_DI1_Trig</t>
  </si>
  <si>
    <t>DI2 Trigger</t>
  </si>
  <si>
    <t>Conf_DI2_Trig</t>
  </si>
  <si>
    <t>DI3 Trigger</t>
  </si>
  <si>
    <t>Conf_DI3_Trig</t>
  </si>
  <si>
    <t>DI4 Trigger</t>
  </si>
  <si>
    <t>Conf_DI4_Trig</t>
  </si>
  <si>
    <t>Manually Trigger</t>
  </si>
  <si>
    <t>Conf_Manual_Trig</t>
  </si>
  <si>
    <t>Phase A Max Current Demand</t>
  </si>
  <si>
    <t>MAX_DMD_I_a_A</t>
  </si>
  <si>
    <t>6</t>
  </si>
  <si>
    <t>20</t>
  </si>
  <si>
    <t>Phase A Max Current Demand Timestamp</t>
  </si>
  <si>
    <t>MAX_DMDTS_I_a_1</t>
  </si>
  <si>
    <t>MAX_DMDTS_I_a_2</t>
  </si>
  <si>
    <t>Phase A Import Active Power Max Demand</t>
  </si>
  <si>
    <t>MAX_DMD_IMP_P_a_kW</t>
  </si>
  <si>
    <t>Phase A Import Active Power Max Demand Timestamp</t>
  </si>
  <si>
    <t>MAX_DMDTS_IMP_P_a_1</t>
  </si>
  <si>
    <t>MAX_DMDTS_IMP_P_a_2</t>
  </si>
  <si>
    <t>Phase A Export Active Power Max Demand</t>
  </si>
  <si>
    <t>MAX_DMD_EXP_P_a_kW</t>
  </si>
  <si>
    <t>Phase A Export Active Power Max Demand Timestamp</t>
  </si>
  <si>
    <t>MAX_DMDTS_EXP_P_a_1</t>
  </si>
  <si>
    <t>MAX_DMDTS_EXP_P_a_2</t>
  </si>
  <si>
    <t>Phase A Import Reactive Power Max Demand</t>
  </si>
  <si>
    <t>MAX_DMD_IMP_Q_a_kvar</t>
  </si>
  <si>
    <t>Phase A Import Reactive Power Max Demand Timestamp</t>
  </si>
  <si>
    <t>MAX_DMDTS_IMP_Q_a_1</t>
  </si>
  <si>
    <t>MAX_DMDTS_IMP_Q_a_2</t>
  </si>
  <si>
    <t>Phase A Export Reactive Power Max Demand</t>
  </si>
  <si>
    <t>MAX_DMD_EXP_Q_a_kvar</t>
  </si>
  <si>
    <t>Phase A Export Reactive Power Max Demand Timestamp</t>
  </si>
  <si>
    <t>MAX_DMDTS_EXP_Q_a_1</t>
  </si>
  <si>
    <t>MAX_DMDTS_EXP_Q_a_2</t>
  </si>
  <si>
    <t>Phase A Apparent Power Max Demand</t>
  </si>
  <si>
    <t>MAX_DMD_S_a_kVA</t>
  </si>
  <si>
    <t>Phase A Apparent Power Max Demand Timestamp</t>
  </si>
  <si>
    <t>MAX_DMDTS_S_a_1</t>
  </si>
  <si>
    <t>MAX_DMDTS_S_a_2</t>
  </si>
  <si>
    <t>Phase B Current Max Demand</t>
  </si>
  <si>
    <t>MAX_DMD_I_b_A</t>
  </si>
  <si>
    <t>Phase B Current Max Demand Timestamp</t>
  </si>
  <si>
    <t>MAX_DMDTS_I_b_1</t>
  </si>
  <si>
    <t>MAX_DMDTS_I_b_2</t>
  </si>
  <si>
    <t>Phase B Import Active Power Max Demand</t>
  </si>
  <si>
    <t>MAX_DMD_IMP_P_b_kW</t>
  </si>
  <si>
    <t>Phase B Import Active Power Max Demand Timestamp</t>
  </si>
  <si>
    <t>MAX_DMDTS_IMP_P_b_1</t>
  </si>
  <si>
    <t>MAX_DMDTS_IMP_P_b_2</t>
  </si>
  <si>
    <t>Phase B Export Active Power Max Demand</t>
  </si>
  <si>
    <t>MAX_DMD_EXP_P_b_kW</t>
  </si>
  <si>
    <t>Phase B Export Active Power Max Demand Timestamp</t>
  </si>
  <si>
    <t>MAX_DMDTS_EXP_P_b_1</t>
  </si>
  <si>
    <t>MAX_DMDTS_EXP_P_b_2</t>
  </si>
  <si>
    <t>Phase B Import Reactive Power Max Demand</t>
  </si>
  <si>
    <t>MAX_DMD_IMP_Q_b_kvar</t>
  </si>
  <si>
    <t>Phase B Import Reactive Power Max Demand Timestamp</t>
  </si>
  <si>
    <t>MAX_DMDTS_IMP_Q_b_1</t>
  </si>
  <si>
    <t>MAX_DMDTS_IMP_Q_b_2</t>
  </si>
  <si>
    <t>Phase B Export Reactive Power Max Demand</t>
  </si>
  <si>
    <t>MAX_DMD_EXP_Q_b_kvar</t>
  </si>
  <si>
    <t>Phase B Export Reactive Power Max Demand Timestamp</t>
  </si>
  <si>
    <t>MAX_DMDTS_EXP_Q_b_1</t>
  </si>
  <si>
    <t>MAX_DMDTS_EXP_Q_b_2</t>
  </si>
  <si>
    <t>Phase B Apparent Power Max Demand</t>
  </si>
  <si>
    <t>MAX_DMD_S_b_kVA</t>
  </si>
  <si>
    <t>Phase B Apparent Power Max Demand Timestamp</t>
  </si>
  <si>
    <t>MAX_DMDTS_S_b_1</t>
  </si>
  <si>
    <t>MAX_DMDTS_S_b_2</t>
  </si>
  <si>
    <t>Phase C Current Max Demand</t>
  </si>
  <si>
    <t>MAX_DMD_I_c_A</t>
  </si>
  <si>
    <t>Phase C Current Max Demand Timestamp</t>
  </si>
  <si>
    <t>MAX_DMDTS_I_c_1</t>
  </si>
  <si>
    <t>MAX_DMDTS_I_c_2</t>
  </si>
  <si>
    <t>Phase C Import Active Power Max Demand</t>
  </si>
  <si>
    <t>MAX_DMD_IMP_P_c_kW</t>
  </si>
  <si>
    <t>Phase C Import Active Power Max Demand Timestamp</t>
  </si>
  <si>
    <t>MAX_DMDTS_IMP_P_c_1</t>
  </si>
  <si>
    <t>MAX_DMDTS_IMP_P_c_2</t>
  </si>
  <si>
    <t>Phase C Export Active Power Max Demand</t>
  </si>
  <si>
    <t>MAX_DMD_EXP_P_c_kW</t>
  </si>
  <si>
    <t>Phase C Export Active Power Max Demand Timestamp</t>
  </si>
  <si>
    <t>MAX_DMDTS_EXP_P_c_1</t>
  </si>
  <si>
    <t>MAX_DMDTS_EXP_P_c_2</t>
  </si>
  <si>
    <t>Phase C Import Reactive Power Max Demand</t>
  </si>
  <si>
    <t>MAX_DMD_IMP_Q_c_kvar</t>
  </si>
  <si>
    <t>Phase C Import Reactive Power Max Demand Timestamp</t>
  </si>
  <si>
    <t>MAX_DMDTS_IMP_Q_c_1</t>
  </si>
  <si>
    <t>MAX_DMDTS_IMP_Q_c_2</t>
  </si>
  <si>
    <t>Phase C Export Reactive Power Max Demand</t>
  </si>
  <si>
    <t>MAX_DMD_EXP_Q_c_kvar</t>
  </si>
  <si>
    <t>Phase C Export Reactive Power Max Demand Timestamp</t>
  </si>
  <si>
    <t>MAX_DMDTS_EXP_Q_c_1</t>
  </si>
  <si>
    <t>MAX_DMDTS_EXP_Q_c_2</t>
  </si>
  <si>
    <t>Phase C Apparent Power Max Demand</t>
  </si>
  <si>
    <t>MAX_DMD_S_c_kVA</t>
  </si>
  <si>
    <t>Phase C Apparent Power Max Demand Timestamp</t>
  </si>
  <si>
    <t>MAX_DMDTS_S_c_1</t>
  </si>
  <si>
    <t>MAX_DMDTS_S_c_2</t>
  </si>
  <si>
    <t>System Average Current Max Demand</t>
  </si>
  <si>
    <t>MAX_DMD_I_A</t>
  </si>
  <si>
    <t>System Average Current Max Demand Timestamp</t>
  </si>
  <si>
    <t>MAX_DMDTS_I_1</t>
  </si>
  <si>
    <t>MAX_DMDTS_I_2</t>
  </si>
  <si>
    <t>System Import Active Power Max Demand</t>
  </si>
  <si>
    <t>MAX_DMD_IMP_P_kW</t>
  </si>
  <si>
    <t>System Import Active Power Max Demand Timestamp</t>
  </si>
  <si>
    <t>MAX_DMDTS_IMP_P_1</t>
  </si>
  <si>
    <t>MAX_DMDTS_IMP_P_2</t>
  </si>
  <si>
    <t>System Export Active Power Max Demand</t>
  </si>
  <si>
    <t>MAX_DMD_EXP_P_kW</t>
  </si>
  <si>
    <t>System Export Active Power Max Demand Timestamp</t>
  </si>
  <si>
    <t>MAX_DMDTS_EXP_P_1</t>
  </si>
  <si>
    <t>MAX_DMDTS_EXP_P_2</t>
  </si>
  <si>
    <t>System Import Reactive Power Max Demand</t>
  </si>
  <si>
    <t>MAX_DMD_IMP_Q_kvar</t>
  </si>
  <si>
    <t>System Import Reactive Power Max Demand Timestamp</t>
  </si>
  <si>
    <t>MAX_DMDTS_IMP_Q_1</t>
  </si>
  <si>
    <t>MAX_DMDTS_IMP_Q_2</t>
  </si>
  <si>
    <t>System Export Reactive Power Max Demand</t>
  </si>
  <si>
    <t>MAX_DMD_EXP_Q_kvar</t>
  </si>
  <si>
    <t>System Export Reactive Power Max Demand Timestamp</t>
  </si>
  <si>
    <t>MAX_DMDTS_EXP_Q_1</t>
  </si>
  <si>
    <t>MAX_DMDTS_EXP_Q_2</t>
  </si>
  <si>
    <t>System Apparent Power Max Demand</t>
  </si>
  <si>
    <t>MAX_DMD_S_kVA</t>
  </si>
  <si>
    <t>System Apparent Power Max Demand Timestamp</t>
  </si>
  <si>
    <t>MAX_DMDTS_S_1</t>
  </si>
  <si>
    <t>MAX_DMDTS_S_2</t>
  </si>
  <si>
    <t>Input Channel 1 Current Max Demand</t>
  </si>
  <si>
    <t>MAX_DMD_I_001_A</t>
  </si>
  <si>
    <t>21</t>
  </si>
  <si>
    <t>Input Channel 1 Current Max Demand Timestamp</t>
  </si>
  <si>
    <t>MAX_DMDTS_I_001_1</t>
  </si>
  <si>
    <t>MAX_DMDTS_I_001_2</t>
  </si>
  <si>
    <t>Input Channel 1 Import Active Power Max Demand</t>
  </si>
  <si>
    <t>MAX_DMD_IMP_P_001_kW</t>
  </si>
  <si>
    <t>Input Channel 1 Import Active Power Max Demand Timestamp</t>
  </si>
  <si>
    <t>MAX_DMDTS_IMP_P_001_1</t>
  </si>
  <si>
    <t>MAX_DMDTS_IMP_P_001_2</t>
  </si>
  <si>
    <t>Input Channel 1 Export Active Power Max Demand</t>
  </si>
  <si>
    <t>MAX_DMD_EXP_P_001_kW</t>
  </si>
  <si>
    <t>Input Channel 1 Export Active Power Max Demand Timestamp</t>
  </si>
  <si>
    <t>MAX_DMDTS_EXP_P_001_1</t>
  </si>
  <si>
    <t>MAX_DMDTS_EXP_P_001_2</t>
  </si>
  <si>
    <t>Input Channel 1 Import Reactive Power Max Demand</t>
  </si>
  <si>
    <t>MAX_DMD_IMP_Q_001_kvar</t>
  </si>
  <si>
    <t>Input Channel 1 Import Reactive Power Max Demand Timestamp</t>
  </si>
  <si>
    <t>MAX_DMDTS_IMP_Q_001_1</t>
  </si>
  <si>
    <t>MAX_DMDTS_IMP_Q_001_2</t>
  </si>
  <si>
    <t>Input Channel 1 Export Reactive Power Max Demand</t>
  </si>
  <si>
    <t>MAX_DMD_EXP_Q_001_kvar</t>
  </si>
  <si>
    <t>Input Channel 1 Export Reactive Power Max Demand Timestamp</t>
  </si>
  <si>
    <t>MAX_DMDTS_EXP_Q_001_1</t>
  </si>
  <si>
    <t>MAX_DMDTS_EXP_Q_001_2</t>
  </si>
  <si>
    <t>Input Channel 1 Apparent Power Max Demand</t>
  </si>
  <si>
    <t>MAX_DMD_S_001_kVA</t>
  </si>
  <si>
    <t>Input Channel 1 Apparent Power Max Demand Timestamp</t>
  </si>
  <si>
    <t>MAX_DMDTS_S_001_1</t>
  </si>
  <si>
    <t>MAX_DMDTS_S_001_2</t>
  </si>
  <si>
    <t>Input Channel 2 Current Max Demand</t>
  </si>
  <si>
    <t>MAX_DMD_I_002_A</t>
  </si>
  <si>
    <t>Input Channel 2 Current Max Demand Timestamp</t>
  </si>
  <si>
    <t>MAX_DMDTS_I_002_1</t>
  </si>
  <si>
    <t>MAX_DMDTS_I_002_2</t>
  </si>
  <si>
    <t>Input Channel 2 Import Active Power Max Demand</t>
  </si>
  <si>
    <t>MAX_DMD_IMP_P_002_kW</t>
  </si>
  <si>
    <t>Input Channel 2 Import Active Power Max Demand Timestamp</t>
  </si>
  <si>
    <t>MAX_DMDTS_IMP_P_002_1</t>
  </si>
  <si>
    <t>MAX_DMDTS_IMP_P_002_2</t>
  </si>
  <si>
    <t>Input Channel 2 Export Active Power Max Demand</t>
  </si>
  <si>
    <t>MAX_DMD_EXP_P_002_kW</t>
  </si>
  <si>
    <t>Input Channel 2 Export Active Power Max Demand Timestamp</t>
  </si>
  <si>
    <t>MAX_DMDTS_EXP_P_002_1</t>
  </si>
  <si>
    <t>MAX_DMDTS_EXP_P_002_2</t>
  </si>
  <si>
    <t>Input Channel 2 Import Reactive Power Max Demand</t>
  </si>
  <si>
    <t>MAX_DMD_IMP_Q_002_kvar</t>
  </si>
  <si>
    <t>Input Channel 2 Import Reactive Power Max Demand Timestamp</t>
  </si>
  <si>
    <t>MAX_DMDTS_IMP_Q_002_1</t>
  </si>
  <si>
    <t>MAX_DMDTS_IMP_Q_002_2</t>
  </si>
  <si>
    <t>Input Channel 2 Export Reactive Power Max Demand</t>
  </si>
  <si>
    <t>MAX_DMD_EXP_Q_002_kvar</t>
  </si>
  <si>
    <t>Input Channel 2 Export Reactive Power Max Demand Timestamp</t>
  </si>
  <si>
    <t>MAX_DMDTS_EXP_Q_002_1</t>
  </si>
  <si>
    <t>MAX_DMDTS_EXP_Q_002_2</t>
  </si>
  <si>
    <t>Input Channel 2 Apparent Power Max Demand</t>
  </si>
  <si>
    <t>MAX_DMD_S_002_kVA</t>
  </si>
  <si>
    <t>Input Channel 2 Apparent Power Max Demand Timestamp</t>
  </si>
  <si>
    <t>MAX_DMDTS_S_002_1</t>
  </si>
  <si>
    <t>MAX_DMDTS_S_002_2</t>
  </si>
  <si>
    <t>Input Channel 3 Current Max Demand</t>
  </si>
  <si>
    <t>MAX_DMD_I_003_A</t>
  </si>
  <si>
    <t>Input Channel 3 Current Max Demand Timestamp</t>
  </si>
  <si>
    <t>MAX_DMDTS_I_003_1</t>
  </si>
  <si>
    <t>MAX_DMDTS_I_003_2</t>
  </si>
  <si>
    <t>Input Channel 3 Import Active Power Max Demand</t>
  </si>
  <si>
    <t>MAX_DMD_IMP_P_003_kW</t>
  </si>
  <si>
    <t>Input Channel 3 Import Active Power Max Demand Timestamp</t>
  </si>
  <si>
    <t>MAX_DMDTS_IMP_P_003_1</t>
  </si>
  <si>
    <t>MAX_DMDTS_IMP_P_003_2</t>
  </si>
  <si>
    <t>Input Channel 3 Export Active Power Max Demand</t>
  </si>
  <si>
    <t>MAX_DMD_EXP_P_003_kW</t>
  </si>
  <si>
    <t>Input Channel 3 Export Active Power Max Demand Timestamp</t>
  </si>
  <si>
    <t>MAX_DMDTS_EXP_P_003_1</t>
  </si>
  <si>
    <t>MAX_DMDTS_EXP_P_003_2</t>
  </si>
  <si>
    <t>Input Channel 3 Import Reactive Power Max Demand</t>
  </si>
  <si>
    <t>MAX_DMD_IMP_Q_003_kvar</t>
  </si>
  <si>
    <t>Input Channel 3 Import Reactive Power Max Demand Timestamp</t>
  </si>
  <si>
    <t>MAX_DMDTS_IMP_Q_003_1</t>
  </si>
  <si>
    <t>MAX_DMDTS_IMP_Q_003_2</t>
  </si>
  <si>
    <t>Input Channel 3 Export Reactive Power Max Demand</t>
  </si>
  <si>
    <t>MAX_DMD_EXP_Q_003_kvar</t>
  </si>
  <si>
    <t>Input Channel 3 Export Reactive Power Max Demand Timestamp</t>
  </si>
  <si>
    <t>MAX_DMDTS_EXP_Q_003_1</t>
  </si>
  <si>
    <t>MAX_DMDTS_EXP_Q_003_2</t>
  </si>
  <si>
    <t>Input Channel 3 Apparent Power Max Demand</t>
  </si>
  <si>
    <t>MAX_DMD_S_003_kVA</t>
  </si>
  <si>
    <t>Input Channel 3 Apparent Power Max Demand Timestamp</t>
  </si>
  <si>
    <t>MAX_DMDTS_S_003_1</t>
  </si>
  <si>
    <t>MAX_DMDTS_S_003_2</t>
  </si>
  <si>
    <t>Input Channel 4 Current Max Demand</t>
  </si>
  <si>
    <t>MAX_DMD_I_004_A</t>
  </si>
  <si>
    <t>Input Channel 4 Current Max Demand Timestamp</t>
  </si>
  <si>
    <t>MAX_DMDTS_I_004_1</t>
  </si>
  <si>
    <t>MAX_DMDTS_I_004_2</t>
  </si>
  <si>
    <t>Input Channel 4 Import Active Power Max Demand</t>
  </si>
  <si>
    <t>MAX_DMD_IMP_P_004_kW</t>
  </si>
  <si>
    <t>Input Channel 4 Import Active Power Max Demand Timestamp</t>
  </si>
  <si>
    <t>MAX_DMDTS_IMP_P_004_1</t>
  </si>
  <si>
    <t>MAX_DMDTS_IMP_P_004_2</t>
  </si>
  <si>
    <t>Input Channel 4 Export Active Power Max Demand</t>
  </si>
  <si>
    <t>MAX_DMD_EXP_P_004_kW</t>
  </si>
  <si>
    <t>Input Channel 4 Export Active Power Max Demand Timestamp</t>
  </si>
  <si>
    <t>MAX_DMDTS_EXP_P_004_1</t>
  </si>
  <si>
    <t>MAX_DMDTS_EXP_P_004_2</t>
  </si>
  <si>
    <t>Input Channel 4 Import Reactive Power Max Demand</t>
  </si>
  <si>
    <t>MAX_DMD_IMP_Q_004_kvar</t>
  </si>
  <si>
    <t>Input Channel 4 Import Reactive Power Max Demand Timestamp</t>
  </si>
  <si>
    <t>MAX_DMDTS_IMP_Q_004_1</t>
  </si>
  <si>
    <t>MAX_DMDTS_IMP_Q_004_2</t>
  </si>
  <si>
    <t>Input Channel 4 Export Reactive Power Max Demand</t>
  </si>
  <si>
    <t>MAX_DMD_EXP_Q_004_kvar</t>
  </si>
  <si>
    <t>Input Channel 4 Export Reactive Power Max Demand Timestamp</t>
  </si>
  <si>
    <t>MAX_DMDTS_EXP_Q_004_1</t>
  </si>
  <si>
    <t>MAX_DMDTS_EXP_Q_004_2</t>
  </si>
  <si>
    <t>Input Channel 4 Apparent Power Max Demand</t>
  </si>
  <si>
    <t>MAX_DMD_S_004_kVA</t>
  </si>
  <si>
    <t>Input Channel 4 Apparent Power Max Demand Timestamp</t>
  </si>
  <si>
    <t>MAX_DMDTS_S_004_1</t>
  </si>
  <si>
    <t>MAX_DMDTS_S_004_2</t>
  </si>
  <si>
    <t>Input Channel 5 Current Max Demand</t>
  </si>
  <si>
    <t>MAX_DMD_I_005_A</t>
  </si>
  <si>
    <t>Input Channel 5 Current Max Demand Timestamp</t>
  </si>
  <si>
    <t>MAX_DMDTS_I_005_1</t>
  </si>
  <si>
    <t>MAX_DMDTS_I_005_2</t>
  </si>
  <si>
    <t>Input Channel 5 Import Active Power Max Demand</t>
  </si>
  <si>
    <t>MAX_DMD_IMP_P_005_kW</t>
  </si>
  <si>
    <t>Input Channel 5 Import Active Power Max Demand Timestamp</t>
  </si>
  <si>
    <t>MAX_DMDTS_IMP_P_005_1</t>
  </si>
  <si>
    <t>Input Channel 5 Import Active Power Max Demand timestamp</t>
  </si>
  <si>
    <t>MAX_DMDTS_IMP_P_005_2</t>
  </si>
  <si>
    <t>Input Channel 5 Export Active Power Max Demand</t>
  </si>
  <si>
    <t>MAX_DMD_EXP_P_005_kW</t>
  </si>
  <si>
    <t>Input Channel 5 Export Active Power Max Demand Timestamp</t>
  </si>
  <si>
    <t>MAX_DMDTS_EXP_P_005_1</t>
  </si>
  <si>
    <t>MAX_DMDTS_EXP_P_005_2</t>
  </si>
  <si>
    <t>Input Channel 5 Import Reactive Power Max Demand</t>
  </si>
  <si>
    <t>MAX_DMD_IMP_Q_005_kvar</t>
  </si>
  <si>
    <t>Input Channel 5 Import Reactive Power Max Demand Timestamp</t>
  </si>
  <si>
    <t>MAX_DMDTS_IMP_Q_005_1</t>
  </si>
  <si>
    <t>MAX_DMDTS_IMP_Q_005_2</t>
  </si>
  <si>
    <t>Input Channel 5 Export Reactive Power Max Demand</t>
  </si>
  <si>
    <t>MAX_DMD_EXP_Q_005_kvar</t>
  </si>
  <si>
    <t>Input Channel 5 Export Reactive Power Max Demand Timestamp</t>
  </si>
  <si>
    <t>MAX_DMDTS_EXP_Q_005_1</t>
  </si>
  <si>
    <t>MAX_DMDTS_EXP_Q_005_2</t>
  </si>
  <si>
    <t>Input Channel 5 Apparent Power Max Demand</t>
  </si>
  <si>
    <t>MAX_DMD_S_005_kVA</t>
  </si>
  <si>
    <t>Input Channel 5 Apparent Power Max Demand Timestamp</t>
  </si>
  <si>
    <t>MAX_DMDTS_S_005_1</t>
  </si>
  <si>
    <t>MAX_DMDTS_S_005_2</t>
  </si>
  <si>
    <t>Input Channel 6 Current Max Demand</t>
  </si>
  <si>
    <t>MAX_DMD_I_006_A</t>
  </si>
  <si>
    <t>Input Channel 6 Current Max Demand Timestamp</t>
  </si>
  <si>
    <t>MAX_DMDTS_I_006_1</t>
  </si>
  <si>
    <t>MAX_DMDTS_I_006_2</t>
  </si>
  <si>
    <t>Input Channel 6 Import Active Power Max Demand</t>
  </si>
  <si>
    <t>MAX_DMD_IMP_P_006_kW</t>
  </si>
  <si>
    <t>Input Channel 6 Import Active Power Max Demand Timestamp</t>
  </si>
  <si>
    <t>MAX_DMDTS_IMP_P_006_1</t>
  </si>
  <si>
    <t>MAX_DMDTS_IMP_P_006_2</t>
  </si>
  <si>
    <t>Input Channel 6 Export Active Power Max Demand</t>
  </si>
  <si>
    <t>MAX_DMD_EXP_P_006_kW</t>
  </si>
  <si>
    <t>Input Channel 6 Export Active Power Max Demand Timestamp</t>
  </si>
  <si>
    <t>MAX_DMDTS_EXP_P_006_1</t>
  </si>
  <si>
    <t>MAX_DMDTS_EXP_P_006_2</t>
  </si>
  <si>
    <t>Input Channel 6 Import Reactive Power Max Demand</t>
  </si>
  <si>
    <t>MAX_DMD_IMP_Q_006_kvar</t>
  </si>
  <si>
    <t>Input Channel 6 Import Reactive Power Max Demand Timestamp</t>
  </si>
  <si>
    <t>MAX_DMDTS_IMP_Q_006_1</t>
  </si>
  <si>
    <t>MAX_DMDTS_IMP_Q_006_2</t>
  </si>
  <si>
    <t>Input Channel 6 Export Reactive Power Max Demand</t>
  </si>
  <si>
    <t>MAX_DMD_EXP_Q_006_kvar</t>
  </si>
  <si>
    <t>Input Channel 6 Export Reactive Power Max Demand Timestamp</t>
  </si>
  <si>
    <t>MAX_DMDTS_EXP_Q_006_1</t>
  </si>
  <si>
    <t>MAX_DMDTS_EXP_Q_006_2</t>
  </si>
  <si>
    <t>Input Channel 6 Apparent Power Max Demand</t>
  </si>
  <si>
    <t>MAX_DMD_S_006_kVA</t>
  </si>
  <si>
    <t>Input Channel 6 Apparent Power Max Demand Timestamp</t>
  </si>
  <si>
    <t>MAX_DMDTS_S_006_1</t>
  </si>
  <si>
    <t>MAX_DMDTS_S_006_2</t>
  </si>
  <si>
    <t>Input Channel 7 Current Max Demand</t>
  </si>
  <si>
    <t>MAX_DMD_I_007_A</t>
  </si>
  <si>
    <t>Input Channel 7 Current Max Demand Timestamp</t>
  </si>
  <si>
    <t>MAX_DMDTS_I_007_1</t>
  </si>
  <si>
    <t>MAX_DMDTS_I_007_2</t>
  </si>
  <si>
    <t>Input Channel 7 Import Active Power Max Demand</t>
  </si>
  <si>
    <t>MAX_DMD_IMP_P_007_kW</t>
  </si>
  <si>
    <t>Input Channel 7 Import Active Power Max Demand Timestamp</t>
  </si>
  <si>
    <t>MAX_DMDTS_IMP_P_007_1</t>
  </si>
  <si>
    <t>MAX_DMDTS_IMP_P_007_2</t>
  </si>
  <si>
    <t>Input Channel 7 Export Active Power Max Demand</t>
  </si>
  <si>
    <t>MAX_DMD_EXP_P_007_kW</t>
  </si>
  <si>
    <t>Input Channel 7 Export Active Power Max Demand Timestamp</t>
  </si>
  <si>
    <t>MAX_DMDTS_EXP_P_007_1</t>
  </si>
  <si>
    <t>MAX_DMDTS_EXP_P_007_2</t>
  </si>
  <si>
    <t>Input Channel 7 Import Reactive Power Max Demand</t>
  </si>
  <si>
    <t>MAX_DMD_IMP_Q_007_kvar</t>
  </si>
  <si>
    <t>Input Channel 7 Import Reactive Power Max Demand Timestamp</t>
  </si>
  <si>
    <t>MAX_DMDTS_IMP_Q_007_1</t>
  </si>
  <si>
    <t>MAX_DMDTS_IMP_Q_007_2</t>
  </si>
  <si>
    <t>Input Channel 7 Export Reactive Power Max Demand</t>
  </si>
  <si>
    <t>MAX_DMD_EXP_Q_007_kvar</t>
  </si>
  <si>
    <t>Input Channel 7 Export Reactive Power Max Demand Timestamp</t>
  </si>
  <si>
    <t>MAX_DMDTS_EXP_Q_007_1</t>
  </si>
  <si>
    <t>MAX_DMDTS_EXP_Q_007_2</t>
  </si>
  <si>
    <t>Input Channel 7 Apparent Power Max Demand</t>
  </si>
  <si>
    <t>MAX_DMD_S_007_kVA</t>
  </si>
  <si>
    <t>Input Channel 7 Apparent Power Max Demand Timestamp</t>
  </si>
  <si>
    <t>MAX_DMDTS_S_007_1</t>
  </si>
  <si>
    <t>MAX_DMDTS_S_007_2</t>
  </si>
  <si>
    <t>Input Channel 8 Current Max Demand</t>
  </si>
  <si>
    <t>MAX_DMD_I_008_A</t>
  </si>
  <si>
    <t>Input Channel 8 Current Max Demand Timestamp</t>
  </si>
  <si>
    <t>MAX_DMDTS_I_008_1</t>
  </si>
  <si>
    <t>MAX_DMDTS_I_008_2</t>
  </si>
  <si>
    <t>Input Channel 8 Import Active Power Max Demand</t>
  </si>
  <si>
    <t>MAX_DMD_IMP_P_008_kW</t>
  </si>
  <si>
    <t>Input Channel 8 Import Active Power Max Demand Timestamp</t>
  </si>
  <si>
    <t>MAX_DMDTS_IMP_P_008_1</t>
  </si>
  <si>
    <t>MAX_DMDTS_IMP_P_008_2</t>
  </si>
  <si>
    <t>Input Channel 8 Export Active Power Max Demand</t>
  </si>
  <si>
    <t>MAX_DMD_EXP_P_008_kW</t>
  </si>
  <si>
    <t>Input Channel 8 Export Active Power Max Demand Timestamp</t>
  </si>
  <si>
    <t>MAX_DMDTS_EXP_P_008_1</t>
  </si>
  <si>
    <t>MAX_DMDTS_EXP_P_008_2</t>
  </si>
  <si>
    <t>Input Channel 8 Import Reactive Power Max Demand</t>
  </si>
  <si>
    <t>MAX_DMD_IMP_Q_008_kvar</t>
  </si>
  <si>
    <t>Input Channel 8 Import Reactive Power Max Demand Timestamp</t>
  </si>
  <si>
    <t>MAX_DMDTS_IMP_Q_008_1</t>
  </si>
  <si>
    <t>MAX_DMDTS_IMP_Q_008_2</t>
  </si>
  <si>
    <t>Input Channel 8 Export Reactive Power Max Demand</t>
  </si>
  <si>
    <t>MAX_DMD_EXP_Q_008_kvar</t>
  </si>
  <si>
    <t>Input Channel 8 Export Reactive Power Max Demand Timestamp</t>
  </si>
  <si>
    <t>MAX_DMDTS_EXP_Q_008_1</t>
  </si>
  <si>
    <t>MAX_DMDTS_EXP_Q_008_2</t>
  </si>
  <si>
    <t>Input Channel 8 Apparent Power Max Demand</t>
  </si>
  <si>
    <t>MAX_DMD_S_008_kVA</t>
  </si>
  <si>
    <t>Input Channel 8 Apparent Power Max Demand Timestamp</t>
  </si>
  <si>
    <t>MAX_DMDTS_S_008_1</t>
  </si>
  <si>
    <t>MAX_DMDTS_S_008_2</t>
  </si>
  <si>
    <t>Input Channel 9 Current Max Demand</t>
  </si>
  <si>
    <t>MAX_DMD_I_009_A</t>
  </si>
  <si>
    <t>Input Channel 9 Current Max Demand Timestamp</t>
  </si>
  <si>
    <t>MAX_DMDTS_I_009_1</t>
  </si>
  <si>
    <t>MAX_DMDTS_I_009_2</t>
  </si>
  <si>
    <t>Input Channel 9 Import Active Power Max Demand</t>
  </si>
  <si>
    <t>MAX_DMD_IMP_P_009_kW</t>
  </si>
  <si>
    <t>Input Channel 9 Import Active Power Max Demand Timestamp</t>
  </si>
  <si>
    <t>MAX_DMDTS_IMP_P_009_1</t>
  </si>
  <si>
    <t>MAX_DMDTS_IMP_P_009_2</t>
  </si>
  <si>
    <t>Input Channel 9 Export Active Power Max Demand</t>
  </si>
  <si>
    <t>MAX_DMD_EXP_P_009_kW</t>
  </si>
  <si>
    <t>Input Channel 9 Export Active Power Max Demand Timestamp</t>
  </si>
  <si>
    <t>MAX_DMDTS_EXP_P_009_1</t>
  </si>
  <si>
    <t>MAX_DMDTS_EXP_P_009_2</t>
  </si>
  <si>
    <t>Input Channel 9 Import Reactive Power Max Demand</t>
  </si>
  <si>
    <t>MAX_DMD_IMP_Q_009_kvar</t>
  </si>
  <si>
    <t>Input Channel 9 Import Reactive Power Max Demand Timestamp</t>
  </si>
  <si>
    <t>MAX_DMDTS_IMP_Q_009_1</t>
  </si>
  <si>
    <t>MAX_DMDTS_IMP_Q_009_2</t>
  </si>
  <si>
    <t>Input Channel 9 Export Reactive Power Max Demand</t>
  </si>
  <si>
    <t>MAX_DMD_EXP_Q_009_kvar</t>
  </si>
  <si>
    <t>Input Channel 9 Export Reactive Power Max Demand Timestamp</t>
  </si>
  <si>
    <t>MAX_DMDTS_EXP_Q_009_1</t>
  </si>
  <si>
    <t>MAX_DMDTS_EXP_Q_009_2</t>
  </si>
  <si>
    <t>Input Channel 9 Apparent Power Max Demand</t>
  </si>
  <si>
    <t>MAX_DMD_S_009_kVA</t>
  </si>
  <si>
    <t>Input Channel 9 Apparent Power Max Demand Timestamp</t>
  </si>
  <si>
    <t>MAX_DMDTS_S_009_1</t>
  </si>
  <si>
    <t>MAX_DMDTS_S_009_2</t>
  </si>
  <si>
    <t>Input Channel 10 Current Max Demand</t>
  </si>
  <si>
    <t>MAX_DMD_I_010_A</t>
  </si>
  <si>
    <t>Input Channel 10 Current Max Demand Timestamp</t>
  </si>
  <si>
    <t>MAX_DMDTS_I_010_1</t>
  </si>
  <si>
    <t>MAX_DMDTS_I_010_2</t>
  </si>
  <si>
    <t>Input Channel 10 Import Active Power Max Demand</t>
  </si>
  <si>
    <t>MAX_DMD_IMP_P_010_kW</t>
  </si>
  <si>
    <t>Input Channel 10 Import Active Power Max Demand Timestamp</t>
  </si>
  <si>
    <t>MAX_DMDTS_IMP_P_010_1</t>
  </si>
  <si>
    <t>MAX_DMDTS_IMP_P_010_2</t>
  </si>
  <si>
    <t>Input Channel 10 Export Active Power Max Demand</t>
  </si>
  <si>
    <t>MAX_DMD_EXP_P_010_kW</t>
  </si>
  <si>
    <t>Input Channel 10 Export Active Power Max Demand Timestamp</t>
  </si>
  <si>
    <t>MAX_DMDTS_EXP_P_010_1</t>
  </si>
  <si>
    <t>MAX_DMDTS_EXP_P_010_2</t>
  </si>
  <si>
    <t>Input Channel 10 Import Reactive Power Max Demand</t>
  </si>
  <si>
    <t>MAX_DMD_IMP_Q_010_kvar</t>
  </si>
  <si>
    <t>Input Channel 10 Import Reactive Power Max Demand Timestamp</t>
  </si>
  <si>
    <t>MAX_DMDTS_IMP_Q_010_1</t>
  </si>
  <si>
    <t>MAX_DMDTS_IMP_Q_010_2</t>
  </si>
  <si>
    <t>Input Channel 10 Export Reactive Power Max Demand</t>
  </si>
  <si>
    <t>MAX_DMD_EXP_Q_010_kvar</t>
  </si>
  <si>
    <t>Input Channel 10 Export Reactive Power Max Demand Timestamp</t>
  </si>
  <si>
    <t>MAX_DMDTS_EXP_Q_010_1</t>
  </si>
  <si>
    <t>MAX_DMDTS_EXP_Q_010_2</t>
  </si>
  <si>
    <t>Input Channel 10 Apparent Power Max Demand</t>
  </si>
  <si>
    <t>MAX_DMD_S_010_kVA</t>
  </si>
  <si>
    <t>Input Channel 10 Apparent Power Max Demand Timestamp</t>
  </si>
  <si>
    <t>MAX_DMDTS_S_010_1</t>
  </si>
  <si>
    <t>MAX_DMDTS_S_010_2</t>
  </si>
  <si>
    <t>Input Channel 11 Current Max Demand</t>
  </si>
  <si>
    <t>MAX_DMD_I_011_A</t>
  </si>
  <si>
    <t>Input Channel 11 Current Max Demand Timestamp</t>
  </si>
  <si>
    <t>MAX_DMDTS_I_011_1</t>
  </si>
  <si>
    <t>MAX_DMDTS_I_011_2</t>
  </si>
  <si>
    <t>Input Channel 11 Import Active Power Max Demand</t>
  </si>
  <si>
    <t>MAX_DMD_IMP_P_011_kW</t>
  </si>
  <si>
    <t>Input Channel 11 Import Active Power Max Demand Timestamp</t>
  </si>
  <si>
    <t>MAX_DMDTS_IMP_P_011_1</t>
  </si>
  <si>
    <t>MAX_DMDTS_IMP_P_011_2</t>
  </si>
  <si>
    <t>Input Channel 11 Export Active Power Max Demand</t>
  </si>
  <si>
    <t>MAX_DMD_EXP_P_011_kW</t>
  </si>
  <si>
    <t>Input Channel 11 Export Active Power Max Demand Timestamp</t>
  </si>
  <si>
    <t>MAX_DMDTS_EXP_P_011_1</t>
  </si>
  <si>
    <t>MAX_DMDTS_EXP_P_011_2</t>
  </si>
  <si>
    <t>Input Channel 11 Import Reactive Power Max Demand</t>
  </si>
  <si>
    <t>MAX_DMD_IMP_Q_011_kvar</t>
  </si>
  <si>
    <t>Input Channel 11 Import Reactive Power Max Demand Timestamp</t>
  </si>
  <si>
    <t>MAX_DMDTS_IMP_Q_011_1</t>
  </si>
  <si>
    <t>MAX_DMDTS_IMP_Q_011_2</t>
  </si>
  <si>
    <t>Input Channel 11 Export Reactive Power Max Demand</t>
  </si>
  <si>
    <t>MAX_DMD_EXP_Q_011_kvar</t>
  </si>
  <si>
    <t>Input Channel 11 Export Reactive Power Max Demand Timestamp</t>
  </si>
  <si>
    <t>MAX_DMDTS_EXP_Q_011_1</t>
  </si>
  <si>
    <t>MAX_DMDTS_EXP_Q_011_2</t>
  </si>
  <si>
    <t>Input Channel 11 Apparent Power Max Demand</t>
  </si>
  <si>
    <t>MAX_DMD_S_011_kVA</t>
  </si>
  <si>
    <t>Input Channel 11 Apparent Power Max Demand Timestamp</t>
  </si>
  <si>
    <t>MAX_DMDTS_S_011_1</t>
  </si>
  <si>
    <t>MAX_DMDTS_S_011_2</t>
  </si>
  <si>
    <t>Input Channel 12 Current Max Demand</t>
  </si>
  <si>
    <t>MAX_DMD_I_012_A</t>
  </si>
  <si>
    <t>Input Channel 12 Current Max Demand Timestamp</t>
  </si>
  <si>
    <t>MAX_DMDTS_I_012_1</t>
  </si>
  <si>
    <t>MAX_DMDTS_I_012_2</t>
  </si>
  <si>
    <t>Input Channel 12 Import Active Power Max Demand</t>
  </si>
  <si>
    <t>MAX_DMD_IMP_P_012_kW</t>
  </si>
  <si>
    <t>Input Channel 12 Import Active Power Max Demand Timestamp</t>
  </si>
  <si>
    <t>MAX_DMDTS_IMP_P_012_1</t>
  </si>
  <si>
    <t>MAX_DMDTS_IMP_P_012_2</t>
  </si>
  <si>
    <t>Input Channel 12 Export Active Power Max Demand</t>
  </si>
  <si>
    <t>MAX_DMD_EXP_P_012_kW</t>
  </si>
  <si>
    <t>Input Channel 12 Export Active Power Max Demand Timestamp</t>
  </si>
  <si>
    <t>MAX_DMDTS_EXP_P_012_1</t>
  </si>
  <si>
    <t>MAX_DMDTS_EXP_P_012_2</t>
  </si>
  <si>
    <t>Input Channel 12 Import Reactive Power Max Demand</t>
  </si>
  <si>
    <t>MAX_DMD_IMP_Q_012_kvar</t>
  </si>
  <si>
    <t>Input Channel 12 Import Reactive Power Max Demand Timestamp</t>
  </si>
  <si>
    <t>MAX_DMDTS_IMP_Q_012_1</t>
  </si>
  <si>
    <t>MAX_DMDTS_IMP_Q_012_2</t>
  </si>
  <si>
    <t>Input Channel 12 Export Reactive Power Max Demand</t>
  </si>
  <si>
    <t>MAX_DMD_EXP_Q_012_kvar</t>
  </si>
  <si>
    <t>Input Channel 12 Export Reactive Power Max Demand Timestamp</t>
  </si>
  <si>
    <t>MAX_DMDTS_EXP_Q_012_1</t>
  </si>
  <si>
    <t>MAX_DMDTS_EXP_Q_012_2</t>
  </si>
  <si>
    <t>Input Channel 12 Apparent Power Max Demand</t>
  </si>
  <si>
    <t>MAX_DMD_S_012_kVA</t>
  </si>
  <si>
    <t>Input Channel 12 Apparent Power Max Demand Timestamp</t>
  </si>
  <si>
    <t>MAX_DMDTS_S_012_1</t>
  </si>
  <si>
    <t>MAX_DMDTS_S_012_2</t>
  </si>
  <si>
    <t>Input Channel 13 Current Max Demand</t>
  </si>
  <si>
    <t>MAX_DMD_I_013_A</t>
  </si>
  <si>
    <t>Input Channel 13 Current Max Demand Timestamp</t>
  </si>
  <si>
    <t>MAX_DMDTS_I_013_1</t>
  </si>
  <si>
    <t>MAX_DMDTS_I_013_2</t>
  </si>
  <si>
    <t>Input Channel 13 Import Active Power Max Demand</t>
  </si>
  <si>
    <t>MAX_DMD_IMP_P_013_kW</t>
  </si>
  <si>
    <t>Input Channel 13 Import Active Power Max Demand Timestamp</t>
  </si>
  <si>
    <t>MAX_DMDTS_IMP_P_013_1</t>
  </si>
  <si>
    <t>MAX_DMDTS_IMP_P_013_2</t>
  </si>
  <si>
    <t>Input Channel 13 Export Active Power Max Demand</t>
  </si>
  <si>
    <t>MAX_DMD_EXP_P_013_kW</t>
  </si>
  <si>
    <t>Input Channel 13 Export Active Power Max Demand Timestamp</t>
  </si>
  <si>
    <t>MAX_DMDTS_EXP_P_013_1</t>
  </si>
  <si>
    <t>MAX_DMDTS_EXP_P_013_2</t>
  </si>
  <si>
    <t>Input Channel 13 Import Reactive Power Max Demand</t>
  </si>
  <si>
    <t>MAX_DMD_IMP_Q_013_kvar</t>
  </si>
  <si>
    <t>Input Channel 13 Import Reactive Power Max Demand Timestamp</t>
  </si>
  <si>
    <t>MAX_DMDTS_IMP_Q_013_1</t>
  </si>
  <si>
    <t>MAX_DMDTS_IMP_Q_013_2</t>
  </si>
  <si>
    <t>Input Channel 13 Export Reactive Power Max Demand</t>
  </si>
  <si>
    <t>MAX_DMD_EXP_Q_013_kvar</t>
  </si>
  <si>
    <t>Input Channel 13 Export Reactive Power Max Demand Timestamp</t>
  </si>
  <si>
    <t>MAX_DMDTS_EXP_Q_013_1</t>
  </si>
  <si>
    <t>MAX_DMDTS_EXP_Q_013_2</t>
  </si>
  <si>
    <t>Input Channel 13 Apparent Power Max Demand</t>
  </si>
  <si>
    <t>MAX_DMD_S_013_kVA</t>
  </si>
  <si>
    <t>Input Channel 13 Apparent Power Max Demand Timestamp</t>
  </si>
  <si>
    <t>MAX_DMDTS_S_013_1</t>
  </si>
  <si>
    <t>MAX_DMDTS_S_013_2</t>
  </si>
  <si>
    <t>Input Channel 14 Current Max Demand</t>
  </si>
  <si>
    <t>MAX_DMD_I_014_A</t>
  </si>
  <si>
    <t>Input Channel 14 Current Max Demand Timestamp</t>
  </si>
  <si>
    <t>MAX_DMDTS_I_014_1</t>
  </si>
  <si>
    <t>MAX_DMDTS_I_014_2</t>
  </si>
  <si>
    <t>Input Channel 14 Import Active Power Max Demand</t>
  </si>
  <si>
    <t>MAX_DMD_IMP_P_014_kW</t>
  </si>
  <si>
    <t>Input Channel 14 Import Active Power Max Demand Timestamp</t>
  </si>
  <si>
    <t>MAX_DMDTS_IMP_P_014_1</t>
  </si>
  <si>
    <t>MAX_DMDTS_IMP_P_014_2</t>
  </si>
  <si>
    <t>Input Channel 14 Export Active Power Max Demand</t>
  </si>
  <si>
    <t>MAX_DMD_EXP_P_014_kW</t>
  </si>
  <si>
    <t>Input Channel 14 Export Active Power Max Demand Timestamp</t>
  </si>
  <si>
    <t>MAX_DMDTS_EXP_P_014_1</t>
  </si>
  <si>
    <t>MAX_DMDTS_EXP_P_014_2</t>
  </si>
  <si>
    <t>Input Channel 14 Import Reactive Power Max Demand</t>
  </si>
  <si>
    <t>MAX_DMD_IMP_Q_014_kvar</t>
  </si>
  <si>
    <t>Input Channel 14 Import Reactive Power Max Demand Timestamp</t>
  </si>
  <si>
    <t>MAX_DMDTS_IMP_Q_014_1</t>
  </si>
  <si>
    <t>MAX_DMDTS_IMP_Q_014_2</t>
  </si>
  <si>
    <t>Input Channel 14 Export Reactive Power Max Demand</t>
  </si>
  <si>
    <t>MAX_DMD_EXP_Q_014_kvar</t>
  </si>
  <si>
    <t>Input Channel 14 Export Reactive Power Max Demand Timestamp</t>
  </si>
  <si>
    <t>MAX_DMDTS_EXP_Q_014_1</t>
  </si>
  <si>
    <t>MAX_DMDTS_EXP_Q_014_2</t>
  </si>
  <si>
    <t>Input Channel 14 Apparent Power Max Demand</t>
  </si>
  <si>
    <t>MAX_DMD_S_014_kVA</t>
  </si>
  <si>
    <t>Input Channel 14 Apparent Power Max Demand Timestamp</t>
  </si>
  <si>
    <t>MAX_DMDTS_S_014_1</t>
  </si>
  <si>
    <t>MAX_DMDTS_S_014_2</t>
  </si>
  <si>
    <t>Input Channel 15 Current Max Demand</t>
  </si>
  <si>
    <t>MAX_DMD_I_015_A</t>
  </si>
  <si>
    <t>Input Channel 15 Current Max Demand Timestamp</t>
  </si>
  <si>
    <t>MAX_DMDTS_I_015_1</t>
  </si>
  <si>
    <t>MAX_DMDTS_I_015_2</t>
  </si>
  <si>
    <t>Input Channel 15 Import Active Power Max Demand</t>
  </si>
  <si>
    <t>MAX_DMD_IMP_P_015_kW</t>
  </si>
  <si>
    <t>Input Channel 15 Import Active Power Max Demand Timestamp</t>
  </si>
  <si>
    <t>MAX_DMDTS_IMP_P_015_1</t>
  </si>
  <si>
    <t>MAX_DMDTS_IMP_P_015_2</t>
  </si>
  <si>
    <t>Input Channel 15 Export Active Power Max Demand</t>
  </si>
  <si>
    <t>MAX_DMD_EXP_P_015_kW</t>
  </si>
  <si>
    <t>Input Channel 15 Export Active Power Max Demand Timestamp</t>
  </si>
  <si>
    <t>MAX_DMDTS_EXP_P_015_1</t>
  </si>
  <si>
    <t>MAX_DMDTS_EXP_P_015_2</t>
  </si>
  <si>
    <t>Input Channel 15 Import Reactive Power Max Demand</t>
  </si>
  <si>
    <t>MAX_DMD_IMP_Q_015_kvar</t>
  </si>
  <si>
    <t>Input Channel 15 Import Reactive Power Max Demand Timestamp</t>
  </si>
  <si>
    <t>MAX_DMDTS_IMP_Q_015_1</t>
  </si>
  <si>
    <t>MAX_DMDTS_IMP_Q_015_2</t>
  </si>
  <si>
    <t>Input Channel 15 Export Reactive Power Max Demand</t>
  </si>
  <si>
    <t>MAX_DMD_EXP_Q_015_kvar</t>
  </si>
  <si>
    <t>Input Channel 15 Export Reactive Power Max Demand Timestamp</t>
  </si>
  <si>
    <t>MAX_DMDTS_EXP_Q_015_1</t>
  </si>
  <si>
    <t>MAX_DMDTS_EXP_Q_015_2</t>
  </si>
  <si>
    <t>Input Channel 15 Apparent Power Max Demand</t>
  </si>
  <si>
    <t>MAX_DMD_S_015_kVA</t>
  </si>
  <si>
    <t>Input Channel 15 Apparent Power Max Demand Timestamp</t>
  </si>
  <si>
    <t>MAX_DMDTS_S_015_1</t>
  </si>
  <si>
    <t>MAX_DMDTS_S_015_2</t>
  </si>
  <si>
    <t>Input Channel 16 Current Max Demand</t>
  </si>
  <si>
    <t>MAX_DMD_I_016_A</t>
  </si>
  <si>
    <t>Input Channel 16 Current Max Demand Timestamp</t>
  </si>
  <si>
    <t>MAX_DMDTS_I_016_1</t>
  </si>
  <si>
    <t>MAX_DMDTS_I_016_2</t>
  </si>
  <si>
    <t>Input Channel 16 Import Active Power Max Demand</t>
  </si>
  <si>
    <t>MAX_DMD_IMP_P_016_kW</t>
  </si>
  <si>
    <t>Input Channel 16 Import Active Power Max Demand Timestamp</t>
  </si>
  <si>
    <t>MAX_DMDTS_IMP_P_016_1</t>
  </si>
  <si>
    <t>MAX_DMDTS_IMP_P_016_2</t>
  </si>
  <si>
    <t>Input Channel 16 Export Active Power Max Demand</t>
  </si>
  <si>
    <t>MAX_DMD_EXP_P_016_kW</t>
  </si>
  <si>
    <t>Input Channel 16 Export Active Power Max Demand Timestamp</t>
  </si>
  <si>
    <t>MAX_DMDTS_EXP_P_016_1</t>
  </si>
  <si>
    <t>MAX_DMDTS_EXP_P_016_2</t>
  </si>
  <si>
    <t>Input Channel 16 Import Reactive Power Max Demand</t>
  </si>
  <si>
    <t>MAX_DMD_IMP_Q_016_kvar</t>
  </si>
  <si>
    <t>Input Channel 16 Import Reactive Power Max Demand Timestamp</t>
  </si>
  <si>
    <t>MAX_DMDTS_IMP_Q_016_1</t>
  </si>
  <si>
    <t>MAX_DMDTS_IMP_Q_016_2</t>
  </si>
  <si>
    <t>Input Channel 16 Export Reactive Power Max Demand</t>
  </si>
  <si>
    <t>MAX_DMD_EXP_Q_016_kvar</t>
  </si>
  <si>
    <t>Input Channel 16 Export Reactive Power Max Demand Timestamp</t>
  </si>
  <si>
    <t>MAX_DMDTS_EXP_Q_016_1</t>
  </si>
  <si>
    <t>MAX_DMDTS_EXP_Q_016_2</t>
  </si>
  <si>
    <t>Input Channel 16 Apparent Power Max Demand</t>
  </si>
  <si>
    <t>MAX_DMD_S_016_kVA</t>
  </si>
  <si>
    <t>Input Channel 16 Apparent Power Max Demand Timestamp</t>
  </si>
  <si>
    <t>MAX_DMDTS_S_016_1</t>
  </si>
  <si>
    <t>MAX_DMDTS_S_016_2</t>
  </si>
  <si>
    <t>Input Channel 17 Current Max Demand</t>
  </si>
  <si>
    <t>MAX_DMD_I_017_A</t>
  </si>
  <si>
    <t>Input Channel 17 Current Max Demand Timestamp</t>
  </si>
  <si>
    <t>MAX_DMDTS_I_017_1</t>
  </si>
  <si>
    <t>MAX_DMDTS_I_017_2</t>
  </si>
  <si>
    <t>Input Channel 17 Import Active Power Max Demand</t>
  </si>
  <si>
    <t>MAX_DMD_IMP_P_017_kW</t>
  </si>
  <si>
    <t>Input Channel 17 Import Active Power Max Demand Timestamp</t>
  </si>
  <si>
    <t>MAX_DMDTS_IMP_P_017_1</t>
  </si>
  <si>
    <t>MAX_DMDTS_IMP_P_017_2</t>
  </si>
  <si>
    <t>Input Channel 17 Export Active Power Max Demand</t>
  </si>
  <si>
    <t>MAX_DMD_EXP_P_017_kW</t>
  </si>
  <si>
    <t>Input Channel 17 Export Active Power Max Demand Timestamp</t>
  </si>
  <si>
    <t>MAX_DMDTS_EXP_P_017_1</t>
  </si>
  <si>
    <t>MAX_DMDTS_EXP_P_017_2</t>
  </si>
  <si>
    <t>Input Channel 17 Import Reactive Power Max Demand</t>
  </si>
  <si>
    <t>MAX_DMD_IMP_Q_017_kvar</t>
  </si>
  <si>
    <t>Input Channel 17 Import Reactive Power Max Demand Timestamp</t>
  </si>
  <si>
    <t>MAX_DMDTS_IMP_Q_017_1</t>
  </si>
  <si>
    <t>MAX_DMDTS_IMP_Q_017_2</t>
  </si>
  <si>
    <t>Input Channel 17 Export Reactive Power Max Demand</t>
  </si>
  <si>
    <t>MAX_DMD_EXP_Q_017_kvar</t>
  </si>
  <si>
    <t>Input Channel 17 Export Reactive Power Max Demand Timestamp</t>
  </si>
  <si>
    <t>MAX_DMDTS_EXP_Q_017_1</t>
  </si>
  <si>
    <t>MAX_DMDTS_EXP_Q_017_2</t>
  </si>
  <si>
    <t>Input Channel 17 Apparent Power Max Demand</t>
  </si>
  <si>
    <t>MAX_DMD_S_017_kVA</t>
  </si>
  <si>
    <t>Input Channel 17 Apparent Power Max Demand Timestamp</t>
  </si>
  <si>
    <t>MAX_DMDTS_S_017_1</t>
  </si>
  <si>
    <t>MAX_DMDTS_S_017_2</t>
  </si>
  <si>
    <t>Input Channel 18 Current Max Demand</t>
  </si>
  <si>
    <t>MAX_DMD_I_018_A</t>
  </si>
  <si>
    <t>Input Channel 18 Current Max Demand Timestamp</t>
  </si>
  <si>
    <t>MAX_DMDTS_I_018_1</t>
  </si>
  <si>
    <t>MAX_DMDTS_I_018_2</t>
  </si>
  <si>
    <t>Input Channel 18 Import Active Power Max Demand</t>
  </si>
  <si>
    <t>MAX_DMD_IMP_P_018_kW</t>
  </si>
  <si>
    <t>Input Channel 18 Import Active Power Max Demand Timestamp</t>
  </si>
  <si>
    <t>MAX_DMDTS_IMP_P_018_1</t>
  </si>
  <si>
    <t>MAX_DMDTS_IMP_P_018_2</t>
  </si>
  <si>
    <t>Input Channel 18 Export Active Power Max Demand</t>
  </si>
  <si>
    <t>MAX_DMD_EXP_P_018_kW</t>
  </si>
  <si>
    <t>Input Channel 18 Export Active Power Max Demand Timestamp</t>
  </si>
  <si>
    <t>MAX_DMDTS_EXP_P_018_1</t>
  </si>
  <si>
    <t>MAX_DMDTS_EXP_P_018_2</t>
  </si>
  <si>
    <t>Input Channel 18 Import Reactive Power Max Demand</t>
  </si>
  <si>
    <t>MAX_DMD_IMP_Q_018_kvar</t>
  </si>
  <si>
    <t>Input Channel 18 Import Reactive Power Max Demand Timestamp</t>
  </si>
  <si>
    <t>MAX_DMDTS_IMP_Q_018_1</t>
  </si>
  <si>
    <t>MAX_DMDTS_IMP_Q_018_2</t>
  </si>
  <si>
    <t>Input Channel 18 Export Reactive Power Max Demand</t>
  </si>
  <si>
    <t>MAX_DMD_EXP_Q_018_kvar</t>
  </si>
  <si>
    <t>Input Channel 18 Export Reactive Power Max Demand Timestamp</t>
  </si>
  <si>
    <t>MAX_DMDTS_EXP_Q_018_1</t>
  </si>
  <si>
    <t>MAX_DMDTS_EXP_Q_018_2</t>
  </si>
  <si>
    <t>Input Channel 18 Apparent Power Max Demand</t>
  </si>
  <si>
    <t>MAX_DMD_S_018_kVA</t>
  </si>
  <si>
    <t>Input Channel 18 Apparent Power Max Demand Timestamp</t>
  </si>
  <si>
    <t>MAX_DMDTS_S_018_1</t>
  </si>
  <si>
    <t>MAX_DMDTS_S_018_2</t>
  </si>
  <si>
    <t>Input Channel 19 Current Max Demand</t>
  </si>
  <si>
    <t>MAX_DMD_I_019_A</t>
  </si>
  <si>
    <t>Input Channel 19 Current Max Demand Timestamp</t>
  </si>
  <si>
    <t>MAX_DMDTS_I_019_1</t>
  </si>
  <si>
    <t>MAX_DMDTS_I_019_2</t>
  </si>
  <si>
    <t>Input Channel 19 Import Active Power Max Demand</t>
  </si>
  <si>
    <t>MAX_DMD_IMP_P_019_kW</t>
  </si>
  <si>
    <t>Input Channel 19 Import Active Power Max Demand Timestamp</t>
  </si>
  <si>
    <t>MAX_DMDTS_IMP_P_019_1</t>
  </si>
  <si>
    <t>MAX_DMDTS_IMP_P_019_2</t>
  </si>
  <si>
    <t>Input Channel 19 Export Active Power Max Demand</t>
  </si>
  <si>
    <t>MAX_DMD_EXP_P_019_kW</t>
  </si>
  <si>
    <t>Input Channel 19 Export Active Power Max Demand Timestamp</t>
  </si>
  <si>
    <t>MAX_DMDTS_EXP_P_019_1</t>
  </si>
  <si>
    <t>MAX_DMDTS_EXP_P_019_2</t>
  </si>
  <si>
    <t>Input Channel 19 Import Reactive Power Max Demand</t>
  </si>
  <si>
    <t>MAX_DMD_IMP_Q_019_kvar</t>
  </si>
  <si>
    <t>Input Channel 19 Import Reactive Power Max Demand Timestamp</t>
  </si>
  <si>
    <t>MAX_DMDTS_IMP_Q_019_1</t>
  </si>
  <si>
    <t>MAX_DMDTS_IMP_Q_019_2</t>
  </si>
  <si>
    <t>Input Channel 19 Export Reactive Power Max Demand</t>
  </si>
  <si>
    <t>MAX_DMD_EXP_Q_019_kvar</t>
  </si>
  <si>
    <t>Input Channel 19 Export Reactive Power Max Demand Timestamp</t>
  </si>
  <si>
    <t>MAX_DMDTS_EXP_Q_019_1</t>
  </si>
  <si>
    <t>MAX_DMDTS_EXP_Q_019_2</t>
  </si>
  <si>
    <t>Input Channel 19 Apparent Power Max Demand</t>
  </si>
  <si>
    <t>MAX_DMD_S_019_kVA</t>
  </si>
  <si>
    <t>Input Channel 19 Apparent Power Max Demand Timestamp</t>
  </si>
  <si>
    <t>MAX_DMDTS_S_019_1</t>
  </si>
  <si>
    <t>MAX_DMDTS_S_019_2</t>
  </si>
  <si>
    <t>Input Channel 20 Current Max Demand</t>
  </si>
  <si>
    <t>MAX_DMD_I_020_A</t>
  </si>
  <si>
    <t>Input Channel 20 Current Max Demand Timestamp</t>
  </si>
  <si>
    <t>MAX_DMDTS_I_020_1</t>
  </si>
  <si>
    <t>MAX_DMDTS_I_020_2</t>
  </si>
  <si>
    <t>Input Channel 20 Import Active Power Max Demand</t>
  </si>
  <si>
    <t>MAX_DMD_IMP_P_020_kW</t>
  </si>
  <si>
    <t>Input Channel 20 Import Active Power Max Demand Timestamp</t>
  </si>
  <si>
    <t>MAX_DMDTS_IMP_P_020_1</t>
  </si>
  <si>
    <t>MAX_DMDTS_IMP_P_020_2</t>
  </si>
  <si>
    <t>Input Channel 20 Export Active Power Max Demand</t>
  </si>
  <si>
    <t>MAX_DMD_EXP_P_020_kW</t>
  </si>
  <si>
    <t>Input Channel 20 Export Active Power Max Demand Timestamp</t>
  </si>
  <si>
    <t>MAX_DMDTS_EXP_P_020_1</t>
  </si>
  <si>
    <t>MAX_DMDTS_EXP_P_020_2</t>
  </si>
  <si>
    <t>Input Channel 20 Import Reactive Power Max Demand</t>
  </si>
  <si>
    <t>MAX_DMD_IMP_Q_020_kvar</t>
  </si>
  <si>
    <t>Input Channel 20 Import Reactive Power Max Demand Timestamp</t>
  </si>
  <si>
    <t>MAX_DMDTS_IMP_Q_020_1</t>
  </si>
  <si>
    <t>MAX_DMDTS_IMP_Q_020_2</t>
  </si>
  <si>
    <t>Input Channel 20 Export Reactive Power Max Demand</t>
  </si>
  <si>
    <t>MAX_DMD_EXP_Q_020_kvar</t>
  </si>
  <si>
    <t>Input Channel 20 Export Reactive Power Max Demand Timestamp</t>
  </si>
  <si>
    <t>MAX_DMDTS_EXP_Q_020_1</t>
  </si>
  <si>
    <t>MAX_DMDTS_EXP_Q_020_2</t>
  </si>
  <si>
    <t>Input Channel 20 Apparent Power Max Demand</t>
  </si>
  <si>
    <t>MAX_DMD_S_020_kVA</t>
  </si>
  <si>
    <t>Input Channel 20 Apparent Power Max Demand Timestamp</t>
  </si>
  <si>
    <t>MAX_DMDTS_S_020_1</t>
  </si>
  <si>
    <t>MAX_DMDTS_S_020_2</t>
  </si>
  <si>
    <t>Input Channel 21 Current Max Demand</t>
  </si>
  <si>
    <t>MAX_DMD_I_021_A</t>
  </si>
  <si>
    <t>Input Channel 21 Current Max Demand Timestamp</t>
  </si>
  <si>
    <t>MAX_DMDTS_I_021_1</t>
  </si>
  <si>
    <t>MAX_DMDTS_I_021_2</t>
  </si>
  <si>
    <t>Input Channel 21 Import Active Power Max Demand</t>
  </si>
  <si>
    <t>MAX_DMD_IMP_P_021_kW</t>
  </si>
  <si>
    <t>Input Channel 21 Import Active Power Max Demand Timestamp</t>
  </si>
  <si>
    <t>MAX_DMDTS_IMP_P_021_1</t>
  </si>
  <si>
    <t>MAX_DMDTS_IMP_P_021_2</t>
  </si>
  <si>
    <t>Input Channel 21 Export Active Power Max Demand</t>
  </si>
  <si>
    <t>MAX_DMD_EXP_P_021_kW</t>
  </si>
  <si>
    <t>Input Channel 21 Export Active Power Max Demand Timestamp</t>
  </si>
  <si>
    <t>MAX_DMDTS_EXP_P_021_1</t>
  </si>
  <si>
    <t>MAX_DMDTS_EXP_P_021_2</t>
  </si>
  <si>
    <t>Input Channel 21 Import Reactive Power Max Demand</t>
  </si>
  <si>
    <t>MAX_DMD_IMP_Q_021_kvar</t>
  </si>
  <si>
    <t>Input Channel 21 Import Reactive Power Max Demand Timestamp</t>
  </si>
  <si>
    <t>MAX_DMDTS_IMP_Q_021_1</t>
  </si>
  <si>
    <t>MAX_DMDTS_IMP_Q_021_2</t>
  </si>
  <si>
    <t>Input Channel 21 Export Reactive Power Max Demand</t>
  </si>
  <si>
    <t>MAX_DMD_EXP_Q_021_kvar</t>
  </si>
  <si>
    <t>Input Channel 21 Export Reactive Power Max Demand Timestamp</t>
  </si>
  <si>
    <t>MAX_DMDTS_EXP_Q_021_1</t>
  </si>
  <si>
    <t>MAX_DMDTS_EXP_Q_021_2</t>
  </si>
  <si>
    <t>Input Channel 21 Apparent Power Max Demand</t>
  </si>
  <si>
    <t>MAX_DMD_S_021_kVA</t>
  </si>
  <si>
    <t>Input Channel 21 Apparent Power Max Demand Timestamp</t>
  </si>
  <si>
    <t>MAX_DMDTS_S_021_1</t>
  </si>
  <si>
    <t>MAX_DMDTS_S_021_2</t>
  </si>
  <si>
    <t>Input Channel 22 Current Max Demand</t>
  </si>
  <si>
    <t>MAX_DMD_I_022_A</t>
  </si>
  <si>
    <t>Input Channel 22 Current Max Demand Timestamp</t>
  </si>
  <si>
    <t>MAX_DMDTS_I_022_1</t>
  </si>
  <si>
    <t>MAX_DMDTS_I_022_2</t>
  </si>
  <si>
    <t>Input Channel 22 Import Active Power Max Demand</t>
  </si>
  <si>
    <t>MAX_DMD_IMP_P_022_kW</t>
  </si>
  <si>
    <t>Input Channel 22 Import Active Power Max Demand Timestamp</t>
  </si>
  <si>
    <t>MAX_DMDTS_IMP_P_022_1</t>
  </si>
  <si>
    <t>MAX_DMDTS_IMP_P_022_2</t>
  </si>
  <si>
    <t>Input Channel 22 Export Active Power Max Demand</t>
  </si>
  <si>
    <t>MAX_DMD_EXP_P_022_kW</t>
  </si>
  <si>
    <t>Input Channel 22 Export Active Power Max Demand Timestamp</t>
  </si>
  <si>
    <t>MAX_DMDTS_EXP_P_022_1</t>
  </si>
  <si>
    <t>MAX_DMDTS_EXP_P_022_2</t>
  </si>
  <si>
    <t>Input Channel 22 Import Reactive Power Max Demand</t>
  </si>
  <si>
    <t>MAX_DMD_IMP_Q_022_kvar</t>
  </si>
  <si>
    <t>Input Channel 22 Import Reactive Power Max Demand Timestamp</t>
  </si>
  <si>
    <t>MAX_DMDTS_IMP_Q_022_1</t>
  </si>
  <si>
    <t>MAX_DMDTS_IMP_Q_022_2</t>
  </si>
  <si>
    <t>Input Channel 22 Export Reactive Power Max Demand</t>
  </si>
  <si>
    <t>MAX_DMD_EXP_Q_022_kvar</t>
  </si>
  <si>
    <t>Input Channel 22 Export Reactive Power Max Demand Timestamp</t>
  </si>
  <si>
    <t>MAX_DMDTS_EXP_Q_022_1</t>
  </si>
  <si>
    <t>MAX_DMDTS_EXP_Q_022_2</t>
  </si>
  <si>
    <t>Input Channel 22 Apparent Power Max Demand</t>
  </si>
  <si>
    <t>MAX_DMD_S_022_kVA</t>
  </si>
  <si>
    <t>Input Channel 22 Apparent Power Max Demand Timestamp</t>
  </si>
  <si>
    <t>MAX_DMDTS_S_022_1</t>
  </si>
  <si>
    <t>MAX_DMDTS_S_022_2</t>
  </si>
  <si>
    <t>Input Channel 23 Current Max Demand</t>
  </si>
  <si>
    <t>MAX_DMD_I_023_A</t>
  </si>
  <si>
    <t>Input Channel 23 Current Max Demand Timestamp</t>
  </si>
  <si>
    <t>MAX_DMDTS_I_023_1</t>
  </si>
  <si>
    <t>MAX_DMDTS_I_023_2</t>
  </si>
  <si>
    <t>Input Channel 23 Import Active Power Max Demand</t>
  </si>
  <si>
    <t>MAX_DMD_IMP_P_023_kW</t>
  </si>
  <si>
    <t>Input Channel 23 Import Active Power Max Demand Timestamp</t>
  </si>
  <si>
    <t>MAX_DMDTS_IMP_P_023_1</t>
  </si>
  <si>
    <t>MAX_DMDTS_IMP_P_023_2</t>
  </si>
  <si>
    <t>Input Channel 23 Export Active Power Max Demand</t>
  </si>
  <si>
    <t>MAX_DMD_EXP_P_023_kW</t>
  </si>
  <si>
    <t>Input Channel 23 Export Active Power Max Demand Timestamp</t>
  </si>
  <si>
    <t>MAX_DMDTS_EXP_P_023_1</t>
  </si>
  <si>
    <t>MAX_DMDTS_EXP_P_023_2</t>
  </si>
  <si>
    <t>Input Channel 23 Import Reactive Power Max Demand</t>
  </si>
  <si>
    <t>MAX_DMD_IMP_Q_023_kvar</t>
  </si>
  <si>
    <t>Input Channel 23 Import Reactive Power Max Demand Timestamp</t>
  </si>
  <si>
    <t>MAX_DMDTS_IMP_Q_023_1</t>
  </si>
  <si>
    <t>MAX_DMDTS_IMP_Q_023_2</t>
  </si>
  <si>
    <t>Input Channel 23 Export Reactive Power Max Demand</t>
  </si>
  <si>
    <t>MAX_DMD_EXP_Q_023_kvar</t>
  </si>
  <si>
    <t>Input Channel 23 Export Reactive Power Max Demand Timestamp</t>
  </si>
  <si>
    <t>MAX_DMDTS_EXP_Q_023_1</t>
  </si>
  <si>
    <t>MAX_DMDTS_EXP_Q_023_2</t>
  </si>
  <si>
    <t>Input Channel 23 Apparent Power Max Demand</t>
  </si>
  <si>
    <t>MAX_DMD_S_023_kVA</t>
  </si>
  <si>
    <t>Input Channel 23 Apparent Power Max Demand Timestamp</t>
  </si>
  <si>
    <t>MAX_DMDTS_S_023_1</t>
  </si>
  <si>
    <t>MAX_DMDTS_S_023_2</t>
  </si>
  <si>
    <t>Input Channel 24 Current Max Demand</t>
  </si>
  <si>
    <t>MAX_DMD_I_024_A</t>
  </si>
  <si>
    <t>Input Channel 24 Current Max Demand Timestamp</t>
  </si>
  <si>
    <t>MAX_DMDTS_I_024_1</t>
  </si>
  <si>
    <t>MAX_DMDTS_I_024_2</t>
  </si>
  <si>
    <t>Input Channel 24 Import Active Power Max Demand</t>
  </si>
  <si>
    <t>MAX_DMD_IMP_P_024_kW</t>
  </si>
  <si>
    <t>Input Channel 24 Import Active Power Max Demand Timestamp</t>
  </si>
  <si>
    <t>MAX_DMDTS_IMP_P_024_1</t>
  </si>
  <si>
    <t>MAX_DMDTS_IMP_P_024_2</t>
  </si>
  <si>
    <t>Input Channel 24 Export Active Power Max Demand</t>
  </si>
  <si>
    <t>MAX_DMD_EXP_P_024_kW</t>
  </si>
  <si>
    <t>Input Channel 24 Export Active Power Max Demand Timestamp</t>
  </si>
  <si>
    <t>MAX_DMDTS_EXP_P_024_1</t>
  </si>
  <si>
    <t>MAX_DMDTS_EXP_P_024_2</t>
  </si>
  <si>
    <t>Input Channel 24 Import Reactive Power Max Demand</t>
  </si>
  <si>
    <t>MAX_DMD_IMP_Q_024_kvar</t>
  </si>
  <si>
    <t>Input Channel 24 Import Reactive Power Max Demand Timestamp</t>
  </si>
  <si>
    <t>MAX_DMDTS_IMP_Q_024_1</t>
  </si>
  <si>
    <t>MAX_DMDTS_IMP_Q_024_2</t>
  </si>
  <si>
    <t>Input Channel 24 Export Reactive Power Max Demand</t>
  </si>
  <si>
    <t>MAX_DMD_EXP_Q_024_kvar</t>
  </si>
  <si>
    <t>Input Channel 24 Export Reactive Power Max Demand Timestamp</t>
  </si>
  <si>
    <t>MAX_DMDTS_EXP_Q_024_1</t>
  </si>
  <si>
    <t>MAX_DMDTS_EXP_Q_024_2</t>
  </si>
  <si>
    <t>Input Channel 24 Apparent Power Max Demand</t>
  </si>
  <si>
    <t>MAX_DMD_S_024_kVA</t>
  </si>
  <si>
    <t>Input Channel 24 Apparent Power Max Demand Timestamp</t>
  </si>
  <si>
    <t>MAX_DMDTS_S_024_1</t>
  </si>
  <si>
    <t>MAX_DMDTS_S_024_2</t>
  </si>
  <si>
    <t>User Channel 1 Current Max Demand</t>
  </si>
  <si>
    <t>MAX_DMD_I_s001_A</t>
  </si>
  <si>
    <t>User Channel 1 Current Max Demand Timestamp</t>
  </si>
  <si>
    <t>MAX_DMDTS_I_s001_1</t>
  </si>
  <si>
    <t>MAX_DMDTS_I_s001_2</t>
  </si>
  <si>
    <t>User Channel 1 Import Active Power Max Demand</t>
  </si>
  <si>
    <t>MAX_DMD_IMP_P_s001_kW</t>
  </si>
  <si>
    <t>User Channel 1 Import Active Power Max Demand Timestamp</t>
  </si>
  <si>
    <t>MAX_DMDTS_IMP_P_s001_1</t>
  </si>
  <si>
    <t>MAX_DMDTS_IMP_P_s001_2</t>
  </si>
  <si>
    <t>User Channel 1 Export Active Power Max Demand</t>
  </si>
  <si>
    <t>MAX_DMD_EXP_P_s001_kW</t>
  </si>
  <si>
    <t>User Channel 1 Export Active Power Max Demand Timestamp</t>
  </si>
  <si>
    <t>MAX_DMDTS_EXP_P_s001_1</t>
  </si>
  <si>
    <t>MAX_DMDTS_EXP_P_s001_2</t>
  </si>
  <si>
    <t>User Channel 1 Import Reactive Power Max Demand</t>
  </si>
  <si>
    <t>MAX_DMD_IMP_Q_s001_kvar</t>
  </si>
  <si>
    <t>User Channel 1 Import Reactive Power Max Demand Timestamp</t>
  </si>
  <si>
    <t>MAX_DMDTS_IMP_Q_s001_1</t>
  </si>
  <si>
    <t>MAX_DMDTS_IMP_Q_s001_2</t>
  </si>
  <si>
    <t>User Channel 1 Export Reactive Power Max Demand</t>
  </si>
  <si>
    <t>MAX_DMD_EXP_Q_s001_kvar</t>
  </si>
  <si>
    <t>User Channel 1 Export Reactive Power Max Demand Timestamp</t>
  </si>
  <si>
    <t>MAX_DMDTS_EXP_Q_s001_1</t>
  </si>
  <si>
    <t>MAX_DMDTS_EXP_Q_s001_2</t>
  </si>
  <si>
    <t>User Channel 1 Apparent Power Max Demand</t>
  </si>
  <si>
    <t>MAX_DMD_S_s001_kVA</t>
  </si>
  <si>
    <t>User Channel 1 Apparent Power Max Demand Timestamp</t>
  </si>
  <si>
    <t>MAX_DMDTS_S_s001_1</t>
  </si>
  <si>
    <t>MAX_DMDTS_S_s001_2</t>
  </si>
  <si>
    <t>User Channel 2 Current Max Demand</t>
  </si>
  <si>
    <t>MAX_DMD_I_s002_A</t>
  </si>
  <si>
    <t>User Channel 2 Current Max Demand Timestamp</t>
  </si>
  <si>
    <t>MAX_DMDTS_I_s002_1</t>
  </si>
  <si>
    <t>MAX_DMDTS_I_s002_2</t>
  </si>
  <si>
    <t>User Channel 2 Import Active Power Max Demand</t>
  </si>
  <si>
    <t>MAX_DMD_IMP_P_s002_kW</t>
  </si>
  <si>
    <t>User Channel 2 Import Active Power Max Demand Timestamp</t>
  </si>
  <si>
    <t>MAX_DMDTS_IMP_P_s002_1</t>
  </si>
  <si>
    <t>MAX_DMDTS_IMP_P_s002_2</t>
  </si>
  <si>
    <t>User Channel 2 Export Active Power Max Demand</t>
  </si>
  <si>
    <t>MAX_DMD_EXP_P_s002_kW</t>
  </si>
  <si>
    <t>User Channel 2 Export Active Power Max Demand Timestamp</t>
  </si>
  <si>
    <t>MAX_DMDTS_EXP_P_s002_1</t>
  </si>
  <si>
    <t>MAX_DMDTS_EXP_P_s002_2</t>
  </si>
  <si>
    <t>User Channel 2 Import Reactive Power Max Demand</t>
  </si>
  <si>
    <t>MAX_DMD_IMP_Q_s002_kvar</t>
  </si>
  <si>
    <t>User Channel 2 Import Reactive Power Max Demand Timestamp</t>
  </si>
  <si>
    <t>MAX_DMDTS_IMP_Q_s002_1</t>
  </si>
  <si>
    <t>MAX_DMDTS_IMP_Q_s002_2</t>
  </si>
  <si>
    <t>User Channel 2 Export Reactive Power Max Demand</t>
  </si>
  <si>
    <t>MAX_DMD_EXP_Q_s002_kvar</t>
  </si>
  <si>
    <t>User Channel 2 Export Reactive Power Max Demand Timestamp</t>
  </si>
  <si>
    <t>MAX_DMDTS_EXP_Q_s002_1</t>
  </si>
  <si>
    <t>MAX_DMDTS_EXP_Q_s002_2</t>
  </si>
  <si>
    <t>User Channel 2 Apparent Power Max Demand</t>
  </si>
  <si>
    <t>MAX_DMD_S_s002_kVA</t>
  </si>
  <si>
    <t>User Channel 2 Apparent Power Max Demand Timestamp</t>
  </si>
  <si>
    <t>MAX_DMDTS_S_s002_1</t>
  </si>
  <si>
    <t>MAX_DMDTS_S_s002_2</t>
  </si>
  <si>
    <t>User Channel 3 Current Max Demand</t>
  </si>
  <si>
    <t>MAX_DMD_I_s003_A</t>
  </si>
  <si>
    <t>User Channel 3 Current Max Demand Timestamp</t>
  </si>
  <si>
    <t>MAX_DMDTS_I_s003_1</t>
  </si>
  <si>
    <t>MAX_DMDTS_I_s003_2</t>
  </si>
  <si>
    <t>User Channel 3 Import Active Power Max Demand</t>
  </si>
  <si>
    <t>MAX_DMD_IMP_P_s003_kW</t>
  </si>
  <si>
    <t>User Channel 3 Import Active Power Max Demand Timestamp</t>
  </si>
  <si>
    <t>MAX_DMDTS_IMP_P_s003_1</t>
  </si>
  <si>
    <t>MAX_DMDTS_IMP_P_s003_2</t>
  </si>
  <si>
    <t>User Channel 3 Export Active Power Max Demand</t>
  </si>
  <si>
    <t>MAX_DMD_EXP_P_s003_kW</t>
  </si>
  <si>
    <t>User Channel 3 Export Active Power Max Demand Timestamp</t>
  </si>
  <si>
    <t>MAX_DMDTS_EXP_P_s003_1</t>
  </si>
  <si>
    <t>MAX_DMDTS_EXP_P_s003_2</t>
  </si>
  <si>
    <t>User Channel 3 Import Reactive Power Max Demand</t>
  </si>
  <si>
    <t>MAX_DMD_IMP_Q_s003_kvar</t>
  </si>
  <si>
    <t>User Channel 3 Import Reactive Power Max Demand Timestamp</t>
  </si>
  <si>
    <t>MAX_DMDTS_IMP_Q_s003_1</t>
  </si>
  <si>
    <t>MAX_DMDTS_IMP_Q_s003_2</t>
  </si>
  <si>
    <t>User Channel 3 Export Reactive Power Max Demand</t>
  </si>
  <si>
    <t>MAX_DMD_EXP_Q_s003_kvar</t>
  </si>
  <si>
    <t>User Channel 3 Export Reactive Power Max Demand Timestamp</t>
  </si>
  <si>
    <t>MAX_DMDTS_EXP_Q_s003_1</t>
  </si>
  <si>
    <t>MAX_DMDTS_EXP_Q_s003_2</t>
  </si>
  <si>
    <t>User Channel 3 Apparent Power Max Demand</t>
  </si>
  <si>
    <t>MAX_DMD_S_s003_kVA</t>
  </si>
  <si>
    <t>User Channel 3 Apparent Power Max Demand Timestamp</t>
  </si>
  <si>
    <t>MAX_DMDTS_S_s003_1</t>
  </si>
  <si>
    <t>MAX_DMDTS_S_s003_2</t>
  </si>
  <si>
    <t>User Channel 4 Current Max Demand</t>
  </si>
  <si>
    <t>MAX_DMD_I_s004_A</t>
  </si>
  <si>
    <t>User Channel 4 Current Max Demand Timestamp</t>
  </si>
  <si>
    <t>MAX_DMDTS_I_s004_1</t>
  </si>
  <si>
    <t>MAX_DMDTS_I_s004_2</t>
  </si>
  <si>
    <t>User Channel 4 Import Active Power Max Demand</t>
  </si>
  <si>
    <t>MAX_DMD_IMP_P_s004_kW</t>
  </si>
  <si>
    <t>User Channel 4 Import Active Power Max Demand Timestamp</t>
  </si>
  <si>
    <t>MAX_DMDTS_IMP_P_s004_1</t>
  </si>
  <si>
    <t>MAX_DMDTS_IMP_P_s004_2</t>
  </si>
  <si>
    <t>User Channel 4 Export Active Power Max Demand</t>
  </si>
  <si>
    <t>MAX_DMD_EXP_P_s004_kW</t>
  </si>
  <si>
    <t>User Channel 4 Export Active Power Max Demand Timestamp</t>
  </si>
  <si>
    <t>MAX_DMDTS_EXP_P_s004_1</t>
  </si>
  <si>
    <t>MAX_DMDTS_EXP_P_s004_2</t>
  </si>
  <si>
    <t>User Channel 4 Import Reactive Power Max Demand</t>
  </si>
  <si>
    <t>MAX_DMD_IMP_Q_s004_kvar</t>
  </si>
  <si>
    <t>User Channel 4 Import Reactive Power Max Demand Timestamp</t>
  </si>
  <si>
    <t>MAX_DMDTS_IMP_Q_s004_1</t>
  </si>
  <si>
    <t>MAX_DMDTS_IMP_Q_s004_2</t>
  </si>
  <si>
    <t>User Channel 4 Export Reactive Power Max Demand</t>
  </si>
  <si>
    <t>MAX_DMD_EXP_Q_s004_kvar</t>
  </si>
  <si>
    <t>User Channel 4 Export Reactive Power Max Demand Timestamp</t>
  </si>
  <si>
    <t>MAX_DMDTS_EXP_Q_s004_1</t>
  </si>
  <si>
    <t>MAX_DMDTS_EXP_Q_s004_2</t>
  </si>
  <si>
    <t>User Channel 4 Apparent Power Max Demand</t>
  </si>
  <si>
    <t>MAX_DMD_S_s004_kVA</t>
  </si>
  <si>
    <t>User Channel 4 Apparent Power Max Demand Timestamp</t>
  </si>
  <si>
    <t>MAX_DMDTS_S_s004_1</t>
  </si>
  <si>
    <t>MAX_DMDTS_S_s004_2</t>
  </si>
  <si>
    <t>User Channel 5 Current Max Demand</t>
  </si>
  <si>
    <t>MAX_DMD_I_s005_A</t>
  </si>
  <si>
    <t>User Channel 5 Current Max Demand Timestamp</t>
  </si>
  <si>
    <t>MAX_DMDTS_I_s005_1</t>
  </si>
  <si>
    <t>MAX_DMDTS_I_s005_2</t>
  </si>
  <si>
    <t>User Channel 5 Import Active Power Max Demand</t>
  </si>
  <si>
    <t>MAX_DMD_IMP_P_s005_kW</t>
  </si>
  <si>
    <t>User Channel 5 Import Active Power Max Demand Timestamp</t>
  </si>
  <si>
    <t>MAX_DMDTS_IMP_P_s005_1</t>
  </si>
  <si>
    <t>MAX_DMDTS_IMP_P_s005_2</t>
  </si>
  <si>
    <t>User Channel 5 Export Active Power Max Demand</t>
  </si>
  <si>
    <t>MAX_DMD_EXP_P_s005_kW</t>
  </si>
  <si>
    <t>User Channel 5 Export Active Power Max Demand Timestamp</t>
  </si>
  <si>
    <t>MAX_DMDTS_EXP_P_s005_1</t>
  </si>
  <si>
    <t>MAX_DMDTS_EXP_P_s005_2</t>
  </si>
  <si>
    <t>User Channel 5 Import Reactive Power Max Demand</t>
  </si>
  <si>
    <t>MAX_DMD_IMP_Q_s005_kvar</t>
  </si>
  <si>
    <t>User Channel 5 Import Reactive Power Max Demand Timestamp</t>
  </si>
  <si>
    <t>MAX_DMDTS_IMP_Q_s005_1</t>
  </si>
  <si>
    <t>MAX_DMDTS_IMP_Q_s005_2</t>
  </si>
  <si>
    <t>User Channel 5 Export Reactive Power Max Demand</t>
  </si>
  <si>
    <t>MAX_DMD_EXP_Q_s005_kvar</t>
  </si>
  <si>
    <t>User Channel 5 Export Reactive Power Max Demand Timestamp</t>
  </si>
  <si>
    <t>MAX_DMDTS_EXP_Q_s005_1</t>
  </si>
  <si>
    <t>MAX_DMDTS_EXP_Q_s005_2</t>
  </si>
  <si>
    <t>User Channel 5 Apparent Power Max Demand</t>
  </si>
  <si>
    <t>MAX_DMD_S_s005_kVA</t>
  </si>
  <si>
    <t>User Channel 5 Apparent Power Max Demand Timestamp</t>
  </si>
  <si>
    <t>MAX_DMDTS_S_s005_1</t>
  </si>
  <si>
    <t>MAX_DMDTS_S_s005_2</t>
  </si>
  <si>
    <t>User Channel 6 Current Max Demand</t>
  </si>
  <si>
    <t>MAX_DMD_I_s006_A</t>
  </si>
  <si>
    <t>User Channel 6 Current Max Demand Timestamp</t>
  </si>
  <si>
    <t>MAX_DMDTS_I_s006_1</t>
  </si>
  <si>
    <t>MAX_DMDTS_I_s006_2</t>
  </si>
  <si>
    <t>User Channel 6 Import Active Power Max Demand</t>
  </si>
  <si>
    <t>MAX_DMD_IMP_P_s006_kW</t>
  </si>
  <si>
    <t>User Channel 6 Import Active Power Max Demand Timestamp</t>
  </si>
  <si>
    <t>MAX_DMDTS_IMP_P_s006_1</t>
  </si>
  <si>
    <t>MAX_DMDTS_IMP_P_s006_2</t>
  </si>
  <si>
    <t>User Channel 6 Export Active Power Max Demand</t>
  </si>
  <si>
    <t>MAX_DMD_EXP_P_s006_kW</t>
  </si>
  <si>
    <t>User Channel 6 Export Active Power Max Demand Timestamp</t>
  </si>
  <si>
    <t>MAX_DMDTS_EXP_P_s006_1</t>
  </si>
  <si>
    <t>MAX_DMDTS_EXP_P_s006_2</t>
  </si>
  <si>
    <t>User Channel 6 Import Reactive Power Max Demand</t>
  </si>
  <si>
    <t>MAX_DMD_IMP_Q_s006_kvar</t>
  </si>
  <si>
    <t>User Channel 6 Import Reactive Power Max Demand Timestamp</t>
  </si>
  <si>
    <t>MAX_DMDTS_IMP_Q_s006_1</t>
  </si>
  <si>
    <t>MAX_DMDTS_IMP_Q_s006_2</t>
  </si>
  <si>
    <t>User Channel 6 Export Reactive Power Max Demand</t>
  </si>
  <si>
    <t>MAX_DMD_EXP_Q_s006_kvar</t>
  </si>
  <si>
    <t>User Channel 6 Export Reactive Power Max Demand Timestamp</t>
  </si>
  <si>
    <t>MAX_DMDTS_EXP_Q_s006_1</t>
  </si>
  <si>
    <t>MAX_DMDTS_EXP_Q_s006_2</t>
  </si>
  <si>
    <t>User Channel 6 Apparent Power Max Demand</t>
  </si>
  <si>
    <t>MAX_DMD_S_s006_kVA</t>
  </si>
  <si>
    <t>User Channel 6 Apparent Power Max Demand Timestamp</t>
  </si>
  <si>
    <t>MAX_DMDTS_S_s006_1</t>
  </si>
  <si>
    <t>MAX_DMDTS_S_s006_2</t>
  </si>
  <si>
    <t>User Channel 7 Current Max Demand</t>
  </si>
  <si>
    <t>MAX_DMD_I_s007_A</t>
  </si>
  <si>
    <t>User Channel 7 Current Max Demand Timestamp</t>
  </si>
  <si>
    <t>MAX_DMDTS_I_s007_1</t>
  </si>
  <si>
    <t>MAX_DMDTS_I_s007_2</t>
  </si>
  <si>
    <t>User Channel 7 Import Active Power Max Demand</t>
  </si>
  <si>
    <t>MAX_DMD_IMP_P_s007_kW</t>
  </si>
  <si>
    <t>User Channel 7 Import Active Power Max Demand Timestamp</t>
  </si>
  <si>
    <t>MAX_DMDTS_IMP_P_s007_1</t>
  </si>
  <si>
    <t>MAX_DMDTS_IMP_P_s007_2</t>
  </si>
  <si>
    <t>User Channel 7 Export Active Power Max Demand</t>
  </si>
  <si>
    <t>MAX_DMD_EXP_P_s007_kW</t>
  </si>
  <si>
    <t>User Channel 7 Export Active Power Max Demand Timestamp</t>
  </si>
  <si>
    <t>MAX_DMDTS_EXP_P_s007_1</t>
  </si>
  <si>
    <t>MAX_DMDTS_EXP_P_s007_2</t>
  </si>
  <si>
    <t>User Channel 7 Import Reactive Power Max Demand</t>
  </si>
  <si>
    <t>MAX_DMD_IMP_Q_s007_kvar</t>
  </si>
  <si>
    <t>User Channel 7 Import Reactive Power Max Demand Timestamp</t>
  </si>
  <si>
    <t>MAX_DMDTS_IMP_Q_s007_1</t>
  </si>
  <si>
    <t>MAX_DMDTS_IMP_Q_s007_2</t>
  </si>
  <si>
    <t>User Channel 7 Export Reactive Power Max Demand</t>
  </si>
  <si>
    <t>MAX_DMD_EXP_Q_s007_kvar</t>
  </si>
  <si>
    <t>User Channel 7 Export Reactive Power Max Demand Timestamp</t>
  </si>
  <si>
    <t>MAX_DMDTS_EXP_Q_s007_1</t>
  </si>
  <si>
    <t>MAX_DMDTS_EXP_Q_s007_2</t>
  </si>
  <si>
    <t>User Channel 7 Apparent Power Max Demand</t>
  </si>
  <si>
    <t>MAX_DMD_S_s007_kVA</t>
  </si>
  <si>
    <t>User Channel 7 Apparent Power Max Demand Timestamp</t>
  </si>
  <si>
    <t>MAX_DMDTS_S_s007_1</t>
  </si>
  <si>
    <t>MAX_DMDTS_S_s007_2</t>
  </si>
  <si>
    <t>User Channel 8 Current Max Demand</t>
  </si>
  <si>
    <t>MAX_DMD_I_s008_A</t>
  </si>
  <si>
    <t>User Channel 8 Current Max Demand Timestamp</t>
  </si>
  <si>
    <t>MAX_DMDTS_I_s008_1</t>
  </si>
  <si>
    <t>MAX_DMDTS_I_s008_2</t>
  </si>
  <si>
    <t>User Channel 8 Import Active Power Max Demand</t>
  </si>
  <si>
    <t>MAX_DMD_IMP_P_s008_kW</t>
  </si>
  <si>
    <t>User Channel 8 Import Active Power Max Demand Timestamp</t>
  </si>
  <si>
    <t>MAX_DMDTS_IMP_P_s008_1</t>
  </si>
  <si>
    <t>MAX_DMDTS_IMP_P_s008_2</t>
  </si>
  <si>
    <t>User Channel 8 Export Active Power Max Demand</t>
  </si>
  <si>
    <t>MAX_DMD_EXP_P_s008_kW</t>
  </si>
  <si>
    <t>User Channel 8 Export Active Power Max Demand Timestamp</t>
  </si>
  <si>
    <t>MAX_DMDTS_EXP_P_s008_1</t>
  </si>
  <si>
    <t>MAX_DMDTS_EXP_P_s008_2</t>
  </si>
  <si>
    <t>User Channel 8 Import Reactive Power Max Demand</t>
  </si>
  <si>
    <t>MAX_DMD_IMP_Q_s008_kvar</t>
  </si>
  <si>
    <t>User Channel 8 Import Reactive Power Max Demand Timestamp</t>
  </si>
  <si>
    <t>MAX_DMDTS_IMP_Q_s008_1</t>
  </si>
  <si>
    <t>MAX_DMDTS_IMP_Q_s008_2</t>
  </si>
  <si>
    <t>User Channel 8 Export Reactive Power Max Demand</t>
  </si>
  <si>
    <t>MAX_DMD_EXP_Q_s008_kvar</t>
  </si>
  <si>
    <t>User Channel 8 Export Reactive Power Max Demand Timestamp</t>
  </si>
  <si>
    <t>MAX_DMDTS_EXP_Q_s008_1</t>
  </si>
  <si>
    <t>MAX_DMDTS_EXP_Q_s008_2</t>
  </si>
  <si>
    <t>User Channel 8 Apparent Power Max Demand</t>
  </si>
  <si>
    <t>MAX_DMD_S_s008_kVA</t>
  </si>
  <si>
    <t>User Channel 8 Apparent Power Max Demand Timestamp</t>
  </si>
  <si>
    <t>MAX_DMDTS_S_s008_1</t>
  </si>
  <si>
    <t>MAX_DMDTS_S_s008_2</t>
  </si>
  <si>
    <t>User Channel 9 Current Max Demand</t>
  </si>
  <si>
    <t>MAX_DMD_I_s009_A</t>
  </si>
  <si>
    <t>User Channel 9 Current Max Demand Timestamp</t>
  </si>
  <si>
    <t>MAX_DMDTS_I_s009_1</t>
  </si>
  <si>
    <t>MAX_DMDTS_I_s009_2</t>
  </si>
  <si>
    <t>User Channel 9 Import Active Power Max Demand</t>
  </si>
  <si>
    <t>MAX_DMD_IMP_P_s009_kW</t>
  </si>
  <si>
    <t>User Channel 9 Import Active Power Max Demand Timestamp</t>
  </si>
  <si>
    <t>MAX_DMDTS_IMP_P_s009_1</t>
  </si>
  <si>
    <t>MAX_DMDTS_IMP_P_s009_2</t>
  </si>
  <si>
    <t>User Channel 9 Export Active Power Max Demand</t>
  </si>
  <si>
    <t>MAX_DMD_EXP_P_s009_kW</t>
  </si>
  <si>
    <t>User Channel 9 Export Active Power Max Demand Timestamp</t>
  </si>
  <si>
    <t>MAX_DMDTS_EXP_P_s009_1</t>
  </si>
  <si>
    <t>MAX_DMDTS_EXP_P_s009_2</t>
  </si>
  <si>
    <t>User Channel 9 Import Reactive Power Max Demand</t>
  </si>
  <si>
    <t>MAX_DMD_IMP_Q_s009_kvar</t>
  </si>
  <si>
    <t>User Channel 9 Import Reactive Power Max Demand Timestamp</t>
  </si>
  <si>
    <t>MAX_DMDTS_IMP_Q_s009_1</t>
  </si>
  <si>
    <t>MAX_DMDTS_IMP_Q_s009_2</t>
  </si>
  <si>
    <t>User Channel 9 Export Reactive Power Max Demand</t>
  </si>
  <si>
    <t>MAX_DMD_EXP_Q_s009_kvar</t>
  </si>
  <si>
    <t>User Channel 9 Export Reactive Power Max Demand Timestamp</t>
  </si>
  <si>
    <t>MAX_DMDTS_EXP_Q_s009_1</t>
  </si>
  <si>
    <t>MAX_DMDTS_EXP_Q_s009_2</t>
  </si>
  <si>
    <t>User Channel 9 Apparent Power Max Demand</t>
  </si>
  <si>
    <t>MAX_DMD_S_s009_kVA</t>
  </si>
  <si>
    <t>User Channel 9 Apparent Power Max Demand Timestamp</t>
  </si>
  <si>
    <t>MAX_DMDTS_S_s009_1</t>
  </si>
  <si>
    <t>MAX_DMDTS_S_s009_2</t>
  </si>
  <si>
    <t>User Channel 10 Current Max Demand</t>
  </si>
  <si>
    <t>MAX_DMD_I_s010_A</t>
  </si>
  <si>
    <t>User Channel 10 Current Max Demand Timestamp</t>
  </si>
  <si>
    <t>MAX_DMDTS_I_s010_1</t>
  </si>
  <si>
    <t>MAX_DMDTS_I_s010_2</t>
  </si>
  <si>
    <t>User Channel 10 Import Active Power Max Demand</t>
  </si>
  <si>
    <t>MAX_DMD_IMP_P_s010_kW</t>
  </si>
  <si>
    <t>User Channel 10 Import Active Power Max Demand Timestamp</t>
  </si>
  <si>
    <t>MAX_DMDTS_IMP_P_s010_1</t>
  </si>
  <si>
    <t>MAX_DMDTS_IMP_P_s010_2</t>
  </si>
  <si>
    <t>User Channel 10 Export Active Power Max Demand</t>
  </si>
  <si>
    <t>MAX_DMD_EXP_P_s010_kW</t>
  </si>
  <si>
    <t>User Channel 10 Export Active Power Max Demand Timestamp</t>
  </si>
  <si>
    <t>MAX_DMDTS_EXP_P_s010_1</t>
  </si>
  <si>
    <t>MAX_DMDTS_EXP_P_s010_2</t>
  </si>
  <si>
    <t>User Channel 10 Import Reactive Power Max Demand</t>
  </si>
  <si>
    <t>MAX_DMD_IMP_Q_s010_kvar</t>
  </si>
  <si>
    <t>User Channel 10 Import Reactive Power Max Demand Timestamp</t>
  </si>
  <si>
    <t>MAX_DMDTS_IMP_Q_s010_1</t>
  </si>
  <si>
    <t>MAX_DMDTS_IMP_Q_s010_2</t>
  </si>
  <si>
    <t>User Channel 10 Export Reactive Power Max Demand</t>
  </si>
  <si>
    <t>MAX_DMD_EXP_Q_s010_kvar</t>
  </si>
  <si>
    <t>User Channel 10 Export Reactive Power Max Demand Timestamp</t>
  </si>
  <si>
    <t>MAX_DMDTS_EXP_Q_s010_1</t>
  </si>
  <si>
    <t>MAX_DMDTS_EXP_Q_s010_2</t>
  </si>
  <si>
    <t>User Channel 10 Apparent Power Max Demand</t>
  </si>
  <si>
    <t>MAX_DMD_S_s010_kVA</t>
  </si>
  <si>
    <t>User Channel 10 Apparent Power Max Demand Timestamp</t>
  </si>
  <si>
    <t>MAX_DMDTS_S_s010_1</t>
  </si>
  <si>
    <t>MAX_DMDTS_S_s010_2</t>
  </si>
  <si>
    <t>User Channel 11 Current Max Demand</t>
  </si>
  <si>
    <t>MAX_DMD_I_s011_A</t>
  </si>
  <si>
    <t>User Channel 11 Current Max Demand Timestamp</t>
  </si>
  <si>
    <t>MAX_DMDTS_I_s011_1</t>
  </si>
  <si>
    <t>MAX_DMDTS_I_s011_2</t>
  </si>
  <si>
    <t>User Channel 11 Import Active Power Max Demand</t>
  </si>
  <si>
    <t>MAX_DMD_IMP_P_s011_kW</t>
  </si>
  <si>
    <t>User Channel 11 Import Active Power Max Demand Timestamp</t>
  </si>
  <si>
    <t>MAX_DMDTS_IMP_P_s011_1</t>
  </si>
  <si>
    <t>MAX_DMDTS_IMP_P_s011_2</t>
  </si>
  <si>
    <t>User Channel 11 Export Active Power Max Demand</t>
  </si>
  <si>
    <t>MAX_DMD_EXP_P_s011_kW</t>
  </si>
  <si>
    <t>User Channel 11 Export Active Power Max Demand Timestamp</t>
  </si>
  <si>
    <t>MAX_DMDTS_EXP_P_s011_1</t>
  </si>
  <si>
    <t>MAX_DMDTS_EXP_P_s011_2</t>
  </si>
  <si>
    <t>User Channel 11 Import Reactive Power Max Demand</t>
  </si>
  <si>
    <t>MAX_DMD_IMP_Q_s011_kvar</t>
  </si>
  <si>
    <t>User Channel 11 Import Reactive Power Max Demand Timestamp</t>
  </si>
  <si>
    <t>MAX_DMDTS_IMP_Q_s011_1</t>
  </si>
  <si>
    <t>MAX_DMDTS_IMP_Q_s011_2</t>
  </si>
  <si>
    <t>User Channel 11 Export Reactive Power Max Demand</t>
  </si>
  <si>
    <t>MAX_DMD_EXP_Q_s011_kvar</t>
  </si>
  <si>
    <t>User Channel 11 Export Reactive Power Max Demand Timestamp</t>
  </si>
  <si>
    <t>MAX_DMDTS_EXP_Q_s011_1</t>
  </si>
  <si>
    <t>MAX_DMDTS_EXP_Q_s011_2</t>
  </si>
  <si>
    <t>User Channel 11 Apparent Power Max Demand</t>
  </si>
  <si>
    <t>MAX_DMD_S_s011_kVA</t>
  </si>
  <si>
    <t>User Channel 11 Apparent Power Max Demand Timestamp</t>
  </si>
  <si>
    <t>MAX_DMDTS_S_s011_1</t>
  </si>
  <si>
    <t>MAX_DMDTS_S_s011_2</t>
  </si>
  <si>
    <t>User Channel 12 Current Max Demand</t>
  </si>
  <si>
    <t>MAX_DMD_I_s012_A</t>
  </si>
  <si>
    <t>User Channel 12 Current Max Demand Timestamp</t>
  </si>
  <si>
    <t>MAX_DMDTS_I_s012_1</t>
  </si>
  <si>
    <t>MAX_DMDTS_I_s012_2</t>
  </si>
  <si>
    <t>User Channel 12 Import Active Power Max Demand</t>
  </si>
  <si>
    <t>MAX_DMD_IMP_P_s012_kW</t>
  </si>
  <si>
    <t>User Channel 12 Import Active Power Max Demand Timestamp</t>
  </si>
  <si>
    <t>MAX_DMDTS_IMP_P_s012_1</t>
  </si>
  <si>
    <t>MAX_DMDTS_IMP_P_s012_2</t>
  </si>
  <si>
    <t>User Channel 12 Export Active Power Max Demand</t>
  </si>
  <si>
    <t>MAX_DMD_EXP_P_s012_kW</t>
  </si>
  <si>
    <t>User Channel 12 Export Active Power Max Demand Timestamp</t>
  </si>
  <si>
    <t>MAX_DMDTS_EXP_P_s012_1</t>
  </si>
  <si>
    <t>MAX_DMDTS_EXP_P_s012_2</t>
  </si>
  <si>
    <t>User Channel 12 Import Reactive Power Max Demand</t>
  </si>
  <si>
    <t>MAX_DMD_IMP_Q_s012_kvar</t>
  </si>
  <si>
    <t>User Channel 12 Import Reactive Power Max Demand Timestamp</t>
  </si>
  <si>
    <t>MAX_DMDTS_IMP_Q_s012_1</t>
  </si>
  <si>
    <t>MAX_DMDTS_IMP_Q_s012_2</t>
  </si>
  <si>
    <t>User Channel 12 Export Reactive Power Max Demand</t>
  </si>
  <si>
    <t>MAX_DMD_EXP_Q_s012_kvar</t>
  </si>
  <si>
    <t>User Channel 12 Export Reactive Power Max Demand Timestamp</t>
  </si>
  <si>
    <t>MAX_DMDTS_EXP_Q_s012_1</t>
  </si>
  <si>
    <t>MAX_DMDTS_EXP_Q_s012_2</t>
  </si>
  <si>
    <t>User Channel 12 Apparent Power Max Demand</t>
  </si>
  <si>
    <t>MAX_DMD_S_s012_kVA</t>
  </si>
  <si>
    <t>User Channel 12 Apparent Power Max Demand Timestamp</t>
  </si>
  <si>
    <t>MAX_DMDTS_S_s012_1</t>
  </si>
  <si>
    <t>MAX_DMDTS_S_s012_2</t>
  </si>
  <si>
    <t>System Frequency Max value</t>
  </si>
  <si>
    <t>MAX_FREQ_Hz</t>
  </si>
  <si>
    <t>23</t>
  </si>
  <si>
    <t>System Frequency Max value Timestamp</t>
  </si>
  <si>
    <t>MAX_TS_FREQ</t>
  </si>
  <si>
    <t>uint64</t>
  </si>
  <si>
    <t>Phase A Line-to-Neutral Voltage Max value</t>
  </si>
  <si>
    <t>MAX_VLN_a_V</t>
  </si>
  <si>
    <t>Phase A Line-to-Neutral Voltage Max value Timestamp</t>
  </si>
  <si>
    <t>MAX_VLNTS_a</t>
  </si>
  <si>
    <t>Phase B Line-to-Neutral Voltage Max value</t>
  </si>
  <si>
    <t>MAX_VLN_b_V</t>
  </si>
  <si>
    <t>Phase B Line-to-Neutral Voltage Max value Timestamp</t>
  </si>
  <si>
    <t>MAX_VLNTS_b</t>
  </si>
  <si>
    <t>Phase C Line-to-Neutral Voltage Max value</t>
  </si>
  <si>
    <t>MAX_VLN_c_V</t>
  </si>
  <si>
    <t>Phase C Line-to-Neutral Voltage Max value Timestamp</t>
  </si>
  <si>
    <t>MAX_VLNTS_c</t>
  </si>
  <si>
    <t>Phase AB Line-to-Line Voltage Max value</t>
  </si>
  <si>
    <t>MAX_VLL_ab_V</t>
  </si>
  <si>
    <t>Phase AB Line-to-Line Voltage Max value Timestamp</t>
  </si>
  <si>
    <t>MAX_VLLTS_ab_V</t>
  </si>
  <si>
    <t>Phase BC Line-to-Line Voltage Max value</t>
  </si>
  <si>
    <t>MAX_VLL_bc_V</t>
  </si>
  <si>
    <t>Phase BC Line-to-Line Voltage Max value Timestamp</t>
  </si>
  <si>
    <t>MAX_VLLTS_bc_V</t>
  </si>
  <si>
    <t>Phase CA Line-to-Line Voltage Max value</t>
  </si>
  <si>
    <t>MAX_VLL_ca_V</t>
  </si>
  <si>
    <t>Phase CA Line-to-Line Voltage Max value Timestamp</t>
  </si>
  <si>
    <t>MAX_VLLTS_ca_V</t>
  </si>
  <si>
    <t>Phase A Current Max value</t>
  </si>
  <si>
    <t>MAX_I_a_A</t>
  </si>
  <si>
    <t>Phase A Current Max value Timestamp</t>
  </si>
  <si>
    <t>MAX_TS_I_a_A</t>
  </si>
  <si>
    <t>Phase A Active Power Max value</t>
  </si>
  <si>
    <t>MAX_P_a_kW</t>
  </si>
  <si>
    <t>Phase A Active Power Max value Timestamp</t>
  </si>
  <si>
    <t>MAX_TS_P_a</t>
  </si>
  <si>
    <t>Phase A Reactive Power Max value</t>
  </si>
  <si>
    <t>MAX_Q_a_kvar</t>
  </si>
  <si>
    <t>Phase A Reactive Power Max value Timestamp</t>
  </si>
  <si>
    <t>MAX_TS_Q_a</t>
  </si>
  <si>
    <t>Phase A Apparent Power Max value</t>
  </si>
  <si>
    <t>MAX_S_a_kVA</t>
  </si>
  <si>
    <t>Phase A Apparent Power Max value Timestamp</t>
  </si>
  <si>
    <t>MAX_TS_S_a</t>
  </si>
  <si>
    <t>Phase A Power Factor Max value</t>
  </si>
  <si>
    <t>MAX_PF_a</t>
  </si>
  <si>
    <t>Phase A Power Factor Max value Timestamp</t>
  </si>
  <si>
    <t>MAX_TS_PF_a</t>
  </si>
  <si>
    <t>Phase A Voltage THD Max value</t>
  </si>
  <si>
    <t>MAX_THD_V_a_%</t>
  </si>
  <si>
    <t>Phase A Voltage THD Max value Timestamp</t>
  </si>
  <si>
    <t>MAX_TS_THD_V_a</t>
  </si>
  <si>
    <t>Phase B Current Max value</t>
  </si>
  <si>
    <t>MAX_I_b_A</t>
  </si>
  <si>
    <t>Phase B Current Max value Timestamp</t>
  </si>
  <si>
    <t>MAX_TS_I_b_A</t>
  </si>
  <si>
    <t>Phase B Active Power Max value</t>
  </si>
  <si>
    <t>MAX_P_b_kW</t>
  </si>
  <si>
    <t>Phase B Active Power Max value Timestamp</t>
  </si>
  <si>
    <t>MAX_TS_P_b</t>
  </si>
  <si>
    <t>Phase B Reactive Power Max value</t>
  </si>
  <si>
    <t>MAX_Q_b_kvar</t>
  </si>
  <si>
    <t>Phase B Reactive Power Max value Timestamp</t>
  </si>
  <si>
    <t>MAX_TS_Q_b</t>
  </si>
  <si>
    <t>Phase B Apparent Power Max value</t>
  </si>
  <si>
    <t>MAX_S_b_kVA</t>
  </si>
  <si>
    <t>Phase B Apparent Power Max value Timestamp</t>
  </si>
  <si>
    <t>MAX_TS_S_b</t>
  </si>
  <si>
    <t>Phase B Power Factor Max value</t>
  </si>
  <si>
    <t>MAX_PF_b</t>
  </si>
  <si>
    <t>Phase B Power Factor Max value  Timestamp</t>
  </si>
  <si>
    <t>MAX_TS_PF_b</t>
  </si>
  <si>
    <t>Phase B Voltage THD Max value</t>
  </si>
  <si>
    <t>MAX_THD_V_b_%</t>
  </si>
  <si>
    <t>Phase B Voltage THD Max value Timestamp</t>
  </si>
  <si>
    <t>MAX_TS_THD_V_b</t>
  </si>
  <si>
    <t>Phase C Current Max value</t>
  </si>
  <si>
    <t>MAX_I_c_A</t>
  </si>
  <si>
    <t>Phase C Current Max value Timestamp</t>
  </si>
  <si>
    <t>MAX_TS_I_c_A</t>
  </si>
  <si>
    <t>Phase C Active Power Max value</t>
  </si>
  <si>
    <t>MAX_P_c_kW</t>
  </si>
  <si>
    <t>Phase C Active Power Max value Timestamp</t>
  </si>
  <si>
    <t>MAX_TS_P_c</t>
  </si>
  <si>
    <t>Phase C Reactive Power Max value</t>
  </si>
  <si>
    <t>MAX_Q_c_kvar</t>
  </si>
  <si>
    <t>Phase C Reactive Power Max value Timestamp</t>
  </si>
  <si>
    <t>MAX_TS_Q_c</t>
  </si>
  <si>
    <t>Phase C Apparent Power Max value</t>
  </si>
  <si>
    <t>MAX_S_c_kVA</t>
  </si>
  <si>
    <t>Phase C Apparent Power Max value Timestamp</t>
  </si>
  <si>
    <t>MAX_TS_S_c</t>
  </si>
  <si>
    <t>Phase C Power Factor Max value</t>
  </si>
  <si>
    <t>MAX_PF_c</t>
  </si>
  <si>
    <t>Phase C Power Factor Max value Timestamp</t>
  </si>
  <si>
    <t>MAX_TS_PF_c</t>
  </si>
  <si>
    <t>Phase C Voltage THD Max value</t>
  </si>
  <si>
    <t>MAX_THD_V_c_%</t>
  </si>
  <si>
    <t>Phase C Voltage THD Max value Timestamp</t>
  </si>
  <si>
    <t>MAX_TS_THD_V_c</t>
  </si>
  <si>
    <t>Voltage Unbalance Factor Magnitude Max value</t>
  </si>
  <si>
    <t>MAX_UNBL_V_%</t>
  </si>
  <si>
    <t>Voltage Unbalance Factor Magnitude Max value Timestamp</t>
  </si>
  <si>
    <t>MAX_UNBLTS_V_%</t>
  </si>
  <si>
    <t>Input Channel 1 Current Max value</t>
  </si>
  <si>
    <t>MAX_I_001_A</t>
  </si>
  <si>
    <t>24</t>
  </si>
  <si>
    <t>Input Channel 1 Current Max value Timestamp</t>
  </si>
  <si>
    <t>MAX_TS_I_001</t>
  </si>
  <si>
    <t>Input Channel 1 Active Power Max value</t>
  </si>
  <si>
    <t>MAX_P_001_kW</t>
  </si>
  <si>
    <t>Input Channel 1 Active Power Max value Timestamp</t>
  </si>
  <si>
    <t>MAX_TS_P_001</t>
  </si>
  <si>
    <t>Input Channel 1 Reactive Power Max value</t>
  </si>
  <si>
    <t>MAX_Q_001_kvar</t>
  </si>
  <si>
    <t>Input Channel 1 Reactive Power  Max value Timestamp</t>
  </si>
  <si>
    <t>MAX_TS_Q_001</t>
  </si>
  <si>
    <t>Input Channel 1 Apparent Power  Max value</t>
  </si>
  <si>
    <t>MAX_S_001_kVA</t>
  </si>
  <si>
    <t>Input Channel 1 Apparent Power Max value Timestamp</t>
  </si>
  <si>
    <t>MAX_TS_S_001</t>
  </si>
  <si>
    <t>Input Channel 1  Power Factor Max value</t>
  </si>
  <si>
    <t>MAX_PF_001</t>
  </si>
  <si>
    <t>Input Channel 1  Power Factor Max value Timestamp</t>
  </si>
  <si>
    <t>MAX_TS_PF_001</t>
  </si>
  <si>
    <t>Input Channel 1 Current THD Max value</t>
  </si>
  <si>
    <t>MAX_THD_I_001_%</t>
  </si>
  <si>
    <t>Input Channel 1 Current THD Max value Timestamp</t>
  </si>
  <si>
    <t>MAX_TS_THD_I_001</t>
  </si>
  <si>
    <t>Input Channel 2 Current Max value</t>
  </si>
  <si>
    <t>MAX_I_002_A</t>
  </si>
  <si>
    <t>Input Channel 2 Current Max value Timestamp</t>
  </si>
  <si>
    <t>MAX_TS_I_002</t>
  </si>
  <si>
    <t>Input Channel 2 Active Power Max value</t>
  </si>
  <si>
    <t>MAX_P_002_kW</t>
  </si>
  <si>
    <t>Input Channel 2 Active Power Max value Timestamp</t>
  </si>
  <si>
    <t>MAX_TS_P_002</t>
  </si>
  <si>
    <t>Input Channel 2 Reactive Power Max value</t>
  </si>
  <si>
    <t>MAX_Q_002_kvar</t>
  </si>
  <si>
    <t>Input Channel 2 Reactive Power  Max value Timestamp</t>
  </si>
  <si>
    <t>MAX_TS_Q_002</t>
  </si>
  <si>
    <t>Input Channel 2 Apparent Power  Max value</t>
  </si>
  <si>
    <t>MAX_S_002_kVA</t>
  </si>
  <si>
    <t>Input Channel 2 Apparent Power Max value Timestamp</t>
  </si>
  <si>
    <t>MAX_TS_S_002</t>
  </si>
  <si>
    <t>Input Channel 2  Power Factor Max value</t>
  </si>
  <si>
    <t>MAX_PF_002</t>
  </si>
  <si>
    <t>Input Channel 2  Power Factor Max value Timestamp</t>
  </si>
  <si>
    <t>MAX_TS_PF_002</t>
  </si>
  <si>
    <t>Input Channel 2 Current THD Max value</t>
  </si>
  <si>
    <t>MAX_THD_I_002_%</t>
  </si>
  <si>
    <t>Input Channel 2 Current THD Max value Timestamp</t>
  </si>
  <si>
    <t>MAX_TS_THD_I_002</t>
  </si>
  <si>
    <t>Input Channel 3 Current Max value</t>
  </si>
  <si>
    <t>MAX_I_003_A</t>
  </si>
  <si>
    <t>Input Channel 3 Current Max value Timestamp</t>
  </si>
  <si>
    <t>MAX_TS_I_003</t>
  </si>
  <si>
    <t>Input Channel 3 Active Power Max value</t>
  </si>
  <si>
    <t>MAX_P_003_kW</t>
  </si>
  <si>
    <t>Input Channel 3 Active Power Max value Timestamp</t>
  </si>
  <si>
    <t>MAX_TS_P_003</t>
  </si>
  <si>
    <t>Input Channel 3 Reactive Power Max value</t>
  </si>
  <si>
    <t>MAX_Q_003_kvar</t>
  </si>
  <si>
    <t>Input Channel 3 Reactive Power  Max value Timestamp</t>
  </si>
  <si>
    <t>MAX_TS_Q_003</t>
  </si>
  <si>
    <t>Input Channel 3 Apparent Power  Max value</t>
  </si>
  <si>
    <t>MAX_S_003_kVA</t>
  </si>
  <si>
    <t>Input Channel 3 Apparent Power Max value Timestamp</t>
  </si>
  <si>
    <t>MAX_TS_S_003</t>
  </si>
  <si>
    <t>Input Channel 3  Power Factor Max value</t>
  </si>
  <si>
    <t>MAX_PF_003</t>
  </si>
  <si>
    <t>Input Channel 3  Power Factor Max value Timestamp</t>
  </si>
  <si>
    <t>MAX_TS_PF_003</t>
  </si>
  <si>
    <t>Input Channel 3 Current THD Max value</t>
  </si>
  <si>
    <t>MAX_THD_I_003_%</t>
  </si>
  <si>
    <t>Input Channel 3 Current THD Max value Timestamp</t>
  </si>
  <si>
    <t>MAX_TS_THD_I_003</t>
  </si>
  <si>
    <t>Input Channel 4 Current Max value</t>
  </si>
  <si>
    <t>MAX_I_004_A</t>
  </si>
  <si>
    <t>Input Channel 4 Current Max value Timestamp</t>
  </si>
  <si>
    <t>MAX_TS_I_004</t>
  </si>
  <si>
    <t>Input Channel 4 Active Power Max value</t>
  </si>
  <si>
    <t>MAX_P_004_kW</t>
  </si>
  <si>
    <t>Input Channel 4 Active Power Max value Timestamp</t>
  </si>
  <si>
    <t>MAX_TS_P_004</t>
  </si>
  <si>
    <t>Input Channel 4 Reactive Power Max value</t>
  </si>
  <si>
    <t>MAX_Q_004_kvar</t>
  </si>
  <si>
    <t>Input Channel 4 Reactive Power  Max value Timestamp</t>
  </si>
  <si>
    <t>MAX_TS_Q_004</t>
  </si>
  <si>
    <t>Input Channel 4 Apparent Power  Max value</t>
  </si>
  <si>
    <t>MAX_S_004_kVA</t>
  </si>
  <si>
    <t>Input Channel 4 Apparent Power Max value Timestamp</t>
  </si>
  <si>
    <t>MAX_TS_S_004</t>
  </si>
  <si>
    <t>Input Channel 4  Power Factor Max value</t>
  </si>
  <si>
    <t>MAX_PF_004</t>
  </si>
  <si>
    <t>Input Channel 4  Power Factor Max value Timestamp</t>
  </si>
  <si>
    <t>MAX_TS_PF_004</t>
  </si>
  <si>
    <t>Input Channel 4 Current THD Max value</t>
  </si>
  <si>
    <t>MAX_THD_I_004_%</t>
  </si>
  <si>
    <t>Input Channel 4 Current THD Max value Timestamp</t>
  </si>
  <si>
    <t>MAX_TS_THD_I_004</t>
  </si>
  <si>
    <t>Input Channel 5 Current Max value</t>
  </si>
  <si>
    <t>MAX_I_005_A</t>
  </si>
  <si>
    <t>Input Channel 5 Current Max value Timestamp</t>
  </si>
  <si>
    <t>MAX_TS_I_005</t>
  </si>
  <si>
    <t>Input Channel 5 Active Power Max value</t>
  </si>
  <si>
    <t>MAX_P_005_kW</t>
  </si>
  <si>
    <t>Input Channel 5 Active Power Max value Timestamp</t>
  </si>
  <si>
    <t>MAX_TS_P_005</t>
  </si>
  <si>
    <t>Input Channel 5 Reactive Power Max value</t>
  </si>
  <si>
    <t>MAX_Q_005_kvar</t>
  </si>
  <si>
    <t>Input Channel 5 Reactive Power  Max value Timestamp</t>
  </si>
  <si>
    <t>MAX_TS_Q_005</t>
  </si>
  <si>
    <t>Input Channel 5 Apparent Power  Max value</t>
  </si>
  <si>
    <t>MAX_S_005_kVA</t>
  </si>
  <si>
    <t>Input Channel 5 Apparent Power Max value Timestamp</t>
  </si>
  <si>
    <t>MAX_TS_S_005</t>
  </si>
  <si>
    <t>Input Channel 5  Power Factor Max value</t>
  </si>
  <si>
    <t>MAX_PF_005</t>
  </si>
  <si>
    <t>Input Channel 5  Power Factor Max value Timestamp</t>
  </si>
  <si>
    <t>MAX_TS_PF_005</t>
  </si>
  <si>
    <t>Input Channel 5 Current THD Max value</t>
  </si>
  <si>
    <t>MAX_THD_I_005_%</t>
  </si>
  <si>
    <t>Input Channel 5 Current THD Max value Timestamp</t>
  </si>
  <si>
    <t>MAX_TS_THD_I_005</t>
  </si>
  <si>
    <t>Input Channel 6 Current Max value</t>
  </si>
  <si>
    <t>MAX_I_006_A</t>
  </si>
  <si>
    <t>Input Channel 6 Current Max value Timestamp</t>
  </si>
  <si>
    <t>MAX_TS_I_006</t>
  </si>
  <si>
    <t>Input Channel 6 Active Power Max value</t>
  </si>
  <si>
    <t>MAX_P_006_kW</t>
  </si>
  <si>
    <t>Input Channel 6 Active Power Max value Timestamp</t>
  </si>
  <si>
    <t>MAX_TS_P_006</t>
  </si>
  <si>
    <t>Input Channel 6 Reactive Power Max value</t>
  </si>
  <si>
    <t>MAX_Q_006_kvar</t>
  </si>
  <si>
    <t>Input Channel 6 Reactive Power  Max value Timestamp</t>
  </si>
  <si>
    <t>MAX_TS_Q_006</t>
  </si>
  <si>
    <t>Input Channel 6 Apparent Power  Max value</t>
  </si>
  <si>
    <t>MAX_S_006_kVA</t>
  </si>
  <si>
    <t>Input Channel 6 Apparent Power Max value Timestamp</t>
  </si>
  <si>
    <t>MAX_TS_S_006</t>
  </si>
  <si>
    <t>Input Channel 6  Power Factor Max value</t>
  </si>
  <si>
    <t>MAX_PF_006</t>
  </si>
  <si>
    <t>Input Channel 6  Power Factor Max value Timestamp</t>
  </si>
  <si>
    <t>MAX_TS_PF_006</t>
  </si>
  <si>
    <t>Input Channel 6 Current THD Max value</t>
  </si>
  <si>
    <t>MAX_THD_I_006_%</t>
  </si>
  <si>
    <t>Input Channel 6 Current THD Max value Timestamp</t>
  </si>
  <si>
    <t>MAX_TS_THD_I_006</t>
  </si>
  <si>
    <t>Input Channel 7 Current Max value</t>
  </si>
  <si>
    <t>MAX_I_007_A</t>
  </si>
  <si>
    <t>Input Channel 7 Current Max value Timestamp</t>
  </si>
  <si>
    <t>MAX_TS_I_007</t>
  </si>
  <si>
    <t>Input Channel 7 Active Power Max value</t>
  </si>
  <si>
    <t>MAX_P_007_kW</t>
  </si>
  <si>
    <t>Input Channel 7 Active Power Max value Timestamp</t>
  </si>
  <si>
    <t>MAX_TS_P_007</t>
  </si>
  <si>
    <t>Input Channel 7 Reactive Power Max value</t>
  </si>
  <si>
    <t>MAX_Q_007_kvar</t>
  </si>
  <si>
    <t>Input Channel 7 Reactive Power  Max value Timestamp</t>
  </si>
  <si>
    <t>MAX_TS_Q_007</t>
  </si>
  <si>
    <t>Input Channel 7 Apparent Power  Max value</t>
  </si>
  <si>
    <t>MAX_S_007_kVA</t>
  </si>
  <si>
    <t>Input Channel 7 Apparent Power Max value Timestamp</t>
  </si>
  <si>
    <t>MAX_TS_S_007</t>
  </si>
  <si>
    <t>Input Channel 7  Power Factor Max value</t>
  </si>
  <si>
    <t>MAX_PF_007</t>
  </si>
  <si>
    <t>Input Channel 7  Power Factor Max value Timestamp</t>
  </si>
  <si>
    <t>MAX_TS_PF_007</t>
  </si>
  <si>
    <t>Input Channel 7 Current THD Max value</t>
  </si>
  <si>
    <t>MAX_THD_I_007_%</t>
  </si>
  <si>
    <t>Input Channel 7 Current THD Max value Timestamp</t>
  </si>
  <si>
    <t>MAX_TS_THD_I_007</t>
  </si>
  <si>
    <t>Input Channel 8 Current Max value</t>
  </si>
  <si>
    <t>MAX_I_008_A</t>
  </si>
  <si>
    <t>Input Channel 8 Current Max value Timestamp</t>
  </si>
  <si>
    <t>MAX_TS_I_008</t>
  </si>
  <si>
    <t>Input Channel 8 Active Power Max value</t>
  </si>
  <si>
    <t>MAX_P_008_kW</t>
  </si>
  <si>
    <t>Input Channel 8 Active Power Max value Timestamp</t>
  </si>
  <si>
    <t>MAX_TS_P_008</t>
  </si>
  <si>
    <t>Input Channel 8 Reactive Power Max value</t>
  </si>
  <si>
    <t>MAX_Q_008_kvar</t>
  </si>
  <si>
    <t>Input Channel 8 Reactive Power  Max value Timestamp</t>
  </si>
  <si>
    <t>MAX_TS_Q_008</t>
  </si>
  <si>
    <t>Input Channel 8 Apparent Power  Max value</t>
  </si>
  <si>
    <t>MAX_S_008_kVA</t>
  </si>
  <si>
    <t>Input Channel 8 Apparent Power Max value Timestamp</t>
  </si>
  <si>
    <t>MAX_TS_S_008</t>
  </si>
  <si>
    <t>Input Channel 8  Power Factor Max value</t>
  </si>
  <si>
    <t>MAX_PF_008</t>
  </si>
  <si>
    <t>Input Channel 8  Power Factor Max value Timestamp</t>
  </si>
  <si>
    <t>MAX_TS_PF_008</t>
  </si>
  <si>
    <t>Input Channel 8 Current THD Max value</t>
  </si>
  <si>
    <t>MAX_THD_I_008_%</t>
  </si>
  <si>
    <t>Input Channel 8 Current THD Max value Timestamp</t>
  </si>
  <si>
    <t>MAX_TS_THD_I_008</t>
  </si>
  <si>
    <t>Input Channel 9 Current Max value</t>
  </si>
  <si>
    <t>MAX_I_009_A</t>
  </si>
  <si>
    <t>Input Channel 9 Current Max value Timestamp</t>
  </si>
  <si>
    <t>MAX_TS_I_009</t>
  </si>
  <si>
    <t>Input Channel 9 Active Power Max value</t>
  </si>
  <si>
    <t>MAX_P_009_kW</t>
  </si>
  <si>
    <t>Input Channel 9 Active Power Max value Timestamp</t>
  </si>
  <si>
    <t>MAX_TS_P_009</t>
  </si>
  <si>
    <t>Input Channel 9 Reactive Power Max value</t>
  </si>
  <si>
    <t>MAX_Q_009_kvar</t>
  </si>
  <si>
    <t>Input Channel 9 Reactive Power  Max value Timestamp</t>
  </si>
  <si>
    <t>MAX_TS_Q_009</t>
  </si>
  <si>
    <t>Input Channel 9 Apparent Power  Max value</t>
  </si>
  <si>
    <t>MAX_S_009_kVA</t>
  </si>
  <si>
    <t>Input Channel 9 Apparent Power Max value Timestamp</t>
  </si>
  <si>
    <t>MAX_TS_S_009</t>
  </si>
  <si>
    <t>Input Channel 9  Power Factor Max value</t>
  </si>
  <si>
    <t>MAX_PF_009</t>
  </si>
  <si>
    <t>Input Channel 9  Power Factor Max value Timestamp</t>
  </si>
  <si>
    <t>MAX_TS_PF_009</t>
  </si>
  <si>
    <t>Input Channel 9 Current THD Max value</t>
  </si>
  <si>
    <t>MAX_THD_I_009_%</t>
  </si>
  <si>
    <t>Input Channel 9 Current THD Max value Timestamp</t>
  </si>
  <si>
    <t>MAX_TS_THD_I_009</t>
  </si>
  <si>
    <t>Input Channel 10 Current Max value</t>
  </si>
  <si>
    <t>MAX_I_010_A</t>
  </si>
  <si>
    <t>Input Channel 10 Current Max value Timestamp</t>
  </si>
  <si>
    <t>MAX_TS_I_010</t>
  </si>
  <si>
    <t>Input Channel 10 Active Power Max value</t>
  </si>
  <si>
    <t>MAX_P_010_kW</t>
  </si>
  <si>
    <t>Input Channel 10 Active Power Max value Timestamp</t>
  </si>
  <si>
    <t>MAX_TS_P_010</t>
  </si>
  <si>
    <t>Input Channel 10 Reactive Power Max value</t>
  </si>
  <si>
    <t>MAX_Q_010_kvar</t>
  </si>
  <si>
    <t>Input Channel 10 Reactive Power  Max value Timestamp</t>
  </si>
  <si>
    <t>MAX_TS_Q_010</t>
  </si>
  <si>
    <t>Input Channel 10 Apparent Power  Max value</t>
  </si>
  <si>
    <t>MAX_S_010_kVA</t>
  </si>
  <si>
    <t>Input Channel 10 Apparent Power Max value Timestamp</t>
  </si>
  <si>
    <t>MAX_TS_S_010</t>
  </si>
  <si>
    <t>Input Channel 10  Power Factor Max value</t>
  </si>
  <si>
    <t>MAX_PF_010</t>
  </si>
  <si>
    <t>Input Channel 10  Power Factor Max value Timestamp</t>
  </si>
  <si>
    <t>MAX_TS_PF_010</t>
  </si>
  <si>
    <t>Input Channel 10 Current THD Max value</t>
  </si>
  <si>
    <t>MAX_THD_I_010_%</t>
  </si>
  <si>
    <t>Input Channel 10 Current THD Max value Timestamp</t>
  </si>
  <si>
    <t>MAX_TS_THD_I_010</t>
  </si>
  <si>
    <t>Input Channel 11 Current Max value</t>
  </si>
  <si>
    <t>MAX_I_011_A</t>
  </si>
  <si>
    <t>Input Channel 11 Current Max value Timestamp</t>
  </si>
  <si>
    <t>MAX_TS_I_011</t>
  </si>
  <si>
    <t>Input Channel 11 Active Power Max value</t>
  </si>
  <si>
    <t>MAX_P_011_kW</t>
  </si>
  <si>
    <t>Input Channel 11 Active Power Max value Timestamp</t>
  </si>
  <si>
    <t>MAX_TS_P_011</t>
  </si>
  <si>
    <t>Input Channel 11 Reactive Power Max value</t>
  </si>
  <si>
    <t>MAX_Q_011_kvar</t>
  </si>
  <si>
    <t>Input Channel 11 Reactive Power  Max value Timestamp</t>
  </si>
  <si>
    <t>MAX_TS_Q_011</t>
  </si>
  <si>
    <t>Input Channel 11 Apparent Power  Max value</t>
  </si>
  <si>
    <t>MAX_S_011_kVA</t>
  </si>
  <si>
    <t>Input Channel 11 Apparent Power Max value Timestamp</t>
  </si>
  <si>
    <t>MAX_TS_S_011</t>
  </si>
  <si>
    <t>Input Channel 11  Power Factor Max value</t>
  </si>
  <si>
    <t>MAX_PF_011</t>
  </si>
  <si>
    <t>Input Channel 11  Power Factor Max value Timestamp</t>
  </si>
  <si>
    <t>MAX_TS_PF_011</t>
  </si>
  <si>
    <t>Input Channel 11 Current THD Max value</t>
  </si>
  <si>
    <t>MAX_THD_I_011_%</t>
  </si>
  <si>
    <t>Input Channel 11 Current THD Max value Timestamp</t>
  </si>
  <si>
    <t>MAX_TS_THD_I_011</t>
  </si>
  <si>
    <t>Input Channel 12 Current Max value</t>
  </si>
  <si>
    <t>MAX_I_012_A</t>
  </si>
  <si>
    <t>Input Channel 12 Current Max value Timestamp</t>
  </si>
  <si>
    <t>MAX_TS_I_012</t>
  </si>
  <si>
    <t>Input Channel 12 Active Power Max value</t>
  </si>
  <si>
    <t>MAX_P_012_kW</t>
  </si>
  <si>
    <t>Input Channel 12 Active Power Max value Timestamp</t>
  </si>
  <si>
    <t>MAX_TS_P_012</t>
  </si>
  <si>
    <t>Input Channel 12 Reactive Power Max value</t>
  </si>
  <si>
    <t>MAX_Q_012_kvar</t>
  </si>
  <si>
    <t>Input Channel 12 Reactive Power  Max value Timestamp</t>
  </si>
  <si>
    <t>MAX_TS_Q_012</t>
  </si>
  <si>
    <t>Input Channel 12 Apparent Power  Max value</t>
  </si>
  <si>
    <t>MAX_S_012_kVA</t>
  </si>
  <si>
    <t>Input Channel 12 Apparent Power Max value Timestamp</t>
  </si>
  <si>
    <t>MAX_TS_S_012</t>
  </si>
  <si>
    <t>Input Channel 12  Power Factor Max value</t>
  </si>
  <si>
    <t>MAX_PF_012</t>
  </si>
  <si>
    <t>Input Channel 12  Power Factor Max value Timestamp</t>
  </si>
  <si>
    <t>MAX_TS_PF_012</t>
  </si>
  <si>
    <t>Input Channel 12 Current THD Max value</t>
  </si>
  <si>
    <t>MAX_THD_I_012_%</t>
  </si>
  <si>
    <t>Input Channel 12 Current THD Max value Timestamp</t>
  </si>
  <si>
    <t>MAX_TS_THD_I_012</t>
  </si>
  <si>
    <t>Input Channel 13 Current Max value</t>
  </si>
  <si>
    <t>MAX_I_013_A</t>
  </si>
  <si>
    <t>Input Channel 13 Current Max value Timestamp</t>
  </si>
  <si>
    <t>MAX_TS_I_013</t>
  </si>
  <si>
    <t>Input Channel 13 Active Power Max value</t>
  </si>
  <si>
    <t>MAX_P_013_kW</t>
  </si>
  <si>
    <t>Input Channel 13 Active Power Max value Timestamp</t>
  </si>
  <si>
    <t>MAX_TS_P_013</t>
  </si>
  <si>
    <t>Input Channel 13 Reactive Power Max value</t>
  </si>
  <si>
    <t>MAX_Q_013_kvar</t>
  </si>
  <si>
    <t>Input Channel 13 Reactive Power  Max value Timestamp</t>
  </si>
  <si>
    <t>MAX_TS_Q_013</t>
  </si>
  <si>
    <t>Input Channel 13 Apparent Power  Max value</t>
  </si>
  <si>
    <t>MAX_S_013_kVA</t>
  </si>
  <si>
    <t>Input Channel 13 Apparent Power Max value Timestamp</t>
  </si>
  <si>
    <t>MAX_TS_S_013</t>
  </si>
  <si>
    <t>Input Channel 13  Power Factor Max value</t>
  </si>
  <si>
    <t>MAX_PF_013</t>
  </si>
  <si>
    <t>Input Channel 13  Power Factor Max value Timestamp</t>
  </si>
  <si>
    <t>MAX_TS_PF_013</t>
  </si>
  <si>
    <t>Input Channel 13 Current THD Max value</t>
  </si>
  <si>
    <t>MAX_THD_I_013_%</t>
  </si>
  <si>
    <t>Input Channel 13 Current THD Max value Timestamp</t>
  </si>
  <si>
    <t>MAX_TS_THD_I_013</t>
  </si>
  <si>
    <t>Input Channel 14 Current Max value</t>
  </si>
  <si>
    <t>MAX_I_014_A</t>
  </si>
  <si>
    <t>Input Channel 14 Current Max value Timestamp</t>
  </si>
  <si>
    <t>MAX_TS_I_014</t>
  </si>
  <si>
    <t>Input Channel 14 Active Power Max value</t>
  </si>
  <si>
    <t>MAX_P_014_kW</t>
  </si>
  <si>
    <t>Input Channel 14 Active Power Max value Timestamp</t>
  </si>
  <si>
    <t>MAX_TS_P_014</t>
  </si>
  <si>
    <t>Input Channel 14 Reactive Power Max value</t>
  </si>
  <si>
    <t>MAX_Q_014_kvar</t>
  </si>
  <si>
    <t>Input Channel 14 Reactive Power  Max value Timestamp</t>
  </si>
  <si>
    <t>MAX_TS_Q_014</t>
  </si>
  <si>
    <t>Input Channel 14 Apparent Power  Max value</t>
  </si>
  <si>
    <t>MAX_S_014_kVA</t>
  </si>
  <si>
    <t>Input Channel 14 Apparent Power Max value Timestamp</t>
  </si>
  <si>
    <t>MAX_TS_S_014</t>
  </si>
  <si>
    <t>Input Channel 14  Power Factor Max value</t>
  </si>
  <si>
    <t>MAX_PF_014</t>
  </si>
  <si>
    <t>Input Channel 14  Power Factor Max value Timestamp</t>
  </si>
  <si>
    <t>MAX_TS_PF_014</t>
  </si>
  <si>
    <t>Input Channel 14 Current THD Max value</t>
  </si>
  <si>
    <t>MAX_THD_I_014_%</t>
  </si>
  <si>
    <t>Input Channel 14 Current THD Max value Timestamp</t>
  </si>
  <si>
    <t>MAX_TS_THD_I_014</t>
  </si>
  <si>
    <t>Input Channel 15 Current Max value</t>
  </si>
  <si>
    <t>MAX_I_015_A</t>
  </si>
  <si>
    <t>Input Channel 15 Current Max value Timestamp</t>
  </si>
  <si>
    <t>MAX_TS_I_015</t>
  </si>
  <si>
    <t>Input Channel 15 Active Power Max value</t>
  </si>
  <si>
    <t>MAX_P_015_kW</t>
  </si>
  <si>
    <t>Input Channel 15 Active Power Max value Timestamp</t>
  </si>
  <si>
    <t>MAX_TS_P_015</t>
  </si>
  <si>
    <t>Input Channel 15 Reactive Power Max value</t>
  </si>
  <si>
    <t>MAX_Q_015_kvar</t>
  </si>
  <si>
    <t>Input Channel 15 Reactive Power  Max value Timestamp</t>
  </si>
  <si>
    <t>MAX_TS_Q_015</t>
  </si>
  <si>
    <t>Input Channel 15 Apparent Power  Max value</t>
  </si>
  <si>
    <t>MAX_S_015_kVA</t>
  </si>
  <si>
    <t>Input Channel 15 Apparent Power Max value Timestamp</t>
  </si>
  <si>
    <t>MAX_TS_S_015</t>
  </si>
  <si>
    <t>Input Channel 15  Power Factor Max value</t>
  </si>
  <si>
    <t>MAX_PF_015</t>
  </si>
  <si>
    <t>Input Channel 15  Power Factor Max value Timestamp</t>
  </si>
  <si>
    <t>MAX_TS_PF_015</t>
  </si>
  <si>
    <t>Input Channel 15 Current THD Max value</t>
  </si>
  <si>
    <t>MAX_THD_I_015_%</t>
  </si>
  <si>
    <t>Input Channel 15 Current THD Max value Timestamp</t>
  </si>
  <si>
    <t>MAX_TS_THD_I_015</t>
  </si>
  <si>
    <t>Input Channel 16 Current Max value</t>
  </si>
  <si>
    <t>MAX_I_016_A</t>
  </si>
  <si>
    <t>Input Channel 16 Current Max value Timestamp</t>
  </si>
  <si>
    <t>MAX_TS_I_016</t>
  </si>
  <si>
    <t>Input Channel 16 Active Power Max value</t>
  </si>
  <si>
    <t>MAX_P_016_kW</t>
  </si>
  <si>
    <t>Input Channel 16 Active Power Max value Timestamp</t>
  </si>
  <si>
    <t>MAX_TS_P_016</t>
  </si>
  <si>
    <t>Input Channel 16 Reactive Power Max value</t>
  </si>
  <si>
    <t>MAX_Q_016_kvar</t>
  </si>
  <si>
    <t>Input Channel 16 Reactive Power  Max value Timestamp</t>
  </si>
  <si>
    <t>MAX_TS_Q_016</t>
  </si>
  <si>
    <t>Input Channel 16 Apparent Power  Max value</t>
  </si>
  <si>
    <t>MAX_S_016_kVA</t>
  </si>
  <si>
    <t>Input Channel 16 Apparent Power Max value Timestamp</t>
  </si>
  <si>
    <t>MAX_TS_S_016</t>
  </si>
  <si>
    <t>Input Channel 16  Power Factor Max value</t>
  </si>
  <si>
    <t>MAX_PF_016</t>
  </si>
  <si>
    <t>Input Channel 16  Power Factor Max value Timestamp</t>
  </si>
  <si>
    <t>MAX_TS_PF_016</t>
  </si>
  <si>
    <t>Input Channel 16 Current THD Max value</t>
  </si>
  <si>
    <t>MAX_THD_I_016_%</t>
  </si>
  <si>
    <t>Input Channel 16 Current THD Max value Timestamp</t>
  </si>
  <si>
    <t>MAX_TS_THD_I_016</t>
  </si>
  <si>
    <t>Input Channel 17 Current Max value</t>
  </si>
  <si>
    <t>MAX_I_017_A</t>
  </si>
  <si>
    <t>Input Channel 17 Current Max value Timestamp</t>
  </si>
  <si>
    <t>MAX_TS_I_017</t>
  </si>
  <si>
    <t>Input Channel 17 Active Power Max value</t>
  </si>
  <si>
    <t>MAX_P_017_kW</t>
  </si>
  <si>
    <t>Input Channel 17 Active Power Max value Timestamp</t>
  </si>
  <si>
    <t>MAX_TS_P_017</t>
  </si>
  <si>
    <t>Input Channel 17 Reactive Power Max value</t>
  </si>
  <si>
    <t>MAX_Q_017_kvar</t>
  </si>
  <si>
    <t>Input Channel 17 Reactive Power  Max value Timestamp</t>
  </si>
  <si>
    <t>MAX_TS_Q_017</t>
  </si>
  <si>
    <t>Input Channel 17 Apparent Power  Max value</t>
  </si>
  <si>
    <t>MAX_S_017_kVA</t>
  </si>
  <si>
    <t>Input Channel 17 Apparent Power Max value Timestamp</t>
  </si>
  <si>
    <t>MAX_TS_S_017</t>
  </si>
  <si>
    <t>Input Channel 17  Power Factor Max value</t>
  </si>
  <si>
    <t>MAX_PF_017</t>
  </si>
  <si>
    <t>Input Channel 17  Power Factor Max value Timestamp</t>
  </si>
  <si>
    <t>MAX_TS_PF_017</t>
  </si>
  <si>
    <t>Input Channel 17 Current THD Max value</t>
  </si>
  <si>
    <t>MAX_THD_I_017_%</t>
  </si>
  <si>
    <t>Input Channel 17 Current THD Max value Timestamp</t>
  </si>
  <si>
    <t>MAX_TS_THD_I_017</t>
  </si>
  <si>
    <t>Input Channel 18 Current Max value</t>
  </si>
  <si>
    <t>MAX_I_018_A</t>
  </si>
  <si>
    <t>Input Channel 18 Current Max value Timestamp</t>
  </si>
  <si>
    <t>MAX_TS_I_018</t>
  </si>
  <si>
    <t>Input Channel 18 Active Power Max value</t>
  </si>
  <si>
    <t>MAX_P_018_kW</t>
  </si>
  <si>
    <t>Input Channel 18 Active Power Max value Timestamp</t>
  </si>
  <si>
    <t>MAX_TS_P_018</t>
  </si>
  <si>
    <t>Input Channel 18 Reactive Power Max value</t>
  </si>
  <si>
    <t>MAX_Q_018_kvar</t>
  </si>
  <si>
    <t>Input Channel 18 Reactive Power  Max value Timestamp</t>
  </si>
  <si>
    <t>MAX_TS_Q_018</t>
  </si>
  <si>
    <t>Input Channel 18 Apparent Power  Max value</t>
  </si>
  <si>
    <t>MAX_S_018_kVA</t>
  </si>
  <si>
    <t>Input Channel 18 Apparent Power Max value Timestamp</t>
  </si>
  <si>
    <t>MAX_TS_S_018</t>
  </si>
  <si>
    <t>Input Channel 18  Power Factor Max value</t>
  </si>
  <si>
    <t>MAX_PF_018</t>
  </si>
  <si>
    <t>Input Channel 18  Power Factor Max value Timestamp</t>
  </si>
  <si>
    <t>MAX_TS_PF_018</t>
  </si>
  <si>
    <t>Input Channel 18 Current THD Max value</t>
  </si>
  <si>
    <t>MAX_THD_I_018_%</t>
  </si>
  <si>
    <t>Input Channel 18 Current THD Max value Timestamp</t>
  </si>
  <si>
    <t>MAX_TS_THD_I_018</t>
  </si>
  <si>
    <t>Input Channel 19 Current Max value</t>
  </si>
  <si>
    <t>MAX_I_019_A</t>
  </si>
  <si>
    <t>Input Channel 19 Current Max value Timestamp</t>
  </si>
  <si>
    <t>MAX_TS_I_019</t>
  </si>
  <si>
    <t>Input Channel 19 Active Power Max value</t>
  </si>
  <si>
    <t>MAX_P_019_kW</t>
  </si>
  <si>
    <t>Input Channel 19 Active Power Max value Timestamp</t>
  </si>
  <si>
    <t>MAX_TS_P_019</t>
  </si>
  <si>
    <t>Input Channel 19 Reactive Power Max value</t>
  </si>
  <si>
    <t>MAX_Q_019_kvar</t>
  </si>
  <si>
    <t>Input Channel 19 Reactive Power  Max value Timestamp</t>
  </si>
  <si>
    <t>MAX_TS_Q_019</t>
  </si>
  <si>
    <t>Input Channel 19 Apparent Power  Max value</t>
  </si>
  <si>
    <t>MAX_S_019_kVA</t>
  </si>
  <si>
    <t>Input Channel 19 Apparent Power Max value Timestamp</t>
  </si>
  <si>
    <t>MAX_TS_S_019</t>
  </si>
  <si>
    <t>Input Channel 19  Power Factor Max value</t>
  </si>
  <si>
    <t>MAX_PF_019</t>
  </si>
  <si>
    <t>Input Channel 19  Power Factor Max value Timestamp</t>
  </si>
  <si>
    <t>MAX_TS_PF_019</t>
  </si>
  <si>
    <t>Input Channel 19 Current THD Max value</t>
  </si>
  <si>
    <t>MAX_THD_I_019_%</t>
  </si>
  <si>
    <t>Input Channel 19 Current THD Max value Timestamp</t>
  </si>
  <si>
    <t>MAX_TS_THD_I_019</t>
  </si>
  <si>
    <t>Input Channel 20 Current Max value</t>
  </si>
  <si>
    <t>MAX_I_020_A</t>
  </si>
  <si>
    <t>Input Channel 20 Current Max value Timestamp</t>
  </si>
  <si>
    <t>MAX_TS_I_020</t>
  </si>
  <si>
    <t>Input Channel 20 Active Power Max value</t>
  </si>
  <si>
    <t>MAX_P_020_kW</t>
  </si>
  <si>
    <t>Input Channel 20 Active Power Max value Timestamp</t>
  </si>
  <si>
    <t>MAX_TS_P_020</t>
  </si>
  <si>
    <t>Input Channel 20 Reactive Power Max value</t>
  </si>
  <si>
    <t>MAX_Q_020_kvar</t>
  </si>
  <si>
    <t>Input Channel 20 Reactive Power  Max value Timestamp</t>
  </si>
  <si>
    <t>MAX_TS_Q_020</t>
  </si>
  <si>
    <t>Input Channel 20 Apparent Power  Max value</t>
  </si>
  <si>
    <t>MAX_S_020_kVA</t>
  </si>
  <si>
    <t>Input Channel 20 Apparent Power Max value Timestamp</t>
  </si>
  <si>
    <t>MAX_TS_S_020</t>
  </si>
  <si>
    <t>Input Channel 20  Power Factor Max value</t>
  </si>
  <si>
    <t>MAX_PF_020</t>
  </si>
  <si>
    <t>Input Channel 20  Power Factor Max value Timestamp</t>
  </si>
  <si>
    <t>MAX_TS_PF_020</t>
  </si>
  <si>
    <t>Input Channel 20 Current THD Max value</t>
  </si>
  <si>
    <t>MAX_THD_I_020_%</t>
  </si>
  <si>
    <t>Input Channel 20 Current THD Max value Timestamp</t>
  </si>
  <si>
    <t>MAX_TS_THD_I_020</t>
  </si>
  <si>
    <t>Input Channel 21 Current Max value</t>
  </si>
  <si>
    <t>MAX_I_021_A</t>
  </si>
  <si>
    <t>Input Channel 21 Current Max value Timestamp</t>
  </si>
  <si>
    <t>MAX_TS_I_021</t>
  </si>
  <si>
    <t>Input Channel 21 Active Power Max value</t>
  </si>
  <si>
    <t>MAX_P_021_kW</t>
  </si>
  <si>
    <t>Input Channel 21 Active Power Max value Timestamp</t>
  </si>
  <si>
    <t>MAX_TS_P_021</t>
  </si>
  <si>
    <t>Input Channel 21 Reactive Power Max value</t>
  </si>
  <si>
    <t>MAX_Q_021_kvar</t>
  </si>
  <si>
    <t>Input Channel 21 Reactive Power  Max value Timestamp</t>
  </si>
  <si>
    <t>MAX_TS_Q_021</t>
  </si>
  <si>
    <t>Input Channel 21 Apparent Power  Max value</t>
  </si>
  <si>
    <t>MAX_S_021_kVA</t>
  </si>
  <si>
    <t>Input Channel 21 Apparent Power Max value Timestamp</t>
  </si>
  <si>
    <t>MAX_TS_S_021</t>
  </si>
  <si>
    <t>Input Channel 21  Power Factor Max value</t>
  </si>
  <si>
    <t>MAX_PF_021</t>
  </si>
  <si>
    <t>Input Channel 21  Power Factor Max value Timestamp</t>
  </si>
  <si>
    <t>MAX_TS_PF_021</t>
  </si>
  <si>
    <t>Input Channel 21 Current THD Max value</t>
  </si>
  <si>
    <t>MAX_THD_I_021_%</t>
  </si>
  <si>
    <t>Input Channel 21 Current THD Max value Timestamp</t>
  </si>
  <si>
    <t>MAX_TS_THD_I_021</t>
  </si>
  <si>
    <t>Input Channel 22 Current Max value</t>
  </si>
  <si>
    <t>MAX_I_022_A</t>
  </si>
  <si>
    <t>Input Channel 22 Current Max value Timestamp</t>
  </si>
  <si>
    <t>MAX_TS_I_022</t>
  </si>
  <si>
    <t>Input Channel 22 Active Power Max value</t>
  </si>
  <si>
    <t>MAX_P_022_kW</t>
  </si>
  <si>
    <t>Input Channel 22 Active Power Max value Timestamp</t>
  </si>
  <si>
    <t>MAX_TS_P_022</t>
  </si>
  <si>
    <t>Input Channel 22 Reactive Power Max value</t>
  </si>
  <si>
    <t>MAX_Q_022_kvar</t>
  </si>
  <si>
    <t>Input Channel 22 Reactive Power  Max value Timestamp</t>
  </si>
  <si>
    <t>MAX_TS_Q_022</t>
  </si>
  <si>
    <t>Input Channel 22 Apparent Power  Max value</t>
  </si>
  <si>
    <t>MAX_S_022_kVA</t>
  </si>
  <si>
    <t>Input Channel 22 Apparent Power Max value Timestamp</t>
  </si>
  <si>
    <t>MAX_TS_S_022</t>
  </si>
  <si>
    <t>Input Channel 22  Power Factor Max value</t>
  </si>
  <si>
    <t>MAX_PF_022</t>
  </si>
  <si>
    <t>Input Channel 22  Power Factor Max value Timestamp</t>
  </si>
  <si>
    <t>MAX_TS_PF_022</t>
  </si>
  <si>
    <t>Input Channel 22 Current THD Max value</t>
  </si>
  <si>
    <t>MAX_THD_I_022_%</t>
  </si>
  <si>
    <t>Input Channel 22 Current THD Max value Timestamp</t>
  </si>
  <si>
    <t>MAX_TS_THD_I_022</t>
  </si>
  <si>
    <t>Input Channel 23 Current Max value</t>
  </si>
  <si>
    <t>MAX_I_023_A</t>
  </si>
  <si>
    <t>Input Channel 23 Current Max value Timestamp</t>
  </si>
  <si>
    <t>MAX_TS_I_023</t>
  </si>
  <si>
    <t>Input Channel 23 Active Power Max value</t>
  </si>
  <si>
    <t>MAX_P_023_kW</t>
  </si>
  <si>
    <t>Input Channel 23 Active Power Max value Timestamp</t>
  </si>
  <si>
    <t>MAX_TS_P_023</t>
  </si>
  <si>
    <t>Input Channel 23 Reactive Power Max value</t>
  </si>
  <si>
    <t>MAX_Q_023_kvar</t>
  </si>
  <si>
    <t>Input Channel 23 Reactive Power  Max value Timestamp</t>
  </si>
  <si>
    <t>MAX_TS_Q_023</t>
  </si>
  <si>
    <t>Input Channel 23 Apparent Power  Max value</t>
  </si>
  <si>
    <t>MAX_S_023_kVA</t>
  </si>
  <si>
    <t>Input Channel 23 Apparent Power Max value Timestamp</t>
  </si>
  <si>
    <t>MAX_TS_S_023</t>
  </si>
  <si>
    <t>Input Channel 23  Power Factor Max value</t>
  </si>
  <si>
    <t>MAX_PF_023</t>
  </si>
  <si>
    <t>Input Channel 23  Power Factor Max value Timestamp</t>
  </si>
  <si>
    <t>MAX_TS_PF_023</t>
  </si>
  <si>
    <t>Input Channel 23 Current THD Max value</t>
  </si>
  <si>
    <t>MAX_THD_I_023_%</t>
  </si>
  <si>
    <t>Input Channel 23 Current THD Max value Timestamp</t>
  </si>
  <si>
    <t>MAX_TS_THD_I_023</t>
  </si>
  <si>
    <t>Input Channel 24 Current Max value</t>
  </si>
  <si>
    <t>MAX_I_024_A</t>
  </si>
  <si>
    <t>Input Channel 24 Current Max value Timestamp</t>
  </si>
  <si>
    <t>MAX_TS_I_024</t>
  </si>
  <si>
    <t>Input Channel 24 Active Power Max value</t>
  </si>
  <si>
    <t>MAX_P_024_kW</t>
  </si>
  <si>
    <t>Input Channel 24 Active Power Max value Timestamp</t>
  </si>
  <si>
    <t>MAX_TS_P_024</t>
  </si>
  <si>
    <t>Input Channel 24 Reactive Power Max value</t>
  </si>
  <si>
    <t>MAX_Q_024_kvar</t>
  </si>
  <si>
    <t>Input Channel 24 Reactive Power  Max value Timestamp</t>
  </si>
  <si>
    <t>MAX_TS_Q_024</t>
  </si>
  <si>
    <t>Input Channel 24 Apparent Power  Max value</t>
  </si>
  <si>
    <t>MAX_S_024_kVA</t>
  </si>
  <si>
    <t>Input Channel 24 Apparent Power Max value Timestamp</t>
  </si>
  <si>
    <t>MAX_TS_S_024</t>
  </si>
  <si>
    <t>Input Channel 24  Power Factor Max value</t>
  </si>
  <si>
    <t>MAX_PF_024</t>
  </si>
  <si>
    <t>Input Channel 24  Power Factor Max value Timestamp</t>
  </si>
  <si>
    <t>MAX_TS_PF_024</t>
  </si>
  <si>
    <t>Input Channel 24 Current THD Max value</t>
  </si>
  <si>
    <t>MAX_THD_I_024_%</t>
  </si>
  <si>
    <t>Input Channel 24 Current THD Max value Timestamp</t>
  </si>
  <si>
    <t>MAX_TS_THD_I_024</t>
  </si>
  <si>
    <t>User Channel 1 Current  Max value</t>
  </si>
  <si>
    <t>MAX_I_s001_A</t>
  </si>
  <si>
    <t>User Channel 1 Current  Max value Timestamp</t>
  </si>
  <si>
    <t>MAX_TS_I_s001</t>
  </si>
  <si>
    <t>User Channel 1 Active Power Max value</t>
  </si>
  <si>
    <t>MAX_P_s001_kW</t>
  </si>
  <si>
    <t>User Channel 1 Active Power Max value Timestamp</t>
  </si>
  <si>
    <t>MAX_TS_P_s001</t>
  </si>
  <si>
    <t>User Channel 1 Reactive Power Max value</t>
  </si>
  <si>
    <t>MAX_Q_s001_kvar</t>
  </si>
  <si>
    <t>User Channel 1 Reactive Power Max value Timestamp</t>
  </si>
  <si>
    <t>MAX_TS_Q_s001</t>
  </si>
  <si>
    <t>User Channel 1 Apparent Power Max value</t>
  </si>
  <si>
    <t>MAX_S_s001_kVA</t>
  </si>
  <si>
    <t>User Channel 1 Apparent Power Max value Timestamp</t>
  </si>
  <si>
    <t>MAX_TS_S_s001</t>
  </si>
  <si>
    <t>Max User Channel 1 Power Factor</t>
  </si>
  <si>
    <t>MAX_PF_s001</t>
  </si>
  <si>
    <t>Max User Channel 1 Power Factor Timestamp</t>
  </si>
  <si>
    <t>MAX_TS_PF_s001</t>
  </si>
  <si>
    <t>User Channel 2 Current  Max value</t>
  </si>
  <si>
    <t>MAX_I_s002_A</t>
  </si>
  <si>
    <t>User Channel 2 Current  Max value Timestamp</t>
  </si>
  <si>
    <t>MAX_TS_I_s002</t>
  </si>
  <si>
    <t>User Channel 2 Active Power Max value</t>
  </si>
  <si>
    <t>MAX_P_s002_kW</t>
  </si>
  <si>
    <t>User Channel 2 Active Power Max value Timestamp</t>
  </si>
  <si>
    <t>MAX_TS_P_s002</t>
  </si>
  <si>
    <t>User Channel 2 Reactive Power Max value</t>
  </si>
  <si>
    <t>MAX_Q_s002_kvar</t>
  </si>
  <si>
    <t>User Channel 2 Reactive Power Max value Timestamp</t>
  </si>
  <si>
    <t>MAX_TS_Q_s002</t>
  </si>
  <si>
    <t>User Channel 2 Apparent Power Max value</t>
  </si>
  <si>
    <t>MAX_S_s002_kVA</t>
  </si>
  <si>
    <t>User Channel 2 Apparent Power Max value Timestamp</t>
  </si>
  <si>
    <t>MAX_TS_S_s002</t>
  </si>
  <si>
    <t>Max User Channel 2 Power Factor</t>
  </si>
  <si>
    <t>MAX_PF_s002</t>
  </si>
  <si>
    <t>Max User Channel 2 Power Factor Timestamp</t>
  </si>
  <si>
    <t>MAX_TS_PF_s002</t>
  </si>
  <si>
    <t>User Channel 3 Current  Max value</t>
  </si>
  <si>
    <t>MAX_I_s003_A</t>
  </si>
  <si>
    <t>User Channel 3 Current  Max value Timestamp</t>
  </si>
  <si>
    <t>MAX_TS_I_s003</t>
  </si>
  <si>
    <t>User Channel 3 Active Power Max value</t>
  </si>
  <si>
    <t>MAX_P_s003_kW</t>
  </si>
  <si>
    <t>User Channel 3 Active Power Max value Timestamp</t>
  </si>
  <si>
    <t>MAX_TS_P_s003</t>
  </si>
  <si>
    <t>User Channel 3 Reactive Power Max value</t>
  </si>
  <si>
    <t>MAX_Q_s003_kvar</t>
  </si>
  <si>
    <t>User Channel 3 Reactive Power Max value Timestamp</t>
  </si>
  <si>
    <t>MAX_TS_Q_s003</t>
  </si>
  <si>
    <t>User Channel 3 Apparent Power Max value</t>
  </si>
  <si>
    <t>MAX_S_s003_kVA</t>
  </si>
  <si>
    <t>User Channel 3 Apparent Power Max value Timestamp</t>
  </si>
  <si>
    <t>MAX_TS_S_s003</t>
  </si>
  <si>
    <t>Max User Channel 3 Power Factor</t>
  </si>
  <si>
    <t>MAX_PF_s003</t>
  </si>
  <si>
    <t>Max User Channel 3 Power Factor Timestamp</t>
  </si>
  <si>
    <t>MAX_TS_PF_s003</t>
  </si>
  <si>
    <t>User Channel 4 Current  Max value</t>
  </si>
  <si>
    <t>MAX_I_s004_A</t>
  </si>
  <si>
    <t>User Channel 4 Current  Max value Timestamp</t>
  </si>
  <si>
    <t>MAX_TS_I_s004</t>
  </si>
  <si>
    <t>User Channel 4 Active Power Max value</t>
  </si>
  <si>
    <t>MAX_P_s004_kW</t>
  </si>
  <si>
    <t>User Channel 4 Active Power Max value Timestamp</t>
  </si>
  <si>
    <t>MAX_TS_P_s004</t>
  </si>
  <si>
    <t>User Channel 4 Reactive Power Max value</t>
  </si>
  <si>
    <t>MAX_Q_s004_kvar</t>
  </si>
  <si>
    <t>User Channel 4 Reactive Power Max value Timestamp</t>
  </si>
  <si>
    <t>MAX_TS_Q_s004</t>
  </si>
  <si>
    <t>User Channel 4 Apparent Power Max value</t>
  </si>
  <si>
    <t>MAX_S_s004_kVA</t>
  </si>
  <si>
    <t>User Channel 4 Apparent Power Max value Timestamp</t>
  </si>
  <si>
    <t>MAX_TS_S_s004</t>
  </si>
  <si>
    <t>Max User Channel 4 Power Factor</t>
  </si>
  <si>
    <t>MAX_PF_s004</t>
  </si>
  <si>
    <t>Max User Channel 4 Power Factor Timestamp</t>
  </si>
  <si>
    <t>MAX_TS_PF_s004</t>
  </si>
  <si>
    <t>User Channel 5 Current  Max value</t>
  </si>
  <si>
    <t>MAX_I_s005_A</t>
  </si>
  <si>
    <t>User Channel 5 Current  Max value Timestamp</t>
  </si>
  <si>
    <t>MAX_TS_I_s005</t>
  </si>
  <si>
    <t>User Channel 5 Active Power Max value</t>
  </si>
  <si>
    <t>MAX_P_s005_kW</t>
  </si>
  <si>
    <t>User Channel 5 Active Power Max value Timestamp</t>
  </si>
  <si>
    <t>MAX_TS_P_s005</t>
  </si>
  <si>
    <t>User Channel 5 Reactive Power Max value</t>
  </si>
  <si>
    <t>MAX_Q_s005_kvar</t>
  </si>
  <si>
    <t>User Channel 5 Reactive Power Max value Timestamp</t>
  </si>
  <si>
    <t>MAX_TS_Q_s005</t>
  </si>
  <si>
    <t>User Channel 5 Apparent Power Max value</t>
  </si>
  <si>
    <t>MAX_S_s005_kVA</t>
  </si>
  <si>
    <t>User Channel 5 Apparent Power Max value Timestamp</t>
  </si>
  <si>
    <t>MAX_TS_S_s005</t>
  </si>
  <si>
    <t>Max User Channel 5 Power Factor</t>
  </si>
  <si>
    <t>MAX_PF_s005</t>
  </si>
  <si>
    <t>Max User Channel 5 Power Factor Timestamp</t>
  </si>
  <si>
    <t>MAX_TS_PF_s005</t>
  </si>
  <si>
    <t>User Channel 6 Current  Max value</t>
  </si>
  <si>
    <t>MAX_I_s006_A</t>
  </si>
  <si>
    <t>User Channel 6 Current  Max value Timestamp</t>
  </si>
  <si>
    <t>MAX_TS_I_s006</t>
  </si>
  <si>
    <t>User Channel 6 Active Power Max value</t>
  </si>
  <si>
    <t>MAX_P_s006_kW</t>
  </si>
  <si>
    <t>User Channel 6 Active Power Max value Timestamp</t>
  </si>
  <si>
    <t>MAX_TS_P_s006</t>
  </si>
  <si>
    <t>User Channel 6 Reactive Power Max value</t>
  </si>
  <si>
    <t>MAX_Q_s006_kvar</t>
  </si>
  <si>
    <t>User Channel 6 Reactive Power Max value Timestamp</t>
  </si>
  <si>
    <t>MAX_TS_Q_s006</t>
  </si>
  <si>
    <t>User Channel 6 Apparent Power Max value</t>
  </si>
  <si>
    <t>MAX_S_s006_kVA</t>
  </si>
  <si>
    <t>User Channel 6 Apparent Power Max value Timestamp</t>
  </si>
  <si>
    <t>MAX_TS_S_s006</t>
  </si>
  <si>
    <t>Max User Channel 6 Power Factor</t>
  </si>
  <si>
    <t>MAX_PF_s006</t>
  </si>
  <si>
    <t>Max User Channel 6 Power Factor Timestamp</t>
  </si>
  <si>
    <t>MAX_TS_PF_s006</t>
  </si>
  <si>
    <t>User Channel 7 Current  Max value</t>
  </si>
  <si>
    <t>MAX_I_s007_A</t>
  </si>
  <si>
    <t>User Channel 7 Current  Max value Timestamp</t>
  </si>
  <si>
    <t>MAX_TS_I_s007</t>
  </si>
  <si>
    <t>User Channel 7 Active Power Max value</t>
  </si>
  <si>
    <t>MAX_P_s007_kW</t>
  </si>
  <si>
    <t>User Channel 7 Active Power Max value Timestamp</t>
  </si>
  <si>
    <t>MAX_TS_P_s007</t>
  </si>
  <si>
    <t>User Channel 7 Reactive Power Max value</t>
  </si>
  <si>
    <t>MAX_Q_s007_kvar</t>
  </si>
  <si>
    <t>User Channel 7 Reactive Power Max value Timestamp</t>
  </si>
  <si>
    <t>MAX_TS_Q_s007</t>
  </si>
  <si>
    <t>User Channel 7 Apparent Power Max value</t>
  </si>
  <si>
    <t>MAX_S_s007_kVA</t>
  </si>
  <si>
    <t>User Channel 7 Apparent Power Max value Timestamp</t>
  </si>
  <si>
    <t>MAX_TS_S_s007</t>
  </si>
  <si>
    <t>Max User Channel 7 Power Factor</t>
  </si>
  <si>
    <t>MAX_PF_s007</t>
  </si>
  <si>
    <t>Max User Channel 7 Power Factor Timestamp</t>
  </si>
  <si>
    <t>MAX_TS_PF_s007</t>
  </si>
  <si>
    <t>User Channel 8 Current  Max value</t>
  </si>
  <si>
    <t>MAX_I_s008_A</t>
  </si>
  <si>
    <t>User Channel 8 Current  Max value Timestamp</t>
  </si>
  <si>
    <t>MAX_TS_I_s008</t>
  </si>
  <si>
    <t>User Channel 8 Active Power Max value</t>
  </si>
  <si>
    <t>MAX_P_s008_kW</t>
  </si>
  <si>
    <t>User Channel 8 Active Power Max value Timestamp</t>
  </si>
  <si>
    <t>MAX_TS_P_s008</t>
  </si>
  <si>
    <t>User Channel 8 Reactive Power Max value</t>
  </si>
  <si>
    <t>MAX_Q_s008_kvar</t>
  </si>
  <si>
    <t>User Channel 8 Reactive Power Max value Timestamp</t>
  </si>
  <si>
    <t>MAX_TS_Q_s008</t>
  </si>
  <si>
    <t>User Channel 8 Apparent Power Max value</t>
  </si>
  <si>
    <t>MAX_S_s008_kVA</t>
  </si>
  <si>
    <t>User Channel 8 Apparent Power Max value Timestamp</t>
  </si>
  <si>
    <t>MAX_TS_S_s008</t>
  </si>
  <si>
    <t>Max User Channel 8 Power Factor</t>
  </si>
  <si>
    <t>MAX_PF_s008</t>
  </si>
  <si>
    <t>Max User Channel 8 Power Factor Timestamp</t>
  </si>
  <si>
    <t>MAX_TS_PF_s008</t>
  </si>
  <si>
    <t>User Channel 9 Current  Max value</t>
  </si>
  <si>
    <t>MAX_I_s009_A</t>
  </si>
  <si>
    <t>User Channel 9 Current  Max value Timestamp</t>
  </si>
  <si>
    <t>MAX_TS_I_s009</t>
  </si>
  <si>
    <t>User Channel 9 Active Power Max value</t>
  </si>
  <si>
    <t>MAX_P_s009_kW</t>
  </si>
  <si>
    <t>User Channel 9 Active Power Max value Timestamp</t>
  </si>
  <si>
    <t>MAX_TS_P_s009</t>
  </si>
  <si>
    <t>User Channel 9 Reactive Power Max value</t>
  </si>
  <si>
    <t>MAX_Q_s009_kvar</t>
  </si>
  <si>
    <t>User Channel 9 Reactive Power Max value Timestamp</t>
  </si>
  <si>
    <t>MAX_TS_Q_s009</t>
  </si>
  <si>
    <t>User Channel 9 Apparent Power Max value</t>
  </si>
  <si>
    <t>MAX_S_s009_kVA</t>
  </si>
  <si>
    <t>User Channel 9 Apparent Power Max value Timestamp</t>
  </si>
  <si>
    <t>MAX_TS_S_s009</t>
  </si>
  <si>
    <t>Max User Channel 9 Power Factor</t>
  </si>
  <si>
    <t>MAX_PF_s009</t>
  </si>
  <si>
    <t>Max User Channel 9 Power Factor Timestamp</t>
  </si>
  <si>
    <t>MAX_TS_PF_s009</t>
  </si>
  <si>
    <t>User Channel 10 Current  Max value</t>
  </si>
  <si>
    <t>MAX_I_s010_A</t>
  </si>
  <si>
    <t>User Channel 10 Current  Max value Timestamp</t>
  </si>
  <si>
    <t>MAX_TS_I_s010</t>
  </si>
  <si>
    <t>User Channel 10 Active Power Max value</t>
  </si>
  <si>
    <t>MAX_P_s010_kW</t>
  </si>
  <si>
    <t>User Channel 10 Active Power Max value Timestamp</t>
  </si>
  <si>
    <t>MAX_TS_P_s010</t>
  </si>
  <si>
    <t>User Channel 10 Reactive Power Max value</t>
  </si>
  <si>
    <t>MAX_Q_s010_kvar</t>
  </si>
  <si>
    <t>User Channel 10 Reactive Power Max value Timestamp</t>
  </si>
  <si>
    <t>MAX_TS_Q_s010</t>
  </si>
  <si>
    <t>User Channel 10 Apparent Power Max value</t>
  </si>
  <si>
    <t>MAX_S_s010_kVA</t>
  </si>
  <si>
    <t>User Channel 10 Apparent Power Max value Timestamp</t>
  </si>
  <si>
    <t>MAX_TS_S_s010</t>
  </si>
  <si>
    <t>Max User Channel 10 Power Factor</t>
  </si>
  <si>
    <t>MAX_PF_s010</t>
  </si>
  <si>
    <t>Max User Channel 10 Power Factor Timestamp</t>
  </si>
  <si>
    <t>MAX_TS_PF_s010</t>
  </si>
  <si>
    <t>User Channel 11 Current  Max value</t>
  </si>
  <si>
    <t>MAX_I_s011_A</t>
  </si>
  <si>
    <t>User Channel 11 Current  Max value Timestamp</t>
  </si>
  <si>
    <t>MAX_TS_I_s011</t>
  </si>
  <si>
    <t>User Channel 11 Active Power Max value</t>
  </si>
  <si>
    <t>MAX_P_s011_kW</t>
  </si>
  <si>
    <t>User Channel 11 Active Power Max value Timestamp</t>
  </si>
  <si>
    <t>MAX_TS_P_s011</t>
  </si>
  <si>
    <t>User Channel 11 Reactive Power Max value</t>
  </si>
  <si>
    <t>MAX_Q_s011_kvar</t>
  </si>
  <si>
    <t>User Channel 11 Reactive Power Max value Timestamp</t>
  </si>
  <si>
    <t>MAX_TS_Q_s011</t>
  </si>
  <si>
    <t>User Channel 11 Apparent Power Max value</t>
  </si>
  <si>
    <t>MAX_S_s011_kVA</t>
  </si>
  <si>
    <t>User Channel 11 Apparent Power Max value Timestamp</t>
  </si>
  <si>
    <t>MAX_TS_S_s011</t>
  </si>
  <si>
    <t>Max User Channel 11 Power Factor</t>
  </si>
  <si>
    <t>MAX_PF_s011</t>
  </si>
  <si>
    <t>Max User Channel 11 Power Factor Timestamp</t>
  </si>
  <si>
    <t>MAX_TS_PF_s011</t>
  </si>
  <si>
    <t>User Channel 12 Current  Max value</t>
  </si>
  <si>
    <t>MAX_I_s012_A</t>
  </si>
  <si>
    <t>User Channel 12 Current  Max value Timestamp</t>
  </si>
  <si>
    <t>MAX_TS_I_s012</t>
  </si>
  <si>
    <t>User Channel 12 Active Power Max value</t>
  </si>
  <si>
    <t>MAX_P_s012_kW</t>
  </si>
  <si>
    <t>User Channel 12 Active Power Max value Timestamp</t>
  </si>
  <si>
    <t>MAX_TS_P_s012</t>
  </si>
  <si>
    <t>User Channel 12 Reactive Power Max value</t>
  </si>
  <si>
    <t>MAX_Q_s012_kvar</t>
  </si>
  <si>
    <t>User Channel 12 Reactive Power Max value Timestamp</t>
  </si>
  <si>
    <t>MAX_TS_Q_s012</t>
  </si>
  <si>
    <t>User Channel 12 Apparent Power Max value</t>
  </si>
  <si>
    <t>MAX_S_s012_kVA</t>
  </si>
  <si>
    <t>User Channel 12 Apparent Power Max value Timestamp</t>
  </si>
  <si>
    <t>MAX_TS_S_s012</t>
  </si>
  <si>
    <t>Max User Channel 12 Power Factor</t>
  </si>
  <si>
    <t>MAX_PF_s012</t>
  </si>
  <si>
    <t>Max User Channel 12 Power Factor Timestamp</t>
  </si>
  <si>
    <t>MAX_TS_PF_s012</t>
  </si>
  <si>
    <t>System Frequency Min value</t>
  </si>
  <si>
    <t>MIN_FREQ_Hz</t>
  </si>
  <si>
    <t>System Frequency Min value Timestamp</t>
  </si>
  <si>
    <t>MIN_TS_FREQ</t>
  </si>
  <si>
    <t>Phase A Line-to-Neutral Voltage Min value</t>
  </si>
  <si>
    <t>MIN_VLN_a_V</t>
  </si>
  <si>
    <t>Phase A Line-to-Neutral Voltage Min value Timestamp</t>
  </si>
  <si>
    <t>MIN_VLNTS_a</t>
  </si>
  <si>
    <t>Phase B Line-to-Neutral Voltage Min value</t>
  </si>
  <si>
    <t>MIN_VLN_b_V</t>
  </si>
  <si>
    <t>Phase B Line-to-Neutral Voltage Min value Timestamp</t>
  </si>
  <si>
    <t>MIN_VLNTS_b</t>
  </si>
  <si>
    <t>Phase C Line-to-Neutral Voltage Min value</t>
  </si>
  <si>
    <t>MIN_VLN_c_V</t>
  </si>
  <si>
    <t>Phase C Line-to-Neutral Voltage Min value Timestamp</t>
  </si>
  <si>
    <t>MIN_VLNTS_c</t>
  </si>
  <si>
    <t>Phase AB Line-to-Line Voltage Min value</t>
  </si>
  <si>
    <t>MIN_VLL_ab_V</t>
  </si>
  <si>
    <t>Phase AB Line-to-Line Voltage Min value Timestamp</t>
  </si>
  <si>
    <t>MIN_VLLTS_ab_V</t>
  </si>
  <si>
    <t>Phase BC Line-to-Line Voltage Min value</t>
  </si>
  <si>
    <t>MIN_VLL_bc_V</t>
  </si>
  <si>
    <t>Phase BC Line-to-Line Voltage Min value Timestamp</t>
  </si>
  <si>
    <t>MIN_VLLTS_bc_V</t>
  </si>
  <si>
    <t>Phase CA Line-to-Line Voltage Min value</t>
  </si>
  <si>
    <t>MIN_VLL_ca_V</t>
  </si>
  <si>
    <t>Phase CA Line-to-Line Voltage Min value Timestamp</t>
  </si>
  <si>
    <t>MIN_VLLTS_ca_V</t>
  </si>
  <si>
    <t>Phase A Current Min value</t>
  </si>
  <si>
    <t>MIN_I_a_A</t>
  </si>
  <si>
    <t>Phase A Current Min value Timestamp</t>
  </si>
  <si>
    <t>MIN_TS_I_a_A</t>
  </si>
  <si>
    <t>Phase A Active Power Min value</t>
  </si>
  <si>
    <t>MIN_P_a_kW</t>
  </si>
  <si>
    <t>Phase A Active Power Min value Timestamp</t>
  </si>
  <si>
    <t>MIN_TS_P_a</t>
  </si>
  <si>
    <t>Phase A Reactive Power Min value</t>
  </si>
  <si>
    <t>MIN_Q_a_kvar</t>
  </si>
  <si>
    <t>Phase A Reactive Power Min value Timestamp</t>
  </si>
  <si>
    <t>MIN_TS_Q_a</t>
  </si>
  <si>
    <t>Phase A Apparent Power Min value</t>
  </si>
  <si>
    <t>MIN_S_a_kVA</t>
  </si>
  <si>
    <t>Phase A Apparent Power Min value Timestamp</t>
  </si>
  <si>
    <t>MIN_TS_S_a</t>
  </si>
  <si>
    <t>Phase A Power Factor Min value</t>
  </si>
  <si>
    <t>MIN_PF_a</t>
  </si>
  <si>
    <t>Phase A Power Factor Min value  Timestamp</t>
  </si>
  <si>
    <t>MIN_TS_PF_a</t>
  </si>
  <si>
    <t>Phase A Voltage THD Min value</t>
  </si>
  <si>
    <t>MIN_THD_V_a_%</t>
  </si>
  <si>
    <t>Phase A Voltage THD Min value Timestamp</t>
  </si>
  <si>
    <t>MIN_TS_THD_V_a</t>
  </si>
  <si>
    <t>Phase B Current Min value</t>
  </si>
  <si>
    <t>MIN_I_b_A</t>
  </si>
  <si>
    <t>Phase B Current Min value Timestamp</t>
  </si>
  <si>
    <t>MIN_TS_I_b_A</t>
  </si>
  <si>
    <t>Phase B Active Power Min value</t>
  </si>
  <si>
    <t>MIN_P_b_kW</t>
  </si>
  <si>
    <t>Phase B Active Power Min value Timestamp</t>
  </si>
  <si>
    <t>MIN_TS_P_b</t>
  </si>
  <si>
    <t>Phase B Reactive Power Min value</t>
  </si>
  <si>
    <t>MIN_Q_b_kvar</t>
  </si>
  <si>
    <t>Phase B Reactive Power Min value Timestamp</t>
  </si>
  <si>
    <t>MIN_TS_Q_b</t>
  </si>
  <si>
    <t>Phase B Apparent Power Min value</t>
  </si>
  <si>
    <t>MIN_S_b_kVA</t>
  </si>
  <si>
    <t>Phase B Apparent Power Min value Timestamp</t>
  </si>
  <si>
    <t>MIN_TS_S_b</t>
  </si>
  <si>
    <t>Phase B Power Factor Min value</t>
  </si>
  <si>
    <t>MIN_PF_b</t>
  </si>
  <si>
    <t>Phase B Power Factor Min value  Timestamp</t>
  </si>
  <si>
    <t>MIN_TS_PF_b</t>
  </si>
  <si>
    <t>Phase B Voltage THD Min value</t>
  </si>
  <si>
    <t>MIN_THD_V_b_%</t>
  </si>
  <si>
    <t>Phase B Voltage THD Min value Timestamp</t>
  </si>
  <si>
    <t>MIN_TS_THD_V_b</t>
  </si>
  <si>
    <t>Phase C Current Min value</t>
  </si>
  <si>
    <t>MIN_I_c_A</t>
  </si>
  <si>
    <t>Phase C Current Min value Timestamp</t>
  </si>
  <si>
    <t>MIN_TS_I_c_A</t>
  </si>
  <si>
    <t>Phase C Active Power Min value</t>
  </si>
  <si>
    <t>MIN_P_c_kW</t>
  </si>
  <si>
    <t>Phase C Active Power Min value Timestamp</t>
  </si>
  <si>
    <t>MIN_TS_P_c</t>
  </si>
  <si>
    <t>Phase C Reactive Power Min value</t>
  </si>
  <si>
    <t>MIN_Q_c_kvar</t>
  </si>
  <si>
    <t>Phase C Reactive Power Min value Timestamp</t>
  </si>
  <si>
    <t>MIN_TS_Q_c</t>
  </si>
  <si>
    <t>Phase C Apparent Power Min value</t>
  </si>
  <si>
    <t>MIN_S_c_kVA</t>
  </si>
  <si>
    <t>Phase C Apparent Power Min value Timestamp</t>
  </si>
  <si>
    <t>MIN_TS_S_c</t>
  </si>
  <si>
    <t>Phase C Power Factor Min value</t>
  </si>
  <si>
    <t>MIN_PF_c</t>
  </si>
  <si>
    <t>Phase C Power Factor Min value  Timestamp</t>
  </si>
  <si>
    <t>MIN_TS_PF_c</t>
  </si>
  <si>
    <t>Phase C Voltage THD Min value</t>
  </si>
  <si>
    <t>MIN_THD_V_c_%</t>
  </si>
  <si>
    <t>Phase C Voltage THD Min value Timestamp</t>
  </si>
  <si>
    <t>MIN_TS_THD_V_c</t>
  </si>
  <si>
    <t>Voltage Unbalance Factor Magnitude Min value</t>
  </si>
  <si>
    <t>MIN_UNBL_V_%</t>
  </si>
  <si>
    <t>Voltage Unbalance Factor Magnitude Min value Timestamp</t>
  </si>
  <si>
    <t>MIN_UNBLTS_V_%</t>
  </si>
  <si>
    <t>Input Channel 1 Current Min value</t>
  </si>
  <si>
    <t>MIN_I_001_A</t>
  </si>
  <si>
    <t>Input Channel 1 Current Min value Timestamp</t>
  </si>
  <si>
    <t>MIN_TS_I_001</t>
  </si>
  <si>
    <t>Input Channel 1 Active Power Min value</t>
  </si>
  <si>
    <t>MIN_P_001_kW</t>
  </si>
  <si>
    <t>Input Channel 1 Active Power Min value Timestamp</t>
  </si>
  <si>
    <t>MIN_TS_P_001</t>
  </si>
  <si>
    <t>Input Channel 1 Reactive Power Min value</t>
  </si>
  <si>
    <t>MIN_Q_001_kvar</t>
  </si>
  <si>
    <t>Input Channel 1 Reactive Power  Min value Timestamp</t>
  </si>
  <si>
    <t>MIN_TS_Q_001</t>
  </si>
  <si>
    <t>Input Channel 1 Apparent Power  Min value</t>
  </si>
  <si>
    <t>MIN_S_001_kVA</t>
  </si>
  <si>
    <t>Input Channel 1 Apparent Power Min value Timestamp</t>
  </si>
  <si>
    <t>MIN_TS_S_001</t>
  </si>
  <si>
    <t>Input Channel 1 Power Factor Min value</t>
  </si>
  <si>
    <t>MIN_PF_001</t>
  </si>
  <si>
    <t>Input Channel 1 Power Factor Min value Timestamp</t>
  </si>
  <si>
    <t>MIN_TS_PF_001</t>
  </si>
  <si>
    <t>Input Channel 1 Current THD Min value</t>
  </si>
  <si>
    <t>MIN_THD_I_001_%</t>
  </si>
  <si>
    <t>Input Channel 1 Current THD Min value Timestamp</t>
  </si>
  <si>
    <t>MIN_TS_THD_I_001</t>
  </si>
  <si>
    <t>Input Channel 2 Current Min value</t>
  </si>
  <si>
    <t>MIN_I_002_A</t>
  </si>
  <si>
    <t>Input Channel 2 Current Min value Timestamp</t>
  </si>
  <si>
    <t>MIN_TS_I_002</t>
  </si>
  <si>
    <t>Input Channel 2 Active Power Min value</t>
  </si>
  <si>
    <t>MIN_P_002_kW</t>
  </si>
  <si>
    <t>Input Channel 2 Active Power Min value Timestamp</t>
  </si>
  <si>
    <t>MIN_TS_P_002</t>
  </si>
  <si>
    <t>Input Channel 2 Reactive Power Min value</t>
  </si>
  <si>
    <t>MIN_Q_002_kvar</t>
  </si>
  <si>
    <t>Input Channel 2 Reactive Power  Min value Timestamp</t>
  </si>
  <si>
    <t>MIN_TS_Q_002</t>
  </si>
  <si>
    <t>Input Channel 2 Apparent Power  Min value</t>
  </si>
  <si>
    <t>MIN_S_002_kVA</t>
  </si>
  <si>
    <t>Input Channel 2 Apparent Power Min value Timestamp</t>
  </si>
  <si>
    <t>MIN_TS_S_002</t>
  </si>
  <si>
    <t>Input Channel 2 Power Factor Min value</t>
  </si>
  <si>
    <t>MIN_PF_002</t>
  </si>
  <si>
    <t>Input Channel 2 Power Factor Min value Timestamp</t>
  </si>
  <si>
    <t>MIN_TS_PF_002</t>
  </si>
  <si>
    <t>Input Channel 2 Current THD Min value</t>
  </si>
  <si>
    <t>MIN_THD_I_002_%</t>
  </si>
  <si>
    <t>Input Channel 2 Current THD Min value Timestamp</t>
  </si>
  <si>
    <t>MIN_TS_THD_I_002</t>
  </si>
  <si>
    <t>Input Channel 3 Current Min value</t>
  </si>
  <si>
    <t>MIN_I_003_A</t>
  </si>
  <si>
    <t>Input Channel 3 Current Min value Timestamp</t>
  </si>
  <si>
    <t>MIN_TS_I_003</t>
  </si>
  <si>
    <t>Input Channel 3 Active Power Min value</t>
  </si>
  <si>
    <t>MIN_P_003_kW</t>
  </si>
  <si>
    <t>Input Channel 3 Active Power Min value Timestamp</t>
  </si>
  <si>
    <t>MIN_TS_P_003</t>
  </si>
  <si>
    <t>Input Channel 3 Reactive Power Min value</t>
  </si>
  <si>
    <t>MIN_Q_003_kvar</t>
  </si>
  <si>
    <t>Input Channel 3 Reactive Power  Min value Timestamp</t>
  </si>
  <si>
    <t>MIN_TS_Q_003</t>
  </si>
  <si>
    <t>Input Channel 3 Apparent Power  Min value</t>
  </si>
  <si>
    <t>MIN_S_003_kVA</t>
  </si>
  <si>
    <t>Input Channel 3 Apparent Power Min value Timestamp</t>
  </si>
  <si>
    <t>MIN_TS_S_003</t>
  </si>
  <si>
    <t>Input Channel 3 Power Factor Min value</t>
  </si>
  <si>
    <t>MIN_PF_003</t>
  </si>
  <si>
    <t>Input Channel 3 Power Factor Min value Timestamp</t>
  </si>
  <si>
    <t>MIN_TS_PF_003</t>
  </si>
  <si>
    <t>Input Channel 3 Current THD Min value</t>
  </si>
  <si>
    <t>MIN_THD_I_003_%</t>
  </si>
  <si>
    <t>Input Channel 3 Current THD Min value Timestamp</t>
  </si>
  <si>
    <t>MIN_TS_THD_I_003</t>
  </si>
  <si>
    <t>Input Channel 4 Current Min value</t>
  </si>
  <si>
    <t>MIN_I_004_A</t>
  </si>
  <si>
    <t>Input Channel 4 Current Min value Timestamp</t>
  </si>
  <si>
    <t>MIN_TS_I_004</t>
  </si>
  <si>
    <t>Input Channel 4 Active Power Min value</t>
  </si>
  <si>
    <t>MIN_P_004_kW</t>
  </si>
  <si>
    <t>Input Channel 4 Active Power Min value Timestamp</t>
  </si>
  <si>
    <t>MIN_TS_P_004</t>
  </si>
  <si>
    <t>Input Channel 4 Reactive Power Min value</t>
  </si>
  <si>
    <t>MIN_Q_004_kvar</t>
  </si>
  <si>
    <t>Input Channel 4 Reactive Power  Min value Timestamp</t>
  </si>
  <si>
    <t>MIN_TS_Q_004</t>
  </si>
  <si>
    <t>Input Channel 4 Apparent Power  Min value</t>
  </si>
  <si>
    <t>MIN_S_004_kVA</t>
  </si>
  <si>
    <t>Input Channel 4 Apparent Power Min value Timestamp</t>
  </si>
  <si>
    <t>MIN_TS_S_004</t>
  </si>
  <si>
    <t>Input Channel 4 Power Factor Min value</t>
  </si>
  <si>
    <t>MIN_PF_004</t>
  </si>
  <si>
    <t>Input Channel 4 Power Factor Min value Timestamp</t>
  </si>
  <si>
    <t>MIN_TS_PF_004</t>
  </si>
  <si>
    <t>Input Channel 4 Current THD Min value</t>
  </si>
  <si>
    <t>MIN_THD_I_004_%</t>
  </si>
  <si>
    <t>Input Channel 4 Current THD Min value Timestamp</t>
  </si>
  <si>
    <t>MIN_TS_THD_I_004</t>
  </si>
  <si>
    <t>Input Channel 5 Current Min value</t>
  </si>
  <si>
    <t>MIN_I_005_A</t>
  </si>
  <si>
    <t>Input Channel 5 Current Min value Timestamp</t>
  </si>
  <si>
    <t>MIN_TS_I_005</t>
  </si>
  <si>
    <t>Input Channel 5 Active Power Min value</t>
  </si>
  <si>
    <t>MIN_P_005_kW</t>
  </si>
  <si>
    <t>Input Channel 5 Active Power Min value Timestamp</t>
  </si>
  <si>
    <t>MIN_TS_P_005</t>
  </si>
  <si>
    <t>Input Channel 5 Reactive Power Min value</t>
  </si>
  <si>
    <t>MIN_Q_005_kvar</t>
  </si>
  <si>
    <t>Input Channel 5 Reactive Power  Min value Timestamp</t>
  </si>
  <si>
    <t>MIN_TS_Q_005</t>
  </si>
  <si>
    <t>Input Channel 5 Apparent Power  Min value</t>
  </si>
  <si>
    <t>MIN_S_005_kVA</t>
  </si>
  <si>
    <t>Input Channel 5 Apparent Power Min value Timestamp</t>
  </si>
  <si>
    <t>MIN_TS_S_005</t>
  </si>
  <si>
    <t>Input Channel 5 Power Factor Min value</t>
  </si>
  <si>
    <t>MIN_PF_005</t>
  </si>
  <si>
    <t>Input Channel 5 Power Factor Min value Timestamp</t>
  </si>
  <si>
    <t>MIN_TS_PF_005</t>
  </si>
  <si>
    <t>Input Channel 5 Current THD Min value</t>
  </si>
  <si>
    <t>MIN_THD_I_005_%</t>
  </si>
  <si>
    <t>Input Channel 5 Current THD Min value Timestamp</t>
  </si>
  <si>
    <t>MIN_TS_THD_I_005</t>
  </si>
  <si>
    <t>Input Channel 6 Current Min value</t>
  </si>
  <si>
    <t>MIN_I_006_A</t>
  </si>
  <si>
    <t>Input Channel 6 Current Min value Timestamp</t>
  </si>
  <si>
    <t>MIN_TS_I_006</t>
  </si>
  <si>
    <t>Input Channel 6 Active Power Min value</t>
  </si>
  <si>
    <t>MIN_P_006_kW</t>
  </si>
  <si>
    <t>Input Channel 6 Active Power Min value Timestamp</t>
  </si>
  <si>
    <t>MIN_TS_P_006</t>
  </si>
  <si>
    <t>Input Channel 6 Reactive Power Min value</t>
  </si>
  <si>
    <t>MIN_Q_006_kvar</t>
  </si>
  <si>
    <t>Input Channel 6 Reactive Power  Min value Timestamp</t>
  </si>
  <si>
    <t>MIN_TS_Q_006</t>
  </si>
  <si>
    <t>Input Channel 6 Apparent Power  Min value</t>
  </si>
  <si>
    <t>MIN_S_006_kVA</t>
  </si>
  <si>
    <t>Input Channel 6 Apparent Power Min value Timestamp</t>
  </si>
  <si>
    <t>MIN_TS_S_006</t>
  </si>
  <si>
    <t>Input Channel 6 Power Factor Min value</t>
  </si>
  <si>
    <t>MIN_PF_006</t>
  </si>
  <si>
    <t>Input Channel 6 Power Factor Min value Timestamp</t>
  </si>
  <si>
    <t>MIN_TS_PF_006</t>
  </si>
  <si>
    <t>Input Channel 6 Current THD Min value</t>
  </si>
  <si>
    <t>MIN_THD_I_006_%</t>
  </si>
  <si>
    <t>Input Channel 6 Current THD Min value Timestamp</t>
  </si>
  <si>
    <t>MIN_TS_THD_I_006</t>
  </si>
  <si>
    <t>Input Channel 7 Current Min value</t>
  </si>
  <si>
    <t>MIN_I_007_A</t>
  </si>
  <si>
    <t>Input Channel 7 Current Min value Timestamp</t>
  </si>
  <si>
    <t>MIN_TS_I_007</t>
  </si>
  <si>
    <t>Input Channel 7 Active Power Min value</t>
  </si>
  <si>
    <t>MIN_P_007_kW</t>
  </si>
  <si>
    <t>Input Channel 7 Active Power Min value Timestamp</t>
  </si>
  <si>
    <t>MIN_TS_P_007</t>
  </si>
  <si>
    <t>Input Channel 7 Reactive Power Min value</t>
  </si>
  <si>
    <t>MIN_Q_007_kvar</t>
  </si>
  <si>
    <t>Input Channel 7 Reactive Power Min value Timestamp</t>
  </si>
  <si>
    <t>MIN_TS_Q_007</t>
  </si>
  <si>
    <t>Input Channel 7 Apparent Power Min value</t>
  </si>
  <si>
    <t>MIN_S_007_kVA</t>
  </si>
  <si>
    <t>Input Channel 7 Apparent Power Min value Timestamp</t>
  </si>
  <si>
    <t>MIN_TS_S_007</t>
  </si>
  <si>
    <t>Input Channel 7 Power Factor Min value</t>
  </si>
  <si>
    <t>MIN_PF_007</t>
  </si>
  <si>
    <t>Input Channel 7 Power Factor Min value Timestamp</t>
  </si>
  <si>
    <t>MIN_TS_PF_007</t>
  </si>
  <si>
    <t>Input Channel 7 Current THD Min value</t>
  </si>
  <si>
    <t>MIN_THD_I_007_%</t>
  </si>
  <si>
    <t>Input Channel 7 Current THD Min value Timestamp</t>
  </si>
  <si>
    <t>MIN_TS_THD_I_007</t>
  </si>
  <si>
    <t>Input Channel 8 Current Min value</t>
  </si>
  <si>
    <t>MIN_I_008_A</t>
  </si>
  <si>
    <t>Input Channel 8 Current Min value Timestamp</t>
  </si>
  <si>
    <t>MIN_TS_I_008</t>
  </si>
  <si>
    <t>Input Channel 8 Active Power Min value</t>
  </si>
  <si>
    <t>MIN_P_008_kW</t>
  </si>
  <si>
    <t>Input Channel 8 Active Power Min value Timestamp</t>
  </si>
  <si>
    <t>MIN_TS_P_008</t>
  </si>
  <si>
    <t>Input Channel 8 Reactive Power Min value</t>
  </si>
  <si>
    <t>MIN_Q_008_kvar</t>
  </si>
  <si>
    <t>Input Channel 8 Reactive Power  Min value Timestamp</t>
  </si>
  <si>
    <t>MIN_TS_Q_008</t>
  </si>
  <si>
    <t>Input Channel 8 Apparent Power  Min value</t>
  </si>
  <si>
    <t>MIN_S_008_kVA</t>
  </si>
  <si>
    <t>Input Channel 8 Apparent Power Min value Timestamp</t>
  </si>
  <si>
    <t>MIN_TS_S_008</t>
  </si>
  <si>
    <t>Input Channel 8 Power Factor Min value</t>
  </si>
  <si>
    <t>MIN_PF_008</t>
  </si>
  <si>
    <t>Input Channel 8 Power Factor Min value Timestamp</t>
  </si>
  <si>
    <t>MIN_TS_PF_008</t>
  </si>
  <si>
    <t>Input Channel 8 Current THD Min value</t>
  </si>
  <si>
    <t>MIN_THD_I_008_%</t>
  </si>
  <si>
    <t>Input Channel 8 Current THD Min value Timestamp</t>
  </si>
  <si>
    <t>MIN_TS_THD_I_008</t>
  </si>
  <si>
    <t>Input Channel 9 Current Min value</t>
  </si>
  <si>
    <t>MIN_I_009_A</t>
  </si>
  <si>
    <t>Input Channel 9 Current Min value Timestamp</t>
  </si>
  <si>
    <t>MIN_TS_I_009</t>
  </si>
  <si>
    <t>Input Channel 9 Active Power Min value</t>
  </si>
  <si>
    <t>MIN_P_009_kW</t>
  </si>
  <si>
    <t>Input Channel 9 Active Power Min value Timestamp</t>
  </si>
  <si>
    <t>MIN_TS_P_009</t>
  </si>
  <si>
    <t>Input Channel 9 Reactive Power Min value</t>
  </si>
  <si>
    <t>MIN_Q_009_kvar</t>
  </si>
  <si>
    <t>Input Channel 9 Reactive Power  Min value Timestamp</t>
  </si>
  <si>
    <t>MIN_TS_Q_009</t>
  </si>
  <si>
    <t>Input Channel 9 Apparent Power  Min value</t>
  </si>
  <si>
    <t>MIN_S_009_kVA</t>
  </si>
  <si>
    <t>Input Channel 9 Apparent Power Min value Timestamp</t>
  </si>
  <si>
    <t>MIN_TS_S_009</t>
  </si>
  <si>
    <t>Input Channel 9 Power Factor Min value</t>
  </si>
  <si>
    <t>MIN_PF_009</t>
  </si>
  <si>
    <t>Input Channel 9 Power Factor Min value Timestamp</t>
  </si>
  <si>
    <t>MIN_TS_PF_009</t>
  </si>
  <si>
    <t>Input Channel 9 Current THD Min value</t>
  </si>
  <si>
    <t>MIN_THD_I_009_%</t>
  </si>
  <si>
    <t>Input Channel 9 Current THD Min value Timestamp</t>
  </si>
  <si>
    <t>MIN_TS_THD_I_009</t>
  </si>
  <si>
    <t>Input Channel 10 Current Min value</t>
  </si>
  <si>
    <t>MIN_I_010_A</t>
  </si>
  <si>
    <t>Input Channel 10 Current Min value Timestamp</t>
  </si>
  <si>
    <t>MIN_TS_I_010</t>
  </si>
  <si>
    <t>Input Channel 10 Active Power Min value</t>
  </si>
  <si>
    <t>MIN_P_010_kW</t>
  </si>
  <si>
    <t>Input Channel 10 Active Power Min value Timestamp</t>
  </si>
  <si>
    <t>MIN_TS_P_010</t>
  </si>
  <si>
    <t>Input Channel 10 Reactive Power Min value</t>
  </si>
  <si>
    <t>MIN_Q_010_kvar</t>
  </si>
  <si>
    <t>Input Channel 10 Reactive Power  Min value Timestamp</t>
  </si>
  <si>
    <t>MIN_TS_Q_010</t>
  </si>
  <si>
    <t>Input Channel 10 Apparent Power  Min value</t>
  </si>
  <si>
    <t>MIN_S_010_kVA</t>
  </si>
  <si>
    <t>Input Channel 10 Apparent Power Min value Timestamp</t>
  </si>
  <si>
    <t>MIN_TS_S_010</t>
  </si>
  <si>
    <t>Input Channel 10 Power Factor Min value</t>
  </si>
  <si>
    <t>MIN_PF_010</t>
  </si>
  <si>
    <t>Input Channel 10 Power Factor Min value Timestamp</t>
  </si>
  <si>
    <t>MIN_TS_PF_010</t>
  </si>
  <si>
    <t>Input Channel 10 Current THD Min value</t>
  </si>
  <si>
    <t>MIN_THD_I_010_%</t>
  </si>
  <si>
    <t>Input Channel 10 Current THD Min value Timestamp</t>
  </si>
  <si>
    <t>MIN_TS_THD_I_010</t>
  </si>
  <si>
    <t>Input Channel 11 Current Min value</t>
  </si>
  <si>
    <t>MIN_I_011_A</t>
  </si>
  <si>
    <t>Input Channel 11 Current Min value Timestamp</t>
  </si>
  <si>
    <t>MIN_TS_I_011</t>
  </si>
  <si>
    <t>Input Channel 11 Active Power Min value</t>
  </si>
  <si>
    <t>MIN_P_011_kW</t>
  </si>
  <si>
    <t>Input Channel 11 Active Power Min value Timestamp</t>
  </si>
  <si>
    <t>MIN_TS_P_011</t>
  </si>
  <si>
    <t>Input Channel 11 Reactive Power Min value</t>
  </si>
  <si>
    <t>MIN_Q_011_kvar</t>
  </si>
  <si>
    <t>Input Channel 11 Reactive Power  Min value Timestamp</t>
  </si>
  <si>
    <t>MIN_TS_Q_011</t>
  </si>
  <si>
    <t>Input Channel 11 Apparent Power  Min value</t>
  </si>
  <si>
    <t>MIN_S_011_kVA</t>
  </si>
  <si>
    <t>Input Channel 11 Apparent Power Min value Timestamp</t>
  </si>
  <si>
    <t>MIN_TS_S_011</t>
  </si>
  <si>
    <t>Input Channel 11 Power Factor Min value</t>
  </si>
  <si>
    <t>MIN_PF_011</t>
  </si>
  <si>
    <t>Input Channel 11 Power Factor Min value Timestamp</t>
  </si>
  <si>
    <t>MIN_TS_PF_011</t>
  </si>
  <si>
    <t>Input Channel 11 Current THD Min value</t>
  </si>
  <si>
    <t>MIN_THD_I_011_%</t>
  </si>
  <si>
    <t>Input Channel 11 Current THD Min value Timestamp</t>
  </si>
  <si>
    <t>MIN_TS_THD_I_011</t>
  </si>
  <si>
    <t>Input Channel 12 Current Min value</t>
  </si>
  <si>
    <t>MIN_I_012_A</t>
  </si>
  <si>
    <t>Input Channel 12 Current Min value Timestamp</t>
  </si>
  <si>
    <t>MIN_TS_I_012</t>
  </si>
  <si>
    <t>Input Channel 12 Active Power Min value</t>
  </si>
  <si>
    <t>MIN_P_012_kW</t>
  </si>
  <si>
    <t>Input Channel 12 Active Power Min value Timestamp</t>
  </si>
  <si>
    <t>MIN_TS_P_012</t>
  </si>
  <si>
    <t>Input Channel 12 Reactive Power Min value</t>
  </si>
  <si>
    <t>MIN_Q_012_kvar</t>
  </si>
  <si>
    <t>Input Channel 12 Reactive Power  Min value Timestamp</t>
  </si>
  <si>
    <t>MIN_TS_Q_012</t>
  </si>
  <si>
    <t>Input Channel 12 Apparent Power  Min value</t>
  </si>
  <si>
    <t>MIN_S_012_kVA</t>
  </si>
  <si>
    <t>Input Channel 12 Apparent Power Min value Timestamp</t>
  </si>
  <si>
    <t>MIN_TS_S_012</t>
  </si>
  <si>
    <t>Input Channel 12 Power Factor Min value</t>
  </si>
  <si>
    <t>MIN_PF_012</t>
  </si>
  <si>
    <t>Input Channel 12 Power Factor Min value Timestamp</t>
  </si>
  <si>
    <t>MIN_TS_PF_012</t>
  </si>
  <si>
    <t>Input Channel 12 Current THD Min value</t>
  </si>
  <si>
    <t>MIN_THD_I_012_%</t>
  </si>
  <si>
    <t>Input Channel 12 Current THD Min value Timestamp</t>
  </si>
  <si>
    <t>MIN_TS_THD_I_012</t>
  </si>
  <si>
    <t>Input Channel 13 Current Min value</t>
  </si>
  <si>
    <t>MIN_I_013_A</t>
  </si>
  <si>
    <t>Input Channel 13 Current Min value Timestamp</t>
  </si>
  <si>
    <t>MIN_TS_I_013</t>
  </si>
  <si>
    <t>Input Channel 13 Active Power Min value</t>
  </si>
  <si>
    <t>MIN_P_013_kW</t>
  </si>
  <si>
    <t>Input Channel 13 Active Power Min value Timestamp</t>
  </si>
  <si>
    <t>MIN_TS_P_013</t>
  </si>
  <si>
    <t>Input Channel 13 Reactive Power Min value</t>
  </si>
  <si>
    <t>MIN_Q_013_kvar</t>
  </si>
  <si>
    <t>Input Channel 13 Reactive Power  Min value Timestamp</t>
  </si>
  <si>
    <t>MIN_TS_Q_013</t>
  </si>
  <si>
    <t>Input Channel 13 Apparent Power  Min value</t>
  </si>
  <si>
    <t>MIN_S_013_kVA</t>
  </si>
  <si>
    <t>Input Channel 13 Apparent Power Min value Timestamp</t>
  </si>
  <si>
    <t>MIN_TS_S_013</t>
  </si>
  <si>
    <t>Input Channel 13 Power Factor Min value</t>
  </si>
  <si>
    <t>MIN_PF_013</t>
  </si>
  <si>
    <t>Input Channel 13 Power Factor Min value Timestamp</t>
  </si>
  <si>
    <t>MIN_TS_PF_013</t>
  </si>
  <si>
    <t>Input Channel 13 Current THD Min value</t>
  </si>
  <si>
    <t>MIN_THD_I_013_%</t>
  </si>
  <si>
    <t>Input Channel 13 Current THD Min value Timestamp</t>
  </si>
  <si>
    <t>MIN_TS_THD_I_013</t>
  </si>
  <si>
    <t>Input Channel 14 Current Min value</t>
  </si>
  <si>
    <t>MIN_I_014_A</t>
  </si>
  <si>
    <t>Input Channel 14 Current Min value Timestamp</t>
  </si>
  <si>
    <t>MIN_TS_I_014</t>
  </si>
  <si>
    <t>Input Channel 14 Active Power Min value</t>
  </si>
  <si>
    <t>MIN_P_014_kW</t>
  </si>
  <si>
    <t>Input Channel 14 Active Power Min value Timestamp</t>
  </si>
  <si>
    <t>MIN_TS_P_014</t>
  </si>
  <si>
    <t>Input Channel 14 Reactive Power Min value</t>
  </si>
  <si>
    <t>MIN_Q_014_kvar</t>
  </si>
  <si>
    <t>Input Channel 14 Reactive Power  Min value Timestamp</t>
  </si>
  <si>
    <t>MIN_TS_Q_014</t>
  </si>
  <si>
    <t>Input Channel 14 Apparent Power  Min value</t>
  </si>
  <si>
    <t>MIN_S_014_kVA</t>
  </si>
  <si>
    <t>Input Channel 14 Apparent Power Min value Timestamp</t>
  </si>
  <si>
    <t>MIN_TS_S_014</t>
  </si>
  <si>
    <t>Input Channel 14 Power Factor Min value</t>
  </si>
  <si>
    <t>MIN_PF_014</t>
  </si>
  <si>
    <t>Input Channel 14 Power Factor Min value Timestamp</t>
  </si>
  <si>
    <t>MIN_TS_PF_014</t>
  </si>
  <si>
    <t>Input Channel 14 Current THD Min value</t>
  </si>
  <si>
    <t>MIN_THD_I_014_%</t>
  </si>
  <si>
    <t>Input Channel 14 Current THD Min value Timestamp</t>
  </si>
  <si>
    <t>MIN_TS_THD_I_014</t>
  </si>
  <si>
    <t>Input Channel 15 Current Min value</t>
  </si>
  <si>
    <t>MIN_I_015_A</t>
  </si>
  <si>
    <t>Input Channel 15 Current Min value Timestamp</t>
  </si>
  <si>
    <t>MIN_TS_I_015</t>
  </si>
  <si>
    <t>Input Channel 15 Active Power Min value</t>
  </si>
  <si>
    <t>MIN_P_015_kW</t>
  </si>
  <si>
    <t>Input Channel 15 Active Power Min value Timestamp</t>
  </si>
  <si>
    <t>MIN_TS_P_015</t>
  </si>
  <si>
    <t>Input Channel 15 Reactive Power Min value</t>
  </si>
  <si>
    <t>MIN_Q_015_kvar</t>
  </si>
  <si>
    <t>Input Channel 15 Reactive Power  Min value Timestamp</t>
  </si>
  <si>
    <t>MIN_TS_Q_015</t>
  </si>
  <si>
    <t>Input Channel 15 Apparent Power  Min value</t>
  </si>
  <si>
    <t>MIN_S_015_kVA</t>
  </si>
  <si>
    <t>Input Channel 15 Apparent Power Min value Timestamp</t>
  </si>
  <si>
    <t>MIN_TS_S_015</t>
  </si>
  <si>
    <t>Input Channel 15 Power Factor Min value</t>
  </si>
  <si>
    <t>MIN_PF_015</t>
  </si>
  <si>
    <t>Input Channel 15 Power Factor Min value Timestamp</t>
  </si>
  <si>
    <t>MIN_TS_PF_015</t>
  </si>
  <si>
    <t>Input Channel 15 Current THD Min value</t>
  </si>
  <si>
    <t>MIN_THD_I_015_%</t>
  </si>
  <si>
    <t>Input Channel 15 Current THD Min value Timestamp</t>
  </si>
  <si>
    <t>MIN_TS_THD_I_015</t>
  </si>
  <si>
    <t>Input Channel 16 Current Min value</t>
  </si>
  <si>
    <t>MIN_I_016_A</t>
  </si>
  <si>
    <t>Input Channel 16 Current Min value Timestamp</t>
  </si>
  <si>
    <t>MIN_TS_I_016</t>
  </si>
  <si>
    <t>Input Channel 16 Active Power Min value</t>
  </si>
  <si>
    <t>MIN_P_016_kW</t>
  </si>
  <si>
    <t>Input Channel 16 Active Power Min value Timestamp</t>
  </si>
  <si>
    <t>MIN_TS_P_016</t>
  </si>
  <si>
    <t>Input Channel 16 Reactive Power Min value</t>
  </si>
  <si>
    <t>MIN_Q_016_kvar</t>
  </si>
  <si>
    <t>Input Channel 16 Reactive Power  Min value Timestamp</t>
  </si>
  <si>
    <t>MIN_TS_Q_016</t>
  </si>
  <si>
    <t>Input Channel 16 Apparent Power  Min value</t>
  </si>
  <si>
    <t>MIN_S_016_kVA</t>
  </si>
  <si>
    <t>Input Channel 16 Apparent Power Min value Timestamp</t>
  </si>
  <si>
    <t>MIN_TS_S_016</t>
  </si>
  <si>
    <t>Input Channel 16 Power Factor Min value</t>
  </si>
  <si>
    <t>MIN_PF_016</t>
  </si>
  <si>
    <t>Input Channel 16 Power Factor Min value Timestamp</t>
  </si>
  <si>
    <t>MIN_TS_PF_016</t>
  </si>
  <si>
    <t>Input Channel 16 Current THD Min value</t>
  </si>
  <si>
    <t>MIN_THD_I_016_%</t>
  </si>
  <si>
    <t>Input Channel 16 Current THD Min value Timestamp</t>
  </si>
  <si>
    <t>MIN_TS_THD_I_016</t>
  </si>
  <si>
    <t>Input Channel 17 Current Min value</t>
  </si>
  <si>
    <t>MIN_I_017_A</t>
  </si>
  <si>
    <t>Input Channel 17 Current Min value Timestamp</t>
  </si>
  <si>
    <t>MIN_TS_I_017</t>
  </si>
  <si>
    <t>Input Channel 17 Active Power Min value</t>
  </si>
  <si>
    <t>MIN_P_017_kW</t>
  </si>
  <si>
    <t>Input Channel 17 Active Power Min value Timestamp</t>
  </si>
  <si>
    <t>MIN_TS_P_017</t>
  </si>
  <si>
    <t>Input Channel 17 Reactive Power Min value</t>
  </si>
  <si>
    <t>MIN_Q_017_kvar</t>
  </si>
  <si>
    <t>Input Channel 17 Reactive Power  Min value Timestamp</t>
  </si>
  <si>
    <t>MIN_TS_Q_017</t>
  </si>
  <si>
    <t>Input Channel 17 Apparent Power  Min value</t>
  </si>
  <si>
    <t>MIN_S_017_kVA</t>
  </si>
  <si>
    <t>Input Channel 17 Apparent Power Min value Timestamp</t>
  </si>
  <si>
    <t>MIN_TS_S_017</t>
  </si>
  <si>
    <t>Input Channel 17 Power Factor Min value</t>
  </si>
  <si>
    <t>MIN_PF_017</t>
  </si>
  <si>
    <t>Input Channel 17 Power Factor Min value Timestamp</t>
  </si>
  <si>
    <t>MIN_TS_PF_017</t>
  </si>
  <si>
    <t>Input Channel 17 Current THD Min value</t>
  </si>
  <si>
    <t>MIN_THD_I_017_%</t>
  </si>
  <si>
    <t>Input Channel 17 Current THD Min value Timestamp</t>
  </si>
  <si>
    <t>MIN_TS_THD_I_017</t>
  </si>
  <si>
    <t>Input Channel 18 Current Min value</t>
  </si>
  <si>
    <t>MIN_I_018_A</t>
  </si>
  <si>
    <t>Input Channel 18 Current Min value Timestamp</t>
  </si>
  <si>
    <t>MIN_TS_I_018</t>
  </si>
  <si>
    <t>Input Channel 18 Active Power Min value</t>
  </si>
  <si>
    <t>MIN_P_018_kW</t>
  </si>
  <si>
    <t>Input Channel 18 Active Power Min value Timestamp</t>
  </si>
  <si>
    <t>MIN_TS_P_018</t>
  </si>
  <si>
    <t>Input Channel 18 Reactive Power Min value</t>
  </si>
  <si>
    <t>MIN_Q_018_kvar</t>
  </si>
  <si>
    <t>Input Channel 18 Reactive Power  Min value Timestamp</t>
  </si>
  <si>
    <t>MIN_TS_Q_018</t>
  </si>
  <si>
    <t>Input Channel 18 Apparent Power  Min value</t>
  </si>
  <si>
    <t>MIN_S_018_kVA</t>
  </si>
  <si>
    <t>Input Channel 18 Apparent Power Min value Timestamp</t>
  </si>
  <si>
    <t>MIN_TS_S_018</t>
  </si>
  <si>
    <t>Input Channel 18 Power Factor Min value</t>
  </si>
  <si>
    <t>MIN_PF_018</t>
  </si>
  <si>
    <t>Input Channel 18 Power Factor Min value Timestamp</t>
  </si>
  <si>
    <t>MIN_TS_PF_018</t>
  </si>
  <si>
    <t>Input Channel 18 Current THD Min value</t>
  </si>
  <si>
    <t>MIN_THD_I_018_%</t>
  </si>
  <si>
    <t>Input Channel 18 Current THD Min value Timestamp</t>
  </si>
  <si>
    <t>MIN_TS_THD_I_018</t>
  </si>
  <si>
    <t>Input Channel 19 Current Min value</t>
  </si>
  <si>
    <t>MIN_I_019_A</t>
  </si>
  <si>
    <t>Input Channel 19 Current Min value Timestamp</t>
  </si>
  <si>
    <t>MIN_TS_I_019</t>
  </si>
  <si>
    <t>Input Channel 19 Active Power Min value</t>
  </si>
  <si>
    <t>MIN_P_019_kW</t>
  </si>
  <si>
    <t>Input Channel 19 Active Power Min value Timestamp</t>
  </si>
  <si>
    <t>MIN_TS_P_019</t>
  </si>
  <si>
    <t>Input Channel 19 Reactive Power Min value</t>
  </si>
  <si>
    <t>MIN_Q_019_kvar</t>
  </si>
  <si>
    <t>Input Channel 19 Reactive Power  Min value Timestamp</t>
  </si>
  <si>
    <t>MIN_TS_Q_019</t>
  </si>
  <si>
    <t>Input Channel 19 Apparent Power  Min value</t>
  </si>
  <si>
    <t>MIN_S_019_kVA</t>
  </si>
  <si>
    <t>Input Channel 19 Apparent Power Min value Timestamp</t>
  </si>
  <si>
    <t>MIN_TS_S_019</t>
  </si>
  <si>
    <t>Input Channel 19 Power Factor Min value</t>
  </si>
  <si>
    <t>MIN_PF_019</t>
  </si>
  <si>
    <t>Input Channel 19 Power Factor Min value Timestamp</t>
  </si>
  <si>
    <t>MIN_TS_PF_019</t>
  </si>
  <si>
    <t>Input Channel 19 Current THD Min value</t>
  </si>
  <si>
    <t>MIN_THD_I_019_%</t>
  </si>
  <si>
    <t>Input Channel 19 Current THD Min value Timestamp</t>
  </si>
  <si>
    <t>MIN_TS_THD_I_019</t>
  </si>
  <si>
    <t>Input Channel 20 Current Min value</t>
  </si>
  <si>
    <t>MIN_I_020_A</t>
  </si>
  <si>
    <t>Input Channel 20 Current Min value Timestamp</t>
  </si>
  <si>
    <t>MIN_TS_I_020</t>
  </si>
  <si>
    <t>Input Channel 20 Active Power Min value</t>
  </si>
  <si>
    <t>MIN_P_020_kW</t>
  </si>
  <si>
    <t>Input Channel 20 Active Power Min value Timestamp</t>
  </si>
  <si>
    <t>MIN_TS_P_020</t>
  </si>
  <si>
    <t>Input Channel 20 Reactive Power Min value</t>
  </si>
  <si>
    <t>MIN_Q_020_kvar</t>
  </si>
  <si>
    <t>Input Channel 20 Reactive Power  Min value Timestamp</t>
  </si>
  <si>
    <t>MIN_TS_Q_020</t>
  </si>
  <si>
    <t>Input Channel 20 Apparent Power  Min value</t>
  </si>
  <si>
    <t>MIN_S_020_kVA</t>
  </si>
  <si>
    <t>Input Channel 20 Apparent Power Min value Timestamp</t>
  </si>
  <si>
    <t>MIN_TS_S_020</t>
  </si>
  <si>
    <t>Input Channel 20 Power Factor Min value</t>
  </si>
  <si>
    <t>MIN_PF_020</t>
  </si>
  <si>
    <t>Input Channel 20 Power Factor Min value Timestamp</t>
  </si>
  <si>
    <t>MIN_TS_PF_020</t>
  </si>
  <si>
    <t>Input Channel 20 Current THD Min value</t>
  </si>
  <si>
    <t>MIN_THD_I_020_%</t>
  </si>
  <si>
    <t>Input Channel 20 Current THD Min value Timestamp</t>
  </si>
  <si>
    <t>MIN_TS_THD_I_020</t>
  </si>
  <si>
    <t>Input Channel 21 Current Min value</t>
  </si>
  <si>
    <t>MIN_I_021_A</t>
  </si>
  <si>
    <t>Input Channel 21 Current Min value Timestamp</t>
  </si>
  <si>
    <t>MIN_TS_I_021</t>
  </si>
  <si>
    <t>Input Channel 21 Active Power Min value</t>
  </si>
  <si>
    <t>MIN_P_021_kW</t>
  </si>
  <si>
    <t>Input Channel 21 Active Power Min value Timestamp</t>
  </si>
  <si>
    <t>MIN_TS_P_021</t>
  </si>
  <si>
    <t>Input Channel 21 Reactive Power Min value</t>
  </si>
  <si>
    <t>MIN_Q_021_kvar</t>
  </si>
  <si>
    <t>Input Channel 21 Reactive Power  Min value Timestamp</t>
  </si>
  <si>
    <t>MIN_TS_Q_021</t>
  </si>
  <si>
    <t>Input Channel 21 Apparent Power  Min value</t>
  </si>
  <si>
    <t>MIN_S_021_kVA</t>
  </si>
  <si>
    <t>Input Channel 21 Apparent Power Min value Timestamp</t>
  </si>
  <si>
    <t>MIN_TS_S_021</t>
  </si>
  <si>
    <t>Input Channel 21 Power Factor Min value</t>
  </si>
  <si>
    <t>MIN_PF_021</t>
  </si>
  <si>
    <t>Input Channel 21 Power Factor Min value Timestamp</t>
  </si>
  <si>
    <t>MIN_TS_PF_021</t>
  </si>
  <si>
    <t>Input Channel 21 Current THD Min value</t>
  </si>
  <si>
    <t>MIN_THD_I_021_%</t>
  </si>
  <si>
    <t>Input Channel 21 Current THD Min value Timestamp</t>
  </si>
  <si>
    <t>MIN_TS_THD_I_021</t>
  </si>
  <si>
    <t>Input Channel 22 Current Min value</t>
  </si>
  <si>
    <t>MIN_I_022_A</t>
  </si>
  <si>
    <t>Input Channel 22 Current Min value Timestamp</t>
  </si>
  <si>
    <t>MIN_TS_I_022</t>
  </si>
  <si>
    <t>Input Channel 22 Active Power Min value</t>
  </si>
  <si>
    <t>MIN_P_022_kW</t>
  </si>
  <si>
    <t>Input Channel 22 Active Power Min value Timestamp</t>
  </si>
  <si>
    <t>MIN_TS_P_022</t>
  </si>
  <si>
    <t>Input Channel 22 Reactive Power Min value</t>
  </si>
  <si>
    <t>MIN_Q_022_kvar</t>
  </si>
  <si>
    <t>Input Channel 22 Reactive Power  Min value Timestamp</t>
  </si>
  <si>
    <t>MIN_TS_Q_022</t>
  </si>
  <si>
    <t>Input Channel 22 Apparent Power  Min value</t>
  </si>
  <si>
    <t>MIN_S_022_kVA</t>
  </si>
  <si>
    <t>Input Channel 22 Apparent Power Min value Timestamp</t>
  </si>
  <si>
    <t>MIN_TS_S_022</t>
  </si>
  <si>
    <t>Input Channel 22 Power Factor Min value</t>
  </si>
  <si>
    <t>MIN_PF_022</t>
  </si>
  <si>
    <t>Input Channel 22 Power Factor Min value Timestamp</t>
  </si>
  <si>
    <t>MIN_TS_PF_022</t>
  </si>
  <si>
    <t>Input Channel 22 Current THD Min value</t>
  </si>
  <si>
    <t>MIN_THD_I_022_%</t>
  </si>
  <si>
    <t>Input Channel 22 Current THD Min value Timestamp</t>
  </si>
  <si>
    <t>MIN_TS_THD_I_022</t>
  </si>
  <si>
    <t>Input Channel 23 Current Min value</t>
  </si>
  <si>
    <t>MIN_I_023_A</t>
  </si>
  <si>
    <t>Input Channel 23 Current Min value Timestamp</t>
  </si>
  <si>
    <t>MIN_TS_I_023</t>
  </si>
  <si>
    <t>Input Channel 23 Active Power Min value</t>
  </si>
  <si>
    <t>MIN_P_023_kW</t>
  </si>
  <si>
    <t>Input Channel 23 Active Power Min value Timestamp</t>
  </si>
  <si>
    <t>MIN_TS_P_023</t>
  </si>
  <si>
    <t>Input Channel 23 Reactive Power Min value</t>
  </si>
  <si>
    <t>MIN_Q_023_kvar</t>
  </si>
  <si>
    <t>Input Channel 23 Reactive Power  Min value Timestamp</t>
  </si>
  <si>
    <t>MIN_TS_Q_023</t>
  </si>
  <si>
    <t>Input Channel 23 Apparent Power  Min value</t>
  </si>
  <si>
    <t>MIN_S_023_kVA</t>
  </si>
  <si>
    <t>Input Channel 23 Apparent Power Min value Timestamp</t>
  </si>
  <si>
    <t>MIN_TS_S_023</t>
  </si>
  <si>
    <t>Input Channel 23 Power Factor Min value</t>
  </si>
  <si>
    <t>MIN_PF_023</t>
  </si>
  <si>
    <t>Input Channel 23 Power Factor Min value Timestamp</t>
  </si>
  <si>
    <t>MIN_TS_PF_023</t>
  </si>
  <si>
    <t>Input Channel 23 Current THD Min value</t>
  </si>
  <si>
    <t>MIN_THD_I_023_%</t>
  </si>
  <si>
    <t>Input Channel 23 Current THD Min value Timestamp</t>
  </si>
  <si>
    <t>MIN_TS_THD_I_023</t>
  </si>
  <si>
    <t>Input Channel 24 Current Min value</t>
  </si>
  <si>
    <t>MIN_I_024_A</t>
  </si>
  <si>
    <t>Input Channel 24 Current Min value Timestamp</t>
  </si>
  <si>
    <t>MIN_TS_I_024</t>
  </si>
  <si>
    <t>Input Channel 24 Active Power Min value</t>
  </si>
  <si>
    <t>MIN_P_024_kW</t>
  </si>
  <si>
    <t>Input Channel 24 Active Power Min value Timestamp</t>
  </si>
  <si>
    <t>MIN_TS_P_024</t>
  </si>
  <si>
    <t>Input Channel 24 Reactive Power Min value</t>
  </si>
  <si>
    <t>MIN_Q_024_kvar</t>
  </si>
  <si>
    <t>Input Channel 24 Reactive Power Min value Timestamp</t>
  </si>
  <si>
    <t>MIN_TS_Q_024</t>
  </si>
  <si>
    <t>Input Channel 24 Apparent Power Min value</t>
  </si>
  <si>
    <t>MIN_S_024_kVA</t>
  </si>
  <si>
    <t>Input Channel 24 Apparent Power Min value Timestamp</t>
  </si>
  <si>
    <t>MIN_TS_S_024</t>
  </si>
  <si>
    <t>Input Channel 24 Power Factor Min value</t>
  </si>
  <si>
    <t>MIN_PF_024</t>
  </si>
  <si>
    <t>Input Channel 24 Power Factor Min value Timestamp</t>
  </si>
  <si>
    <t>MIN_TS_PF_024</t>
  </si>
  <si>
    <t>Input Channel 24 Current THD Min value</t>
  </si>
  <si>
    <t>MIN_THD_I_024_%</t>
  </si>
  <si>
    <t>Input Channel 24 Current THD Min value Timestamp</t>
  </si>
  <si>
    <t>MIN_TS_THD_I_024</t>
  </si>
  <si>
    <t>User Channel 1 Current  Min value</t>
  </si>
  <si>
    <t>MIN_I_s001_A</t>
  </si>
  <si>
    <t>User Channel 1 Current  Min value Timestamp</t>
  </si>
  <si>
    <t>MIN_TS_I_s001</t>
  </si>
  <si>
    <t>User Channel 1 Active Power Min value</t>
  </si>
  <si>
    <t>MIN_P_s001_kW</t>
  </si>
  <si>
    <t>User Channel 1 Active Power Min value Timestamp</t>
  </si>
  <si>
    <t>MIN_TS_P_s001</t>
  </si>
  <si>
    <t>User Channel 1 Reactive Power Min value</t>
  </si>
  <si>
    <t>MIN_Q_s001_kvar</t>
  </si>
  <si>
    <t>User Channel 1 Reactive Power Min value Timestamp</t>
  </si>
  <si>
    <t>MIN_TS_Q_s001</t>
  </si>
  <si>
    <t>User Channel 1 Apparent Power Min value</t>
  </si>
  <si>
    <t>MIN_S_s001_kVA</t>
  </si>
  <si>
    <t>User Channel 1 Apparent Power Min value Timestamp</t>
  </si>
  <si>
    <t>MIN_TS_S_s001</t>
  </si>
  <si>
    <t>Min User Channel 1 Power Factor</t>
  </si>
  <si>
    <t>MIN_PF_s001</t>
  </si>
  <si>
    <t>User Channel 1 Power Factor Timestamp</t>
  </si>
  <si>
    <t>MIN_TS_PF_s001</t>
  </si>
  <si>
    <t>User Channel 2 Current  Min value</t>
  </si>
  <si>
    <t>MIN_I_s002_A</t>
  </si>
  <si>
    <t>User Channel 2 Current  Min value Timestamp</t>
  </si>
  <si>
    <t>MIN_TS_I_s002</t>
  </si>
  <si>
    <t>User Channel 2 Active Power Min value</t>
  </si>
  <si>
    <t>MIN_P_s002_kW</t>
  </si>
  <si>
    <t>User Channel 2 Active Power Min value Timestamp</t>
  </si>
  <si>
    <t>MIN_TS_P_s002</t>
  </si>
  <si>
    <t>User Channel 2 Reactive Power Min value</t>
  </si>
  <si>
    <t>MIN_Q_s002_kvar</t>
  </si>
  <si>
    <t>User Channel 2 Reactive Power Min value Timestamp</t>
  </si>
  <si>
    <t>MIN_TS_Q_s002</t>
  </si>
  <si>
    <t>User Channel 2 Apparent Power Min value</t>
  </si>
  <si>
    <t>MIN_S_s002_kVA</t>
  </si>
  <si>
    <t>User Channel 2 Apparent Power Min value Timestamp</t>
  </si>
  <si>
    <t>MIN_TS_S_s002</t>
  </si>
  <si>
    <t>Min User Channel 2 Power Factor</t>
  </si>
  <si>
    <t>MIN_PF_s002</t>
  </si>
  <si>
    <t>User Channel 2 Power Factor Timestamp</t>
  </si>
  <si>
    <t>MIN_TS_PF_s002</t>
  </si>
  <si>
    <t>User Channel 3 Current  Min value</t>
  </si>
  <si>
    <t>MIN_I_s003_A</t>
  </si>
  <si>
    <t>User Channel 3 Current  Min value Timestamp</t>
  </si>
  <si>
    <t>MIN_TS_I_s003</t>
  </si>
  <si>
    <t>User Channel 3 Active Power Min value</t>
  </si>
  <si>
    <t>MIN_P_s003_kW</t>
  </si>
  <si>
    <t>User Channel 3 Active Power Min value Timestamp</t>
  </si>
  <si>
    <t>MIN_TS_P_s003</t>
  </si>
  <si>
    <t>User Channel 3 Reactive Power Min value</t>
  </si>
  <si>
    <t>MIN_Q_s003_kvar</t>
  </si>
  <si>
    <t>User Channel 3 Reactive Power Min value Timestamp</t>
  </si>
  <si>
    <t>MIN_TS_Q_s003</t>
  </si>
  <si>
    <t>User Channel 3 Apparent Power Min value</t>
  </si>
  <si>
    <t>MIN_S_s003_kVA</t>
  </si>
  <si>
    <t>User Channel 3 Apparent Power Min value Timestamp</t>
  </si>
  <si>
    <t>MIN_TS_S_s003</t>
  </si>
  <si>
    <t>Min User Channel 3 Power Factor</t>
  </si>
  <si>
    <t>MIN_PF_s003</t>
  </si>
  <si>
    <t>User Channel 3 Power Factor Timestamp</t>
  </si>
  <si>
    <t>MIN_TS_PF_s003</t>
  </si>
  <si>
    <t>User Channel 4 Current  Min value</t>
  </si>
  <si>
    <t>MIN_I_s004_A</t>
  </si>
  <si>
    <t>User Channel 4 Current  Min value Timestamp</t>
  </si>
  <si>
    <t>MIN_TS_I_s004</t>
  </si>
  <si>
    <t>User Channel 4 Active Power Min value</t>
  </si>
  <si>
    <t>MIN_P_s004_kW</t>
  </si>
  <si>
    <t>User Channel 4 Active Power Min value Timestamp</t>
  </si>
  <si>
    <t>MIN_TS_P_s004</t>
  </si>
  <si>
    <t>User Channel 4 Reactive Power Min value</t>
  </si>
  <si>
    <t>MIN_Q_s004_kvar</t>
  </si>
  <si>
    <t>User Channel 4 Reactive Power Min value Timestamp</t>
  </si>
  <si>
    <t>MIN_TS_Q_s004</t>
  </si>
  <si>
    <t>User Channel 4 Apparent Power Min value</t>
  </si>
  <si>
    <t>MIN_S_s004_kVA</t>
  </si>
  <si>
    <t>User Channel 4 Apparent Power Min value Timestamp</t>
  </si>
  <si>
    <t>MIN_TS_S_s004</t>
  </si>
  <si>
    <t>Min User Channel 4 Power Factor</t>
  </si>
  <si>
    <t>MIN_PF_s004</t>
  </si>
  <si>
    <t>User Channel 4 Power Factor Timestamp</t>
  </si>
  <si>
    <t>MIN_TS_PF_s004</t>
  </si>
  <si>
    <t>User Channel 5 Current  Min value</t>
  </si>
  <si>
    <t>MIN_I_s005_A</t>
  </si>
  <si>
    <t>User Channel 5 Current Min value Timestamp</t>
  </si>
  <si>
    <t>MIN_TS_I_s005</t>
  </si>
  <si>
    <t>User Channel 5 Active Power Min value</t>
  </si>
  <si>
    <t>MIN_P_s005_kW</t>
  </si>
  <si>
    <t>User Channel 5 Active Power Min value Timestamp</t>
  </si>
  <si>
    <t>MIN_TS_P_s005</t>
  </si>
  <si>
    <t>User Channel 5 Reactive Power Min value</t>
  </si>
  <si>
    <t>MIN_Q_s005_kvar</t>
  </si>
  <si>
    <t>User Channel 5 Reactive Power Min value Timestamp</t>
  </si>
  <si>
    <t>MIN_TS_Q_s005</t>
  </si>
  <si>
    <t>User Channel 5 Apparent Power Min value</t>
  </si>
  <si>
    <t>MIN_S_s005_kVA</t>
  </si>
  <si>
    <t>User Channel 5 Apparent Power Min value Timestamp</t>
  </si>
  <si>
    <t>MIN_TS_S_s005</t>
  </si>
  <si>
    <t>Min User Channel 5 Power Factor</t>
  </si>
  <si>
    <t>MIN_PF_s005</t>
  </si>
  <si>
    <t>User Channel 5 Power Factor Timestamp</t>
  </si>
  <si>
    <t>MIN_TS_PF_s005</t>
  </si>
  <si>
    <t>User Channel 6 Current  Min value</t>
  </si>
  <si>
    <t>MIN_I_s006_A</t>
  </si>
  <si>
    <t>User Channel 6 Current  Min value Timestamp</t>
  </si>
  <si>
    <t>MIN_TS_I_s006</t>
  </si>
  <si>
    <t>User Channel 6 Active Power Min value</t>
  </si>
  <si>
    <t>MIN_P_s006_kW</t>
  </si>
  <si>
    <t>User Channel 6 Active Power Min value Timestamp</t>
  </si>
  <si>
    <t>MIN_TS_P_s006</t>
  </si>
  <si>
    <t>User Channel 6 Reactive Power Min value</t>
  </si>
  <si>
    <t>MIN_Q_s006_kvar</t>
  </si>
  <si>
    <t>User Channel 6 Reactive Power Min value Timestamp</t>
  </si>
  <si>
    <t>MIN_TS_Q_s006</t>
  </si>
  <si>
    <t>User Channel 6 Apparent Power Min value</t>
  </si>
  <si>
    <t>MIN_S_s006_kVA</t>
  </si>
  <si>
    <t>User Channel 6 Apparent Power Min value Timestamp</t>
  </si>
  <si>
    <t>MIN_TS_S_s006</t>
  </si>
  <si>
    <t>Min User Channel 6 Power Factor</t>
  </si>
  <si>
    <t>MIN_PF_s006</t>
  </si>
  <si>
    <t>User Channel 6 Power Factor Timestamp</t>
  </si>
  <si>
    <t>MIN_TS_PF_s006</t>
  </si>
  <si>
    <t>User Channel 7 Current  Min value</t>
  </si>
  <si>
    <t>MIN_I_s007_A</t>
  </si>
  <si>
    <t>User Channel 7 Current  Min value Timestamp</t>
  </si>
  <si>
    <t>MIN_TS_I_s007</t>
  </si>
  <si>
    <t>User Channel 7 Active Power Min value</t>
  </si>
  <si>
    <t>MIN_P_s007_kW</t>
  </si>
  <si>
    <t>User Channel 7 Active Power Min value Timestamp</t>
  </si>
  <si>
    <t>MIN_TS_P_s007</t>
  </si>
  <si>
    <t>User Channel 7 Reactive Power Min value</t>
  </si>
  <si>
    <t>MIN_Q_s007_kvar</t>
  </si>
  <si>
    <t>User Channel 7 Reactive Power Min value Timestamp</t>
  </si>
  <si>
    <t>MIN_TS_Q_s007</t>
  </si>
  <si>
    <t>User Channel 7 Apparent Power Min value</t>
  </si>
  <si>
    <t>MIN_S_s007_kVA</t>
  </si>
  <si>
    <t>User Channel 7 Apparent Power Min value Timestamp</t>
  </si>
  <si>
    <t>MIN_TS_S_s007</t>
  </si>
  <si>
    <t>Min User Channel 7 Power Factor</t>
  </si>
  <si>
    <t>MIN_PF_s007</t>
  </si>
  <si>
    <t>User Channel 7 Power Factor Timestamp</t>
  </si>
  <si>
    <t>MIN_TS_PF_s007</t>
  </si>
  <si>
    <t>User Channel 8 Current  Min value</t>
  </si>
  <si>
    <t>MIN_I_s008_A</t>
  </si>
  <si>
    <t>User Channel 8 Current  Min value Timestamp</t>
  </si>
  <si>
    <t>MIN_TS_I_s008</t>
  </si>
  <si>
    <t>User Channel 8 Active Power Min value</t>
  </si>
  <si>
    <t>MIN_P_s008_kW</t>
  </si>
  <si>
    <t>User Channel 8 Active Power Min value Timestamp</t>
  </si>
  <si>
    <t>MIN_TS_P_s008</t>
  </si>
  <si>
    <t>User Channel 8 Reactive Power Min value</t>
  </si>
  <si>
    <t>MIN_Q_s008_kvar</t>
  </si>
  <si>
    <t>User Channel 8 Reactive Power Min value Timestamp</t>
  </si>
  <si>
    <t>MIN_TS_Q_s008</t>
  </si>
  <si>
    <t>User Channel 8 Apparent Power Min value</t>
  </si>
  <si>
    <t>MIN_S_s008_kVA</t>
  </si>
  <si>
    <t>User Channel 8 Apparent Power Min value Timestamp</t>
  </si>
  <si>
    <t>MIN_TS_S_s008</t>
  </si>
  <si>
    <t>Min User Channel 8 Power Factor</t>
  </si>
  <si>
    <t>MIN_PF_s008</t>
  </si>
  <si>
    <t>User Channel 8 Power Factor Timestamp</t>
  </si>
  <si>
    <t>MIN_TS_PF_s008</t>
  </si>
  <si>
    <t>User Channel 9 Current Min value</t>
  </si>
  <si>
    <t>MIN_I_s009_A</t>
  </si>
  <si>
    <t>User Channel 9 Current Min value Timestamp</t>
  </si>
  <si>
    <t>MIN_TS_I_s009</t>
  </si>
  <si>
    <t>User Channel 9 Active Power Min value</t>
  </si>
  <si>
    <t>MIN_P_s009_kW</t>
  </si>
  <si>
    <t>User Channel 9 Active Power Min value Timestamp</t>
  </si>
  <si>
    <t>MIN_TS_P_s009</t>
  </si>
  <si>
    <t>User Channel 9 Reactive Power Min value</t>
  </si>
  <si>
    <t>MIN_Q_s009_kvar</t>
  </si>
  <si>
    <t>User Channel 9 Reactive Power Min value Timestamp</t>
  </si>
  <si>
    <t>MIN_TS_Q_s009</t>
  </si>
  <si>
    <t>User Channel 9 Apparent Power Min value</t>
  </si>
  <si>
    <t>MIN_S_s009_kVA</t>
  </si>
  <si>
    <t>User Channel 9 Apparent Power Min value Timestamp</t>
  </si>
  <si>
    <t>MIN_TS_S_s009</t>
  </si>
  <si>
    <t>Min User Channel 9 Power Factor</t>
  </si>
  <si>
    <t>MIN_PF_s009</t>
  </si>
  <si>
    <t>User Channel 9 Power Factor Timestamp</t>
  </si>
  <si>
    <t>MIN_TS_PF_s009</t>
  </si>
  <si>
    <t>User Channel 10 Current  Min value</t>
  </si>
  <si>
    <t>MIN_I_s010_A</t>
  </si>
  <si>
    <t>User Channel 10 Current  Min value Timestamp</t>
  </si>
  <si>
    <t>MIN_TS_I_s010</t>
  </si>
  <si>
    <t>User Channel 10 Active Power Min value</t>
  </si>
  <si>
    <t>MIN_P_s010_kW</t>
  </si>
  <si>
    <t>User Channel 10 Active Power Min value Timestamp</t>
  </si>
  <si>
    <t>MIN_TS_P_s010</t>
  </si>
  <si>
    <t>User Channel 10 Reactive Power Min value</t>
  </si>
  <si>
    <t>MIN_Q_s010_kvar</t>
  </si>
  <si>
    <t>User Channel 10 Reactive Power Min value Timestamp</t>
  </si>
  <si>
    <t>MIN_TS_Q_s010</t>
  </si>
  <si>
    <t>User Channel 10 Apparent Power Min value</t>
  </si>
  <si>
    <t>MIN_S_s010_kVA</t>
  </si>
  <si>
    <t>User Channel 10 Apparent Power Min value Timestamp</t>
  </si>
  <si>
    <t>MIN_TS_S_s010</t>
  </si>
  <si>
    <t>Min User Channel 10 Power Factor</t>
  </si>
  <si>
    <t>MIN_PF_s010</t>
  </si>
  <si>
    <t>User Channel 10 Power Factor Timestamp</t>
  </si>
  <si>
    <t>MIN_TS_PF_s010</t>
  </si>
  <si>
    <t>User Channel 11 Current Min value</t>
  </si>
  <si>
    <t>MIN_I_s011_A</t>
  </si>
  <si>
    <t>User Channel 11 Current  Min value Timestamp</t>
  </si>
  <si>
    <t>MIN_TS_I_s011</t>
  </si>
  <si>
    <t>User Channel 11 Active Power Min value</t>
  </si>
  <si>
    <t>MIN_P_s011_kW</t>
  </si>
  <si>
    <t>User Channel 11 Active Power Min value Timestamp</t>
  </si>
  <si>
    <t>MIN_TS_P_s011</t>
  </si>
  <si>
    <t>User Channel 11 Reactive Power Min value</t>
  </si>
  <si>
    <t>MIN_Q_s011_kvar</t>
  </si>
  <si>
    <t>User Channel 11 Reactive Power Min value Timestamp</t>
  </si>
  <si>
    <t>MIN_TS_Q_s011</t>
  </si>
  <si>
    <t>User Channel 11 Apparent Power Min value</t>
  </si>
  <si>
    <t>MIN_S_s011_kVA</t>
  </si>
  <si>
    <t>User Channel 11 Apparent Power Min value Timestamp</t>
  </si>
  <si>
    <t>MIN_TS_S_s011</t>
  </si>
  <si>
    <t>Min User Channel 11 Power Factor</t>
  </si>
  <si>
    <t>MIN_PF_s011</t>
  </si>
  <si>
    <t>User Channel 11 Power Factor Timestamp</t>
  </si>
  <si>
    <t>MIN_TS_PF_s011</t>
  </si>
  <si>
    <t>User Channel 12 Current Min value</t>
  </si>
  <si>
    <t>MIN_I_s012_A</t>
  </si>
  <si>
    <t>User Channel 12 Current Min value Timestamp</t>
  </si>
  <si>
    <t>MIN_TS_I_s012</t>
  </si>
  <si>
    <t>User Channel 12 Active Power Min value</t>
  </si>
  <si>
    <t>MIN_P_s012_kW</t>
  </si>
  <si>
    <t>User Channel 12 Active Power Min value Timestamp</t>
  </si>
  <si>
    <t>MIN_TS_P_s012</t>
  </si>
  <si>
    <t>User Channel 12 Reactive Power Min value</t>
  </si>
  <si>
    <t>MIN_Q_s012_kvar</t>
  </si>
  <si>
    <t>User Channel 12 Reactive Power Min value Timestamp</t>
  </si>
  <si>
    <t>MIN_TS_Q_s012</t>
  </si>
  <si>
    <t>User Channel 12 Apparent Power Min value</t>
  </si>
  <si>
    <t>MIN_S_s012_kVA</t>
  </si>
  <si>
    <t>User Channel 12 Apparent Power Min value Timestamp</t>
  </si>
  <si>
    <t>MIN_TS_S_s012</t>
  </si>
  <si>
    <t>Min User Channel 12 Power Factor</t>
  </si>
  <si>
    <t>MIN_PF_s012</t>
  </si>
  <si>
    <t>User Channel 12 Power Factor Timestamp</t>
  </si>
  <si>
    <t>MIN_TS_PF_s012</t>
  </si>
  <si>
    <t>The Number of the Waveform Record Group</t>
  </si>
  <si>
    <t>totalWaveformNum</t>
  </si>
  <si>
    <t>7-8</t>
  </si>
  <si>
    <t>17</t>
  </si>
  <si>
    <t>Data state of waveform record window</t>
  </si>
  <si>
    <t>waveformDataState</t>
  </si>
  <si>
    <t>Latest Waveform Record Groupe Number</t>
  </si>
  <si>
    <t>lastWaveformNum</t>
  </si>
  <si>
    <t>The index of the PQEvent Log</t>
  </si>
  <si>
    <t>lastPQEventNum</t>
  </si>
  <si>
    <t>The Number of the PQEvent Log</t>
  </si>
  <si>
    <t>totalPQEventNum</t>
  </si>
  <si>
    <t>Serial Number1</t>
  </si>
  <si>
    <t>Conf_Serial_Number1</t>
  </si>
  <si>
    <t>18-35</t>
  </si>
  <si>
    <t>Serial Number2</t>
  </si>
  <si>
    <t>Conf_Serial_Number2</t>
  </si>
  <si>
    <t>Serial Number3</t>
  </si>
  <si>
    <t>Conf_Serial_Number3</t>
  </si>
  <si>
    <t>Serial Number4</t>
  </si>
  <si>
    <t>Conf_Serial_Number4</t>
  </si>
  <si>
    <t>Hardware version</t>
  </si>
  <si>
    <t>Conf_Hardware_version</t>
  </si>
  <si>
    <t>18</t>
  </si>
  <si>
    <t>Function Model Type</t>
  </si>
  <si>
    <t>Conf_Function_Model_Type</t>
  </si>
  <si>
    <t>Reserved11</t>
  </si>
  <si>
    <t>Conf_Reserved11</t>
  </si>
  <si>
    <t>Current Input Type</t>
  </si>
  <si>
    <t>Info_Current_Input_Type</t>
  </si>
  <si>
    <t>18-28-35</t>
  </si>
  <si>
    <t>Power Supply Type</t>
  </si>
  <si>
    <t>Power_Supply_Type</t>
  </si>
  <si>
    <t>MAC address1</t>
  </si>
  <si>
    <t>Conf_MAC_address1</t>
  </si>
  <si>
    <t>MAC address2</t>
  </si>
  <si>
    <t>Conf_MAC_address2</t>
  </si>
  <si>
    <t>MAC address3</t>
  </si>
  <si>
    <t>Conf_MAC_address3</t>
  </si>
  <si>
    <t>MAC address4</t>
  </si>
  <si>
    <t>Conf_MAC_address4</t>
  </si>
  <si>
    <t>Certification Type</t>
  </si>
  <si>
    <t>Conf_Certification_Type</t>
  </si>
  <si>
    <t>AIAO or DIDO flag</t>
  </si>
  <si>
    <t>Conf_AIAO_or_DIDO_flag</t>
  </si>
  <si>
    <t>Reserved 21</t>
  </si>
  <si>
    <t>Conf_Reserved_21</t>
  </si>
  <si>
    <t>Reserved 22</t>
  </si>
  <si>
    <t>Conf_Reserved_22</t>
  </si>
  <si>
    <t>Reserved 23</t>
  </si>
  <si>
    <t>Conf_Reserved_23</t>
  </si>
  <si>
    <t>Hardware Patch Number</t>
  </si>
  <si>
    <t>Conf_Hardware_Patch_Number</t>
  </si>
  <si>
    <t>Firmware version</t>
  </si>
  <si>
    <t>Conf_Firmware_version</t>
  </si>
  <si>
    <t>Firmware release date1</t>
  </si>
  <si>
    <t>Conf_Firmware_release_date1</t>
  </si>
  <si>
    <t>Firmware release date2</t>
  </si>
  <si>
    <t>Conf_Firmware_release_date2</t>
  </si>
  <si>
    <t>Firmware patch number</t>
  </si>
  <si>
    <t>Conf_Firmware_patch_number</t>
  </si>
  <si>
    <t>bootloader product string</t>
  </si>
  <si>
    <t>Conf_bootloader_product_string</t>
  </si>
  <si>
    <t>bootloader version</t>
  </si>
  <si>
    <t>Conf_bootloader_version</t>
  </si>
  <si>
    <t>bootloader release date1</t>
  </si>
  <si>
    <t>Conf_bootloader_release_date1</t>
  </si>
  <si>
    <t>bootloader release date2</t>
  </si>
  <si>
    <t>Conf_bootloader_release_date2</t>
  </si>
  <si>
    <t>bootloader patch number</t>
  </si>
  <si>
    <t>Conf_bootloader_patch_number</t>
  </si>
  <si>
    <t>Password</t>
  </si>
  <si>
    <t>Conf_Password</t>
  </si>
  <si>
    <t>Baud Rate</t>
  </si>
  <si>
    <t>Conf_Baud</t>
  </si>
  <si>
    <t>Parity</t>
  </si>
  <si>
    <t>Conf_Parity</t>
  </si>
  <si>
    <t>DHCP enable</t>
  </si>
  <si>
    <t>Conf_DHCP_Enable</t>
  </si>
  <si>
    <t>IP address</t>
  </si>
  <si>
    <t>Conf_IP</t>
  </si>
  <si>
    <t>Subnet mask</t>
  </si>
  <si>
    <t>Conf_Mask</t>
  </si>
  <si>
    <t>Gateway</t>
  </si>
  <si>
    <t>Conf_Gateway</t>
  </si>
  <si>
    <t>DNS primary server</t>
  </si>
  <si>
    <t>Conf_DNS_Primary</t>
  </si>
  <si>
    <t xml:space="preserve">DNS secondary server </t>
  </si>
  <si>
    <t>Conf_DNS_Second</t>
  </si>
  <si>
    <t>Modbus Slave ID</t>
  </si>
  <si>
    <t>Conf_Slave_Id</t>
  </si>
  <si>
    <t>35-18</t>
  </si>
  <si>
    <t>RS485 protocol</t>
  </si>
  <si>
    <t>Conf_RS485_Protocal</t>
  </si>
  <si>
    <t>Modbus TCP Enable</t>
  </si>
  <si>
    <t>Conf_Modbus_TCP_Enable</t>
  </si>
  <si>
    <t>Modbus TCP port</t>
  </si>
  <si>
    <t>Conf_Modbus_TCP_Port</t>
  </si>
  <si>
    <t>BACnet  MS/TP Meter address</t>
  </si>
  <si>
    <t>Conf_BACnet_Addr</t>
  </si>
  <si>
    <t>BACnet MS/TP Maximum number of message frames</t>
  </si>
  <si>
    <t>Conf_BACnet_Max_Frames_Number</t>
  </si>
  <si>
    <t>BACnet  MS/TP ID</t>
  </si>
  <si>
    <t>Conf_BACnet_ID</t>
  </si>
  <si>
    <t>BACnet MS/TP Database Revision</t>
  </si>
  <si>
    <t>Conf_BACnet_DB_Revision</t>
  </si>
  <si>
    <t>LCD Backlight Time</t>
  </si>
  <si>
    <t>Conf_LCD_Backlight_Time</t>
  </si>
  <si>
    <t>Device run time</t>
  </si>
  <si>
    <t>Conf_Device_Run_Time</t>
  </si>
  <si>
    <t>Device load time</t>
  </si>
  <si>
    <t>Conf_Device_Load_Time</t>
  </si>
  <si>
    <t>MaxDemand Clear  Mode</t>
  </si>
  <si>
    <t>Conf_MaxDemand_Clear_Mode</t>
  </si>
  <si>
    <t>MaxDemand Clear Date Setting</t>
  </si>
  <si>
    <t>Conf_MaxDemand_Clear_Date_Setting</t>
  </si>
  <si>
    <t>MaxDemand Clear Total Count</t>
  </si>
  <si>
    <t>Conf_MaxDemand_Clear_Total_Count</t>
  </si>
  <si>
    <t>Timestamp of the most recent MaxDemand Clear</t>
  </si>
  <si>
    <t>Conf_MaxDemand_Clear_Latest_TS_001</t>
  </si>
  <si>
    <t>Conf_MaxDemand_Clear_Latest_TS_002</t>
  </si>
  <si>
    <t>Conf_MaxDemand_Clear_Latest_TS_003</t>
  </si>
  <si>
    <t>Non-standard Seal Parameter Select</t>
  </si>
  <si>
    <t>Conf_Seal_Parameter_Select</t>
  </si>
  <si>
    <t>Week</t>
  </si>
  <si>
    <t>Conf_Week</t>
  </si>
  <si>
    <t>Year</t>
  </si>
  <si>
    <t>Conf_Year</t>
  </si>
  <si>
    <t>Month</t>
  </si>
  <si>
    <t>Conf_Month</t>
  </si>
  <si>
    <t>Day</t>
  </si>
  <si>
    <t>Conf_Day</t>
  </si>
  <si>
    <t>Hour</t>
  </si>
  <si>
    <t>Conf_Hour</t>
  </si>
  <si>
    <t>Minute</t>
  </si>
  <si>
    <t>Conf_Minute</t>
  </si>
  <si>
    <t>Second</t>
  </si>
  <si>
    <t>Conf_Second</t>
  </si>
  <si>
    <t>TempPassword</t>
  </si>
  <si>
    <t>Sealing Status</t>
  </si>
  <si>
    <t>Conf_Sealing_Status</t>
  </si>
  <si>
    <t>27-28-30</t>
  </si>
  <si>
    <t>9-11-13-15-35-18</t>
  </si>
  <si>
    <t>Frequency Selection</t>
  </si>
  <si>
    <t>Conf_Frequency</t>
  </si>
  <si>
    <t>Service Configuration</t>
  </si>
  <si>
    <t>Conf_Service</t>
  </si>
  <si>
    <t>9-11-13-15-35-20-23-36-38</t>
  </si>
  <si>
    <t>Reserve1</t>
  </si>
  <si>
    <t>Conf_Reserve1</t>
  </si>
  <si>
    <t>Reserve2</t>
  </si>
  <si>
    <t>Conf_Reserve2</t>
  </si>
  <si>
    <t>channel1 input wiring</t>
  </si>
  <si>
    <t>Conf_Input_Wiring_001</t>
  </si>
  <si>
    <t>9-11-13-15-35-10</t>
  </si>
  <si>
    <t>channel1 CT type</t>
  </si>
  <si>
    <t>Conf_CT_Type_001</t>
  </si>
  <si>
    <t>9-11-13-15-35</t>
  </si>
  <si>
    <t>channel1 primary</t>
  </si>
  <si>
    <t>Conf_Primary_001</t>
  </si>
  <si>
    <t>channel1 direction</t>
  </si>
  <si>
    <t>Conf_Direction_001</t>
  </si>
  <si>
    <t>9-11-13-15</t>
  </si>
  <si>
    <t>channel1 voltage assignment</t>
  </si>
  <si>
    <t>Conf_Voltage_Assignment_001</t>
  </si>
  <si>
    <t>9-11-13-15-35-20-23-36-38-10</t>
  </si>
  <si>
    <t>channel2 input wiring</t>
  </si>
  <si>
    <t>Conf_Input_Wiring_002</t>
  </si>
  <si>
    <t>channel2 CT type</t>
  </si>
  <si>
    <t>Conf_CT_Type_002</t>
  </si>
  <si>
    <t>channel2 primary</t>
  </si>
  <si>
    <t>Conf_Primary_002</t>
  </si>
  <si>
    <t>channel2 direction</t>
  </si>
  <si>
    <t>Conf_Direction_002</t>
  </si>
  <si>
    <t>channel2 voltage assignment</t>
  </si>
  <si>
    <t>Conf_Voltage_Assignment_002</t>
  </si>
  <si>
    <t>channel3 input wiring</t>
  </si>
  <si>
    <t>Conf_Input_Wiring_003</t>
  </si>
  <si>
    <t>channel3 CT type</t>
  </si>
  <si>
    <t>Conf_CT_Type_003</t>
  </si>
  <si>
    <t>channel3 primary</t>
  </si>
  <si>
    <t>Conf_Primary_003</t>
  </si>
  <si>
    <t>channel3 direction</t>
  </si>
  <si>
    <t>Conf_Direction_003</t>
  </si>
  <si>
    <t>channel3 voltage assignment</t>
  </si>
  <si>
    <t>Conf_Voltage_Assignment_003</t>
  </si>
  <si>
    <t>channel4 input wiring</t>
  </si>
  <si>
    <t>Conf_Input_Wiring_004</t>
  </si>
  <si>
    <t>channel4 CT type</t>
  </si>
  <si>
    <t>Conf_CT_Type_004</t>
  </si>
  <si>
    <t>channel4 primary</t>
  </si>
  <si>
    <t>Conf_Primary_004</t>
  </si>
  <si>
    <t>channel4 direction</t>
  </si>
  <si>
    <t>Conf_Direction_004</t>
  </si>
  <si>
    <t>channel4 voltage assignment</t>
  </si>
  <si>
    <t>Conf_Voltage_Assignment_004</t>
  </si>
  <si>
    <t>channel5 input wiring</t>
  </si>
  <si>
    <t>Conf_Input_Wiring_005</t>
  </si>
  <si>
    <t>channel5 CT type</t>
  </si>
  <si>
    <t>Conf_CT_Type_005</t>
  </si>
  <si>
    <t>channel5 primary</t>
  </si>
  <si>
    <t>Conf_Primary_005</t>
  </si>
  <si>
    <t>channel5 direction</t>
  </si>
  <si>
    <t>Conf_Direction_005</t>
  </si>
  <si>
    <t>channel5 voltage assignment</t>
  </si>
  <si>
    <t>Conf_Voltage_Assignment_005</t>
  </si>
  <si>
    <t>channel6 input wiring</t>
  </si>
  <si>
    <t>Conf_Input_Wiring_006</t>
  </si>
  <si>
    <t>channel6 CT type</t>
  </si>
  <si>
    <t>Conf_CT_Type_006</t>
  </si>
  <si>
    <t>channel6 primary</t>
  </si>
  <si>
    <t>Conf_Primary_006</t>
  </si>
  <si>
    <t>channel6 direction</t>
  </si>
  <si>
    <t>Conf_Direction_006</t>
  </si>
  <si>
    <t>channel6 voltage assignment</t>
  </si>
  <si>
    <t>Conf_Voltage_Assignment_006</t>
  </si>
  <si>
    <t>channel7 input wiring</t>
  </si>
  <si>
    <t>Conf_Input_Wiring_007</t>
  </si>
  <si>
    <t>channel7 CT type</t>
  </si>
  <si>
    <t>Conf_CT_Type_007</t>
  </si>
  <si>
    <t>channel7 primary</t>
  </si>
  <si>
    <t>Conf_Primary_007</t>
  </si>
  <si>
    <t>channel7 direction</t>
  </si>
  <si>
    <t>Conf_Direction_007</t>
  </si>
  <si>
    <t>channel7 voltage assignment</t>
  </si>
  <si>
    <t>Conf_Voltage_Assignment_007</t>
  </si>
  <si>
    <t>channel8 input wiring</t>
  </si>
  <si>
    <t>Conf_Input_Wiring_008</t>
  </si>
  <si>
    <t>channel8 CT type</t>
  </si>
  <si>
    <t>Conf_CT_Type_008</t>
  </si>
  <si>
    <t>channel8 primary</t>
  </si>
  <si>
    <t>Conf_Primary_008</t>
  </si>
  <si>
    <t>channel8 direction</t>
  </si>
  <si>
    <t>Conf_Direction_008</t>
  </si>
  <si>
    <t>channel8 voltage assignment</t>
  </si>
  <si>
    <t>Conf_Voltage_Assignment_008</t>
  </si>
  <si>
    <t>channel9 input wiring</t>
  </si>
  <si>
    <t>Conf_Input_Wiring_009</t>
  </si>
  <si>
    <t>channel9 CT type</t>
  </si>
  <si>
    <t>Conf_CT_Type_009</t>
  </si>
  <si>
    <t>channel9 primary</t>
  </si>
  <si>
    <t>Conf_Primary_009</t>
  </si>
  <si>
    <t>channel9 direction</t>
  </si>
  <si>
    <t>Conf_Direction_009</t>
  </si>
  <si>
    <t>channel9 voltage assignment</t>
  </si>
  <si>
    <t>Conf_Voltage_Assignment_009</t>
  </si>
  <si>
    <t>channel10 input wiring</t>
  </si>
  <si>
    <t>Conf_Input_Wiring_010</t>
  </si>
  <si>
    <t>channel10 CT type</t>
  </si>
  <si>
    <t>Conf_CT_Type_010</t>
  </si>
  <si>
    <t>channel10 primary</t>
  </si>
  <si>
    <t>Conf_Primary_010</t>
  </si>
  <si>
    <t>channel10 direction</t>
  </si>
  <si>
    <t>Conf_Direction_010</t>
  </si>
  <si>
    <t>channel10 voltage assignment</t>
  </si>
  <si>
    <t>Conf_Voltage_Assignment_010</t>
  </si>
  <si>
    <t>channel11 input wiring</t>
  </si>
  <si>
    <t>Conf_Input_Wiring_011</t>
  </si>
  <si>
    <t>channel11 CT type</t>
  </si>
  <si>
    <t>Conf_CT_Type_011</t>
  </si>
  <si>
    <t>channel11 primary</t>
  </si>
  <si>
    <t>Conf_Primary_011</t>
  </si>
  <si>
    <t>channel11 direction</t>
  </si>
  <si>
    <t>Conf_Direction_011</t>
  </si>
  <si>
    <t>channel11 voltage assignment</t>
  </si>
  <si>
    <t>Conf_Voltage_Assignment_011</t>
  </si>
  <si>
    <t>channel12 input wiring</t>
  </si>
  <si>
    <t>Conf_Input_Wiring_012</t>
  </si>
  <si>
    <t>channel12 CT type</t>
  </si>
  <si>
    <t>Conf_CT_Type_012</t>
  </si>
  <si>
    <t>channel12 primary</t>
  </si>
  <si>
    <t>Conf_Primary_012</t>
  </si>
  <si>
    <t>channel12 direction</t>
  </si>
  <si>
    <t>Conf_Direction_012</t>
  </si>
  <si>
    <t>channel12 voltage assignment</t>
  </si>
  <si>
    <t>Conf_Voltage_Assignment_012</t>
  </si>
  <si>
    <t>channel13 input wiring</t>
  </si>
  <si>
    <t>Conf_Input_Wiring_013</t>
  </si>
  <si>
    <t>channel13 CT type</t>
  </si>
  <si>
    <t>Conf_CT_Type_013</t>
  </si>
  <si>
    <t>channel13 primary</t>
  </si>
  <si>
    <t>Conf_Primary_013</t>
  </si>
  <si>
    <t>channel13 direction</t>
  </si>
  <si>
    <t>Conf_Direction_013</t>
  </si>
  <si>
    <t>channel13 voltage assignment</t>
  </si>
  <si>
    <t>Conf_Voltage_Assignment_013</t>
  </si>
  <si>
    <t>channel14 input wiring</t>
  </si>
  <si>
    <t>Conf_Input_Wiring_014</t>
  </si>
  <si>
    <t>channel14 CT type</t>
  </si>
  <si>
    <t>Conf_CT_Type_014</t>
  </si>
  <si>
    <t>channel14 primary</t>
  </si>
  <si>
    <t>Conf_Primary_014</t>
  </si>
  <si>
    <t>channel14 direction</t>
  </si>
  <si>
    <t>Conf_Direction_014</t>
  </si>
  <si>
    <t>channel14 voltage assignment</t>
  </si>
  <si>
    <t>Conf_Voltage_Assignment_014</t>
  </si>
  <si>
    <t>channel15 input wiring</t>
  </si>
  <si>
    <t>Conf_Input_Wiring_015</t>
  </si>
  <si>
    <t>channel15 CT type</t>
  </si>
  <si>
    <t>Conf_CT_Type_015</t>
  </si>
  <si>
    <t>channel15 primary</t>
  </si>
  <si>
    <t>Conf_Primary_015</t>
  </si>
  <si>
    <t>channel15 direction</t>
  </si>
  <si>
    <t>Conf_Direction_015</t>
  </si>
  <si>
    <t>channel15 voltage assignment</t>
  </si>
  <si>
    <t>Conf_Voltage_Assignment_015</t>
  </si>
  <si>
    <t>channel16 input wiring</t>
  </si>
  <si>
    <t>Conf_Input_Wiring_016</t>
  </si>
  <si>
    <t>channel16 CT type</t>
  </si>
  <si>
    <t>Conf_CT_Type_016</t>
  </si>
  <si>
    <t>channel16 primary</t>
  </si>
  <si>
    <t>Conf_Primary_016</t>
  </si>
  <si>
    <t>channel16 direction</t>
  </si>
  <si>
    <t>Conf_Direction_016</t>
  </si>
  <si>
    <t>channel16 voltage assignment</t>
  </si>
  <si>
    <t>Conf_Voltage_Assignment_016</t>
  </si>
  <si>
    <t>channel17 input wiring</t>
  </si>
  <si>
    <t>Conf_Input_Wiring_017</t>
  </si>
  <si>
    <t>channel17 CT type</t>
  </si>
  <si>
    <t>Conf_CT_Type_017</t>
  </si>
  <si>
    <t>channel17 primary</t>
  </si>
  <si>
    <t>Conf_Primary_017</t>
  </si>
  <si>
    <t>channel17 direction</t>
  </si>
  <si>
    <t>Conf_Direction_017</t>
  </si>
  <si>
    <t>channel17 voltage assignment</t>
  </si>
  <si>
    <t>Conf_Voltage_Assignment_017</t>
  </si>
  <si>
    <t>channel18 input wiring</t>
  </si>
  <si>
    <t>Conf_Input_Wiring_018</t>
  </si>
  <si>
    <t>channel18 CT type</t>
  </si>
  <si>
    <t>Conf_CT_Type_018</t>
  </si>
  <si>
    <t>channel18 primary</t>
  </si>
  <si>
    <t>Conf_Primary_018</t>
  </si>
  <si>
    <t>channel18 direction</t>
  </si>
  <si>
    <t>Conf_Direction_018</t>
  </si>
  <si>
    <t>channel18 voltage assignment</t>
  </si>
  <si>
    <t>Conf_Voltage_Assignment_018</t>
  </si>
  <si>
    <t>channel19 input wiring</t>
  </si>
  <si>
    <t>Conf_Input_Wiring_019</t>
  </si>
  <si>
    <t>channel19 CT type</t>
  </si>
  <si>
    <t>Conf_CT_Type_019</t>
  </si>
  <si>
    <t>channel19 primary</t>
  </si>
  <si>
    <t>Conf_Primary_019</t>
  </si>
  <si>
    <t>channel19 direction</t>
  </si>
  <si>
    <t>Conf_Direction_019</t>
  </si>
  <si>
    <t>channel19 voltage assignment</t>
  </si>
  <si>
    <t>Conf_Voltage_Assignment_019</t>
  </si>
  <si>
    <t>channel20 input wiring</t>
  </si>
  <si>
    <t>Conf_Input_Wiring_020</t>
  </si>
  <si>
    <t>channel20 CT type</t>
  </si>
  <si>
    <t>Conf_CT_Type_020</t>
  </si>
  <si>
    <t>channel20 primary</t>
  </si>
  <si>
    <t>Conf_Primary_020</t>
  </si>
  <si>
    <t>channel20 direction</t>
  </si>
  <si>
    <t>Conf_Direction_020</t>
  </si>
  <si>
    <t>channel20 voltage assignment</t>
  </si>
  <si>
    <t>Conf_Voltage_Assignment_020</t>
  </si>
  <si>
    <t>channel21 input wiring</t>
  </si>
  <si>
    <t>Conf_Input_Wiring_021</t>
  </si>
  <si>
    <t>channel21 CT type</t>
  </si>
  <si>
    <t>Conf_CT_Type_021</t>
  </si>
  <si>
    <t>channel21 primary</t>
  </si>
  <si>
    <t>Conf_Primary_021</t>
  </si>
  <si>
    <t>channel21 direction</t>
  </si>
  <si>
    <t>Conf_Direction_021</t>
  </si>
  <si>
    <t>channel21 voltage assignment</t>
  </si>
  <si>
    <t>Conf_Voltage_Assignment_021</t>
  </si>
  <si>
    <t>channel22 input wiring</t>
  </si>
  <si>
    <t>Conf_Input_Wiring_022</t>
  </si>
  <si>
    <t>channel22 CT type</t>
  </si>
  <si>
    <t>Conf_CT_Type_022</t>
  </si>
  <si>
    <t>channel22 primary</t>
  </si>
  <si>
    <t>Conf_Primary_022</t>
  </si>
  <si>
    <t>channel22 direction</t>
  </si>
  <si>
    <t>Conf_Direction_022</t>
  </si>
  <si>
    <t>channel22 voltage assignment</t>
  </si>
  <si>
    <t>Conf_Voltage_Assignment_022</t>
  </si>
  <si>
    <t>channel23 input wiring</t>
  </si>
  <si>
    <t>Conf_Input_Wiring_023</t>
  </si>
  <si>
    <t>channel23 CT type</t>
  </si>
  <si>
    <t>Conf_CT_Type_023</t>
  </si>
  <si>
    <t>channel23 primary</t>
  </si>
  <si>
    <t>Conf_Primary_023</t>
  </si>
  <si>
    <t>channel23 direction</t>
  </si>
  <si>
    <t>Conf_Direction_023</t>
  </si>
  <si>
    <t>channel23 voltage assignment</t>
  </si>
  <si>
    <t>Conf_Voltage_Assignment_023</t>
  </si>
  <si>
    <t>channel24 input wiring</t>
  </si>
  <si>
    <t>Conf_Input_Wiring_024</t>
  </si>
  <si>
    <t>channel24 CT type</t>
  </si>
  <si>
    <t>Conf_CT_Type_024</t>
  </si>
  <si>
    <t>channel24 primary</t>
  </si>
  <si>
    <t>Conf_Primary_024</t>
  </si>
  <si>
    <t>channel24 direction</t>
  </si>
  <si>
    <t>Conf_Direction_024</t>
  </si>
  <si>
    <t>channel24 voltage assignment</t>
  </si>
  <si>
    <t>Conf_Voltage_Assignment_024</t>
  </si>
  <si>
    <t>user 1 input channel assignment</t>
  </si>
  <si>
    <t>Conf_Input_Channel_Assignment_s001</t>
  </si>
  <si>
    <t>28-29</t>
  </si>
  <si>
    <t>user 2 input channel assignment</t>
  </si>
  <si>
    <t>Conf_Input_Channel_Assignment_s002</t>
  </si>
  <si>
    <t>user 3 input channel assignment</t>
  </si>
  <si>
    <t>Conf_Input_Channel_Assignment_s003</t>
  </si>
  <si>
    <t>user 4 input channel assignment</t>
  </si>
  <si>
    <t>Conf_Input_Channel_Assignment_s004</t>
  </si>
  <si>
    <t>user 5 input channel assignment</t>
  </si>
  <si>
    <t>Conf_Input_Channel_Assignment_s005</t>
  </si>
  <si>
    <t>user 6 input channel assignment</t>
  </si>
  <si>
    <t>Conf_Input_Channel_Assignment_s006</t>
  </si>
  <si>
    <t>user 7 input channel assignment</t>
  </si>
  <si>
    <t>Conf_Input_Channel_Assignment_s007</t>
  </si>
  <si>
    <t>user 8 input channel assignment</t>
  </si>
  <si>
    <t>Conf_Input_Channel_Assignment_s008</t>
  </si>
  <si>
    <t>user 9 input channel assignment</t>
  </si>
  <si>
    <t>Conf_Input_Channel_Assignment_s009</t>
  </si>
  <si>
    <t>user 10 input channel assignment</t>
  </si>
  <si>
    <t>Conf_Input_Channel_Assignment_s010</t>
  </si>
  <si>
    <t>user 11 input channel assignment</t>
  </si>
  <si>
    <t>Conf_Input_Channel_Assignment_s011</t>
  </si>
  <si>
    <t>user 12 input channel assignment</t>
  </si>
  <si>
    <t>Conf_Input_Channel_Assignment_s012</t>
  </si>
  <si>
    <t>Demand Method</t>
  </si>
  <si>
    <t>Conf_Demand_Method</t>
  </si>
  <si>
    <t>Demand Interval</t>
  </si>
  <si>
    <t>Conf_Demand_Interval</t>
  </si>
  <si>
    <t>Demand update rate</t>
  </si>
  <si>
    <t>Conf_Demand_Update_Rate</t>
  </si>
  <si>
    <t>VAR/PF Convention</t>
  </si>
  <si>
    <t>Conf_VAR_PF_Convention</t>
  </si>
  <si>
    <t>Energy Calculation Method</t>
  </si>
  <si>
    <t>Conf_Energy_Calculation_Method</t>
  </si>
  <si>
    <t>Reactive Power Calculation Method</t>
  </si>
  <si>
    <t>Conf_Reactive_Power_Calculation_Method</t>
  </si>
  <si>
    <t>Phase Order</t>
  </si>
  <si>
    <t>Conf_Phase_Order</t>
  </si>
  <si>
    <t>Energy Reading Display format</t>
  </si>
  <si>
    <t>Conf_Energy_Reading_Display_Format</t>
  </si>
  <si>
    <t>Reserve3</t>
  </si>
  <si>
    <t>Conf_Reserve3</t>
  </si>
  <si>
    <t>Energy pulse constant</t>
  </si>
  <si>
    <t>Conf_Energy_Pulse_Constant</t>
  </si>
  <si>
    <t>Pulse LED  width</t>
  </si>
  <si>
    <t>Conf_Pulse_LED_Width</t>
  </si>
  <si>
    <t>Pulse LED parameter selection</t>
  </si>
  <si>
    <t>Conf_Pulse_LED_Parameter_Selection</t>
  </si>
  <si>
    <t>DO1 Type</t>
  </si>
  <si>
    <t>Conf_DO_Type_001</t>
  </si>
  <si>
    <t>DO1 Pulse width</t>
  </si>
  <si>
    <t>Conf_DO_Pulse_Width_001</t>
  </si>
  <si>
    <t>DO1 parameter selection</t>
  </si>
  <si>
    <t>Conf_DO_Parameter_Selection_001</t>
  </si>
  <si>
    <t>DO2 Type</t>
  </si>
  <si>
    <t>Conf_DO_Type_002</t>
  </si>
  <si>
    <t>DO2 Pulse width</t>
  </si>
  <si>
    <t>Conf_DO_Pulse_Width_002</t>
  </si>
  <si>
    <t>DO2 parameter selection</t>
  </si>
  <si>
    <t>Conf_DO_Parameter_Selection_002</t>
  </si>
  <si>
    <t>DO3 Type</t>
  </si>
  <si>
    <t>Conf_DO_Type_003</t>
  </si>
  <si>
    <t>DO3 Pulse width</t>
  </si>
  <si>
    <t>Conf_DO_Pulse_Width_003</t>
  </si>
  <si>
    <t>DO3 parameter selection</t>
  </si>
  <si>
    <t>Conf_DO_Parameter_Selection_003</t>
  </si>
  <si>
    <t>DO4 Type</t>
  </si>
  <si>
    <t>Conf_DO_Type_004</t>
  </si>
  <si>
    <t>DO4 Pulse width</t>
  </si>
  <si>
    <t>Conf_DO_Pulse_Width_004</t>
  </si>
  <si>
    <t>DO4 parameter selection</t>
  </si>
  <si>
    <t>Conf_DO_Parameter_Selection_004</t>
  </si>
  <si>
    <t>DO5 Type</t>
  </si>
  <si>
    <t>Conf_DO_Type_005</t>
  </si>
  <si>
    <t>DO5 Pulse width</t>
  </si>
  <si>
    <t>Conf_DO_Pulse_Width_005</t>
  </si>
  <si>
    <t>DO5 parameter selection</t>
  </si>
  <si>
    <t>Conf_DO_Parameter_Selection_005</t>
  </si>
  <si>
    <t>DO6 Type</t>
  </si>
  <si>
    <t>Conf_DO_Type_006</t>
  </si>
  <si>
    <t>DO6 Pulse width</t>
  </si>
  <si>
    <t>Conf_DO_Pulse_Width_006</t>
  </si>
  <si>
    <t>DO6 parameter selection</t>
  </si>
  <si>
    <t>Conf_DO_Parameter_Selection_006</t>
  </si>
  <si>
    <t>DO7 Type</t>
  </si>
  <si>
    <t>Conf_DO_Type_007</t>
  </si>
  <si>
    <t>DO7 Pulse width</t>
  </si>
  <si>
    <t>Conf_DO_Pulse_Width_007</t>
  </si>
  <si>
    <t>DO7 parameter selection</t>
  </si>
  <si>
    <t>Conf_DO_Parameter_Selection_007</t>
  </si>
  <si>
    <t>DO8 Type</t>
  </si>
  <si>
    <t>Conf_DO_Type_008</t>
  </si>
  <si>
    <t>DO8 Pulse width</t>
  </si>
  <si>
    <t>Conf_DO_Pulse_Width_008</t>
  </si>
  <si>
    <t>DO8parameter selection</t>
  </si>
  <si>
    <t>Conf_DO_Parameter_Selection_008</t>
  </si>
  <si>
    <t>DI1 Type</t>
  </si>
  <si>
    <t>Conf_DI_Type_001</t>
  </si>
  <si>
    <t>DI1 pulse constant</t>
  </si>
  <si>
    <t>Conf_DI_Pulse_Constant_001</t>
  </si>
  <si>
    <t>DI2 Type</t>
  </si>
  <si>
    <t>Conf_DI_Type_002</t>
  </si>
  <si>
    <t>DI2 pulse constant</t>
  </si>
  <si>
    <t>Conf_DI_Pulse_Constant_002</t>
  </si>
  <si>
    <t>DI3 Type</t>
  </si>
  <si>
    <t>Conf_DI_Type_003</t>
  </si>
  <si>
    <t>DI3 pulse constant</t>
  </si>
  <si>
    <t>Conf_DI_Pulse_Constant_003</t>
  </si>
  <si>
    <t>DI4 Type</t>
  </si>
  <si>
    <t>Conf_DI_Type_004</t>
  </si>
  <si>
    <t>DI4 pulse constant</t>
  </si>
  <si>
    <t>Conf_DI_Pulse_Constant_004</t>
  </si>
  <si>
    <t>RO1 Type</t>
  </si>
  <si>
    <t>Conf_RO_Type_001</t>
  </si>
  <si>
    <t>RO1 Control Mode</t>
  </si>
  <si>
    <t>Conf_RO_Control_Mode_001</t>
  </si>
  <si>
    <t>RO1 Pulse Width</t>
  </si>
  <si>
    <t>Conf_RO_Pulse_Width_001</t>
  </si>
  <si>
    <t>RO2 Type</t>
  </si>
  <si>
    <t>Conf_RO_Type_002</t>
  </si>
  <si>
    <t>RO2 Control Mode</t>
  </si>
  <si>
    <t>Conf_RO_Control_Mode_002</t>
  </si>
  <si>
    <t>RO2 Pulse Width</t>
  </si>
  <si>
    <t>Conf_RO_Pulse_Width_002</t>
  </si>
  <si>
    <t>Clear energy</t>
  </si>
  <si>
    <t>Conf_Clear_Energy</t>
  </si>
  <si>
    <t>W</t>
  </si>
  <si>
    <t>Clear Max demand</t>
  </si>
  <si>
    <t>Conf_Clear_Max_Demand</t>
  </si>
  <si>
    <t>Clear MaxDemand ClearCount and Timestamp</t>
  </si>
  <si>
    <t>Conf_Clear_MaxDemand_ClearCount_Timestamp</t>
  </si>
  <si>
    <t>Clear max/min</t>
  </si>
  <si>
    <t>Conf_Clear_Max_Min</t>
  </si>
  <si>
    <t>Clear device run time</t>
  </si>
  <si>
    <t>Conf_Clear_Device_Run_Time</t>
  </si>
  <si>
    <t>Clear load time</t>
  </si>
  <si>
    <t>Conf_Clear_Load_Time</t>
  </si>
  <si>
    <t>Factory reset</t>
  </si>
  <si>
    <t>Conf_Reset_Factory</t>
  </si>
  <si>
    <t>Network reset</t>
  </si>
  <si>
    <t>Conf_Reset_Network</t>
  </si>
  <si>
    <t>Clear SOE Log</t>
  </si>
  <si>
    <t>Conf_Clear_SOE_Log</t>
  </si>
  <si>
    <t>Clear alarm Log</t>
  </si>
  <si>
    <t>Conf_Clear_Alarm_Log</t>
  </si>
  <si>
    <t>Clear PQ event Log</t>
  </si>
  <si>
    <t>Conf_Clear_PQEvent_Log</t>
  </si>
  <si>
    <t>Clear Waveform</t>
  </si>
  <si>
    <t>Conf_Clear_Waveform</t>
  </si>
  <si>
    <t>Clear Data Log1</t>
  </si>
  <si>
    <t>Conf_Clear_Data_Log1</t>
  </si>
  <si>
    <t>Clear Data Log2</t>
  </si>
  <si>
    <t>Conf_Clear_Data_Log2</t>
  </si>
  <si>
    <t>Clear Data Log3</t>
  </si>
  <si>
    <t>Conf_Clear_Data_Log3</t>
  </si>
  <si>
    <t>Clear Trend Log</t>
  </si>
  <si>
    <t>Conf_Clear_Trend_Log</t>
  </si>
  <si>
    <t>Clear DI Count</t>
  </si>
  <si>
    <t>Conf_Clear_DI_Count</t>
  </si>
  <si>
    <t>Clear Year 10 Holiday Number Setting</t>
  </si>
  <si>
    <t>Conf_Clear_Year10_Holiday_Number_Setting</t>
  </si>
  <si>
    <t>Restore TOU factory setting</t>
  </si>
  <si>
    <t>Conf_Restore_TOU_Factory_Setting</t>
  </si>
  <si>
    <t>Clear TOU Energy</t>
  </si>
  <si>
    <t>Conf_TOU_Energy</t>
  </si>
  <si>
    <t>Device Reboot</t>
  </si>
  <si>
    <t>Conf_Device_Reboot</t>
  </si>
  <si>
    <t>The index of the SOE Log</t>
  </si>
  <si>
    <t>SOE_Index</t>
  </si>
  <si>
    <t>19</t>
  </si>
  <si>
    <t>Number of the SOE Log</t>
  </si>
  <si>
    <t>SOE_Number</t>
  </si>
  <si>
    <t>type</t>
  </si>
  <si>
    <t>start</t>
  </si>
  <si>
    <t>count</t>
  </si>
  <si>
    <t>NAME</t>
  </si>
  <si>
    <t>VIRTUAL_BLOCK</t>
  </si>
  <si>
    <t>HOLDING_REGISTER</t>
  </si>
  <si>
    <t>System Basic Reading</t>
  </si>
  <si>
    <t>Input Channal Basic Reading 1</t>
  </si>
  <si>
    <t>Input Channal Basic Reading 2</t>
  </si>
  <si>
    <t>Input Channal Basic Reading 3</t>
  </si>
  <si>
    <t>User Channal Basic Reading 1</t>
  </si>
  <si>
    <t>User Channal Basic Reading 2</t>
  </si>
  <si>
    <t>Demand 1</t>
  </si>
  <si>
    <t>Demand 2</t>
  </si>
  <si>
    <t>Demand 3</t>
  </si>
  <si>
    <t>Demand 4</t>
  </si>
  <si>
    <t>Demand 5</t>
  </si>
  <si>
    <t>Demand 6</t>
  </si>
  <si>
    <t>Power Quality 1</t>
  </si>
  <si>
    <t>Power Quality 2</t>
  </si>
  <si>
    <t>Power Quality 3</t>
  </si>
  <si>
    <t>Power Quality 4</t>
  </si>
  <si>
    <t>Power Quality 5</t>
  </si>
  <si>
    <t>Power Quality 6</t>
  </si>
  <si>
    <t>Power Quality 7</t>
  </si>
  <si>
    <t>Power Quality 8</t>
  </si>
  <si>
    <t>Power Quality 9</t>
  </si>
  <si>
    <t>Power Quality 10</t>
  </si>
  <si>
    <t>Harmonics 11</t>
  </si>
  <si>
    <t>Harmonics 12</t>
  </si>
  <si>
    <t>Harmonics 13</t>
  </si>
  <si>
    <t>Harmonics 14</t>
  </si>
  <si>
    <t>Harmonics 15</t>
  </si>
  <si>
    <t>Harmonics 16</t>
  </si>
  <si>
    <t>Harmonics 17</t>
  </si>
  <si>
    <t>Harmonics 18</t>
  </si>
  <si>
    <t>Harmonics 19</t>
  </si>
  <si>
    <t>Harmonics 20</t>
  </si>
  <si>
    <t>Harmonics 21</t>
  </si>
  <si>
    <t>Harmonics 22</t>
  </si>
  <si>
    <t>Harmonics 23</t>
  </si>
  <si>
    <t>Harmonics 24</t>
  </si>
  <si>
    <t>Harmonics 25</t>
  </si>
  <si>
    <t>Harmonics 26</t>
  </si>
  <si>
    <t>Harmonics 27</t>
  </si>
  <si>
    <t>Sequence 1</t>
  </si>
  <si>
    <t>Sequence 2</t>
  </si>
  <si>
    <t>Energy 1</t>
  </si>
  <si>
    <t>Energy 2</t>
  </si>
  <si>
    <t>Energy 3</t>
  </si>
  <si>
    <t>Energy 4</t>
  </si>
  <si>
    <t>Energy 5</t>
  </si>
  <si>
    <t>Energy 6</t>
  </si>
  <si>
    <t>Energy 7</t>
  </si>
  <si>
    <t>Energy 8</t>
  </si>
  <si>
    <t>Energy 9</t>
  </si>
  <si>
    <t>Energy 10</t>
  </si>
  <si>
    <t>Energy 11</t>
  </si>
  <si>
    <t>Energy 12</t>
  </si>
  <si>
    <t>DI Pulse Count</t>
  </si>
  <si>
    <t>INPUT_STATUS</t>
  </si>
  <si>
    <t>DI Status</t>
  </si>
  <si>
    <t>COIL_STATUS</t>
  </si>
  <si>
    <t>DO Status</t>
  </si>
  <si>
    <t>RO Status</t>
  </si>
  <si>
    <t>Device Settings Class PQ</t>
  </si>
  <si>
    <t>Device Settings Class Waveform</t>
  </si>
  <si>
    <t>System Max Demand</t>
  </si>
  <si>
    <t>Input Channal Max Demand 1</t>
  </si>
  <si>
    <t>Input Channal Max Demand 2</t>
  </si>
  <si>
    <t>Input Channal Max Demand 3</t>
  </si>
  <si>
    <t>Input Channal Max Demand 4</t>
  </si>
  <si>
    <t>Input Channal Max Demand 5</t>
  </si>
  <si>
    <t>Input Channal Max Demand 6</t>
  </si>
  <si>
    <t>User Channal Max Demand 1</t>
  </si>
  <si>
    <t>User Channal Max Demand 2</t>
  </si>
  <si>
    <t>User Channal Max Demand 3</t>
  </si>
  <si>
    <t>Max value record 1</t>
  </si>
  <si>
    <t>Max value record 2</t>
  </si>
  <si>
    <t>Max value record 3</t>
  </si>
  <si>
    <t>Max value record 4</t>
  </si>
  <si>
    <t>Max value record 5</t>
  </si>
  <si>
    <t>Max value record 6</t>
  </si>
  <si>
    <t>Max value record 7</t>
  </si>
  <si>
    <t>Max value record 8</t>
  </si>
  <si>
    <t>Max value record 9</t>
  </si>
  <si>
    <t>Max value record 10</t>
  </si>
  <si>
    <t>Max value record 11</t>
  </si>
  <si>
    <t>Max value record 12</t>
  </si>
  <si>
    <t>Max value record 13</t>
  </si>
  <si>
    <t>Min value record 1</t>
  </si>
  <si>
    <t>Min value record 2</t>
  </si>
  <si>
    <t>Min value record 3</t>
  </si>
  <si>
    <t>Min value record 4</t>
  </si>
  <si>
    <t>Min value record 5</t>
  </si>
  <si>
    <t>Min value record 6</t>
  </si>
  <si>
    <t>Min value record 7</t>
  </si>
  <si>
    <t>Min value record 8</t>
  </si>
  <si>
    <t>Min value record 9</t>
  </si>
  <si>
    <t>Min value record 10</t>
  </si>
  <si>
    <t>Min value record 11</t>
  </si>
  <si>
    <t>Min value record 12</t>
  </si>
  <si>
    <t>Min value record 13</t>
  </si>
  <si>
    <t>Waveform</t>
  </si>
  <si>
    <t>PQ Event</t>
  </si>
  <si>
    <t>Product Info</t>
  </si>
  <si>
    <t>Firmware Version Info</t>
  </si>
  <si>
    <t>Bootloader Info</t>
  </si>
  <si>
    <t>Device Settings Basic 1</t>
  </si>
  <si>
    <t>Metrology Settings 1</t>
  </si>
  <si>
    <t>Metrology Settings 2</t>
  </si>
  <si>
    <t>Metrology Settings 3</t>
  </si>
  <si>
    <t>Device Settings Basic 3</t>
  </si>
  <si>
    <t>Device Settings Basic 4</t>
  </si>
  <si>
    <t>SOE Log Status</t>
  </si>
  <si>
    <t>Pulse Constant</t>
  </si>
  <si>
    <t>Input Channel 24 Current individual Harmonics 13 percentage</t>
    <phoneticPr fontId="24" type="noConversion"/>
  </si>
  <si>
    <t>I_s001_%</t>
    <phoneticPr fontId="24" type="noConversion"/>
  </si>
  <si>
    <t>I_s001_A</t>
    <phoneticPr fontId="24" type="noConversion"/>
  </si>
  <si>
    <t>I_s002_A</t>
    <phoneticPr fontId="24" type="noConversion"/>
  </si>
  <si>
    <t>I_s003_A</t>
    <phoneticPr fontId="24" type="noConversion"/>
  </si>
  <si>
    <t>I_s004_A</t>
    <phoneticPr fontId="24" type="noConversion"/>
  </si>
  <si>
    <t>I_s005_A</t>
    <phoneticPr fontId="24" type="noConversion"/>
  </si>
  <si>
    <t>I_s006_A</t>
    <phoneticPr fontId="24" type="noConversion"/>
  </si>
  <si>
    <t>I_s007_A</t>
    <phoneticPr fontId="24" type="noConversion"/>
  </si>
  <si>
    <t>I_s008_A</t>
    <phoneticPr fontId="24" type="noConversion"/>
  </si>
  <si>
    <t>I_s009_A</t>
    <phoneticPr fontId="24" type="noConversion"/>
  </si>
  <si>
    <t>I_s010_A</t>
    <phoneticPr fontId="24" type="noConversion"/>
  </si>
  <si>
    <t>I_s011_A</t>
    <phoneticPr fontId="24" type="noConversion"/>
  </si>
  <si>
    <t>I_s012_A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</si>
</sst>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b/>
      <sz val="11"/>
      <color rgb="FFFF0000"/>
      <name val="等线"/>
      <family val="2"/>
    </font>
    <font>
      <sz val="11"/>
      <color rgb="FF3B7D23"/>
      <name val="等线"/>
      <family val="2"/>
    </font>
    <font>
      <b/>
      <sz val="11"/>
      <color rgb="FF3B7D23"/>
      <name val="等线"/>
      <family val="2"/>
    </font>
    <font>
      <b/>
      <sz val="11"/>
      <color rgb="FF000000"/>
      <name val="等线"/>
      <family val="2"/>
    </font>
    <font>
      <sz val="11"/>
      <color rgb="FF4EA72E"/>
      <name val="等线"/>
      <family val="2"/>
    </font>
    <font>
      <sz val="11"/>
      <color rgb="FFFF0000"/>
      <name val="等线"/>
      <family val="2"/>
    </font>
    <font>
      <sz val="11"/>
      <color rgb="FF000000"/>
      <name val="Consolas"/>
      <family val="2"/>
    </font>
    <font>
      <sz val="10"/>
      <color rgb="FF000000"/>
      <name val="等线"/>
      <family val="2"/>
    </font>
    <font>
      <sz val="11"/>
      <color rgb="FFA02B93"/>
      <name val="等线"/>
      <family val="2"/>
    </font>
    <font>
      <sz val="11"/>
      <color rgb="FF00B050"/>
      <name val="等线"/>
      <family val="2"/>
    </font>
    <font>
      <sz val="10"/>
      <color rgb="FF000000"/>
      <name val="华文细黑"/>
      <family val="2"/>
    </font>
    <font>
      <sz val="10"/>
      <color theme="1"/>
      <name val="华文细黑"/>
      <family val="2"/>
    </font>
    <font>
      <sz val="10"/>
      <color rgb="FFFF0000"/>
      <name val="华文细黑"/>
      <family val="2"/>
    </font>
    <font>
      <sz val="10"/>
      <color rgb="FF172B4D"/>
      <name val="华文细黑"/>
      <family val="2"/>
    </font>
    <font>
      <sz val="11"/>
      <color rgb="FF000000"/>
      <name val="华文细黑"/>
      <family val="2"/>
    </font>
    <font>
      <sz val="10"/>
      <color rgb="FF000000"/>
      <name val="Arial"/>
      <family val="2"/>
    </font>
    <font>
      <b/>
      <sz val="11"/>
      <color rgb="FF000000"/>
      <name val="华文细黑"/>
      <family val="2"/>
    </font>
    <font>
      <b/>
      <sz val="10"/>
      <color rgb="FF000000"/>
      <name val="Arial"/>
      <family val="2"/>
    </font>
    <font>
      <sz val="11"/>
      <color rgb="FF212529"/>
      <name val="Segoe UI"/>
      <family val="2"/>
    </font>
    <font>
      <sz val="11"/>
      <color rgb="FF196B24"/>
      <name val="等线"/>
      <family val="2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BFBFBF"/>
      </patternFill>
    </fill>
    <fill>
      <patternFill patternType="solid">
        <fgColor rgb="FF84E291"/>
      </patternFill>
    </fill>
    <fill>
      <patternFill patternType="solid">
        <fgColor rgb="FFC2F1C8"/>
      </patternFill>
    </fill>
    <fill>
      <patternFill patternType="solid">
        <fgColor rgb="FFD1D1D1"/>
      </patternFill>
    </fill>
    <fill>
      <patternFill patternType="solid">
        <fgColor rgb="FFB8D4F0"/>
      </patternFill>
    </fill>
    <fill>
      <patternFill patternType="solid">
        <fgColor rgb="FFAEAEAE"/>
      </patternFill>
    </fill>
    <fill>
      <patternFill patternType="solid">
        <fgColor rgb="FFFFFF00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1" fillId="5" borderId="2" xfId="0" applyNumberFormat="1" applyFont="1" applyFill="1" applyBorder="1" applyAlignment="1">
      <alignment horizontal="right"/>
    </xf>
    <xf numFmtId="3" fontId="8" fillId="5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3" fontId="8" fillId="0" borderId="1" xfId="0" applyNumberFormat="1" applyFont="1" applyBorder="1" applyAlignment="1">
      <alignment horizontal="right"/>
    </xf>
    <xf numFmtId="3" fontId="2" fillId="5" borderId="2" xfId="0" applyNumberFormat="1" applyFont="1" applyFill="1" applyBorder="1" applyAlignment="1">
      <alignment horizontal="right"/>
    </xf>
    <xf numFmtId="0" fontId="8" fillId="5" borderId="2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6" fillId="6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3" fontId="6" fillId="6" borderId="2" xfId="0" applyNumberFormat="1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left"/>
    </xf>
    <xf numFmtId="3" fontId="0" fillId="0" borderId="0" xfId="0" applyNumberFormat="1"/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8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1" fillId="8" borderId="2" xfId="0" applyNumberFormat="1" applyFont="1" applyFill="1" applyBorder="1" applyAlignment="1">
      <alignment horizontal="right"/>
    </xf>
    <xf numFmtId="0" fontId="1" fillId="8" borderId="2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3" fontId="1" fillId="6" borderId="2" xfId="0" applyNumberFormat="1" applyFont="1" applyFill="1" applyBorder="1" applyAlignment="1">
      <alignment horizontal="right"/>
    </xf>
    <xf numFmtId="0" fontId="1" fillId="6" borderId="2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3" fontId="1" fillId="6" borderId="2" xfId="0" applyNumberFormat="1" applyFont="1" applyFill="1" applyBorder="1" applyAlignment="1">
      <alignment horizontal="left"/>
    </xf>
    <xf numFmtId="49" fontId="2" fillId="6" borderId="2" xfId="0" applyNumberFormat="1" applyFont="1" applyFill="1" applyBorder="1" applyAlignment="1">
      <alignment horizontal="left"/>
    </xf>
    <xf numFmtId="0" fontId="8" fillId="9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1" fillId="10" borderId="2" xfId="0" applyNumberFormat="1" applyFont="1" applyFill="1" applyBorder="1" applyAlignment="1">
      <alignment horizontal="right"/>
    </xf>
    <xf numFmtId="0" fontId="1" fillId="10" borderId="2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3" fontId="19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3" fontId="17" fillId="0" borderId="1" xfId="0" applyNumberFormat="1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3" fontId="17" fillId="6" borderId="2" xfId="0" applyNumberFormat="1" applyFont="1" applyFill="1" applyBorder="1" applyAlignment="1">
      <alignment horizontal="right"/>
    </xf>
    <xf numFmtId="0" fontId="1" fillId="6" borderId="2" xfId="0" applyFont="1" applyFill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9"/>
  <sheetViews>
    <sheetView workbookViewId="0"/>
  </sheetViews>
  <sheetFormatPr defaultRowHeight="14.4" x14ac:dyDescent="0.25"/>
  <cols>
    <col min="1" max="1" width="13.5546875" style="24" bestFit="1" customWidth="1"/>
    <col min="2" max="2" width="24.109375" bestFit="1" customWidth="1"/>
    <col min="3" max="4" width="13.5546875" style="24" bestFit="1" customWidth="1"/>
    <col min="5" max="5" width="13.5546875" bestFit="1" customWidth="1"/>
    <col min="6" max="6" width="31.5546875" bestFit="1" customWidth="1"/>
    <col min="7" max="7" width="13.5546875" style="24" bestFit="1" customWidth="1"/>
    <col min="8" max="8" width="24.5546875" style="75" bestFit="1" customWidth="1"/>
    <col min="9" max="10" width="13.5546875" bestFit="1" customWidth="1"/>
    <col min="11" max="11" width="20.44140625" bestFit="1" customWidth="1"/>
  </cols>
  <sheetData>
    <row r="1" spans="1:9" ht="18.75" customHeight="1" x14ac:dyDescent="0.35">
      <c r="A1" s="73" t="s">
        <v>1795</v>
      </c>
      <c r="B1" s="74" t="s">
        <v>9174</v>
      </c>
      <c r="C1" s="73" t="s">
        <v>9175</v>
      </c>
      <c r="D1" s="73" t="s">
        <v>9176</v>
      </c>
      <c r="E1" s="74" t="s">
        <v>86</v>
      </c>
      <c r="F1" s="74" t="s">
        <v>9177</v>
      </c>
    </row>
    <row r="2" spans="1:9" ht="18.75" customHeight="1" x14ac:dyDescent="0.35">
      <c r="A2" s="76">
        <v>0</v>
      </c>
      <c r="B2" s="69" t="s">
        <v>9178</v>
      </c>
      <c r="C2" s="76">
        <v>0</v>
      </c>
      <c r="D2" s="76">
        <v>1</v>
      </c>
      <c r="E2" s="77" t="s">
        <v>16</v>
      </c>
      <c r="F2" s="69" t="s">
        <v>1807</v>
      </c>
    </row>
    <row r="3" spans="1:9" ht="18.75" customHeight="1" x14ac:dyDescent="0.35">
      <c r="A3" s="76">
        <v>1</v>
      </c>
      <c r="B3" s="69" t="s">
        <v>9179</v>
      </c>
      <c r="C3" s="76">
        <v>8192</v>
      </c>
      <c r="D3" s="76">
        <v>72</v>
      </c>
      <c r="E3" s="77" t="s">
        <v>16</v>
      </c>
      <c r="F3" s="3" t="s">
        <v>9180</v>
      </c>
      <c r="G3" s="10">
        <f t="shared" ref="G3:G34" si="0">C3+D3</f>
        <v>8264</v>
      </c>
      <c r="H3" s="4"/>
      <c r="I3" s="4"/>
    </row>
    <row r="4" spans="1:9" ht="18.75" customHeight="1" x14ac:dyDescent="0.35">
      <c r="A4" s="76">
        <v>2</v>
      </c>
      <c r="B4" s="69" t="s">
        <v>9179</v>
      </c>
      <c r="C4" s="76">
        <v>8264</v>
      </c>
      <c r="D4" s="76">
        <v>112</v>
      </c>
      <c r="E4" s="77" t="s">
        <v>16</v>
      </c>
      <c r="F4" s="3" t="s">
        <v>9181</v>
      </c>
      <c r="G4" s="10">
        <f t="shared" si="0"/>
        <v>8376</v>
      </c>
      <c r="H4" s="4"/>
      <c r="I4" s="4"/>
    </row>
    <row r="5" spans="1:9" ht="18.75" customHeight="1" x14ac:dyDescent="0.35">
      <c r="A5" s="76">
        <v>3</v>
      </c>
      <c r="B5" s="69" t="s">
        <v>9179</v>
      </c>
      <c r="C5" s="76">
        <v>8376</v>
      </c>
      <c r="D5" s="76">
        <v>112</v>
      </c>
      <c r="E5" s="77" t="s">
        <v>16</v>
      </c>
      <c r="F5" s="3" t="s">
        <v>9182</v>
      </c>
      <c r="G5" s="10">
        <f t="shared" si="0"/>
        <v>8488</v>
      </c>
      <c r="H5" s="4"/>
      <c r="I5" s="4"/>
    </row>
    <row r="6" spans="1:9" ht="18.75" customHeight="1" x14ac:dyDescent="0.35">
      <c r="A6" s="76">
        <v>4</v>
      </c>
      <c r="B6" s="69" t="s">
        <v>9179</v>
      </c>
      <c r="C6" s="76">
        <v>8488</v>
      </c>
      <c r="D6" s="76">
        <v>112</v>
      </c>
      <c r="E6" s="77" t="s">
        <v>16</v>
      </c>
      <c r="F6" s="3" t="s">
        <v>9183</v>
      </c>
      <c r="G6" s="10">
        <f t="shared" si="0"/>
        <v>8600</v>
      </c>
      <c r="H6" s="4"/>
      <c r="I6" s="4"/>
    </row>
    <row r="7" spans="1:9" ht="18.75" customHeight="1" x14ac:dyDescent="0.35">
      <c r="A7" s="76">
        <v>5</v>
      </c>
      <c r="B7" s="69" t="s">
        <v>9179</v>
      </c>
      <c r="C7" s="76">
        <v>8600</v>
      </c>
      <c r="D7" s="76">
        <v>72</v>
      </c>
      <c r="E7" s="77" t="s">
        <v>16</v>
      </c>
      <c r="F7" s="3" t="s">
        <v>9184</v>
      </c>
      <c r="G7" s="10">
        <f t="shared" si="0"/>
        <v>8672</v>
      </c>
      <c r="H7" s="4"/>
      <c r="I7" s="4"/>
    </row>
    <row r="8" spans="1:9" ht="18.75" customHeight="1" x14ac:dyDescent="0.35">
      <c r="A8" s="76">
        <v>6</v>
      </c>
      <c r="B8" s="69" t="s">
        <v>9179</v>
      </c>
      <c r="C8" s="76">
        <v>8672</v>
      </c>
      <c r="D8" s="76">
        <v>72</v>
      </c>
      <c r="E8" s="77" t="s">
        <v>16</v>
      </c>
      <c r="F8" s="3" t="s">
        <v>9185</v>
      </c>
      <c r="G8" s="10">
        <f t="shared" si="0"/>
        <v>8744</v>
      </c>
      <c r="H8" s="4"/>
      <c r="I8" s="4"/>
    </row>
    <row r="9" spans="1:9" ht="18.75" customHeight="1" x14ac:dyDescent="0.35">
      <c r="A9" s="76">
        <v>7</v>
      </c>
      <c r="B9" s="69" t="s">
        <v>9179</v>
      </c>
      <c r="C9" s="76">
        <v>8960</v>
      </c>
      <c r="D9" s="76">
        <v>48</v>
      </c>
      <c r="E9" s="77" t="s">
        <v>16</v>
      </c>
      <c r="F9" s="3" t="s">
        <v>9186</v>
      </c>
      <c r="G9" s="10">
        <f t="shared" si="0"/>
        <v>9008</v>
      </c>
      <c r="H9" s="4"/>
      <c r="I9" s="4"/>
    </row>
    <row r="10" spans="1:9" ht="18.75" customHeight="1" x14ac:dyDescent="0.35">
      <c r="A10" s="76">
        <v>8</v>
      </c>
      <c r="B10" s="69" t="s">
        <v>9179</v>
      </c>
      <c r="C10" s="76">
        <v>9008</v>
      </c>
      <c r="D10" s="76">
        <v>96</v>
      </c>
      <c r="E10" s="77" t="s">
        <v>16</v>
      </c>
      <c r="F10" s="3" t="s">
        <v>9187</v>
      </c>
      <c r="G10" s="10">
        <f t="shared" si="0"/>
        <v>9104</v>
      </c>
      <c r="H10" s="4"/>
      <c r="I10" s="4"/>
    </row>
    <row r="11" spans="1:9" ht="18.75" customHeight="1" x14ac:dyDescent="0.35">
      <c r="A11" s="76">
        <v>9</v>
      </c>
      <c r="B11" s="69" t="s">
        <v>9179</v>
      </c>
      <c r="C11" s="76">
        <v>9104</v>
      </c>
      <c r="D11" s="76">
        <v>96</v>
      </c>
      <c r="E11" s="77" t="s">
        <v>16</v>
      </c>
      <c r="F11" s="3" t="s">
        <v>9188</v>
      </c>
      <c r="G11" s="10">
        <f t="shared" si="0"/>
        <v>9200</v>
      </c>
      <c r="H11" s="4"/>
      <c r="I11" s="4"/>
    </row>
    <row r="12" spans="1:9" ht="18.75" customHeight="1" x14ac:dyDescent="0.35">
      <c r="A12" s="76">
        <v>10</v>
      </c>
      <c r="B12" s="69" t="s">
        <v>9179</v>
      </c>
      <c r="C12" s="76">
        <v>9200</v>
      </c>
      <c r="D12" s="76">
        <v>96</v>
      </c>
      <c r="E12" s="77" t="s">
        <v>16</v>
      </c>
      <c r="F12" s="3" t="s">
        <v>9189</v>
      </c>
      <c r="G12" s="10">
        <f t="shared" si="0"/>
        <v>9296</v>
      </c>
      <c r="H12" s="4"/>
      <c r="I12" s="4"/>
    </row>
    <row r="13" spans="1:9" ht="18.75" customHeight="1" x14ac:dyDescent="0.35">
      <c r="A13" s="76">
        <v>11</v>
      </c>
      <c r="B13" s="69" t="s">
        <v>9179</v>
      </c>
      <c r="C13" s="76">
        <v>9296</v>
      </c>
      <c r="D13" s="76">
        <v>72</v>
      </c>
      <c r="E13" s="77" t="s">
        <v>16</v>
      </c>
      <c r="F13" s="3" t="s">
        <v>9190</v>
      </c>
      <c r="G13" s="10">
        <f t="shared" si="0"/>
        <v>9368</v>
      </c>
      <c r="H13" s="4"/>
      <c r="I13" s="4"/>
    </row>
    <row r="14" spans="1:9" ht="18.75" customHeight="1" x14ac:dyDescent="0.35">
      <c r="A14" s="76">
        <v>12</v>
      </c>
      <c r="B14" s="69" t="s">
        <v>9179</v>
      </c>
      <c r="C14" s="76">
        <v>9368</v>
      </c>
      <c r="D14" s="76">
        <v>72</v>
      </c>
      <c r="E14" s="77" t="s">
        <v>16</v>
      </c>
      <c r="F14" s="3" t="s">
        <v>9191</v>
      </c>
      <c r="G14" s="10">
        <f t="shared" si="0"/>
        <v>9440</v>
      </c>
      <c r="H14" s="4"/>
      <c r="I14" s="4"/>
    </row>
    <row r="15" spans="1:9" ht="18.75" customHeight="1" x14ac:dyDescent="0.35">
      <c r="A15" s="78">
        <v>13</v>
      </c>
      <c r="B15" s="69" t="s">
        <v>9179</v>
      </c>
      <c r="C15" s="76">
        <v>9728</v>
      </c>
      <c r="D15" s="76">
        <v>84</v>
      </c>
      <c r="E15" s="77" t="s">
        <v>16</v>
      </c>
      <c r="F15" s="3" t="s">
        <v>9192</v>
      </c>
      <c r="G15" s="51">
        <f t="shared" si="0"/>
        <v>9812</v>
      </c>
      <c r="H15" s="79"/>
      <c r="I15" s="3"/>
    </row>
    <row r="16" spans="1:9" ht="18.75" customHeight="1" x14ac:dyDescent="0.35">
      <c r="A16" s="78">
        <v>14</v>
      </c>
      <c r="B16" s="69" t="s">
        <v>9179</v>
      </c>
      <c r="C16" s="76">
        <v>9812</v>
      </c>
      <c r="D16" s="76">
        <v>70</v>
      </c>
      <c r="E16" s="77" t="s">
        <v>16</v>
      </c>
      <c r="F16" s="3" t="s">
        <v>9193</v>
      </c>
      <c r="G16" s="51">
        <f t="shared" si="0"/>
        <v>9882</v>
      </c>
      <c r="H16" s="79"/>
      <c r="I16" s="3"/>
    </row>
    <row r="17" spans="1:9" ht="18.75" customHeight="1" x14ac:dyDescent="0.35">
      <c r="A17" s="78">
        <v>15</v>
      </c>
      <c r="B17" s="69" t="s">
        <v>9179</v>
      </c>
      <c r="C17" s="76">
        <v>9882</v>
      </c>
      <c r="D17" s="76">
        <v>70</v>
      </c>
      <c r="E17" s="77" t="s">
        <v>16</v>
      </c>
      <c r="F17" s="3" t="s">
        <v>9194</v>
      </c>
      <c r="G17" s="51">
        <f t="shared" si="0"/>
        <v>9952</v>
      </c>
      <c r="H17" s="79"/>
      <c r="I17" s="3"/>
    </row>
    <row r="18" spans="1:9" ht="18.75" customHeight="1" x14ac:dyDescent="0.35">
      <c r="A18" s="78">
        <v>16</v>
      </c>
      <c r="B18" s="69" t="s">
        <v>9179</v>
      </c>
      <c r="C18" s="76">
        <v>9952</v>
      </c>
      <c r="D18" s="76">
        <v>74</v>
      </c>
      <c r="E18" s="77" t="s">
        <v>16</v>
      </c>
      <c r="F18" s="3" t="s">
        <v>9195</v>
      </c>
      <c r="G18" s="51">
        <f t="shared" si="0"/>
        <v>10026</v>
      </c>
      <c r="H18" s="79"/>
      <c r="I18" s="3"/>
    </row>
    <row r="19" spans="1:9" ht="18.75" customHeight="1" x14ac:dyDescent="0.35">
      <c r="A19" s="78">
        <v>17</v>
      </c>
      <c r="B19" s="69" t="s">
        <v>9179</v>
      </c>
      <c r="C19" s="76">
        <v>10026</v>
      </c>
      <c r="D19" s="76">
        <v>68</v>
      </c>
      <c r="E19" s="77" t="s">
        <v>16</v>
      </c>
      <c r="F19" s="3" t="s">
        <v>9196</v>
      </c>
      <c r="G19" s="51">
        <f t="shared" si="0"/>
        <v>10094</v>
      </c>
      <c r="H19" s="79"/>
      <c r="I19" s="3"/>
    </row>
    <row r="20" spans="1:9" ht="18.75" customHeight="1" x14ac:dyDescent="0.35">
      <c r="A20" s="78">
        <v>18</v>
      </c>
      <c r="B20" s="69" t="s">
        <v>9179</v>
      </c>
      <c r="C20" s="76">
        <v>10094</v>
      </c>
      <c r="D20" s="76">
        <v>68</v>
      </c>
      <c r="E20" s="77" t="s">
        <v>16</v>
      </c>
      <c r="F20" s="3" t="s">
        <v>9197</v>
      </c>
      <c r="G20" s="51">
        <f t="shared" si="0"/>
        <v>10162</v>
      </c>
      <c r="H20" s="79"/>
      <c r="I20" s="3"/>
    </row>
    <row r="21" spans="1:9" ht="18.75" customHeight="1" x14ac:dyDescent="0.35">
      <c r="A21" s="78">
        <v>19</v>
      </c>
      <c r="B21" s="69" t="s">
        <v>9179</v>
      </c>
      <c r="C21" s="76">
        <v>10162</v>
      </c>
      <c r="D21" s="76">
        <v>68</v>
      </c>
      <c r="E21" s="77" t="s">
        <v>16</v>
      </c>
      <c r="F21" s="3" t="s">
        <v>9198</v>
      </c>
      <c r="G21" s="51">
        <f t="shared" si="0"/>
        <v>10230</v>
      </c>
      <c r="H21" s="79"/>
      <c r="I21" s="3"/>
    </row>
    <row r="22" spans="1:9" ht="18.75" customHeight="1" x14ac:dyDescent="0.35">
      <c r="A22" s="78">
        <v>20</v>
      </c>
      <c r="B22" s="69" t="s">
        <v>9179</v>
      </c>
      <c r="C22" s="76">
        <v>10230</v>
      </c>
      <c r="D22" s="76">
        <v>68</v>
      </c>
      <c r="E22" s="77" t="s">
        <v>16</v>
      </c>
      <c r="F22" s="3" t="s">
        <v>9199</v>
      </c>
      <c r="G22" s="51">
        <f t="shared" si="0"/>
        <v>10298</v>
      </c>
      <c r="H22" s="79"/>
      <c r="I22" s="3"/>
    </row>
    <row r="23" spans="1:9" ht="18.75" customHeight="1" x14ac:dyDescent="0.35">
      <c r="A23" s="78">
        <v>21</v>
      </c>
      <c r="B23" s="69" t="s">
        <v>9179</v>
      </c>
      <c r="C23" s="76">
        <v>10298</v>
      </c>
      <c r="D23" s="76">
        <v>68</v>
      </c>
      <c r="E23" s="77" t="s">
        <v>16</v>
      </c>
      <c r="F23" s="3" t="s">
        <v>9200</v>
      </c>
      <c r="G23" s="51">
        <f t="shared" si="0"/>
        <v>10366</v>
      </c>
      <c r="H23" s="79"/>
      <c r="I23" s="3"/>
    </row>
    <row r="24" spans="1:9" ht="18.75" customHeight="1" x14ac:dyDescent="0.35">
      <c r="A24" s="78">
        <v>22</v>
      </c>
      <c r="B24" s="69" t="s">
        <v>9179</v>
      </c>
      <c r="C24" s="76">
        <v>10366</v>
      </c>
      <c r="D24" s="76">
        <v>68</v>
      </c>
      <c r="E24" s="77" t="s">
        <v>16</v>
      </c>
      <c r="F24" s="3" t="s">
        <v>9201</v>
      </c>
      <c r="G24" s="51">
        <f t="shared" si="0"/>
        <v>10434</v>
      </c>
      <c r="H24" s="79"/>
      <c r="I24" s="3"/>
    </row>
    <row r="25" spans="1:9" ht="18.75" customHeight="1" x14ac:dyDescent="0.35">
      <c r="A25" s="78">
        <v>23</v>
      </c>
      <c r="B25" s="69" t="s">
        <v>9179</v>
      </c>
      <c r="C25" s="76">
        <v>10434</v>
      </c>
      <c r="D25" s="76">
        <v>68</v>
      </c>
      <c r="E25" s="77" t="s">
        <v>16</v>
      </c>
      <c r="F25" s="3" t="s">
        <v>9202</v>
      </c>
      <c r="G25" s="51">
        <f t="shared" si="0"/>
        <v>10502</v>
      </c>
      <c r="H25" s="79"/>
    </row>
    <row r="26" spans="1:9" ht="18.75" customHeight="1" x14ac:dyDescent="0.35">
      <c r="A26" s="78">
        <v>24</v>
      </c>
      <c r="B26" s="69" t="s">
        <v>9179</v>
      </c>
      <c r="C26" s="76">
        <v>10502</v>
      </c>
      <c r="D26" s="76">
        <v>68</v>
      </c>
      <c r="E26" s="77" t="s">
        <v>16</v>
      </c>
      <c r="F26" s="3" t="s">
        <v>9203</v>
      </c>
      <c r="G26" s="51">
        <f t="shared" si="0"/>
        <v>10570</v>
      </c>
      <c r="H26" s="79"/>
    </row>
    <row r="27" spans="1:9" ht="18.75" customHeight="1" x14ac:dyDescent="0.35">
      <c r="A27" s="78">
        <v>25</v>
      </c>
      <c r="B27" s="69" t="s">
        <v>9179</v>
      </c>
      <c r="C27" s="76">
        <v>10570</v>
      </c>
      <c r="D27" s="76">
        <v>68</v>
      </c>
      <c r="E27" s="77" t="s">
        <v>16</v>
      </c>
      <c r="F27" s="3" t="s">
        <v>9204</v>
      </c>
      <c r="G27" s="51">
        <f t="shared" si="0"/>
        <v>10638</v>
      </c>
      <c r="H27" s="79"/>
    </row>
    <row r="28" spans="1:9" ht="18.75" customHeight="1" x14ac:dyDescent="0.35">
      <c r="A28" s="78">
        <v>26</v>
      </c>
      <c r="B28" s="69" t="s">
        <v>9179</v>
      </c>
      <c r="C28" s="76">
        <v>10638</v>
      </c>
      <c r="D28" s="76">
        <v>68</v>
      </c>
      <c r="E28" s="77" t="s">
        <v>16</v>
      </c>
      <c r="F28" s="3" t="s">
        <v>9205</v>
      </c>
      <c r="G28" s="51">
        <f t="shared" si="0"/>
        <v>10706</v>
      </c>
      <c r="H28" s="79"/>
    </row>
    <row r="29" spans="1:9" ht="18.75" customHeight="1" x14ac:dyDescent="0.35">
      <c r="A29" s="78">
        <v>27</v>
      </c>
      <c r="B29" s="69" t="s">
        <v>9179</v>
      </c>
      <c r="C29" s="76">
        <v>10706</v>
      </c>
      <c r="D29" s="76">
        <v>68</v>
      </c>
      <c r="E29" s="77" t="s">
        <v>16</v>
      </c>
      <c r="F29" s="3" t="s">
        <v>9206</v>
      </c>
      <c r="G29" s="51">
        <f t="shared" si="0"/>
        <v>10774</v>
      </c>
      <c r="H29" s="79"/>
    </row>
    <row r="30" spans="1:9" ht="18.75" customHeight="1" x14ac:dyDescent="0.35">
      <c r="A30" s="78">
        <v>28</v>
      </c>
      <c r="B30" s="69" t="s">
        <v>9179</v>
      </c>
      <c r="C30" s="76">
        <v>10774</v>
      </c>
      <c r="D30" s="76">
        <v>68</v>
      </c>
      <c r="E30" s="77" t="s">
        <v>16</v>
      </c>
      <c r="F30" s="3" t="s">
        <v>9207</v>
      </c>
      <c r="G30" s="51">
        <f t="shared" si="0"/>
        <v>10842</v>
      </c>
      <c r="H30" s="79"/>
    </row>
    <row r="31" spans="1:9" ht="18.75" customHeight="1" x14ac:dyDescent="0.35">
      <c r="A31" s="78">
        <v>29</v>
      </c>
      <c r="B31" s="69" t="s">
        <v>9179</v>
      </c>
      <c r="C31" s="76">
        <v>10842</v>
      </c>
      <c r="D31" s="76">
        <v>68</v>
      </c>
      <c r="E31" s="77" t="s">
        <v>16</v>
      </c>
      <c r="F31" s="3" t="s">
        <v>9208</v>
      </c>
      <c r="G31" s="51">
        <f t="shared" si="0"/>
        <v>10910</v>
      </c>
      <c r="H31" s="79"/>
    </row>
    <row r="32" spans="1:9" ht="18.75" customHeight="1" x14ac:dyDescent="0.35">
      <c r="A32" s="78">
        <v>30</v>
      </c>
      <c r="B32" s="69" t="s">
        <v>9179</v>
      </c>
      <c r="C32" s="76">
        <v>10910</v>
      </c>
      <c r="D32" s="76">
        <v>68</v>
      </c>
      <c r="E32" s="77" t="s">
        <v>16</v>
      </c>
      <c r="F32" s="3" t="s">
        <v>9209</v>
      </c>
      <c r="G32" s="51">
        <f t="shared" si="0"/>
        <v>10978</v>
      </c>
      <c r="H32" s="79"/>
    </row>
    <row r="33" spans="1:8" ht="18.75" customHeight="1" x14ac:dyDescent="0.35">
      <c r="A33" s="78">
        <v>31</v>
      </c>
      <c r="B33" s="69" t="s">
        <v>9179</v>
      </c>
      <c r="C33" s="76">
        <v>10978</v>
      </c>
      <c r="D33" s="76">
        <v>68</v>
      </c>
      <c r="E33" s="77" t="s">
        <v>16</v>
      </c>
      <c r="F33" s="3" t="s">
        <v>9210</v>
      </c>
      <c r="G33" s="51">
        <f t="shared" si="0"/>
        <v>11046</v>
      </c>
      <c r="H33" s="79"/>
    </row>
    <row r="34" spans="1:8" ht="18.75" customHeight="1" x14ac:dyDescent="0.35">
      <c r="A34" s="78">
        <v>32</v>
      </c>
      <c r="B34" s="69" t="s">
        <v>9179</v>
      </c>
      <c r="C34" s="76">
        <v>11046</v>
      </c>
      <c r="D34" s="76">
        <v>68</v>
      </c>
      <c r="E34" s="77" t="s">
        <v>16</v>
      </c>
      <c r="F34" s="3" t="s">
        <v>9211</v>
      </c>
      <c r="G34" s="51">
        <f t="shared" si="0"/>
        <v>11114</v>
      </c>
      <c r="H34" s="79"/>
    </row>
    <row r="35" spans="1:8" ht="18.75" customHeight="1" x14ac:dyDescent="0.35">
      <c r="A35" s="78">
        <v>33</v>
      </c>
      <c r="B35" s="69" t="s">
        <v>9179</v>
      </c>
      <c r="C35" s="76">
        <v>11114</v>
      </c>
      <c r="D35" s="76">
        <v>68</v>
      </c>
      <c r="E35" s="77" t="s">
        <v>16</v>
      </c>
      <c r="F35" s="3" t="s">
        <v>9212</v>
      </c>
      <c r="G35" s="51">
        <f t="shared" ref="G35:G66" si="1">C35+D35</f>
        <v>11182</v>
      </c>
      <c r="H35" s="79"/>
    </row>
    <row r="36" spans="1:8" ht="18.75" customHeight="1" x14ac:dyDescent="0.35">
      <c r="A36" s="78">
        <v>34</v>
      </c>
      <c r="B36" s="69" t="s">
        <v>9179</v>
      </c>
      <c r="C36" s="76">
        <v>11182</v>
      </c>
      <c r="D36" s="76">
        <v>68</v>
      </c>
      <c r="E36" s="77" t="s">
        <v>16</v>
      </c>
      <c r="F36" s="3" t="s">
        <v>9213</v>
      </c>
      <c r="G36" s="51">
        <f t="shared" si="1"/>
        <v>11250</v>
      </c>
      <c r="H36" s="79"/>
    </row>
    <row r="37" spans="1:8" ht="18.75" customHeight="1" x14ac:dyDescent="0.35">
      <c r="A37" s="78">
        <v>35</v>
      </c>
      <c r="B37" s="69" t="s">
        <v>9179</v>
      </c>
      <c r="C37" s="76">
        <v>11250</v>
      </c>
      <c r="D37" s="76">
        <v>68</v>
      </c>
      <c r="E37" s="77" t="s">
        <v>16</v>
      </c>
      <c r="F37" s="3" t="s">
        <v>9214</v>
      </c>
      <c r="G37" s="51">
        <f t="shared" si="1"/>
        <v>11318</v>
      </c>
      <c r="H37" s="79"/>
    </row>
    <row r="38" spans="1:8" ht="18.75" customHeight="1" x14ac:dyDescent="0.35">
      <c r="A38" s="78">
        <v>36</v>
      </c>
      <c r="B38" s="69" t="s">
        <v>9179</v>
      </c>
      <c r="C38" s="76">
        <v>11318</v>
      </c>
      <c r="D38" s="76">
        <v>68</v>
      </c>
      <c r="E38" s="77" t="s">
        <v>16</v>
      </c>
      <c r="F38" s="3" t="s">
        <v>9215</v>
      </c>
      <c r="G38" s="51">
        <f t="shared" si="1"/>
        <v>11386</v>
      </c>
      <c r="H38" s="79"/>
    </row>
    <row r="39" spans="1:8" ht="18.75" customHeight="1" x14ac:dyDescent="0.35">
      <c r="A39" s="78">
        <v>37</v>
      </c>
      <c r="B39" s="69" t="s">
        <v>9179</v>
      </c>
      <c r="C39" s="76">
        <v>11386</v>
      </c>
      <c r="D39" s="76">
        <v>68</v>
      </c>
      <c r="E39" s="77" t="s">
        <v>16</v>
      </c>
      <c r="F39" s="3" t="s">
        <v>9216</v>
      </c>
      <c r="G39" s="51">
        <f t="shared" si="1"/>
        <v>11454</v>
      </c>
      <c r="H39" s="79"/>
    </row>
    <row r="40" spans="1:8" ht="18.75" customHeight="1" x14ac:dyDescent="0.35">
      <c r="A40" s="78">
        <v>38</v>
      </c>
      <c r="B40" s="69" t="s">
        <v>9179</v>
      </c>
      <c r="C40" s="76">
        <v>11454</v>
      </c>
      <c r="D40" s="76">
        <v>68</v>
      </c>
      <c r="E40" s="77" t="s">
        <v>16</v>
      </c>
      <c r="F40" s="3" t="s">
        <v>9217</v>
      </c>
      <c r="G40" s="51">
        <f t="shared" si="1"/>
        <v>11522</v>
      </c>
      <c r="H40" s="79"/>
    </row>
    <row r="41" spans="1:8" ht="18.75" customHeight="1" x14ac:dyDescent="0.35">
      <c r="A41" s="78">
        <v>39</v>
      </c>
      <c r="B41" s="69" t="s">
        <v>9179</v>
      </c>
      <c r="C41" s="76">
        <v>11522</v>
      </c>
      <c r="D41" s="76">
        <v>68</v>
      </c>
      <c r="E41" s="77" t="s">
        <v>16</v>
      </c>
      <c r="F41" s="3" t="s">
        <v>9218</v>
      </c>
      <c r="G41" s="51">
        <f t="shared" si="1"/>
        <v>11590</v>
      </c>
      <c r="H41" s="79"/>
    </row>
    <row r="42" spans="1:8" ht="18.75" customHeight="1" x14ac:dyDescent="0.35">
      <c r="A42" s="78">
        <v>40</v>
      </c>
      <c r="B42" s="69" t="s">
        <v>9179</v>
      </c>
      <c r="C42" s="76">
        <v>11590</v>
      </c>
      <c r="D42" s="76">
        <v>84</v>
      </c>
      <c r="E42" s="77" t="s">
        <v>16</v>
      </c>
      <c r="F42" s="3" t="s">
        <v>9219</v>
      </c>
      <c r="G42" s="51">
        <f t="shared" si="1"/>
        <v>11674</v>
      </c>
      <c r="H42" s="79"/>
    </row>
    <row r="43" spans="1:8" ht="18.75" customHeight="1" x14ac:dyDescent="0.35">
      <c r="A43" s="78">
        <v>41</v>
      </c>
      <c r="B43" s="69" t="s">
        <v>9179</v>
      </c>
      <c r="C43" s="76">
        <v>11674</v>
      </c>
      <c r="D43" s="76">
        <v>84</v>
      </c>
      <c r="E43" s="77" t="s">
        <v>16</v>
      </c>
      <c r="F43" s="3" t="s">
        <v>9220</v>
      </c>
      <c r="G43" s="51">
        <f t="shared" si="1"/>
        <v>11758</v>
      </c>
      <c r="H43" s="79"/>
    </row>
    <row r="44" spans="1:8" ht="18.75" customHeight="1" x14ac:dyDescent="0.35">
      <c r="A44" s="76">
        <v>42</v>
      </c>
      <c r="B44" s="69" t="s">
        <v>9179</v>
      </c>
      <c r="C44" s="11">
        <v>12288</v>
      </c>
      <c r="D44" s="11">
        <v>124</v>
      </c>
      <c r="E44" s="77" t="s">
        <v>16</v>
      </c>
      <c r="F44" s="3" t="s">
        <v>9221</v>
      </c>
      <c r="G44" s="10">
        <f t="shared" si="1"/>
        <v>12412</v>
      </c>
      <c r="H44" s="4"/>
    </row>
    <row r="45" spans="1:8" ht="18.75" customHeight="1" x14ac:dyDescent="0.35">
      <c r="A45" s="76">
        <v>43</v>
      </c>
      <c r="B45" s="69" t="s">
        <v>9179</v>
      </c>
      <c r="C45" s="11">
        <v>12412</v>
      </c>
      <c r="D45" s="11">
        <v>124</v>
      </c>
      <c r="E45" s="77" t="s">
        <v>16</v>
      </c>
      <c r="F45" s="3" t="s">
        <v>9222</v>
      </c>
      <c r="G45" s="10">
        <f t="shared" si="1"/>
        <v>12536</v>
      </c>
      <c r="H45" s="4"/>
    </row>
    <row r="46" spans="1:8" ht="18.75" customHeight="1" x14ac:dyDescent="0.35">
      <c r="A46" s="76">
        <v>44</v>
      </c>
      <c r="B46" s="69" t="s">
        <v>9179</v>
      </c>
      <c r="C46" s="11">
        <v>12536</v>
      </c>
      <c r="D46" s="11">
        <v>124</v>
      </c>
      <c r="E46" s="77" t="s">
        <v>16</v>
      </c>
      <c r="F46" s="3" t="s">
        <v>9223</v>
      </c>
      <c r="G46" s="10">
        <f t="shared" si="1"/>
        <v>12660</v>
      </c>
      <c r="H46" s="4"/>
    </row>
    <row r="47" spans="1:8" ht="18.75" customHeight="1" x14ac:dyDescent="0.35">
      <c r="A47" s="76">
        <v>45</v>
      </c>
      <c r="B47" s="69" t="s">
        <v>9179</v>
      </c>
      <c r="C47" s="11">
        <v>12660</v>
      </c>
      <c r="D47" s="11">
        <v>124</v>
      </c>
      <c r="E47" s="77" t="s">
        <v>16</v>
      </c>
      <c r="F47" s="3" t="s">
        <v>9224</v>
      </c>
      <c r="G47" s="10">
        <f t="shared" si="1"/>
        <v>12784</v>
      </c>
      <c r="H47" s="4"/>
    </row>
    <row r="48" spans="1:8" ht="18.75" customHeight="1" x14ac:dyDescent="0.35">
      <c r="A48" s="76">
        <v>46</v>
      </c>
      <c r="B48" s="69" t="s">
        <v>9179</v>
      </c>
      <c r="C48" s="11">
        <v>12784</v>
      </c>
      <c r="D48" s="11">
        <v>124</v>
      </c>
      <c r="E48" s="77" t="s">
        <v>16</v>
      </c>
      <c r="F48" s="3" t="s">
        <v>9225</v>
      </c>
      <c r="G48" s="10">
        <f t="shared" si="1"/>
        <v>12908</v>
      </c>
      <c r="H48" s="4"/>
    </row>
    <row r="49" spans="1:8" ht="18.75" customHeight="1" x14ac:dyDescent="0.35">
      <c r="A49" s="76">
        <v>47</v>
      </c>
      <c r="B49" s="69" t="s">
        <v>9179</v>
      </c>
      <c r="C49" s="11">
        <v>12908</v>
      </c>
      <c r="D49" s="11">
        <v>124</v>
      </c>
      <c r="E49" s="77" t="s">
        <v>16</v>
      </c>
      <c r="F49" s="3" t="s">
        <v>9226</v>
      </c>
      <c r="G49" s="10">
        <f t="shared" si="1"/>
        <v>13032</v>
      </c>
      <c r="H49" s="4"/>
    </row>
    <row r="50" spans="1:8" ht="18.75" customHeight="1" x14ac:dyDescent="0.35">
      <c r="A50" s="76">
        <v>48</v>
      </c>
      <c r="B50" s="69" t="s">
        <v>9179</v>
      </c>
      <c r="C50" s="11">
        <v>13032</v>
      </c>
      <c r="D50" s="11">
        <v>124</v>
      </c>
      <c r="E50" s="77" t="s">
        <v>16</v>
      </c>
      <c r="F50" s="3" t="s">
        <v>9227</v>
      </c>
      <c r="G50" s="10">
        <f t="shared" si="1"/>
        <v>13156</v>
      </c>
      <c r="H50" s="4"/>
    </row>
    <row r="51" spans="1:8" ht="18.75" customHeight="1" x14ac:dyDescent="0.35">
      <c r="A51" s="76">
        <v>49</v>
      </c>
      <c r="B51" s="69" t="s">
        <v>9179</v>
      </c>
      <c r="C51" s="11">
        <v>13156</v>
      </c>
      <c r="D51" s="11">
        <v>124</v>
      </c>
      <c r="E51" s="77" t="s">
        <v>16</v>
      </c>
      <c r="F51" s="3" t="s">
        <v>9228</v>
      </c>
      <c r="G51" s="10">
        <f t="shared" si="1"/>
        <v>13280</v>
      </c>
      <c r="H51" s="4"/>
    </row>
    <row r="52" spans="1:8" ht="18.75" customHeight="1" x14ac:dyDescent="0.35">
      <c r="A52" s="76">
        <v>50</v>
      </c>
      <c r="B52" s="69" t="s">
        <v>9179</v>
      </c>
      <c r="C52" s="11">
        <v>13280</v>
      </c>
      <c r="D52" s="11">
        <v>124</v>
      </c>
      <c r="E52" s="77" t="s">
        <v>16</v>
      </c>
      <c r="F52" s="3" t="s">
        <v>9229</v>
      </c>
      <c r="G52" s="10">
        <f t="shared" si="1"/>
        <v>13404</v>
      </c>
      <c r="H52" s="4"/>
    </row>
    <row r="53" spans="1:8" ht="18.75" customHeight="1" x14ac:dyDescent="0.35">
      <c r="A53" s="76">
        <v>51</v>
      </c>
      <c r="B53" s="69" t="s">
        <v>9179</v>
      </c>
      <c r="C53" s="11">
        <v>13404</v>
      </c>
      <c r="D53" s="11">
        <v>124</v>
      </c>
      <c r="E53" s="77" t="s">
        <v>16</v>
      </c>
      <c r="F53" s="3" t="s">
        <v>9230</v>
      </c>
      <c r="G53" s="10">
        <f t="shared" si="1"/>
        <v>13528</v>
      </c>
      <c r="H53" s="4"/>
    </row>
    <row r="54" spans="1:8" ht="18.75" customHeight="1" x14ac:dyDescent="0.35">
      <c r="A54" s="76">
        <v>52</v>
      </c>
      <c r="B54" s="69" t="s">
        <v>9179</v>
      </c>
      <c r="C54" s="11">
        <v>13528</v>
      </c>
      <c r="D54" s="11">
        <v>124</v>
      </c>
      <c r="E54" s="77" t="s">
        <v>16</v>
      </c>
      <c r="F54" s="3" t="s">
        <v>9231</v>
      </c>
      <c r="G54" s="10">
        <f t="shared" si="1"/>
        <v>13652</v>
      </c>
      <c r="H54" s="4"/>
    </row>
    <row r="55" spans="1:8" ht="18.75" customHeight="1" x14ac:dyDescent="0.35">
      <c r="A55" s="76">
        <v>53</v>
      </c>
      <c r="B55" s="69" t="s">
        <v>9179</v>
      </c>
      <c r="C55" s="11">
        <v>13652</v>
      </c>
      <c r="D55" s="11">
        <v>76</v>
      </c>
      <c r="E55" s="77" t="s">
        <v>16</v>
      </c>
      <c r="F55" s="3" t="s">
        <v>9232</v>
      </c>
      <c r="G55" s="10">
        <f t="shared" si="1"/>
        <v>13728</v>
      </c>
      <c r="H55" s="4"/>
    </row>
    <row r="56" spans="1:8" ht="18.75" customHeight="1" x14ac:dyDescent="0.35">
      <c r="A56" s="76">
        <v>54</v>
      </c>
      <c r="B56" s="69" t="s">
        <v>9179</v>
      </c>
      <c r="C56" s="10">
        <v>25600</v>
      </c>
      <c r="D56" s="10">
        <v>8</v>
      </c>
      <c r="E56" s="77" t="s">
        <v>16</v>
      </c>
      <c r="F56" s="1" t="s">
        <v>9233</v>
      </c>
      <c r="G56" s="10">
        <f t="shared" si="1"/>
        <v>25608</v>
      </c>
      <c r="H56" s="4"/>
    </row>
    <row r="57" spans="1:8" ht="18.75" customHeight="1" x14ac:dyDescent="0.35">
      <c r="A57" s="76">
        <v>55</v>
      </c>
      <c r="B57" s="69" t="s">
        <v>9234</v>
      </c>
      <c r="C57" s="10">
        <v>0</v>
      </c>
      <c r="D57" s="10">
        <v>4</v>
      </c>
      <c r="E57" s="77" t="s">
        <v>16</v>
      </c>
      <c r="F57" s="1" t="s">
        <v>9235</v>
      </c>
      <c r="G57" s="10">
        <f t="shared" si="1"/>
        <v>4</v>
      </c>
      <c r="H57" s="4"/>
    </row>
    <row r="58" spans="1:8" ht="18.75" customHeight="1" x14ac:dyDescent="0.35">
      <c r="A58" s="76">
        <v>56</v>
      </c>
      <c r="B58" s="69" t="s">
        <v>9236</v>
      </c>
      <c r="C58" s="10">
        <v>0</v>
      </c>
      <c r="D58" s="10">
        <v>8</v>
      </c>
      <c r="E58" s="77" t="s">
        <v>16</v>
      </c>
      <c r="F58" s="1" t="s">
        <v>9237</v>
      </c>
      <c r="G58" s="10">
        <f t="shared" si="1"/>
        <v>8</v>
      </c>
      <c r="H58" s="4"/>
    </row>
    <row r="59" spans="1:8" ht="18.75" customHeight="1" x14ac:dyDescent="0.35">
      <c r="A59" s="76">
        <v>57</v>
      </c>
      <c r="B59" s="69" t="s">
        <v>9236</v>
      </c>
      <c r="C59" s="10">
        <v>32</v>
      </c>
      <c r="D59" s="10">
        <v>2</v>
      </c>
      <c r="E59" s="77" t="s">
        <v>16</v>
      </c>
      <c r="F59" s="1" t="s">
        <v>9238</v>
      </c>
      <c r="G59" s="10">
        <f t="shared" si="1"/>
        <v>34</v>
      </c>
      <c r="H59" s="4"/>
    </row>
    <row r="60" spans="1:8" ht="18.75" customHeight="1" x14ac:dyDescent="0.35">
      <c r="A60" s="76">
        <v>58</v>
      </c>
      <c r="B60" s="69" t="s">
        <v>9179</v>
      </c>
      <c r="C60" s="10">
        <v>25856</v>
      </c>
      <c r="D60" s="10">
        <v>26</v>
      </c>
      <c r="E60" s="77" t="s">
        <v>16</v>
      </c>
      <c r="F60" s="1" t="s">
        <v>9239</v>
      </c>
      <c r="G60" s="10">
        <f t="shared" si="1"/>
        <v>25882</v>
      </c>
      <c r="H60" s="4"/>
    </row>
    <row r="61" spans="1:8" ht="18.75" customHeight="1" x14ac:dyDescent="0.35">
      <c r="A61" s="76">
        <v>59</v>
      </c>
      <c r="B61" s="69" t="s">
        <v>9179</v>
      </c>
      <c r="C61" s="10">
        <v>25968</v>
      </c>
      <c r="D61" s="10">
        <v>8</v>
      </c>
      <c r="E61" s="77" t="s">
        <v>16</v>
      </c>
      <c r="F61" s="1" t="s">
        <v>9240</v>
      </c>
      <c r="G61" s="10">
        <f t="shared" si="1"/>
        <v>25976</v>
      </c>
      <c r="H61" s="4"/>
    </row>
    <row r="62" spans="1:8" ht="18.75" customHeight="1" x14ac:dyDescent="0.35">
      <c r="A62" s="76">
        <v>60</v>
      </c>
      <c r="B62" s="69" t="s">
        <v>9179</v>
      </c>
      <c r="C62" s="11">
        <v>14080</v>
      </c>
      <c r="D62" s="11">
        <v>120</v>
      </c>
      <c r="E62" s="77" t="s">
        <v>16</v>
      </c>
      <c r="F62" s="3" t="s">
        <v>9241</v>
      </c>
      <c r="G62" s="10">
        <f t="shared" si="1"/>
        <v>14200</v>
      </c>
      <c r="H62" s="4"/>
    </row>
    <row r="63" spans="1:8" ht="18.75" customHeight="1" x14ac:dyDescent="0.35">
      <c r="A63" s="76">
        <v>61</v>
      </c>
      <c r="B63" s="69" t="s">
        <v>9179</v>
      </c>
      <c r="C63" s="11">
        <v>14200</v>
      </c>
      <c r="D63" s="11">
        <v>120</v>
      </c>
      <c r="E63" s="77" t="s">
        <v>16</v>
      </c>
      <c r="F63" s="3" t="s">
        <v>9242</v>
      </c>
      <c r="G63" s="10">
        <f t="shared" si="1"/>
        <v>14320</v>
      </c>
      <c r="H63" s="4"/>
    </row>
    <row r="64" spans="1:8" ht="18.75" customHeight="1" x14ac:dyDescent="0.35">
      <c r="A64" s="76">
        <v>62</v>
      </c>
      <c r="B64" s="69" t="s">
        <v>9179</v>
      </c>
      <c r="C64" s="11">
        <v>14320</v>
      </c>
      <c r="D64" s="11">
        <v>120</v>
      </c>
      <c r="E64" s="77" t="s">
        <v>16</v>
      </c>
      <c r="F64" s="3" t="s">
        <v>9243</v>
      </c>
      <c r="G64" s="10">
        <f t="shared" si="1"/>
        <v>14440</v>
      </c>
      <c r="H64" s="4"/>
    </row>
    <row r="65" spans="1:8" ht="18.75" customHeight="1" x14ac:dyDescent="0.35">
      <c r="A65" s="76">
        <v>63</v>
      </c>
      <c r="B65" s="69" t="s">
        <v>9179</v>
      </c>
      <c r="C65" s="11">
        <v>14440</v>
      </c>
      <c r="D65" s="11">
        <v>120</v>
      </c>
      <c r="E65" s="77" t="s">
        <v>16</v>
      </c>
      <c r="F65" s="3" t="s">
        <v>9244</v>
      </c>
      <c r="G65" s="10">
        <f t="shared" si="1"/>
        <v>14560</v>
      </c>
      <c r="H65" s="4"/>
    </row>
    <row r="66" spans="1:8" ht="18.75" customHeight="1" x14ac:dyDescent="0.35">
      <c r="A66" s="76">
        <v>64</v>
      </c>
      <c r="B66" s="69" t="s">
        <v>9179</v>
      </c>
      <c r="C66" s="11">
        <v>14560</v>
      </c>
      <c r="D66" s="11">
        <v>120</v>
      </c>
      <c r="E66" s="77" t="s">
        <v>16</v>
      </c>
      <c r="F66" s="3" t="s">
        <v>9245</v>
      </c>
      <c r="G66" s="10">
        <f t="shared" si="1"/>
        <v>14680</v>
      </c>
      <c r="H66" s="4"/>
    </row>
    <row r="67" spans="1:8" ht="18.75" customHeight="1" x14ac:dyDescent="0.35">
      <c r="A67" s="76">
        <v>65</v>
      </c>
      <c r="B67" s="69" t="s">
        <v>9179</v>
      </c>
      <c r="C67" s="11">
        <v>14680</v>
      </c>
      <c r="D67" s="11">
        <v>120</v>
      </c>
      <c r="E67" s="77" t="s">
        <v>16</v>
      </c>
      <c r="F67" s="3" t="s">
        <v>9246</v>
      </c>
      <c r="G67" s="10">
        <f t="shared" ref="G67:G98" si="2">C67+D67</f>
        <v>14800</v>
      </c>
      <c r="H67" s="4"/>
    </row>
    <row r="68" spans="1:8" ht="18.75" customHeight="1" x14ac:dyDescent="0.35">
      <c r="A68" s="76">
        <v>66</v>
      </c>
      <c r="B68" s="69" t="s">
        <v>9179</v>
      </c>
      <c r="C68" s="11">
        <v>14800</v>
      </c>
      <c r="D68" s="11">
        <v>120</v>
      </c>
      <c r="E68" s="77" t="s">
        <v>16</v>
      </c>
      <c r="F68" s="3" t="s">
        <v>9247</v>
      </c>
      <c r="G68" s="10">
        <f t="shared" si="2"/>
        <v>14920</v>
      </c>
      <c r="H68" s="4"/>
    </row>
    <row r="69" spans="1:8" ht="18.75" customHeight="1" x14ac:dyDescent="0.35">
      <c r="A69" s="76">
        <v>67</v>
      </c>
      <c r="B69" s="69" t="s">
        <v>9179</v>
      </c>
      <c r="C69" s="11">
        <v>14920</v>
      </c>
      <c r="D69" s="11">
        <v>120</v>
      </c>
      <c r="E69" s="77" t="s">
        <v>16</v>
      </c>
      <c r="F69" s="3" t="s">
        <v>9248</v>
      </c>
      <c r="G69" s="10">
        <f t="shared" si="2"/>
        <v>15040</v>
      </c>
      <c r="H69" s="4"/>
    </row>
    <row r="70" spans="1:8" ht="18.75" customHeight="1" x14ac:dyDescent="0.35">
      <c r="A70" s="76">
        <v>68</v>
      </c>
      <c r="B70" s="69" t="s">
        <v>9179</v>
      </c>
      <c r="C70" s="11">
        <v>15040</v>
      </c>
      <c r="D70" s="11">
        <v>120</v>
      </c>
      <c r="E70" s="77" t="s">
        <v>16</v>
      </c>
      <c r="F70" s="3" t="s">
        <v>9249</v>
      </c>
      <c r="G70" s="10">
        <f t="shared" si="2"/>
        <v>15160</v>
      </c>
      <c r="H70" s="4"/>
    </row>
    <row r="71" spans="1:8" ht="18.75" customHeight="1" x14ac:dyDescent="0.35">
      <c r="A71" s="76">
        <v>69</v>
      </c>
      <c r="B71" s="69" t="s">
        <v>9179</v>
      </c>
      <c r="C71" s="11">
        <v>15160</v>
      </c>
      <c r="D71" s="11">
        <v>120</v>
      </c>
      <c r="E71" s="77" t="s">
        <v>16</v>
      </c>
      <c r="F71" s="3" t="s">
        <v>9250</v>
      </c>
      <c r="G71" s="10">
        <f t="shared" si="2"/>
        <v>15280</v>
      </c>
      <c r="H71" s="4"/>
    </row>
    <row r="72" spans="1:8" ht="18.75" customHeight="1" x14ac:dyDescent="0.35">
      <c r="A72" s="76">
        <v>70</v>
      </c>
      <c r="B72" s="69" t="s">
        <v>9179</v>
      </c>
      <c r="C72" s="11">
        <v>20992</v>
      </c>
      <c r="D72" s="11">
        <v>42</v>
      </c>
      <c r="E72" s="77" t="s">
        <v>16</v>
      </c>
      <c r="F72" s="3" t="s">
        <v>9251</v>
      </c>
      <c r="G72" s="10">
        <f t="shared" si="2"/>
        <v>21034</v>
      </c>
      <c r="H72" s="4"/>
    </row>
    <row r="73" spans="1:8" ht="18.75" customHeight="1" x14ac:dyDescent="0.35">
      <c r="A73" s="76">
        <v>71</v>
      </c>
      <c r="B73" s="69" t="s">
        <v>9179</v>
      </c>
      <c r="C73" s="11">
        <v>21034</v>
      </c>
      <c r="D73" s="11">
        <v>114</v>
      </c>
      <c r="E73" s="77" t="s">
        <v>16</v>
      </c>
      <c r="F73" s="3" t="s">
        <v>9252</v>
      </c>
      <c r="G73" s="10">
        <f t="shared" si="2"/>
        <v>21148</v>
      </c>
      <c r="H73" s="4"/>
    </row>
    <row r="74" spans="1:8" ht="18.75" customHeight="1" x14ac:dyDescent="0.35">
      <c r="A74" s="76">
        <v>72</v>
      </c>
      <c r="B74" s="69" t="s">
        <v>9179</v>
      </c>
      <c r="C74" s="11">
        <v>21148</v>
      </c>
      <c r="D74" s="11">
        <v>108</v>
      </c>
      <c r="E74" s="77" t="s">
        <v>16</v>
      </c>
      <c r="F74" s="3" t="s">
        <v>9253</v>
      </c>
      <c r="G74" s="10">
        <f t="shared" si="2"/>
        <v>21256</v>
      </c>
      <c r="H74" s="4"/>
    </row>
    <row r="75" spans="1:8" ht="18.75" customHeight="1" x14ac:dyDescent="0.35">
      <c r="A75" s="76">
        <v>73</v>
      </c>
      <c r="B75" s="69" t="s">
        <v>9179</v>
      </c>
      <c r="C75" s="11">
        <v>21256</v>
      </c>
      <c r="D75" s="11">
        <v>108</v>
      </c>
      <c r="E75" s="77" t="s">
        <v>16</v>
      </c>
      <c r="F75" s="3" t="s">
        <v>9254</v>
      </c>
      <c r="G75" s="10">
        <f t="shared" si="2"/>
        <v>21364</v>
      </c>
      <c r="H75" s="4"/>
    </row>
    <row r="76" spans="1:8" ht="18.75" customHeight="1" x14ac:dyDescent="0.35">
      <c r="A76" s="76">
        <v>74</v>
      </c>
      <c r="B76" s="69" t="s">
        <v>9179</v>
      </c>
      <c r="C76" s="11">
        <v>21364</v>
      </c>
      <c r="D76" s="11">
        <v>108</v>
      </c>
      <c r="E76" s="77" t="s">
        <v>16</v>
      </c>
      <c r="F76" s="3" t="s">
        <v>9255</v>
      </c>
      <c r="G76" s="10">
        <f t="shared" si="2"/>
        <v>21472</v>
      </c>
      <c r="H76" s="4"/>
    </row>
    <row r="77" spans="1:8" ht="18.75" customHeight="1" x14ac:dyDescent="0.35">
      <c r="A77" s="76">
        <v>75</v>
      </c>
      <c r="B77" s="69" t="s">
        <v>9179</v>
      </c>
      <c r="C77" s="11">
        <v>21472</v>
      </c>
      <c r="D77" s="11">
        <v>108</v>
      </c>
      <c r="E77" s="77" t="s">
        <v>16</v>
      </c>
      <c r="F77" s="3" t="s">
        <v>9256</v>
      </c>
      <c r="G77" s="10">
        <f t="shared" si="2"/>
        <v>21580</v>
      </c>
      <c r="H77" s="4"/>
    </row>
    <row r="78" spans="1:8" ht="18.75" customHeight="1" x14ac:dyDescent="0.35">
      <c r="A78" s="76">
        <v>76</v>
      </c>
      <c r="B78" s="69" t="s">
        <v>9179</v>
      </c>
      <c r="C78" s="11">
        <v>21580</v>
      </c>
      <c r="D78" s="11">
        <v>108</v>
      </c>
      <c r="E78" s="77" t="s">
        <v>16</v>
      </c>
      <c r="F78" s="3" t="s">
        <v>9257</v>
      </c>
      <c r="G78" s="10">
        <f t="shared" si="2"/>
        <v>21688</v>
      </c>
      <c r="H78" s="4"/>
    </row>
    <row r="79" spans="1:8" ht="18.75" customHeight="1" x14ac:dyDescent="0.35">
      <c r="A79" s="76">
        <v>77</v>
      </c>
      <c r="B79" s="69" t="s">
        <v>9179</v>
      </c>
      <c r="C79" s="11">
        <v>21688</v>
      </c>
      <c r="D79" s="11">
        <v>108</v>
      </c>
      <c r="E79" s="77" t="s">
        <v>16</v>
      </c>
      <c r="F79" s="3" t="s">
        <v>9258</v>
      </c>
      <c r="G79" s="10">
        <f t="shared" si="2"/>
        <v>21796</v>
      </c>
      <c r="H79" s="4"/>
    </row>
    <row r="80" spans="1:8" ht="18.75" customHeight="1" x14ac:dyDescent="0.35">
      <c r="A80" s="76">
        <v>78</v>
      </c>
      <c r="B80" s="69" t="s">
        <v>9179</v>
      </c>
      <c r="C80" s="11">
        <v>21796</v>
      </c>
      <c r="D80" s="11">
        <v>108</v>
      </c>
      <c r="E80" s="77" t="s">
        <v>16</v>
      </c>
      <c r="F80" s="3" t="s">
        <v>9259</v>
      </c>
      <c r="G80" s="10">
        <f t="shared" si="2"/>
        <v>21904</v>
      </c>
      <c r="H80" s="4"/>
    </row>
    <row r="81" spans="1:8" ht="18.75" customHeight="1" x14ac:dyDescent="0.35">
      <c r="A81" s="76">
        <v>79</v>
      </c>
      <c r="B81" s="69" t="s">
        <v>9179</v>
      </c>
      <c r="C81" s="11">
        <v>21904</v>
      </c>
      <c r="D81" s="11">
        <v>108</v>
      </c>
      <c r="E81" s="77" t="s">
        <v>16</v>
      </c>
      <c r="F81" s="3" t="s">
        <v>9260</v>
      </c>
      <c r="G81" s="10">
        <f t="shared" si="2"/>
        <v>22012</v>
      </c>
      <c r="H81" s="4"/>
    </row>
    <row r="82" spans="1:8" ht="18.75" customHeight="1" x14ac:dyDescent="0.35">
      <c r="A82" s="76">
        <v>80</v>
      </c>
      <c r="B82" s="69" t="s">
        <v>9179</v>
      </c>
      <c r="C82" s="11">
        <v>22012</v>
      </c>
      <c r="D82" s="11">
        <v>120</v>
      </c>
      <c r="E82" s="77" t="s">
        <v>16</v>
      </c>
      <c r="F82" s="3" t="s">
        <v>9261</v>
      </c>
      <c r="G82" s="10">
        <f t="shared" si="2"/>
        <v>22132</v>
      </c>
      <c r="H82" s="4"/>
    </row>
    <row r="83" spans="1:8" ht="18.75" customHeight="1" x14ac:dyDescent="0.35">
      <c r="A83" s="76">
        <v>81</v>
      </c>
      <c r="B83" s="69" t="s">
        <v>9179</v>
      </c>
      <c r="C83" s="11">
        <v>22132</v>
      </c>
      <c r="D83" s="11">
        <v>120</v>
      </c>
      <c r="E83" s="77" t="s">
        <v>16</v>
      </c>
      <c r="F83" s="3" t="s">
        <v>9262</v>
      </c>
      <c r="G83" s="10">
        <f t="shared" si="2"/>
        <v>22252</v>
      </c>
      <c r="H83" s="4"/>
    </row>
    <row r="84" spans="1:8" ht="18.75" customHeight="1" x14ac:dyDescent="0.35">
      <c r="A84" s="76">
        <v>82</v>
      </c>
      <c r="B84" s="69" t="s">
        <v>9179</v>
      </c>
      <c r="C84" s="11">
        <v>22252</v>
      </c>
      <c r="D84" s="11">
        <v>120</v>
      </c>
      <c r="E84" s="77" t="s">
        <v>16</v>
      </c>
      <c r="F84" s="3" t="s">
        <v>9263</v>
      </c>
      <c r="G84" s="10">
        <f t="shared" si="2"/>
        <v>22372</v>
      </c>
      <c r="H84" s="4"/>
    </row>
    <row r="85" spans="1:8" ht="18.75" customHeight="1" x14ac:dyDescent="0.35">
      <c r="A85" s="76">
        <v>83</v>
      </c>
      <c r="B85" s="69" t="s">
        <v>9179</v>
      </c>
      <c r="C85" s="11">
        <v>22528</v>
      </c>
      <c r="D85" s="11">
        <v>42</v>
      </c>
      <c r="E85" s="77" t="s">
        <v>16</v>
      </c>
      <c r="F85" s="3" t="s">
        <v>9264</v>
      </c>
      <c r="G85" s="10">
        <f t="shared" si="2"/>
        <v>22570</v>
      </c>
      <c r="H85" s="4"/>
    </row>
    <row r="86" spans="1:8" ht="18.75" customHeight="1" x14ac:dyDescent="0.35">
      <c r="A86" s="76">
        <v>84</v>
      </c>
      <c r="B86" s="69" t="s">
        <v>9179</v>
      </c>
      <c r="C86" s="11">
        <v>22570</v>
      </c>
      <c r="D86" s="11">
        <v>114</v>
      </c>
      <c r="E86" s="77" t="s">
        <v>16</v>
      </c>
      <c r="F86" s="3" t="s">
        <v>9265</v>
      </c>
      <c r="G86" s="10">
        <f t="shared" si="2"/>
        <v>22684</v>
      </c>
      <c r="H86" s="4"/>
    </row>
    <row r="87" spans="1:8" ht="18.75" customHeight="1" x14ac:dyDescent="0.35">
      <c r="A87" s="76">
        <v>85</v>
      </c>
      <c r="B87" s="69" t="s">
        <v>9179</v>
      </c>
      <c r="C87" s="11">
        <v>22684</v>
      </c>
      <c r="D87" s="11">
        <v>108</v>
      </c>
      <c r="E87" s="77" t="s">
        <v>16</v>
      </c>
      <c r="F87" s="3" t="s">
        <v>9266</v>
      </c>
      <c r="G87" s="10">
        <f t="shared" si="2"/>
        <v>22792</v>
      </c>
      <c r="H87" s="4"/>
    </row>
    <row r="88" spans="1:8" ht="18.75" customHeight="1" x14ac:dyDescent="0.35">
      <c r="A88" s="76">
        <v>86</v>
      </c>
      <c r="B88" s="69" t="s">
        <v>9179</v>
      </c>
      <c r="C88" s="11">
        <v>22792</v>
      </c>
      <c r="D88" s="11">
        <v>108</v>
      </c>
      <c r="E88" s="77" t="s">
        <v>16</v>
      </c>
      <c r="F88" s="3" t="s">
        <v>9267</v>
      </c>
      <c r="G88" s="10">
        <f t="shared" si="2"/>
        <v>22900</v>
      </c>
      <c r="H88" s="4"/>
    </row>
    <row r="89" spans="1:8" ht="18.75" customHeight="1" x14ac:dyDescent="0.35">
      <c r="A89" s="76">
        <v>87</v>
      </c>
      <c r="B89" s="69" t="s">
        <v>9179</v>
      </c>
      <c r="C89" s="11">
        <v>22900</v>
      </c>
      <c r="D89" s="11">
        <v>108</v>
      </c>
      <c r="E89" s="77" t="s">
        <v>16</v>
      </c>
      <c r="F89" s="3" t="s">
        <v>9268</v>
      </c>
      <c r="G89" s="10">
        <f t="shared" si="2"/>
        <v>23008</v>
      </c>
      <c r="H89" s="4"/>
    </row>
    <row r="90" spans="1:8" ht="18.75" customHeight="1" x14ac:dyDescent="0.35">
      <c r="A90" s="76">
        <v>88</v>
      </c>
      <c r="B90" s="69" t="s">
        <v>9179</v>
      </c>
      <c r="C90" s="11">
        <v>23008</v>
      </c>
      <c r="D90" s="11">
        <v>108</v>
      </c>
      <c r="E90" s="77" t="s">
        <v>16</v>
      </c>
      <c r="F90" s="3" t="s">
        <v>9269</v>
      </c>
      <c r="G90" s="10">
        <f t="shared" si="2"/>
        <v>23116</v>
      </c>
      <c r="H90" s="4"/>
    </row>
    <row r="91" spans="1:8" ht="18.75" customHeight="1" x14ac:dyDescent="0.35">
      <c r="A91" s="76">
        <v>89</v>
      </c>
      <c r="B91" s="69" t="s">
        <v>9179</v>
      </c>
      <c r="C91" s="11">
        <v>23116</v>
      </c>
      <c r="D91" s="11">
        <v>108</v>
      </c>
      <c r="E91" s="77" t="s">
        <v>16</v>
      </c>
      <c r="F91" s="3" t="s">
        <v>9270</v>
      </c>
      <c r="G91" s="10">
        <f t="shared" si="2"/>
        <v>23224</v>
      </c>
      <c r="H91" s="4"/>
    </row>
    <row r="92" spans="1:8" ht="18.75" customHeight="1" x14ac:dyDescent="0.35">
      <c r="A92" s="76">
        <v>90</v>
      </c>
      <c r="B92" s="69" t="s">
        <v>9179</v>
      </c>
      <c r="C92" s="11">
        <v>23224</v>
      </c>
      <c r="D92" s="11">
        <v>108</v>
      </c>
      <c r="E92" s="77" t="s">
        <v>16</v>
      </c>
      <c r="F92" s="3" t="s">
        <v>9271</v>
      </c>
      <c r="G92" s="10">
        <f t="shared" si="2"/>
        <v>23332</v>
      </c>
      <c r="H92" s="4"/>
    </row>
    <row r="93" spans="1:8" ht="18.75" customHeight="1" x14ac:dyDescent="0.35">
      <c r="A93" s="76">
        <v>91</v>
      </c>
      <c r="B93" s="69" t="s">
        <v>9179</v>
      </c>
      <c r="C93" s="11">
        <v>23332</v>
      </c>
      <c r="D93" s="11">
        <v>108</v>
      </c>
      <c r="E93" s="77" t="s">
        <v>16</v>
      </c>
      <c r="F93" s="3" t="s">
        <v>9272</v>
      </c>
      <c r="G93" s="10">
        <f t="shared" si="2"/>
        <v>23440</v>
      </c>
      <c r="H93" s="4"/>
    </row>
    <row r="94" spans="1:8" ht="18.75" customHeight="1" x14ac:dyDescent="0.35">
      <c r="A94" s="76">
        <v>92</v>
      </c>
      <c r="B94" s="69" t="s">
        <v>9179</v>
      </c>
      <c r="C94" s="11">
        <v>23440</v>
      </c>
      <c r="D94" s="11">
        <v>108</v>
      </c>
      <c r="E94" s="77" t="s">
        <v>16</v>
      </c>
      <c r="F94" s="3" t="s">
        <v>9273</v>
      </c>
      <c r="G94" s="10">
        <f t="shared" si="2"/>
        <v>23548</v>
      </c>
      <c r="H94" s="4"/>
    </row>
    <row r="95" spans="1:8" ht="18.75" customHeight="1" x14ac:dyDescent="0.35">
      <c r="A95" s="76">
        <v>93</v>
      </c>
      <c r="B95" s="69" t="s">
        <v>9179</v>
      </c>
      <c r="C95" s="11">
        <v>23548</v>
      </c>
      <c r="D95" s="11">
        <v>120</v>
      </c>
      <c r="E95" s="77" t="s">
        <v>16</v>
      </c>
      <c r="F95" s="3" t="s">
        <v>9274</v>
      </c>
      <c r="G95" s="10">
        <f t="shared" si="2"/>
        <v>23668</v>
      </c>
      <c r="H95" s="4"/>
    </row>
    <row r="96" spans="1:8" ht="18.75" customHeight="1" x14ac:dyDescent="0.35">
      <c r="A96" s="76">
        <v>94</v>
      </c>
      <c r="B96" s="69" t="s">
        <v>9179</v>
      </c>
      <c r="C96" s="11">
        <v>23668</v>
      </c>
      <c r="D96" s="11">
        <v>120</v>
      </c>
      <c r="E96" s="77" t="s">
        <v>16</v>
      </c>
      <c r="F96" s="3" t="s">
        <v>9275</v>
      </c>
      <c r="G96" s="10">
        <f t="shared" si="2"/>
        <v>23788</v>
      </c>
      <c r="H96" s="4"/>
    </row>
    <row r="97" spans="1:11" ht="18.75" customHeight="1" x14ac:dyDescent="0.35">
      <c r="A97" s="76">
        <v>95</v>
      </c>
      <c r="B97" s="69" t="s">
        <v>9179</v>
      </c>
      <c r="C97" s="11">
        <v>23788</v>
      </c>
      <c r="D97" s="11">
        <v>120</v>
      </c>
      <c r="E97" s="77" t="s">
        <v>16</v>
      </c>
      <c r="F97" s="3" t="s">
        <v>9276</v>
      </c>
      <c r="G97" s="10">
        <f t="shared" si="2"/>
        <v>23908</v>
      </c>
      <c r="H97" s="4"/>
    </row>
    <row r="98" spans="1:11" ht="18.75" customHeight="1" x14ac:dyDescent="0.35">
      <c r="A98" s="76">
        <v>96</v>
      </c>
      <c r="B98" s="69" t="s">
        <v>9179</v>
      </c>
      <c r="C98" s="10">
        <v>26115</v>
      </c>
      <c r="D98" s="10">
        <v>3</v>
      </c>
      <c r="E98" s="77" t="s">
        <v>16</v>
      </c>
      <c r="F98" s="3" t="s">
        <v>9277</v>
      </c>
      <c r="G98" s="10">
        <f t="shared" si="2"/>
        <v>26118</v>
      </c>
      <c r="H98" s="4"/>
    </row>
    <row r="99" spans="1:11" ht="18.75" customHeight="1" x14ac:dyDescent="0.35">
      <c r="A99" s="76">
        <v>97</v>
      </c>
      <c r="B99" s="69" t="s">
        <v>9179</v>
      </c>
      <c r="C99" s="10">
        <v>26369</v>
      </c>
      <c r="D99" s="10">
        <v>2</v>
      </c>
      <c r="E99" s="77" t="s">
        <v>16</v>
      </c>
      <c r="F99" s="1" t="s">
        <v>9278</v>
      </c>
      <c r="G99" s="10">
        <f t="shared" ref="G99:G109" si="3">C99+D99</f>
        <v>26371</v>
      </c>
      <c r="H99" s="4"/>
    </row>
    <row r="100" spans="1:11" ht="18.75" customHeight="1" x14ac:dyDescent="0.35">
      <c r="A100" s="76">
        <v>98</v>
      </c>
      <c r="B100" s="69" t="s">
        <v>9179</v>
      </c>
      <c r="C100" s="76">
        <v>61504</v>
      </c>
      <c r="D100" s="76">
        <v>49</v>
      </c>
      <c r="E100" s="77" t="s">
        <v>16</v>
      </c>
      <c r="F100" s="3" t="s">
        <v>9279</v>
      </c>
      <c r="G100" s="10">
        <f t="shared" si="3"/>
        <v>61553</v>
      </c>
      <c r="H100" s="4"/>
    </row>
    <row r="101" spans="1:11" ht="18.75" customHeight="1" x14ac:dyDescent="0.35">
      <c r="A101" s="76">
        <v>99</v>
      </c>
      <c r="B101" s="69" t="s">
        <v>9179</v>
      </c>
      <c r="C101" s="76">
        <v>61440</v>
      </c>
      <c r="D101" s="76">
        <v>6</v>
      </c>
      <c r="E101" s="77" t="s">
        <v>16</v>
      </c>
      <c r="F101" s="3" t="s">
        <v>9280</v>
      </c>
      <c r="G101" s="10">
        <f t="shared" si="3"/>
        <v>61446</v>
      </c>
      <c r="H101" s="4"/>
    </row>
    <row r="102" spans="1:11" ht="18.75" customHeight="1" x14ac:dyDescent="0.35">
      <c r="A102" s="76">
        <v>100</v>
      </c>
      <c r="B102" s="69" t="s">
        <v>9179</v>
      </c>
      <c r="C102" s="76">
        <v>61456</v>
      </c>
      <c r="D102" s="76">
        <v>8</v>
      </c>
      <c r="E102" s="77" t="s">
        <v>16</v>
      </c>
      <c r="F102" s="3" t="s">
        <v>9281</v>
      </c>
      <c r="G102" s="10">
        <f t="shared" si="3"/>
        <v>61464</v>
      </c>
      <c r="H102" s="4"/>
    </row>
    <row r="103" spans="1:11" ht="18.75" customHeight="1" x14ac:dyDescent="0.35">
      <c r="A103" s="76">
        <v>101</v>
      </c>
      <c r="B103" s="69" t="s">
        <v>9179</v>
      </c>
      <c r="C103" s="10">
        <v>4096</v>
      </c>
      <c r="D103" s="10">
        <v>44</v>
      </c>
      <c r="E103" s="77" t="s">
        <v>16</v>
      </c>
      <c r="F103" s="1" t="s">
        <v>9282</v>
      </c>
      <c r="G103" s="10">
        <f t="shared" si="3"/>
        <v>4140</v>
      </c>
      <c r="H103" s="4"/>
    </row>
    <row r="104" spans="1:11" ht="18.75" customHeight="1" x14ac:dyDescent="0.35">
      <c r="A104" s="76">
        <v>102</v>
      </c>
      <c r="B104" s="69" t="s">
        <v>9179</v>
      </c>
      <c r="C104" s="11">
        <v>4160</v>
      </c>
      <c r="D104" s="11">
        <v>6</v>
      </c>
      <c r="E104" s="77" t="s">
        <v>16</v>
      </c>
      <c r="F104" s="3" t="s">
        <v>9283</v>
      </c>
      <c r="G104" s="10">
        <f t="shared" si="3"/>
        <v>4166</v>
      </c>
      <c r="H104" s="4"/>
    </row>
    <row r="105" spans="1:11" ht="18.75" customHeight="1" x14ac:dyDescent="0.35">
      <c r="A105" s="76">
        <v>103</v>
      </c>
      <c r="B105" s="69" t="s">
        <v>9179</v>
      </c>
      <c r="C105" s="11">
        <v>4166</v>
      </c>
      <c r="D105" s="11">
        <v>120</v>
      </c>
      <c r="E105" s="77" t="s">
        <v>16</v>
      </c>
      <c r="F105" s="3" t="s">
        <v>9284</v>
      </c>
      <c r="G105" s="10">
        <f t="shared" si="3"/>
        <v>4286</v>
      </c>
      <c r="H105" s="4"/>
    </row>
    <row r="106" spans="1:11" ht="18.75" customHeight="1" x14ac:dyDescent="0.35">
      <c r="A106" s="76">
        <v>104</v>
      </c>
      <c r="B106" s="69" t="s">
        <v>9179</v>
      </c>
      <c r="C106" s="11">
        <v>4286</v>
      </c>
      <c r="D106" s="11">
        <v>37</v>
      </c>
      <c r="E106" s="77" t="s">
        <v>16</v>
      </c>
      <c r="F106" s="3" t="s">
        <v>9285</v>
      </c>
      <c r="G106" s="10">
        <f t="shared" si="3"/>
        <v>4323</v>
      </c>
      <c r="H106" s="4"/>
    </row>
    <row r="107" spans="1:11" ht="18.75" customHeight="1" x14ac:dyDescent="0.35">
      <c r="A107" s="76">
        <v>105</v>
      </c>
      <c r="B107" s="69" t="s">
        <v>9179</v>
      </c>
      <c r="C107" s="10">
        <v>4352</v>
      </c>
      <c r="D107" s="10">
        <v>42</v>
      </c>
      <c r="E107" s="77" t="s">
        <v>16</v>
      </c>
      <c r="F107" s="1" t="s">
        <v>9286</v>
      </c>
      <c r="G107" s="10">
        <f t="shared" si="3"/>
        <v>4394</v>
      </c>
      <c r="H107" s="4"/>
    </row>
    <row r="108" spans="1:11" ht="18.75" customHeight="1" x14ac:dyDescent="0.35">
      <c r="A108" s="76">
        <v>106</v>
      </c>
      <c r="B108" s="69" t="s">
        <v>9179</v>
      </c>
      <c r="C108" s="10">
        <v>4400</v>
      </c>
      <c r="D108" s="10">
        <v>21</v>
      </c>
      <c r="E108" s="77" t="s">
        <v>16</v>
      </c>
      <c r="F108" s="1" t="s">
        <v>9287</v>
      </c>
      <c r="G108" s="10">
        <f t="shared" si="3"/>
        <v>4421</v>
      </c>
      <c r="H108" s="4"/>
      <c r="K108" s="3" t="s">
        <v>9044</v>
      </c>
    </row>
    <row r="109" spans="1:11" ht="18.75" customHeight="1" x14ac:dyDescent="0.4">
      <c r="A109" s="76">
        <v>107</v>
      </c>
      <c r="B109" s="69" t="s">
        <v>9179</v>
      </c>
      <c r="C109" s="10">
        <v>25344</v>
      </c>
      <c r="D109" s="10">
        <v>2</v>
      </c>
      <c r="E109" s="77" t="s">
        <v>16</v>
      </c>
      <c r="F109" s="80" t="s">
        <v>9288</v>
      </c>
      <c r="G109" s="10">
        <f t="shared" si="3"/>
        <v>25346</v>
      </c>
      <c r="H109" s="4"/>
      <c r="K109" s="81" t="s">
        <v>9289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A1:S3863"/>
  <sheetViews>
    <sheetView tabSelected="1" workbookViewId="0">
      <pane ySplit="1" topLeftCell="A101" activePane="bottomLeft" state="frozen"/>
      <selection pane="bottomLeft" activeCell="R110" sqref="R110"/>
    </sheetView>
  </sheetViews>
  <sheetFormatPr defaultRowHeight="14.4" x14ac:dyDescent="0.25"/>
  <cols>
    <col min="1" max="1" width="13.5546875" style="24" bestFit="1" customWidth="1"/>
    <col min="2" max="2" width="15" style="24" bestFit="1" customWidth="1"/>
    <col min="3" max="3" width="10" bestFit="1" customWidth="1"/>
    <col min="4" max="4" width="19.109375" style="24" bestFit="1" customWidth="1"/>
    <col min="5" max="5" width="60" bestFit="1" customWidth="1"/>
    <col min="6" max="6" width="28.21875" customWidth="1"/>
    <col min="7" max="7" width="13.5546875" customWidth="1"/>
    <col min="8" max="8" width="11.5546875" hidden="1" customWidth="1"/>
    <col min="9" max="9" width="19.5546875" style="24" hidden="1" customWidth="1"/>
    <col min="10" max="10" width="13.5546875" hidden="1" customWidth="1"/>
    <col min="11" max="11" width="10.44140625" style="24" hidden="1" customWidth="1"/>
    <col min="12" max="12" width="6.5546875" style="24" hidden="1" customWidth="1"/>
    <col min="13" max="13" width="15.6640625" hidden="1" customWidth="1"/>
    <col min="14" max="14" width="8.33203125" style="41" hidden="1" customWidth="1"/>
    <col min="15" max="15" width="9" style="41" hidden="1" customWidth="1"/>
    <col min="16" max="16" width="12.5546875" style="41" hidden="1" customWidth="1"/>
    <col min="17" max="17" width="42" style="43" hidden="1" customWidth="1"/>
    <col min="18" max="18" width="42" style="43" customWidth="1"/>
    <col min="19" max="19" width="44.44140625" bestFit="1" customWidth="1"/>
  </cols>
  <sheetData>
    <row r="1" spans="1:19" ht="18.75" customHeight="1" x14ac:dyDescent="0.25">
      <c r="A1" s="39" t="s">
        <v>1794</v>
      </c>
      <c r="B1" s="39" t="s">
        <v>1795</v>
      </c>
      <c r="C1" s="36" t="s">
        <v>1796</v>
      </c>
      <c r="D1" s="39" t="s">
        <v>1797</v>
      </c>
      <c r="E1" s="36" t="s">
        <v>1798</v>
      </c>
      <c r="F1" s="36" t="s">
        <v>1799</v>
      </c>
      <c r="G1" s="36" t="s">
        <v>1800</v>
      </c>
      <c r="H1" s="36" t="s">
        <v>1801</v>
      </c>
      <c r="I1" s="39" t="s">
        <v>1802</v>
      </c>
      <c r="J1" s="36" t="s">
        <v>1803</v>
      </c>
      <c r="K1" s="39" t="s">
        <v>1804</v>
      </c>
      <c r="L1" s="39" t="s">
        <v>1805</v>
      </c>
      <c r="M1" s="36" t="s">
        <v>117</v>
      </c>
      <c r="N1" s="39" t="s">
        <v>96</v>
      </c>
      <c r="O1" s="39" t="s">
        <v>61</v>
      </c>
      <c r="P1" s="39" t="s">
        <v>29</v>
      </c>
      <c r="Q1" s="40" t="s">
        <v>40</v>
      </c>
      <c r="R1" s="40"/>
      <c r="S1" s="36" t="s">
        <v>1799</v>
      </c>
    </row>
    <row r="2" spans="1:19" ht="18.75" customHeight="1" x14ac:dyDescent="0.3">
      <c r="A2" s="10">
        <v>1</v>
      </c>
      <c r="B2" s="10">
        <v>0</v>
      </c>
      <c r="C2" s="3" t="str">
        <f>B2 &amp; "-" &amp; COUNTIF($B$2:B2, B2)</f>
        <v>0-1</v>
      </c>
      <c r="D2" s="10">
        <v>0</v>
      </c>
      <c r="E2" s="1" t="s">
        <v>1806</v>
      </c>
      <c r="F2" s="1" t="s">
        <v>1806</v>
      </c>
      <c r="H2" s="1" t="s">
        <v>1807</v>
      </c>
      <c r="I2" s="10">
        <v>1</v>
      </c>
      <c r="J2" s="1" t="s">
        <v>1808</v>
      </c>
      <c r="K2" s="10">
        <v>1</v>
      </c>
      <c r="L2" s="10">
        <v>1</v>
      </c>
      <c r="O2" s="6"/>
      <c r="P2" s="42" t="s">
        <v>1809</v>
      </c>
      <c r="S2" s="1" t="s">
        <v>1806</v>
      </c>
    </row>
    <row r="3" spans="1:19" ht="18.75" customHeight="1" x14ac:dyDescent="0.3">
      <c r="A3" s="10">
        <v>2</v>
      </c>
      <c r="B3" s="11">
        <f>_xlfn.XLOOKUP(1,(VALUE(D3)&gt;=VALUE(block!$C$3:$C$500))*(VALUE(D3)&lt;VALUE(block!$C$3:$C$500)+VALUE(block!$D$3:$D$500)),block!$A$3:$A$500,"无匹配",0,1)</f>
        <v>1</v>
      </c>
      <c r="C3" s="3" t="str">
        <f>B3 &amp; "-" &amp; COUNTIF($B$2:B3, B3)</f>
        <v>1-1</v>
      </c>
      <c r="D3" s="10">
        <v>8192</v>
      </c>
      <c r="E3" s="44" t="s">
        <v>1810</v>
      </c>
      <c r="F3" s="1" t="s">
        <v>329</v>
      </c>
      <c r="G3" s="1" t="s">
        <v>1811</v>
      </c>
      <c r="H3" s="3" t="s">
        <v>1812</v>
      </c>
      <c r="I3" s="10">
        <f>IF(H3="uint16",1,IF(H3="int16",3,IF(H3="uint32",6,IF(H3="int32",10,IF(H3="uint64",14,IF(H3="int64",18,IF(H3="float32",22,"")))))))</f>
        <v>22</v>
      </c>
      <c r="J3" s="1" t="s">
        <v>1808</v>
      </c>
      <c r="K3" s="10">
        <v>2</v>
      </c>
      <c r="L3" s="10">
        <v>1</v>
      </c>
      <c r="N3" s="10">
        <v>4</v>
      </c>
      <c r="O3" s="6"/>
      <c r="P3" s="45" t="s">
        <v>1813</v>
      </c>
      <c r="Q3" s="42" t="s">
        <v>1814</v>
      </c>
      <c r="R3" s="42"/>
      <c r="S3" s="1" t="s">
        <v>329</v>
      </c>
    </row>
    <row r="4" spans="1:19" ht="18.75" customHeight="1" x14ac:dyDescent="0.3">
      <c r="A4" s="10">
        <v>3</v>
      </c>
      <c r="B4" s="10">
        <f>_xlfn.XLOOKUP(1,(VALUE(D4)&gt;=VALUE(block!$C$3:$C$500))*(VALUE(D4)&lt;VALUE(block!$C$3:$C$500)+VALUE(block!$D$3:$D$500)),block!$A$3:$A$500,"无匹配",0,1)</f>
        <v>1</v>
      </c>
      <c r="C4" s="3" t="str">
        <f>B4 &amp; "-" &amp; COUNTIF($B$2:B4, B4)</f>
        <v>1-2</v>
      </c>
      <c r="D4" s="10">
        <v>8194</v>
      </c>
      <c r="E4" s="1" t="s">
        <v>1815</v>
      </c>
      <c r="F4" s="1" t="s">
        <v>125</v>
      </c>
      <c r="G4" s="1" t="s">
        <v>1816</v>
      </c>
      <c r="H4" s="1" t="s">
        <v>1812</v>
      </c>
      <c r="I4" s="10">
        <f>_xlfn.XLOOKUP(1,(VALUE(L3866)&gt;=VALUE(block!$C$3:'block'!$C$500))*(VALUE(block!L3866)&lt;VALUE(block!$C$3:'block'!$C$500)+VALUE(block!$D$3:'block'!$D$500)),block!$A$3:'block'!$A$500,"无匹配",0,1)</f>
        <v>55</v>
      </c>
      <c r="J4" s="1" t="s">
        <v>1808</v>
      </c>
      <c r="K4" s="10">
        <v>2</v>
      </c>
      <c r="L4" s="10">
        <v>1</v>
      </c>
      <c r="N4" s="10">
        <v>4</v>
      </c>
      <c r="O4" s="6"/>
      <c r="P4" s="45" t="s">
        <v>1813</v>
      </c>
      <c r="Q4" s="42" t="s">
        <v>1814</v>
      </c>
      <c r="R4" s="42"/>
      <c r="S4" s="1" t="s">
        <v>125</v>
      </c>
    </row>
    <row r="5" spans="1:19" ht="18.75" customHeight="1" x14ac:dyDescent="0.3">
      <c r="A5" s="10">
        <v>4</v>
      </c>
      <c r="B5" s="10">
        <f>_xlfn.XLOOKUP(1,(VALUE(D5)&gt;=VALUE(block!$C$3:$C$500))*(VALUE(D5)&lt;VALUE(block!$C$3:$C$500)+VALUE(block!$D$3:$D$500)),block!$A$3:$A$500,"无匹配",0,1)</f>
        <v>1</v>
      </c>
      <c r="C5" s="3" t="str">
        <f>B5 &amp; "-" &amp; COUNTIF($B$2:B5, B5)</f>
        <v>1-3</v>
      </c>
      <c r="D5" s="10">
        <v>8196</v>
      </c>
      <c r="E5" s="1" t="s">
        <v>1817</v>
      </c>
      <c r="F5" s="1" t="s">
        <v>190</v>
      </c>
      <c r="G5" s="1" t="s">
        <v>1816</v>
      </c>
      <c r="H5" s="1" t="s">
        <v>1812</v>
      </c>
      <c r="I5" s="10">
        <f>_xlfn.XLOOKUP(1,(VALUE(L3867)&gt;=VALUE(block!$C$3:'block'!$C$500))*(VALUE(block!L3867)&lt;VALUE(block!$C$3:'block'!$C$500)+VALUE(block!$D$3:'block'!$D$500)),block!$A$3:'block'!$A$500,"无匹配",0,1)</f>
        <v>55</v>
      </c>
      <c r="J5" s="1" t="s">
        <v>1808</v>
      </c>
      <c r="K5" s="10">
        <v>2</v>
      </c>
      <c r="L5" s="10">
        <v>1</v>
      </c>
      <c r="N5" s="10">
        <v>4</v>
      </c>
      <c r="O5" s="6"/>
      <c r="P5" s="45" t="s">
        <v>1813</v>
      </c>
      <c r="Q5" s="42" t="s">
        <v>1814</v>
      </c>
      <c r="R5" s="42"/>
      <c r="S5" s="1" t="s">
        <v>190</v>
      </c>
    </row>
    <row r="6" spans="1:19" ht="18.75" customHeight="1" x14ac:dyDescent="0.3">
      <c r="A6" s="10">
        <v>5</v>
      </c>
      <c r="B6" s="10">
        <f>_xlfn.XLOOKUP(1,(VALUE(D6)&gt;=VALUE(block!$C$3:$C$500))*(VALUE(D6)&lt;VALUE(block!$C$3:$C$500)+VALUE(block!$D$3:$D$500)),block!$A$3:$A$500,"无匹配",0,1)</f>
        <v>1</v>
      </c>
      <c r="C6" s="3" t="str">
        <f>B6 &amp; "-" &amp; COUNTIF($B$2:B6, B6)</f>
        <v>1-4</v>
      </c>
      <c r="D6" s="10">
        <v>8198</v>
      </c>
      <c r="E6" s="1" t="s">
        <v>1818</v>
      </c>
      <c r="F6" s="1" t="s">
        <v>245</v>
      </c>
      <c r="G6" s="1" t="s">
        <v>1816</v>
      </c>
      <c r="H6" s="1" t="s">
        <v>1812</v>
      </c>
      <c r="I6" s="10">
        <f>_xlfn.XLOOKUP(1,(VALUE(L3868)&gt;=VALUE(block!$C$3:'block'!$C$500))*(VALUE(block!L3868)&lt;VALUE(block!$C$3:'block'!$C$500)+VALUE(block!$D$3:'block'!$D$500)),block!$A$3:'block'!$A$500,"无匹配",0,1)</f>
        <v>55</v>
      </c>
      <c r="J6" s="1" t="s">
        <v>1808</v>
      </c>
      <c r="K6" s="10">
        <v>2</v>
      </c>
      <c r="L6" s="10">
        <v>1</v>
      </c>
      <c r="N6" s="10">
        <v>4</v>
      </c>
      <c r="O6" s="6"/>
      <c r="P6" s="45" t="s">
        <v>1813</v>
      </c>
      <c r="Q6" s="42" t="s">
        <v>1814</v>
      </c>
      <c r="R6" s="42"/>
      <c r="S6" s="1" t="s">
        <v>245</v>
      </c>
    </row>
    <row r="7" spans="1:19" ht="18.75" customHeight="1" x14ac:dyDescent="0.3">
      <c r="A7" s="10">
        <v>6</v>
      </c>
      <c r="B7" s="10">
        <f>_xlfn.XLOOKUP(1,(VALUE(D7)&gt;=VALUE(block!$C$3:$C$500))*(VALUE(D7)&lt;VALUE(block!$C$3:$C$500)+VALUE(block!$D$3:$D$500)),block!$A$3:$A$500,"无匹配",0,1)</f>
        <v>1</v>
      </c>
      <c r="C7" s="3" t="str">
        <f>B7 &amp; "-" &amp; COUNTIF($B$2:B7, B7)</f>
        <v>1-5</v>
      </c>
      <c r="D7" s="10">
        <v>8200</v>
      </c>
      <c r="E7" s="1" t="s">
        <v>1819</v>
      </c>
      <c r="F7" s="1" t="s">
        <v>297</v>
      </c>
      <c r="G7" s="1" t="s">
        <v>1816</v>
      </c>
      <c r="H7" s="1" t="s">
        <v>1812</v>
      </c>
      <c r="I7" s="10">
        <f>_xlfn.XLOOKUP(1,(VALUE(L3869)&gt;=VALUE(block!$C$3:'block'!$C$500))*(VALUE(block!L3869)&lt;VALUE(block!$C$3:'block'!$C$500)+VALUE(block!$D$3:'block'!$D$500)),block!$A$3:'block'!$A$500,"无匹配",0,1)</f>
        <v>55</v>
      </c>
      <c r="J7" s="1" t="s">
        <v>1808</v>
      </c>
      <c r="K7" s="10">
        <v>2</v>
      </c>
      <c r="L7" s="10">
        <v>1</v>
      </c>
      <c r="N7" s="10">
        <v>4</v>
      </c>
      <c r="O7" s="6"/>
      <c r="P7" s="45" t="s">
        <v>1813</v>
      </c>
      <c r="Q7" s="42" t="s">
        <v>1820</v>
      </c>
      <c r="R7" s="42"/>
      <c r="S7" s="1" t="s">
        <v>297</v>
      </c>
    </row>
    <row r="8" spans="1:19" ht="18.75" customHeight="1" x14ac:dyDescent="0.3">
      <c r="A8" s="10">
        <v>7</v>
      </c>
      <c r="B8" s="10">
        <f>_xlfn.XLOOKUP(1,(VALUE(D8)&gt;=VALUE(block!$C$3:$C$500))*(VALUE(D8)&lt;VALUE(block!$C$3:$C$500)+VALUE(block!$D$3:$D$500)),block!$A$3:$A$500,"无匹配",0,1)</f>
        <v>1</v>
      </c>
      <c r="C8" s="3" t="str">
        <f>B8 &amp; "-" &amp; COUNTIF($B$2:B8, B8)</f>
        <v>1-6</v>
      </c>
      <c r="D8" s="10">
        <v>8202</v>
      </c>
      <c r="E8" s="1" t="s">
        <v>1821</v>
      </c>
      <c r="F8" s="1" t="s">
        <v>135</v>
      </c>
      <c r="G8" s="1" t="s">
        <v>1816</v>
      </c>
      <c r="H8" s="1" t="s">
        <v>1812</v>
      </c>
      <c r="I8" s="10">
        <f>_xlfn.XLOOKUP(1,(VALUE(L3870)&gt;=VALUE(block!$C$3:'block'!$C$500))*(VALUE(block!L3870)&lt;VALUE(block!$C$3:'block'!$C$500)+VALUE(block!$D$3:'block'!$D$500)),block!$A$3:'block'!$A$500,"无匹配",0,1)</f>
        <v>55</v>
      </c>
      <c r="J8" s="1" t="s">
        <v>1808</v>
      </c>
      <c r="K8" s="10">
        <v>2</v>
      </c>
      <c r="L8" s="10">
        <v>1</v>
      </c>
      <c r="N8" s="10">
        <v>4</v>
      </c>
      <c r="O8" s="6"/>
      <c r="P8" s="45" t="s">
        <v>1813</v>
      </c>
      <c r="Q8" s="42" t="s">
        <v>1820</v>
      </c>
      <c r="R8" s="42"/>
      <c r="S8" s="1" t="s">
        <v>135</v>
      </c>
    </row>
    <row r="9" spans="1:19" ht="18.75" customHeight="1" x14ac:dyDescent="0.3">
      <c r="A9" s="10">
        <v>8</v>
      </c>
      <c r="B9" s="10">
        <f>_xlfn.XLOOKUP(1,(VALUE(D9)&gt;=VALUE(block!$C$3:$C$500))*(VALUE(D9)&lt;VALUE(block!$C$3:$C$500)+VALUE(block!$D$3:$D$500)),block!$A$3:$A$500,"无匹配",0,1)</f>
        <v>1</v>
      </c>
      <c r="C9" s="3" t="str">
        <f>B9 &amp; "-" &amp; COUNTIF($B$2:B9, B9)</f>
        <v>1-7</v>
      </c>
      <c r="D9" s="10">
        <v>8204</v>
      </c>
      <c r="E9" s="1" t="s">
        <v>1822</v>
      </c>
      <c r="F9" s="1" t="s">
        <v>200</v>
      </c>
      <c r="G9" s="1" t="s">
        <v>1816</v>
      </c>
      <c r="H9" s="1" t="s">
        <v>1812</v>
      </c>
      <c r="I9" s="10">
        <f>_xlfn.XLOOKUP(1,(VALUE(L3871)&gt;=VALUE(block!$C$3:'block'!$C$500))*(VALUE(block!L3871)&lt;VALUE(block!$C$3:'block'!$C$500)+VALUE(block!$D$3:'block'!$D$500)),block!$A$3:'block'!$A$500,"无匹配",0,1)</f>
        <v>55</v>
      </c>
      <c r="J9" s="1" t="s">
        <v>1808</v>
      </c>
      <c r="K9" s="10">
        <v>2</v>
      </c>
      <c r="L9" s="10">
        <v>1</v>
      </c>
      <c r="N9" s="10">
        <v>4</v>
      </c>
      <c r="O9" s="6"/>
      <c r="P9" s="45" t="s">
        <v>1813</v>
      </c>
      <c r="Q9" s="42" t="s">
        <v>1820</v>
      </c>
      <c r="R9" s="42"/>
      <c r="S9" s="1" t="s">
        <v>200</v>
      </c>
    </row>
    <row r="10" spans="1:19" ht="18.75" customHeight="1" x14ac:dyDescent="0.3">
      <c r="A10" s="10">
        <v>9</v>
      </c>
      <c r="B10" s="10">
        <f>_xlfn.XLOOKUP(1,(VALUE(D10)&gt;=VALUE(block!$C$3:$C$500))*(VALUE(D10)&lt;VALUE(block!$C$3:$C$500)+VALUE(block!$D$3:$D$500)),block!$A$3:$A$500,"无匹配",0,1)</f>
        <v>1</v>
      </c>
      <c r="C10" s="3" t="str">
        <f>B10 &amp; "-" &amp; COUNTIF($B$2:B10, B10)</f>
        <v>1-8</v>
      </c>
      <c r="D10" s="10">
        <v>8206</v>
      </c>
      <c r="E10" s="3" t="s">
        <v>1823</v>
      </c>
      <c r="F10" s="1" t="s">
        <v>253</v>
      </c>
      <c r="G10" s="1" t="s">
        <v>1816</v>
      </c>
      <c r="H10" s="1" t="s">
        <v>1812</v>
      </c>
      <c r="I10" s="10">
        <f>_xlfn.XLOOKUP(1,(VALUE(L3872)&gt;=VALUE(block!$C$3:'block'!$C$500))*(VALUE(block!L3872)&lt;VALUE(block!$C$3:'block'!$C$500)+VALUE(block!$D$3:'block'!$D$500)),block!$A$3:'block'!$A$500,"无匹配",0,1)</f>
        <v>55</v>
      </c>
      <c r="J10" s="1" t="s">
        <v>1808</v>
      </c>
      <c r="K10" s="10">
        <v>2</v>
      </c>
      <c r="L10" s="10">
        <v>1</v>
      </c>
      <c r="N10" s="10">
        <v>4</v>
      </c>
      <c r="O10" s="6"/>
      <c r="P10" s="45" t="s">
        <v>1813</v>
      </c>
      <c r="Q10" s="42" t="s">
        <v>1820</v>
      </c>
      <c r="R10" s="42"/>
      <c r="S10" s="1" t="s">
        <v>253</v>
      </c>
    </row>
    <row r="11" spans="1:19" ht="18.75" customHeight="1" x14ac:dyDescent="0.3">
      <c r="A11" s="10">
        <v>10</v>
      </c>
      <c r="B11" s="10">
        <f>_xlfn.XLOOKUP(1,(VALUE(D11)&gt;=VALUE(block!$C$3:$C$500))*(VALUE(D11)&lt;VALUE(block!$C$3:$C$500)+VALUE(block!$D$3:$D$500)),block!$A$3:$A$500,"无匹配",0,1)</f>
        <v>1</v>
      </c>
      <c r="C11" s="3" t="str">
        <f>B11 &amp; "-" &amp; COUNTIF($B$2:B11, B11)</f>
        <v>1-9</v>
      </c>
      <c r="D11" s="10">
        <v>8208</v>
      </c>
      <c r="E11" s="1" t="s">
        <v>1824</v>
      </c>
      <c r="F11" s="1" t="s">
        <v>301</v>
      </c>
      <c r="G11" s="1" t="s">
        <v>1816</v>
      </c>
      <c r="H11" s="1" t="s">
        <v>1812</v>
      </c>
      <c r="I11" s="10">
        <f>_xlfn.XLOOKUP(1,(VALUE(L3873)&gt;=VALUE(block!$C$3:'block'!$C$500))*(VALUE(block!L3873)&lt;VALUE(block!$C$3:'block'!$C$500)+VALUE(block!$D$3:'block'!$D$500)),block!$A$3:'block'!$A$500,"无匹配",0,1)</f>
        <v>55</v>
      </c>
      <c r="J11" s="1" t="s">
        <v>1808</v>
      </c>
      <c r="K11" s="10">
        <v>2</v>
      </c>
      <c r="L11" s="10">
        <v>1</v>
      </c>
      <c r="N11" s="10">
        <v>4</v>
      </c>
      <c r="O11" s="6"/>
      <c r="P11" s="45" t="s">
        <v>1813</v>
      </c>
      <c r="Q11" s="42" t="s">
        <v>1820</v>
      </c>
      <c r="R11" s="42"/>
      <c r="S11" s="1" t="s">
        <v>301</v>
      </c>
    </row>
    <row r="12" spans="1:19" ht="18.75" customHeight="1" x14ac:dyDescent="0.3">
      <c r="A12" s="10">
        <v>11</v>
      </c>
      <c r="B12" s="10">
        <f>_xlfn.XLOOKUP(1,(VALUE(D12)&gt;=VALUE(block!$C$3:$C$500))*(VALUE(D12)&lt;VALUE(block!$C$3:$C$500)+VALUE(block!$D$3:$D$500)),block!$A$3:$A$500,"无匹配",0,1)</f>
        <v>1</v>
      </c>
      <c r="C12" s="3" t="str">
        <f>B12 &amp; "-" &amp; COUNTIF($B$2:B12, B12)</f>
        <v>1-10</v>
      </c>
      <c r="D12" s="10">
        <v>8210</v>
      </c>
      <c r="E12" s="3" t="s">
        <v>1825</v>
      </c>
      <c r="F12" s="44" t="s">
        <v>130</v>
      </c>
      <c r="G12" s="1" t="s">
        <v>1826</v>
      </c>
      <c r="H12" s="1" t="s">
        <v>1812</v>
      </c>
      <c r="I12" s="10">
        <f>_xlfn.XLOOKUP(1,(VALUE(L3874)&gt;=VALUE(block!$C$3:'block'!$C$500))*(VALUE(block!L3874)&lt;VALUE(block!$C$3:'block'!$C$500)+VALUE(block!$D$3:'block'!$D$500)),block!$A$3:'block'!$A$500,"无匹配",0,1)</f>
        <v>55</v>
      </c>
      <c r="J12" s="1" t="s">
        <v>1808</v>
      </c>
      <c r="K12" s="10">
        <v>2</v>
      </c>
      <c r="L12" s="10">
        <v>1</v>
      </c>
      <c r="N12" s="10">
        <v>4</v>
      </c>
      <c r="O12" s="6"/>
      <c r="P12" s="45" t="s">
        <v>1813</v>
      </c>
      <c r="Q12" s="42" t="s">
        <v>1820</v>
      </c>
      <c r="R12" s="42"/>
      <c r="S12" s="44" t="s">
        <v>130</v>
      </c>
    </row>
    <row r="13" spans="1:19" ht="18.75" customHeight="1" x14ac:dyDescent="0.3">
      <c r="A13" s="10">
        <v>12</v>
      </c>
      <c r="B13" s="10">
        <f>_xlfn.XLOOKUP(1,(VALUE(D13)&gt;=VALUE(block!$C$3:$C$500))*(VALUE(D13)&lt;VALUE(block!$C$3:$C$500)+VALUE(block!$D$3:$D$500)),block!$A$3:$A$500,"无匹配",0,1)</f>
        <v>1</v>
      </c>
      <c r="C13" s="3" t="str">
        <f>B13 &amp; "-" &amp; COUNTIF($B$2:B13, B13)</f>
        <v>1-11</v>
      </c>
      <c r="D13" s="10">
        <v>8212</v>
      </c>
      <c r="E13" s="1" t="s">
        <v>1827</v>
      </c>
      <c r="F13" s="44" t="s">
        <v>195</v>
      </c>
      <c r="G13" s="1" t="s">
        <v>1826</v>
      </c>
      <c r="H13" s="1" t="s">
        <v>1812</v>
      </c>
      <c r="I13" s="10">
        <f>_xlfn.XLOOKUP(1,(VALUE(L3875)&gt;=VALUE(block!$C$3:'block'!$C$500))*(VALUE(block!L3875)&lt;VALUE(block!$C$3:'block'!$C$500)+VALUE(block!$D$3:'block'!$D$500)),block!$A$3:'block'!$A$500,"无匹配",0,1)</f>
        <v>55</v>
      </c>
      <c r="J13" s="1" t="s">
        <v>1808</v>
      </c>
      <c r="K13" s="10">
        <v>2</v>
      </c>
      <c r="L13" s="10">
        <v>1</v>
      </c>
      <c r="N13" s="10">
        <v>4</v>
      </c>
      <c r="O13" s="6"/>
      <c r="P13" s="45" t="s">
        <v>1813</v>
      </c>
      <c r="Q13" s="42" t="s">
        <v>1820</v>
      </c>
      <c r="R13" s="42"/>
      <c r="S13" s="44" t="s">
        <v>195</v>
      </c>
    </row>
    <row r="14" spans="1:19" ht="18.75" customHeight="1" x14ac:dyDescent="0.3">
      <c r="A14" s="10">
        <v>13</v>
      </c>
      <c r="B14" s="10">
        <f>_xlfn.XLOOKUP(1,(VALUE(D14)&gt;=VALUE(block!$C$3:$C$500))*(VALUE(D14)&lt;VALUE(block!$C$3:$C$500)+VALUE(block!$D$3:$D$500)),block!$A$3:$A$500,"无匹配",0,1)</f>
        <v>1</v>
      </c>
      <c r="C14" s="3" t="str">
        <f>B14 &amp; "-" &amp; COUNTIF($B$2:B14, B14)</f>
        <v>1-12</v>
      </c>
      <c r="D14" s="10">
        <v>8214</v>
      </c>
      <c r="E14" s="1" t="s">
        <v>1828</v>
      </c>
      <c r="F14" s="44" t="s">
        <v>249</v>
      </c>
      <c r="G14" s="1" t="s">
        <v>1826</v>
      </c>
      <c r="H14" s="1" t="s">
        <v>1812</v>
      </c>
      <c r="I14" s="10">
        <f>_xlfn.XLOOKUP(1,(VALUE(L3876)&gt;=VALUE(block!$C$3:'block'!$C$500))*(VALUE(block!L3876)&lt;VALUE(block!$C$3:'block'!$C$500)+VALUE(block!$D$3:'block'!$D$500)),block!$A$3:'block'!$A$500,"无匹配",0,1)</f>
        <v>55</v>
      </c>
      <c r="J14" s="1" t="s">
        <v>1808</v>
      </c>
      <c r="K14" s="10">
        <v>2</v>
      </c>
      <c r="L14" s="10">
        <v>1</v>
      </c>
      <c r="N14" s="10">
        <v>4</v>
      </c>
      <c r="O14" s="6"/>
      <c r="P14" s="45" t="s">
        <v>1813</v>
      </c>
      <c r="Q14" s="42" t="s">
        <v>1820</v>
      </c>
      <c r="R14" s="42"/>
      <c r="S14" s="44" t="s">
        <v>249</v>
      </c>
    </row>
    <row r="15" spans="1:19" ht="18.75" customHeight="1" x14ac:dyDescent="0.3">
      <c r="A15" s="10">
        <v>14</v>
      </c>
      <c r="B15" s="10">
        <f>_xlfn.XLOOKUP(1,(VALUE(D15)&gt;=VALUE(block!$C$3:$C$500))*(VALUE(D15)&lt;VALUE(block!$C$3:$C$500)+VALUE(block!$D$3:$D$500)),block!$A$3:$A$500,"无匹配",0,1)</f>
        <v>1</v>
      </c>
      <c r="C15" s="3" t="str">
        <f>B15 &amp; "-" &amp; COUNTIF($B$2:B15, B15)</f>
        <v>1-13</v>
      </c>
      <c r="D15" s="10">
        <v>8216</v>
      </c>
      <c r="E15" s="1" t="s">
        <v>1829</v>
      </c>
      <c r="F15" s="1" t="s">
        <v>145</v>
      </c>
      <c r="G15" s="1" t="s">
        <v>1830</v>
      </c>
      <c r="H15" s="1" t="s">
        <v>1812</v>
      </c>
      <c r="I15" s="10">
        <f>_xlfn.XLOOKUP(1,(VALUE(L3877)&gt;=VALUE(block!$C$3:'block'!$C$500))*(VALUE(block!L3877)&lt;VALUE(block!$C$3:'block'!$C$500)+VALUE(block!$D$3:'block'!$D$500)),block!$A$3:'block'!$A$500,"无匹配",0,1)</f>
        <v>55</v>
      </c>
      <c r="J15" s="1" t="s">
        <v>1808</v>
      </c>
      <c r="K15" s="10">
        <v>2</v>
      </c>
      <c r="L15" s="10">
        <v>1</v>
      </c>
      <c r="N15" s="10">
        <v>4</v>
      </c>
      <c r="O15" s="6"/>
      <c r="P15" s="45" t="s">
        <v>1813</v>
      </c>
      <c r="Q15" s="42" t="s">
        <v>1820</v>
      </c>
      <c r="R15" s="42"/>
      <c r="S15" s="1" t="s">
        <v>145</v>
      </c>
    </row>
    <row r="16" spans="1:19" ht="18.75" customHeight="1" x14ac:dyDescent="0.3">
      <c r="A16" s="10">
        <v>15</v>
      </c>
      <c r="B16" s="10">
        <f>_xlfn.XLOOKUP(1,(VALUE(D16)&gt;=VALUE(block!$C$3:$C$500))*(VALUE(D16)&lt;VALUE(block!$C$3:$C$500)+VALUE(block!$D$3:$D$500)),block!$A$3:$A$500,"无匹配",0,1)</f>
        <v>1</v>
      </c>
      <c r="C16" s="3" t="str">
        <f>B16 &amp; "-" &amp; COUNTIF($B$2:B16, B16)</f>
        <v>1-14</v>
      </c>
      <c r="D16" s="10">
        <v>8218</v>
      </c>
      <c r="E16" s="1" t="s">
        <v>1831</v>
      </c>
      <c r="F16" s="1" t="s">
        <v>155</v>
      </c>
      <c r="G16" s="1" t="s">
        <v>1832</v>
      </c>
      <c r="H16" s="1" t="s">
        <v>1812</v>
      </c>
      <c r="I16" s="10">
        <f>_xlfn.XLOOKUP(1,(VALUE(L3878)&gt;=VALUE(block!$C$3:'block'!$C$500))*(VALUE(block!L3878)&lt;VALUE(block!$C$3:'block'!$C$500)+VALUE(block!$D$3:'block'!$D$500)),block!$A$3:'block'!$A$500,"无匹配",0,1)</f>
        <v>55</v>
      </c>
      <c r="J16" s="1" t="s">
        <v>1808</v>
      </c>
      <c r="K16" s="10">
        <v>2</v>
      </c>
      <c r="L16" s="10">
        <v>1</v>
      </c>
      <c r="N16" s="10">
        <v>4</v>
      </c>
      <c r="O16" s="6"/>
      <c r="P16" s="45" t="s">
        <v>1813</v>
      </c>
      <c r="Q16" s="42" t="s">
        <v>1820</v>
      </c>
      <c r="R16" s="42"/>
      <c r="S16" s="1" t="s">
        <v>155</v>
      </c>
    </row>
    <row r="17" spans="1:19" ht="18.75" customHeight="1" x14ac:dyDescent="0.3">
      <c r="A17" s="10">
        <v>16</v>
      </c>
      <c r="B17" s="10">
        <f>_xlfn.XLOOKUP(1,(VALUE(D17)&gt;=VALUE(block!$C$3:$C$500))*(VALUE(D17)&lt;VALUE(block!$C$3:$C$500)+VALUE(block!$D$3:$D$500)),block!$A$3:$A$500,"无匹配",0,1)</f>
        <v>1</v>
      </c>
      <c r="C17" s="3" t="str">
        <f>B17 &amp; "-" &amp; COUNTIF($B$2:B17, B17)</f>
        <v>1-15</v>
      </c>
      <c r="D17" s="10">
        <v>8220</v>
      </c>
      <c r="E17" s="1" t="s">
        <v>1833</v>
      </c>
      <c r="F17" s="1" t="s">
        <v>160</v>
      </c>
      <c r="G17" s="1" t="s">
        <v>1834</v>
      </c>
      <c r="H17" s="1" t="s">
        <v>1812</v>
      </c>
      <c r="I17" s="10">
        <f>_xlfn.XLOOKUP(1,(VALUE(L3879)&gt;=VALUE(block!$C$3:'block'!$C$500))*(VALUE(block!L3879)&lt;VALUE(block!$C$3:'block'!$C$500)+VALUE(block!$D$3:'block'!$D$500)),block!$A$3:'block'!$A$500,"无匹配",0,1)</f>
        <v>55</v>
      </c>
      <c r="J17" s="1" t="s">
        <v>1808</v>
      </c>
      <c r="K17" s="10">
        <v>2</v>
      </c>
      <c r="L17" s="10">
        <v>1</v>
      </c>
      <c r="N17" s="10">
        <v>4</v>
      </c>
      <c r="O17" s="6"/>
      <c r="P17" s="45" t="s">
        <v>1813</v>
      </c>
      <c r="Q17" s="42" t="s">
        <v>1820</v>
      </c>
      <c r="R17" s="42"/>
      <c r="S17" s="1" t="s">
        <v>160</v>
      </c>
    </row>
    <row r="18" spans="1:19" ht="18.75" customHeight="1" x14ac:dyDescent="0.3">
      <c r="A18" s="10">
        <v>17</v>
      </c>
      <c r="B18" s="10">
        <f>_xlfn.XLOOKUP(1,(VALUE(D18)&gt;=VALUE(block!$C$3:$C$500))*(VALUE(D18)&lt;VALUE(block!$C$3:$C$500)+VALUE(block!$D$3:$D$500)),block!$A$3:$A$500,"无匹配",0,1)</f>
        <v>1</v>
      </c>
      <c r="C18" s="3" t="str">
        <f>B18 &amp; "-" &amp; COUNTIF($B$2:B18, B18)</f>
        <v>1-16</v>
      </c>
      <c r="D18" s="10">
        <v>8222</v>
      </c>
      <c r="E18" s="1" t="s">
        <v>1835</v>
      </c>
      <c r="F18" s="1" t="s">
        <v>165</v>
      </c>
      <c r="G18" s="1" t="s">
        <v>1836</v>
      </c>
      <c r="H18" s="1" t="s">
        <v>1812</v>
      </c>
      <c r="I18" s="10">
        <f>_xlfn.XLOOKUP(1,(VALUE(L3880)&gt;=VALUE(block!$C$3:'block'!$C$500))*(VALUE(block!L3880)&lt;VALUE(block!$C$3:'block'!$C$500)+VALUE(block!$D$3:'block'!$D$500)),block!$A$3:'block'!$A$500,"无匹配",0,1)</f>
        <v>55</v>
      </c>
      <c r="J18" s="1" t="s">
        <v>1808</v>
      </c>
      <c r="K18" s="10">
        <v>2</v>
      </c>
      <c r="L18" s="10">
        <v>1</v>
      </c>
      <c r="N18" s="10">
        <v>4</v>
      </c>
      <c r="O18" s="6"/>
      <c r="P18" s="45" t="s">
        <v>1813</v>
      </c>
      <c r="Q18" s="42" t="s">
        <v>1820</v>
      </c>
      <c r="R18" s="42"/>
      <c r="S18" s="1" t="s">
        <v>165</v>
      </c>
    </row>
    <row r="19" spans="1:19" ht="18.75" hidden="1" customHeight="1" x14ac:dyDescent="0.3">
      <c r="A19" s="10">
        <v>18</v>
      </c>
      <c r="B19" s="10">
        <f>_xlfn.XLOOKUP(1,(VALUE(D19)&gt;=VALUE(block!$C$3:$C$500))*(VALUE(D19)&lt;VALUE(block!$C$3:$C$500)+VALUE(block!$D$3:$D$500)),block!$A$3:$A$500,"无匹配",0,1)</f>
        <v>1</v>
      </c>
      <c r="C19" s="3" t="str">
        <f>B19 &amp; "-" &amp; COUNTIF($B$2:B19, B19)</f>
        <v>1-17</v>
      </c>
      <c r="D19" s="10">
        <v>8224</v>
      </c>
      <c r="E19" s="1" t="s">
        <v>1837</v>
      </c>
      <c r="F19" s="1" t="s">
        <v>170</v>
      </c>
      <c r="H19" s="1" t="s">
        <v>1838</v>
      </c>
      <c r="I19" s="10">
        <f>_xlfn.XLOOKUP(1,(VALUE(L3881)&gt;=VALUE(block!$C$3:'block'!$C$500))*(VALUE(block!L3881)&lt;VALUE(block!$C$3:'block'!$C$500)+VALUE(block!$D$3:'block'!$D$500)),block!$A$3:'block'!$A$500,"无匹配",0,1)</f>
        <v>55</v>
      </c>
      <c r="J19" s="1" t="s">
        <v>1808</v>
      </c>
      <c r="K19" s="10">
        <v>2</v>
      </c>
      <c r="L19" s="10">
        <v>1</v>
      </c>
      <c r="O19" s="6"/>
      <c r="Q19" s="6">
        <v>9</v>
      </c>
      <c r="R19" s="6"/>
      <c r="S19" s="1"/>
    </row>
    <row r="20" spans="1:19" ht="18.75" customHeight="1" x14ac:dyDescent="0.3">
      <c r="A20" s="10">
        <v>19</v>
      </c>
      <c r="B20" s="10">
        <f>_xlfn.XLOOKUP(1,(VALUE(D20)&gt;=VALUE(block!$C$3:$C$500))*(VALUE(D20)&lt;VALUE(block!$C$3:$C$500)+VALUE(block!$D$3:$D$500)),block!$A$3:$A$500,"无匹配",0,1)</f>
        <v>1</v>
      </c>
      <c r="C20" s="3" t="str">
        <f>B20 &amp; "-" &amp; COUNTIF($B$2:B20, B20)</f>
        <v>1-18</v>
      </c>
      <c r="D20" s="10">
        <v>8226</v>
      </c>
      <c r="E20" s="1" t="s">
        <v>1839</v>
      </c>
      <c r="F20" s="1" t="s">
        <v>175</v>
      </c>
      <c r="G20" s="1" t="s">
        <v>1840</v>
      </c>
      <c r="H20" s="1" t="s">
        <v>1812</v>
      </c>
      <c r="I20" s="10">
        <f>_xlfn.XLOOKUP(1,(VALUE(L3882)&gt;=VALUE(block!$C$3:'block'!$C$500))*(VALUE(block!L3882)&lt;VALUE(block!$C$3:'block'!$C$500)+VALUE(block!$D$3:'block'!$D$500)),block!$A$3:'block'!$A$500,"无匹配",0,1)</f>
        <v>55</v>
      </c>
      <c r="J20" s="1" t="s">
        <v>1808</v>
      </c>
      <c r="K20" s="10">
        <v>2</v>
      </c>
      <c r="L20" s="10">
        <v>1</v>
      </c>
      <c r="N20" s="10">
        <v>4</v>
      </c>
      <c r="O20" s="6"/>
      <c r="P20" s="45" t="s">
        <v>1813</v>
      </c>
      <c r="Q20" s="6">
        <v>9</v>
      </c>
      <c r="R20" s="6"/>
      <c r="S20" s="1" t="s">
        <v>175</v>
      </c>
    </row>
    <row r="21" spans="1:19" ht="18.75" customHeight="1" x14ac:dyDescent="0.3">
      <c r="A21" s="10">
        <v>20</v>
      </c>
      <c r="B21" s="10">
        <f>_xlfn.XLOOKUP(1,(VALUE(D21)&gt;=VALUE(block!$C$3:$C$500))*(VALUE(D21)&lt;VALUE(block!$C$3:$C$500)+VALUE(block!$D$3:$D$500)),block!$A$3:$A$500,"无匹配",0,1)</f>
        <v>1</v>
      </c>
      <c r="C21" s="3" t="str">
        <f>B21 &amp; "-" &amp; COUNTIF($B$2:B21, B21)</f>
        <v>1-19</v>
      </c>
      <c r="D21" s="10">
        <v>8228</v>
      </c>
      <c r="E21" s="1" t="s">
        <v>1841</v>
      </c>
      <c r="F21" s="1" t="s">
        <v>209</v>
      </c>
      <c r="G21" s="1" t="s">
        <v>1830</v>
      </c>
      <c r="H21" s="1" t="s">
        <v>1812</v>
      </c>
      <c r="I21" s="10">
        <f>_xlfn.XLOOKUP(1,(VALUE(L3883)&gt;=VALUE(block!$C$3:'block'!$C$500))*(VALUE(block!L3883)&lt;VALUE(block!$C$3:'block'!$C$500)+VALUE(block!$D$3:'block'!$D$500)),block!$A$3:'block'!$A$500,"无匹配",0,1)</f>
        <v>55</v>
      </c>
      <c r="J21" s="1" t="s">
        <v>1808</v>
      </c>
      <c r="K21" s="10">
        <v>2</v>
      </c>
      <c r="L21" s="10">
        <v>1</v>
      </c>
      <c r="N21" s="10">
        <v>4</v>
      </c>
      <c r="O21" s="6"/>
      <c r="P21" s="45" t="s">
        <v>1813</v>
      </c>
      <c r="Q21" s="42" t="s">
        <v>1820</v>
      </c>
      <c r="R21" s="42"/>
      <c r="S21" s="1" t="s">
        <v>209</v>
      </c>
    </row>
    <row r="22" spans="1:19" ht="18.75" customHeight="1" x14ac:dyDescent="0.3">
      <c r="A22" s="10">
        <v>21</v>
      </c>
      <c r="B22" s="10">
        <f>_xlfn.XLOOKUP(1,(VALUE(D22)&gt;=VALUE(block!$C$3:$C$500))*(VALUE(D22)&lt;VALUE(block!$C$3:$C$500)+VALUE(block!$D$3:$D$500)),block!$A$3:$A$500,"无匹配",0,1)</f>
        <v>1</v>
      </c>
      <c r="C22" s="3" t="str">
        <f>B22 &amp; "-" &amp; COUNTIF($B$2:B22, B22)</f>
        <v>1-20</v>
      </c>
      <c r="D22" s="10">
        <v>8230</v>
      </c>
      <c r="E22" s="1" t="s">
        <v>1842</v>
      </c>
      <c r="F22" s="1" t="s">
        <v>217</v>
      </c>
      <c r="G22" s="1" t="s">
        <v>1832</v>
      </c>
      <c r="H22" s="1" t="s">
        <v>1812</v>
      </c>
      <c r="I22" s="10">
        <f>_xlfn.XLOOKUP(1,(VALUE(L3884)&gt;=VALUE(block!$C$3:'block'!$C$500))*(VALUE(block!L3884)&lt;VALUE(block!$C$3:'block'!$C$500)+VALUE(block!$D$3:'block'!$D$500)),block!$A$3:'block'!$A$500,"无匹配",0,1)</f>
        <v>55</v>
      </c>
      <c r="J22" s="1" t="s">
        <v>1808</v>
      </c>
      <c r="K22" s="10">
        <v>2</v>
      </c>
      <c r="L22" s="10">
        <v>1</v>
      </c>
      <c r="N22" s="10">
        <v>4</v>
      </c>
      <c r="O22" s="6"/>
      <c r="P22" s="45" t="s">
        <v>1813</v>
      </c>
      <c r="Q22" s="42" t="s">
        <v>1820</v>
      </c>
      <c r="R22" s="42"/>
      <c r="S22" s="1" t="s">
        <v>217</v>
      </c>
    </row>
    <row r="23" spans="1:19" ht="18.75" customHeight="1" x14ac:dyDescent="0.3">
      <c r="A23" s="10">
        <v>22</v>
      </c>
      <c r="B23" s="10">
        <f>_xlfn.XLOOKUP(1,(VALUE(D23)&gt;=VALUE(block!$C$3:$C$500))*(VALUE(D23)&lt;VALUE(block!$C$3:$C$500)+VALUE(block!$D$3:$D$500)),block!$A$3:$A$500,"无匹配",0,1)</f>
        <v>1</v>
      </c>
      <c r="C23" s="3" t="str">
        <f>B23 &amp; "-" &amp; COUNTIF($B$2:B23, B23)</f>
        <v>1-21</v>
      </c>
      <c r="D23" s="10">
        <v>8232</v>
      </c>
      <c r="E23" s="1" t="s">
        <v>1843</v>
      </c>
      <c r="F23" s="1" t="s">
        <v>221</v>
      </c>
      <c r="G23" s="1" t="s">
        <v>1834</v>
      </c>
      <c r="H23" s="1" t="s">
        <v>1812</v>
      </c>
      <c r="I23" s="10">
        <f>_xlfn.XLOOKUP(1,(VALUE(L3885)&gt;=VALUE(block!$C$3:'block'!$C$500))*(VALUE(block!L3885)&lt;VALUE(block!$C$3:'block'!$C$500)+VALUE(block!$D$3:'block'!$D$500)),block!$A$3:'block'!$A$500,"无匹配",0,1)</f>
        <v>55</v>
      </c>
      <c r="J23" s="1" t="s">
        <v>1808</v>
      </c>
      <c r="K23" s="10">
        <v>2</v>
      </c>
      <c r="L23" s="10">
        <v>1</v>
      </c>
      <c r="N23" s="10">
        <v>4</v>
      </c>
      <c r="O23" s="6"/>
      <c r="P23" s="45" t="s">
        <v>1813</v>
      </c>
      <c r="Q23" s="42" t="s">
        <v>1820</v>
      </c>
      <c r="R23" s="42"/>
      <c r="S23" s="1" t="s">
        <v>221</v>
      </c>
    </row>
    <row r="24" spans="1:19" ht="18.75" customHeight="1" x14ac:dyDescent="0.3">
      <c r="A24" s="10">
        <v>23</v>
      </c>
      <c r="B24" s="10">
        <f>_xlfn.XLOOKUP(1,(VALUE(D24)&gt;=VALUE(block!$C$3:$C$500))*(VALUE(D24)&lt;VALUE(block!$C$3:$C$500)+VALUE(block!$D$3:$D$500)),block!$A$3:$A$500,"无匹配",0,1)</f>
        <v>1</v>
      </c>
      <c r="C24" s="3" t="str">
        <f>B24 &amp; "-" &amp; COUNTIF($B$2:B24, B24)</f>
        <v>1-22</v>
      </c>
      <c r="D24" s="10">
        <v>8234</v>
      </c>
      <c r="E24" s="1" t="s">
        <v>1844</v>
      </c>
      <c r="F24" s="1" t="s">
        <v>225</v>
      </c>
      <c r="G24" s="1" t="s">
        <v>1836</v>
      </c>
      <c r="H24" s="1" t="s">
        <v>1812</v>
      </c>
      <c r="I24" s="10">
        <f>_xlfn.XLOOKUP(1,(VALUE(L3886)&gt;=VALUE(block!$C$3:'block'!$C$500))*(VALUE(block!L3886)&lt;VALUE(block!$C$3:'block'!$C$500)+VALUE(block!$D$3:'block'!$D$500)),block!$A$3:'block'!$A$500,"无匹配",0,1)</f>
        <v>55</v>
      </c>
      <c r="J24" s="1" t="s">
        <v>1808</v>
      </c>
      <c r="K24" s="10">
        <v>2</v>
      </c>
      <c r="L24" s="10">
        <v>1</v>
      </c>
      <c r="N24" s="10">
        <v>4</v>
      </c>
      <c r="O24" s="6"/>
      <c r="P24" s="45" t="s">
        <v>1813</v>
      </c>
      <c r="Q24" s="42" t="s">
        <v>1820</v>
      </c>
      <c r="R24" s="42"/>
      <c r="S24" s="1" t="s">
        <v>225</v>
      </c>
    </row>
    <row r="25" spans="1:19" ht="18.75" hidden="1" customHeight="1" x14ac:dyDescent="0.3">
      <c r="A25" s="10">
        <v>24</v>
      </c>
      <c r="B25" s="10">
        <f>_xlfn.XLOOKUP(1,(VALUE(D25)&gt;=VALUE(block!$C$3:$C$500))*(VALUE(D25)&lt;VALUE(block!$C$3:$C$500)+VALUE(block!$D$3:$D$500)),block!$A$3:$A$500,"无匹配",0,1)</f>
        <v>1</v>
      </c>
      <c r="C25" s="3" t="str">
        <f>B25 &amp; "-" &amp; COUNTIF($B$2:B25, B25)</f>
        <v>1-23</v>
      </c>
      <c r="D25" s="10">
        <v>8236</v>
      </c>
      <c r="E25" s="1" t="s">
        <v>1845</v>
      </c>
      <c r="F25" s="1" t="s">
        <v>229</v>
      </c>
      <c r="H25" s="1" t="s">
        <v>1838</v>
      </c>
      <c r="I25" s="10">
        <f>_xlfn.XLOOKUP(1,(VALUE(L3887)&gt;=VALUE(block!$C$3:'block'!$C$500))*(VALUE(block!L3887)&lt;VALUE(block!$C$3:'block'!$C$500)+VALUE(block!$D$3:'block'!$D$500)),block!$A$3:'block'!$A$500,"无匹配",0,1)</f>
        <v>55</v>
      </c>
      <c r="J25" s="1" t="s">
        <v>1808</v>
      </c>
      <c r="K25" s="10">
        <v>2</v>
      </c>
      <c r="L25" s="10">
        <v>1</v>
      </c>
      <c r="O25" s="6"/>
      <c r="Q25" s="6">
        <v>9</v>
      </c>
      <c r="R25" s="6"/>
      <c r="S25" s="1"/>
    </row>
    <row r="26" spans="1:19" ht="18.75" customHeight="1" x14ac:dyDescent="0.3">
      <c r="A26" s="10">
        <v>25</v>
      </c>
      <c r="B26" s="10">
        <f>_xlfn.XLOOKUP(1,(VALUE(D26)&gt;=VALUE(block!$C$3:$C$500))*(VALUE(D26)&lt;VALUE(block!$C$3:$C$500)+VALUE(block!$D$3:$D$500)),block!$A$3:$A$500,"无匹配",0,1)</f>
        <v>1</v>
      </c>
      <c r="C26" s="3" t="str">
        <f>B26 &amp; "-" &amp; COUNTIF($B$2:B26, B26)</f>
        <v>1-24</v>
      </c>
      <c r="D26" s="10">
        <v>8238</v>
      </c>
      <c r="E26" s="1" t="s">
        <v>1846</v>
      </c>
      <c r="F26" s="1" t="s">
        <v>233</v>
      </c>
      <c r="G26" s="1" t="s">
        <v>1840</v>
      </c>
      <c r="H26" s="1" t="s">
        <v>1812</v>
      </c>
      <c r="I26" s="10">
        <f>_xlfn.XLOOKUP(1,(VALUE(L3888)&gt;=VALUE(block!$C$3:'block'!$C$500))*(VALUE(block!L3888)&lt;VALUE(block!$C$3:'block'!$C$500)+VALUE(block!$D$3:'block'!$D$500)),block!$A$3:'block'!$A$500,"无匹配",0,1)</f>
        <v>55</v>
      </c>
      <c r="J26" s="1" t="s">
        <v>1808</v>
      </c>
      <c r="K26" s="10">
        <v>2</v>
      </c>
      <c r="L26" s="10">
        <v>1</v>
      </c>
      <c r="N26" s="10">
        <v>4</v>
      </c>
      <c r="O26" s="6"/>
      <c r="P26" s="45" t="s">
        <v>1813</v>
      </c>
      <c r="Q26" s="6">
        <v>9</v>
      </c>
      <c r="R26" s="6"/>
      <c r="S26" s="1" t="s">
        <v>233</v>
      </c>
    </row>
    <row r="27" spans="1:19" ht="18.75" customHeight="1" x14ac:dyDescent="0.3">
      <c r="A27" s="10">
        <v>26</v>
      </c>
      <c r="B27" s="10">
        <f>_xlfn.XLOOKUP(1,(VALUE(D27)&gt;=VALUE(block!$C$3:$C$500))*(VALUE(D27)&lt;VALUE(block!$C$3:$C$500)+VALUE(block!$D$3:$D$500)),block!$A$3:$A$500,"无匹配",0,1)</f>
        <v>1</v>
      </c>
      <c r="C27" s="3" t="str">
        <f>B27 &amp; "-" &amp; COUNTIF($B$2:B27, B27)</f>
        <v>1-25</v>
      </c>
      <c r="D27" s="10">
        <v>8240</v>
      </c>
      <c r="E27" s="1" t="s">
        <v>1847</v>
      </c>
      <c r="F27" s="1" t="s">
        <v>261</v>
      </c>
      <c r="G27" s="1" t="s">
        <v>1830</v>
      </c>
      <c r="H27" s="1" t="s">
        <v>1812</v>
      </c>
      <c r="I27" s="10">
        <f>_xlfn.XLOOKUP(1,(VALUE(L3889)&gt;=VALUE(block!$C$3:'block'!$C$500))*(VALUE(block!L3889)&lt;VALUE(block!$C$3:'block'!$C$500)+VALUE(block!$D$3:'block'!$D$500)),block!$A$3:'block'!$A$500,"无匹配",0,1)</f>
        <v>55</v>
      </c>
      <c r="J27" s="1" t="s">
        <v>1808</v>
      </c>
      <c r="K27" s="10">
        <v>2</v>
      </c>
      <c r="L27" s="10">
        <v>1</v>
      </c>
      <c r="N27" s="10">
        <v>4</v>
      </c>
      <c r="O27" s="6"/>
      <c r="P27" s="45" t="s">
        <v>1813</v>
      </c>
      <c r="Q27" s="42" t="s">
        <v>1820</v>
      </c>
      <c r="R27" s="42"/>
      <c r="S27" s="1" t="s">
        <v>261</v>
      </c>
    </row>
    <row r="28" spans="1:19" ht="18.75" customHeight="1" x14ac:dyDescent="0.3">
      <c r="A28" s="10">
        <v>27</v>
      </c>
      <c r="B28" s="10">
        <f>_xlfn.XLOOKUP(1,(VALUE(D28)&gt;=VALUE(block!$C$3:$C$500))*(VALUE(D28)&lt;VALUE(block!$C$3:$C$500)+VALUE(block!$D$3:$D$500)),block!$A$3:$A$500,"无匹配",0,1)</f>
        <v>1</v>
      </c>
      <c r="C28" s="3" t="str">
        <f>B28 &amp; "-" &amp; COUNTIF($B$2:B28, B28)</f>
        <v>1-26</v>
      </c>
      <c r="D28" s="10">
        <v>8242</v>
      </c>
      <c r="E28" s="1" t="s">
        <v>1848</v>
      </c>
      <c r="F28" s="1" t="s">
        <v>269</v>
      </c>
      <c r="G28" s="1" t="s">
        <v>1832</v>
      </c>
      <c r="H28" s="1" t="s">
        <v>1812</v>
      </c>
      <c r="I28" s="10">
        <f>_xlfn.XLOOKUP(1,(VALUE(L3890)&gt;=VALUE(block!$C$3:'block'!$C$500))*(VALUE(block!L3890)&lt;VALUE(block!$C$3:'block'!$C$500)+VALUE(block!$D$3:'block'!$D$500)),block!$A$3:'block'!$A$500,"无匹配",0,1)</f>
        <v>55</v>
      </c>
      <c r="J28" s="1" t="s">
        <v>1808</v>
      </c>
      <c r="K28" s="10">
        <v>2</v>
      </c>
      <c r="L28" s="10">
        <v>1</v>
      </c>
      <c r="N28" s="10">
        <v>4</v>
      </c>
      <c r="O28" s="6"/>
      <c r="P28" s="45" t="s">
        <v>1813</v>
      </c>
      <c r="Q28" s="42" t="s">
        <v>1820</v>
      </c>
      <c r="R28" s="42"/>
      <c r="S28" s="1" t="s">
        <v>269</v>
      </c>
    </row>
    <row r="29" spans="1:19" ht="18.75" customHeight="1" x14ac:dyDescent="0.3">
      <c r="A29" s="10">
        <v>28</v>
      </c>
      <c r="B29" s="10">
        <f>_xlfn.XLOOKUP(1,(VALUE(D29)&gt;=VALUE(block!$C$3:$C$500))*(VALUE(D29)&lt;VALUE(block!$C$3:$C$500)+VALUE(block!$D$3:$D$500)),block!$A$3:$A$500,"无匹配",0,1)</f>
        <v>1</v>
      </c>
      <c r="C29" s="3" t="str">
        <f>B29 &amp; "-" &amp; COUNTIF($B$2:B29, B29)</f>
        <v>1-27</v>
      </c>
      <c r="D29" s="10">
        <v>8244</v>
      </c>
      <c r="E29" s="1" t="s">
        <v>1849</v>
      </c>
      <c r="F29" s="1" t="s">
        <v>273</v>
      </c>
      <c r="G29" s="1" t="s">
        <v>1834</v>
      </c>
      <c r="H29" s="1" t="s">
        <v>1812</v>
      </c>
      <c r="I29" s="10">
        <f>_xlfn.XLOOKUP(1,(VALUE(L3891)&gt;=VALUE(block!$C$3:'block'!$C$500))*(VALUE(block!L3891)&lt;VALUE(block!$C$3:'block'!$C$500)+VALUE(block!$D$3:'block'!$D$500)),block!$A$3:'block'!$A$500,"无匹配",0,1)</f>
        <v>55</v>
      </c>
      <c r="J29" s="1" t="s">
        <v>1808</v>
      </c>
      <c r="K29" s="10">
        <v>2</v>
      </c>
      <c r="L29" s="10">
        <v>1</v>
      </c>
      <c r="N29" s="10">
        <v>4</v>
      </c>
      <c r="O29" s="6"/>
      <c r="P29" s="45" t="s">
        <v>1813</v>
      </c>
      <c r="Q29" s="42" t="s">
        <v>1820</v>
      </c>
      <c r="R29" s="42"/>
      <c r="S29" s="1" t="s">
        <v>273</v>
      </c>
    </row>
    <row r="30" spans="1:19" ht="18.75" customHeight="1" x14ac:dyDescent="0.3">
      <c r="A30" s="10">
        <v>29</v>
      </c>
      <c r="B30" s="10">
        <f>_xlfn.XLOOKUP(1,(VALUE(D30)&gt;=VALUE(block!$C$3:$C$500))*(VALUE(D30)&lt;VALUE(block!$C$3:$C$500)+VALUE(block!$D$3:$D$500)),block!$A$3:$A$500,"无匹配",0,1)</f>
        <v>1</v>
      </c>
      <c r="C30" s="3" t="str">
        <f>B30 &amp; "-" &amp; COUNTIF($B$2:B30, B30)</f>
        <v>1-28</v>
      </c>
      <c r="D30" s="10">
        <v>8246</v>
      </c>
      <c r="E30" s="1" t="s">
        <v>1850</v>
      </c>
      <c r="F30" s="1" t="s">
        <v>277</v>
      </c>
      <c r="G30" s="1" t="s">
        <v>1836</v>
      </c>
      <c r="H30" s="1" t="s">
        <v>1812</v>
      </c>
      <c r="I30" s="10">
        <f>_xlfn.XLOOKUP(1,(VALUE(L3892)&gt;=VALUE(block!$C$3:'block'!$C$500))*(VALUE(block!L3892)&lt;VALUE(block!$C$3:'block'!$C$500)+VALUE(block!$D$3:'block'!$D$500)),block!$A$3:'block'!$A$500,"无匹配",0,1)</f>
        <v>55</v>
      </c>
      <c r="J30" s="1" t="s">
        <v>1808</v>
      </c>
      <c r="K30" s="10">
        <v>2</v>
      </c>
      <c r="L30" s="10">
        <v>1</v>
      </c>
      <c r="N30" s="10">
        <v>4</v>
      </c>
      <c r="O30" s="6"/>
      <c r="P30" s="45" t="s">
        <v>1813</v>
      </c>
      <c r="Q30" s="42" t="s">
        <v>1820</v>
      </c>
      <c r="R30" s="42"/>
      <c r="S30" s="1" t="s">
        <v>277</v>
      </c>
    </row>
    <row r="31" spans="1:19" ht="18.75" hidden="1" customHeight="1" x14ac:dyDescent="0.3">
      <c r="A31" s="10">
        <v>30</v>
      </c>
      <c r="B31" s="10">
        <f>_xlfn.XLOOKUP(1,(VALUE(D31)&gt;=VALUE(block!$C$3:$C$500))*(VALUE(D31)&lt;VALUE(block!$C$3:$C$500)+VALUE(block!$D$3:$D$500)),block!$A$3:$A$500,"无匹配",0,1)</f>
        <v>1</v>
      </c>
      <c r="C31" s="3" t="str">
        <f>B31 &amp; "-" &amp; COUNTIF($B$2:B31, B31)</f>
        <v>1-29</v>
      </c>
      <c r="D31" s="10">
        <v>8248</v>
      </c>
      <c r="E31" s="1" t="s">
        <v>1851</v>
      </c>
      <c r="F31" s="1" t="s">
        <v>281</v>
      </c>
      <c r="H31" s="1" t="s">
        <v>1838</v>
      </c>
      <c r="I31" s="10">
        <f>_xlfn.XLOOKUP(1,(VALUE(L3893)&gt;=VALUE(block!$C$3:'block'!$C$500))*(VALUE(block!L3893)&lt;VALUE(block!$C$3:'block'!$C$500)+VALUE(block!$D$3:'block'!$D$500)),block!$A$3:'block'!$A$500,"无匹配",0,1)</f>
        <v>55</v>
      </c>
      <c r="J31" s="1" t="s">
        <v>1808</v>
      </c>
      <c r="K31" s="10">
        <v>2</v>
      </c>
      <c r="L31" s="10">
        <v>1</v>
      </c>
      <c r="O31" s="6"/>
      <c r="Q31" s="6">
        <v>9</v>
      </c>
      <c r="R31" s="6"/>
      <c r="S31" s="1"/>
    </row>
    <row r="32" spans="1:19" ht="18.75" customHeight="1" x14ac:dyDescent="0.3">
      <c r="A32" s="10">
        <v>31</v>
      </c>
      <c r="B32" s="10">
        <f>_xlfn.XLOOKUP(1,(VALUE(D32)&gt;=VALUE(block!$C$3:$C$500))*(VALUE(D32)&lt;VALUE(block!$C$3:$C$500)+VALUE(block!$D$3:$D$500)),block!$A$3:$A$500,"无匹配",0,1)</f>
        <v>1</v>
      </c>
      <c r="C32" s="3" t="str">
        <f>B32 &amp; "-" &amp; COUNTIF($B$2:B32, B32)</f>
        <v>1-30</v>
      </c>
      <c r="D32" s="10">
        <v>8250</v>
      </c>
      <c r="E32" s="1" t="s">
        <v>1852</v>
      </c>
      <c r="F32" s="1" t="s">
        <v>285</v>
      </c>
      <c r="G32" s="1" t="s">
        <v>1840</v>
      </c>
      <c r="H32" s="1" t="s">
        <v>1812</v>
      </c>
      <c r="I32" s="10">
        <f>_xlfn.XLOOKUP(1,(VALUE(L3894)&gt;=VALUE(block!$C$3:'block'!$C$500))*(VALUE(block!L3894)&lt;VALUE(block!$C$3:'block'!$C$500)+VALUE(block!$D$3:'block'!$D$500)),block!$A$3:'block'!$A$500,"无匹配",0,1)</f>
        <v>55</v>
      </c>
      <c r="J32" s="1" t="s">
        <v>1808</v>
      </c>
      <c r="K32" s="10">
        <v>2</v>
      </c>
      <c r="L32" s="10">
        <v>1</v>
      </c>
      <c r="N32" s="10">
        <v>4</v>
      </c>
      <c r="O32" s="6"/>
      <c r="P32" s="45" t="s">
        <v>1813</v>
      </c>
      <c r="Q32" s="6">
        <v>9</v>
      </c>
      <c r="R32" s="6"/>
      <c r="S32" s="1" t="s">
        <v>285</v>
      </c>
    </row>
    <row r="33" spans="1:19" ht="18.75" customHeight="1" x14ac:dyDescent="0.3">
      <c r="A33" s="10">
        <v>32</v>
      </c>
      <c r="B33" s="10">
        <f>_xlfn.XLOOKUP(1,(VALUE(D33)&gt;=VALUE(block!$C$3:$C$500))*(VALUE(D33)&lt;VALUE(block!$C$3:$C$500)+VALUE(block!$D$3:$D$500)),block!$A$3:$A$500,"无匹配",0,1)</f>
        <v>1</v>
      </c>
      <c r="C33" s="3" t="str">
        <f>B33 &amp; "-" &amp; COUNTIF($B$2:B33, B33)</f>
        <v>1-31</v>
      </c>
      <c r="D33" s="10">
        <v>8252</v>
      </c>
      <c r="E33" s="1" t="s">
        <v>1853</v>
      </c>
      <c r="F33" s="1" t="s">
        <v>304</v>
      </c>
      <c r="G33" s="1" t="s">
        <v>1830</v>
      </c>
      <c r="H33" s="1" t="s">
        <v>1812</v>
      </c>
      <c r="I33" s="10">
        <f>_xlfn.XLOOKUP(1,(VALUE(L3895)&gt;=VALUE(block!$C$3:'block'!$C$500))*(VALUE(block!L3895)&lt;VALUE(block!$C$3:'block'!$C$500)+VALUE(block!$D$3:'block'!$D$500)),block!$A$3:'block'!$A$500,"无匹配",0,1)</f>
        <v>55</v>
      </c>
      <c r="J33" s="1" t="s">
        <v>1808</v>
      </c>
      <c r="K33" s="10">
        <v>2</v>
      </c>
      <c r="L33" s="10">
        <v>1</v>
      </c>
      <c r="N33" s="10">
        <v>4</v>
      </c>
      <c r="O33" s="6"/>
      <c r="P33" s="45" t="s">
        <v>1813</v>
      </c>
      <c r="Q33" s="42" t="s">
        <v>1820</v>
      </c>
      <c r="R33" s="42"/>
      <c r="S33" s="1" t="s">
        <v>304</v>
      </c>
    </row>
    <row r="34" spans="1:19" ht="18.75" customHeight="1" x14ac:dyDescent="0.3">
      <c r="A34" s="10">
        <v>33</v>
      </c>
      <c r="B34" s="10">
        <f>_xlfn.XLOOKUP(1,(VALUE(D34)&gt;=VALUE(block!$C$3:$C$500))*(VALUE(D34)&lt;VALUE(block!$C$3:$C$500)+VALUE(block!$D$3:$D$500)),block!$A$3:$A$500,"无匹配",0,1)</f>
        <v>1</v>
      </c>
      <c r="C34" s="3" t="str">
        <f>B34 &amp; "-" &amp; COUNTIF($B$2:B34, B34)</f>
        <v>1-32</v>
      </c>
      <c r="D34" s="10">
        <v>8254</v>
      </c>
      <c r="E34" s="1" t="s">
        <v>1854</v>
      </c>
      <c r="F34" s="1" t="s">
        <v>313</v>
      </c>
      <c r="G34" s="1" t="s">
        <v>1832</v>
      </c>
      <c r="H34" s="1" t="s">
        <v>1812</v>
      </c>
      <c r="I34" s="10">
        <f>_xlfn.XLOOKUP(1,(VALUE(L3896)&gt;=VALUE(block!$C$3:'block'!$C$500))*(VALUE(block!L3896)&lt;VALUE(block!$C$3:'block'!$C$500)+VALUE(block!$D$3:'block'!$D$500)),block!$A$3:'block'!$A$500,"无匹配",0,1)</f>
        <v>55</v>
      </c>
      <c r="J34" s="1" t="s">
        <v>1808</v>
      </c>
      <c r="K34" s="10">
        <v>2</v>
      </c>
      <c r="L34" s="10">
        <v>1</v>
      </c>
      <c r="N34" s="10">
        <v>4</v>
      </c>
      <c r="O34" s="6"/>
      <c r="P34" s="45" t="s">
        <v>1813</v>
      </c>
      <c r="Q34" s="42" t="s">
        <v>1820</v>
      </c>
      <c r="R34" s="42"/>
      <c r="S34" s="1" t="s">
        <v>313</v>
      </c>
    </row>
    <row r="35" spans="1:19" ht="18.75" customHeight="1" x14ac:dyDescent="0.3">
      <c r="A35" s="10">
        <v>34</v>
      </c>
      <c r="B35" s="10">
        <f>_xlfn.XLOOKUP(1,(VALUE(D35)&gt;=VALUE(block!$C$3:$C$500))*(VALUE(D35)&lt;VALUE(block!$C$3:$C$500)+VALUE(block!$D$3:$D$500)),block!$A$3:$A$500,"无匹配",0,1)</f>
        <v>1</v>
      </c>
      <c r="C35" s="3" t="str">
        <f>B35 &amp; "-" &amp; COUNTIF($B$2:B35, B35)</f>
        <v>1-33</v>
      </c>
      <c r="D35" s="10">
        <v>8256</v>
      </c>
      <c r="E35" s="1" t="s">
        <v>1855</v>
      </c>
      <c r="F35" s="1" t="s">
        <v>316</v>
      </c>
      <c r="G35" s="1" t="s">
        <v>1834</v>
      </c>
      <c r="H35" s="1" t="s">
        <v>1812</v>
      </c>
      <c r="I35" s="10">
        <f>_xlfn.XLOOKUP(1,(VALUE(L3897)&gt;=VALUE(block!$C$3:'block'!$C$500))*(VALUE(block!L3897)&lt;VALUE(block!$C$3:'block'!$C$500)+VALUE(block!$D$3:'block'!$D$500)),block!$A$3:'block'!$A$500,"无匹配",0,1)</f>
        <v>55</v>
      </c>
      <c r="J35" s="1" t="s">
        <v>1808</v>
      </c>
      <c r="K35" s="10">
        <v>2</v>
      </c>
      <c r="L35" s="10">
        <v>1</v>
      </c>
      <c r="N35" s="10">
        <v>4</v>
      </c>
      <c r="O35" s="6"/>
      <c r="P35" s="45" t="s">
        <v>1813</v>
      </c>
      <c r="Q35" s="42" t="s">
        <v>1820</v>
      </c>
      <c r="R35" s="42"/>
      <c r="S35" s="1" t="s">
        <v>316</v>
      </c>
    </row>
    <row r="36" spans="1:19" ht="18.75" customHeight="1" x14ac:dyDescent="0.3">
      <c r="A36" s="10">
        <v>35</v>
      </c>
      <c r="B36" s="10">
        <f>_xlfn.XLOOKUP(1,(VALUE(D36)&gt;=VALUE(block!$C$3:$C$500))*(VALUE(D36)&lt;VALUE(block!$C$3:$C$500)+VALUE(block!$D$3:$D$500)),block!$A$3:$A$500,"无匹配",0,1)</f>
        <v>1</v>
      </c>
      <c r="C36" s="3" t="str">
        <f>B36 &amp; "-" &amp; COUNTIF($B$2:B36, B36)</f>
        <v>1-34</v>
      </c>
      <c r="D36" s="10">
        <v>8258</v>
      </c>
      <c r="E36" s="1" t="s">
        <v>1856</v>
      </c>
      <c r="F36" s="1" t="s">
        <v>319</v>
      </c>
      <c r="G36" s="1" t="s">
        <v>1836</v>
      </c>
      <c r="H36" s="1" t="s">
        <v>1812</v>
      </c>
      <c r="I36" s="10">
        <f>_xlfn.XLOOKUP(1,(VALUE(L3898)&gt;=VALUE(block!$C$3:'block'!$C$500))*(VALUE(block!L3898)&lt;VALUE(block!$C$3:'block'!$C$500)+VALUE(block!$D$3:'block'!$D$500)),block!$A$3:'block'!$A$500,"无匹配",0,1)</f>
        <v>55</v>
      </c>
      <c r="J36" s="1" t="s">
        <v>1808</v>
      </c>
      <c r="K36" s="10">
        <v>2</v>
      </c>
      <c r="L36" s="10">
        <v>1</v>
      </c>
      <c r="N36" s="10">
        <v>4</v>
      </c>
      <c r="O36" s="6"/>
      <c r="P36" s="45" t="s">
        <v>1813</v>
      </c>
      <c r="Q36" s="42" t="s">
        <v>1820</v>
      </c>
      <c r="R36" s="42"/>
      <c r="S36" s="1" t="s">
        <v>319</v>
      </c>
    </row>
    <row r="37" spans="1:19" ht="18.75" hidden="1" customHeight="1" x14ac:dyDescent="0.3">
      <c r="A37" s="10">
        <v>36</v>
      </c>
      <c r="B37" s="10">
        <f>_xlfn.XLOOKUP(1,(VALUE(D37)&gt;=VALUE(block!$C$3:$C$500))*(VALUE(D37)&lt;VALUE(block!$C$3:$C$500)+VALUE(block!$D$3:$D$500)),block!$A$3:$A$500,"无匹配",0,1)</f>
        <v>1</v>
      </c>
      <c r="C37" s="3" t="str">
        <f>B37 &amp; "-" &amp; COUNTIF($B$2:B37, B37)</f>
        <v>1-35</v>
      </c>
      <c r="D37" s="10">
        <v>8260</v>
      </c>
      <c r="E37" s="1" t="s">
        <v>1857</v>
      </c>
      <c r="F37" s="1" t="s">
        <v>1858</v>
      </c>
      <c r="H37" s="1" t="s">
        <v>1838</v>
      </c>
      <c r="I37" s="10">
        <f>_xlfn.XLOOKUP(1,(VALUE(L3899)&gt;=VALUE(block!$C$3:'block'!$C$500))*(VALUE(block!L3899)&lt;VALUE(block!$C$3:'block'!$C$500)+VALUE(block!$D$3:'block'!$D$500)),block!$A$3:'block'!$A$500,"无匹配",0,1)</f>
        <v>55</v>
      </c>
      <c r="J37" s="1" t="s">
        <v>1808</v>
      </c>
      <c r="K37" s="10">
        <v>2</v>
      </c>
      <c r="L37" s="10">
        <v>1</v>
      </c>
      <c r="O37" s="6"/>
      <c r="Q37" s="6">
        <v>9</v>
      </c>
      <c r="R37" s="6"/>
      <c r="S37" s="1"/>
    </row>
    <row r="38" spans="1:19" ht="18.75" customHeight="1" x14ac:dyDescent="0.3">
      <c r="A38" s="46">
        <v>37</v>
      </c>
      <c r="B38" s="10">
        <f>_xlfn.XLOOKUP(1,(VALUE(D38)&gt;=VALUE(block!$C$3:$C$500))*(VALUE(D38)&lt;VALUE(block!$C$3:$C$500)+VALUE(block!$D$3:$D$500)),block!$A$3:$A$500,"无匹配",0,1)</f>
        <v>1</v>
      </c>
      <c r="C38" s="3" t="str">
        <f>B38 &amp; "-" &amp; COUNTIF($B$2:B38, B38)</f>
        <v>1-36</v>
      </c>
      <c r="D38" s="46">
        <v>8262</v>
      </c>
      <c r="E38" s="47" t="s">
        <v>1859</v>
      </c>
      <c r="F38" s="47" t="s">
        <v>322</v>
      </c>
      <c r="G38" s="1" t="s">
        <v>1840</v>
      </c>
      <c r="H38" s="1" t="s">
        <v>1812</v>
      </c>
      <c r="I38" s="10">
        <f>_xlfn.XLOOKUP(1,(VALUE(L3900)&gt;=VALUE(block!$C$3:'block'!$C$500))*(VALUE(block!L3900)&lt;VALUE(block!$C$3:'block'!$C$500)+VALUE(block!$D$3:'block'!$D$500)),block!$A$3:'block'!$A$500,"无匹配",0,1)</f>
        <v>55</v>
      </c>
      <c r="J38" s="1" t="s">
        <v>1808</v>
      </c>
      <c r="K38" s="10">
        <v>2</v>
      </c>
      <c r="L38" s="10">
        <v>1</v>
      </c>
      <c r="N38" s="10">
        <v>4</v>
      </c>
      <c r="O38" s="6"/>
      <c r="P38" s="45" t="s">
        <v>1813</v>
      </c>
      <c r="Q38" s="6">
        <v>9</v>
      </c>
      <c r="R38" s="6"/>
      <c r="S38" s="47" t="s">
        <v>322</v>
      </c>
    </row>
    <row r="39" spans="1:19" ht="18.75" customHeight="1" x14ac:dyDescent="0.3">
      <c r="A39" s="10">
        <v>38</v>
      </c>
      <c r="B39" s="10">
        <f>_xlfn.XLOOKUP(1,(VALUE(D39)&gt;=VALUE(block!$C$3:$C$500))*(VALUE(D39)&lt;VALUE(block!$C$3:$C$500)+VALUE(block!$D$3:$D$500)),block!$A$3:$A$500,"无匹配",0,1)</f>
        <v>2</v>
      </c>
      <c r="C39" s="3" t="str">
        <f>B39 &amp; "-" &amp; COUNTIF($B$2:B39, B39)</f>
        <v>2-1</v>
      </c>
      <c r="D39" s="10">
        <v>8264</v>
      </c>
      <c r="E39" s="1" t="s">
        <v>1860</v>
      </c>
      <c r="F39" s="1" t="s">
        <v>1861</v>
      </c>
      <c r="G39" s="1" t="s">
        <v>1830</v>
      </c>
      <c r="H39" s="1" t="s">
        <v>1812</v>
      </c>
      <c r="I39" s="10">
        <f>_xlfn.XLOOKUP(1,(VALUE(L3901)&gt;=VALUE(block!$C$3:'block'!$C$500))*(VALUE(block!L3901)&lt;VALUE(block!$C$3:'block'!$C$500)+VALUE(block!$D$3:'block'!$D$500)),block!$A$3:'block'!$A$500,"无匹配",0,1)</f>
        <v>55</v>
      </c>
      <c r="J39" s="1" t="s">
        <v>1808</v>
      </c>
      <c r="K39" s="10">
        <v>2</v>
      </c>
      <c r="L39" s="10">
        <v>1</v>
      </c>
      <c r="N39" s="10">
        <v>4</v>
      </c>
      <c r="O39" s="6"/>
      <c r="P39" s="45" t="s">
        <v>1862</v>
      </c>
      <c r="Q39" s="42" t="s">
        <v>1863</v>
      </c>
      <c r="R39" s="42"/>
      <c r="S39" s="1" t="s">
        <v>1861</v>
      </c>
    </row>
    <row r="40" spans="1:19" ht="18.75" customHeight="1" x14ac:dyDescent="0.3">
      <c r="A40" s="10">
        <v>39</v>
      </c>
      <c r="B40" s="10">
        <f>_xlfn.XLOOKUP(1,(VALUE(D40)&gt;=VALUE(block!$C$3:$C$500))*(VALUE(D40)&lt;VALUE(block!$C$3:$C$500)+VALUE(block!$D$3:$D$500)),block!$A$3:$A$500,"无匹配",0,1)</f>
        <v>2</v>
      </c>
      <c r="C40" s="3" t="str">
        <f>B40 &amp; "-" &amp; COUNTIF($B$2:B40, B40)</f>
        <v>2-2</v>
      </c>
      <c r="D40" s="10">
        <v>8266</v>
      </c>
      <c r="E40" s="1" t="s">
        <v>1864</v>
      </c>
      <c r="F40" s="1" t="s">
        <v>1865</v>
      </c>
      <c r="G40" s="1" t="s">
        <v>1832</v>
      </c>
      <c r="H40" s="1" t="s">
        <v>1812</v>
      </c>
      <c r="I40" s="10">
        <f>_xlfn.XLOOKUP(1,(VALUE(L3902)&gt;=VALUE(block!$C$3:'block'!$C$500))*(VALUE(block!L3902)&lt;VALUE(block!$C$3:'block'!$C$500)+VALUE(block!$D$3:'block'!$D$500)),block!$A$3:'block'!$A$500,"无匹配",0,1)</f>
        <v>55</v>
      </c>
      <c r="J40" s="1" t="s">
        <v>1808</v>
      </c>
      <c r="K40" s="10">
        <v>2</v>
      </c>
      <c r="L40" s="10">
        <v>1</v>
      </c>
      <c r="N40" s="10">
        <v>4</v>
      </c>
      <c r="O40" s="6"/>
      <c r="P40" s="45" t="s">
        <v>1862</v>
      </c>
      <c r="Q40" s="42" t="s">
        <v>1863</v>
      </c>
      <c r="R40" s="42"/>
      <c r="S40" s="1" t="s">
        <v>1865</v>
      </c>
    </row>
    <row r="41" spans="1:19" ht="18.75" customHeight="1" x14ac:dyDescent="0.3">
      <c r="A41" s="10">
        <v>40</v>
      </c>
      <c r="B41" s="10">
        <f>_xlfn.XLOOKUP(1,(VALUE(D41)&gt;=VALUE(block!$C$3:$C$500))*(VALUE(D41)&lt;VALUE(block!$C$3:$C$500)+VALUE(block!$D$3:$D$500)),block!$A$3:$A$500,"无匹配",0,1)</f>
        <v>2</v>
      </c>
      <c r="C41" s="3" t="str">
        <f>B41 &amp; "-" &amp; COUNTIF($B$2:B41, B41)</f>
        <v>2-3</v>
      </c>
      <c r="D41" s="10">
        <v>8268</v>
      </c>
      <c r="E41" s="1" t="s">
        <v>1866</v>
      </c>
      <c r="F41" s="1" t="s">
        <v>1867</v>
      </c>
      <c r="G41" s="1" t="s">
        <v>1834</v>
      </c>
      <c r="H41" s="1" t="s">
        <v>1812</v>
      </c>
      <c r="I41" s="10">
        <f>_xlfn.XLOOKUP(1,(VALUE(L3903)&gt;=VALUE(block!$C$3:'block'!$C$500))*(VALUE(block!L3903)&lt;VALUE(block!$C$3:'block'!$C$500)+VALUE(block!$D$3:'block'!$D$500)),block!$A$3:'block'!$A$500,"无匹配",0,1)</f>
        <v>55</v>
      </c>
      <c r="J41" s="1" t="s">
        <v>1808</v>
      </c>
      <c r="K41" s="10">
        <v>2</v>
      </c>
      <c r="L41" s="10">
        <v>1</v>
      </c>
      <c r="N41" s="10">
        <v>4</v>
      </c>
      <c r="O41" s="6"/>
      <c r="P41" s="45" t="s">
        <v>1862</v>
      </c>
      <c r="Q41" s="42" t="s">
        <v>1868</v>
      </c>
      <c r="R41" s="42"/>
      <c r="S41" s="1" t="s">
        <v>1867</v>
      </c>
    </row>
    <row r="42" spans="1:19" ht="18.75" customHeight="1" x14ac:dyDescent="0.3">
      <c r="A42" s="10">
        <v>41</v>
      </c>
      <c r="B42" s="10">
        <f>_xlfn.XLOOKUP(1,(VALUE(D42)&gt;=VALUE(block!$C$3:$C$500))*(VALUE(D42)&lt;VALUE(block!$C$3:$C$500)+VALUE(block!$D$3:$D$500)),block!$A$3:$A$500,"无匹配",0,1)</f>
        <v>2</v>
      </c>
      <c r="C42" s="3" t="str">
        <f>B42 &amp; "-" &amp; COUNTIF($B$2:B42, B42)</f>
        <v>2-4</v>
      </c>
      <c r="D42" s="10">
        <v>8270</v>
      </c>
      <c r="E42" s="1" t="s">
        <v>1869</v>
      </c>
      <c r="F42" s="1" t="s">
        <v>1870</v>
      </c>
      <c r="G42" s="1" t="s">
        <v>1836</v>
      </c>
      <c r="H42" s="1" t="s">
        <v>1812</v>
      </c>
      <c r="I42" s="10">
        <f>_xlfn.XLOOKUP(1,(VALUE(L3904)&gt;=VALUE(block!$C$3:'block'!$C$500))*(VALUE(block!L3904)&lt;VALUE(block!$C$3:'block'!$C$500)+VALUE(block!$D$3:'block'!$D$500)),block!$A$3:'block'!$A$500,"无匹配",0,1)</f>
        <v>55</v>
      </c>
      <c r="J42" s="1" t="s">
        <v>1808</v>
      </c>
      <c r="K42" s="10">
        <v>2</v>
      </c>
      <c r="L42" s="10">
        <v>1</v>
      </c>
      <c r="N42" s="10">
        <v>4</v>
      </c>
      <c r="O42" s="6"/>
      <c r="P42" s="45" t="s">
        <v>1862</v>
      </c>
      <c r="Q42" s="42" t="s">
        <v>1868</v>
      </c>
      <c r="R42" s="42"/>
      <c r="S42" s="1" t="s">
        <v>1870</v>
      </c>
    </row>
    <row r="43" spans="1:19" ht="18.75" hidden="1" customHeight="1" x14ac:dyDescent="0.3">
      <c r="A43" s="10">
        <v>42</v>
      </c>
      <c r="B43" s="10">
        <f>_xlfn.XLOOKUP(1,(VALUE(D43)&gt;=VALUE(block!$C$3:$C$500))*(VALUE(D43)&lt;VALUE(block!$C$3:$C$500)+VALUE(block!$D$3:$D$500)),block!$A$3:$A$500,"无匹配",0,1)</f>
        <v>2</v>
      </c>
      <c r="C43" s="3" t="str">
        <f>B43 &amp; "-" &amp; COUNTIF($B$2:B43, B43)</f>
        <v>2-5</v>
      </c>
      <c r="D43" s="10">
        <v>8272</v>
      </c>
      <c r="E43" s="1" t="s">
        <v>1871</v>
      </c>
      <c r="F43" s="1" t="s">
        <v>1872</v>
      </c>
      <c r="H43" s="1" t="s">
        <v>1838</v>
      </c>
      <c r="I43" s="10">
        <f>_xlfn.XLOOKUP(1,(VALUE(L3905)&gt;=VALUE(block!$C$3:'block'!$C$500))*(VALUE(block!L3905)&lt;VALUE(block!$C$3:'block'!$C$500)+VALUE(block!$D$3:'block'!$D$500)),block!$A$3:'block'!$A$500,"无匹配",0,1)</f>
        <v>55</v>
      </c>
      <c r="J43" s="1" t="s">
        <v>1808</v>
      </c>
      <c r="K43" s="10">
        <v>2</v>
      </c>
      <c r="L43" s="10">
        <v>1</v>
      </c>
      <c r="O43" s="6"/>
      <c r="Q43" s="6">
        <v>10</v>
      </c>
      <c r="R43" s="6"/>
      <c r="S43" s="1"/>
    </row>
    <row r="44" spans="1:19" ht="18.75" customHeight="1" x14ac:dyDescent="0.3">
      <c r="A44" s="10">
        <v>43</v>
      </c>
      <c r="B44" s="10">
        <f>_xlfn.XLOOKUP(1,(VALUE(D44)&gt;=VALUE(block!$C$3:$C$500))*(VALUE(D44)&lt;VALUE(block!$C$3:$C$500)+VALUE(block!$D$3:$D$500)),block!$A$3:$A$500,"无匹配",0,1)</f>
        <v>2</v>
      </c>
      <c r="C44" s="3" t="str">
        <f>B44 &amp; "-" &amp; COUNTIF($B$2:B44, B44)</f>
        <v>2-6</v>
      </c>
      <c r="D44" s="10">
        <v>8274</v>
      </c>
      <c r="E44" s="3" t="s">
        <v>1873</v>
      </c>
      <c r="F44" s="1" t="s">
        <v>1874</v>
      </c>
      <c r="G44" s="1" t="s">
        <v>1840</v>
      </c>
      <c r="H44" s="1" t="s">
        <v>1812</v>
      </c>
      <c r="I44" s="10">
        <f>_xlfn.XLOOKUP(1,(VALUE(L3906)&gt;=VALUE(block!$C$3:'block'!$C$500))*(VALUE(block!L3906)&lt;VALUE(block!$C$3:'block'!$C$500)+VALUE(block!$D$3:'block'!$D$500)),block!$A$3:'block'!$A$500,"无匹配",0,1)</f>
        <v>55</v>
      </c>
      <c r="J44" s="1" t="s">
        <v>1808</v>
      </c>
      <c r="K44" s="10">
        <v>2</v>
      </c>
      <c r="L44" s="10">
        <v>1</v>
      </c>
      <c r="N44" s="10">
        <v>4</v>
      </c>
      <c r="O44" s="6"/>
      <c r="P44" s="45" t="s">
        <v>1862</v>
      </c>
      <c r="Q44" s="42" t="s">
        <v>1875</v>
      </c>
      <c r="R44" s="42"/>
      <c r="S44" s="1" t="s">
        <v>1874</v>
      </c>
    </row>
    <row r="45" spans="1:19" ht="18.75" customHeight="1" x14ac:dyDescent="0.3">
      <c r="A45" s="10">
        <v>44</v>
      </c>
      <c r="B45" s="10">
        <f>_xlfn.XLOOKUP(1,(VALUE(D45)&gt;=VALUE(block!$C$3:$C$500))*(VALUE(D45)&lt;VALUE(block!$C$3:$C$500)+VALUE(block!$D$3:$D$500)),block!$A$3:$A$500,"无匹配",0,1)</f>
        <v>2</v>
      </c>
      <c r="C45" s="3" t="str">
        <f>B45 &amp; "-" &amp; COUNTIF($B$2:B45, B45)</f>
        <v>2-7</v>
      </c>
      <c r="D45" s="10">
        <v>8276</v>
      </c>
      <c r="E45" s="1" t="s">
        <v>1876</v>
      </c>
      <c r="F45" s="44" t="s">
        <v>1877</v>
      </c>
      <c r="G45" s="1" t="s">
        <v>1826</v>
      </c>
      <c r="H45" s="1" t="s">
        <v>1812</v>
      </c>
      <c r="I45" s="10">
        <f>_xlfn.XLOOKUP(1,(VALUE(L3907)&gt;=VALUE(block!$C$3:'block'!$C$500))*(VALUE(block!L3907)&lt;VALUE(block!$C$3:'block'!$C$500)+VALUE(block!$D$3:'block'!$D$500)),block!$A$3:'block'!$A$500,"无匹配",0,1)</f>
        <v>55</v>
      </c>
      <c r="J45" s="1" t="s">
        <v>1808</v>
      </c>
      <c r="K45" s="10">
        <v>2</v>
      </c>
      <c r="L45" s="10">
        <v>1</v>
      </c>
      <c r="N45" s="10">
        <v>4</v>
      </c>
      <c r="O45" s="6"/>
      <c r="P45" s="45" t="s">
        <v>1862</v>
      </c>
      <c r="Q45" s="6">
        <v>10</v>
      </c>
      <c r="R45" s="6"/>
      <c r="S45" s="44" t="s">
        <v>1877</v>
      </c>
    </row>
    <row r="46" spans="1:19" ht="18.75" customHeight="1" x14ac:dyDescent="0.3">
      <c r="A46" s="10">
        <v>45</v>
      </c>
      <c r="B46" s="10">
        <f>_xlfn.XLOOKUP(1,(VALUE(D46)&gt;=VALUE(block!$C$3:$C$500))*(VALUE(D46)&lt;VALUE(block!$C$3:$C$500)+VALUE(block!$D$3:$D$500)),block!$A$3:$A$500,"无匹配",0,1)</f>
        <v>2</v>
      </c>
      <c r="C46" s="3" t="str">
        <f>B46 &amp; "-" &amp; COUNTIF($B$2:B46, B46)</f>
        <v>2-8</v>
      </c>
      <c r="D46" s="10">
        <v>8278</v>
      </c>
      <c r="E46" s="1" t="s">
        <v>1878</v>
      </c>
      <c r="F46" s="1" t="s">
        <v>1879</v>
      </c>
      <c r="G46" s="1" t="s">
        <v>1830</v>
      </c>
      <c r="H46" s="1" t="s">
        <v>1812</v>
      </c>
      <c r="I46" s="10">
        <f>_xlfn.XLOOKUP(1,(VALUE(L3908)&gt;=VALUE(block!$C$3:'block'!$C$500))*(VALUE(block!L3908)&lt;VALUE(block!$C$3:'block'!$C$500)+VALUE(block!$D$3:'block'!$D$500)),block!$A$3:'block'!$A$500,"无匹配",0,1)</f>
        <v>55</v>
      </c>
      <c r="J46" s="1" t="s">
        <v>1808</v>
      </c>
      <c r="K46" s="10">
        <v>2</v>
      </c>
      <c r="L46" s="10">
        <v>1</v>
      </c>
      <c r="N46" s="10">
        <v>4</v>
      </c>
      <c r="O46" s="6"/>
      <c r="P46" s="45" t="s">
        <v>1862</v>
      </c>
      <c r="Q46" s="42" t="s">
        <v>1863</v>
      </c>
      <c r="R46" s="42"/>
      <c r="S46" s="1" t="s">
        <v>1879</v>
      </c>
    </row>
    <row r="47" spans="1:19" ht="18.75" customHeight="1" x14ac:dyDescent="0.3">
      <c r="A47" s="10">
        <v>46</v>
      </c>
      <c r="B47" s="10">
        <f>_xlfn.XLOOKUP(1,(VALUE(D47)&gt;=VALUE(block!$C$3:$C$500))*(VALUE(D47)&lt;VALUE(block!$C$3:$C$500)+VALUE(block!$D$3:$D$500)),block!$A$3:$A$500,"无匹配",0,1)</f>
        <v>2</v>
      </c>
      <c r="C47" s="3" t="str">
        <f>B47 &amp; "-" &amp; COUNTIF($B$2:B47, B47)</f>
        <v>2-9</v>
      </c>
      <c r="D47" s="10">
        <v>8280</v>
      </c>
      <c r="E47" s="1" t="s">
        <v>1880</v>
      </c>
      <c r="F47" s="1" t="s">
        <v>1881</v>
      </c>
      <c r="G47" s="1" t="s">
        <v>1832</v>
      </c>
      <c r="H47" s="1" t="s">
        <v>1812</v>
      </c>
      <c r="I47" s="10">
        <f>_xlfn.XLOOKUP(1,(VALUE(L3909)&gt;=VALUE(block!$C$3:'block'!$C$500))*(VALUE(block!L3909)&lt;VALUE(block!$C$3:'block'!$C$500)+VALUE(block!$D$3:'block'!$D$500)),block!$A$3:'block'!$A$500,"无匹配",0,1)</f>
        <v>55</v>
      </c>
      <c r="J47" s="1" t="s">
        <v>1808</v>
      </c>
      <c r="K47" s="10">
        <v>2</v>
      </c>
      <c r="L47" s="10">
        <v>1</v>
      </c>
      <c r="N47" s="10">
        <v>4</v>
      </c>
      <c r="O47" s="6"/>
      <c r="P47" s="45" t="s">
        <v>1862</v>
      </c>
      <c r="Q47" s="42" t="s">
        <v>1863</v>
      </c>
      <c r="R47" s="42"/>
      <c r="S47" s="1" t="s">
        <v>1881</v>
      </c>
    </row>
    <row r="48" spans="1:19" ht="18.75" customHeight="1" x14ac:dyDescent="0.3">
      <c r="A48" s="10">
        <v>47</v>
      </c>
      <c r="B48" s="10">
        <f>_xlfn.XLOOKUP(1,(VALUE(D48)&gt;=VALUE(block!$C$3:$C$500))*(VALUE(D48)&lt;VALUE(block!$C$3:$C$500)+VALUE(block!$D$3:$D$500)),block!$A$3:$A$500,"无匹配",0,1)</f>
        <v>2</v>
      </c>
      <c r="C48" s="3" t="str">
        <f>B48 &amp; "-" &amp; COUNTIF($B$2:B48, B48)</f>
        <v>2-10</v>
      </c>
      <c r="D48" s="10">
        <v>8282</v>
      </c>
      <c r="E48" s="1" t="s">
        <v>1882</v>
      </c>
      <c r="F48" s="1" t="s">
        <v>1883</v>
      </c>
      <c r="G48" s="1" t="s">
        <v>1834</v>
      </c>
      <c r="H48" s="1" t="s">
        <v>1812</v>
      </c>
      <c r="I48" s="10">
        <f>_xlfn.XLOOKUP(1,(VALUE(L3910)&gt;=VALUE(block!$C$3:'block'!$C$500))*(VALUE(block!L3910)&lt;VALUE(block!$C$3:'block'!$C$500)+VALUE(block!$D$3:'block'!$D$500)),block!$A$3:'block'!$A$500,"无匹配",0,1)</f>
        <v>55</v>
      </c>
      <c r="J48" s="1" t="s">
        <v>1808</v>
      </c>
      <c r="K48" s="10">
        <v>2</v>
      </c>
      <c r="L48" s="10">
        <v>1</v>
      </c>
      <c r="N48" s="10">
        <v>4</v>
      </c>
      <c r="O48" s="6"/>
      <c r="P48" s="45" t="s">
        <v>1862</v>
      </c>
      <c r="Q48" s="42" t="s">
        <v>1868</v>
      </c>
      <c r="R48" s="42"/>
      <c r="S48" s="1" t="s">
        <v>1883</v>
      </c>
    </row>
    <row r="49" spans="1:19" ht="18.75" customHeight="1" x14ac:dyDescent="0.3">
      <c r="A49" s="10">
        <v>48</v>
      </c>
      <c r="B49" s="10">
        <f>_xlfn.XLOOKUP(1,(VALUE(D49)&gt;=VALUE(block!$C$3:$C$500))*(VALUE(D49)&lt;VALUE(block!$C$3:$C$500)+VALUE(block!$D$3:$D$500)),block!$A$3:$A$500,"无匹配",0,1)</f>
        <v>2</v>
      </c>
      <c r="C49" s="3" t="str">
        <f>B49 &amp; "-" &amp; COUNTIF($B$2:B49, B49)</f>
        <v>2-11</v>
      </c>
      <c r="D49" s="10">
        <v>8284</v>
      </c>
      <c r="E49" s="1" t="s">
        <v>1884</v>
      </c>
      <c r="F49" s="1" t="s">
        <v>1885</v>
      </c>
      <c r="G49" s="1" t="s">
        <v>1836</v>
      </c>
      <c r="H49" s="1" t="s">
        <v>1812</v>
      </c>
      <c r="I49" s="10">
        <f>_xlfn.XLOOKUP(1,(VALUE(L3911)&gt;=VALUE(block!$C$3:'block'!$C$500))*(VALUE(block!L3911)&lt;VALUE(block!$C$3:'block'!$C$500)+VALUE(block!$D$3:'block'!$D$500)),block!$A$3:'block'!$A$500,"无匹配",0,1)</f>
        <v>55</v>
      </c>
      <c r="J49" s="1" t="s">
        <v>1808</v>
      </c>
      <c r="K49" s="10">
        <v>2</v>
      </c>
      <c r="L49" s="10">
        <v>1</v>
      </c>
      <c r="N49" s="10">
        <v>4</v>
      </c>
      <c r="O49" s="6"/>
      <c r="P49" s="45" t="s">
        <v>1862</v>
      </c>
      <c r="Q49" s="42" t="s">
        <v>1868</v>
      </c>
      <c r="R49" s="42"/>
      <c r="S49" s="1" t="s">
        <v>1885</v>
      </c>
    </row>
    <row r="50" spans="1:19" ht="18.75" hidden="1" customHeight="1" x14ac:dyDescent="0.3">
      <c r="A50" s="10">
        <v>49</v>
      </c>
      <c r="B50" s="10">
        <f>_xlfn.XLOOKUP(1,(VALUE(D50)&gt;=VALUE(block!$C$3:$C$500))*(VALUE(D50)&lt;VALUE(block!$C$3:$C$500)+VALUE(block!$D$3:$D$500)),block!$A$3:$A$500,"无匹配",0,1)</f>
        <v>2</v>
      </c>
      <c r="C50" s="3" t="str">
        <f>B50 &amp; "-" &amp; COUNTIF($B$2:B50, B50)</f>
        <v>2-12</v>
      </c>
      <c r="D50" s="10">
        <v>8286</v>
      </c>
      <c r="E50" s="1" t="s">
        <v>1886</v>
      </c>
      <c r="F50" s="1" t="s">
        <v>1887</v>
      </c>
      <c r="H50" s="1" t="s">
        <v>1838</v>
      </c>
      <c r="I50" s="10">
        <f>_xlfn.XLOOKUP(1,(VALUE(L3912)&gt;=VALUE(block!$C$3:'block'!$C$500))*(VALUE(block!L3912)&lt;VALUE(block!$C$3:'block'!$C$500)+VALUE(block!$D$3:'block'!$D$500)),block!$A$3:'block'!$A$500,"无匹配",0,1)</f>
        <v>55</v>
      </c>
      <c r="J50" s="1" t="s">
        <v>1808</v>
      </c>
      <c r="K50" s="10">
        <v>2</v>
      </c>
      <c r="L50" s="10">
        <v>1</v>
      </c>
      <c r="O50" s="6"/>
      <c r="Q50" s="6">
        <v>10</v>
      </c>
      <c r="R50" s="6"/>
      <c r="S50" s="1"/>
    </row>
    <row r="51" spans="1:19" ht="18.75" customHeight="1" x14ac:dyDescent="0.3">
      <c r="A51" s="10">
        <v>50</v>
      </c>
      <c r="B51" s="10">
        <f>_xlfn.XLOOKUP(1,(VALUE(D51)&gt;=VALUE(block!$C$3:$C$500))*(VALUE(D51)&lt;VALUE(block!$C$3:$C$500)+VALUE(block!$D$3:$D$500)),block!$A$3:$A$500,"无匹配",0,1)</f>
        <v>2</v>
      </c>
      <c r="C51" s="3" t="str">
        <f>B51 &amp; "-" &amp; COUNTIF($B$2:B51, B51)</f>
        <v>2-13</v>
      </c>
      <c r="D51" s="10">
        <v>8288</v>
      </c>
      <c r="E51" s="1" t="s">
        <v>1888</v>
      </c>
      <c r="F51" s="1" t="s">
        <v>1889</v>
      </c>
      <c r="G51" s="1" t="s">
        <v>1840</v>
      </c>
      <c r="H51" s="1" t="s">
        <v>1812</v>
      </c>
      <c r="I51" s="10">
        <f>_xlfn.XLOOKUP(1,(VALUE(L3913)&gt;=VALUE(block!$C$3:'block'!$C$500))*(VALUE(block!L3913)&lt;VALUE(block!$C$3:'block'!$C$500)+VALUE(block!$D$3:'block'!$D$500)),block!$A$3:'block'!$A$500,"无匹配",0,1)</f>
        <v>55</v>
      </c>
      <c r="J51" s="1" t="s">
        <v>1808</v>
      </c>
      <c r="K51" s="10">
        <v>2</v>
      </c>
      <c r="L51" s="10">
        <v>1</v>
      </c>
      <c r="N51" s="10">
        <v>4</v>
      </c>
      <c r="O51" s="6"/>
      <c r="P51" s="45" t="s">
        <v>1862</v>
      </c>
      <c r="Q51" s="42" t="s">
        <v>1875</v>
      </c>
      <c r="R51" s="42"/>
      <c r="S51" s="1" t="s">
        <v>1889</v>
      </c>
    </row>
    <row r="52" spans="1:19" ht="18.75" customHeight="1" x14ac:dyDescent="0.3">
      <c r="A52" s="10">
        <v>51</v>
      </c>
      <c r="B52" s="10">
        <f>_xlfn.XLOOKUP(1,(VALUE(D52)&gt;=VALUE(block!$C$3:$C$500))*(VALUE(D52)&lt;VALUE(block!$C$3:$C$500)+VALUE(block!$D$3:$D$500)),block!$A$3:$A$500,"无匹配",0,1)</f>
        <v>2</v>
      </c>
      <c r="C52" s="3" t="str">
        <f>B52 &amp; "-" &amp; COUNTIF($B$2:B52, B52)</f>
        <v>2-14</v>
      </c>
      <c r="D52" s="10">
        <v>8290</v>
      </c>
      <c r="E52" s="1" t="s">
        <v>1890</v>
      </c>
      <c r="F52" s="44" t="s">
        <v>1891</v>
      </c>
      <c r="G52" s="1" t="s">
        <v>1826</v>
      </c>
      <c r="H52" s="1" t="s">
        <v>1812</v>
      </c>
      <c r="I52" s="10">
        <f>_xlfn.XLOOKUP(1,(VALUE(L3914)&gt;=VALUE(block!$C$3:'block'!$C$500))*(VALUE(block!L3914)&lt;VALUE(block!$C$3:'block'!$C$500)+VALUE(block!$D$3:'block'!$D$500)),block!$A$3:'block'!$A$500,"无匹配",0,1)</f>
        <v>55</v>
      </c>
      <c r="J52" s="1" t="s">
        <v>1808</v>
      </c>
      <c r="K52" s="10">
        <v>2</v>
      </c>
      <c r="L52" s="10">
        <v>1</v>
      </c>
      <c r="N52" s="10">
        <v>4</v>
      </c>
      <c r="O52" s="6"/>
      <c r="P52" s="45" t="s">
        <v>1862</v>
      </c>
      <c r="Q52" s="6">
        <v>10</v>
      </c>
      <c r="R52" s="6"/>
      <c r="S52" s="44" t="s">
        <v>1891</v>
      </c>
    </row>
    <row r="53" spans="1:19" ht="18.75" customHeight="1" x14ac:dyDescent="0.3">
      <c r="A53" s="10">
        <v>52</v>
      </c>
      <c r="B53" s="10">
        <f>_xlfn.XLOOKUP(1,(VALUE(D53)&gt;=VALUE(block!$C$3:$C$500))*(VALUE(D53)&lt;VALUE(block!$C$3:$C$500)+VALUE(block!$D$3:$D$500)),block!$A$3:$A$500,"无匹配",0,1)</f>
        <v>2</v>
      </c>
      <c r="C53" s="3" t="str">
        <f>B53 &amp; "-" &amp; COUNTIF($B$2:B53, B53)</f>
        <v>2-15</v>
      </c>
      <c r="D53" s="10">
        <v>8292</v>
      </c>
      <c r="E53" s="1" t="s">
        <v>1892</v>
      </c>
      <c r="F53" s="1" t="s">
        <v>1893</v>
      </c>
      <c r="G53" s="1" t="s">
        <v>1830</v>
      </c>
      <c r="H53" s="1" t="s">
        <v>1812</v>
      </c>
      <c r="I53" s="10">
        <f>_xlfn.XLOOKUP(1,(VALUE(L3915)&gt;=VALUE(block!$C$3:'block'!$C$500))*(VALUE(block!L3915)&lt;VALUE(block!$C$3:'block'!$C$500)+VALUE(block!$D$3:'block'!$D$500)),block!$A$3:'block'!$A$500,"无匹配",0,1)</f>
        <v>55</v>
      </c>
      <c r="J53" s="1" t="s">
        <v>1808</v>
      </c>
      <c r="K53" s="10">
        <v>2</v>
      </c>
      <c r="L53" s="10">
        <v>1</v>
      </c>
      <c r="N53" s="10">
        <v>4</v>
      </c>
      <c r="O53" s="6"/>
      <c r="P53" s="45" t="s">
        <v>1862</v>
      </c>
      <c r="Q53" s="42" t="s">
        <v>1863</v>
      </c>
      <c r="R53" s="42"/>
      <c r="S53" s="1" t="s">
        <v>1893</v>
      </c>
    </row>
    <row r="54" spans="1:19" ht="18.75" customHeight="1" x14ac:dyDescent="0.3">
      <c r="A54" s="10">
        <v>53</v>
      </c>
      <c r="B54" s="10">
        <f>_xlfn.XLOOKUP(1,(VALUE(D54)&gt;=VALUE(block!$C$3:$C$500))*(VALUE(D54)&lt;VALUE(block!$C$3:$C$500)+VALUE(block!$D$3:$D$500)),block!$A$3:$A$500,"无匹配",0,1)</f>
        <v>2</v>
      </c>
      <c r="C54" s="3" t="str">
        <f>B54 &amp; "-" &amp; COUNTIF($B$2:B54, B54)</f>
        <v>2-16</v>
      </c>
      <c r="D54" s="10">
        <v>8294</v>
      </c>
      <c r="E54" s="1" t="s">
        <v>1894</v>
      </c>
      <c r="F54" s="1" t="s">
        <v>1895</v>
      </c>
      <c r="G54" s="1" t="s">
        <v>1832</v>
      </c>
      <c r="H54" s="1" t="s">
        <v>1812</v>
      </c>
      <c r="I54" s="10">
        <f>_xlfn.XLOOKUP(1,(VALUE(L3916)&gt;=VALUE(block!$C$3:'block'!$C$500))*(VALUE(block!L3916)&lt;VALUE(block!$C$3:'block'!$C$500)+VALUE(block!$D$3:'block'!$D$500)),block!$A$3:'block'!$A$500,"无匹配",0,1)</f>
        <v>55</v>
      </c>
      <c r="J54" s="1" t="s">
        <v>1808</v>
      </c>
      <c r="K54" s="10">
        <v>2</v>
      </c>
      <c r="L54" s="10">
        <v>1</v>
      </c>
      <c r="N54" s="10">
        <v>4</v>
      </c>
      <c r="O54" s="6"/>
      <c r="P54" s="45" t="s">
        <v>1862</v>
      </c>
      <c r="Q54" s="42" t="s">
        <v>1863</v>
      </c>
      <c r="R54" s="42"/>
      <c r="S54" s="1" t="s">
        <v>1895</v>
      </c>
    </row>
    <row r="55" spans="1:19" ht="18.75" customHeight="1" x14ac:dyDescent="0.3">
      <c r="A55" s="10">
        <v>54</v>
      </c>
      <c r="B55" s="10">
        <f>_xlfn.XLOOKUP(1,(VALUE(D55)&gt;=VALUE(block!$C$3:$C$500))*(VALUE(D55)&lt;VALUE(block!$C$3:$C$500)+VALUE(block!$D$3:$D$500)),block!$A$3:$A$500,"无匹配",0,1)</f>
        <v>2</v>
      </c>
      <c r="C55" s="3" t="str">
        <f>B55 &amp; "-" &amp; COUNTIF($B$2:B55, B55)</f>
        <v>2-17</v>
      </c>
      <c r="D55" s="10">
        <v>8296</v>
      </c>
      <c r="E55" s="1" t="s">
        <v>1896</v>
      </c>
      <c r="F55" s="1" t="s">
        <v>1897</v>
      </c>
      <c r="G55" s="1" t="s">
        <v>1834</v>
      </c>
      <c r="H55" s="1" t="s">
        <v>1812</v>
      </c>
      <c r="I55" s="10">
        <f>_xlfn.XLOOKUP(1,(VALUE(L3917)&gt;=VALUE(block!$C$3:'block'!$C$500))*(VALUE(block!L3917)&lt;VALUE(block!$C$3:'block'!$C$500)+VALUE(block!$D$3:'block'!$D$500)),block!$A$3:'block'!$A$500,"无匹配",0,1)</f>
        <v>55</v>
      </c>
      <c r="J55" s="1" t="s">
        <v>1808</v>
      </c>
      <c r="K55" s="10">
        <v>2</v>
      </c>
      <c r="L55" s="10">
        <v>1</v>
      </c>
      <c r="N55" s="10">
        <v>4</v>
      </c>
      <c r="O55" s="6"/>
      <c r="P55" s="45" t="s">
        <v>1862</v>
      </c>
      <c r="Q55" s="42" t="s">
        <v>1868</v>
      </c>
      <c r="R55" s="42"/>
      <c r="S55" s="1" t="s">
        <v>1897</v>
      </c>
    </row>
    <row r="56" spans="1:19" ht="18.75" customHeight="1" x14ac:dyDescent="0.3">
      <c r="A56" s="10">
        <v>55</v>
      </c>
      <c r="B56" s="10">
        <f>_xlfn.XLOOKUP(1,(VALUE(D56)&gt;=VALUE(block!$C$3:$C$500))*(VALUE(D56)&lt;VALUE(block!$C$3:$C$500)+VALUE(block!$D$3:$D$500)),block!$A$3:$A$500,"无匹配",0,1)</f>
        <v>2</v>
      </c>
      <c r="C56" s="3" t="str">
        <f>B56 &amp; "-" &amp; COUNTIF($B$2:B56, B56)</f>
        <v>2-18</v>
      </c>
      <c r="D56" s="10">
        <v>8298</v>
      </c>
      <c r="E56" s="1" t="s">
        <v>1898</v>
      </c>
      <c r="F56" s="1" t="s">
        <v>1899</v>
      </c>
      <c r="G56" s="1" t="s">
        <v>1836</v>
      </c>
      <c r="H56" s="1" t="s">
        <v>1812</v>
      </c>
      <c r="I56" s="10">
        <f>_xlfn.XLOOKUP(1,(VALUE(L3918)&gt;=VALUE(block!$C$3:'block'!$C$500))*(VALUE(block!L3918)&lt;VALUE(block!$C$3:'block'!$C$500)+VALUE(block!$D$3:'block'!$D$500)),block!$A$3:'block'!$A$500,"无匹配",0,1)</f>
        <v>55</v>
      </c>
      <c r="J56" s="1" t="s">
        <v>1808</v>
      </c>
      <c r="K56" s="10">
        <v>2</v>
      </c>
      <c r="L56" s="10">
        <v>1</v>
      </c>
      <c r="N56" s="10">
        <v>4</v>
      </c>
      <c r="O56" s="6"/>
      <c r="P56" s="45" t="s">
        <v>1862</v>
      </c>
      <c r="Q56" s="42" t="s">
        <v>1868</v>
      </c>
      <c r="R56" s="42"/>
      <c r="S56" s="1" t="s">
        <v>1899</v>
      </c>
    </row>
    <row r="57" spans="1:19" ht="18.75" hidden="1" customHeight="1" x14ac:dyDescent="0.3">
      <c r="A57" s="10">
        <v>56</v>
      </c>
      <c r="B57" s="10">
        <f>_xlfn.XLOOKUP(1,(VALUE(D57)&gt;=VALUE(block!$C$3:$C$500))*(VALUE(D57)&lt;VALUE(block!$C$3:$C$500)+VALUE(block!$D$3:$D$500)),block!$A$3:$A$500,"无匹配",0,1)</f>
        <v>2</v>
      </c>
      <c r="C57" s="3" t="str">
        <f>B57 &amp; "-" &amp; COUNTIF($B$2:B57, B57)</f>
        <v>2-19</v>
      </c>
      <c r="D57" s="10">
        <v>8300</v>
      </c>
      <c r="E57" s="1" t="s">
        <v>1900</v>
      </c>
      <c r="F57" s="1" t="s">
        <v>1901</v>
      </c>
      <c r="H57" s="1" t="s">
        <v>1838</v>
      </c>
      <c r="I57" s="10">
        <f>_xlfn.XLOOKUP(1,(VALUE(L3919)&gt;=VALUE(block!$C$3:'block'!$C$500))*(VALUE(block!L3919)&lt;VALUE(block!$C$3:'block'!$C$500)+VALUE(block!$D$3:'block'!$D$500)),block!$A$3:'block'!$A$500,"无匹配",0,1)</f>
        <v>55</v>
      </c>
      <c r="J57" s="1" t="s">
        <v>1808</v>
      </c>
      <c r="K57" s="10">
        <v>2</v>
      </c>
      <c r="L57" s="10">
        <v>1</v>
      </c>
      <c r="O57" s="6"/>
      <c r="Q57" s="6">
        <v>10</v>
      </c>
      <c r="R57" s="6"/>
      <c r="S57" s="1"/>
    </row>
    <row r="58" spans="1:19" ht="18.75" customHeight="1" x14ac:dyDescent="0.3">
      <c r="A58" s="10">
        <v>57</v>
      </c>
      <c r="B58" s="10">
        <f>_xlfn.XLOOKUP(1,(VALUE(D58)&gt;=VALUE(block!$C$3:$C$500))*(VALUE(D58)&lt;VALUE(block!$C$3:$C$500)+VALUE(block!$D$3:$D$500)),block!$A$3:$A$500,"无匹配",0,1)</f>
        <v>2</v>
      </c>
      <c r="C58" s="3" t="str">
        <f>B58 &amp; "-" &amp; COUNTIF($B$2:B58, B58)</f>
        <v>2-20</v>
      </c>
      <c r="D58" s="10">
        <v>8302</v>
      </c>
      <c r="E58" s="1" t="s">
        <v>1902</v>
      </c>
      <c r="F58" s="1" t="s">
        <v>1903</v>
      </c>
      <c r="G58" s="1" t="s">
        <v>1840</v>
      </c>
      <c r="H58" s="1" t="s">
        <v>1812</v>
      </c>
      <c r="I58" s="10">
        <f>_xlfn.XLOOKUP(1,(VALUE(L3920)&gt;=VALUE(block!$C$3:'block'!$C$500))*(VALUE(block!L3920)&lt;VALUE(block!$C$3:'block'!$C$500)+VALUE(block!$D$3:'block'!$D$500)),block!$A$3:'block'!$A$500,"无匹配",0,1)</f>
        <v>55</v>
      </c>
      <c r="J58" s="1" t="s">
        <v>1808</v>
      </c>
      <c r="K58" s="10">
        <v>2</v>
      </c>
      <c r="L58" s="10">
        <v>1</v>
      </c>
      <c r="N58" s="10">
        <v>4</v>
      </c>
      <c r="O58" s="6"/>
      <c r="P58" s="45" t="s">
        <v>1862</v>
      </c>
      <c r="Q58" s="42" t="s">
        <v>1875</v>
      </c>
      <c r="R58" s="42"/>
      <c r="S58" s="1" t="s">
        <v>1903</v>
      </c>
    </row>
    <row r="59" spans="1:19" ht="18.75" customHeight="1" x14ac:dyDescent="0.3">
      <c r="A59" s="10">
        <v>58</v>
      </c>
      <c r="B59" s="10">
        <f>_xlfn.XLOOKUP(1,(VALUE(D59)&gt;=VALUE(block!$C$3:$C$500))*(VALUE(D59)&lt;VALUE(block!$C$3:$C$500)+VALUE(block!$D$3:$D$500)),block!$A$3:$A$500,"无匹配",0,1)</f>
        <v>2</v>
      </c>
      <c r="C59" s="3" t="str">
        <f>B59 &amp; "-" &amp; COUNTIF($B$2:B59, B59)</f>
        <v>2-21</v>
      </c>
      <c r="D59" s="10">
        <v>8304</v>
      </c>
      <c r="E59" s="1" t="s">
        <v>1904</v>
      </c>
      <c r="F59" s="44" t="s">
        <v>1905</v>
      </c>
      <c r="G59" s="1" t="s">
        <v>1826</v>
      </c>
      <c r="H59" s="1" t="s">
        <v>1812</v>
      </c>
      <c r="I59" s="10">
        <f>_xlfn.XLOOKUP(1,(VALUE(L3921)&gt;=VALUE(block!$C$3:'block'!$C$500))*(VALUE(block!L3921)&lt;VALUE(block!$C$3:'block'!$C$500)+VALUE(block!$D$3:'block'!$D$500)),block!$A$3:'block'!$A$500,"无匹配",0,1)</f>
        <v>55</v>
      </c>
      <c r="J59" s="1" t="s">
        <v>1808</v>
      </c>
      <c r="K59" s="10">
        <v>2</v>
      </c>
      <c r="L59" s="10">
        <v>1</v>
      </c>
      <c r="N59" s="10">
        <v>4</v>
      </c>
      <c r="O59" s="6"/>
      <c r="P59" s="45" t="s">
        <v>1862</v>
      </c>
      <c r="Q59" s="6">
        <v>10</v>
      </c>
      <c r="R59" s="6"/>
      <c r="S59" s="44" t="s">
        <v>1905</v>
      </c>
    </row>
    <row r="60" spans="1:19" ht="18.75" customHeight="1" x14ac:dyDescent="0.3">
      <c r="A60" s="10">
        <v>59</v>
      </c>
      <c r="B60" s="10">
        <f>_xlfn.XLOOKUP(1,(VALUE(D60)&gt;=VALUE(block!$C$3:$C$500))*(VALUE(D60)&lt;VALUE(block!$C$3:$C$500)+VALUE(block!$D$3:$D$500)),block!$A$3:$A$500,"无匹配",0,1)</f>
        <v>2</v>
      </c>
      <c r="C60" s="3" t="str">
        <f>B60 &amp; "-" &amp; COUNTIF($B$2:B60, B60)</f>
        <v>2-22</v>
      </c>
      <c r="D60" s="10">
        <v>8306</v>
      </c>
      <c r="E60" s="1" t="s">
        <v>1906</v>
      </c>
      <c r="F60" s="1" t="s">
        <v>1907</v>
      </c>
      <c r="G60" s="1" t="s">
        <v>1830</v>
      </c>
      <c r="H60" s="1" t="s">
        <v>1812</v>
      </c>
      <c r="I60" s="10">
        <f>_xlfn.XLOOKUP(1,(VALUE(L3922)&gt;=VALUE(block!$C$3:'block'!$C$500))*(VALUE(block!L3922)&lt;VALUE(block!$C$3:'block'!$C$500)+VALUE(block!$D$3:'block'!$D$500)),block!$A$3:'block'!$A$500,"无匹配",0,1)</f>
        <v>55</v>
      </c>
      <c r="J60" s="1" t="s">
        <v>1808</v>
      </c>
      <c r="K60" s="10">
        <v>2</v>
      </c>
      <c r="L60" s="10">
        <v>1</v>
      </c>
      <c r="N60" s="10">
        <v>4</v>
      </c>
      <c r="O60" s="6"/>
      <c r="P60" s="45" t="s">
        <v>1862</v>
      </c>
      <c r="Q60" s="42" t="s">
        <v>1863</v>
      </c>
      <c r="R60" s="42"/>
      <c r="S60" s="1" t="s">
        <v>1907</v>
      </c>
    </row>
    <row r="61" spans="1:19" ht="18.75" customHeight="1" x14ac:dyDescent="0.3">
      <c r="A61" s="10">
        <v>60</v>
      </c>
      <c r="B61" s="10">
        <f>_xlfn.XLOOKUP(1,(VALUE(D61)&gt;=VALUE(block!$C$3:$C$500))*(VALUE(D61)&lt;VALUE(block!$C$3:$C$500)+VALUE(block!$D$3:$D$500)),block!$A$3:$A$500,"无匹配",0,1)</f>
        <v>2</v>
      </c>
      <c r="C61" s="3" t="str">
        <f>B61 &amp; "-" &amp; COUNTIF($B$2:B61, B61)</f>
        <v>2-23</v>
      </c>
      <c r="D61" s="10">
        <v>8308</v>
      </c>
      <c r="E61" s="1" t="s">
        <v>1908</v>
      </c>
      <c r="F61" s="1" t="s">
        <v>1909</v>
      </c>
      <c r="G61" s="1" t="s">
        <v>1832</v>
      </c>
      <c r="H61" s="1" t="s">
        <v>1812</v>
      </c>
      <c r="I61" s="10">
        <f>_xlfn.XLOOKUP(1,(VALUE(L3923)&gt;=VALUE(block!$C$3:'block'!$C$500))*(VALUE(block!L3923)&lt;VALUE(block!$C$3:'block'!$C$500)+VALUE(block!$D$3:'block'!$D$500)),block!$A$3:'block'!$A$500,"无匹配",0,1)</f>
        <v>55</v>
      </c>
      <c r="J61" s="1" t="s">
        <v>1808</v>
      </c>
      <c r="K61" s="10">
        <v>2</v>
      </c>
      <c r="L61" s="10">
        <v>1</v>
      </c>
      <c r="N61" s="10">
        <v>4</v>
      </c>
      <c r="O61" s="6"/>
      <c r="P61" s="45" t="s">
        <v>1862</v>
      </c>
      <c r="Q61" s="42" t="s">
        <v>1863</v>
      </c>
      <c r="R61" s="42"/>
      <c r="S61" s="1" t="s">
        <v>1909</v>
      </c>
    </row>
    <row r="62" spans="1:19" ht="18.75" customHeight="1" x14ac:dyDescent="0.3">
      <c r="A62" s="10">
        <v>61</v>
      </c>
      <c r="B62" s="10">
        <f>_xlfn.XLOOKUP(1,(VALUE(D62)&gt;=VALUE(block!$C$3:$C$500))*(VALUE(D62)&lt;VALUE(block!$C$3:$C$500)+VALUE(block!$D$3:$D$500)),block!$A$3:$A$500,"无匹配",0,1)</f>
        <v>2</v>
      </c>
      <c r="C62" s="3" t="str">
        <f>B62 &amp; "-" &amp; COUNTIF($B$2:B62, B62)</f>
        <v>2-24</v>
      </c>
      <c r="D62" s="10">
        <v>8310</v>
      </c>
      <c r="E62" s="1" t="s">
        <v>1910</v>
      </c>
      <c r="F62" s="1" t="s">
        <v>1911</v>
      </c>
      <c r="G62" s="1" t="s">
        <v>1834</v>
      </c>
      <c r="H62" s="1" t="s">
        <v>1812</v>
      </c>
      <c r="I62" s="10">
        <f>_xlfn.XLOOKUP(1,(VALUE(L3924)&gt;=VALUE(block!$C$3:'block'!$C$500))*(VALUE(block!L3924)&lt;VALUE(block!$C$3:'block'!$C$500)+VALUE(block!$D$3:'block'!$D$500)),block!$A$3:'block'!$A$500,"无匹配",0,1)</f>
        <v>55</v>
      </c>
      <c r="J62" s="1" t="s">
        <v>1808</v>
      </c>
      <c r="K62" s="10">
        <v>2</v>
      </c>
      <c r="L62" s="10">
        <v>1</v>
      </c>
      <c r="N62" s="10">
        <v>4</v>
      </c>
      <c r="O62" s="6"/>
      <c r="P62" s="45" t="s">
        <v>1862</v>
      </c>
      <c r="Q62" s="42" t="s">
        <v>1868</v>
      </c>
      <c r="R62" s="42"/>
      <c r="S62" s="1" t="s">
        <v>1911</v>
      </c>
    </row>
    <row r="63" spans="1:19" ht="18.75" customHeight="1" x14ac:dyDescent="0.3">
      <c r="A63" s="10">
        <v>62</v>
      </c>
      <c r="B63" s="10">
        <f>_xlfn.XLOOKUP(1,(VALUE(D63)&gt;=VALUE(block!$C$3:$C$500))*(VALUE(D63)&lt;VALUE(block!$C$3:$C$500)+VALUE(block!$D$3:$D$500)),block!$A$3:$A$500,"无匹配",0,1)</f>
        <v>2</v>
      </c>
      <c r="C63" s="3" t="str">
        <f>B63 &amp; "-" &amp; COUNTIF($B$2:B63, B63)</f>
        <v>2-25</v>
      </c>
      <c r="D63" s="10">
        <v>8312</v>
      </c>
      <c r="E63" s="1" t="s">
        <v>1912</v>
      </c>
      <c r="F63" s="1" t="s">
        <v>1913</v>
      </c>
      <c r="G63" s="1" t="s">
        <v>1836</v>
      </c>
      <c r="H63" s="1" t="s">
        <v>1812</v>
      </c>
      <c r="I63" s="10">
        <f>_xlfn.XLOOKUP(1,(VALUE(L3925)&gt;=VALUE(block!$C$3:'block'!$C$500))*(VALUE(block!L3925)&lt;VALUE(block!$C$3:'block'!$C$500)+VALUE(block!$D$3:'block'!$D$500)),block!$A$3:'block'!$A$500,"无匹配",0,1)</f>
        <v>55</v>
      </c>
      <c r="J63" s="1" t="s">
        <v>1808</v>
      </c>
      <c r="K63" s="10">
        <v>2</v>
      </c>
      <c r="L63" s="10">
        <v>1</v>
      </c>
      <c r="N63" s="10">
        <v>4</v>
      </c>
      <c r="O63" s="6"/>
      <c r="P63" s="45" t="s">
        <v>1862</v>
      </c>
      <c r="Q63" s="42" t="s">
        <v>1868</v>
      </c>
      <c r="R63" s="42"/>
      <c r="S63" s="1" t="s">
        <v>1913</v>
      </c>
    </row>
    <row r="64" spans="1:19" ht="18.75" hidden="1" customHeight="1" x14ac:dyDescent="0.3">
      <c r="A64" s="10">
        <v>63</v>
      </c>
      <c r="B64" s="10">
        <f>_xlfn.XLOOKUP(1,(VALUE(D64)&gt;=VALUE(block!$C$3:$C$500))*(VALUE(D64)&lt;VALUE(block!$C$3:$C$500)+VALUE(block!$D$3:$D$500)),block!$A$3:$A$500,"无匹配",0,1)</f>
        <v>2</v>
      </c>
      <c r="C64" s="3" t="str">
        <f>B64 &amp; "-" &amp; COUNTIF($B$2:B64, B64)</f>
        <v>2-26</v>
      </c>
      <c r="D64" s="10">
        <v>8314</v>
      </c>
      <c r="E64" s="1" t="s">
        <v>1914</v>
      </c>
      <c r="F64" s="1" t="s">
        <v>1915</v>
      </c>
      <c r="H64" s="1" t="s">
        <v>1838</v>
      </c>
      <c r="I64" s="10">
        <f>_xlfn.XLOOKUP(1,(VALUE(L3926)&gt;=VALUE(block!$C$3:'block'!$C$500))*(VALUE(block!L3926)&lt;VALUE(block!$C$3:'block'!$C$500)+VALUE(block!$D$3:'block'!$D$500)),block!$A$3:'block'!$A$500,"无匹配",0,1)</f>
        <v>55</v>
      </c>
      <c r="J64" s="1" t="s">
        <v>1808</v>
      </c>
      <c r="K64" s="10">
        <v>2</v>
      </c>
      <c r="L64" s="10">
        <v>1</v>
      </c>
      <c r="O64" s="6"/>
      <c r="Q64" s="6">
        <v>10</v>
      </c>
      <c r="R64" s="6"/>
      <c r="S64" s="1"/>
    </row>
    <row r="65" spans="1:19" ht="18.75" customHeight="1" x14ac:dyDescent="0.3">
      <c r="A65" s="10">
        <v>64</v>
      </c>
      <c r="B65" s="10">
        <f>_xlfn.XLOOKUP(1,(VALUE(D65)&gt;=VALUE(block!$C$3:$C$500))*(VALUE(D65)&lt;VALUE(block!$C$3:$C$500)+VALUE(block!$D$3:$D$500)),block!$A$3:$A$500,"无匹配",0,1)</f>
        <v>2</v>
      </c>
      <c r="C65" s="3" t="str">
        <f>B65 &amp; "-" &amp; COUNTIF($B$2:B65, B65)</f>
        <v>2-27</v>
      </c>
      <c r="D65" s="10">
        <v>8316</v>
      </c>
      <c r="E65" s="1" t="s">
        <v>1916</v>
      </c>
      <c r="F65" s="1" t="s">
        <v>1917</v>
      </c>
      <c r="G65" s="1" t="s">
        <v>1840</v>
      </c>
      <c r="H65" s="1" t="s">
        <v>1812</v>
      </c>
      <c r="I65" s="10">
        <f>_xlfn.XLOOKUP(1,(VALUE(L3927)&gt;=VALUE(block!$C$3:'block'!$C$500))*(VALUE(block!L3927)&lt;VALUE(block!$C$3:'block'!$C$500)+VALUE(block!$D$3:'block'!$D$500)),block!$A$3:'block'!$A$500,"无匹配",0,1)</f>
        <v>55</v>
      </c>
      <c r="J65" s="1" t="s">
        <v>1808</v>
      </c>
      <c r="K65" s="10">
        <v>2</v>
      </c>
      <c r="L65" s="10">
        <v>1</v>
      </c>
      <c r="N65" s="10">
        <v>4</v>
      </c>
      <c r="O65" s="6"/>
      <c r="P65" s="45" t="s">
        <v>1862</v>
      </c>
      <c r="Q65" s="42" t="s">
        <v>1875</v>
      </c>
      <c r="R65" s="42"/>
      <c r="S65" s="1" t="s">
        <v>1917</v>
      </c>
    </row>
    <row r="66" spans="1:19" ht="18.75" customHeight="1" x14ac:dyDescent="0.3">
      <c r="A66" s="10">
        <v>65</v>
      </c>
      <c r="B66" s="10">
        <f>_xlfn.XLOOKUP(1,(VALUE(D66)&gt;=VALUE(block!$C$3:$C$500))*(VALUE(D66)&lt;VALUE(block!$C$3:$C$500)+VALUE(block!$D$3:$D$500)),block!$A$3:$A$500,"无匹配",0,1)</f>
        <v>2</v>
      </c>
      <c r="C66" s="3" t="str">
        <f>B66 &amp; "-" &amp; COUNTIF($B$2:B66, B66)</f>
        <v>2-28</v>
      </c>
      <c r="D66" s="10">
        <v>8318</v>
      </c>
      <c r="E66" s="1" t="s">
        <v>1918</v>
      </c>
      <c r="F66" s="44" t="s">
        <v>1919</v>
      </c>
      <c r="G66" s="1" t="s">
        <v>1826</v>
      </c>
      <c r="H66" s="1" t="s">
        <v>1812</v>
      </c>
      <c r="I66" s="10">
        <f>_xlfn.XLOOKUP(1,(VALUE(L3928)&gt;=VALUE(block!$C$3:'block'!$C$500))*(VALUE(block!L3928)&lt;VALUE(block!$C$3:'block'!$C$500)+VALUE(block!$D$3:'block'!$D$500)),block!$A$3:'block'!$A$500,"无匹配",0,1)</f>
        <v>55</v>
      </c>
      <c r="J66" s="1" t="s">
        <v>1808</v>
      </c>
      <c r="K66" s="10">
        <v>2</v>
      </c>
      <c r="L66" s="10">
        <v>1</v>
      </c>
      <c r="N66" s="10">
        <v>4</v>
      </c>
      <c r="O66" s="6"/>
      <c r="P66" s="45" t="s">
        <v>1862</v>
      </c>
      <c r="Q66" s="6">
        <v>10</v>
      </c>
      <c r="R66" s="6"/>
      <c r="S66" s="44" t="s">
        <v>1919</v>
      </c>
    </row>
    <row r="67" spans="1:19" ht="18.75" customHeight="1" x14ac:dyDescent="0.3">
      <c r="A67" s="10">
        <v>66</v>
      </c>
      <c r="B67" s="10">
        <f>_xlfn.XLOOKUP(1,(VALUE(D67)&gt;=VALUE(block!$C$3:$C$500))*(VALUE(D67)&lt;VALUE(block!$C$3:$C$500)+VALUE(block!$D$3:$D$500)),block!$A$3:$A$500,"无匹配",0,1)</f>
        <v>2</v>
      </c>
      <c r="C67" s="3" t="str">
        <f>B67 &amp; "-" &amp; COUNTIF($B$2:B67, B67)</f>
        <v>2-29</v>
      </c>
      <c r="D67" s="10">
        <v>8320</v>
      </c>
      <c r="E67" s="1" t="s">
        <v>1920</v>
      </c>
      <c r="F67" s="1" t="s">
        <v>1921</v>
      </c>
      <c r="G67" s="1" t="s">
        <v>1830</v>
      </c>
      <c r="H67" s="1" t="s">
        <v>1812</v>
      </c>
      <c r="I67" s="10">
        <f>IF(H67="uint16",1,IF(H67="int16",3,IF(H67="uint32",6,IF(H67="int32",10,IF(H67="uint64",14,IF(H67="int64",18,IF(H67="float32",22,"")))))))</f>
        <v>22</v>
      </c>
      <c r="J67" s="1" t="s">
        <v>1808</v>
      </c>
      <c r="K67" s="10">
        <v>2</v>
      </c>
      <c r="L67" s="10">
        <v>1</v>
      </c>
      <c r="N67" s="10">
        <v>4</v>
      </c>
      <c r="O67" s="6"/>
      <c r="P67" s="45" t="s">
        <v>1862</v>
      </c>
      <c r="Q67" s="42" t="s">
        <v>1863</v>
      </c>
      <c r="R67" s="42"/>
      <c r="S67" s="1" t="s">
        <v>1921</v>
      </c>
    </row>
    <row r="68" spans="1:19" ht="18.75" customHeight="1" x14ac:dyDescent="0.3">
      <c r="A68" s="10">
        <v>67</v>
      </c>
      <c r="B68" s="10">
        <f>_xlfn.XLOOKUP(1,(VALUE(D68)&gt;=VALUE(block!$C$3:$C$500))*(VALUE(D68)&lt;VALUE(block!$C$3:$C$500)+VALUE(block!$D$3:$D$500)),block!$A$3:$A$500,"无匹配",0,1)</f>
        <v>2</v>
      </c>
      <c r="C68" s="3" t="str">
        <f>B68 &amp; "-" &amp; COUNTIF($B$2:B68, B68)</f>
        <v>2-30</v>
      </c>
      <c r="D68" s="10">
        <v>8322</v>
      </c>
      <c r="E68" s="1" t="s">
        <v>1922</v>
      </c>
      <c r="F68" s="1" t="s">
        <v>1923</v>
      </c>
      <c r="G68" s="1" t="s">
        <v>1832</v>
      </c>
      <c r="H68" s="1" t="s">
        <v>1812</v>
      </c>
      <c r="I68" s="10" t="str">
        <f>IF(H68="T17",1,IF(H68="T17",3,IF(H68="T33",6,IF(H68="T33",10,IF(H68="T65",14,IF(H68="T65",18,IF(H68="T33",22,"")))))))</f>
        <v/>
      </c>
      <c r="J68" s="1" t="s">
        <v>1808</v>
      </c>
      <c r="K68" s="10">
        <v>2</v>
      </c>
      <c r="L68" s="10">
        <v>1</v>
      </c>
      <c r="N68" s="10">
        <v>4</v>
      </c>
      <c r="O68" s="6"/>
      <c r="P68" s="45" t="s">
        <v>1862</v>
      </c>
      <c r="Q68" s="42" t="s">
        <v>1863</v>
      </c>
      <c r="R68" s="42"/>
      <c r="S68" s="1" t="s">
        <v>1923</v>
      </c>
    </row>
    <row r="69" spans="1:19" ht="18.75" customHeight="1" x14ac:dyDescent="0.3">
      <c r="A69" s="10">
        <v>68</v>
      </c>
      <c r="B69" s="10">
        <f>_xlfn.XLOOKUP(1,(VALUE(D69)&gt;=VALUE(block!$C$3:$C$500))*(VALUE(D69)&lt;VALUE(block!$C$3:$C$500)+VALUE(block!$D$3:$D$500)),block!$A$3:$A$500,"无匹配",0,1)</f>
        <v>2</v>
      </c>
      <c r="C69" s="3" t="str">
        <f>B69 &amp; "-" &amp; COUNTIF($B$2:B69, B69)</f>
        <v>2-31</v>
      </c>
      <c r="D69" s="10">
        <v>8324</v>
      </c>
      <c r="E69" s="1" t="s">
        <v>1924</v>
      </c>
      <c r="F69" s="1" t="s">
        <v>1925</v>
      </c>
      <c r="G69" s="1" t="s">
        <v>1834</v>
      </c>
      <c r="H69" s="1" t="s">
        <v>1812</v>
      </c>
      <c r="I69" s="10" t="str">
        <f>IF(H69="T18",1,IF(H69="T18",3,IF(H69="T34",6,IF(H69="T34",10,IF(H69="T66",14,IF(H69="T66",18,IF(H69="T34",22,"")))))))</f>
        <v/>
      </c>
      <c r="J69" s="1" t="s">
        <v>1808</v>
      </c>
      <c r="K69" s="10">
        <v>2</v>
      </c>
      <c r="L69" s="10">
        <v>1</v>
      </c>
      <c r="N69" s="10">
        <v>4</v>
      </c>
      <c r="O69" s="6"/>
      <c r="P69" s="45" t="s">
        <v>1862</v>
      </c>
      <c r="Q69" s="42" t="s">
        <v>1868</v>
      </c>
      <c r="R69" s="42"/>
      <c r="S69" s="1" t="s">
        <v>1925</v>
      </c>
    </row>
    <row r="70" spans="1:19" ht="18.75" customHeight="1" x14ac:dyDescent="0.3">
      <c r="A70" s="10">
        <v>69</v>
      </c>
      <c r="B70" s="10">
        <f>_xlfn.XLOOKUP(1,(VALUE(D70)&gt;=VALUE(block!$C$3:$C$500))*(VALUE(D70)&lt;VALUE(block!$C$3:$C$500)+VALUE(block!$D$3:$D$500)),block!$A$3:$A$500,"无匹配",0,1)</f>
        <v>2</v>
      </c>
      <c r="C70" s="3" t="str">
        <f>B70 &amp; "-" &amp; COUNTIF($B$2:B70, B70)</f>
        <v>2-32</v>
      </c>
      <c r="D70" s="10">
        <v>8326</v>
      </c>
      <c r="E70" s="1" t="s">
        <v>1926</v>
      </c>
      <c r="F70" s="1" t="s">
        <v>1927</v>
      </c>
      <c r="G70" s="1" t="s">
        <v>1836</v>
      </c>
      <c r="H70" s="1" t="s">
        <v>1812</v>
      </c>
      <c r="I70" s="10" t="str">
        <f>IF(H70="T19",1,IF(H70="T19",3,IF(H70="T35",6,IF(H70="T35",10,IF(H70="T67",14,IF(H70="T67",18,IF(H70="T35",22,"")))))))</f>
        <v/>
      </c>
      <c r="J70" s="1" t="s">
        <v>1808</v>
      </c>
      <c r="K70" s="10">
        <v>2</v>
      </c>
      <c r="L70" s="10">
        <v>1</v>
      </c>
      <c r="N70" s="10">
        <v>4</v>
      </c>
      <c r="O70" s="6"/>
      <c r="P70" s="45" t="s">
        <v>1862</v>
      </c>
      <c r="Q70" s="42" t="s">
        <v>1868</v>
      </c>
      <c r="R70" s="42"/>
      <c r="S70" s="1" t="s">
        <v>1927</v>
      </c>
    </row>
    <row r="71" spans="1:19" ht="18.75" hidden="1" customHeight="1" x14ac:dyDescent="0.3">
      <c r="A71" s="10">
        <v>70</v>
      </c>
      <c r="B71" s="10">
        <f>_xlfn.XLOOKUP(1,(VALUE(D71)&gt;=VALUE(block!$C$3:$C$500))*(VALUE(D71)&lt;VALUE(block!$C$3:$C$500)+VALUE(block!$D$3:$D$500)),block!$A$3:$A$500,"无匹配",0,1)</f>
        <v>2</v>
      </c>
      <c r="C71" s="3" t="str">
        <f>B71 &amp; "-" &amp; COUNTIF($B$2:B71, B71)</f>
        <v>2-33</v>
      </c>
      <c r="D71" s="10">
        <v>8328</v>
      </c>
      <c r="E71" s="1" t="s">
        <v>1928</v>
      </c>
      <c r="F71" s="1" t="s">
        <v>1929</v>
      </c>
      <c r="H71" s="1" t="s">
        <v>1838</v>
      </c>
      <c r="I71" s="10" t="str">
        <f>IF(H71="T20",1,IF(H71="T20",3,IF(H71="T36",6,IF(H71="T36",10,IF(H71="T68",14,IF(H71="T68",18,IF(H71="T36",22,"")))))))</f>
        <v/>
      </c>
      <c r="J71" s="1" t="s">
        <v>1808</v>
      </c>
      <c r="K71" s="10">
        <v>2</v>
      </c>
      <c r="L71" s="10">
        <v>1</v>
      </c>
      <c r="O71" s="6"/>
      <c r="Q71" s="6">
        <v>10</v>
      </c>
      <c r="R71" s="6"/>
      <c r="S71" s="1"/>
    </row>
    <row r="72" spans="1:19" ht="18.75" customHeight="1" x14ac:dyDescent="0.3">
      <c r="A72" s="10">
        <v>71</v>
      </c>
      <c r="B72" s="10">
        <f>_xlfn.XLOOKUP(1,(VALUE(D72)&gt;=VALUE(block!$C$3:$C$500))*(VALUE(D72)&lt;VALUE(block!$C$3:$C$500)+VALUE(block!$D$3:$D$500)),block!$A$3:$A$500,"无匹配",0,1)</f>
        <v>2</v>
      </c>
      <c r="C72" s="3" t="str">
        <f>B72 &amp; "-" &amp; COUNTIF($B$2:B72, B72)</f>
        <v>2-34</v>
      </c>
      <c r="D72" s="10">
        <v>8330</v>
      </c>
      <c r="E72" s="1" t="s">
        <v>1930</v>
      </c>
      <c r="F72" s="1" t="s">
        <v>1931</v>
      </c>
      <c r="G72" s="1" t="s">
        <v>1840</v>
      </c>
      <c r="H72" s="1" t="s">
        <v>1812</v>
      </c>
      <c r="I72" s="10" t="str">
        <f>IF(H72="T21",1,IF(H72="T21",3,IF(H72="T37",6,IF(H72="T37",10,IF(H72="T69",14,IF(H72="T69",18,IF(H72="T37",22,"")))))))</f>
        <v/>
      </c>
      <c r="J72" s="1" t="s">
        <v>1808</v>
      </c>
      <c r="K72" s="10">
        <v>2</v>
      </c>
      <c r="L72" s="10">
        <v>1</v>
      </c>
      <c r="N72" s="10">
        <v>4</v>
      </c>
      <c r="O72" s="6"/>
      <c r="P72" s="45" t="s">
        <v>1862</v>
      </c>
      <c r="Q72" s="42" t="s">
        <v>1875</v>
      </c>
      <c r="R72" s="42"/>
      <c r="S72" s="1" t="s">
        <v>1931</v>
      </c>
    </row>
    <row r="73" spans="1:19" ht="18.75" customHeight="1" x14ac:dyDescent="0.3">
      <c r="A73" s="10">
        <v>72</v>
      </c>
      <c r="B73" s="10">
        <f>_xlfn.XLOOKUP(1,(VALUE(D73)&gt;=VALUE(block!$C$3:$C$500))*(VALUE(D73)&lt;VALUE(block!$C$3:$C$500)+VALUE(block!$D$3:$D$500)),block!$A$3:$A$500,"无匹配",0,1)</f>
        <v>2</v>
      </c>
      <c r="C73" s="3" t="str">
        <f>B73 &amp; "-" &amp; COUNTIF($B$2:B73, B73)</f>
        <v>2-35</v>
      </c>
      <c r="D73" s="10">
        <v>8332</v>
      </c>
      <c r="E73" s="1" t="s">
        <v>1932</v>
      </c>
      <c r="F73" s="44" t="s">
        <v>1933</v>
      </c>
      <c r="G73" s="1" t="s">
        <v>1826</v>
      </c>
      <c r="H73" s="1" t="s">
        <v>1812</v>
      </c>
      <c r="I73" s="10" t="str">
        <f>IF(H73="T22",1,IF(H73="T22",3,IF(H73="T38",6,IF(H73="T38",10,IF(H73="T70",14,IF(H73="T70",18,IF(H73="T38",22,"")))))))</f>
        <v/>
      </c>
      <c r="J73" s="1" t="s">
        <v>1808</v>
      </c>
      <c r="K73" s="10">
        <v>2</v>
      </c>
      <c r="L73" s="10">
        <v>1</v>
      </c>
      <c r="N73" s="10">
        <v>4</v>
      </c>
      <c r="O73" s="6"/>
      <c r="P73" s="45" t="s">
        <v>1862</v>
      </c>
      <c r="Q73" s="6">
        <v>10</v>
      </c>
      <c r="R73" s="6"/>
      <c r="S73" s="44" t="s">
        <v>1933</v>
      </c>
    </row>
    <row r="74" spans="1:19" ht="18.75" customHeight="1" x14ac:dyDescent="0.3">
      <c r="A74" s="10">
        <v>73</v>
      </c>
      <c r="B74" s="10">
        <f>_xlfn.XLOOKUP(1,(VALUE(D74)&gt;=VALUE(block!$C$3:$C$500))*(VALUE(D74)&lt;VALUE(block!$C$3:$C$500)+VALUE(block!$D$3:$D$500)),block!$A$3:$A$500,"无匹配",0,1)</f>
        <v>2</v>
      </c>
      <c r="C74" s="3" t="str">
        <f>B74 &amp; "-" &amp; COUNTIF($B$2:B74, B74)</f>
        <v>2-36</v>
      </c>
      <c r="D74" s="10">
        <v>8334</v>
      </c>
      <c r="E74" s="1" t="s">
        <v>1934</v>
      </c>
      <c r="F74" s="1" t="s">
        <v>1935</v>
      </c>
      <c r="G74" s="1" t="s">
        <v>1830</v>
      </c>
      <c r="H74" s="1" t="s">
        <v>1812</v>
      </c>
      <c r="I74" s="10" t="str">
        <f>IF(H74="T23",1,IF(H74="T23",3,IF(H74="T39",6,IF(H74="T39",10,IF(H74="T71",14,IF(H74="T71",18,IF(H74="T39",22,"")))))))</f>
        <v/>
      </c>
      <c r="J74" s="1" t="s">
        <v>1808</v>
      </c>
      <c r="K74" s="10">
        <v>2</v>
      </c>
      <c r="L74" s="10">
        <v>1</v>
      </c>
      <c r="N74" s="10">
        <v>4</v>
      </c>
      <c r="O74" s="6"/>
      <c r="P74" s="45" t="s">
        <v>1862</v>
      </c>
      <c r="Q74" s="42" t="s">
        <v>1863</v>
      </c>
      <c r="R74" s="42"/>
      <c r="S74" s="1" t="s">
        <v>1935</v>
      </c>
    </row>
    <row r="75" spans="1:19" ht="18.75" customHeight="1" x14ac:dyDescent="0.3">
      <c r="A75" s="10">
        <v>74</v>
      </c>
      <c r="B75" s="10">
        <f>_xlfn.XLOOKUP(1,(VALUE(D75)&gt;=VALUE(block!$C$3:$C$500))*(VALUE(D75)&lt;VALUE(block!$C$3:$C$500)+VALUE(block!$D$3:$D$500)),block!$A$3:$A$500,"无匹配",0,1)</f>
        <v>2</v>
      </c>
      <c r="C75" s="3" t="str">
        <f>B75 &amp; "-" &amp; COUNTIF($B$2:B75, B75)</f>
        <v>2-37</v>
      </c>
      <c r="D75" s="10">
        <v>8336</v>
      </c>
      <c r="E75" s="1" t="s">
        <v>1936</v>
      </c>
      <c r="F75" s="1" t="s">
        <v>1937</v>
      </c>
      <c r="G75" s="1" t="s">
        <v>1832</v>
      </c>
      <c r="H75" s="1" t="s">
        <v>1812</v>
      </c>
      <c r="I75" s="10" t="str">
        <f>IF(H75="T24",1,IF(H75="T24",3,IF(H75="T40",6,IF(H75="T40",10,IF(H75="T72",14,IF(H75="T72",18,IF(H75="T40",22,"")))))))</f>
        <v/>
      </c>
      <c r="J75" s="1" t="s">
        <v>1808</v>
      </c>
      <c r="K75" s="10">
        <v>2</v>
      </c>
      <c r="L75" s="10">
        <v>1</v>
      </c>
      <c r="N75" s="10">
        <v>4</v>
      </c>
      <c r="O75" s="6"/>
      <c r="P75" s="45" t="s">
        <v>1862</v>
      </c>
      <c r="Q75" s="42" t="s">
        <v>1863</v>
      </c>
      <c r="R75" s="42"/>
      <c r="S75" s="1" t="s">
        <v>1937</v>
      </c>
    </row>
    <row r="76" spans="1:19" ht="18.75" customHeight="1" x14ac:dyDescent="0.3">
      <c r="A76" s="10">
        <v>75</v>
      </c>
      <c r="B76" s="10">
        <f>_xlfn.XLOOKUP(1,(VALUE(D76)&gt;=VALUE(block!$C$3:$C$500))*(VALUE(D76)&lt;VALUE(block!$C$3:$C$500)+VALUE(block!$D$3:$D$500)),block!$A$3:$A$500,"无匹配",0,1)</f>
        <v>2</v>
      </c>
      <c r="C76" s="3" t="str">
        <f>B76 &amp; "-" &amp; COUNTIF($B$2:B76, B76)</f>
        <v>2-38</v>
      </c>
      <c r="D76" s="10">
        <v>8338</v>
      </c>
      <c r="E76" s="1" t="s">
        <v>1938</v>
      </c>
      <c r="F76" s="1" t="s">
        <v>1939</v>
      </c>
      <c r="G76" s="1" t="s">
        <v>1834</v>
      </c>
      <c r="H76" s="1" t="s">
        <v>1812</v>
      </c>
      <c r="I76" s="10" t="str">
        <f>IF(H76="T25",1,IF(H76="T25",3,IF(H76="T41",6,IF(H76="T41",10,IF(H76="T73",14,IF(H76="T73",18,IF(H76="T41",22,"")))))))</f>
        <v/>
      </c>
      <c r="J76" s="1" t="s">
        <v>1808</v>
      </c>
      <c r="K76" s="10">
        <v>2</v>
      </c>
      <c r="L76" s="10">
        <v>1</v>
      </c>
      <c r="N76" s="10">
        <v>4</v>
      </c>
      <c r="O76" s="6"/>
      <c r="P76" s="45" t="s">
        <v>1862</v>
      </c>
      <c r="Q76" s="42" t="s">
        <v>1868</v>
      </c>
      <c r="R76" s="42"/>
      <c r="S76" s="1" t="s">
        <v>1939</v>
      </c>
    </row>
    <row r="77" spans="1:19" ht="18.75" customHeight="1" x14ac:dyDescent="0.3">
      <c r="A77" s="10">
        <v>76</v>
      </c>
      <c r="B77" s="10">
        <f>_xlfn.XLOOKUP(1,(VALUE(D77)&gt;=VALUE(block!$C$3:$C$500))*(VALUE(D77)&lt;VALUE(block!$C$3:$C$500)+VALUE(block!$D$3:$D$500)),block!$A$3:$A$500,"无匹配",0,1)</f>
        <v>2</v>
      </c>
      <c r="C77" s="3" t="str">
        <f>B77 &amp; "-" &amp; COUNTIF($B$2:B77, B77)</f>
        <v>2-39</v>
      </c>
      <c r="D77" s="10">
        <v>8340</v>
      </c>
      <c r="E77" s="1" t="s">
        <v>1940</v>
      </c>
      <c r="F77" s="1" t="s">
        <v>1941</v>
      </c>
      <c r="G77" s="1" t="s">
        <v>1836</v>
      </c>
      <c r="H77" s="1" t="s">
        <v>1812</v>
      </c>
      <c r="I77" s="10" t="str">
        <f>IF(H77="T26",1,IF(H77="T26",3,IF(H77="T42",6,IF(H77="T42",10,IF(H77="T74",14,IF(H77="T74",18,IF(H77="T42",22,"")))))))</f>
        <v/>
      </c>
      <c r="J77" s="1" t="s">
        <v>1808</v>
      </c>
      <c r="K77" s="10">
        <v>2</v>
      </c>
      <c r="L77" s="10">
        <v>1</v>
      </c>
      <c r="N77" s="10">
        <v>4</v>
      </c>
      <c r="O77" s="6"/>
      <c r="P77" s="45" t="s">
        <v>1862</v>
      </c>
      <c r="Q77" s="42" t="s">
        <v>1868</v>
      </c>
      <c r="R77" s="42"/>
      <c r="S77" s="1" t="s">
        <v>1941</v>
      </c>
    </row>
    <row r="78" spans="1:19" ht="18.75" hidden="1" customHeight="1" x14ac:dyDescent="0.3">
      <c r="A78" s="10">
        <v>77</v>
      </c>
      <c r="B78" s="10">
        <f>_xlfn.XLOOKUP(1,(VALUE(D78)&gt;=VALUE(block!$C$3:$C$500))*(VALUE(D78)&lt;VALUE(block!$C$3:$C$500)+VALUE(block!$D$3:$D$500)),block!$A$3:$A$500,"无匹配",0,1)</f>
        <v>2</v>
      </c>
      <c r="C78" s="3" t="str">
        <f>B78 &amp; "-" &amp; COUNTIF($B$2:B78, B78)</f>
        <v>2-40</v>
      </c>
      <c r="D78" s="10">
        <v>8342</v>
      </c>
      <c r="E78" s="1" t="s">
        <v>1942</v>
      </c>
      <c r="F78" s="1" t="s">
        <v>1943</v>
      </c>
      <c r="H78" s="1" t="s">
        <v>1838</v>
      </c>
      <c r="I78" s="10" t="str">
        <f>IF(H78="T27",1,IF(H78="T27",3,IF(H78="T43",6,IF(H78="T43",10,IF(H78="T75",14,IF(H78="T75",18,IF(H78="T43",22,"")))))))</f>
        <v/>
      </c>
      <c r="J78" s="1" t="s">
        <v>1808</v>
      </c>
      <c r="K78" s="10">
        <v>2</v>
      </c>
      <c r="L78" s="10">
        <v>1</v>
      </c>
      <c r="O78" s="6"/>
      <c r="Q78" s="6">
        <v>10</v>
      </c>
      <c r="R78" s="6"/>
      <c r="S78" s="1"/>
    </row>
    <row r="79" spans="1:19" ht="18.75" customHeight="1" x14ac:dyDescent="0.3">
      <c r="A79" s="10">
        <v>78</v>
      </c>
      <c r="B79" s="10">
        <f>_xlfn.XLOOKUP(1,(VALUE(D79)&gt;=VALUE(block!$C$3:$C$500))*(VALUE(D79)&lt;VALUE(block!$C$3:$C$500)+VALUE(block!$D$3:$D$500)),block!$A$3:$A$500,"无匹配",0,1)</f>
        <v>2</v>
      </c>
      <c r="C79" s="3" t="str">
        <f>B79 &amp; "-" &amp; COUNTIF($B$2:B79, B79)</f>
        <v>2-41</v>
      </c>
      <c r="D79" s="10">
        <v>8344</v>
      </c>
      <c r="E79" s="1" t="s">
        <v>1944</v>
      </c>
      <c r="F79" s="1" t="s">
        <v>1945</v>
      </c>
      <c r="G79" s="1" t="s">
        <v>1840</v>
      </c>
      <c r="H79" s="1" t="s">
        <v>1812</v>
      </c>
      <c r="I79" s="10" t="str">
        <f>IF(H79="T28",1,IF(H79="T28",3,IF(H79="T44",6,IF(H79="T44",10,IF(H79="T76",14,IF(H79="T76",18,IF(H79="T44",22,"")))))))</f>
        <v/>
      </c>
      <c r="J79" s="1" t="s">
        <v>1808</v>
      </c>
      <c r="K79" s="10">
        <v>2</v>
      </c>
      <c r="L79" s="10">
        <v>1</v>
      </c>
      <c r="N79" s="10">
        <v>4</v>
      </c>
      <c r="O79" s="6"/>
      <c r="P79" s="45" t="s">
        <v>1862</v>
      </c>
      <c r="Q79" s="42" t="s">
        <v>1875</v>
      </c>
      <c r="R79" s="42"/>
      <c r="S79" s="1" t="s">
        <v>1945</v>
      </c>
    </row>
    <row r="80" spans="1:19" ht="18.75" customHeight="1" x14ac:dyDescent="0.3">
      <c r="A80" s="10">
        <v>79</v>
      </c>
      <c r="B80" s="10">
        <f>_xlfn.XLOOKUP(1,(VALUE(D80)&gt;=VALUE(block!$C$3:$C$500))*(VALUE(D80)&lt;VALUE(block!$C$3:$C$500)+VALUE(block!$D$3:$D$500)),block!$A$3:$A$500,"无匹配",0,1)</f>
        <v>2</v>
      </c>
      <c r="C80" s="3" t="str">
        <f>B80 &amp; "-" &amp; COUNTIF($B$2:B80, B80)</f>
        <v>2-42</v>
      </c>
      <c r="D80" s="10">
        <v>8346</v>
      </c>
      <c r="E80" s="1" t="s">
        <v>1946</v>
      </c>
      <c r="F80" s="44" t="s">
        <v>1947</v>
      </c>
      <c r="G80" s="1" t="s">
        <v>1826</v>
      </c>
      <c r="H80" s="1" t="s">
        <v>1812</v>
      </c>
      <c r="I80" s="10" t="str">
        <f>IF(H80="T29",1,IF(H80="T29",3,IF(H80="T45",6,IF(H80="T45",10,IF(H80="T77",14,IF(H80="T77",18,IF(H80="T45",22,"")))))))</f>
        <v/>
      </c>
      <c r="J80" s="1" t="s">
        <v>1808</v>
      </c>
      <c r="K80" s="10">
        <v>2</v>
      </c>
      <c r="L80" s="10">
        <v>1</v>
      </c>
      <c r="N80" s="10">
        <v>4</v>
      </c>
      <c r="O80" s="6"/>
      <c r="P80" s="45" t="s">
        <v>1862</v>
      </c>
      <c r="Q80" s="6">
        <v>10</v>
      </c>
      <c r="R80" s="6"/>
      <c r="S80" s="44" t="s">
        <v>1947</v>
      </c>
    </row>
    <row r="81" spans="1:19" ht="18.75" customHeight="1" x14ac:dyDescent="0.3">
      <c r="A81" s="10">
        <v>80</v>
      </c>
      <c r="B81" s="10">
        <f>_xlfn.XLOOKUP(1,(VALUE(D81)&gt;=VALUE(block!$C$3:$C$500))*(VALUE(D81)&lt;VALUE(block!$C$3:$C$500)+VALUE(block!$D$3:$D$500)),block!$A$3:$A$500,"无匹配",0,1)</f>
        <v>2</v>
      </c>
      <c r="C81" s="3" t="str">
        <f>B81 &amp; "-" &amp; COUNTIF($B$2:B81, B81)</f>
        <v>2-43</v>
      </c>
      <c r="D81" s="10">
        <v>8348</v>
      </c>
      <c r="E81" s="44" t="s">
        <v>1948</v>
      </c>
      <c r="F81" s="1" t="s">
        <v>1949</v>
      </c>
      <c r="G81" s="1" t="s">
        <v>1830</v>
      </c>
      <c r="H81" s="1" t="s">
        <v>1812</v>
      </c>
      <c r="I81" s="10" t="str">
        <f>IF(H81="T30",1,IF(H81="T30",3,IF(H81="T46",6,IF(H81="T46",10,IF(H81="T78",14,IF(H81="T78",18,IF(H81="T46",22,"")))))))</f>
        <v/>
      </c>
      <c r="J81" s="1" t="s">
        <v>1808</v>
      </c>
      <c r="K81" s="10">
        <v>2</v>
      </c>
      <c r="L81" s="10">
        <v>1</v>
      </c>
      <c r="N81" s="10">
        <v>4</v>
      </c>
      <c r="O81" s="6"/>
      <c r="P81" s="45" t="s">
        <v>1862</v>
      </c>
      <c r="Q81" s="42" t="s">
        <v>1863</v>
      </c>
      <c r="R81" s="42"/>
      <c r="S81" s="1" t="s">
        <v>1949</v>
      </c>
    </row>
    <row r="82" spans="1:19" ht="18.75" customHeight="1" x14ac:dyDescent="0.3">
      <c r="A82" s="10">
        <v>81</v>
      </c>
      <c r="B82" s="10">
        <f>_xlfn.XLOOKUP(1,(VALUE(D82)&gt;=VALUE(block!$C$3:$C$500))*(VALUE(D82)&lt;VALUE(block!$C$3:$C$500)+VALUE(block!$D$3:$D$500)),block!$A$3:$A$500,"无匹配",0,1)</f>
        <v>2</v>
      </c>
      <c r="C82" s="3" t="str">
        <f>B82 &amp; "-" &amp; COUNTIF($B$2:B82, B82)</f>
        <v>2-44</v>
      </c>
      <c r="D82" s="10">
        <v>8350</v>
      </c>
      <c r="E82" s="44" t="s">
        <v>1950</v>
      </c>
      <c r="F82" s="1" t="s">
        <v>1951</v>
      </c>
      <c r="G82" s="1" t="s">
        <v>1832</v>
      </c>
      <c r="H82" s="1" t="s">
        <v>1812</v>
      </c>
      <c r="I82" s="10" t="str">
        <f>IF(H82="T31",1,IF(H82="T31",3,IF(H82="T47",6,IF(H82="T47",10,IF(H82="T79",14,IF(H82="T79",18,IF(H82="T47",22,"")))))))</f>
        <v/>
      </c>
      <c r="J82" s="1" t="s">
        <v>1808</v>
      </c>
      <c r="K82" s="10">
        <v>2</v>
      </c>
      <c r="L82" s="10">
        <v>1</v>
      </c>
      <c r="N82" s="10">
        <v>4</v>
      </c>
      <c r="O82" s="6"/>
      <c r="P82" s="45" t="s">
        <v>1862</v>
      </c>
      <c r="Q82" s="42" t="s">
        <v>1863</v>
      </c>
      <c r="R82" s="42"/>
      <c r="S82" s="1" t="s">
        <v>1951</v>
      </c>
    </row>
    <row r="83" spans="1:19" ht="18.75" customHeight="1" x14ac:dyDescent="0.3">
      <c r="A83" s="10">
        <v>82</v>
      </c>
      <c r="B83" s="10">
        <f>_xlfn.XLOOKUP(1,(VALUE(D83)&gt;=VALUE(block!$C$3:$C$500))*(VALUE(D83)&lt;VALUE(block!$C$3:$C$500)+VALUE(block!$D$3:$D$500)),block!$A$3:$A$500,"无匹配",0,1)</f>
        <v>2</v>
      </c>
      <c r="C83" s="3" t="str">
        <f>B83 &amp; "-" &amp; COUNTIF($B$2:B83, B83)</f>
        <v>2-45</v>
      </c>
      <c r="D83" s="10">
        <v>8352</v>
      </c>
      <c r="E83" s="1" t="s">
        <v>1952</v>
      </c>
      <c r="F83" s="1" t="s">
        <v>1953</v>
      </c>
      <c r="G83" s="1" t="s">
        <v>1834</v>
      </c>
      <c r="H83" s="1" t="s">
        <v>1812</v>
      </c>
      <c r="I83" s="10" t="str">
        <f>IF(H83="T32",1,IF(H83="T32",3,IF(H83="T48",6,IF(H83="T48",10,IF(H83="T80",14,IF(H83="T80",18,IF(H83="T48",22,"")))))))</f>
        <v/>
      </c>
      <c r="J83" s="1" t="s">
        <v>1808</v>
      </c>
      <c r="K83" s="10">
        <v>2</v>
      </c>
      <c r="L83" s="10">
        <v>1</v>
      </c>
      <c r="N83" s="10">
        <v>4</v>
      </c>
      <c r="O83" s="6"/>
      <c r="P83" s="45" t="s">
        <v>1862</v>
      </c>
      <c r="Q83" s="42" t="s">
        <v>1868</v>
      </c>
      <c r="R83" s="42"/>
      <c r="S83" s="1" t="s">
        <v>1953</v>
      </c>
    </row>
    <row r="84" spans="1:19" ht="18.75" customHeight="1" x14ac:dyDescent="0.3">
      <c r="A84" s="10">
        <v>83</v>
      </c>
      <c r="B84" s="10">
        <f>_xlfn.XLOOKUP(1,(VALUE(D84)&gt;=VALUE(block!$C$3:$C$500))*(VALUE(D84)&lt;VALUE(block!$C$3:$C$500)+VALUE(block!$D$3:$D$500)),block!$A$3:$A$500,"无匹配",0,1)</f>
        <v>2</v>
      </c>
      <c r="C84" s="3" t="str">
        <f>B84 &amp; "-" &amp; COUNTIF($B$2:B84, B84)</f>
        <v>2-46</v>
      </c>
      <c r="D84" s="10">
        <v>8354</v>
      </c>
      <c r="E84" s="3" t="s">
        <v>1954</v>
      </c>
      <c r="F84" s="1" t="s">
        <v>1955</v>
      </c>
      <c r="G84" s="1" t="s">
        <v>1836</v>
      </c>
      <c r="H84" s="1" t="s">
        <v>1812</v>
      </c>
      <c r="I84" s="10" t="str">
        <f>IF(H84="T33",1,IF(H84="T33",3,IF(H84="T49",6,IF(H84="T49",10,IF(H84="T81",14,IF(H84="T81",18,IF(H84="T49",22,"")))))))</f>
        <v/>
      </c>
      <c r="J84" s="1" t="s">
        <v>1808</v>
      </c>
      <c r="K84" s="10">
        <v>2</v>
      </c>
      <c r="L84" s="10">
        <v>1</v>
      </c>
      <c r="N84" s="10">
        <v>4</v>
      </c>
      <c r="O84" s="6"/>
      <c r="P84" s="45" t="s">
        <v>1862</v>
      </c>
      <c r="Q84" s="42" t="s">
        <v>1868</v>
      </c>
      <c r="R84" s="42"/>
      <c r="S84" s="1" t="s">
        <v>1955</v>
      </c>
    </row>
    <row r="85" spans="1:19" ht="18.75" hidden="1" customHeight="1" x14ac:dyDescent="0.3">
      <c r="A85" s="10">
        <v>84</v>
      </c>
      <c r="B85" s="10">
        <f>_xlfn.XLOOKUP(1,(VALUE(D85)&gt;=VALUE(block!$C$3:$C$500))*(VALUE(D85)&lt;VALUE(block!$C$3:$C$500)+VALUE(block!$D$3:$D$500)),block!$A$3:$A$500,"无匹配",0,1)</f>
        <v>2</v>
      </c>
      <c r="C85" s="3" t="str">
        <f>B85 &amp; "-" &amp; COUNTIF($B$2:B85, B85)</f>
        <v>2-47</v>
      </c>
      <c r="D85" s="10">
        <v>8356</v>
      </c>
      <c r="E85" s="1" t="s">
        <v>1956</v>
      </c>
      <c r="F85" s="1" t="s">
        <v>1957</v>
      </c>
      <c r="H85" s="1" t="s">
        <v>1838</v>
      </c>
      <c r="I85" s="10" t="str">
        <f>IF(H85="T34",1,IF(H85="T34",3,IF(H85="T50",6,IF(H85="T50",10,IF(H85="T82",14,IF(H85="T82",18,IF(H85="T50",22,"")))))))</f>
        <v/>
      </c>
      <c r="J85" s="1" t="s">
        <v>1808</v>
      </c>
      <c r="K85" s="10">
        <v>2</v>
      </c>
      <c r="L85" s="10">
        <v>1</v>
      </c>
      <c r="O85" s="6"/>
      <c r="Q85" s="6">
        <v>10</v>
      </c>
      <c r="R85" s="6"/>
      <c r="S85" s="1"/>
    </row>
    <row r="86" spans="1:19" ht="18.75" customHeight="1" x14ac:dyDescent="0.3">
      <c r="A86" s="10">
        <v>85</v>
      </c>
      <c r="B86" s="10">
        <f>_xlfn.XLOOKUP(1,(VALUE(D86)&gt;=VALUE(block!$C$3:$C$500))*(VALUE(D86)&lt;VALUE(block!$C$3:$C$500)+VALUE(block!$D$3:$D$500)),block!$A$3:$A$500,"无匹配",0,1)</f>
        <v>2</v>
      </c>
      <c r="C86" s="3" t="str">
        <f>B86 &amp; "-" &amp; COUNTIF($B$2:B86, B86)</f>
        <v>2-48</v>
      </c>
      <c r="D86" s="10">
        <v>8358</v>
      </c>
      <c r="E86" s="44" t="s">
        <v>1958</v>
      </c>
      <c r="F86" s="1" t="s">
        <v>1959</v>
      </c>
      <c r="G86" s="1" t="s">
        <v>1840</v>
      </c>
      <c r="H86" s="1" t="s">
        <v>1812</v>
      </c>
      <c r="I86" s="10" t="str">
        <f>IF(H86="T35",1,IF(H86="T35",3,IF(H86="T51",6,IF(H86="T51",10,IF(H86="T83",14,IF(H86="T83",18,IF(H86="T51",22,"")))))))</f>
        <v/>
      </c>
      <c r="J86" s="1" t="s">
        <v>1808</v>
      </c>
      <c r="K86" s="10">
        <v>2</v>
      </c>
      <c r="L86" s="10">
        <v>1</v>
      </c>
      <c r="N86" s="10">
        <v>4</v>
      </c>
      <c r="O86" s="6"/>
      <c r="P86" s="45" t="s">
        <v>1862</v>
      </c>
      <c r="Q86" s="42" t="s">
        <v>1875</v>
      </c>
      <c r="R86" s="42"/>
      <c r="S86" s="1" t="s">
        <v>1959</v>
      </c>
    </row>
    <row r="87" spans="1:19" ht="18.75" customHeight="1" x14ac:dyDescent="0.3">
      <c r="A87" s="10">
        <v>86</v>
      </c>
      <c r="B87" s="10">
        <f>_xlfn.XLOOKUP(1,(VALUE(D87)&gt;=VALUE(block!$C$3:$C$500))*(VALUE(D87)&lt;VALUE(block!$C$3:$C$500)+VALUE(block!$D$3:$D$500)),block!$A$3:$A$500,"无匹配",0,1)</f>
        <v>2</v>
      </c>
      <c r="C87" s="3" t="str">
        <f>B87 &amp; "-" &amp; COUNTIF($B$2:B87, B87)</f>
        <v>2-49</v>
      </c>
      <c r="D87" s="10">
        <v>8360</v>
      </c>
      <c r="E87" s="1" t="s">
        <v>1960</v>
      </c>
      <c r="F87" s="44" t="s">
        <v>1961</v>
      </c>
      <c r="G87" s="1" t="s">
        <v>1826</v>
      </c>
      <c r="H87" s="1" t="s">
        <v>1812</v>
      </c>
      <c r="I87" s="10" t="str">
        <f>IF(H87="T36",1,IF(H87="T36",3,IF(H87="T52",6,IF(H87="T52",10,IF(H87="T84",14,IF(H87="T84",18,IF(H87="T52",22,"")))))))</f>
        <v/>
      </c>
      <c r="J87" s="1" t="s">
        <v>1808</v>
      </c>
      <c r="K87" s="10">
        <v>2</v>
      </c>
      <c r="L87" s="10">
        <v>1</v>
      </c>
      <c r="N87" s="10">
        <v>4</v>
      </c>
      <c r="O87" s="6"/>
      <c r="P87" s="45" t="s">
        <v>1862</v>
      </c>
      <c r="Q87" s="6">
        <v>10</v>
      </c>
      <c r="R87" s="6"/>
      <c r="S87" s="44" t="s">
        <v>1961</v>
      </c>
    </row>
    <row r="88" spans="1:19" ht="18.75" customHeight="1" x14ac:dyDescent="0.3">
      <c r="A88" s="10">
        <v>87</v>
      </c>
      <c r="B88" s="10">
        <f>_xlfn.XLOOKUP(1,(VALUE(D88)&gt;=VALUE(block!$C$3:$C$500))*(VALUE(D88)&lt;VALUE(block!$C$3:$C$500)+VALUE(block!$D$3:$D$500)),block!$A$3:$A$500,"无匹配",0,1)</f>
        <v>2</v>
      </c>
      <c r="C88" s="3" t="str">
        <f>B88 &amp; "-" &amp; COUNTIF($B$2:B88, B88)</f>
        <v>2-50</v>
      </c>
      <c r="D88" s="10">
        <v>8362</v>
      </c>
      <c r="E88" s="1" t="s">
        <v>1962</v>
      </c>
      <c r="F88" s="1" t="s">
        <v>1963</v>
      </c>
      <c r="G88" s="1" t="s">
        <v>1830</v>
      </c>
      <c r="H88" s="1" t="s">
        <v>1812</v>
      </c>
      <c r="I88" s="10" t="str">
        <f>IF(H88="T37",1,IF(H88="T37",3,IF(H88="T53",6,IF(H88="T53",10,IF(H88="T85",14,IF(H88="T85",18,IF(H88="T53",22,"")))))))</f>
        <v/>
      </c>
      <c r="J88" s="1" t="s">
        <v>1808</v>
      </c>
      <c r="K88" s="10">
        <v>2</v>
      </c>
      <c r="L88" s="10">
        <v>1</v>
      </c>
      <c r="N88" s="10">
        <v>4</v>
      </c>
      <c r="O88" s="6"/>
      <c r="P88" s="45" t="s">
        <v>1862</v>
      </c>
      <c r="Q88" s="42" t="s">
        <v>1863</v>
      </c>
      <c r="R88" s="42"/>
      <c r="S88" s="1" t="s">
        <v>1963</v>
      </c>
    </row>
    <row r="89" spans="1:19" ht="18.75" customHeight="1" x14ac:dyDescent="0.3">
      <c r="A89" s="10">
        <v>88</v>
      </c>
      <c r="B89" s="10">
        <f>_xlfn.XLOOKUP(1,(VALUE(D89)&gt;=VALUE(block!$C$3:$C$500))*(VALUE(D89)&lt;VALUE(block!$C$3:$C$500)+VALUE(block!$D$3:$D$500)),block!$A$3:$A$500,"无匹配",0,1)</f>
        <v>2</v>
      </c>
      <c r="C89" s="3" t="str">
        <f>B89 &amp; "-" &amp; COUNTIF($B$2:B89, B89)</f>
        <v>2-51</v>
      </c>
      <c r="D89" s="10">
        <v>8364</v>
      </c>
      <c r="E89" s="1" t="s">
        <v>1964</v>
      </c>
      <c r="F89" s="1" t="s">
        <v>1965</v>
      </c>
      <c r="G89" s="1" t="s">
        <v>1832</v>
      </c>
      <c r="H89" s="1" t="s">
        <v>1812</v>
      </c>
      <c r="I89" s="10" t="str">
        <f>IF(H89="T38",1,IF(H89="T38",3,IF(H89="T54",6,IF(H89="T54",10,IF(H89="T86",14,IF(H89="T86",18,IF(H89="T54",22,"")))))))</f>
        <v/>
      </c>
      <c r="J89" s="1" t="s">
        <v>1808</v>
      </c>
      <c r="K89" s="10">
        <v>2</v>
      </c>
      <c r="L89" s="10">
        <v>1</v>
      </c>
      <c r="N89" s="10">
        <v>4</v>
      </c>
      <c r="O89" s="6"/>
      <c r="P89" s="45" t="s">
        <v>1862</v>
      </c>
      <c r="Q89" s="42" t="s">
        <v>1863</v>
      </c>
      <c r="R89" s="42"/>
      <c r="S89" s="1" t="s">
        <v>1965</v>
      </c>
    </row>
    <row r="90" spans="1:19" ht="18.75" customHeight="1" x14ac:dyDescent="0.3">
      <c r="A90" s="10">
        <v>89</v>
      </c>
      <c r="B90" s="10">
        <f>_xlfn.XLOOKUP(1,(VALUE(D90)&gt;=VALUE(block!$C$3:$C$500))*(VALUE(D90)&lt;VALUE(block!$C$3:$C$500)+VALUE(block!$D$3:$D$500)),block!$A$3:$A$500,"无匹配",0,1)</f>
        <v>2</v>
      </c>
      <c r="C90" s="3" t="str">
        <f>B90 &amp; "-" &amp; COUNTIF($B$2:B90, B90)</f>
        <v>2-52</v>
      </c>
      <c r="D90" s="10">
        <v>8366</v>
      </c>
      <c r="E90" s="1" t="s">
        <v>1966</v>
      </c>
      <c r="F90" s="1" t="s">
        <v>1967</v>
      </c>
      <c r="G90" s="1" t="s">
        <v>1834</v>
      </c>
      <c r="H90" s="1" t="s">
        <v>1812</v>
      </c>
      <c r="I90" s="10" t="str">
        <f>IF(H90="T39",1,IF(H90="T39",3,IF(H90="T55",6,IF(H90="T55",10,IF(H90="T87",14,IF(H90="T87",18,IF(H90="T55",22,"")))))))</f>
        <v/>
      </c>
      <c r="J90" s="1" t="s">
        <v>1808</v>
      </c>
      <c r="K90" s="10">
        <v>2</v>
      </c>
      <c r="L90" s="10">
        <v>1</v>
      </c>
      <c r="N90" s="10">
        <v>4</v>
      </c>
      <c r="O90" s="6"/>
      <c r="P90" s="45" t="s">
        <v>1862</v>
      </c>
      <c r="Q90" s="42" t="s">
        <v>1868</v>
      </c>
      <c r="R90" s="42"/>
      <c r="S90" s="1" t="s">
        <v>1967</v>
      </c>
    </row>
    <row r="91" spans="1:19" ht="18.75" customHeight="1" x14ac:dyDescent="0.3">
      <c r="A91" s="10">
        <v>90</v>
      </c>
      <c r="B91" s="10">
        <f>_xlfn.XLOOKUP(1,(VALUE(D91)&gt;=VALUE(block!$C$3:$C$500))*(VALUE(D91)&lt;VALUE(block!$C$3:$C$500)+VALUE(block!$D$3:$D$500)),block!$A$3:$A$500,"无匹配",0,1)</f>
        <v>2</v>
      </c>
      <c r="C91" s="3" t="str">
        <f>B91 &amp; "-" &amp; COUNTIF($B$2:B91, B91)</f>
        <v>2-53</v>
      </c>
      <c r="D91" s="10">
        <v>8368</v>
      </c>
      <c r="E91" s="1" t="s">
        <v>1968</v>
      </c>
      <c r="F91" s="1" t="s">
        <v>1969</v>
      </c>
      <c r="G91" s="1" t="s">
        <v>1836</v>
      </c>
      <c r="H91" s="1" t="s">
        <v>1812</v>
      </c>
      <c r="I91" s="10" t="str">
        <f>IF(H91="T40",1,IF(H91="T40",3,IF(H91="T56",6,IF(H91="T56",10,IF(H91="T88",14,IF(H91="T88",18,IF(H91="T56",22,"")))))))</f>
        <v/>
      </c>
      <c r="J91" s="1" t="s">
        <v>1808</v>
      </c>
      <c r="K91" s="10">
        <v>2</v>
      </c>
      <c r="L91" s="10">
        <v>1</v>
      </c>
      <c r="N91" s="10">
        <v>4</v>
      </c>
      <c r="O91" s="6"/>
      <c r="P91" s="45" t="s">
        <v>1862</v>
      </c>
      <c r="Q91" s="42" t="s">
        <v>1868</v>
      </c>
      <c r="R91" s="42"/>
      <c r="S91" s="1" t="s">
        <v>1969</v>
      </c>
    </row>
    <row r="92" spans="1:19" ht="18.75" hidden="1" customHeight="1" x14ac:dyDescent="0.3">
      <c r="A92" s="10">
        <v>91</v>
      </c>
      <c r="B92" s="10">
        <f>_xlfn.XLOOKUP(1,(VALUE(D92)&gt;=VALUE(block!$C$3:$C$500))*(VALUE(D92)&lt;VALUE(block!$C$3:$C$500)+VALUE(block!$D$3:$D$500)),block!$A$3:$A$500,"无匹配",0,1)</f>
        <v>2</v>
      </c>
      <c r="C92" s="3" t="str">
        <f>B92 &amp; "-" &amp; COUNTIF($B$2:B92, B92)</f>
        <v>2-54</v>
      </c>
      <c r="D92" s="10">
        <v>8370</v>
      </c>
      <c r="E92" s="1" t="s">
        <v>1970</v>
      </c>
      <c r="F92" s="1" t="s">
        <v>1971</v>
      </c>
      <c r="H92" s="1" t="s">
        <v>1838</v>
      </c>
      <c r="I92" s="10" t="str">
        <f>IF(H92="T41",1,IF(H92="T41",3,IF(H92="T57",6,IF(H92="T57",10,IF(H92="T89",14,IF(H92="T89",18,IF(H92="T57",22,"")))))))</f>
        <v/>
      </c>
      <c r="J92" s="1" t="s">
        <v>1808</v>
      </c>
      <c r="K92" s="10">
        <v>2</v>
      </c>
      <c r="L92" s="10">
        <v>1</v>
      </c>
      <c r="O92" s="6"/>
      <c r="Q92" s="6">
        <v>10</v>
      </c>
      <c r="R92" s="6"/>
      <c r="S92" s="1"/>
    </row>
    <row r="93" spans="1:19" ht="18.75" customHeight="1" x14ac:dyDescent="0.3">
      <c r="A93" s="10">
        <v>92</v>
      </c>
      <c r="B93" s="10">
        <f>_xlfn.XLOOKUP(1,(VALUE(D93)&gt;=VALUE(block!$C$3:$C$500))*(VALUE(D93)&lt;VALUE(block!$C$3:$C$500)+VALUE(block!$D$3:$D$500)),block!$A$3:$A$500,"无匹配",0,1)</f>
        <v>2</v>
      </c>
      <c r="C93" s="3" t="str">
        <f>B93 &amp; "-" &amp; COUNTIF($B$2:B93, B93)</f>
        <v>2-55</v>
      </c>
      <c r="D93" s="10">
        <v>8372</v>
      </c>
      <c r="E93" s="1" t="s">
        <v>1972</v>
      </c>
      <c r="F93" s="1" t="s">
        <v>1973</v>
      </c>
      <c r="G93" s="1" t="s">
        <v>1840</v>
      </c>
      <c r="H93" s="1" t="s">
        <v>1812</v>
      </c>
      <c r="I93" s="10" t="str">
        <f>IF(H93="T42",1,IF(H93="T42",3,IF(H93="T58",6,IF(H93="T58",10,IF(H93="T90",14,IF(H93="T90",18,IF(H93="T58",22,"")))))))</f>
        <v/>
      </c>
      <c r="J93" s="1" t="s">
        <v>1808</v>
      </c>
      <c r="K93" s="10">
        <v>2</v>
      </c>
      <c r="L93" s="10">
        <v>1</v>
      </c>
      <c r="N93" s="10">
        <v>4</v>
      </c>
      <c r="O93" s="6"/>
      <c r="P93" s="45" t="s">
        <v>1862</v>
      </c>
      <c r="Q93" s="42" t="s">
        <v>1875</v>
      </c>
      <c r="R93" s="42"/>
      <c r="S93" s="1" t="s">
        <v>1973</v>
      </c>
    </row>
    <row r="94" spans="1:19" ht="18.75" customHeight="1" x14ac:dyDescent="0.3">
      <c r="A94" s="10">
        <v>93</v>
      </c>
      <c r="B94" s="10">
        <f>_xlfn.XLOOKUP(1,(VALUE(D94)&gt;=VALUE(block!$C$3:$C$500))*(VALUE(D94)&lt;VALUE(block!$C$3:$C$500)+VALUE(block!$D$3:$D$500)),block!$A$3:$A$500,"无匹配",0,1)</f>
        <v>2</v>
      </c>
      <c r="C94" s="3" t="str">
        <f>B94 &amp; "-" &amp; COUNTIF($B$2:B94, B94)</f>
        <v>2-56</v>
      </c>
      <c r="D94" s="10">
        <v>8374</v>
      </c>
      <c r="E94" s="1" t="s">
        <v>1974</v>
      </c>
      <c r="F94" s="44" t="s">
        <v>1975</v>
      </c>
      <c r="G94" s="1" t="s">
        <v>1826</v>
      </c>
      <c r="H94" s="1" t="s">
        <v>1812</v>
      </c>
      <c r="I94" s="10" t="str">
        <f>IF(H94="T43",1,IF(H94="T43",3,IF(H94="T59",6,IF(H94="T59",10,IF(H94="T91",14,IF(H94="T91",18,IF(H94="T59",22,"")))))))</f>
        <v/>
      </c>
      <c r="J94" s="1" t="s">
        <v>1808</v>
      </c>
      <c r="K94" s="10">
        <v>2</v>
      </c>
      <c r="L94" s="10">
        <v>1</v>
      </c>
      <c r="N94" s="10">
        <v>4</v>
      </c>
      <c r="O94" s="6"/>
      <c r="P94" s="45" t="s">
        <v>1862</v>
      </c>
      <c r="Q94" s="6">
        <v>10</v>
      </c>
      <c r="R94" s="6"/>
      <c r="S94" s="44" t="s">
        <v>1975</v>
      </c>
    </row>
    <row r="95" spans="1:19" ht="18.75" customHeight="1" x14ac:dyDescent="0.3">
      <c r="A95" s="10">
        <v>94</v>
      </c>
      <c r="B95" s="10">
        <f>_xlfn.XLOOKUP(1,(VALUE(D95)&gt;=VALUE(block!$C$3:$C$500))*(VALUE(D95)&lt;VALUE(block!$C$3:$C$500)+VALUE(block!$D$3:$D$500)),block!$A$3:$A$500,"无匹配",0,1)</f>
        <v>3</v>
      </c>
      <c r="C95" s="3" t="str">
        <f>B95 &amp; "-" &amp; COUNTIF($B$2:B95, B95)</f>
        <v>3-1</v>
      </c>
      <c r="D95" s="10">
        <v>8376</v>
      </c>
      <c r="E95" s="1" t="s">
        <v>1976</v>
      </c>
      <c r="F95" s="1" t="s">
        <v>1977</v>
      </c>
      <c r="G95" s="1" t="s">
        <v>1830</v>
      </c>
      <c r="H95" s="1" t="s">
        <v>1812</v>
      </c>
      <c r="I95" s="10" t="str">
        <f>IF(H95="T44",1,IF(H95="T44",3,IF(H95="T60",6,IF(H95="T60",10,IF(H95="T92",14,IF(H95="T92",18,IF(H95="T60",22,"")))))))</f>
        <v/>
      </c>
      <c r="J95" s="1" t="s">
        <v>1808</v>
      </c>
      <c r="K95" s="10">
        <v>2</v>
      </c>
      <c r="L95" s="10">
        <v>1</v>
      </c>
      <c r="N95" s="10">
        <v>4</v>
      </c>
      <c r="O95" s="6"/>
      <c r="P95" s="45" t="s">
        <v>1862</v>
      </c>
      <c r="Q95" s="42" t="s">
        <v>1863</v>
      </c>
      <c r="R95" s="42"/>
      <c r="S95" s="1" t="s">
        <v>1977</v>
      </c>
    </row>
    <row r="96" spans="1:19" ht="18.75" customHeight="1" x14ac:dyDescent="0.3">
      <c r="A96" s="10">
        <v>95</v>
      </c>
      <c r="B96" s="10">
        <f>_xlfn.XLOOKUP(1,(VALUE(D96)&gt;=VALUE(block!$C$3:$C$500))*(VALUE(D96)&lt;VALUE(block!$C$3:$C$500)+VALUE(block!$D$3:$D$500)),block!$A$3:$A$500,"无匹配",0,1)</f>
        <v>3</v>
      </c>
      <c r="C96" s="3" t="str">
        <f>B96 &amp; "-" &amp; COUNTIF($B$2:B96, B96)</f>
        <v>3-2</v>
      </c>
      <c r="D96" s="10">
        <v>8378</v>
      </c>
      <c r="E96" s="1" t="s">
        <v>1978</v>
      </c>
      <c r="F96" s="1" t="s">
        <v>1979</v>
      </c>
      <c r="G96" s="1" t="s">
        <v>1832</v>
      </c>
      <c r="H96" s="1" t="s">
        <v>1812</v>
      </c>
      <c r="I96" s="10" t="str">
        <f>IF(H96="T45",1,IF(H96="T45",3,IF(H96="T61",6,IF(H96="T61",10,IF(H96="T93",14,IF(H96="T93",18,IF(H96="T61",22,"")))))))</f>
        <v/>
      </c>
      <c r="J96" s="1" t="s">
        <v>1808</v>
      </c>
      <c r="K96" s="10">
        <v>2</v>
      </c>
      <c r="L96" s="10">
        <v>1</v>
      </c>
      <c r="N96" s="10">
        <v>4</v>
      </c>
      <c r="O96" s="6"/>
      <c r="P96" s="45" t="s">
        <v>1862</v>
      </c>
      <c r="Q96" s="42" t="s">
        <v>1863</v>
      </c>
      <c r="R96" s="42"/>
      <c r="S96" s="1" t="s">
        <v>1979</v>
      </c>
    </row>
    <row r="97" spans="1:19" ht="18.75" customHeight="1" x14ac:dyDescent="0.3">
      <c r="A97" s="10">
        <v>96</v>
      </c>
      <c r="B97" s="10">
        <f>_xlfn.XLOOKUP(1,(VALUE(D97)&gt;=VALUE(block!$C$3:$C$500))*(VALUE(D97)&lt;VALUE(block!$C$3:$C$500)+VALUE(block!$D$3:$D$500)),block!$A$3:$A$500,"无匹配",0,1)</f>
        <v>3</v>
      </c>
      <c r="C97" s="3" t="str">
        <f>B97 &amp; "-" &amp; COUNTIF($B$2:B97, B97)</f>
        <v>3-3</v>
      </c>
      <c r="D97" s="10">
        <v>8380</v>
      </c>
      <c r="E97" s="1" t="s">
        <v>1980</v>
      </c>
      <c r="F97" s="1" t="s">
        <v>1981</v>
      </c>
      <c r="G97" s="1" t="s">
        <v>1834</v>
      </c>
      <c r="H97" s="1" t="s">
        <v>1812</v>
      </c>
      <c r="I97" s="10" t="str">
        <f>IF(H97="T46",1,IF(H97="T46",3,IF(H97="T62",6,IF(H97="T62",10,IF(H97="T94",14,IF(H97="T94",18,IF(H97="T62",22,"")))))))</f>
        <v/>
      </c>
      <c r="J97" s="1" t="s">
        <v>1808</v>
      </c>
      <c r="K97" s="10">
        <v>2</v>
      </c>
      <c r="L97" s="10">
        <v>1</v>
      </c>
      <c r="N97" s="10">
        <v>4</v>
      </c>
      <c r="O97" s="6"/>
      <c r="P97" s="45" t="s">
        <v>1862</v>
      </c>
      <c r="Q97" s="42" t="s">
        <v>1868</v>
      </c>
      <c r="R97" s="42"/>
      <c r="S97" s="1" t="s">
        <v>1981</v>
      </c>
    </row>
    <row r="98" spans="1:19" ht="18.75" customHeight="1" x14ac:dyDescent="0.3">
      <c r="A98" s="10">
        <v>97</v>
      </c>
      <c r="B98" s="10">
        <f>_xlfn.XLOOKUP(1,(VALUE(D98)&gt;=VALUE(block!$C$3:$C$500))*(VALUE(D98)&lt;VALUE(block!$C$3:$C$500)+VALUE(block!$D$3:$D$500)),block!$A$3:$A$500,"无匹配",0,1)</f>
        <v>3</v>
      </c>
      <c r="C98" s="3" t="str">
        <f>B98 &amp; "-" &amp; COUNTIF($B$2:B98, B98)</f>
        <v>3-4</v>
      </c>
      <c r="D98" s="10">
        <v>8382</v>
      </c>
      <c r="E98" s="1" t="s">
        <v>1982</v>
      </c>
      <c r="F98" s="1" t="s">
        <v>1983</v>
      </c>
      <c r="G98" s="1" t="s">
        <v>1836</v>
      </c>
      <c r="H98" s="1" t="s">
        <v>1812</v>
      </c>
      <c r="I98" s="10" t="str">
        <f>IF(H98="T47",1,IF(H98="T47",3,IF(H98="T63",6,IF(H98="T63",10,IF(H98="T95",14,IF(H98="T95",18,IF(H98="T63",22,"")))))))</f>
        <v/>
      </c>
      <c r="J98" s="1" t="s">
        <v>1808</v>
      </c>
      <c r="K98" s="10">
        <v>2</v>
      </c>
      <c r="L98" s="10">
        <v>1</v>
      </c>
      <c r="N98" s="10">
        <v>4</v>
      </c>
      <c r="O98" s="6"/>
      <c r="P98" s="45" t="s">
        <v>1862</v>
      </c>
      <c r="Q98" s="42" t="s">
        <v>1868</v>
      </c>
      <c r="R98" s="42"/>
      <c r="S98" s="1" t="s">
        <v>1983</v>
      </c>
    </row>
    <row r="99" spans="1:19" ht="18.75" hidden="1" customHeight="1" x14ac:dyDescent="0.3">
      <c r="A99" s="10">
        <v>98</v>
      </c>
      <c r="B99" s="10">
        <f>_xlfn.XLOOKUP(1,(VALUE(D99)&gt;=VALUE(block!$C$3:$C$500))*(VALUE(D99)&lt;VALUE(block!$C$3:$C$500)+VALUE(block!$D$3:$D$500)),block!$A$3:$A$500,"无匹配",0,1)</f>
        <v>3</v>
      </c>
      <c r="C99" s="3" t="str">
        <f>B99 &amp; "-" &amp; COUNTIF($B$2:B99, B99)</f>
        <v>3-5</v>
      </c>
      <c r="D99" s="10">
        <v>8384</v>
      </c>
      <c r="E99" s="1" t="s">
        <v>1984</v>
      </c>
      <c r="F99" s="1" t="s">
        <v>1985</v>
      </c>
      <c r="H99" s="1" t="s">
        <v>1838</v>
      </c>
      <c r="I99" s="10" t="str">
        <f>IF(H99="T48",1,IF(H99="T48",3,IF(H99="T64",6,IF(H99="T64",10,IF(H99="T96",14,IF(H99="T96",18,IF(H99="T64",22,"")))))))</f>
        <v/>
      </c>
      <c r="J99" s="1" t="s">
        <v>1808</v>
      </c>
      <c r="K99" s="10">
        <v>2</v>
      </c>
      <c r="L99" s="10">
        <v>1</v>
      </c>
      <c r="O99" s="6"/>
      <c r="Q99" s="6">
        <v>10</v>
      </c>
      <c r="R99" s="6"/>
      <c r="S99" s="1"/>
    </row>
    <row r="100" spans="1:19" ht="18.75" customHeight="1" x14ac:dyDescent="0.3">
      <c r="A100" s="10">
        <v>99</v>
      </c>
      <c r="B100" s="10">
        <f>_xlfn.XLOOKUP(1,(VALUE(D100)&gt;=VALUE(block!$C$3:$C$500))*(VALUE(D100)&lt;VALUE(block!$C$3:$C$500)+VALUE(block!$D$3:$D$500)),block!$A$3:$A$500,"无匹配",0,1)</f>
        <v>3</v>
      </c>
      <c r="C100" s="3" t="str">
        <f>B100 &amp; "-" &amp; COUNTIF($B$2:B100, B100)</f>
        <v>3-6</v>
      </c>
      <c r="D100" s="10">
        <v>8386</v>
      </c>
      <c r="E100" s="1" t="s">
        <v>1986</v>
      </c>
      <c r="F100" s="1" t="s">
        <v>1987</v>
      </c>
      <c r="G100" s="1" t="s">
        <v>1840</v>
      </c>
      <c r="H100" s="1" t="s">
        <v>1812</v>
      </c>
      <c r="I100" s="10" t="str">
        <f>IF(H100="T49",1,IF(H100="T49",3,IF(H100="T65",6,IF(H100="T65",10,IF(H100="T97",14,IF(H100="T97",18,IF(H100="T65",22,"")))))))</f>
        <v/>
      </c>
      <c r="J100" s="1" t="s">
        <v>1808</v>
      </c>
      <c r="K100" s="10">
        <v>2</v>
      </c>
      <c r="L100" s="10">
        <v>1</v>
      </c>
      <c r="N100" s="10">
        <v>4</v>
      </c>
      <c r="O100" s="6"/>
      <c r="P100" s="45" t="s">
        <v>1862</v>
      </c>
      <c r="Q100" s="42" t="s">
        <v>1875</v>
      </c>
      <c r="R100" s="42"/>
      <c r="S100" s="1" t="s">
        <v>1987</v>
      </c>
    </row>
    <row r="101" spans="1:19" ht="18.75" customHeight="1" x14ac:dyDescent="0.3">
      <c r="A101" s="10">
        <v>100</v>
      </c>
      <c r="B101" s="10">
        <f>_xlfn.XLOOKUP(1,(VALUE(D101)&gt;=VALUE(block!$C$3:$C$500))*(VALUE(D101)&lt;VALUE(block!$C$3:$C$500)+VALUE(block!$D$3:$D$500)),block!$A$3:$A$500,"无匹配",0,1)</f>
        <v>3</v>
      </c>
      <c r="C101" s="3" t="str">
        <f>B101 &amp; "-" &amp; COUNTIF($B$2:B101, B101)</f>
        <v>3-7</v>
      </c>
      <c r="D101" s="10">
        <v>8388</v>
      </c>
      <c r="E101" s="1" t="s">
        <v>1988</v>
      </c>
      <c r="F101" s="44" t="s">
        <v>1989</v>
      </c>
      <c r="G101" s="1" t="s">
        <v>1826</v>
      </c>
      <c r="H101" s="1" t="s">
        <v>1812</v>
      </c>
      <c r="I101" s="10" t="str">
        <f>IF(H101="T50",1,IF(H101="T50",3,IF(H101="T66",6,IF(H101="T66",10,IF(H101="T98",14,IF(H101="T98",18,IF(H101="T66",22,"")))))))</f>
        <v/>
      </c>
      <c r="J101" s="1" t="s">
        <v>1808</v>
      </c>
      <c r="K101" s="10">
        <v>2</v>
      </c>
      <c r="L101" s="10">
        <v>1</v>
      </c>
      <c r="N101" s="10">
        <v>4</v>
      </c>
      <c r="O101" s="6"/>
      <c r="P101" s="45" t="s">
        <v>1862</v>
      </c>
      <c r="Q101" s="6">
        <v>10</v>
      </c>
      <c r="R101" s="6"/>
      <c r="S101" s="44" t="s">
        <v>1989</v>
      </c>
    </row>
    <row r="102" spans="1:19" ht="18.75" customHeight="1" x14ac:dyDescent="0.3">
      <c r="A102" s="10">
        <v>101</v>
      </c>
      <c r="B102" s="10">
        <f>_xlfn.XLOOKUP(1,(VALUE(D102)&gt;=VALUE(block!$C$3:$C$500))*(VALUE(D102)&lt;VALUE(block!$C$3:$C$500)+VALUE(block!$D$3:$D$500)),block!$A$3:$A$500,"无匹配",0,1)</f>
        <v>3</v>
      </c>
      <c r="C102" s="3" t="str">
        <f>B102 &amp; "-" &amp; COUNTIF($B$2:B102, B102)</f>
        <v>3-8</v>
      </c>
      <c r="D102" s="10">
        <v>8390</v>
      </c>
      <c r="E102" s="1" t="s">
        <v>1990</v>
      </c>
      <c r="F102" s="1" t="s">
        <v>1991</v>
      </c>
      <c r="G102" s="1" t="s">
        <v>1830</v>
      </c>
      <c r="H102" s="1" t="s">
        <v>1812</v>
      </c>
      <c r="I102" s="10" t="str">
        <f>IF(H102="T51",1,IF(H102="T51",3,IF(H102="T67",6,IF(H102="T67",10,IF(H102="T99",14,IF(H102="T99",18,IF(H102="T67",22,"")))))))</f>
        <v/>
      </c>
      <c r="J102" s="1" t="s">
        <v>1808</v>
      </c>
      <c r="K102" s="10">
        <v>2</v>
      </c>
      <c r="L102" s="10">
        <v>1</v>
      </c>
      <c r="N102" s="10">
        <v>4</v>
      </c>
      <c r="O102" s="6"/>
      <c r="P102" s="45" t="s">
        <v>1862</v>
      </c>
      <c r="Q102" s="42" t="s">
        <v>1863</v>
      </c>
      <c r="R102" s="42"/>
      <c r="S102" s="1" t="s">
        <v>1991</v>
      </c>
    </row>
    <row r="103" spans="1:19" ht="18.75" customHeight="1" x14ac:dyDescent="0.3">
      <c r="A103" s="10">
        <v>102</v>
      </c>
      <c r="B103" s="10">
        <f>_xlfn.XLOOKUP(1,(VALUE(D103)&gt;=VALUE(block!$C$3:$C$500))*(VALUE(D103)&lt;VALUE(block!$C$3:$C$500)+VALUE(block!$D$3:$D$500)),block!$A$3:$A$500,"无匹配",0,1)</f>
        <v>3</v>
      </c>
      <c r="C103" s="3" t="str">
        <f>B103 &amp; "-" &amp; COUNTIF($B$2:B103, B103)</f>
        <v>3-9</v>
      </c>
      <c r="D103" s="10">
        <v>8392</v>
      </c>
      <c r="E103" s="1" t="s">
        <v>1992</v>
      </c>
      <c r="F103" s="1" t="s">
        <v>1993</v>
      </c>
      <c r="G103" s="1" t="s">
        <v>1832</v>
      </c>
      <c r="H103" s="1" t="s">
        <v>1812</v>
      </c>
      <c r="I103" s="10" t="str">
        <f>IF(H103="T52",1,IF(H103="T52",3,IF(H103="T68",6,IF(H103="T68",10,IF(H103="T100",14,IF(H103="T100",18,IF(H103="T68",22,"")))))))</f>
        <v/>
      </c>
      <c r="J103" s="1" t="s">
        <v>1808</v>
      </c>
      <c r="K103" s="10">
        <v>2</v>
      </c>
      <c r="L103" s="10">
        <v>1</v>
      </c>
      <c r="N103" s="10">
        <v>4</v>
      </c>
      <c r="O103" s="6"/>
      <c r="P103" s="45" t="s">
        <v>1862</v>
      </c>
      <c r="Q103" s="42" t="s">
        <v>1863</v>
      </c>
      <c r="R103" s="42"/>
      <c r="S103" s="1" t="s">
        <v>1993</v>
      </c>
    </row>
    <row r="104" spans="1:19" ht="18.75" customHeight="1" x14ac:dyDescent="0.3">
      <c r="A104" s="10">
        <v>103</v>
      </c>
      <c r="B104" s="10">
        <f>_xlfn.XLOOKUP(1,(VALUE(D104)&gt;=VALUE(block!$C$3:$C$500))*(VALUE(D104)&lt;VALUE(block!$C$3:$C$500)+VALUE(block!$D$3:$D$500)),block!$A$3:$A$500,"无匹配",0,1)</f>
        <v>3</v>
      </c>
      <c r="C104" s="3" t="str">
        <f>B104 &amp; "-" &amp; COUNTIF($B$2:B104, B104)</f>
        <v>3-10</v>
      </c>
      <c r="D104" s="10">
        <v>8394</v>
      </c>
      <c r="E104" s="1" t="s">
        <v>1994</v>
      </c>
      <c r="F104" s="1" t="s">
        <v>1995</v>
      </c>
      <c r="G104" s="1" t="s">
        <v>1834</v>
      </c>
      <c r="H104" s="1" t="s">
        <v>1812</v>
      </c>
      <c r="I104" s="10" t="str">
        <f>IF(H104="T53",1,IF(H104="T53",3,IF(H104="T69",6,IF(H104="T69",10,IF(H104="T101",14,IF(H104="T101",18,IF(H104="T69",22,"")))))))</f>
        <v/>
      </c>
      <c r="J104" s="1" t="s">
        <v>1808</v>
      </c>
      <c r="K104" s="10">
        <v>2</v>
      </c>
      <c r="L104" s="10">
        <v>1</v>
      </c>
      <c r="N104" s="10">
        <v>4</v>
      </c>
      <c r="O104" s="6"/>
      <c r="P104" s="45" t="s">
        <v>1862</v>
      </c>
      <c r="Q104" s="42" t="s">
        <v>1868</v>
      </c>
      <c r="R104" s="42"/>
      <c r="S104" s="1" t="s">
        <v>1995</v>
      </c>
    </row>
    <row r="105" spans="1:19" ht="18.75" customHeight="1" x14ac:dyDescent="0.3">
      <c r="A105" s="10">
        <v>104</v>
      </c>
      <c r="B105" s="10">
        <f>_xlfn.XLOOKUP(1,(VALUE(D105)&gt;=VALUE(block!$C$3:$C$500))*(VALUE(D105)&lt;VALUE(block!$C$3:$C$500)+VALUE(block!$D$3:$D$500)),block!$A$3:$A$500,"无匹配",0,1)</f>
        <v>3</v>
      </c>
      <c r="C105" s="3" t="str">
        <f>B105 &amp; "-" &amp; COUNTIF($B$2:B105, B105)</f>
        <v>3-11</v>
      </c>
      <c r="D105" s="10">
        <v>8396</v>
      </c>
      <c r="E105" s="1" t="s">
        <v>1996</v>
      </c>
      <c r="F105" s="1" t="s">
        <v>1997</v>
      </c>
      <c r="G105" s="1" t="s">
        <v>1836</v>
      </c>
      <c r="H105" s="1" t="s">
        <v>1812</v>
      </c>
      <c r="I105" s="10" t="str">
        <f>IF(H105="T54",1,IF(H105="T54",3,IF(H105="T70",6,IF(H105="T70",10,IF(H105="T102",14,IF(H105="T102",18,IF(H105="T70",22,"")))))))</f>
        <v/>
      </c>
      <c r="J105" s="1" t="s">
        <v>1808</v>
      </c>
      <c r="K105" s="10">
        <v>2</v>
      </c>
      <c r="L105" s="10">
        <v>1</v>
      </c>
      <c r="N105" s="10">
        <v>4</v>
      </c>
      <c r="O105" s="6"/>
      <c r="P105" s="45" t="s">
        <v>1862</v>
      </c>
      <c r="Q105" s="42" t="s">
        <v>1868</v>
      </c>
      <c r="R105" s="42"/>
      <c r="S105" s="1" t="s">
        <v>1997</v>
      </c>
    </row>
    <row r="106" spans="1:19" ht="18.75" hidden="1" customHeight="1" x14ac:dyDescent="0.3">
      <c r="A106" s="10">
        <v>105</v>
      </c>
      <c r="B106" s="10">
        <f>_xlfn.XLOOKUP(1,(VALUE(D106)&gt;=VALUE(block!$C$3:$C$500))*(VALUE(D106)&lt;VALUE(block!$C$3:$C$500)+VALUE(block!$D$3:$D$500)),block!$A$3:$A$500,"无匹配",0,1)</f>
        <v>3</v>
      </c>
      <c r="C106" s="3" t="str">
        <f>B106 &amp; "-" &amp; COUNTIF($B$2:B106, B106)</f>
        <v>3-12</v>
      </c>
      <c r="D106" s="10">
        <v>8398</v>
      </c>
      <c r="E106" s="1" t="s">
        <v>1998</v>
      </c>
      <c r="F106" s="1" t="s">
        <v>1999</v>
      </c>
      <c r="H106" s="1" t="s">
        <v>1838</v>
      </c>
      <c r="I106" s="10" t="str">
        <f>IF(H106="T55",1,IF(H106="T55",3,IF(H106="T71",6,IF(H106="T71",10,IF(H106="T103",14,IF(H106="T103",18,IF(H106="T71",22,"")))))))</f>
        <v/>
      </c>
      <c r="J106" s="1" t="s">
        <v>1808</v>
      </c>
      <c r="K106" s="10">
        <v>2</v>
      </c>
      <c r="L106" s="10">
        <v>1</v>
      </c>
      <c r="O106" s="6"/>
      <c r="Q106" s="6">
        <v>10</v>
      </c>
      <c r="R106" s="6"/>
      <c r="S106" s="1"/>
    </row>
    <row r="107" spans="1:19" ht="18.75" customHeight="1" x14ac:dyDescent="0.3">
      <c r="A107" s="10">
        <v>106</v>
      </c>
      <c r="B107" s="10">
        <f>_xlfn.XLOOKUP(1,(VALUE(D107)&gt;=VALUE(block!$C$3:$C$500))*(VALUE(D107)&lt;VALUE(block!$C$3:$C$500)+VALUE(block!$D$3:$D$500)),block!$A$3:$A$500,"无匹配",0,1)</f>
        <v>3</v>
      </c>
      <c r="C107" s="3" t="str">
        <f>B107 &amp; "-" &amp; COUNTIF($B$2:B107, B107)</f>
        <v>3-13</v>
      </c>
      <c r="D107" s="10">
        <v>8400</v>
      </c>
      <c r="E107" s="1" t="s">
        <v>2000</v>
      </c>
      <c r="F107" s="1" t="s">
        <v>2001</v>
      </c>
      <c r="G107" s="1" t="s">
        <v>1840</v>
      </c>
      <c r="H107" s="1" t="s">
        <v>1812</v>
      </c>
      <c r="I107" s="10" t="str">
        <f>IF(H107="T56",1,IF(H107="T56",3,IF(H107="T72",6,IF(H107="T72",10,IF(H107="T104",14,IF(H107="T104",18,IF(H107="T72",22,"")))))))</f>
        <v/>
      </c>
      <c r="J107" s="1" t="s">
        <v>1808</v>
      </c>
      <c r="K107" s="10">
        <v>2</v>
      </c>
      <c r="L107" s="10">
        <v>1</v>
      </c>
      <c r="N107" s="10">
        <v>4</v>
      </c>
      <c r="O107" s="6"/>
      <c r="P107" s="45" t="s">
        <v>1862</v>
      </c>
      <c r="Q107" s="42" t="s">
        <v>1875</v>
      </c>
      <c r="R107" s="42"/>
      <c r="S107" s="1" t="s">
        <v>2001</v>
      </c>
    </row>
    <row r="108" spans="1:19" ht="18.75" customHeight="1" x14ac:dyDescent="0.3">
      <c r="A108" s="10">
        <v>107</v>
      </c>
      <c r="B108" s="10">
        <f>_xlfn.XLOOKUP(1,(VALUE(D108)&gt;=VALUE(block!$C$3:$C$500))*(VALUE(D108)&lt;VALUE(block!$C$3:$C$500)+VALUE(block!$D$3:$D$500)),block!$A$3:$A$500,"无匹配",0,1)</f>
        <v>3</v>
      </c>
      <c r="C108" s="3" t="str">
        <f>B108 &amp; "-" &amp; COUNTIF($B$2:B108, B108)</f>
        <v>3-14</v>
      </c>
      <c r="D108" s="10">
        <v>8402</v>
      </c>
      <c r="E108" s="1" t="s">
        <v>2002</v>
      </c>
      <c r="F108" s="44" t="s">
        <v>2003</v>
      </c>
      <c r="G108" s="1" t="s">
        <v>1826</v>
      </c>
      <c r="H108" s="1" t="s">
        <v>1812</v>
      </c>
      <c r="I108" s="10" t="str">
        <f>IF(H108="T57",1,IF(H108="T57",3,IF(H108="T73",6,IF(H108="T73",10,IF(H108="T105",14,IF(H108="T105",18,IF(H108="T73",22,"")))))))</f>
        <v/>
      </c>
      <c r="J108" s="1" t="s">
        <v>1808</v>
      </c>
      <c r="K108" s="10">
        <v>2</v>
      </c>
      <c r="L108" s="10">
        <v>1</v>
      </c>
      <c r="N108" s="10">
        <v>4</v>
      </c>
      <c r="O108" s="6"/>
      <c r="P108" s="45" t="s">
        <v>1862</v>
      </c>
      <c r="Q108" s="6">
        <v>10</v>
      </c>
      <c r="R108" s="6"/>
      <c r="S108" s="44" t="s">
        <v>2003</v>
      </c>
    </row>
    <row r="109" spans="1:19" ht="18.75" customHeight="1" x14ac:dyDescent="0.3">
      <c r="A109" s="10">
        <v>108</v>
      </c>
      <c r="B109" s="10">
        <f>_xlfn.XLOOKUP(1,(VALUE(D109)&gt;=VALUE(block!$C$3:$C$500))*(VALUE(D109)&lt;VALUE(block!$C$3:$C$500)+VALUE(block!$D$3:$D$500)),block!$A$3:$A$500,"无匹配",0,1)</f>
        <v>3</v>
      </c>
      <c r="C109" s="3" t="str">
        <f>B109 &amp; "-" &amp; COUNTIF($B$2:B109, B109)</f>
        <v>3-15</v>
      </c>
      <c r="D109" s="10">
        <v>8404</v>
      </c>
      <c r="E109" s="1" t="s">
        <v>2004</v>
      </c>
      <c r="F109" s="1" t="s">
        <v>2005</v>
      </c>
      <c r="G109" s="1" t="s">
        <v>1830</v>
      </c>
      <c r="H109" s="1" t="s">
        <v>1812</v>
      </c>
      <c r="I109" s="10" t="str">
        <f>IF(H109="T58",1,IF(H109="T58",3,IF(H109="T74",6,IF(H109="T74",10,IF(H109="T106",14,IF(H109="T106",18,IF(H109="T74",22,"")))))))</f>
        <v/>
      </c>
      <c r="J109" s="1" t="s">
        <v>1808</v>
      </c>
      <c r="K109" s="10">
        <v>2</v>
      </c>
      <c r="L109" s="10">
        <v>1</v>
      </c>
      <c r="N109" s="10">
        <v>4</v>
      </c>
      <c r="O109" s="6"/>
      <c r="P109" s="45" t="s">
        <v>1862</v>
      </c>
      <c r="Q109" s="42" t="s">
        <v>1863</v>
      </c>
      <c r="R109" s="42"/>
      <c r="S109" s="1" t="s">
        <v>2005</v>
      </c>
    </row>
    <row r="110" spans="1:19" ht="18.75" customHeight="1" x14ac:dyDescent="0.3">
      <c r="A110" s="10">
        <v>109</v>
      </c>
      <c r="B110" s="10">
        <f>_xlfn.XLOOKUP(1,(VALUE(D110)&gt;=VALUE(block!$C$3:$C$500))*(VALUE(D110)&lt;VALUE(block!$C$3:$C$500)+VALUE(block!$D$3:$D$500)),block!$A$3:$A$500,"无匹配",0,1)</f>
        <v>3</v>
      </c>
      <c r="C110" s="3" t="str">
        <f>B110 &amp; "-" &amp; COUNTIF($B$2:B110, B110)</f>
        <v>3-16</v>
      </c>
      <c r="D110" s="10">
        <v>8406</v>
      </c>
      <c r="E110" s="1" t="s">
        <v>2006</v>
      </c>
      <c r="F110" s="1" t="s">
        <v>2007</v>
      </c>
      <c r="G110" s="1" t="s">
        <v>1832</v>
      </c>
      <c r="H110" s="1" t="s">
        <v>1812</v>
      </c>
      <c r="I110" s="10" t="str">
        <f>IF(H110="T59",1,IF(H110="T59",3,IF(H110="T75",6,IF(H110="T75",10,IF(H110="T107",14,IF(H110="T107",18,IF(H110="T75",22,"")))))))</f>
        <v/>
      </c>
      <c r="J110" s="1" t="s">
        <v>1808</v>
      </c>
      <c r="K110" s="10">
        <v>2</v>
      </c>
      <c r="L110" s="10">
        <v>1</v>
      </c>
      <c r="N110" s="10">
        <v>4</v>
      </c>
      <c r="O110" s="6"/>
      <c r="P110" s="45" t="s">
        <v>1862</v>
      </c>
      <c r="Q110" s="42" t="s">
        <v>1863</v>
      </c>
      <c r="R110" s="42"/>
      <c r="S110" s="1" t="s">
        <v>2007</v>
      </c>
    </row>
    <row r="111" spans="1:19" ht="18.75" customHeight="1" x14ac:dyDescent="0.3">
      <c r="A111" s="10">
        <v>110</v>
      </c>
      <c r="B111" s="10">
        <f>_xlfn.XLOOKUP(1,(VALUE(D111)&gt;=VALUE(block!$C$3:$C$500))*(VALUE(D111)&lt;VALUE(block!$C$3:$C$500)+VALUE(block!$D$3:$D$500)),block!$A$3:$A$500,"无匹配",0,1)</f>
        <v>3</v>
      </c>
      <c r="C111" s="3" t="str">
        <f>B111 &amp; "-" &amp; COUNTIF($B$2:B111, B111)</f>
        <v>3-17</v>
      </c>
      <c r="D111" s="10">
        <v>8408</v>
      </c>
      <c r="E111" s="1" t="s">
        <v>2008</v>
      </c>
      <c r="F111" s="1" t="s">
        <v>2009</v>
      </c>
      <c r="G111" s="1" t="s">
        <v>1834</v>
      </c>
      <c r="H111" s="1" t="s">
        <v>1812</v>
      </c>
      <c r="I111" s="10" t="str">
        <f>IF(H111="T60",1,IF(H111="T60",3,IF(H111="T76",6,IF(H111="T76",10,IF(H111="T108",14,IF(H111="T108",18,IF(H111="T76",22,"")))))))</f>
        <v/>
      </c>
      <c r="J111" s="1" t="s">
        <v>1808</v>
      </c>
      <c r="K111" s="10">
        <v>2</v>
      </c>
      <c r="L111" s="10">
        <v>1</v>
      </c>
      <c r="N111" s="10">
        <v>4</v>
      </c>
      <c r="O111" s="6"/>
      <c r="P111" s="45" t="s">
        <v>1862</v>
      </c>
      <c r="Q111" s="42" t="s">
        <v>1868</v>
      </c>
      <c r="R111" s="42"/>
      <c r="S111" s="1" t="s">
        <v>2009</v>
      </c>
    </row>
    <row r="112" spans="1:19" ht="18.75" customHeight="1" x14ac:dyDescent="0.3">
      <c r="A112" s="10">
        <v>111</v>
      </c>
      <c r="B112" s="10">
        <f>_xlfn.XLOOKUP(1,(VALUE(D112)&gt;=VALUE(block!$C$3:$C$500))*(VALUE(D112)&lt;VALUE(block!$C$3:$C$500)+VALUE(block!$D$3:$D$500)),block!$A$3:$A$500,"无匹配",0,1)</f>
        <v>3</v>
      </c>
      <c r="C112" s="3" t="str">
        <f>B112 &amp; "-" &amp; COUNTIF($B$2:B112, B112)</f>
        <v>3-18</v>
      </c>
      <c r="D112" s="10">
        <v>8410</v>
      </c>
      <c r="E112" s="1" t="s">
        <v>2010</v>
      </c>
      <c r="F112" s="1" t="s">
        <v>2011</v>
      </c>
      <c r="G112" s="1" t="s">
        <v>1836</v>
      </c>
      <c r="H112" s="1" t="s">
        <v>1812</v>
      </c>
      <c r="I112" s="10" t="str">
        <f>IF(H112="T61",1,IF(H112="T61",3,IF(H112="T77",6,IF(H112="T77",10,IF(H112="T109",14,IF(H112="T109",18,IF(H112="T77",22,"")))))))</f>
        <v/>
      </c>
      <c r="J112" s="1" t="s">
        <v>1808</v>
      </c>
      <c r="K112" s="10">
        <v>2</v>
      </c>
      <c r="L112" s="10">
        <v>1</v>
      </c>
      <c r="N112" s="10">
        <v>4</v>
      </c>
      <c r="O112" s="6"/>
      <c r="P112" s="45" t="s">
        <v>1862</v>
      </c>
      <c r="Q112" s="42" t="s">
        <v>1868</v>
      </c>
      <c r="R112" s="42"/>
      <c r="S112" s="1" t="s">
        <v>2011</v>
      </c>
    </row>
    <row r="113" spans="1:19" ht="18.75" hidden="1" customHeight="1" x14ac:dyDescent="0.3">
      <c r="A113" s="10">
        <v>112</v>
      </c>
      <c r="B113" s="10">
        <f>_xlfn.XLOOKUP(1,(VALUE(D113)&gt;=VALUE(block!$C$3:$C$500))*(VALUE(D113)&lt;VALUE(block!$C$3:$C$500)+VALUE(block!$D$3:$D$500)),block!$A$3:$A$500,"无匹配",0,1)</f>
        <v>3</v>
      </c>
      <c r="C113" s="3" t="str">
        <f>B113 &amp; "-" &amp; COUNTIF($B$2:B113, B113)</f>
        <v>3-19</v>
      </c>
      <c r="D113" s="10">
        <v>8412</v>
      </c>
      <c r="E113" s="1" t="s">
        <v>2012</v>
      </c>
      <c r="F113" s="1" t="s">
        <v>2013</v>
      </c>
      <c r="H113" s="1" t="s">
        <v>1838</v>
      </c>
      <c r="I113" s="10" t="str">
        <f>IF(H113="T62",1,IF(H113="T62",3,IF(H113="T78",6,IF(H113="T78",10,IF(H113="T110",14,IF(H113="T110",18,IF(H113="T78",22,"")))))))</f>
        <v/>
      </c>
      <c r="J113" s="1" t="s">
        <v>1808</v>
      </c>
      <c r="K113" s="10">
        <v>2</v>
      </c>
      <c r="L113" s="10">
        <v>1</v>
      </c>
      <c r="O113" s="6"/>
      <c r="Q113" s="6">
        <v>10</v>
      </c>
      <c r="R113" s="6"/>
      <c r="S113" s="1"/>
    </row>
    <row r="114" spans="1:19" ht="18.75" customHeight="1" x14ac:dyDescent="0.3">
      <c r="A114" s="10">
        <v>113</v>
      </c>
      <c r="B114" s="10">
        <f>_xlfn.XLOOKUP(1,(VALUE(D114)&gt;=VALUE(block!$C$3:$C$500))*(VALUE(D114)&lt;VALUE(block!$C$3:$C$500)+VALUE(block!$D$3:$D$500)),block!$A$3:$A$500,"无匹配",0,1)</f>
        <v>3</v>
      </c>
      <c r="C114" s="3" t="str">
        <f>B114 &amp; "-" &amp; COUNTIF($B$2:B114, B114)</f>
        <v>3-20</v>
      </c>
      <c r="D114" s="10">
        <v>8414</v>
      </c>
      <c r="E114" s="1" t="s">
        <v>2014</v>
      </c>
      <c r="F114" s="1" t="s">
        <v>2015</v>
      </c>
      <c r="G114" s="1" t="s">
        <v>1840</v>
      </c>
      <c r="H114" s="1" t="s">
        <v>1812</v>
      </c>
      <c r="I114" s="10" t="str">
        <f>IF(H114="T63",1,IF(H114="T63",3,IF(H114="T79",6,IF(H114="T79",10,IF(H114="T111",14,IF(H114="T111",18,IF(H114="T79",22,"")))))))</f>
        <v/>
      </c>
      <c r="J114" s="1" t="s">
        <v>1808</v>
      </c>
      <c r="K114" s="10">
        <v>2</v>
      </c>
      <c r="L114" s="10">
        <v>1</v>
      </c>
      <c r="N114" s="10">
        <v>4</v>
      </c>
      <c r="O114" s="6"/>
      <c r="P114" s="45" t="s">
        <v>1862</v>
      </c>
      <c r="Q114" s="42" t="s">
        <v>1875</v>
      </c>
      <c r="R114" s="42"/>
      <c r="S114" s="1" t="s">
        <v>2015</v>
      </c>
    </row>
    <row r="115" spans="1:19" ht="18.75" customHeight="1" x14ac:dyDescent="0.3">
      <c r="A115" s="10">
        <v>114</v>
      </c>
      <c r="B115" s="10">
        <f>_xlfn.XLOOKUP(1,(VALUE(D115)&gt;=VALUE(block!$C$3:$C$500))*(VALUE(D115)&lt;VALUE(block!$C$3:$C$500)+VALUE(block!$D$3:$D$500)),block!$A$3:$A$500,"无匹配",0,1)</f>
        <v>3</v>
      </c>
      <c r="C115" s="3" t="str">
        <f>B115 &amp; "-" &amp; COUNTIF($B$2:B115, B115)</f>
        <v>3-21</v>
      </c>
      <c r="D115" s="10">
        <v>8416</v>
      </c>
      <c r="E115" s="1" t="s">
        <v>2016</v>
      </c>
      <c r="F115" s="44" t="s">
        <v>2017</v>
      </c>
      <c r="G115" s="1" t="s">
        <v>1826</v>
      </c>
      <c r="H115" s="1" t="s">
        <v>1812</v>
      </c>
      <c r="I115" s="10" t="str">
        <f>IF(H115="T64",1,IF(H115="T64",3,IF(H115="T80",6,IF(H115="T80",10,IF(H115="T112",14,IF(H115="T112",18,IF(H115="T80",22,"")))))))</f>
        <v/>
      </c>
      <c r="J115" s="1" t="s">
        <v>1808</v>
      </c>
      <c r="K115" s="10">
        <v>2</v>
      </c>
      <c r="L115" s="10">
        <v>1</v>
      </c>
      <c r="N115" s="10">
        <v>4</v>
      </c>
      <c r="O115" s="6"/>
      <c r="P115" s="45" t="s">
        <v>1862</v>
      </c>
      <c r="Q115" s="6">
        <v>10</v>
      </c>
      <c r="R115" s="6"/>
      <c r="S115" s="44" t="s">
        <v>2017</v>
      </c>
    </row>
    <row r="116" spans="1:19" ht="18.75" customHeight="1" x14ac:dyDescent="0.3">
      <c r="A116" s="10">
        <v>115</v>
      </c>
      <c r="B116" s="10">
        <f>_xlfn.XLOOKUP(1,(VALUE(D116)&gt;=VALUE(block!$C$3:$C$500))*(VALUE(D116)&lt;VALUE(block!$C$3:$C$500)+VALUE(block!$D$3:$D$500)),block!$A$3:$A$500,"无匹配",0,1)</f>
        <v>3</v>
      </c>
      <c r="C116" s="3" t="str">
        <f>B116 &amp; "-" &amp; COUNTIF($B$2:B116, B116)</f>
        <v>3-22</v>
      </c>
      <c r="D116" s="10">
        <v>8418</v>
      </c>
      <c r="E116" s="1" t="s">
        <v>2018</v>
      </c>
      <c r="F116" s="1" t="s">
        <v>2019</v>
      </c>
      <c r="G116" s="1" t="s">
        <v>1830</v>
      </c>
      <c r="H116" s="1" t="s">
        <v>1812</v>
      </c>
      <c r="I116" s="10" t="str">
        <f>IF(H116="T65",1,IF(H116="T65",3,IF(H116="T81",6,IF(H116="T81",10,IF(H116="T113",14,IF(H116="T113",18,IF(H116="T81",22,"")))))))</f>
        <v/>
      </c>
      <c r="J116" s="1" t="s">
        <v>1808</v>
      </c>
      <c r="K116" s="10">
        <v>2</v>
      </c>
      <c r="L116" s="10">
        <v>1</v>
      </c>
      <c r="N116" s="10">
        <v>4</v>
      </c>
      <c r="O116" s="6"/>
      <c r="P116" s="45" t="s">
        <v>1862</v>
      </c>
      <c r="Q116" s="42" t="s">
        <v>1863</v>
      </c>
      <c r="R116" s="42"/>
      <c r="S116" s="1" t="s">
        <v>2019</v>
      </c>
    </row>
    <row r="117" spans="1:19" ht="18.75" customHeight="1" x14ac:dyDescent="0.3">
      <c r="A117" s="10">
        <v>116</v>
      </c>
      <c r="B117" s="10">
        <f>_xlfn.XLOOKUP(1,(VALUE(D117)&gt;=VALUE(block!$C$3:$C$500))*(VALUE(D117)&lt;VALUE(block!$C$3:$C$500)+VALUE(block!$D$3:$D$500)),block!$A$3:$A$500,"无匹配",0,1)</f>
        <v>3</v>
      </c>
      <c r="C117" s="3" t="str">
        <f>B117 &amp; "-" &amp; COUNTIF($B$2:B117, B117)</f>
        <v>3-23</v>
      </c>
      <c r="D117" s="10">
        <v>8420</v>
      </c>
      <c r="E117" s="1" t="s">
        <v>2020</v>
      </c>
      <c r="F117" s="1" t="s">
        <v>2021</v>
      </c>
      <c r="G117" s="1" t="s">
        <v>1832</v>
      </c>
      <c r="H117" s="1" t="s">
        <v>1812</v>
      </c>
      <c r="I117" s="10" t="str">
        <f>IF(H117="T66",1,IF(H117="T66",3,IF(H117="T82",6,IF(H117="T82",10,IF(H117="T114",14,IF(H117="T114",18,IF(H117="T82",22,"")))))))</f>
        <v/>
      </c>
      <c r="J117" s="1" t="s">
        <v>1808</v>
      </c>
      <c r="K117" s="10">
        <v>2</v>
      </c>
      <c r="L117" s="10">
        <v>1</v>
      </c>
      <c r="N117" s="10">
        <v>4</v>
      </c>
      <c r="O117" s="6"/>
      <c r="P117" s="45" t="s">
        <v>1862</v>
      </c>
      <c r="Q117" s="42" t="s">
        <v>1863</v>
      </c>
      <c r="R117" s="42"/>
      <c r="S117" s="1" t="s">
        <v>2021</v>
      </c>
    </row>
    <row r="118" spans="1:19" ht="18.75" customHeight="1" x14ac:dyDescent="0.3">
      <c r="A118" s="10">
        <v>117</v>
      </c>
      <c r="B118" s="10">
        <f>_xlfn.XLOOKUP(1,(VALUE(D118)&gt;=VALUE(block!$C$3:$C$500))*(VALUE(D118)&lt;VALUE(block!$C$3:$C$500)+VALUE(block!$D$3:$D$500)),block!$A$3:$A$500,"无匹配",0,1)</f>
        <v>3</v>
      </c>
      <c r="C118" s="3" t="str">
        <f>B118 &amp; "-" &amp; COUNTIF($B$2:B118, B118)</f>
        <v>3-24</v>
      </c>
      <c r="D118" s="10">
        <v>8422</v>
      </c>
      <c r="E118" s="1" t="s">
        <v>2022</v>
      </c>
      <c r="F118" s="1" t="s">
        <v>2023</v>
      </c>
      <c r="G118" s="1" t="s">
        <v>1834</v>
      </c>
      <c r="H118" s="1" t="s">
        <v>1812</v>
      </c>
      <c r="I118" s="10" t="str">
        <f>IF(H118="T67",1,IF(H118="T67",3,IF(H118="T83",6,IF(H118="T83",10,IF(H118="T115",14,IF(H118="T115",18,IF(H118="T83",22,"")))))))</f>
        <v/>
      </c>
      <c r="J118" s="1" t="s">
        <v>1808</v>
      </c>
      <c r="K118" s="10">
        <v>2</v>
      </c>
      <c r="L118" s="10">
        <v>1</v>
      </c>
      <c r="N118" s="10">
        <v>4</v>
      </c>
      <c r="O118" s="6"/>
      <c r="P118" s="45" t="s">
        <v>1862</v>
      </c>
      <c r="Q118" s="42" t="s">
        <v>1868</v>
      </c>
      <c r="R118" s="42"/>
      <c r="S118" s="1" t="s">
        <v>2023</v>
      </c>
    </row>
    <row r="119" spans="1:19" ht="18.75" customHeight="1" x14ac:dyDescent="0.3">
      <c r="A119" s="10">
        <v>118</v>
      </c>
      <c r="B119" s="10">
        <f>_xlfn.XLOOKUP(1,(VALUE(D119)&gt;=VALUE(block!$C$3:$C$500))*(VALUE(D119)&lt;VALUE(block!$C$3:$C$500)+VALUE(block!$D$3:$D$500)),block!$A$3:$A$500,"无匹配",0,1)</f>
        <v>3</v>
      </c>
      <c r="C119" s="3" t="str">
        <f>B119 &amp; "-" &amp; COUNTIF($B$2:B119, B119)</f>
        <v>3-25</v>
      </c>
      <c r="D119" s="10">
        <v>8424</v>
      </c>
      <c r="E119" s="1" t="s">
        <v>2024</v>
      </c>
      <c r="F119" s="1" t="s">
        <v>2025</v>
      </c>
      <c r="G119" s="1" t="s">
        <v>1836</v>
      </c>
      <c r="H119" s="1" t="s">
        <v>1812</v>
      </c>
      <c r="I119" s="10" t="str">
        <f>IF(H119="T68",1,IF(H119="T68",3,IF(H119="T84",6,IF(H119="T84",10,IF(H119="T116",14,IF(H119="T116",18,IF(H119="T84",22,"")))))))</f>
        <v/>
      </c>
      <c r="J119" s="1" t="s">
        <v>1808</v>
      </c>
      <c r="K119" s="10">
        <v>2</v>
      </c>
      <c r="L119" s="10">
        <v>1</v>
      </c>
      <c r="N119" s="10">
        <v>4</v>
      </c>
      <c r="O119" s="6"/>
      <c r="P119" s="45" t="s">
        <v>1862</v>
      </c>
      <c r="Q119" s="42" t="s">
        <v>1868</v>
      </c>
      <c r="R119" s="42"/>
      <c r="S119" s="1" t="s">
        <v>2025</v>
      </c>
    </row>
    <row r="120" spans="1:19" ht="18.75" hidden="1" customHeight="1" x14ac:dyDescent="0.3">
      <c r="A120" s="10">
        <v>119</v>
      </c>
      <c r="B120" s="10">
        <f>_xlfn.XLOOKUP(1,(VALUE(D120)&gt;=VALUE(block!$C$3:$C$500))*(VALUE(D120)&lt;VALUE(block!$C$3:$C$500)+VALUE(block!$D$3:$D$500)),block!$A$3:$A$500,"无匹配",0,1)</f>
        <v>3</v>
      </c>
      <c r="C120" s="3" t="str">
        <f>B120 &amp; "-" &amp; COUNTIF($B$2:B120, B120)</f>
        <v>3-26</v>
      </c>
      <c r="D120" s="10">
        <v>8426</v>
      </c>
      <c r="E120" s="1" t="s">
        <v>2026</v>
      </c>
      <c r="F120" s="1" t="s">
        <v>2027</v>
      </c>
      <c r="H120" s="1" t="s">
        <v>1838</v>
      </c>
      <c r="I120" s="10" t="str">
        <f>IF(H120="T69",1,IF(H120="T69",3,IF(H120="T85",6,IF(H120="T85",10,IF(H120="T117",14,IF(H120="T117",18,IF(H120="T85",22,"")))))))</f>
        <v/>
      </c>
      <c r="J120" s="1" t="s">
        <v>1808</v>
      </c>
      <c r="K120" s="10">
        <v>2</v>
      </c>
      <c r="L120" s="10">
        <v>1</v>
      </c>
      <c r="O120" s="6"/>
      <c r="Q120" s="6">
        <v>10</v>
      </c>
      <c r="R120" s="6"/>
      <c r="S120" s="1"/>
    </row>
    <row r="121" spans="1:19" ht="18.75" customHeight="1" x14ac:dyDescent="0.3">
      <c r="A121" s="10">
        <v>120</v>
      </c>
      <c r="B121" s="10">
        <f>_xlfn.XLOOKUP(1,(VALUE(D121)&gt;=VALUE(block!$C$3:$C$500))*(VALUE(D121)&lt;VALUE(block!$C$3:$C$500)+VALUE(block!$D$3:$D$500)),block!$A$3:$A$500,"无匹配",0,1)</f>
        <v>3</v>
      </c>
      <c r="C121" s="3" t="str">
        <f>B121 &amp; "-" &amp; COUNTIF($B$2:B121, B121)</f>
        <v>3-27</v>
      </c>
      <c r="D121" s="10">
        <v>8428</v>
      </c>
      <c r="E121" s="1" t="s">
        <v>2028</v>
      </c>
      <c r="F121" s="1" t="s">
        <v>2029</v>
      </c>
      <c r="G121" s="1" t="s">
        <v>1840</v>
      </c>
      <c r="H121" s="1" t="s">
        <v>1812</v>
      </c>
      <c r="I121" s="10" t="str">
        <f>IF(H121="T70",1,IF(H121="T70",3,IF(H121="T86",6,IF(H121="T86",10,IF(H121="T118",14,IF(H121="T118",18,IF(H121="T86",22,"")))))))</f>
        <v/>
      </c>
      <c r="J121" s="1" t="s">
        <v>1808</v>
      </c>
      <c r="K121" s="10">
        <v>2</v>
      </c>
      <c r="L121" s="10">
        <v>1</v>
      </c>
      <c r="N121" s="10">
        <v>4</v>
      </c>
      <c r="O121" s="6"/>
      <c r="P121" s="45" t="s">
        <v>1862</v>
      </c>
      <c r="Q121" s="42" t="s">
        <v>1875</v>
      </c>
      <c r="R121" s="42"/>
      <c r="S121" s="1" t="s">
        <v>2029</v>
      </c>
    </row>
    <row r="122" spans="1:19" ht="18.75" customHeight="1" x14ac:dyDescent="0.3">
      <c r="A122" s="10">
        <v>121</v>
      </c>
      <c r="B122" s="10">
        <f>_xlfn.XLOOKUP(1,(VALUE(D122)&gt;=VALUE(block!$C$3:$C$500))*(VALUE(D122)&lt;VALUE(block!$C$3:$C$500)+VALUE(block!$D$3:$D$500)),block!$A$3:$A$500,"无匹配",0,1)</f>
        <v>3</v>
      </c>
      <c r="C122" s="3" t="str">
        <f>B122 &amp; "-" &amp; COUNTIF($B$2:B122, B122)</f>
        <v>3-28</v>
      </c>
      <c r="D122" s="10">
        <v>8430</v>
      </c>
      <c r="E122" s="1" t="s">
        <v>2030</v>
      </c>
      <c r="F122" s="44" t="s">
        <v>2031</v>
      </c>
      <c r="G122" s="1" t="s">
        <v>1826</v>
      </c>
      <c r="H122" s="1" t="s">
        <v>1812</v>
      </c>
      <c r="I122" s="10" t="str">
        <f>IF(H122="T71",1,IF(H122="T71",3,IF(H122="T87",6,IF(H122="T87",10,IF(H122="T119",14,IF(H122="T119",18,IF(H122="T87",22,"")))))))</f>
        <v/>
      </c>
      <c r="J122" s="1" t="s">
        <v>1808</v>
      </c>
      <c r="K122" s="10">
        <v>2</v>
      </c>
      <c r="L122" s="10">
        <v>1</v>
      </c>
      <c r="N122" s="10">
        <v>4</v>
      </c>
      <c r="O122" s="6"/>
      <c r="P122" s="45" t="s">
        <v>1862</v>
      </c>
      <c r="Q122" s="6">
        <v>10</v>
      </c>
      <c r="R122" s="6"/>
      <c r="S122" s="44" t="s">
        <v>2031</v>
      </c>
    </row>
    <row r="123" spans="1:19" ht="18.75" customHeight="1" x14ac:dyDescent="0.3">
      <c r="A123" s="10">
        <v>122</v>
      </c>
      <c r="B123" s="10">
        <f>_xlfn.XLOOKUP(1,(VALUE(D123)&gt;=VALUE(block!$C$3:$C$500))*(VALUE(D123)&lt;VALUE(block!$C$3:$C$500)+VALUE(block!$D$3:$D$500)),block!$A$3:$A$500,"无匹配",0,1)</f>
        <v>3</v>
      </c>
      <c r="C123" s="3" t="str">
        <f>B123 &amp; "-" &amp; COUNTIF($B$2:B123, B123)</f>
        <v>3-29</v>
      </c>
      <c r="D123" s="10">
        <v>8432</v>
      </c>
      <c r="E123" s="1" t="s">
        <v>2032</v>
      </c>
      <c r="F123" s="1" t="s">
        <v>2033</v>
      </c>
      <c r="G123" s="1" t="s">
        <v>1830</v>
      </c>
      <c r="H123" s="1" t="s">
        <v>1812</v>
      </c>
      <c r="I123" s="10" t="str">
        <f>IF(H123="T72",1,IF(H123="T72",3,IF(H123="T88",6,IF(H123="T88",10,IF(H123="T120",14,IF(H123="T120",18,IF(H123="T88",22,"")))))))</f>
        <v/>
      </c>
      <c r="J123" s="1" t="s">
        <v>1808</v>
      </c>
      <c r="K123" s="10">
        <v>2</v>
      </c>
      <c r="L123" s="10">
        <v>1</v>
      </c>
      <c r="N123" s="10">
        <v>4</v>
      </c>
      <c r="O123" s="6"/>
      <c r="P123" s="45" t="s">
        <v>1862</v>
      </c>
      <c r="Q123" s="42" t="s">
        <v>1863</v>
      </c>
      <c r="R123" s="42"/>
      <c r="S123" s="1" t="s">
        <v>2033</v>
      </c>
    </row>
    <row r="124" spans="1:19" ht="18.75" customHeight="1" x14ac:dyDescent="0.3">
      <c r="A124" s="10">
        <v>123</v>
      </c>
      <c r="B124" s="10">
        <f>_xlfn.XLOOKUP(1,(VALUE(D124)&gt;=VALUE(block!$C$3:$C$500))*(VALUE(D124)&lt;VALUE(block!$C$3:$C$500)+VALUE(block!$D$3:$D$500)),block!$A$3:$A$500,"无匹配",0,1)</f>
        <v>3</v>
      </c>
      <c r="C124" s="3" t="str">
        <f>B124 &amp; "-" &amp; COUNTIF($B$2:B124, B124)</f>
        <v>3-30</v>
      </c>
      <c r="D124" s="10">
        <v>8434</v>
      </c>
      <c r="E124" s="1" t="s">
        <v>2034</v>
      </c>
      <c r="F124" s="1" t="s">
        <v>2035</v>
      </c>
      <c r="G124" s="1" t="s">
        <v>1832</v>
      </c>
      <c r="H124" s="1" t="s">
        <v>1812</v>
      </c>
      <c r="I124" s="10" t="str">
        <f>IF(H124="T73",1,IF(H124="T73",3,IF(H124="T89",6,IF(H124="T89",10,IF(H124="T121",14,IF(H124="T121",18,IF(H124="T89",22,"")))))))</f>
        <v/>
      </c>
      <c r="J124" s="1" t="s">
        <v>1808</v>
      </c>
      <c r="K124" s="10">
        <v>2</v>
      </c>
      <c r="L124" s="10">
        <v>1</v>
      </c>
      <c r="N124" s="10">
        <v>4</v>
      </c>
      <c r="O124" s="6"/>
      <c r="P124" s="45" t="s">
        <v>1862</v>
      </c>
      <c r="Q124" s="42" t="s">
        <v>1863</v>
      </c>
      <c r="R124" s="42"/>
      <c r="S124" s="1" t="s">
        <v>2035</v>
      </c>
    </row>
    <row r="125" spans="1:19" ht="18.75" customHeight="1" x14ac:dyDescent="0.3">
      <c r="A125" s="10">
        <v>124</v>
      </c>
      <c r="B125" s="10">
        <f>_xlfn.XLOOKUP(1,(VALUE(D125)&gt;=VALUE(block!$C$3:$C$500))*(VALUE(D125)&lt;VALUE(block!$C$3:$C$500)+VALUE(block!$D$3:$D$500)),block!$A$3:$A$500,"无匹配",0,1)</f>
        <v>3</v>
      </c>
      <c r="C125" s="3" t="str">
        <f>B125 &amp; "-" &amp; COUNTIF($B$2:B125, B125)</f>
        <v>3-31</v>
      </c>
      <c r="D125" s="10">
        <v>8436</v>
      </c>
      <c r="E125" s="1" t="s">
        <v>2036</v>
      </c>
      <c r="F125" s="1" t="s">
        <v>2037</v>
      </c>
      <c r="G125" s="1" t="s">
        <v>1834</v>
      </c>
      <c r="H125" s="1" t="s">
        <v>1812</v>
      </c>
      <c r="I125" s="10" t="str">
        <f>IF(H125="T74",1,IF(H125="T74",3,IF(H125="T90",6,IF(H125="T90",10,IF(H125="T122",14,IF(H125="T122",18,IF(H125="T90",22,"")))))))</f>
        <v/>
      </c>
      <c r="J125" s="1" t="s">
        <v>1808</v>
      </c>
      <c r="K125" s="10">
        <v>2</v>
      </c>
      <c r="L125" s="10">
        <v>1</v>
      </c>
      <c r="N125" s="10">
        <v>4</v>
      </c>
      <c r="O125" s="6"/>
      <c r="P125" s="45" t="s">
        <v>1862</v>
      </c>
      <c r="Q125" s="42" t="s">
        <v>1868</v>
      </c>
      <c r="R125" s="42"/>
      <c r="S125" s="1" t="s">
        <v>2037</v>
      </c>
    </row>
    <row r="126" spans="1:19" ht="18.75" customHeight="1" x14ac:dyDescent="0.3">
      <c r="A126" s="10">
        <v>125</v>
      </c>
      <c r="B126" s="10">
        <f>_xlfn.XLOOKUP(1,(VALUE(D126)&gt;=VALUE(block!$C$3:$C$500))*(VALUE(D126)&lt;VALUE(block!$C$3:$C$500)+VALUE(block!$D$3:$D$500)),block!$A$3:$A$500,"无匹配",0,1)</f>
        <v>3</v>
      </c>
      <c r="C126" s="3" t="str">
        <f>B126 &amp; "-" &amp; COUNTIF($B$2:B126, B126)</f>
        <v>3-32</v>
      </c>
      <c r="D126" s="10">
        <v>8438</v>
      </c>
      <c r="E126" s="1" t="s">
        <v>2038</v>
      </c>
      <c r="F126" s="1" t="s">
        <v>2039</v>
      </c>
      <c r="G126" s="1" t="s">
        <v>1836</v>
      </c>
      <c r="H126" s="1" t="s">
        <v>1812</v>
      </c>
      <c r="I126" s="10" t="str">
        <f>IF(H126="T75",1,IF(H126="T75",3,IF(H126="T91",6,IF(H126="T91",10,IF(H126="T123",14,IF(H126="T123",18,IF(H126="T91",22,"")))))))</f>
        <v/>
      </c>
      <c r="J126" s="1" t="s">
        <v>1808</v>
      </c>
      <c r="K126" s="10">
        <v>2</v>
      </c>
      <c r="L126" s="10">
        <v>1</v>
      </c>
      <c r="N126" s="10">
        <v>4</v>
      </c>
      <c r="O126" s="6"/>
      <c r="P126" s="45" t="s">
        <v>1862</v>
      </c>
      <c r="Q126" s="42" t="s">
        <v>1868</v>
      </c>
      <c r="R126" s="42"/>
      <c r="S126" s="1" t="s">
        <v>2039</v>
      </c>
    </row>
    <row r="127" spans="1:19" ht="18.75" hidden="1" customHeight="1" x14ac:dyDescent="0.3">
      <c r="A127" s="10">
        <v>126</v>
      </c>
      <c r="B127" s="10">
        <f>_xlfn.XLOOKUP(1,(VALUE(D127)&gt;=VALUE(block!$C$3:$C$500))*(VALUE(D127)&lt;VALUE(block!$C$3:$C$500)+VALUE(block!$D$3:$D$500)),block!$A$3:$A$500,"无匹配",0,1)</f>
        <v>3</v>
      </c>
      <c r="C127" s="3" t="str">
        <f>B127 &amp; "-" &amp; COUNTIF($B$2:B127, B127)</f>
        <v>3-33</v>
      </c>
      <c r="D127" s="10">
        <v>8440</v>
      </c>
      <c r="E127" s="1" t="s">
        <v>2040</v>
      </c>
      <c r="F127" s="1" t="s">
        <v>2041</v>
      </c>
      <c r="H127" s="1" t="s">
        <v>1838</v>
      </c>
      <c r="I127" s="10" t="str">
        <f>IF(H127="T76",1,IF(H127="T76",3,IF(H127="T92",6,IF(H127="T92",10,IF(H127="T124",14,IF(H127="T124",18,IF(H127="T92",22,"")))))))</f>
        <v/>
      </c>
      <c r="J127" s="1" t="s">
        <v>1808</v>
      </c>
      <c r="K127" s="10">
        <v>2</v>
      </c>
      <c r="L127" s="10">
        <v>1</v>
      </c>
      <c r="O127" s="6"/>
      <c r="Q127" s="6">
        <v>10</v>
      </c>
      <c r="R127" s="6"/>
      <c r="S127" s="1"/>
    </row>
    <row r="128" spans="1:19" ht="18.75" customHeight="1" x14ac:dyDescent="0.3">
      <c r="A128" s="10">
        <v>127</v>
      </c>
      <c r="B128" s="10">
        <f>_xlfn.XLOOKUP(1,(VALUE(D128)&gt;=VALUE(block!$C$3:$C$500))*(VALUE(D128)&lt;VALUE(block!$C$3:$C$500)+VALUE(block!$D$3:$D$500)),block!$A$3:$A$500,"无匹配",0,1)</f>
        <v>3</v>
      </c>
      <c r="C128" s="3" t="str">
        <f>B128 &amp; "-" &amp; COUNTIF($B$2:B128, B128)</f>
        <v>3-34</v>
      </c>
      <c r="D128" s="10">
        <v>8442</v>
      </c>
      <c r="E128" s="3" t="s">
        <v>2042</v>
      </c>
      <c r="F128" s="1" t="s">
        <v>2043</v>
      </c>
      <c r="G128" s="1" t="s">
        <v>1840</v>
      </c>
      <c r="H128" s="1" t="s">
        <v>1812</v>
      </c>
      <c r="I128" s="10" t="str">
        <f>IF(H128="T77",1,IF(H128="T77",3,IF(H128="T93",6,IF(H128="T93",10,IF(H128="T125",14,IF(H128="T125",18,IF(H128="T93",22,"")))))))</f>
        <v/>
      </c>
      <c r="J128" s="1" t="s">
        <v>1808</v>
      </c>
      <c r="K128" s="10">
        <v>2</v>
      </c>
      <c r="L128" s="10">
        <v>1</v>
      </c>
      <c r="N128" s="10">
        <v>4</v>
      </c>
      <c r="O128" s="6"/>
      <c r="P128" s="45" t="s">
        <v>1862</v>
      </c>
      <c r="Q128" s="42" t="s">
        <v>1875</v>
      </c>
      <c r="R128" s="42"/>
      <c r="S128" s="1" t="s">
        <v>2043</v>
      </c>
    </row>
    <row r="129" spans="1:19" ht="18.75" customHeight="1" x14ac:dyDescent="0.3">
      <c r="A129" s="10">
        <v>128</v>
      </c>
      <c r="B129" s="10">
        <f>_xlfn.XLOOKUP(1,(VALUE(D129)&gt;=VALUE(block!$C$3:$C$500))*(VALUE(D129)&lt;VALUE(block!$C$3:$C$500)+VALUE(block!$D$3:$D$500)),block!$A$3:$A$500,"无匹配",0,1)</f>
        <v>3</v>
      </c>
      <c r="C129" s="3" t="str">
        <f>B129 &amp; "-" &amp; COUNTIF($B$2:B129, B129)</f>
        <v>3-35</v>
      </c>
      <c r="D129" s="10">
        <v>8444</v>
      </c>
      <c r="E129" s="1" t="s">
        <v>2044</v>
      </c>
      <c r="F129" s="44" t="s">
        <v>2045</v>
      </c>
      <c r="G129" s="1" t="s">
        <v>1826</v>
      </c>
      <c r="H129" s="1" t="s">
        <v>1812</v>
      </c>
      <c r="I129" s="10" t="str">
        <f>IF(H129="T78",1,IF(H129="T78",3,IF(H129="T94",6,IF(H129="T94",10,IF(H129="T126",14,IF(H129="T126",18,IF(H129="T94",22,"")))))))</f>
        <v/>
      </c>
      <c r="J129" s="1" t="s">
        <v>1808</v>
      </c>
      <c r="K129" s="10">
        <v>2</v>
      </c>
      <c r="L129" s="10">
        <v>1</v>
      </c>
      <c r="N129" s="10">
        <v>4</v>
      </c>
      <c r="O129" s="6"/>
      <c r="P129" s="45" t="s">
        <v>1862</v>
      </c>
      <c r="Q129" s="6">
        <v>10</v>
      </c>
      <c r="R129" s="6"/>
      <c r="S129" s="44" t="s">
        <v>2045</v>
      </c>
    </row>
    <row r="130" spans="1:19" ht="18.75" customHeight="1" x14ac:dyDescent="0.3">
      <c r="A130" s="10">
        <v>129</v>
      </c>
      <c r="B130" s="10">
        <f>_xlfn.XLOOKUP(1,(VALUE(D130)&gt;=VALUE(block!$C$3:$C$500))*(VALUE(D130)&lt;VALUE(block!$C$3:$C$500)+VALUE(block!$D$3:$D$500)),block!$A$3:$A$500,"无匹配",0,1)</f>
        <v>3</v>
      </c>
      <c r="C130" s="3" t="str">
        <f>B130 &amp; "-" &amp; COUNTIF($B$2:B130, B130)</f>
        <v>3-36</v>
      </c>
      <c r="D130" s="10">
        <v>8446</v>
      </c>
      <c r="E130" s="1" t="s">
        <v>2046</v>
      </c>
      <c r="F130" s="1" t="s">
        <v>2047</v>
      </c>
      <c r="G130" s="1" t="s">
        <v>1830</v>
      </c>
      <c r="H130" s="1" t="s">
        <v>1812</v>
      </c>
      <c r="I130" s="10" t="str">
        <f>IF(H130="T79",1,IF(H130="T79",3,IF(H130="T95",6,IF(H130="T95",10,IF(H130="T127",14,IF(H130="T127",18,IF(H130="T95",22,"")))))))</f>
        <v/>
      </c>
      <c r="J130" s="1" t="s">
        <v>1808</v>
      </c>
      <c r="K130" s="10">
        <v>2</v>
      </c>
      <c r="L130" s="10">
        <v>1</v>
      </c>
      <c r="N130" s="10">
        <v>4</v>
      </c>
      <c r="O130" s="6"/>
      <c r="P130" s="45" t="s">
        <v>1862</v>
      </c>
      <c r="Q130" s="42" t="s">
        <v>1863</v>
      </c>
      <c r="R130" s="42"/>
      <c r="S130" s="1" t="s">
        <v>2047</v>
      </c>
    </row>
    <row r="131" spans="1:19" ht="18.75" customHeight="1" x14ac:dyDescent="0.3">
      <c r="A131" s="10">
        <v>130</v>
      </c>
      <c r="B131" s="10">
        <f>_xlfn.XLOOKUP(1,(VALUE(D131)&gt;=VALUE(block!$C$3:$C$500))*(VALUE(D131)&lt;VALUE(block!$C$3:$C$500)+VALUE(block!$D$3:$D$500)),block!$A$3:$A$500,"无匹配",0,1)</f>
        <v>3</v>
      </c>
      <c r="C131" s="3" t="str">
        <f>B131 &amp; "-" &amp; COUNTIF($B$2:B131, B131)</f>
        <v>3-37</v>
      </c>
      <c r="D131" s="10">
        <v>8448</v>
      </c>
      <c r="E131" s="1" t="s">
        <v>2048</v>
      </c>
      <c r="F131" s="1" t="s">
        <v>2049</v>
      </c>
      <c r="G131" s="1" t="s">
        <v>1832</v>
      </c>
      <c r="H131" s="1" t="s">
        <v>1812</v>
      </c>
      <c r="I131" s="10">
        <f>IF(H131="uint16",1,IF(H131="int16",3,IF(H131="uint32",6,IF(H131="int32",10,IF(H131="uint64",14,IF(H131="int64",18,IF(H131="float32",22,"")))))))</f>
        <v>22</v>
      </c>
      <c r="J131" s="1" t="s">
        <v>1808</v>
      </c>
      <c r="K131" s="10">
        <v>2</v>
      </c>
      <c r="L131" s="10">
        <v>1</v>
      </c>
      <c r="N131" s="10">
        <v>4</v>
      </c>
      <c r="O131" s="6"/>
      <c r="P131" s="45" t="s">
        <v>1862</v>
      </c>
      <c r="Q131" s="42" t="s">
        <v>1863</v>
      </c>
      <c r="R131" s="42"/>
      <c r="S131" s="1" t="s">
        <v>2049</v>
      </c>
    </row>
    <row r="132" spans="1:19" ht="18.75" customHeight="1" x14ac:dyDescent="0.3">
      <c r="A132" s="10">
        <v>131</v>
      </c>
      <c r="B132" s="10">
        <f>_xlfn.XLOOKUP(1,(VALUE(D132)&gt;=VALUE(block!$C$3:$C$500))*(VALUE(D132)&lt;VALUE(block!$C$3:$C$500)+VALUE(block!$D$3:$D$500)),block!$A$3:$A$500,"无匹配",0,1)</f>
        <v>3</v>
      </c>
      <c r="C132" s="3" t="str">
        <f>B132 &amp; "-" &amp; COUNTIF($B$2:B132, B132)</f>
        <v>3-38</v>
      </c>
      <c r="D132" s="10">
        <v>8450</v>
      </c>
      <c r="E132" s="1" t="s">
        <v>2050</v>
      </c>
      <c r="F132" s="1" t="s">
        <v>2051</v>
      </c>
      <c r="G132" s="1" t="s">
        <v>1834</v>
      </c>
      <c r="H132" s="1" t="s">
        <v>1812</v>
      </c>
      <c r="I132" s="10" t="str">
        <f>IF(H132="T17",1,IF(H132="T17",3,IF(H132="T33",6,IF(H132="T33",10,IF(H132="T65",14,IF(H132="T65",18,IF(H132="T33",22,"")))))))</f>
        <v/>
      </c>
      <c r="J132" s="1" t="s">
        <v>1808</v>
      </c>
      <c r="K132" s="10">
        <v>2</v>
      </c>
      <c r="L132" s="10">
        <v>1</v>
      </c>
      <c r="N132" s="10">
        <v>4</v>
      </c>
      <c r="O132" s="6"/>
      <c r="P132" s="45" t="s">
        <v>1862</v>
      </c>
      <c r="Q132" s="42" t="s">
        <v>1868</v>
      </c>
      <c r="R132" s="42"/>
      <c r="S132" s="1" t="s">
        <v>2051</v>
      </c>
    </row>
    <row r="133" spans="1:19" ht="18.75" customHeight="1" x14ac:dyDescent="0.3">
      <c r="A133" s="10">
        <v>132</v>
      </c>
      <c r="B133" s="10">
        <f>_xlfn.XLOOKUP(1,(VALUE(D133)&gt;=VALUE(block!$C$3:$C$500))*(VALUE(D133)&lt;VALUE(block!$C$3:$C$500)+VALUE(block!$D$3:$D$500)),block!$A$3:$A$500,"无匹配",0,1)</f>
        <v>3</v>
      </c>
      <c r="C133" s="3" t="str">
        <f>B133 &amp; "-" &amp; COUNTIF($B$2:B133, B133)</f>
        <v>3-39</v>
      </c>
      <c r="D133" s="10">
        <v>8452</v>
      </c>
      <c r="E133" s="1" t="s">
        <v>2052</v>
      </c>
      <c r="F133" s="1" t="s">
        <v>2053</v>
      </c>
      <c r="G133" s="1" t="s">
        <v>1836</v>
      </c>
      <c r="H133" s="1" t="s">
        <v>1812</v>
      </c>
      <c r="I133" s="10" t="str">
        <f>IF(H133="T18",1,IF(H133="T18",3,IF(H133="T34",6,IF(H133="T34",10,IF(H133="T66",14,IF(H133="T66",18,IF(H133="T34",22,"")))))))</f>
        <v/>
      </c>
      <c r="J133" s="1" t="s">
        <v>1808</v>
      </c>
      <c r="K133" s="10">
        <v>2</v>
      </c>
      <c r="L133" s="10">
        <v>1</v>
      </c>
      <c r="N133" s="10">
        <v>4</v>
      </c>
      <c r="O133" s="6"/>
      <c r="P133" s="45" t="s">
        <v>1862</v>
      </c>
      <c r="Q133" s="42" t="s">
        <v>1868</v>
      </c>
      <c r="R133" s="42"/>
      <c r="S133" s="1" t="s">
        <v>2053</v>
      </c>
    </row>
    <row r="134" spans="1:19" ht="18.75" hidden="1" customHeight="1" x14ac:dyDescent="0.3">
      <c r="A134" s="10">
        <v>133</v>
      </c>
      <c r="B134" s="10">
        <f>_xlfn.XLOOKUP(1,(VALUE(D134)&gt;=VALUE(block!$C$3:$C$500))*(VALUE(D134)&lt;VALUE(block!$C$3:$C$500)+VALUE(block!$D$3:$D$500)),block!$A$3:$A$500,"无匹配",0,1)</f>
        <v>3</v>
      </c>
      <c r="C134" s="3" t="str">
        <f>B134 &amp; "-" &amp; COUNTIF($B$2:B134, B134)</f>
        <v>3-40</v>
      </c>
      <c r="D134" s="10">
        <v>8454</v>
      </c>
      <c r="E134" s="1" t="s">
        <v>2054</v>
      </c>
      <c r="F134" s="1" t="s">
        <v>2055</v>
      </c>
      <c r="H134" s="1" t="s">
        <v>1838</v>
      </c>
      <c r="I134" s="10" t="str">
        <f>IF(H134="T19",1,IF(H134="T19",3,IF(H134="T35",6,IF(H134="T35",10,IF(H134="T67",14,IF(H134="T67",18,IF(H134="T35",22,"")))))))</f>
        <v/>
      </c>
      <c r="J134" s="1" t="s">
        <v>1808</v>
      </c>
      <c r="K134" s="10">
        <v>2</v>
      </c>
      <c r="L134" s="10">
        <v>1</v>
      </c>
      <c r="O134" s="6"/>
      <c r="Q134" s="6">
        <v>10</v>
      </c>
      <c r="R134" s="6"/>
      <c r="S134" s="1"/>
    </row>
    <row r="135" spans="1:19" ht="18.75" customHeight="1" x14ac:dyDescent="0.3">
      <c r="A135" s="10">
        <v>134</v>
      </c>
      <c r="B135" s="10">
        <f>_xlfn.XLOOKUP(1,(VALUE(D135)&gt;=VALUE(block!$C$3:$C$500))*(VALUE(D135)&lt;VALUE(block!$C$3:$C$500)+VALUE(block!$D$3:$D$500)),block!$A$3:$A$500,"无匹配",0,1)</f>
        <v>3</v>
      </c>
      <c r="C135" s="3" t="str">
        <f>B135 &amp; "-" &amp; COUNTIF($B$2:B135, B135)</f>
        <v>3-41</v>
      </c>
      <c r="D135" s="10">
        <v>8456</v>
      </c>
      <c r="E135" s="1" t="s">
        <v>2056</v>
      </c>
      <c r="F135" s="1" t="s">
        <v>2057</v>
      </c>
      <c r="G135" s="1" t="s">
        <v>1840</v>
      </c>
      <c r="H135" s="1" t="s">
        <v>1812</v>
      </c>
      <c r="I135" s="10" t="str">
        <f>IF(H135="T20",1,IF(H135="T20",3,IF(H135="T36",6,IF(H135="T36",10,IF(H135="T68",14,IF(H135="T68",18,IF(H135="T36",22,"")))))))</f>
        <v/>
      </c>
      <c r="J135" s="1" t="s">
        <v>1808</v>
      </c>
      <c r="K135" s="10">
        <v>2</v>
      </c>
      <c r="L135" s="10">
        <v>1</v>
      </c>
      <c r="N135" s="10">
        <v>4</v>
      </c>
      <c r="O135" s="6"/>
      <c r="P135" s="45" t="s">
        <v>1862</v>
      </c>
      <c r="Q135" s="42" t="s">
        <v>1875</v>
      </c>
      <c r="R135" s="42"/>
      <c r="S135" s="1" t="s">
        <v>2057</v>
      </c>
    </row>
    <row r="136" spans="1:19" ht="18.75" customHeight="1" x14ac:dyDescent="0.3">
      <c r="A136" s="10">
        <v>135</v>
      </c>
      <c r="B136" s="10">
        <f>_xlfn.XLOOKUP(1,(VALUE(D136)&gt;=VALUE(block!$C$3:$C$500))*(VALUE(D136)&lt;VALUE(block!$C$3:$C$500)+VALUE(block!$D$3:$D$500)),block!$A$3:$A$500,"无匹配",0,1)</f>
        <v>3</v>
      </c>
      <c r="C136" s="3" t="str">
        <f>B136 &amp; "-" &amp; COUNTIF($B$2:B136, B136)</f>
        <v>3-42</v>
      </c>
      <c r="D136" s="10">
        <v>8458</v>
      </c>
      <c r="E136" s="1" t="s">
        <v>2058</v>
      </c>
      <c r="F136" s="44" t="s">
        <v>2059</v>
      </c>
      <c r="G136" s="1" t="s">
        <v>1826</v>
      </c>
      <c r="H136" s="1" t="s">
        <v>1812</v>
      </c>
      <c r="I136" s="10" t="str">
        <f>IF(H136="T21",1,IF(H136="T21",3,IF(H136="T37",6,IF(H136="T37",10,IF(H136="T69",14,IF(H136="T69",18,IF(H136="T37",22,"")))))))</f>
        <v/>
      </c>
      <c r="J136" s="1" t="s">
        <v>1808</v>
      </c>
      <c r="K136" s="10">
        <v>2</v>
      </c>
      <c r="L136" s="10">
        <v>1</v>
      </c>
      <c r="N136" s="10">
        <v>4</v>
      </c>
      <c r="O136" s="6"/>
      <c r="P136" s="45" t="s">
        <v>1862</v>
      </c>
      <c r="Q136" s="6">
        <v>10</v>
      </c>
      <c r="R136" s="6"/>
      <c r="S136" s="44" t="s">
        <v>2059</v>
      </c>
    </row>
    <row r="137" spans="1:19" ht="18.75" customHeight="1" x14ac:dyDescent="0.3">
      <c r="A137" s="10">
        <v>136</v>
      </c>
      <c r="B137" s="10">
        <f>_xlfn.XLOOKUP(1,(VALUE(D137)&gt;=VALUE(block!$C$3:$C$500))*(VALUE(D137)&lt;VALUE(block!$C$3:$C$500)+VALUE(block!$D$3:$D$500)),block!$A$3:$A$500,"无匹配",0,1)</f>
        <v>3</v>
      </c>
      <c r="C137" s="3" t="str">
        <f>B137 &amp; "-" &amp; COUNTIF($B$2:B137, B137)</f>
        <v>3-43</v>
      </c>
      <c r="D137" s="10">
        <v>8460</v>
      </c>
      <c r="E137" s="1" t="s">
        <v>2060</v>
      </c>
      <c r="F137" s="1" t="s">
        <v>2061</v>
      </c>
      <c r="G137" s="1" t="s">
        <v>1830</v>
      </c>
      <c r="H137" s="1" t="s">
        <v>1812</v>
      </c>
      <c r="I137" s="10" t="str">
        <f>IF(H137="T22",1,IF(H137="T22",3,IF(H137="T38",6,IF(H137="T38",10,IF(H137="T70",14,IF(H137="T70",18,IF(H137="T38",22,"")))))))</f>
        <v/>
      </c>
      <c r="J137" s="1" t="s">
        <v>1808</v>
      </c>
      <c r="K137" s="10">
        <v>2</v>
      </c>
      <c r="L137" s="10">
        <v>1</v>
      </c>
      <c r="N137" s="10">
        <v>4</v>
      </c>
      <c r="O137" s="6"/>
      <c r="P137" s="45" t="s">
        <v>1862</v>
      </c>
      <c r="Q137" s="42" t="s">
        <v>1863</v>
      </c>
      <c r="R137" s="42"/>
      <c r="S137" s="1" t="s">
        <v>2061</v>
      </c>
    </row>
    <row r="138" spans="1:19" ht="18.75" customHeight="1" x14ac:dyDescent="0.3">
      <c r="A138" s="10">
        <v>137</v>
      </c>
      <c r="B138" s="10">
        <f>_xlfn.XLOOKUP(1,(VALUE(D138)&gt;=VALUE(block!$C$3:$C$500))*(VALUE(D138)&lt;VALUE(block!$C$3:$C$500)+VALUE(block!$D$3:$D$500)),block!$A$3:$A$500,"无匹配",0,1)</f>
        <v>3</v>
      </c>
      <c r="C138" s="3" t="str">
        <f>B138 &amp; "-" &amp; COUNTIF($B$2:B138, B138)</f>
        <v>3-44</v>
      </c>
      <c r="D138" s="10">
        <v>8462</v>
      </c>
      <c r="E138" s="1" t="s">
        <v>2062</v>
      </c>
      <c r="F138" s="1" t="s">
        <v>2063</v>
      </c>
      <c r="G138" s="1" t="s">
        <v>1832</v>
      </c>
      <c r="H138" s="1" t="s">
        <v>1812</v>
      </c>
      <c r="I138" s="10" t="str">
        <f>IF(H138="T23",1,IF(H138="T23",3,IF(H138="T39",6,IF(H138="T39",10,IF(H138="T71",14,IF(H138="T71",18,IF(H138="T39",22,"")))))))</f>
        <v/>
      </c>
      <c r="J138" s="1" t="s">
        <v>1808</v>
      </c>
      <c r="K138" s="10">
        <v>2</v>
      </c>
      <c r="L138" s="10">
        <v>1</v>
      </c>
      <c r="N138" s="10">
        <v>4</v>
      </c>
      <c r="O138" s="6"/>
      <c r="P138" s="45" t="s">
        <v>1862</v>
      </c>
      <c r="Q138" s="42" t="s">
        <v>1863</v>
      </c>
      <c r="R138" s="42"/>
      <c r="S138" s="1" t="s">
        <v>2063</v>
      </c>
    </row>
    <row r="139" spans="1:19" ht="18.75" customHeight="1" x14ac:dyDescent="0.3">
      <c r="A139" s="10">
        <v>138</v>
      </c>
      <c r="B139" s="10">
        <f>_xlfn.XLOOKUP(1,(VALUE(D139)&gt;=VALUE(block!$C$3:$C$500))*(VALUE(D139)&lt;VALUE(block!$C$3:$C$500)+VALUE(block!$D$3:$D$500)),block!$A$3:$A$500,"无匹配",0,1)</f>
        <v>3</v>
      </c>
      <c r="C139" s="3" t="str">
        <f>B139 &amp; "-" &amp; COUNTIF($B$2:B139, B139)</f>
        <v>3-45</v>
      </c>
      <c r="D139" s="10">
        <v>8464</v>
      </c>
      <c r="E139" s="1" t="s">
        <v>2064</v>
      </c>
      <c r="F139" s="1" t="s">
        <v>2065</v>
      </c>
      <c r="G139" s="1" t="s">
        <v>1834</v>
      </c>
      <c r="H139" s="1" t="s">
        <v>1812</v>
      </c>
      <c r="I139" s="10" t="str">
        <f>IF(H139="T24",1,IF(H139="T24",3,IF(H139="T40",6,IF(H139="T40",10,IF(H139="T72",14,IF(H139="T72",18,IF(H139="T40",22,"")))))))</f>
        <v/>
      </c>
      <c r="J139" s="1" t="s">
        <v>1808</v>
      </c>
      <c r="K139" s="10">
        <v>2</v>
      </c>
      <c r="L139" s="10">
        <v>1</v>
      </c>
      <c r="N139" s="10">
        <v>4</v>
      </c>
      <c r="O139" s="6"/>
      <c r="P139" s="45" t="s">
        <v>1862</v>
      </c>
      <c r="Q139" s="42" t="s">
        <v>1868</v>
      </c>
      <c r="R139" s="42"/>
      <c r="S139" s="1" t="s">
        <v>2065</v>
      </c>
    </row>
    <row r="140" spans="1:19" ht="18.75" customHeight="1" x14ac:dyDescent="0.3">
      <c r="A140" s="10">
        <v>139</v>
      </c>
      <c r="B140" s="10">
        <f>_xlfn.XLOOKUP(1,(VALUE(D140)&gt;=VALUE(block!$C$3:$C$500))*(VALUE(D140)&lt;VALUE(block!$C$3:$C$500)+VALUE(block!$D$3:$D$500)),block!$A$3:$A$500,"无匹配",0,1)</f>
        <v>3</v>
      </c>
      <c r="C140" s="3" t="str">
        <f>B140 &amp; "-" &amp; COUNTIF($B$2:B140, B140)</f>
        <v>3-46</v>
      </c>
      <c r="D140" s="10">
        <v>8466</v>
      </c>
      <c r="E140" s="1" t="s">
        <v>2066</v>
      </c>
      <c r="F140" s="1" t="s">
        <v>2067</v>
      </c>
      <c r="G140" s="1" t="s">
        <v>1836</v>
      </c>
      <c r="H140" s="1" t="s">
        <v>1812</v>
      </c>
      <c r="I140" s="10" t="str">
        <f>IF(H140="T25",1,IF(H140="T25",3,IF(H140="T41",6,IF(H140="T41",10,IF(H140="T73",14,IF(H140="T73",18,IF(H140="T41",22,"")))))))</f>
        <v/>
      </c>
      <c r="J140" s="1" t="s">
        <v>1808</v>
      </c>
      <c r="K140" s="10">
        <v>2</v>
      </c>
      <c r="L140" s="10">
        <v>1</v>
      </c>
      <c r="N140" s="10">
        <v>4</v>
      </c>
      <c r="O140" s="6"/>
      <c r="P140" s="45" t="s">
        <v>1862</v>
      </c>
      <c r="Q140" s="42" t="s">
        <v>1868</v>
      </c>
      <c r="R140" s="42"/>
      <c r="S140" s="1" t="s">
        <v>2067</v>
      </c>
    </row>
    <row r="141" spans="1:19" ht="18.75" hidden="1" customHeight="1" x14ac:dyDescent="0.3">
      <c r="A141" s="10">
        <v>140</v>
      </c>
      <c r="B141" s="10">
        <f>_xlfn.XLOOKUP(1,(VALUE(D141)&gt;=VALUE(block!$C$3:$C$500))*(VALUE(D141)&lt;VALUE(block!$C$3:$C$500)+VALUE(block!$D$3:$D$500)),block!$A$3:$A$500,"无匹配",0,1)</f>
        <v>3</v>
      </c>
      <c r="C141" s="3" t="str">
        <f>B141 &amp; "-" &amp; COUNTIF($B$2:B141, B141)</f>
        <v>3-47</v>
      </c>
      <c r="D141" s="10">
        <v>8468</v>
      </c>
      <c r="E141" s="1" t="s">
        <v>2068</v>
      </c>
      <c r="F141" s="1" t="s">
        <v>2069</v>
      </c>
      <c r="H141" s="1" t="s">
        <v>1838</v>
      </c>
      <c r="I141" s="10" t="str">
        <f>IF(H141="T26",1,IF(H141="T26",3,IF(H141="T42",6,IF(H141="T42",10,IF(H141="T74",14,IF(H141="T74",18,IF(H141="T42",22,"")))))))</f>
        <v/>
      </c>
      <c r="J141" s="1" t="s">
        <v>1808</v>
      </c>
      <c r="K141" s="10">
        <v>2</v>
      </c>
      <c r="L141" s="10">
        <v>1</v>
      </c>
      <c r="O141" s="6"/>
      <c r="Q141" s="6">
        <v>10</v>
      </c>
      <c r="R141" s="6"/>
      <c r="S141" s="1"/>
    </row>
    <row r="142" spans="1:19" ht="18.75" customHeight="1" x14ac:dyDescent="0.3">
      <c r="A142" s="10">
        <v>141</v>
      </c>
      <c r="B142" s="10">
        <f>_xlfn.XLOOKUP(1,(VALUE(D142)&gt;=VALUE(block!$C$3:$C$500))*(VALUE(D142)&lt;VALUE(block!$C$3:$C$500)+VALUE(block!$D$3:$D$500)),block!$A$3:$A$500,"无匹配",0,1)</f>
        <v>3</v>
      </c>
      <c r="C142" s="3" t="str">
        <f>B142 &amp; "-" &amp; COUNTIF($B$2:B142, B142)</f>
        <v>3-48</v>
      </c>
      <c r="D142" s="10">
        <v>8470</v>
      </c>
      <c r="E142" s="1" t="s">
        <v>2070</v>
      </c>
      <c r="F142" s="1" t="s">
        <v>2071</v>
      </c>
      <c r="G142" s="1" t="s">
        <v>1840</v>
      </c>
      <c r="H142" s="1" t="s">
        <v>1812</v>
      </c>
      <c r="I142" s="10" t="str">
        <f>IF(H142="T27",1,IF(H142="T27",3,IF(H142="T43",6,IF(H142="T43",10,IF(H142="T75",14,IF(H142="T75",18,IF(H142="T43",22,"")))))))</f>
        <v/>
      </c>
      <c r="J142" s="1" t="s">
        <v>1808</v>
      </c>
      <c r="K142" s="10">
        <v>2</v>
      </c>
      <c r="L142" s="10">
        <v>1</v>
      </c>
      <c r="N142" s="10">
        <v>4</v>
      </c>
      <c r="O142" s="6"/>
      <c r="P142" s="45" t="s">
        <v>1862</v>
      </c>
      <c r="Q142" s="42" t="s">
        <v>1875</v>
      </c>
      <c r="R142" s="42"/>
      <c r="S142" s="1" t="s">
        <v>2071</v>
      </c>
    </row>
    <row r="143" spans="1:19" ht="18.75" customHeight="1" x14ac:dyDescent="0.3">
      <c r="A143" s="10">
        <v>142</v>
      </c>
      <c r="B143" s="10">
        <f>_xlfn.XLOOKUP(1,(VALUE(D143)&gt;=VALUE(block!$C$3:$C$500))*(VALUE(D143)&lt;VALUE(block!$C$3:$C$500)+VALUE(block!$D$3:$D$500)),block!$A$3:$A$500,"无匹配",0,1)</f>
        <v>3</v>
      </c>
      <c r="C143" s="3" t="str">
        <f>B143 &amp; "-" &amp; COUNTIF($B$2:B143, B143)</f>
        <v>3-49</v>
      </c>
      <c r="D143" s="10">
        <v>8472</v>
      </c>
      <c r="E143" s="1" t="s">
        <v>2072</v>
      </c>
      <c r="F143" s="44" t="s">
        <v>2073</v>
      </c>
      <c r="G143" s="1" t="s">
        <v>1826</v>
      </c>
      <c r="H143" s="1" t="s">
        <v>1812</v>
      </c>
      <c r="I143" s="10" t="str">
        <f>IF(H143="T28",1,IF(H143="T28",3,IF(H143="T44",6,IF(H143="T44",10,IF(H143="T76",14,IF(H143="T76",18,IF(H143="T44",22,"")))))))</f>
        <v/>
      </c>
      <c r="J143" s="1" t="s">
        <v>1808</v>
      </c>
      <c r="K143" s="10">
        <v>2</v>
      </c>
      <c r="L143" s="10">
        <v>1</v>
      </c>
      <c r="N143" s="10">
        <v>4</v>
      </c>
      <c r="O143" s="6"/>
      <c r="P143" s="45" t="s">
        <v>1862</v>
      </c>
      <c r="Q143" s="6">
        <v>10</v>
      </c>
      <c r="R143" s="6"/>
      <c r="S143" s="44" t="s">
        <v>2073</v>
      </c>
    </row>
    <row r="144" spans="1:19" ht="18.75" customHeight="1" x14ac:dyDescent="0.3">
      <c r="A144" s="10">
        <v>143</v>
      </c>
      <c r="B144" s="10">
        <f>_xlfn.XLOOKUP(1,(VALUE(D144)&gt;=VALUE(block!$C$3:$C$500))*(VALUE(D144)&lt;VALUE(block!$C$3:$C$500)+VALUE(block!$D$3:$D$500)),block!$A$3:$A$500,"无匹配",0,1)</f>
        <v>3</v>
      </c>
      <c r="C144" s="3" t="str">
        <f>B144 &amp; "-" &amp; COUNTIF($B$2:B144, B144)</f>
        <v>3-50</v>
      </c>
      <c r="D144" s="10">
        <v>8474</v>
      </c>
      <c r="E144" s="1" t="s">
        <v>2074</v>
      </c>
      <c r="F144" s="1" t="s">
        <v>2075</v>
      </c>
      <c r="G144" s="1" t="s">
        <v>1830</v>
      </c>
      <c r="H144" s="1" t="s">
        <v>1812</v>
      </c>
      <c r="I144" s="10" t="str">
        <f>IF(H144="T29",1,IF(H144="T29",3,IF(H144="T45",6,IF(H144="T45",10,IF(H144="T77",14,IF(H144="T77",18,IF(H144="T45",22,"")))))))</f>
        <v/>
      </c>
      <c r="J144" s="1" t="s">
        <v>1808</v>
      </c>
      <c r="K144" s="10">
        <v>2</v>
      </c>
      <c r="L144" s="10">
        <v>1</v>
      </c>
      <c r="N144" s="10">
        <v>4</v>
      </c>
      <c r="O144" s="6"/>
      <c r="P144" s="45" t="s">
        <v>1862</v>
      </c>
      <c r="Q144" s="42" t="s">
        <v>1863</v>
      </c>
      <c r="R144" s="42"/>
      <c r="S144" s="1" t="s">
        <v>2075</v>
      </c>
    </row>
    <row r="145" spans="1:19" ht="18.75" customHeight="1" x14ac:dyDescent="0.3">
      <c r="A145" s="10">
        <v>144</v>
      </c>
      <c r="B145" s="10">
        <f>_xlfn.XLOOKUP(1,(VALUE(D145)&gt;=VALUE(block!$C$3:$C$500))*(VALUE(D145)&lt;VALUE(block!$C$3:$C$500)+VALUE(block!$D$3:$D$500)),block!$A$3:$A$500,"无匹配",0,1)</f>
        <v>3</v>
      </c>
      <c r="C145" s="3" t="str">
        <f>B145 &amp; "-" &amp; COUNTIF($B$2:B145, B145)</f>
        <v>3-51</v>
      </c>
      <c r="D145" s="10">
        <v>8476</v>
      </c>
      <c r="E145" s="1" t="s">
        <v>2076</v>
      </c>
      <c r="F145" s="1" t="s">
        <v>2077</v>
      </c>
      <c r="G145" s="1" t="s">
        <v>1832</v>
      </c>
      <c r="H145" s="1" t="s">
        <v>1812</v>
      </c>
      <c r="I145" s="10" t="str">
        <f>IF(H145="T30",1,IF(H145="T30",3,IF(H145="T46",6,IF(H145="T46",10,IF(H145="T78",14,IF(H145="T78",18,IF(H145="T46",22,"")))))))</f>
        <v/>
      </c>
      <c r="J145" s="1" t="s">
        <v>1808</v>
      </c>
      <c r="K145" s="10">
        <v>2</v>
      </c>
      <c r="L145" s="10">
        <v>1</v>
      </c>
      <c r="N145" s="10">
        <v>4</v>
      </c>
      <c r="O145" s="6"/>
      <c r="P145" s="45" t="s">
        <v>1862</v>
      </c>
      <c r="Q145" s="42" t="s">
        <v>1863</v>
      </c>
      <c r="R145" s="42"/>
      <c r="S145" s="1" t="s">
        <v>2077</v>
      </c>
    </row>
    <row r="146" spans="1:19" ht="18.75" customHeight="1" x14ac:dyDescent="0.3">
      <c r="A146" s="10">
        <v>145</v>
      </c>
      <c r="B146" s="10">
        <f>_xlfn.XLOOKUP(1,(VALUE(D146)&gt;=VALUE(block!$C$3:$C$500))*(VALUE(D146)&lt;VALUE(block!$C$3:$C$500)+VALUE(block!$D$3:$D$500)),block!$A$3:$A$500,"无匹配",0,1)</f>
        <v>3</v>
      </c>
      <c r="C146" s="3" t="str">
        <f>B146 &amp; "-" &amp; COUNTIF($B$2:B146, B146)</f>
        <v>3-52</v>
      </c>
      <c r="D146" s="10">
        <v>8478</v>
      </c>
      <c r="E146" s="1" t="s">
        <v>2078</v>
      </c>
      <c r="F146" s="1" t="s">
        <v>2079</v>
      </c>
      <c r="G146" s="1" t="s">
        <v>1834</v>
      </c>
      <c r="H146" s="1" t="s">
        <v>1812</v>
      </c>
      <c r="I146" s="10" t="str">
        <f>IF(H146="T31",1,IF(H146="T31",3,IF(H146="T47",6,IF(H146="T47",10,IF(H146="T79",14,IF(H146="T79",18,IF(H146="T47",22,"")))))))</f>
        <v/>
      </c>
      <c r="J146" s="1" t="s">
        <v>1808</v>
      </c>
      <c r="K146" s="10">
        <v>2</v>
      </c>
      <c r="L146" s="10">
        <v>1</v>
      </c>
      <c r="N146" s="10">
        <v>4</v>
      </c>
      <c r="O146" s="6"/>
      <c r="P146" s="45" t="s">
        <v>1862</v>
      </c>
      <c r="Q146" s="42" t="s">
        <v>1868</v>
      </c>
      <c r="R146" s="42"/>
      <c r="S146" s="1" t="s">
        <v>2079</v>
      </c>
    </row>
    <row r="147" spans="1:19" ht="18.75" customHeight="1" x14ac:dyDescent="0.3">
      <c r="A147" s="10">
        <v>146</v>
      </c>
      <c r="B147" s="10">
        <f>_xlfn.XLOOKUP(1,(VALUE(D147)&gt;=VALUE(block!$C$3:$C$500))*(VALUE(D147)&lt;VALUE(block!$C$3:$C$500)+VALUE(block!$D$3:$D$500)),block!$A$3:$A$500,"无匹配",0,1)</f>
        <v>3</v>
      </c>
      <c r="C147" s="3" t="str">
        <f>B147 &amp; "-" &amp; COUNTIF($B$2:B147, B147)</f>
        <v>3-53</v>
      </c>
      <c r="D147" s="10">
        <v>8480</v>
      </c>
      <c r="E147" s="1" t="s">
        <v>2080</v>
      </c>
      <c r="F147" s="1" t="s">
        <v>2081</v>
      </c>
      <c r="G147" s="1" t="s">
        <v>1836</v>
      </c>
      <c r="H147" s="1" t="s">
        <v>1812</v>
      </c>
      <c r="I147" s="10" t="str">
        <f>IF(H147="T32",1,IF(H147="T32",3,IF(H147="T48",6,IF(H147="T48",10,IF(H147="T80",14,IF(H147="T80",18,IF(H147="T48",22,"")))))))</f>
        <v/>
      </c>
      <c r="J147" s="1" t="s">
        <v>1808</v>
      </c>
      <c r="K147" s="10">
        <v>2</v>
      </c>
      <c r="L147" s="10">
        <v>1</v>
      </c>
      <c r="N147" s="10">
        <v>4</v>
      </c>
      <c r="O147" s="6"/>
      <c r="P147" s="45" t="s">
        <v>1862</v>
      </c>
      <c r="Q147" s="42" t="s">
        <v>1868</v>
      </c>
      <c r="R147" s="42"/>
      <c r="S147" s="1" t="s">
        <v>2081</v>
      </c>
    </row>
    <row r="148" spans="1:19" ht="18.75" hidden="1" customHeight="1" x14ac:dyDescent="0.3">
      <c r="A148" s="10">
        <v>147</v>
      </c>
      <c r="B148" s="10">
        <f>_xlfn.XLOOKUP(1,(VALUE(D148)&gt;=VALUE(block!$C$3:$C$500))*(VALUE(D148)&lt;VALUE(block!$C$3:$C$500)+VALUE(block!$D$3:$D$500)),block!$A$3:$A$500,"无匹配",0,1)</f>
        <v>3</v>
      </c>
      <c r="C148" s="3" t="str">
        <f>B148 &amp; "-" &amp; COUNTIF($B$2:B148, B148)</f>
        <v>3-54</v>
      </c>
      <c r="D148" s="10">
        <v>8482</v>
      </c>
      <c r="E148" s="1" t="s">
        <v>2082</v>
      </c>
      <c r="F148" s="1" t="s">
        <v>2083</v>
      </c>
      <c r="H148" s="1" t="s">
        <v>1838</v>
      </c>
      <c r="I148" s="10" t="str">
        <f>IF(H148="T33",1,IF(H148="T33",3,IF(H148="T49",6,IF(H148="T49",10,IF(H148="T81",14,IF(H148="T81",18,IF(H148="T49",22,"")))))))</f>
        <v/>
      </c>
      <c r="J148" s="1" t="s">
        <v>1808</v>
      </c>
      <c r="K148" s="10">
        <v>2</v>
      </c>
      <c r="L148" s="10">
        <v>1</v>
      </c>
      <c r="O148" s="6"/>
      <c r="Q148" s="6">
        <v>10</v>
      </c>
      <c r="R148" s="6"/>
      <c r="S148" s="1"/>
    </row>
    <row r="149" spans="1:19" ht="18.75" customHeight="1" x14ac:dyDescent="0.3">
      <c r="A149" s="10">
        <v>148</v>
      </c>
      <c r="B149" s="10">
        <f>_xlfn.XLOOKUP(1,(VALUE(D149)&gt;=VALUE(block!$C$3:$C$500))*(VALUE(D149)&lt;VALUE(block!$C$3:$C$500)+VALUE(block!$D$3:$D$500)),block!$A$3:$A$500,"无匹配",0,1)</f>
        <v>3</v>
      </c>
      <c r="C149" s="3" t="str">
        <f>B149 &amp; "-" &amp; COUNTIF($B$2:B149, B149)</f>
        <v>3-55</v>
      </c>
      <c r="D149" s="10">
        <v>8484</v>
      </c>
      <c r="E149" s="1" t="s">
        <v>2084</v>
      </c>
      <c r="F149" s="1" t="s">
        <v>2085</v>
      </c>
      <c r="G149" s="1" t="s">
        <v>1840</v>
      </c>
      <c r="H149" s="1" t="s">
        <v>1812</v>
      </c>
      <c r="I149" s="10" t="str">
        <f>IF(H149="T34",1,IF(H149="T34",3,IF(H149="T50",6,IF(H149="T50",10,IF(H149="T82",14,IF(H149="T82",18,IF(H149="T50",22,"")))))))</f>
        <v/>
      </c>
      <c r="J149" s="1" t="s">
        <v>1808</v>
      </c>
      <c r="K149" s="10">
        <v>2</v>
      </c>
      <c r="L149" s="10">
        <v>1</v>
      </c>
      <c r="N149" s="10">
        <v>4</v>
      </c>
      <c r="O149" s="6"/>
      <c r="P149" s="45" t="s">
        <v>1862</v>
      </c>
      <c r="Q149" s="42" t="s">
        <v>1875</v>
      </c>
      <c r="R149" s="42"/>
      <c r="S149" s="1" t="s">
        <v>2085</v>
      </c>
    </row>
    <row r="150" spans="1:19" ht="18.75" customHeight="1" x14ac:dyDescent="0.3">
      <c r="A150" s="10">
        <v>149</v>
      </c>
      <c r="B150" s="10">
        <f>_xlfn.XLOOKUP(1,(VALUE(D150)&gt;=VALUE(block!$C$3:$C$500))*(VALUE(D150)&lt;VALUE(block!$C$3:$C$500)+VALUE(block!$D$3:$D$500)),block!$A$3:$A$500,"无匹配",0,1)</f>
        <v>3</v>
      </c>
      <c r="C150" s="3" t="str">
        <f>B150 &amp; "-" &amp; COUNTIF($B$2:B150, B150)</f>
        <v>3-56</v>
      </c>
      <c r="D150" s="10">
        <v>8486</v>
      </c>
      <c r="E150" s="1" t="s">
        <v>2086</v>
      </c>
      <c r="F150" s="44" t="s">
        <v>2087</v>
      </c>
      <c r="G150" s="1" t="s">
        <v>1826</v>
      </c>
      <c r="H150" s="1" t="s">
        <v>1812</v>
      </c>
      <c r="I150" s="10" t="str">
        <f>IF(H150="T35",1,IF(H150="T35",3,IF(H150="T51",6,IF(H150="T51",10,IF(H150="T83",14,IF(H150="T83",18,IF(H150="T51",22,"")))))))</f>
        <v/>
      </c>
      <c r="J150" s="1" t="s">
        <v>1808</v>
      </c>
      <c r="K150" s="10">
        <v>2</v>
      </c>
      <c r="L150" s="10">
        <v>1</v>
      </c>
      <c r="N150" s="10">
        <v>4</v>
      </c>
      <c r="O150" s="6"/>
      <c r="P150" s="45" t="s">
        <v>1862</v>
      </c>
      <c r="Q150" s="6">
        <v>10</v>
      </c>
      <c r="R150" s="6"/>
      <c r="S150" s="44" t="s">
        <v>2087</v>
      </c>
    </row>
    <row r="151" spans="1:19" ht="18.75" customHeight="1" x14ac:dyDescent="0.3">
      <c r="A151" s="10">
        <v>150</v>
      </c>
      <c r="B151" s="10">
        <f>_xlfn.XLOOKUP(1,(VALUE(D151)&gt;=VALUE(block!$C$3:$C$500))*(VALUE(D151)&lt;VALUE(block!$C$3:$C$500)+VALUE(block!$D$3:$D$500)),block!$A$3:$A$500,"无匹配",0,1)</f>
        <v>4</v>
      </c>
      <c r="C151" s="3" t="str">
        <f>B151 &amp; "-" &amp; COUNTIF($B$2:B151, B151)</f>
        <v>4-1</v>
      </c>
      <c r="D151" s="10">
        <v>8488</v>
      </c>
      <c r="E151" s="1" t="s">
        <v>2088</v>
      </c>
      <c r="F151" s="1" t="s">
        <v>2089</v>
      </c>
      <c r="G151" s="1" t="s">
        <v>1830</v>
      </c>
      <c r="H151" s="1" t="s">
        <v>1812</v>
      </c>
      <c r="I151" s="10" t="str">
        <f>IF(H151="T36",1,IF(H151="T36",3,IF(H151="T52",6,IF(H151="T52",10,IF(H151="T84",14,IF(H151="T84",18,IF(H151="T52",22,"")))))))</f>
        <v/>
      </c>
      <c r="J151" s="1" t="s">
        <v>1808</v>
      </c>
      <c r="K151" s="10">
        <v>2</v>
      </c>
      <c r="L151" s="10">
        <v>1</v>
      </c>
      <c r="N151" s="10">
        <v>4</v>
      </c>
      <c r="O151" s="6"/>
      <c r="P151" s="45" t="s">
        <v>1862</v>
      </c>
      <c r="Q151" s="42" t="s">
        <v>1863</v>
      </c>
      <c r="R151" s="42"/>
      <c r="S151" s="1" t="s">
        <v>2089</v>
      </c>
    </row>
    <row r="152" spans="1:19" ht="18.75" customHeight="1" x14ac:dyDescent="0.3">
      <c r="A152" s="10">
        <v>151</v>
      </c>
      <c r="B152" s="10">
        <f>_xlfn.XLOOKUP(1,(VALUE(D152)&gt;=VALUE(block!$C$3:$C$500))*(VALUE(D152)&lt;VALUE(block!$C$3:$C$500)+VALUE(block!$D$3:$D$500)),block!$A$3:$A$500,"无匹配",0,1)</f>
        <v>4</v>
      </c>
      <c r="C152" s="3" t="str">
        <f>B152 &amp; "-" &amp; COUNTIF($B$2:B152, B152)</f>
        <v>4-2</v>
      </c>
      <c r="D152" s="10">
        <v>8490</v>
      </c>
      <c r="E152" s="1" t="s">
        <v>2090</v>
      </c>
      <c r="F152" s="1" t="s">
        <v>2091</v>
      </c>
      <c r="G152" s="1" t="s">
        <v>1832</v>
      </c>
      <c r="H152" s="1" t="s">
        <v>1812</v>
      </c>
      <c r="I152" s="10" t="str">
        <f>IF(H152="T37",1,IF(H152="T37",3,IF(H152="T53",6,IF(H152="T53",10,IF(H152="T85",14,IF(H152="T85",18,IF(H152="T53",22,"")))))))</f>
        <v/>
      </c>
      <c r="J152" s="1" t="s">
        <v>1808</v>
      </c>
      <c r="K152" s="10">
        <v>2</v>
      </c>
      <c r="L152" s="10">
        <v>1</v>
      </c>
      <c r="N152" s="10">
        <v>4</v>
      </c>
      <c r="O152" s="6"/>
      <c r="P152" s="45" t="s">
        <v>1862</v>
      </c>
      <c r="Q152" s="42" t="s">
        <v>1863</v>
      </c>
      <c r="R152" s="42"/>
      <c r="S152" s="1" t="s">
        <v>2091</v>
      </c>
    </row>
    <row r="153" spans="1:19" ht="18.75" customHeight="1" x14ac:dyDescent="0.3">
      <c r="A153" s="10">
        <v>152</v>
      </c>
      <c r="B153" s="10">
        <f>_xlfn.XLOOKUP(1,(VALUE(D153)&gt;=VALUE(block!$C$3:$C$500))*(VALUE(D153)&lt;VALUE(block!$C$3:$C$500)+VALUE(block!$D$3:$D$500)),block!$A$3:$A$500,"无匹配",0,1)</f>
        <v>4</v>
      </c>
      <c r="C153" s="3" t="str">
        <f>B153 &amp; "-" &amp; COUNTIF($B$2:B153, B153)</f>
        <v>4-3</v>
      </c>
      <c r="D153" s="10">
        <v>8492</v>
      </c>
      <c r="E153" s="1" t="s">
        <v>2092</v>
      </c>
      <c r="F153" s="1" t="s">
        <v>2093</v>
      </c>
      <c r="G153" s="1" t="s">
        <v>1834</v>
      </c>
      <c r="H153" s="1" t="s">
        <v>1812</v>
      </c>
      <c r="I153" s="10" t="str">
        <f>IF(H153="T38",1,IF(H153="T38",3,IF(H153="T54",6,IF(H153="T54",10,IF(H153="T86",14,IF(H153="T86",18,IF(H153="T54",22,"")))))))</f>
        <v/>
      </c>
      <c r="J153" s="1" t="s">
        <v>1808</v>
      </c>
      <c r="K153" s="10">
        <v>2</v>
      </c>
      <c r="L153" s="10">
        <v>1</v>
      </c>
      <c r="N153" s="10">
        <v>4</v>
      </c>
      <c r="O153" s="6"/>
      <c r="P153" s="45" t="s">
        <v>1862</v>
      </c>
      <c r="Q153" s="42" t="s">
        <v>1868</v>
      </c>
      <c r="R153" s="42"/>
      <c r="S153" s="1" t="s">
        <v>2093</v>
      </c>
    </row>
    <row r="154" spans="1:19" ht="18.75" customHeight="1" x14ac:dyDescent="0.3">
      <c r="A154" s="10">
        <v>153</v>
      </c>
      <c r="B154" s="10">
        <f>_xlfn.XLOOKUP(1,(VALUE(D154)&gt;=VALUE(block!$C$3:$C$500))*(VALUE(D154)&lt;VALUE(block!$C$3:$C$500)+VALUE(block!$D$3:$D$500)),block!$A$3:$A$500,"无匹配",0,1)</f>
        <v>4</v>
      </c>
      <c r="C154" s="3" t="str">
        <f>B154 &amp; "-" &amp; COUNTIF($B$2:B154, B154)</f>
        <v>4-4</v>
      </c>
      <c r="D154" s="10">
        <v>8494</v>
      </c>
      <c r="E154" s="1" t="s">
        <v>2094</v>
      </c>
      <c r="F154" s="1" t="s">
        <v>2095</v>
      </c>
      <c r="G154" s="1" t="s">
        <v>1836</v>
      </c>
      <c r="H154" s="1" t="s">
        <v>1812</v>
      </c>
      <c r="I154" s="10" t="str">
        <f>IF(H154="T39",1,IF(H154="T39",3,IF(H154="T55",6,IF(H154="T55",10,IF(H154="T87",14,IF(H154="T87",18,IF(H154="T55",22,"")))))))</f>
        <v/>
      </c>
      <c r="J154" s="1" t="s">
        <v>1808</v>
      </c>
      <c r="K154" s="10">
        <v>2</v>
      </c>
      <c r="L154" s="10">
        <v>1</v>
      </c>
      <c r="N154" s="10">
        <v>4</v>
      </c>
      <c r="O154" s="6"/>
      <c r="P154" s="45" t="s">
        <v>1862</v>
      </c>
      <c r="Q154" s="42" t="s">
        <v>1868</v>
      </c>
      <c r="R154" s="42"/>
      <c r="S154" s="1" t="s">
        <v>2095</v>
      </c>
    </row>
    <row r="155" spans="1:19" ht="18.75" hidden="1" customHeight="1" x14ac:dyDescent="0.3">
      <c r="A155" s="10">
        <v>154</v>
      </c>
      <c r="B155" s="10">
        <f>_xlfn.XLOOKUP(1,(VALUE(D155)&gt;=VALUE(block!$C$3:$C$500))*(VALUE(D155)&lt;VALUE(block!$C$3:$C$500)+VALUE(block!$D$3:$D$500)),block!$A$3:$A$500,"无匹配",0,1)</f>
        <v>4</v>
      </c>
      <c r="C155" s="3" t="str">
        <f>B155 &amp; "-" &amp; COUNTIF($B$2:B155, B155)</f>
        <v>4-5</v>
      </c>
      <c r="D155" s="10">
        <v>8496</v>
      </c>
      <c r="E155" s="1" t="s">
        <v>2096</v>
      </c>
      <c r="F155" s="1" t="s">
        <v>2097</v>
      </c>
      <c r="H155" s="1" t="s">
        <v>1838</v>
      </c>
      <c r="I155" s="10" t="str">
        <f>IF(H155="T40",1,IF(H155="T40",3,IF(H155="T56",6,IF(H155="T56",10,IF(H155="T88",14,IF(H155="T88",18,IF(H155="T56",22,"")))))))</f>
        <v/>
      </c>
      <c r="J155" s="1" t="s">
        <v>1808</v>
      </c>
      <c r="K155" s="10">
        <v>2</v>
      </c>
      <c r="L155" s="10">
        <v>1</v>
      </c>
      <c r="O155" s="6"/>
      <c r="Q155" s="6">
        <v>10</v>
      </c>
      <c r="R155" s="6"/>
      <c r="S155" s="1"/>
    </row>
    <row r="156" spans="1:19" ht="18.75" customHeight="1" x14ac:dyDescent="0.3">
      <c r="A156" s="10">
        <v>155</v>
      </c>
      <c r="B156" s="10">
        <f>_xlfn.XLOOKUP(1,(VALUE(D156)&gt;=VALUE(block!$C$3:$C$500))*(VALUE(D156)&lt;VALUE(block!$C$3:$C$500)+VALUE(block!$D$3:$D$500)),block!$A$3:$A$500,"无匹配",0,1)</f>
        <v>4</v>
      </c>
      <c r="C156" s="3" t="str">
        <f>B156 &amp; "-" &amp; COUNTIF($B$2:B156, B156)</f>
        <v>4-6</v>
      </c>
      <c r="D156" s="10">
        <v>8498</v>
      </c>
      <c r="E156" s="1" t="s">
        <v>2098</v>
      </c>
      <c r="F156" s="1" t="s">
        <v>2099</v>
      </c>
      <c r="G156" s="1" t="s">
        <v>1840</v>
      </c>
      <c r="H156" s="1" t="s">
        <v>1812</v>
      </c>
      <c r="I156" s="10" t="str">
        <f>IF(H156="T41",1,IF(H156="T41",3,IF(H156="T57",6,IF(H156="T57",10,IF(H156="T89",14,IF(H156="T89",18,IF(H156="T57",22,"")))))))</f>
        <v/>
      </c>
      <c r="J156" s="1" t="s">
        <v>1808</v>
      </c>
      <c r="K156" s="10">
        <v>2</v>
      </c>
      <c r="L156" s="10">
        <v>1</v>
      </c>
      <c r="N156" s="10">
        <v>4</v>
      </c>
      <c r="O156" s="6"/>
      <c r="P156" s="45" t="s">
        <v>1862</v>
      </c>
      <c r="Q156" s="42" t="s">
        <v>1875</v>
      </c>
      <c r="R156" s="42"/>
      <c r="S156" s="1" t="s">
        <v>2099</v>
      </c>
    </row>
    <row r="157" spans="1:19" ht="18.75" customHeight="1" x14ac:dyDescent="0.3">
      <c r="A157" s="10">
        <v>156</v>
      </c>
      <c r="B157" s="10">
        <f>_xlfn.XLOOKUP(1,(VALUE(D157)&gt;=VALUE(block!$C$3:$C$500))*(VALUE(D157)&lt;VALUE(block!$C$3:$C$500)+VALUE(block!$D$3:$D$500)),block!$A$3:$A$500,"无匹配",0,1)</f>
        <v>4</v>
      </c>
      <c r="C157" s="3" t="str">
        <f>B157 &amp; "-" &amp; COUNTIF($B$2:B157, B157)</f>
        <v>4-7</v>
      </c>
      <c r="D157" s="10">
        <v>8500</v>
      </c>
      <c r="E157" s="1" t="s">
        <v>2100</v>
      </c>
      <c r="F157" s="44" t="s">
        <v>2101</v>
      </c>
      <c r="G157" s="1" t="s">
        <v>1826</v>
      </c>
      <c r="H157" s="1" t="s">
        <v>1812</v>
      </c>
      <c r="I157" s="10" t="str">
        <f>IF(H157="T42",1,IF(H157="T42",3,IF(H157="T58",6,IF(H157="T58",10,IF(H157="T90",14,IF(H157="T90",18,IF(H157="T58",22,"")))))))</f>
        <v/>
      </c>
      <c r="J157" s="1" t="s">
        <v>1808</v>
      </c>
      <c r="K157" s="10">
        <v>2</v>
      </c>
      <c r="L157" s="10">
        <v>1</v>
      </c>
      <c r="N157" s="10">
        <v>4</v>
      </c>
      <c r="O157" s="6"/>
      <c r="P157" s="45" t="s">
        <v>1862</v>
      </c>
      <c r="Q157" s="6">
        <v>10</v>
      </c>
      <c r="R157" s="6"/>
      <c r="S157" s="44" t="s">
        <v>2101</v>
      </c>
    </row>
    <row r="158" spans="1:19" ht="18.75" customHeight="1" x14ac:dyDescent="0.3">
      <c r="A158" s="10">
        <v>157</v>
      </c>
      <c r="B158" s="10">
        <f>_xlfn.XLOOKUP(1,(VALUE(D158)&gt;=VALUE(block!$C$3:$C$500))*(VALUE(D158)&lt;VALUE(block!$C$3:$C$500)+VALUE(block!$D$3:$D$500)),block!$A$3:$A$500,"无匹配",0,1)</f>
        <v>4</v>
      </c>
      <c r="C158" s="3" t="str">
        <f>B158 &amp; "-" &amp; COUNTIF($B$2:B158, B158)</f>
        <v>4-8</v>
      </c>
      <c r="D158" s="10">
        <v>8502</v>
      </c>
      <c r="E158" s="1" t="s">
        <v>2102</v>
      </c>
      <c r="F158" s="1" t="s">
        <v>2103</v>
      </c>
      <c r="G158" s="1" t="s">
        <v>1830</v>
      </c>
      <c r="H158" s="1" t="s">
        <v>1812</v>
      </c>
      <c r="I158" s="10" t="str">
        <f>IF(H158="T43",1,IF(H158="T43",3,IF(H158="T59",6,IF(H158="T59",10,IF(H158="T91",14,IF(H158="T91",18,IF(H158="T59",22,"")))))))</f>
        <v/>
      </c>
      <c r="J158" s="1" t="s">
        <v>1808</v>
      </c>
      <c r="K158" s="10">
        <v>2</v>
      </c>
      <c r="L158" s="10">
        <v>1</v>
      </c>
      <c r="N158" s="10">
        <v>4</v>
      </c>
      <c r="O158" s="6"/>
      <c r="P158" s="45" t="s">
        <v>1862</v>
      </c>
      <c r="Q158" s="42" t="s">
        <v>1863</v>
      </c>
      <c r="R158" s="42"/>
      <c r="S158" s="1" t="s">
        <v>2103</v>
      </c>
    </row>
    <row r="159" spans="1:19" ht="18.75" customHeight="1" x14ac:dyDescent="0.3">
      <c r="A159" s="10">
        <v>158</v>
      </c>
      <c r="B159" s="10">
        <f>_xlfn.XLOOKUP(1,(VALUE(D159)&gt;=VALUE(block!$C$3:$C$500))*(VALUE(D159)&lt;VALUE(block!$C$3:$C$500)+VALUE(block!$D$3:$D$500)),block!$A$3:$A$500,"无匹配",0,1)</f>
        <v>4</v>
      </c>
      <c r="C159" s="3" t="str">
        <f>B159 &amp; "-" &amp; COUNTIF($B$2:B159, B159)</f>
        <v>4-9</v>
      </c>
      <c r="D159" s="10">
        <v>8504</v>
      </c>
      <c r="E159" s="1" t="s">
        <v>2104</v>
      </c>
      <c r="F159" s="1" t="s">
        <v>2105</v>
      </c>
      <c r="G159" s="1" t="s">
        <v>1832</v>
      </c>
      <c r="H159" s="1" t="s">
        <v>1812</v>
      </c>
      <c r="I159" s="10" t="str">
        <f>IF(H159="T44",1,IF(H159="T44",3,IF(H159="T60",6,IF(H159="T60",10,IF(H159="T92",14,IF(H159="T92",18,IF(H159="T60",22,"")))))))</f>
        <v/>
      </c>
      <c r="J159" s="1" t="s">
        <v>1808</v>
      </c>
      <c r="K159" s="10">
        <v>2</v>
      </c>
      <c r="L159" s="10">
        <v>1</v>
      </c>
      <c r="N159" s="10">
        <v>4</v>
      </c>
      <c r="O159" s="6"/>
      <c r="P159" s="45" t="s">
        <v>1862</v>
      </c>
      <c r="Q159" s="42" t="s">
        <v>1863</v>
      </c>
      <c r="R159" s="42"/>
      <c r="S159" s="1" t="s">
        <v>2105</v>
      </c>
    </row>
    <row r="160" spans="1:19" ht="18.75" customHeight="1" x14ac:dyDescent="0.3">
      <c r="A160" s="10">
        <v>159</v>
      </c>
      <c r="B160" s="10">
        <f>_xlfn.XLOOKUP(1,(VALUE(D160)&gt;=VALUE(block!$C$3:$C$500))*(VALUE(D160)&lt;VALUE(block!$C$3:$C$500)+VALUE(block!$D$3:$D$500)),block!$A$3:$A$500,"无匹配",0,1)</f>
        <v>4</v>
      </c>
      <c r="C160" s="3" t="str">
        <f>B160 &amp; "-" &amp; COUNTIF($B$2:B160, B160)</f>
        <v>4-10</v>
      </c>
      <c r="D160" s="10">
        <v>8506</v>
      </c>
      <c r="E160" s="1" t="s">
        <v>2106</v>
      </c>
      <c r="F160" s="1" t="s">
        <v>2107</v>
      </c>
      <c r="G160" s="1" t="s">
        <v>1834</v>
      </c>
      <c r="H160" s="1" t="s">
        <v>1812</v>
      </c>
      <c r="I160" s="10" t="str">
        <f>IF(H160="T45",1,IF(H160="T45",3,IF(H160="T61",6,IF(H160="T61",10,IF(H160="T93",14,IF(H160="T93",18,IF(H160="T61",22,"")))))))</f>
        <v/>
      </c>
      <c r="J160" s="1" t="s">
        <v>1808</v>
      </c>
      <c r="K160" s="10">
        <v>2</v>
      </c>
      <c r="L160" s="10">
        <v>1</v>
      </c>
      <c r="N160" s="10">
        <v>4</v>
      </c>
      <c r="O160" s="6"/>
      <c r="P160" s="45" t="s">
        <v>1862</v>
      </c>
      <c r="Q160" s="42" t="s">
        <v>1868</v>
      </c>
      <c r="R160" s="42"/>
      <c r="S160" s="1" t="s">
        <v>2107</v>
      </c>
    </row>
    <row r="161" spans="1:19" ht="18.75" customHeight="1" x14ac:dyDescent="0.3">
      <c r="A161" s="10">
        <v>160</v>
      </c>
      <c r="B161" s="10">
        <f>_xlfn.XLOOKUP(1,(VALUE(D161)&gt;=VALUE(block!$C$3:$C$500))*(VALUE(D161)&lt;VALUE(block!$C$3:$C$500)+VALUE(block!$D$3:$D$500)),block!$A$3:$A$500,"无匹配",0,1)</f>
        <v>4</v>
      </c>
      <c r="C161" s="3" t="str">
        <f>B161 &amp; "-" &amp; COUNTIF($B$2:B161, B161)</f>
        <v>4-11</v>
      </c>
      <c r="D161" s="10">
        <v>8508</v>
      </c>
      <c r="E161" s="1" t="s">
        <v>2108</v>
      </c>
      <c r="F161" s="1" t="s">
        <v>2109</v>
      </c>
      <c r="G161" s="1" t="s">
        <v>1836</v>
      </c>
      <c r="H161" s="1" t="s">
        <v>1812</v>
      </c>
      <c r="I161" s="10" t="str">
        <f>IF(H161="T46",1,IF(H161="T46",3,IF(H161="T62",6,IF(H161="T62",10,IF(H161="T94",14,IF(H161="T94",18,IF(H161="T62",22,"")))))))</f>
        <v/>
      </c>
      <c r="J161" s="1" t="s">
        <v>1808</v>
      </c>
      <c r="K161" s="10">
        <v>2</v>
      </c>
      <c r="L161" s="10">
        <v>1</v>
      </c>
      <c r="N161" s="10">
        <v>4</v>
      </c>
      <c r="O161" s="6"/>
      <c r="P161" s="45" t="s">
        <v>1862</v>
      </c>
      <c r="Q161" s="42" t="s">
        <v>1868</v>
      </c>
      <c r="R161" s="42"/>
      <c r="S161" s="1" t="s">
        <v>2109</v>
      </c>
    </row>
    <row r="162" spans="1:19" ht="18.75" hidden="1" customHeight="1" x14ac:dyDescent="0.3">
      <c r="A162" s="10">
        <v>161</v>
      </c>
      <c r="B162" s="10">
        <f>_xlfn.XLOOKUP(1,(VALUE(D162)&gt;=VALUE(block!$C$3:$C$500))*(VALUE(D162)&lt;VALUE(block!$C$3:$C$500)+VALUE(block!$D$3:$D$500)),block!$A$3:$A$500,"无匹配",0,1)</f>
        <v>4</v>
      </c>
      <c r="C162" s="3" t="str">
        <f>B162 &amp; "-" &amp; COUNTIF($B$2:B162, B162)</f>
        <v>4-12</v>
      </c>
      <c r="D162" s="10">
        <v>8510</v>
      </c>
      <c r="E162" s="1" t="s">
        <v>2110</v>
      </c>
      <c r="F162" s="1" t="s">
        <v>2111</v>
      </c>
      <c r="H162" s="1" t="s">
        <v>1838</v>
      </c>
      <c r="I162" s="10" t="str">
        <f>IF(H162="T47",1,IF(H162="T47",3,IF(H162="T63",6,IF(H162="T63",10,IF(H162="T95",14,IF(H162="T95",18,IF(H162="T63",22,"")))))))</f>
        <v/>
      </c>
      <c r="J162" s="1" t="s">
        <v>1808</v>
      </c>
      <c r="K162" s="10">
        <v>2</v>
      </c>
      <c r="L162" s="10">
        <v>1</v>
      </c>
      <c r="O162" s="6"/>
      <c r="Q162" s="6">
        <v>10</v>
      </c>
      <c r="R162" s="6"/>
      <c r="S162" s="1"/>
    </row>
    <row r="163" spans="1:19" ht="18.75" customHeight="1" x14ac:dyDescent="0.3">
      <c r="A163" s="10">
        <v>162</v>
      </c>
      <c r="B163" s="10">
        <f>_xlfn.XLOOKUP(1,(VALUE(D163)&gt;=VALUE(block!$C$3:$C$500))*(VALUE(D163)&lt;VALUE(block!$C$3:$C$500)+VALUE(block!$D$3:$D$500)),block!$A$3:$A$500,"无匹配",0,1)</f>
        <v>4</v>
      </c>
      <c r="C163" s="3" t="str">
        <f>B163 &amp; "-" &amp; COUNTIF($B$2:B163, B163)</f>
        <v>4-13</v>
      </c>
      <c r="D163" s="10">
        <v>8512</v>
      </c>
      <c r="E163" s="1" t="s">
        <v>2112</v>
      </c>
      <c r="F163" s="1" t="s">
        <v>2113</v>
      </c>
      <c r="G163" s="1" t="s">
        <v>1840</v>
      </c>
      <c r="H163" s="1" t="s">
        <v>1812</v>
      </c>
      <c r="I163" s="10" t="str">
        <f>IF(H163="T48",1,IF(H163="T48",3,IF(H163="T64",6,IF(H163="T64",10,IF(H163="T96",14,IF(H163="T96",18,IF(H163="T64",22,"")))))))</f>
        <v/>
      </c>
      <c r="J163" s="1" t="s">
        <v>1808</v>
      </c>
      <c r="K163" s="10">
        <v>2</v>
      </c>
      <c r="L163" s="10">
        <v>1</v>
      </c>
      <c r="N163" s="10">
        <v>4</v>
      </c>
      <c r="O163" s="6"/>
      <c r="P163" s="45" t="s">
        <v>1862</v>
      </c>
      <c r="Q163" s="42" t="s">
        <v>1875</v>
      </c>
      <c r="R163" s="42"/>
      <c r="S163" s="1" t="s">
        <v>2113</v>
      </c>
    </row>
    <row r="164" spans="1:19" ht="18.75" customHeight="1" x14ac:dyDescent="0.3">
      <c r="A164" s="10">
        <v>163</v>
      </c>
      <c r="B164" s="10">
        <f>_xlfn.XLOOKUP(1,(VALUE(D164)&gt;=VALUE(block!$C$3:$C$500))*(VALUE(D164)&lt;VALUE(block!$C$3:$C$500)+VALUE(block!$D$3:$D$500)),block!$A$3:$A$500,"无匹配",0,1)</f>
        <v>4</v>
      </c>
      <c r="C164" s="3" t="str">
        <f>B164 &amp; "-" &amp; COUNTIF($B$2:B164, B164)</f>
        <v>4-14</v>
      </c>
      <c r="D164" s="10">
        <v>8514</v>
      </c>
      <c r="E164" s="1" t="s">
        <v>2114</v>
      </c>
      <c r="F164" s="44" t="s">
        <v>2115</v>
      </c>
      <c r="G164" s="1" t="s">
        <v>1826</v>
      </c>
      <c r="H164" s="1" t="s">
        <v>1812</v>
      </c>
      <c r="I164" s="10" t="str">
        <f>IF(H164="T49",1,IF(H164="T49",3,IF(H164="T65",6,IF(H164="T65",10,IF(H164="T97",14,IF(H164="T97",18,IF(H164="T65",22,"")))))))</f>
        <v/>
      </c>
      <c r="J164" s="1" t="s">
        <v>1808</v>
      </c>
      <c r="K164" s="10">
        <v>2</v>
      </c>
      <c r="L164" s="10">
        <v>1</v>
      </c>
      <c r="N164" s="10">
        <v>4</v>
      </c>
      <c r="O164" s="6"/>
      <c r="P164" s="45" t="s">
        <v>1862</v>
      </c>
      <c r="Q164" s="6">
        <v>10</v>
      </c>
      <c r="R164" s="6"/>
      <c r="S164" s="44" t="s">
        <v>2115</v>
      </c>
    </row>
    <row r="165" spans="1:19" ht="18.75" customHeight="1" x14ac:dyDescent="0.3">
      <c r="A165" s="10">
        <v>164</v>
      </c>
      <c r="B165" s="10">
        <f>_xlfn.XLOOKUP(1,(VALUE(D165)&gt;=VALUE(block!$C$3:$C$500))*(VALUE(D165)&lt;VALUE(block!$C$3:$C$500)+VALUE(block!$D$3:$D$500)),block!$A$3:$A$500,"无匹配",0,1)</f>
        <v>4</v>
      </c>
      <c r="C165" s="3" t="str">
        <f>B165 &amp; "-" &amp; COUNTIF($B$2:B165, B165)</f>
        <v>4-15</v>
      </c>
      <c r="D165" s="10">
        <v>8516</v>
      </c>
      <c r="E165" s="1" t="s">
        <v>2116</v>
      </c>
      <c r="F165" s="1" t="s">
        <v>2117</v>
      </c>
      <c r="G165" s="1" t="s">
        <v>1830</v>
      </c>
      <c r="H165" s="1" t="s">
        <v>1812</v>
      </c>
      <c r="I165" s="10" t="str">
        <f>IF(H165="T50",1,IF(H165="T50",3,IF(H165="T66",6,IF(H165="T66",10,IF(H165="T98",14,IF(H165="T98",18,IF(H165="T66",22,"")))))))</f>
        <v/>
      </c>
      <c r="J165" s="1" t="s">
        <v>1808</v>
      </c>
      <c r="K165" s="10">
        <v>2</v>
      </c>
      <c r="L165" s="10">
        <v>1</v>
      </c>
      <c r="N165" s="10">
        <v>4</v>
      </c>
      <c r="O165" s="6"/>
      <c r="P165" s="45" t="s">
        <v>1862</v>
      </c>
      <c r="Q165" s="42" t="s">
        <v>1863</v>
      </c>
      <c r="R165" s="42"/>
      <c r="S165" s="1" t="s">
        <v>2117</v>
      </c>
    </row>
    <row r="166" spans="1:19" ht="18.75" customHeight="1" x14ac:dyDescent="0.3">
      <c r="A166" s="10">
        <v>165</v>
      </c>
      <c r="B166" s="10">
        <f>_xlfn.XLOOKUP(1,(VALUE(D166)&gt;=VALUE(block!$C$3:$C$500))*(VALUE(D166)&lt;VALUE(block!$C$3:$C$500)+VALUE(block!$D$3:$D$500)),block!$A$3:$A$500,"无匹配",0,1)</f>
        <v>4</v>
      </c>
      <c r="C166" s="3" t="str">
        <f>B166 &amp; "-" &amp; COUNTIF($B$2:B166, B166)</f>
        <v>4-16</v>
      </c>
      <c r="D166" s="10">
        <v>8518</v>
      </c>
      <c r="E166" s="1" t="s">
        <v>2118</v>
      </c>
      <c r="F166" s="1" t="s">
        <v>2119</v>
      </c>
      <c r="G166" s="1" t="s">
        <v>1832</v>
      </c>
      <c r="H166" s="1" t="s">
        <v>1812</v>
      </c>
      <c r="I166" s="10" t="str">
        <f>IF(H166="T51",1,IF(H166="T51",3,IF(H166="T67",6,IF(H166="T67",10,IF(H166="T99",14,IF(H166="T99",18,IF(H166="T67",22,"")))))))</f>
        <v/>
      </c>
      <c r="J166" s="1" t="s">
        <v>1808</v>
      </c>
      <c r="K166" s="10">
        <v>2</v>
      </c>
      <c r="L166" s="10">
        <v>1</v>
      </c>
      <c r="N166" s="10">
        <v>4</v>
      </c>
      <c r="O166" s="6"/>
      <c r="P166" s="45" t="s">
        <v>1862</v>
      </c>
      <c r="Q166" s="42" t="s">
        <v>1863</v>
      </c>
      <c r="R166" s="42"/>
      <c r="S166" s="1" t="s">
        <v>2119</v>
      </c>
    </row>
    <row r="167" spans="1:19" ht="18.75" customHeight="1" x14ac:dyDescent="0.3">
      <c r="A167" s="10">
        <v>166</v>
      </c>
      <c r="B167" s="10">
        <f>_xlfn.XLOOKUP(1,(VALUE(D167)&gt;=VALUE(block!$C$3:$C$500))*(VALUE(D167)&lt;VALUE(block!$C$3:$C$500)+VALUE(block!$D$3:$D$500)),block!$A$3:$A$500,"无匹配",0,1)</f>
        <v>4</v>
      </c>
      <c r="C167" s="3" t="str">
        <f>B167 &amp; "-" &amp; COUNTIF($B$2:B167, B167)</f>
        <v>4-17</v>
      </c>
      <c r="D167" s="10">
        <v>8520</v>
      </c>
      <c r="E167" s="1" t="s">
        <v>2120</v>
      </c>
      <c r="F167" s="1" t="s">
        <v>2121</v>
      </c>
      <c r="G167" s="1" t="s">
        <v>1834</v>
      </c>
      <c r="H167" s="1" t="s">
        <v>1812</v>
      </c>
      <c r="I167" s="10" t="str">
        <f>IF(H167="T52",1,IF(H167="T52",3,IF(H167="T68",6,IF(H167="T68",10,IF(H167="T100",14,IF(H167="T100",18,IF(H167="T68",22,"")))))))</f>
        <v/>
      </c>
      <c r="J167" s="1" t="s">
        <v>1808</v>
      </c>
      <c r="K167" s="10">
        <v>2</v>
      </c>
      <c r="L167" s="10">
        <v>1</v>
      </c>
      <c r="N167" s="10">
        <v>4</v>
      </c>
      <c r="O167" s="6"/>
      <c r="P167" s="45" t="s">
        <v>1862</v>
      </c>
      <c r="Q167" s="42" t="s">
        <v>1868</v>
      </c>
      <c r="R167" s="42"/>
      <c r="S167" s="1" t="s">
        <v>2121</v>
      </c>
    </row>
    <row r="168" spans="1:19" ht="18.75" customHeight="1" x14ac:dyDescent="0.3">
      <c r="A168" s="10">
        <v>167</v>
      </c>
      <c r="B168" s="10">
        <f>_xlfn.XLOOKUP(1,(VALUE(D168)&gt;=VALUE(block!$C$3:$C$500))*(VALUE(D168)&lt;VALUE(block!$C$3:$C$500)+VALUE(block!$D$3:$D$500)),block!$A$3:$A$500,"无匹配",0,1)</f>
        <v>4</v>
      </c>
      <c r="C168" s="3" t="str">
        <f>B168 &amp; "-" &amp; COUNTIF($B$2:B168, B168)</f>
        <v>4-18</v>
      </c>
      <c r="D168" s="10">
        <v>8522</v>
      </c>
      <c r="E168" s="1" t="s">
        <v>2122</v>
      </c>
      <c r="F168" s="1" t="s">
        <v>2123</v>
      </c>
      <c r="G168" s="1" t="s">
        <v>1836</v>
      </c>
      <c r="H168" s="1" t="s">
        <v>1812</v>
      </c>
      <c r="I168" s="10" t="str">
        <f>IF(H168="T53",1,IF(H168="T53",3,IF(H168="T69",6,IF(H168="T69",10,IF(H168="T101",14,IF(H168="T101",18,IF(H168="T69",22,"")))))))</f>
        <v/>
      </c>
      <c r="J168" s="1" t="s">
        <v>1808</v>
      </c>
      <c r="K168" s="10">
        <v>2</v>
      </c>
      <c r="L168" s="10">
        <v>1</v>
      </c>
      <c r="N168" s="10">
        <v>4</v>
      </c>
      <c r="O168" s="6"/>
      <c r="P168" s="45" t="s">
        <v>1862</v>
      </c>
      <c r="Q168" s="42" t="s">
        <v>1868</v>
      </c>
      <c r="R168" s="42"/>
      <c r="S168" s="1" t="s">
        <v>2123</v>
      </c>
    </row>
    <row r="169" spans="1:19" ht="18.75" hidden="1" customHeight="1" x14ac:dyDescent="0.3">
      <c r="A169" s="10">
        <v>168</v>
      </c>
      <c r="B169" s="10">
        <f>_xlfn.XLOOKUP(1,(VALUE(D169)&gt;=VALUE(block!$C$3:$C$500))*(VALUE(D169)&lt;VALUE(block!$C$3:$C$500)+VALUE(block!$D$3:$D$500)),block!$A$3:$A$500,"无匹配",0,1)</f>
        <v>4</v>
      </c>
      <c r="C169" s="3" t="str">
        <f>B169 &amp; "-" &amp; COUNTIF($B$2:B169, B169)</f>
        <v>4-19</v>
      </c>
      <c r="D169" s="10">
        <v>8524</v>
      </c>
      <c r="E169" s="1" t="s">
        <v>2124</v>
      </c>
      <c r="F169" s="1" t="s">
        <v>2125</v>
      </c>
      <c r="H169" s="1" t="s">
        <v>1838</v>
      </c>
      <c r="I169" s="10" t="str">
        <f>IF(H169="T54",1,IF(H169="T54",3,IF(H169="T70",6,IF(H169="T70",10,IF(H169="T102",14,IF(H169="T102",18,IF(H169="T70",22,"")))))))</f>
        <v/>
      </c>
      <c r="J169" s="1" t="s">
        <v>1808</v>
      </c>
      <c r="K169" s="10">
        <v>2</v>
      </c>
      <c r="L169" s="10">
        <v>1</v>
      </c>
      <c r="O169" s="6"/>
      <c r="Q169" s="6">
        <v>10</v>
      </c>
      <c r="R169" s="6"/>
      <c r="S169" s="1"/>
    </row>
    <row r="170" spans="1:19" ht="18.75" customHeight="1" x14ac:dyDescent="0.3">
      <c r="A170" s="10">
        <v>169</v>
      </c>
      <c r="B170" s="10">
        <f>_xlfn.XLOOKUP(1,(VALUE(D170)&gt;=VALUE(block!$C$3:$C$500))*(VALUE(D170)&lt;VALUE(block!$C$3:$C$500)+VALUE(block!$D$3:$D$500)),block!$A$3:$A$500,"无匹配",0,1)</f>
        <v>4</v>
      </c>
      <c r="C170" s="3" t="str">
        <f>B170 &amp; "-" &amp; COUNTIF($B$2:B170, B170)</f>
        <v>4-20</v>
      </c>
      <c r="D170" s="10">
        <v>8526</v>
      </c>
      <c r="E170" s="1" t="s">
        <v>2126</v>
      </c>
      <c r="F170" s="1" t="s">
        <v>2127</v>
      </c>
      <c r="G170" s="1" t="s">
        <v>1840</v>
      </c>
      <c r="H170" s="1" t="s">
        <v>1812</v>
      </c>
      <c r="I170" s="10" t="str">
        <f>IF(H170="T55",1,IF(H170="T55",3,IF(H170="T71",6,IF(H170="T71",10,IF(H170="T103",14,IF(H170="T103",18,IF(H170="T71",22,"")))))))</f>
        <v/>
      </c>
      <c r="J170" s="1" t="s">
        <v>1808</v>
      </c>
      <c r="K170" s="10">
        <v>2</v>
      </c>
      <c r="L170" s="10">
        <v>1</v>
      </c>
      <c r="N170" s="10">
        <v>4</v>
      </c>
      <c r="O170" s="6"/>
      <c r="P170" s="45" t="s">
        <v>1862</v>
      </c>
      <c r="Q170" s="42" t="s">
        <v>1875</v>
      </c>
      <c r="R170" s="42"/>
      <c r="S170" s="1" t="s">
        <v>2127</v>
      </c>
    </row>
    <row r="171" spans="1:19" ht="18.75" customHeight="1" x14ac:dyDescent="0.3">
      <c r="A171" s="10">
        <v>170</v>
      </c>
      <c r="B171" s="10">
        <f>_xlfn.XLOOKUP(1,(VALUE(D171)&gt;=VALUE(block!$C$3:$C$500))*(VALUE(D171)&lt;VALUE(block!$C$3:$C$500)+VALUE(block!$D$3:$D$500)),block!$A$3:$A$500,"无匹配",0,1)</f>
        <v>4</v>
      </c>
      <c r="C171" s="3" t="str">
        <f>B171 &amp; "-" &amp; COUNTIF($B$2:B171, B171)</f>
        <v>4-21</v>
      </c>
      <c r="D171" s="10">
        <v>8528</v>
      </c>
      <c r="E171" s="1" t="s">
        <v>2128</v>
      </c>
      <c r="F171" s="44" t="s">
        <v>2129</v>
      </c>
      <c r="G171" s="1" t="s">
        <v>1826</v>
      </c>
      <c r="H171" s="1" t="s">
        <v>1812</v>
      </c>
      <c r="I171" s="10" t="str">
        <f>IF(H171="T56",1,IF(H171="T56",3,IF(H171="T72",6,IF(H171="T72",10,IF(H171="T104",14,IF(H171="T104",18,IF(H171="T72",22,"")))))))</f>
        <v/>
      </c>
      <c r="J171" s="1" t="s">
        <v>1808</v>
      </c>
      <c r="K171" s="10">
        <v>2</v>
      </c>
      <c r="L171" s="10">
        <v>1</v>
      </c>
      <c r="N171" s="10">
        <v>4</v>
      </c>
      <c r="O171" s="6"/>
      <c r="P171" s="45" t="s">
        <v>1862</v>
      </c>
      <c r="Q171" s="6">
        <v>10</v>
      </c>
      <c r="R171" s="6"/>
      <c r="S171" s="44" t="s">
        <v>2129</v>
      </c>
    </row>
    <row r="172" spans="1:19" ht="18.75" customHeight="1" x14ac:dyDescent="0.3">
      <c r="A172" s="10">
        <v>171</v>
      </c>
      <c r="B172" s="10">
        <f>_xlfn.XLOOKUP(1,(VALUE(D172)&gt;=VALUE(block!$C$3:$C$500))*(VALUE(D172)&lt;VALUE(block!$C$3:$C$500)+VALUE(block!$D$3:$D$500)),block!$A$3:$A$500,"无匹配",0,1)</f>
        <v>4</v>
      </c>
      <c r="C172" s="3" t="str">
        <f>B172 &amp; "-" &amp; COUNTIF($B$2:B172, B172)</f>
        <v>4-22</v>
      </c>
      <c r="D172" s="10">
        <v>8530</v>
      </c>
      <c r="E172" s="1" t="s">
        <v>2130</v>
      </c>
      <c r="F172" s="1" t="s">
        <v>2131</v>
      </c>
      <c r="G172" s="1" t="s">
        <v>1830</v>
      </c>
      <c r="H172" s="1" t="s">
        <v>1812</v>
      </c>
      <c r="I172" s="10" t="str">
        <f>IF(H172="T57",1,IF(H172="T57",3,IF(H172="T73",6,IF(H172="T73",10,IF(H172="T105",14,IF(H172="T105",18,IF(H172="T73",22,"")))))))</f>
        <v/>
      </c>
      <c r="J172" s="1" t="s">
        <v>1808</v>
      </c>
      <c r="K172" s="10">
        <v>2</v>
      </c>
      <c r="L172" s="10">
        <v>1</v>
      </c>
      <c r="N172" s="10">
        <v>4</v>
      </c>
      <c r="O172" s="6"/>
      <c r="P172" s="45" t="s">
        <v>1862</v>
      </c>
      <c r="Q172" s="42" t="s">
        <v>1863</v>
      </c>
      <c r="R172" s="42"/>
      <c r="S172" s="1" t="s">
        <v>2131</v>
      </c>
    </row>
    <row r="173" spans="1:19" ht="18.75" customHeight="1" x14ac:dyDescent="0.3">
      <c r="A173" s="10">
        <v>172</v>
      </c>
      <c r="B173" s="10">
        <f>_xlfn.XLOOKUP(1,(VALUE(D173)&gt;=VALUE(block!$C$3:$C$500))*(VALUE(D173)&lt;VALUE(block!$C$3:$C$500)+VALUE(block!$D$3:$D$500)),block!$A$3:$A$500,"无匹配",0,1)</f>
        <v>4</v>
      </c>
      <c r="C173" s="3" t="str">
        <f>B173 &amp; "-" &amp; COUNTIF($B$2:B173, B173)</f>
        <v>4-23</v>
      </c>
      <c r="D173" s="10">
        <v>8532</v>
      </c>
      <c r="E173" s="1" t="s">
        <v>2132</v>
      </c>
      <c r="F173" s="1" t="s">
        <v>2133</v>
      </c>
      <c r="G173" s="1" t="s">
        <v>1832</v>
      </c>
      <c r="H173" s="1" t="s">
        <v>1812</v>
      </c>
      <c r="I173" s="10" t="str">
        <f>IF(H173="T58",1,IF(H173="T58",3,IF(H173="T74",6,IF(H173="T74",10,IF(H173="T106",14,IF(H173="T106",18,IF(H173="T74",22,"")))))))</f>
        <v/>
      </c>
      <c r="J173" s="1" t="s">
        <v>1808</v>
      </c>
      <c r="K173" s="10">
        <v>2</v>
      </c>
      <c r="L173" s="10">
        <v>1</v>
      </c>
      <c r="N173" s="10">
        <v>4</v>
      </c>
      <c r="O173" s="6"/>
      <c r="P173" s="45" t="s">
        <v>1862</v>
      </c>
      <c r="Q173" s="42" t="s">
        <v>1863</v>
      </c>
      <c r="R173" s="42"/>
      <c r="S173" s="1" t="s">
        <v>2133</v>
      </c>
    </row>
    <row r="174" spans="1:19" ht="18.75" customHeight="1" x14ac:dyDescent="0.3">
      <c r="A174" s="10">
        <v>173</v>
      </c>
      <c r="B174" s="10">
        <f>_xlfn.XLOOKUP(1,(VALUE(D174)&gt;=VALUE(block!$C$3:$C$500))*(VALUE(D174)&lt;VALUE(block!$C$3:$C$500)+VALUE(block!$D$3:$D$500)),block!$A$3:$A$500,"无匹配",0,1)</f>
        <v>4</v>
      </c>
      <c r="C174" s="3" t="str">
        <f>B174 &amp; "-" &amp; COUNTIF($B$2:B174, B174)</f>
        <v>4-24</v>
      </c>
      <c r="D174" s="10">
        <v>8534</v>
      </c>
      <c r="E174" s="1" t="s">
        <v>2134</v>
      </c>
      <c r="F174" s="1" t="s">
        <v>2135</v>
      </c>
      <c r="G174" s="1" t="s">
        <v>1834</v>
      </c>
      <c r="H174" s="1" t="s">
        <v>1812</v>
      </c>
      <c r="I174" s="10" t="str">
        <f>IF(H174="T59",1,IF(H174="T59",3,IF(H174="T75",6,IF(H174="T75",10,IF(H174="T107",14,IF(H174="T107",18,IF(H174="T75",22,"")))))))</f>
        <v/>
      </c>
      <c r="J174" s="1" t="s">
        <v>1808</v>
      </c>
      <c r="K174" s="10">
        <v>2</v>
      </c>
      <c r="L174" s="10">
        <v>1</v>
      </c>
      <c r="N174" s="10">
        <v>4</v>
      </c>
      <c r="O174" s="6"/>
      <c r="P174" s="45" t="s">
        <v>1862</v>
      </c>
      <c r="Q174" s="42" t="s">
        <v>1868</v>
      </c>
      <c r="R174" s="42"/>
      <c r="S174" s="1" t="s">
        <v>2135</v>
      </c>
    </row>
    <row r="175" spans="1:19" ht="18.75" customHeight="1" x14ac:dyDescent="0.3">
      <c r="A175" s="10">
        <v>174</v>
      </c>
      <c r="B175" s="10">
        <f>_xlfn.XLOOKUP(1,(VALUE(D175)&gt;=VALUE(block!$C$3:$C$500))*(VALUE(D175)&lt;VALUE(block!$C$3:$C$500)+VALUE(block!$D$3:$D$500)),block!$A$3:$A$500,"无匹配",0,1)</f>
        <v>4</v>
      </c>
      <c r="C175" s="3" t="str">
        <f>B175 &amp; "-" &amp; COUNTIF($B$2:B175, B175)</f>
        <v>4-25</v>
      </c>
      <c r="D175" s="10">
        <v>8536</v>
      </c>
      <c r="E175" s="1" t="s">
        <v>2136</v>
      </c>
      <c r="F175" s="1" t="s">
        <v>2137</v>
      </c>
      <c r="G175" s="1" t="s">
        <v>1836</v>
      </c>
      <c r="H175" s="1" t="s">
        <v>1812</v>
      </c>
      <c r="I175" s="10" t="str">
        <f>IF(H175="T60",1,IF(H175="T60",3,IF(H175="T76",6,IF(H175="T76",10,IF(H175="T108",14,IF(H175="T108",18,IF(H175="T76",22,"")))))))</f>
        <v/>
      </c>
      <c r="J175" s="1" t="s">
        <v>1808</v>
      </c>
      <c r="K175" s="10">
        <v>2</v>
      </c>
      <c r="L175" s="10">
        <v>1</v>
      </c>
      <c r="N175" s="10">
        <v>4</v>
      </c>
      <c r="O175" s="6"/>
      <c r="P175" s="45" t="s">
        <v>1862</v>
      </c>
      <c r="Q175" s="42" t="s">
        <v>1868</v>
      </c>
      <c r="R175" s="42"/>
      <c r="S175" s="1" t="s">
        <v>2137</v>
      </c>
    </row>
    <row r="176" spans="1:19" ht="18.75" hidden="1" customHeight="1" x14ac:dyDescent="0.3">
      <c r="A176" s="10">
        <v>175</v>
      </c>
      <c r="B176" s="10">
        <f>_xlfn.XLOOKUP(1,(VALUE(D176)&gt;=VALUE(block!$C$3:$C$500))*(VALUE(D176)&lt;VALUE(block!$C$3:$C$500)+VALUE(block!$D$3:$D$500)),block!$A$3:$A$500,"无匹配",0,1)</f>
        <v>4</v>
      </c>
      <c r="C176" s="3" t="str">
        <f>B176 &amp; "-" &amp; COUNTIF($B$2:B176, B176)</f>
        <v>4-26</v>
      </c>
      <c r="D176" s="10">
        <v>8538</v>
      </c>
      <c r="E176" s="1" t="s">
        <v>2138</v>
      </c>
      <c r="F176" s="1" t="s">
        <v>2139</v>
      </c>
      <c r="H176" s="1" t="s">
        <v>1838</v>
      </c>
      <c r="I176" s="10" t="str">
        <f>IF(H176="T61",1,IF(H176="T61",3,IF(H176="T77",6,IF(H176="T77",10,IF(H176="T109",14,IF(H176="T109",18,IF(H176="T77",22,"")))))))</f>
        <v/>
      </c>
      <c r="J176" s="1" t="s">
        <v>1808</v>
      </c>
      <c r="K176" s="10">
        <v>2</v>
      </c>
      <c r="L176" s="10">
        <v>1</v>
      </c>
      <c r="O176" s="6"/>
      <c r="Q176" s="6">
        <v>10</v>
      </c>
      <c r="R176" s="6"/>
      <c r="S176" s="1"/>
    </row>
    <row r="177" spans="1:19" ht="18.75" customHeight="1" x14ac:dyDescent="0.3">
      <c r="A177" s="10">
        <v>176</v>
      </c>
      <c r="B177" s="10">
        <f>_xlfn.XLOOKUP(1,(VALUE(D177)&gt;=VALUE(block!$C$3:$C$500))*(VALUE(D177)&lt;VALUE(block!$C$3:$C$500)+VALUE(block!$D$3:$D$500)),block!$A$3:$A$500,"无匹配",0,1)</f>
        <v>4</v>
      </c>
      <c r="C177" s="3" t="str">
        <f>B177 &amp; "-" &amp; COUNTIF($B$2:B177, B177)</f>
        <v>4-27</v>
      </c>
      <c r="D177" s="10">
        <v>8540</v>
      </c>
      <c r="E177" s="1" t="s">
        <v>2140</v>
      </c>
      <c r="F177" s="1" t="s">
        <v>2141</v>
      </c>
      <c r="G177" s="1" t="s">
        <v>1840</v>
      </c>
      <c r="H177" s="1" t="s">
        <v>1812</v>
      </c>
      <c r="I177" s="10" t="str">
        <f>IF(H177="T62",1,IF(H177="T62",3,IF(H177="T78",6,IF(H177="T78",10,IF(H177="T110",14,IF(H177="T110",18,IF(H177="T78",22,"")))))))</f>
        <v/>
      </c>
      <c r="J177" s="1" t="s">
        <v>1808</v>
      </c>
      <c r="K177" s="10">
        <v>2</v>
      </c>
      <c r="L177" s="10">
        <v>1</v>
      </c>
      <c r="N177" s="10">
        <v>4</v>
      </c>
      <c r="O177" s="6"/>
      <c r="P177" s="45" t="s">
        <v>1862</v>
      </c>
      <c r="Q177" s="42" t="s">
        <v>1875</v>
      </c>
      <c r="R177" s="42"/>
      <c r="S177" s="1" t="s">
        <v>2141</v>
      </c>
    </row>
    <row r="178" spans="1:19" ht="18.75" customHeight="1" x14ac:dyDescent="0.3">
      <c r="A178" s="10">
        <v>177</v>
      </c>
      <c r="B178" s="10">
        <f>_xlfn.XLOOKUP(1,(VALUE(D178)&gt;=VALUE(block!$C$3:$C$500))*(VALUE(D178)&lt;VALUE(block!$C$3:$C$500)+VALUE(block!$D$3:$D$500)),block!$A$3:$A$500,"无匹配",0,1)</f>
        <v>4</v>
      </c>
      <c r="C178" s="3" t="str">
        <f>B178 &amp; "-" &amp; COUNTIF($B$2:B178, B178)</f>
        <v>4-28</v>
      </c>
      <c r="D178" s="10">
        <v>8542</v>
      </c>
      <c r="E178" s="1" t="s">
        <v>2142</v>
      </c>
      <c r="F178" s="44" t="s">
        <v>2143</v>
      </c>
      <c r="G178" s="1" t="s">
        <v>1826</v>
      </c>
      <c r="H178" s="1" t="s">
        <v>1812</v>
      </c>
      <c r="I178" s="10" t="str">
        <f>IF(H178="T63",1,IF(H178="T63",3,IF(H178="T79",6,IF(H178="T79",10,IF(H178="T111",14,IF(H178="T111",18,IF(H178="T79",22,"")))))))</f>
        <v/>
      </c>
      <c r="J178" s="1" t="s">
        <v>1808</v>
      </c>
      <c r="K178" s="10">
        <v>2</v>
      </c>
      <c r="L178" s="10">
        <v>1</v>
      </c>
      <c r="N178" s="10">
        <v>4</v>
      </c>
      <c r="O178" s="6"/>
      <c r="P178" s="45" t="s">
        <v>1862</v>
      </c>
      <c r="Q178" s="6">
        <v>10</v>
      </c>
      <c r="R178" s="6"/>
      <c r="S178" s="44" t="s">
        <v>2143</v>
      </c>
    </row>
    <row r="179" spans="1:19" ht="18.75" customHeight="1" x14ac:dyDescent="0.3">
      <c r="A179" s="10">
        <v>178</v>
      </c>
      <c r="B179" s="10">
        <f>_xlfn.XLOOKUP(1,(VALUE(D179)&gt;=VALUE(block!$C$3:$C$500))*(VALUE(D179)&lt;VALUE(block!$C$3:$C$500)+VALUE(block!$D$3:$D$500)),block!$A$3:$A$500,"无匹配",0,1)</f>
        <v>4</v>
      </c>
      <c r="C179" s="3" t="str">
        <f>B179 &amp; "-" &amp; COUNTIF($B$2:B179, B179)</f>
        <v>4-29</v>
      </c>
      <c r="D179" s="10">
        <v>8544</v>
      </c>
      <c r="E179" s="1" t="s">
        <v>2144</v>
      </c>
      <c r="F179" s="1" t="s">
        <v>2145</v>
      </c>
      <c r="G179" s="1" t="s">
        <v>1830</v>
      </c>
      <c r="H179" s="1" t="s">
        <v>1812</v>
      </c>
      <c r="I179" s="10" t="str">
        <f>IF(H179="T64",1,IF(H179="T64",3,IF(H179="T80",6,IF(H179="T80",10,IF(H179="T112",14,IF(H179="T112",18,IF(H179="T80",22,"")))))))</f>
        <v/>
      </c>
      <c r="J179" s="1" t="s">
        <v>1808</v>
      </c>
      <c r="K179" s="10">
        <v>2</v>
      </c>
      <c r="L179" s="10">
        <v>1</v>
      </c>
      <c r="N179" s="10">
        <v>4</v>
      </c>
      <c r="O179" s="6"/>
      <c r="P179" s="45" t="s">
        <v>1862</v>
      </c>
      <c r="Q179" s="42" t="s">
        <v>1863</v>
      </c>
      <c r="R179" s="42"/>
      <c r="S179" s="1" t="s">
        <v>2145</v>
      </c>
    </row>
    <row r="180" spans="1:19" ht="18.75" customHeight="1" x14ac:dyDescent="0.3">
      <c r="A180" s="10">
        <v>179</v>
      </c>
      <c r="B180" s="10">
        <f>_xlfn.XLOOKUP(1,(VALUE(D180)&gt;=VALUE(block!$C$3:$C$500))*(VALUE(D180)&lt;VALUE(block!$C$3:$C$500)+VALUE(block!$D$3:$D$500)),block!$A$3:$A$500,"无匹配",0,1)</f>
        <v>4</v>
      </c>
      <c r="C180" s="3" t="str">
        <f>B180 &amp; "-" &amp; COUNTIF($B$2:B180, B180)</f>
        <v>4-30</v>
      </c>
      <c r="D180" s="10">
        <v>8546</v>
      </c>
      <c r="E180" s="1" t="s">
        <v>2146</v>
      </c>
      <c r="F180" s="1" t="s">
        <v>2147</v>
      </c>
      <c r="G180" s="1" t="s">
        <v>1832</v>
      </c>
      <c r="H180" s="1" t="s">
        <v>1812</v>
      </c>
      <c r="I180" s="10" t="str">
        <f>IF(H180="T65",1,IF(H180="T65",3,IF(H180="T81",6,IF(H180="T81",10,IF(H180="T113",14,IF(H180="T113",18,IF(H180="T81",22,"")))))))</f>
        <v/>
      </c>
      <c r="J180" s="1" t="s">
        <v>1808</v>
      </c>
      <c r="K180" s="10">
        <v>2</v>
      </c>
      <c r="L180" s="10">
        <v>1</v>
      </c>
      <c r="N180" s="10">
        <v>4</v>
      </c>
      <c r="O180" s="6"/>
      <c r="P180" s="45" t="s">
        <v>1862</v>
      </c>
      <c r="Q180" s="42" t="s">
        <v>1863</v>
      </c>
      <c r="R180" s="42"/>
      <c r="S180" s="1" t="s">
        <v>2147</v>
      </c>
    </row>
    <row r="181" spans="1:19" ht="18.75" customHeight="1" x14ac:dyDescent="0.3">
      <c r="A181" s="10">
        <v>180</v>
      </c>
      <c r="B181" s="10">
        <f>_xlfn.XLOOKUP(1,(VALUE(D181)&gt;=VALUE(block!$C$3:$C$500))*(VALUE(D181)&lt;VALUE(block!$C$3:$C$500)+VALUE(block!$D$3:$D$500)),block!$A$3:$A$500,"无匹配",0,1)</f>
        <v>4</v>
      </c>
      <c r="C181" s="3" t="str">
        <f>B181 &amp; "-" &amp; COUNTIF($B$2:B181, B181)</f>
        <v>4-31</v>
      </c>
      <c r="D181" s="10">
        <v>8548</v>
      </c>
      <c r="E181" s="1" t="s">
        <v>2148</v>
      </c>
      <c r="F181" s="1" t="s">
        <v>2149</v>
      </c>
      <c r="G181" s="1" t="s">
        <v>1834</v>
      </c>
      <c r="H181" s="1" t="s">
        <v>1812</v>
      </c>
      <c r="I181" s="10" t="str">
        <f>IF(H181="T66",1,IF(H181="T66",3,IF(H181="T82",6,IF(H181="T82",10,IF(H181="T114",14,IF(H181="T114",18,IF(H181="T82",22,"")))))))</f>
        <v/>
      </c>
      <c r="J181" s="1" t="s">
        <v>1808</v>
      </c>
      <c r="K181" s="10">
        <v>2</v>
      </c>
      <c r="L181" s="10">
        <v>1</v>
      </c>
      <c r="N181" s="10">
        <v>4</v>
      </c>
      <c r="O181" s="6"/>
      <c r="P181" s="45" t="s">
        <v>1862</v>
      </c>
      <c r="Q181" s="42" t="s">
        <v>1868</v>
      </c>
      <c r="R181" s="42"/>
      <c r="S181" s="1" t="s">
        <v>2149</v>
      </c>
    </row>
    <row r="182" spans="1:19" ht="18.75" customHeight="1" x14ac:dyDescent="0.3">
      <c r="A182" s="10">
        <v>181</v>
      </c>
      <c r="B182" s="10">
        <f>_xlfn.XLOOKUP(1,(VALUE(D182)&gt;=VALUE(block!$C$3:$C$500))*(VALUE(D182)&lt;VALUE(block!$C$3:$C$500)+VALUE(block!$D$3:$D$500)),block!$A$3:$A$500,"无匹配",0,1)</f>
        <v>4</v>
      </c>
      <c r="C182" s="3" t="str">
        <f>B182 &amp; "-" &amp; COUNTIF($B$2:B182, B182)</f>
        <v>4-32</v>
      </c>
      <c r="D182" s="10">
        <v>8550</v>
      </c>
      <c r="E182" s="1" t="s">
        <v>2150</v>
      </c>
      <c r="F182" s="1" t="s">
        <v>2151</v>
      </c>
      <c r="G182" s="1" t="s">
        <v>1836</v>
      </c>
      <c r="H182" s="1" t="s">
        <v>1812</v>
      </c>
      <c r="I182" s="10" t="str">
        <f>IF(H182="T67",1,IF(H182="T67",3,IF(H182="T83",6,IF(H182="T83",10,IF(H182="T115",14,IF(H182="T115",18,IF(H182="T83",22,"")))))))</f>
        <v/>
      </c>
      <c r="J182" s="1" t="s">
        <v>1808</v>
      </c>
      <c r="K182" s="10">
        <v>2</v>
      </c>
      <c r="L182" s="10">
        <v>1</v>
      </c>
      <c r="N182" s="10">
        <v>4</v>
      </c>
      <c r="O182" s="6"/>
      <c r="P182" s="45" t="s">
        <v>1862</v>
      </c>
      <c r="Q182" s="42" t="s">
        <v>1868</v>
      </c>
      <c r="R182" s="42"/>
      <c r="S182" s="1" t="s">
        <v>2151</v>
      </c>
    </row>
    <row r="183" spans="1:19" ht="18.75" hidden="1" customHeight="1" x14ac:dyDescent="0.3">
      <c r="A183" s="10">
        <v>182</v>
      </c>
      <c r="B183" s="10">
        <f>_xlfn.XLOOKUP(1,(VALUE(D183)&gt;=VALUE(block!$C$3:$C$500))*(VALUE(D183)&lt;VALUE(block!$C$3:$C$500)+VALUE(block!$D$3:$D$500)),block!$A$3:$A$500,"无匹配",0,1)</f>
        <v>4</v>
      </c>
      <c r="C183" s="3" t="str">
        <f>B183 &amp; "-" &amp; COUNTIF($B$2:B183, B183)</f>
        <v>4-33</v>
      </c>
      <c r="D183" s="10">
        <v>8552</v>
      </c>
      <c r="E183" s="1" t="s">
        <v>2152</v>
      </c>
      <c r="F183" s="1" t="s">
        <v>2153</v>
      </c>
      <c r="H183" s="1" t="s">
        <v>1838</v>
      </c>
      <c r="I183" s="10" t="str">
        <f>IF(H183="T68",1,IF(H183="T68",3,IF(H183="T84",6,IF(H183="T84",10,IF(H183="T116",14,IF(H183="T116",18,IF(H183="T84",22,"")))))))</f>
        <v/>
      </c>
      <c r="J183" s="1" t="s">
        <v>1808</v>
      </c>
      <c r="K183" s="10">
        <v>2</v>
      </c>
      <c r="L183" s="10">
        <v>1</v>
      </c>
      <c r="O183" s="6"/>
      <c r="Q183" s="6">
        <v>10</v>
      </c>
      <c r="R183" s="6"/>
      <c r="S183" s="1"/>
    </row>
    <row r="184" spans="1:19" ht="18.75" customHeight="1" x14ac:dyDescent="0.3">
      <c r="A184" s="10">
        <v>183</v>
      </c>
      <c r="B184" s="10">
        <f>_xlfn.XLOOKUP(1,(VALUE(D184)&gt;=VALUE(block!$C$3:$C$500))*(VALUE(D184)&lt;VALUE(block!$C$3:$C$500)+VALUE(block!$D$3:$D$500)),block!$A$3:$A$500,"无匹配",0,1)</f>
        <v>4</v>
      </c>
      <c r="C184" s="3" t="str">
        <f>B184 &amp; "-" &amp; COUNTIF($B$2:B184, B184)</f>
        <v>4-34</v>
      </c>
      <c r="D184" s="10">
        <v>8554</v>
      </c>
      <c r="E184" s="1" t="s">
        <v>2154</v>
      </c>
      <c r="F184" s="1" t="s">
        <v>2155</v>
      </c>
      <c r="G184" s="1" t="s">
        <v>1840</v>
      </c>
      <c r="H184" s="1" t="s">
        <v>1812</v>
      </c>
      <c r="I184" s="10" t="str">
        <f>IF(H184="T69",1,IF(H184="T69",3,IF(H184="T85",6,IF(H184="T85",10,IF(H184="T117",14,IF(H184="T117",18,IF(H184="T85",22,"")))))))</f>
        <v/>
      </c>
      <c r="J184" s="1" t="s">
        <v>1808</v>
      </c>
      <c r="K184" s="10">
        <v>2</v>
      </c>
      <c r="L184" s="10">
        <v>1</v>
      </c>
      <c r="N184" s="10">
        <v>4</v>
      </c>
      <c r="O184" s="6"/>
      <c r="P184" s="45" t="s">
        <v>1862</v>
      </c>
      <c r="Q184" s="42" t="s">
        <v>1875</v>
      </c>
      <c r="R184" s="42"/>
      <c r="S184" s="1" t="s">
        <v>2155</v>
      </c>
    </row>
    <row r="185" spans="1:19" ht="18.75" customHeight="1" x14ac:dyDescent="0.3">
      <c r="A185" s="10">
        <v>184</v>
      </c>
      <c r="B185" s="10">
        <f>_xlfn.XLOOKUP(1,(VALUE(D185)&gt;=VALUE(block!$C$3:$C$500))*(VALUE(D185)&lt;VALUE(block!$C$3:$C$500)+VALUE(block!$D$3:$D$500)),block!$A$3:$A$500,"无匹配",0,1)</f>
        <v>4</v>
      </c>
      <c r="C185" s="3" t="str">
        <f>B185 &amp; "-" &amp; COUNTIF($B$2:B185, B185)</f>
        <v>4-35</v>
      </c>
      <c r="D185" s="10">
        <v>8556</v>
      </c>
      <c r="E185" s="1" t="s">
        <v>2156</v>
      </c>
      <c r="F185" s="44" t="s">
        <v>2157</v>
      </c>
      <c r="G185" s="1" t="s">
        <v>1826</v>
      </c>
      <c r="H185" s="1" t="s">
        <v>1812</v>
      </c>
      <c r="I185" s="10" t="str">
        <f>IF(H185="T70",1,IF(H185="T70",3,IF(H185="T86",6,IF(H185="T86",10,IF(H185="T118",14,IF(H185="T118",18,IF(H185="T86",22,"")))))))</f>
        <v/>
      </c>
      <c r="J185" s="1" t="s">
        <v>1808</v>
      </c>
      <c r="K185" s="10">
        <v>2</v>
      </c>
      <c r="L185" s="10">
        <v>1</v>
      </c>
      <c r="N185" s="10">
        <v>4</v>
      </c>
      <c r="O185" s="6"/>
      <c r="P185" s="45" t="s">
        <v>1862</v>
      </c>
      <c r="Q185" s="6">
        <v>10</v>
      </c>
      <c r="R185" s="6"/>
      <c r="S185" s="44" t="s">
        <v>2157</v>
      </c>
    </row>
    <row r="186" spans="1:19" ht="18.75" customHeight="1" x14ac:dyDescent="0.3">
      <c r="A186" s="10">
        <v>185</v>
      </c>
      <c r="B186" s="10">
        <f>_xlfn.XLOOKUP(1,(VALUE(D186)&gt;=VALUE(block!$C$3:$C$500))*(VALUE(D186)&lt;VALUE(block!$C$3:$C$500)+VALUE(block!$D$3:$D$500)),block!$A$3:$A$500,"无匹配",0,1)</f>
        <v>4</v>
      </c>
      <c r="C186" s="3" t="str">
        <f>B186 &amp; "-" &amp; COUNTIF($B$2:B186, B186)</f>
        <v>4-36</v>
      </c>
      <c r="D186" s="10">
        <v>8558</v>
      </c>
      <c r="E186" s="1" t="s">
        <v>2158</v>
      </c>
      <c r="F186" s="1" t="s">
        <v>2159</v>
      </c>
      <c r="G186" s="1" t="s">
        <v>1830</v>
      </c>
      <c r="H186" s="1" t="s">
        <v>1812</v>
      </c>
      <c r="I186" s="10" t="str">
        <f>IF(H186="T71",1,IF(H186="T71",3,IF(H186="T87",6,IF(H186="T87",10,IF(H186="T119",14,IF(H186="T119",18,IF(H186="T87",22,"")))))))</f>
        <v/>
      </c>
      <c r="J186" s="1" t="s">
        <v>1808</v>
      </c>
      <c r="K186" s="10">
        <v>2</v>
      </c>
      <c r="L186" s="10">
        <v>1</v>
      </c>
      <c r="N186" s="10">
        <v>4</v>
      </c>
      <c r="O186" s="6"/>
      <c r="P186" s="45" t="s">
        <v>1862</v>
      </c>
      <c r="Q186" s="42" t="s">
        <v>1863</v>
      </c>
      <c r="R186" s="42"/>
      <c r="S186" s="1" t="s">
        <v>2159</v>
      </c>
    </row>
    <row r="187" spans="1:19" ht="18.75" customHeight="1" x14ac:dyDescent="0.3">
      <c r="A187" s="10">
        <v>186</v>
      </c>
      <c r="B187" s="10">
        <f>_xlfn.XLOOKUP(1,(VALUE(D187)&gt;=VALUE(block!$C$3:$C$500))*(VALUE(D187)&lt;VALUE(block!$C$3:$C$500)+VALUE(block!$D$3:$D$500)),block!$A$3:$A$500,"无匹配",0,1)</f>
        <v>4</v>
      </c>
      <c r="C187" s="3" t="str">
        <f>B187 &amp; "-" &amp; COUNTIF($B$2:B187, B187)</f>
        <v>4-37</v>
      </c>
      <c r="D187" s="10">
        <v>8560</v>
      </c>
      <c r="E187" s="1" t="s">
        <v>2160</v>
      </c>
      <c r="F187" s="1" t="s">
        <v>2161</v>
      </c>
      <c r="G187" s="1" t="s">
        <v>1832</v>
      </c>
      <c r="H187" s="1" t="s">
        <v>1812</v>
      </c>
      <c r="I187" s="10" t="str">
        <f>IF(H187="T72",1,IF(H187="T72",3,IF(H187="T88",6,IF(H187="T88",10,IF(H187="T120",14,IF(H187="T120",18,IF(H187="T88",22,"")))))))</f>
        <v/>
      </c>
      <c r="J187" s="1" t="s">
        <v>1808</v>
      </c>
      <c r="K187" s="10">
        <v>2</v>
      </c>
      <c r="L187" s="10">
        <v>1</v>
      </c>
      <c r="N187" s="10">
        <v>4</v>
      </c>
      <c r="O187" s="6"/>
      <c r="P187" s="45" t="s">
        <v>1862</v>
      </c>
      <c r="Q187" s="42" t="s">
        <v>1863</v>
      </c>
      <c r="R187" s="42"/>
      <c r="S187" s="1" t="s">
        <v>2161</v>
      </c>
    </row>
    <row r="188" spans="1:19" ht="18.75" customHeight="1" x14ac:dyDescent="0.3">
      <c r="A188" s="10">
        <v>187</v>
      </c>
      <c r="B188" s="10">
        <f>_xlfn.XLOOKUP(1,(VALUE(D188)&gt;=VALUE(block!$C$3:$C$500))*(VALUE(D188)&lt;VALUE(block!$C$3:$C$500)+VALUE(block!$D$3:$D$500)),block!$A$3:$A$500,"无匹配",0,1)</f>
        <v>4</v>
      </c>
      <c r="C188" s="3" t="str">
        <f>B188 &amp; "-" &amp; COUNTIF($B$2:B188, B188)</f>
        <v>4-38</v>
      </c>
      <c r="D188" s="10">
        <v>8562</v>
      </c>
      <c r="E188" s="1" t="s">
        <v>2162</v>
      </c>
      <c r="F188" s="1" t="s">
        <v>2163</v>
      </c>
      <c r="G188" s="1" t="s">
        <v>1834</v>
      </c>
      <c r="H188" s="1" t="s">
        <v>1812</v>
      </c>
      <c r="I188" s="10" t="str">
        <f>IF(H188="T73",1,IF(H188="T73",3,IF(H188="T89",6,IF(H188="T89",10,IF(H188="T121",14,IF(H188="T121",18,IF(H188="T89",22,"")))))))</f>
        <v/>
      </c>
      <c r="J188" s="1" t="s">
        <v>1808</v>
      </c>
      <c r="K188" s="10">
        <v>2</v>
      </c>
      <c r="L188" s="10">
        <v>1</v>
      </c>
      <c r="N188" s="10">
        <v>4</v>
      </c>
      <c r="O188" s="6"/>
      <c r="P188" s="45" t="s">
        <v>1862</v>
      </c>
      <c r="Q188" s="42" t="s">
        <v>1868</v>
      </c>
      <c r="R188" s="42"/>
      <c r="S188" s="1" t="s">
        <v>2163</v>
      </c>
    </row>
    <row r="189" spans="1:19" ht="18.75" customHeight="1" x14ac:dyDescent="0.3">
      <c r="A189" s="10">
        <v>188</v>
      </c>
      <c r="B189" s="10">
        <f>_xlfn.XLOOKUP(1,(VALUE(D189)&gt;=VALUE(block!$C$3:$C$500))*(VALUE(D189)&lt;VALUE(block!$C$3:$C$500)+VALUE(block!$D$3:$D$500)),block!$A$3:$A$500,"无匹配",0,1)</f>
        <v>4</v>
      </c>
      <c r="C189" s="3" t="str">
        <f>B189 &amp; "-" &amp; COUNTIF($B$2:B189, B189)</f>
        <v>4-39</v>
      </c>
      <c r="D189" s="10">
        <v>8564</v>
      </c>
      <c r="E189" s="1" t="s">
        <v>2164</v>
      </c>
      <c r="F189" s="1" t="s">
        <v>2165</v>
      </c>
      <c r="G189" s="1" t="s">
        <v>1836</v>
      </c>
      <c r="H189" s="1" t="s">
        <v>1812</v>
      </c>
      <c r="I189" s="10" t="str">
        <f>IF(H189="T74",1,IF(H189="T74",3,IF(H189="T90",6,IF(H189="T90",10,IF(H189="T122",14,IF(H189="T122",18,IF(H189="T90",22,"")))))))</f>
        <v/>
      </c>
      <c r="J189" s="1" t="s">
        <v>1808</v>
      </c>
      <c r="K189" s="10">
        <v>2</v>
      </c>
      <c r="L189" s="10">
        <v>1</v>
      </c>
      <c r="N189" s="10">
        <v>4</v>
      </c>
      <c r="O189" s="6"/>
      <c r="P189" s="45" t="s">
        <v>1862</v>
      </c>
      <c r="Q189" s="42" t="s">
        <v>1868</v>
      </c>
      <c r="R189" s="42"/>
      <c r="S189" s="1" t="s">
        <v>2165</v>
      </c>
    </row>
    <row r="190" spans="1:19" ht="18.75" hidden="1" customHeight="1" x14ac:dyDescent="0.3">
      <c r="A190" s="10">
        <v>189</v>
      </c>
      <c r="B190" s="10">
        <f>_xlfn.XLOOKUP(1,(VALUE(D190)&gt;=VALUE(block!$C$3:$C$500))*(VALUE(D190)&lt;VALUE(block!$C$3:$C$500)+VALUE(block!$D$3:$D$500)),block!$A$3:$A$500,"无匹配",0,1)</f>
        <v>4</v>
      </c>
      <c r="C190" s="3" t="str">
        <f>B190 &amp; "-" &amp; COUNTIF($B$2:B190, B190)</f>
        <v>4-40</v>
      </c>
      <c r="D190" s="10">
        <v>8566</v>
      </c>
      <c r="E190" s="1" t="s">
        <v>2166</v>
      </c>
      <c r="F190" s="1" t="s">
        <v>2167</v>
      </c>
      <c r="H190" s="1" t="s">
        <v>1838</v>
      </c>
      <c r="I190" s="10" t="str">
        <f>IF(H190="T75",1,IF(H190="T75",3,IF(H190="T91",6,IF(H190="T91",10,IF(H190="T123",14,IF(H190="T123",18,IF(H190="T91",22,"")))))))</f>
        <v/>
      </c>
      <c r="J190" s="1" t="s">
        <v>1808</v>
      </c>
      <c r="K190" s="10">
        <v>2</v>
      </c>
      <c r="L190" s="10">
        <v>1</v>
      </c>
      <c r="O190" s="6"/>
      <c r="Q190" s="6">
        <v>10</v>
      </c>
      <c r="R190" s="6"/>
      <c r="S190" s="1"/>
    </row>
    <row r="191" spans="1:19" ht="18.75" customHeight="1" x14ac:dyDescent="0.3">
      <c r="A191" s="10">
        <v>190</v>
      </c>
      <c r="B191" s="10">
        <f>_xlfn.XLOOKUP(1,(VALUE(D191)&gt;=VALUE(block!$C$3:$C$500))*(VALUE(D191)&lt;VALUE(block!$C$3:$C$500)+VALUE(block!$D$3:$D$500)),block!$A$3:$A$500,"无匹配",0,1)</f>
        <v>4</v>
      </c>
      <c r="C191" s="3" t="str">
        <f>B191 &amp; "-" &amp; COUNTIF($B$2:B191, B191)</f>
        <v>4-41</v>
      </c>
      <c r="D191" s="10">
        <v>8568</v>
      </c>
      <c r="E191" s="1" t="s">
        <v>2168</v>
      </c>
      <c r="F191" s="1" t="s">
        <v>2169</v>
      </c>
      <c r="G191" s="1" t="s">
        <v>1840</v>
      </c>
      <c r="H191" s="1" t="s">
        <v>1812</v>
      </c>
      <c r="I191" s="10" t="str">
        <f>IF(H191="T76",1,IF(H191="T76",3,IF(H191="T92",6,IF(H191="T92",10,IF(H191="T124",14,IF(H191="T124",18,IF(H191="T92",22,"")))))))</f>
        <v/>
      </c>
      <c r="J191" s="1" t="s">
        <v>1808</v>
      </c>
      <c r="K191" s="10">
        <v>2</v>
      </c>
      <c r="L191" s="10">
        <v>1</v>
      </c>
      <c r="N191" s="10">
        <v>4</v>
      </c>
      <c r="O191" s="6"/>
      <c r="P191" s="45" t="s">
        <v>1862</v>
      </c>
      <c r="Q191" s="42" t="s">
        <v>1875</v>
      </c>
      <c r="R191" s="42"/>
      <c r="S191" s="1" t="s">
        <v>2169</v>
      </c>
    </row>
    <row r="192" spans="1:19" ht="18.75" customHeight="1" x14ac:dyDescent="0.3">
      <c r="A192" s="10">
        <v>191</v>
      </c>
      <c r="B192" s="10">
        <f>_xlfn.XLOOKUP(1,(VALUE(D192)&gt;=VALUE(block!$C$3:$C$500))*(VALUE(D192)&lt;VALUE(block!$C$3:$C$500)+VALUE(block!$D$3:$D$500)),block!$A$3:$A$500,"无匹配",0,1)</f>
        <v>4</v>
      </c>
      <c r="C192" s="3" t="str">
        <f>B192 &amp; "-" &amp; COUNTIF($B$2:B192, B192)</f>
        <v>4-42</v>
      </c>
      <c r="D192" s="10">
        <v>8570</v>
      </c>
      <c r="E192" s="1" t="s">
        <v>2170</v>
      </c>
      <c r="F192" s="44" t="s">
        <v>2171</v>
      </c>
      <c r="G192" s="1" t="s">
        <v>1826</v>
      </c>
      <c r="H192" s="1" t="s">
        <v>1812</v>
      </c>
      <c r="I192" s="10" t="str">
        <f>IF(H192="T77",1,IF(H192="T77",3,IF(H192="T93",6,IF(H192="T93",10,IF(H192="T125",14,IF(H192="T125",18,IF(H192="T93",22,"")))))))</f>
        <v/>
      </c>
      <c r="J192" s="1" t="s">
        <v>1808</v>
      </c>
      <c r="K192" s="10">
        <v>2</v>
      </c>
      <c r="L192" s="10">
        <v>1</v>
      </c>
      <c r="N192" s="10">
        <v>4</v>
      </c>
      <c r="O192" s="6"/>
      <c r="P192" s="45" t="s">
        <v>1862</v>
      </c>
      <c r="Q192" s="6">
        <v>10</v>
      </c>
      <c r="R192" s="6"/>
      <c r="S192" s="44" t="s">
        <v>2171</v>
      </c>
    </row>
    <row r="193" spans="1:19" ht="18.75" customHeight="1" x14ac:dyDescent="0.3">
      <c r="A193" s="10">
        <v>192</v>
      </c>
      <c r="B193" s="10">
        <f>_xlfn.XLOOKUP(1,(VALUE(D193)&gt;=VALUE(block!$C$3:$C$500))*(VALUE(D193)&lt;VALUE(block!$C$3:$C$500)+VALUE(block!$D$3:$D$500)),block!$A$3:$A$500,"无匹配",0,1)</f>
        <v>4</v>
      </c>
      <c r="C193" s="3" t="str">
        <f>B193 &amp; "-" &amp; COUNTIF($B$2:B193, B193)</f>
        <v>4-43</v>
      </c>
      <c r="D193" s="10">
        <v>8572</v>
      </c>
      <c r="E193" s="1" t="s">
        <v>2172</v>
      </c>
      <c r="F193" s="1" t="s">
        <v>2173</v>
      </c>
      <c r="G193" s="1" t="s">
        <v>1830</v>
      </c>
      <c r="H193" s="1" t="s">
        <v>1812</v>
      </c>
      <c r="I193" s="10" t="str">
        <f>IF(H193="T78",1,IF(H193="T78",3,IF(H193="T94",6,IF(H193="T94",10,IF(H193="T126",14,IF(H193="T126",18,IF(H193="T94",22,"")))))))</f>
        <v/>
      </c>
      <c r="J193" s="1" t="s">
        <v>1808</v>
      </c>
      <c r="K193" s="10">
        <v>2</v>
      </c>
      <c r="L193" s="10">
        <v>1</v>
      </c>
      <c r="N193" s="10">
        <v>4</v>
      </c>
      <c r="O193" s="6"/>
      <c r="P193" s="45" t="s">
        <v>1862</v>
      </c>
      <c r="Q193" s="42" t="s">
        <v>1863</v>
      </c>
      <c r="R193" s="42"/>
      <c r="S193" s="1" t="s">
        <v>2173</v>
      </c>
    </row>
    <row r="194" spans="1:19" ht="18.75" customHeight="1" x14ac:dyDescent="0.3">
      <c r="A194" s="10">
        <v>193</v>
      </c>
      <c r="B194" s="10">
        <f>_xlfn.XLOOKUP(1,(VALUE(D194)&gt;=VALUE(block!$C$3:$C$500))*(VALUE(D194)&lt;VALUE(block!$C$3:$C$500)+VALUE(block!$D$3:$D$500)),block!$A$3:$A$500,"无匹配",0,1)</f>
        <v>4</v>
      </c>
      <c r="C194" s="3" t="str">
        <f>B194 &amp; "-" &amp; COUNTIF($B$2:B194, B194)</f>
        <v>4-44</v>
      </c>
      <c r="D194" s="10">
        <v>8574</v>
      </c>
      <c r="E194" s="1" t="s">
        <v>2174</v>
      </c>
      <c r="F194" s="1" t="s">
        <v>2175</v>
      </c>
      <c r="G194" s="1" t="s">
        <v>1832</v>
      </c>
      <c r="H194" s="1" t="s">
        <v>1812</v>
      </c>
      <c r="I194" s="10" t="str">
        <f>IF(H194="T79",1,IF(H194="T79",3,IF(H194="T95",6,IF(H194="T95",10,IF(H194="T127",14,IF(H194="T127",18,IF(H194="T95",22,"")))))))</f>
        <v/>
      </c>
      <c r="J194" s="1" t="s">
        <v>1808</v>
      </c>
      <c r="K194" s="10">
        <v>2</v>
      </c>
      <c r="L194" s="10">
        <v>1</v>
      </c>
      <c r="N194" s="10">
        <v>4</v>
      </c>
      <c r="O194" s="6"/>
      <c r="P194" s="45" t="s">
        <v>1862</v>
      </c>
      <c r="Q194" s="42" t="s">
        <v>1863</v>
      </c>
      <c r="R194" s="42"/>
      <c r="S194" s="1" t="s">
        <v>2175</v>
      </c>
    </row>
    <row r="195" spans="1:19" ht="18.75" customHeight="1" x14ac:dyDescent="0.3">
      <c r="A195" s="10">
        <v>194</v>
      </c>
      <c r="B195" s="10">
        <f>_xlfn.XLOOKUP(1,(VALUE(D195)&gt;=VALUE(block!$C$3:$C$500))*(VALUE(D195)&lt;VALUE(block!$C$3:$C$500)+VALUE(block!$D$3:$D$500)),block!$A$3:$A$500,"无匹配",0,1)</f>
        <v>4</v>
      </c>
      <c r="C195" s="3" t="str">
        <f>B195 &amp; "-" &amp; COUNTIF($B$2:B195, B195)</f>
        <v>4-45</v>
      </c>
      <c r="D195" s="10">
        <v>8576</v>
      </c>
      <c r="E195" s="1" t="s">
        <v>2176</v>
      </c>
      <c r="F195" s="1" t="s">
        <v>2177</v>
      </c>
      <c r="G195" s="1" t="s">
        <v>1834</v>
      </c>
      <c r="H195" s="1" t="s">
        <v>1812</v>
      </c>
      <c r="I195" s="10">
        <f>IF(H195="uint16",1,IF(H195="int16",3,IF(H195="uint32",6,IF(H195="int32",10,IF(H195="uint64",14,IF(H195="int64",18,IF(H195="float32",22,"")))))))</f>
        <v>22</v>
      </c>
      <c r="J195" s="1" t="s">
        <v>1808</v>
      </c>
      <c r="K195" s="10">
        <v>2</v>
      </c>
      <c r="L195" s="10">
        <v>1</v>
      </c>
      <c r="N195" s="10">
        <v>4</v>
      </c>
      <c r="O195" s="6"/>
      <c r="P195" s="45" t="s">
        <v>1862</v>
      </c>
      <c r="Q195" s="42" t="s">
        <v>1868</v>
      </c>
      <c r="R195" s="42"/>
      <c r="S195" s="1" t="s">
        <v>2177</v>
      </c>
    </row>
    <row r="196" spans="1:19" ht="18.75" customHeight="1" x14ac:dyDescent="0.3">
      <c r="A196" s="10">
        <v>195</v>
      </c>
      <c r="B196" s="10">
        <f>_xlfn.XLOOKUP(1,(VALUE(D196)&gt;=VALUE(block!$C$3:$C$500))*(VALUE(D196)&lt;VALUE(block!$C$3:$C$500)+VALUE(block!$D$3:$D$500)),block!$A$3:$A$500,"无匹配",0,1)</f>
        <v>4</v>
      </c>
      <c r="C196" s="3" t="str">
        <f>B196 &amp; "-" &amp; COUNTIF($B$2:B196, B196)</f>
        <v>4-46</v>
      </c>
      <c r="D196" s="10">
        <v>8578</v>
      </c>
      <c r="E196" s="1" t="s">
        <v>2178</v>
      </c>
      <c r="F196" s="1" t="s">
        <v>2179</v>
      </c>
      <c r="G196" s="1" t="s">
        <v>1836</v>
      </c>
      <c r="H196" s="1" t="s">
        <v>1812</v>
      </c>
      <c r="I196" s="10" t="str">
        <f>IF(H196="T17",1,IF(H196="T17",3,IF(H196="T33",6,IF(H196="T33",10,IF(H196="T65",14,IF(H196="T65",18,IF(H196="T33",22,"")))))))</f>
        <v/>
      </c>
      <c r="J196" s="1" t="s">
        <v>1808</v>
      </c>
      <c r="K196" s="10">
        <v>2</v>
      </c>
      <c r="L196" s="10">
        <v>1</v>
      </c>
      <c r="N196" s="10">
        <v>4</v>
      </c>
      <c r="O196" s="6"/>
      <c r="P196" s="45" t="s">
        <v>1862</v>
      </c>
      <c r="Q196" s="42" t="s">
        <v>1868</v>
      </c>
      <c r="R196" s="42"/>
      <c r="S196" s="1" t="s">
        <v>2179</v>
      </c>
    </row>
    <row r="197" spans="1:19" ht="18.75" hidden="1" customHeight="1" x14ac:dyDescent="0.3">
      <c r="A197" s="10">
        <v>196</v>
      </c>
      <c r="B197" s="10">
        <f>_xlfn.XLOOKUP(1,(VALUE(D197)&gt;=VALUE(block!$C$3:$C$500))*(VALUE(D197)&lt;VALUE(block!$C$3:$C$500)+VALUE(block!$D$3:$D$500)),block!$A$3:$A$500,"无匹配",0,1)</f>
        <v>4</v>
      </c>
      <c r="C197" s="3" t="str">
        <f>B197 &amp; "-" &amp; COUNTIF($B$2:B197, B197)</f>
        <v>4-47</v>
      </c>
      <c r="D197" s="10">
        <v>8580</v>
      </c>
      <c r="E197" s="1" t="s">
        <v>2180</v>
      </c>
      <c r="F197" s="1" t="s">
        <v>2181</v>
      </c>
      <c r="H197" s="1" t="s">
        <v>1838</v>
      </c>
      <c r="I197" s="10" t="str">
        <f>IF(H197="T18",1,IF(H197="T18",3,IF(H197="T34",6,IF(H197="T34",10,IF(H197="T66",14,IF(H197="T66",18,IF(H197="T34",22,"")))))))</f>
        <v/>
      </c>
      <c r="J197" s="1" t="s">
        <v>1808</v>
      </c>
      <c r="K197" s="10">
        <v>2</v>
      </c>
      <c r="L197" s="10">
        <v>1</v>
      </c>
      <c r="O197" s="6"/>
      <c r="Q197" s="6">
        <v>10</v>
      </c>
      <c r="R197" s="6"/>
      <c r="S197" s="1"/>
    </row>
    <row r="198" spans="1:19" ht="18.75" customHeight="1" x14ac:dyDescent="0.3">
      <c r="A198" s="10">
        <v>197</v>
      </c>
      <c r="B198" s="10">
        <f>_xlfn.XLOOKUP(1,(VALUE(D198)&gt;=VALUE(block!$C$3:$C$500))*(VALUE(D198)&lt;VALUE(block!$C$3:$C$500)+VALUE(block!$D$3:$D$500)),block!$A$3:$A$500,"无匹配",0,1)</f>
        <v>4</v>
      </c>
      <c r="C198" s="3" t="str">
        <f>B198 &amp; "-" &amp; COUNTIF($B$2:B198, B198)</f>
        <v>4-48</v>
      </c>
      <c r="D198" s="10">
        <v>8582</v>
      </c>
      <c r="E198" s="1" t="s">
        <v>2182</v>
      </c>
      <c r="F198" s="1" t="s">
        <v>2183</v>
      </c>
      <c r="G198" s="1" t="s">
        <v>1840</v>
      </c>
      <c r="H198" s="1" t="s">
        <v>1812</v>
      </c>
      <c r="I198" s="10" t="str">
        <f>IF(H198="T19",1,IF(H198="T19",3,IF(H198="T35",6,IF(H198="T35",10,IF(H198="T67",14,IF(H198="T67",18,IF(H198="T35",22,"")))))))</f>
        <v/>
      </c>
      <c r="J198" s="1" t="s">
        <v>1808</v>
      </c>
      <c r="K198" s="10">
        <v>2</v>
      </c>
      <c r="L198" s="10">
        <v>1</v>
      </c>
      <c r="N198" s="10">
        <v>4</v>
      </c>
      <c r="O198" s="6"/>
      <c r="P198" s="45" t="s">
        <v>1862</v>
      </c>
      <c r="Q198" s="42" t="s">
        <v>1875</v>
      </c>
      <c r="R198" s="42"/>
      <c r="S198" s="1" t="s">
        <v>2183</v>
      </c>
    </row>
    <row r="199" spans="1:19" ht="18.75" customHeight="1" x14ac:dyDescent="0.3">
      <c r="A199" s="10">
        <v>198</v>
      </c>
      <c r="B199" s="10">
        <f>_xlfn.XLOOKUP(1,(VALUE(D199)&gt;=VALUE(block!$C$3:$C$500))*(VALUE(D199)&lt;VALUE(block!$C$3:$C$500)+VALUE(block!$D$3:$D$500)),block!$A$3:$A$500,"无匹配",0,1)</f>
        <v>4</v>
      </c>
      <c r="C199" s="3" t="str">
        <f>B199 &amp; "-" &amp; COUNTIF($B$2:B199, B199)</f>
        <v>4-49</v>
      </c>
      <c r="D199" s="10">
        <v>8584</v>
      </c>
      <c r="E199" s="1" t="s">
        <v>2184</v>
      </c>
      <c r="F199" s="44" t="s">
        <v>2185</v>
      </c>
      <c r="G199" s="1" t="s">
        <v>1826</v>
      </c>
      <c r="H199" s="1" t="s">
        <v>1812</v>
      </c>
      <c r="I199" s="10" t="str">
        <f>IF(H199="T20",1,IF(H199="T20",3,IF(H199="T36",6,IF(H199="T36",10,IF(H199="T68",14,IF(H199="T68",18,IF(H199="T36",22,"")))))))</f>
        <v/>
      </c>
      <c r="J199" s="1" t="s">
        <v>1808</v>
      </c>
      <c r="K199" s="10">
        <v>2</v>
      </c>
      <c r="L199" s="10">
        <v>1</v>
      </c>
      <c r="N199" s="10">
        <v>4</v>
      </c>
      <c r="O199" s="6"/>
      <c r="P199" s="45" t="s">
        <v>1862</v>
      </c>
      <c r="Q199" s="6">
        <v>10</v>
      </c>
      <c r="R199" s="6"/>
      <c r="S199" s="44" t="s">
        <v>2185</v>
      </c>
    </row>
    <row r="200" spans="1:19" ht="18.75" customHeight="1" x14ac:dyDescent="0.3">
      <c r="A200" s="10">
        <v>199</v>
      </c>
      <c r="B200" s="10">
        <f>_xlfn.XLOOKUP(1,(VALUE(D200)&gt;=VALUE(block!$C$3:$C$500))*(VALUE(D200)&lt;VALUE(block!$C$3:$C$500)+VALUE(block!$D$3:$D$500)),block!$A$3:$A$500,"无匹配",0,1)</f>
        <v>4</v>
      </c>
      <c r="C200" s="3" t="str">
        <f>B200 &amp; "-" &amp; COUNTIF($B$2:B200, B200)</f>
        <v>4-50</v>
      </c>
      <c r="D200" s="10">
        <v>8586</v>
      </c>
      <c r="E200" s="1" t="s">
        <v>2186</v>
      </c>
      <c r="F200" s="1" t="s">
        <v>2187</v>
      </c>
      <c r="G200" s="1" t="s">
        <v>1830</v>
      </c>
      <c r="H200" s="1" t="s">
        <v>1812</v>
      </c>
      <c r="I200" s="10" t="str">
        <f>IF(H200="T21",1,IF(H200="T21",3,IF(H200="T37",6,IF(H200="T37",10,IF(H200="T69",14,IF(H200="T69",18,IF(H200="T37",22,"")))))))</f>
        <v/>
      </c>
      <c r="J200" s="1" t="s">
        <v>1808</v>
      </c>
      <c r="K200" s="10">
        <v>2</v>
      </c>
      <c r="L200" s="10">
        <v>1</v>
      </c>
      <c r="N200" s="10">
        <v>4</v>
      </c>
      <c r="O200" s="6"/>
      <c r="P200" s="45" t="s">
        <v>1862</v>
      </c>
      <c r="Q200" s="42" t="s">
        <v>1863</v>
      </c>
      <c r="R200" s="42"/>
      <c r="S200" s="1" t="s">
        <v>2187</v>
      </c>
    </row>
    <row r="201" spans="1:19" ht="18.75" customHeight="1" x14ac:dyDescent="0.3">
      <c r="A201" s="10">
        <v>200</v>
      </c>
      <c r="B201" s="10">
        <f>_xlfn.XLOOKUP(1,(VALUE(D201)&gt;=VALUE(block!$C$3:$C$500))*(VALUE(D201)&lt;VALUE(block!$C$3:$C$500)+VALUE(block!$D$3:$D$500)),block!$A$3:$A$500,"无匹配",0,1)</f>
        <v>4</v>
      </c>
      <c r="C201" s="3" t="str">
        <f>B201 &amp; "-" &amp; COUNTIF($B$2:B201, B201)</f>
        <v>4-51</v>
      </c>
      <c r="D201" s="10">
        <v>8588</v>
      </c>
      <c r="E201" s="1" t="s">
        <v>2188</v>
      </c>
      <c r="F201" s="1" t="s">
        <v>2189</v>
      </c>
      <c r="G201" s="1" t="s">
        <v>1832</v>
      </c>
      <c r="H201" s="1" t="s">
        <v>1812</v>
      </c>
      <c r="I201" s="10" t="str">
        <f>IF(H201="T22",1,IF(H201="T22",3,IF(H201="T38",6,IF(H201="T38",10,IF(H201="T70",14,IF(H201="T70",18,IF(H201="T38",22,"")))))))</f>
        <v/>
      </c>
      <c r="J201" s="1" t="s">
        <v>1808</v>
      </c>
      <c r="K201" s="10">
        <v>2</v>
      </c>
      <c r="L201" s="10">
        <v>1</v>
      </c>
      <c r="N201" s="10">
        <v>4</v>
      </c>
      <c r="O201" s="6"/>
      <c r="P201" s="45" t="s">
        <v>1862</v>
      </c>
      <c r="Q201" s="42" t="s">
        <v>1863</v>
      </c>
      <c r="R201" s="42"/>
      <c r="S201" s="1" t="s">
        <v>2189</v>
      </c>
    </row>
    <row r="202" spans="1:19" ht="18.75" customHeight="1" x14ac:dyDescent="0.3">
      <c r="A202" s="10">
        <v>201</v>
      </c>
      <c r="B202" s="10">
        <f>_xlfn.XLOOKUP(1,(VALUE(D202)&gt;=VALUE(block!$C$3:$C$500))*(VALUE(D202)&lt;VALUE(block!$C$3:$C$500)+VALUE(block!$D$3:$D$500)),block!$A$3:$A$500,"无匹配",0,1)</f>
        <v>4</v>
      </c>
      <c r="C202" s="3" t="str">
        <f>B202 &amp; "-" &amp; COUNTIF($B$2:B202, B202)</f>
        <v>4-52</v>
      </c>
      <c r="D202" s="10">
        <v>8590</v>
      </c>
      <c r="E202" s="1" t="s">
        <v>2190</v>
      </c>
      <c r="F202" s="1" t="s">
        <v>2191</v>
      </c>
      <c r="G202" s="1" t="s">
        <v>1834</v>
      </c>
      <c r="H202" s="1" t="s">
        <v>1812</v>
      </c>
      <c r="I202" s="10" t="str">
        <f>IF(H202="T23",1,IF(H202="T23",3,IF(H202="T39",6,IF(H202="T39",10,IF(H202="T71",14,IF(H202="T71",18,IF(H202="T39",22,"")))))))</f>
        <v/>
      </c>
      <c r="J202" s="1" t="s">
        <v>1808</v>
      </c>
      <c r="K202" s="10">
        <v>2</v>
      </c>
      <c r="L202" s="10">
        <v>1</v>
      </c>
      <c r="N202" s="10">
        <v>4</v>
      </c>
      <c r="O202" s="6"/>
      <c r="P202" s="45" t="s">
        <v>1862</v>
      </c>
      <c r="Q202" s="42" t="s">
        <v>1868</v>
      </c>
      <c r="R202" s="42"/>
      <c r="S202" s="1" t="s">
        <v>2191</v>
      </c>
    </row>
    <row r="203" spans="1:19" ht="18.75" customHeight="1" x14ac:dyDescent="0.3">
      <c r="A203" s="10">
        <v>202</v>
      </c>
      <c r="B203" s="10">
        <f>_xlfn.XLOOKUP(1,(VALUE(D203)&gt;=VALUE(block!$C$3:$C$500))*(VALUE(D203)&lt;VALUE(block!$C$3:$C$500)+VALUE(block!$D$3:$D$500)),block!$A$3:$A$500,"无匹配",0,1)</f>
        <v>4</v>
      </c>
      <c r="C203" s="3" t="str">
        <f>B203 &amp; "-" &amp; COUNTIF($B$2:B203, B203)</f>
        <v>4-53</v>
      </c>
      <c r="D203" s="10">
        <v>8592</v>
      </c>
      <c r="E203" s="1" t="s">
        <v>2192</v>
      </c>
      <c r="F203" s="1" t="s">
        <v>2193</v>
      </c>
      <c r="G203" s="1" t="s">
        <v>1836</v>
      </c>
      <c r="H203" s="1" t="s">
        <v>1812</v>
      </c>
      <c r="I203" s="10" t="str">
        <f>IF(H203="T24",1,IF(H203="T24",3,IF(H203="T40",6,IF(H203="T40",10,IF(H203="T72",14,IF(H203="T72",18,IF(H203="T40",22,"")))))))</f>
        <v/>
      </c>
      <c r="J203" s="1" t="s">
        <v>1808</v>
      </c>
      <c r="K203" s="10">
        <v>2</v>
      </c>
      <c r="L203" s="10">
        <v>1</v>
      </c>
      <c r="N203" s="10">
        <v>4</v>
      </c>
      <c r="O203" s="6"/>
      <c r="P203" s="45" t="s">
        <v>1862</v>
      </c>
      <c r="Q203" s="42" t="s">
        <v>1868</v>
      </c>
      <c r="R203" s="42"/>
      <c r="S203" s="1" t="s">
        <v>2193</v>
      </c>
    </row>
    <row r="204" spans="1:19" ht="18.75" hidden="1" customHeight="1" x14ac:dyDescent="0.3">
      <c r="A204" s="10">
        <v>203</v>
      </c>
      <c r="B204" s="10">
        <f>_xlfn.XLOOKUP(1,(VALUE(D204)&gt;=VALUE(block!$C$3:$C$500))*(VALUE(D204)&lt;VALUE(block!$C$3:$C$500)+VALUE(block!$D$3:$D$500)),block!$A$3:$A$500,"无匹配",0,1)</f>
        <v>4</v>
      </c>
      <c r="C204" s="3" t="str">
        <f>B204 &amp; "-" &amp; COUNTIF($B$2:B204, B204)</f>
        <v>4-54</v>
      </c>
      <c r="D204" s="10">
        <v>8594</v>
      </c>
      <c r="E204" s="1" t="s">
        <v>2194</v>
      </c>
      <c r="F204" s="1" t="s">
        <v>2195</v>
      </c>
      <c r="H204" s="1" t="s">
        <v>1838</v>
      </c>
      <c r="I204" s="10" t="str">
        <f>IF(H204="T25",1,IF(H204="T25",3,IF(H204="T41",6,IF(H204="T41",10,IF(H204="T73",14,IF(H204="T73",18,IF(H204="T41",22,"")))))))</f>
        <v/>
      </c>
      <c r="J204" s="1" t="s">
        <v>1808</v>
      </c>
      <c r="K204" s="10">
        <v>2</v>
      </c>
      <c r="L204" s="10">
        <v>1</v>
      </c>
      <c r="O204" s="6"/>
      <c r="Q204" s="6">
        <v>10</v>
      </c>
      <c r="R204" s="6"/>
      <c r="S204" s="1"/>
    </row>
    <row r="205" spans="1:19" ht="18.75" customHeight="1" x14ac:dyDescent="0.3">
      <c r="A205" s="10">
        <v>204</v>
      </c>
      <c r="B205" s="10">
        <f>_xlfn.XLOOKUP(1,(VALUE(D205)&gt;=VALUE(block!$C$3:$C$500))*(VALUE(D205)&lt;VALUE(block!$C$3:$C$500)+VALUE(block!$D$3:$D$500)),block!$A$3:$A$500,"无匹配",0,1)</f>
        <v>4</v>
      </c>
      <c r="C205" s="3" t="str">
        <f>B205 &amp; "-" &amp; COUNTIF($B$2:B205, B205)</f>
        <v>4-55</v>
      </c>
      <c r="D205" s="10">
        <v>8596</v>
      </c>
      <c r="E205" s="1" t="s">
        <v>2196</v>
      </c>
      <c r="F205" s="1" t="s">
        <v>2197</v>
      </c>
      <c r="G205" s="1" t="s">
        <v>1840</v>
      </c>
      <c r="H205" s="1" t="s">
        <v>1812</v>
      </c>
      <c r="I205" s="10" t="str">
        <f>IF(H205="T26",1,IF(H205="T26",3,IF(H205="T42",6,IF(H205="T42",10,IF(H205="T74",14,IF(H205="T74",18,IF(H205="T42",22,"")))))))</f>
        <v/>
      </c>
      <c r="J205" s="1" t="s">
        <v>1808</v>
      </c>
      <c r="K205" s="10">
        <v>2</v>
      </c>
      <c r="L205" s="10">
        <v>1</v>
      </c>
      <c r="N205" s="10">
        <v>4</v>
      </c>
      <c r="O205" s="6"/>
      <c r="P205" s="45" t="s">
        <v>1862</v>
      </c>
      <c r="Q205" s="42" t="s">
        <v>1875</v>
      </c>
      <c r="R205" s="42"/>
      <c r="S205" s="1" t="s">
        <v>2197</v>
      </c>
    </row>
    <row r="206" spans="1:19" ht="18.75" customHeight="1" x14ac:dyDescent="0.3">
      <c r="A206" s="10">
        <v>205</v>
      </c>
      <c r="B206" s="10">
        <f>_xlfn.XLOOKUP(1,(VALUE(D206)&gt;=VALUE(block!$C$3:$C$500))*(VALUE(D206)&lt;VALUE(block!$C$3:$C$500)+VALUE(block!$D$3:$D$500)),block!$A$3:$A$500,"无匹配",0,1)</f>
        <v>4</v>
      </c>
      <c r="C206" s="3" t="str">
        <f>B206 &amp; "-" &amp; COUNTIF($B$2:B206, B206)</f>
        <v>4-56</v>
      </c>
      <c r="D206" s="10">
        <v>8598</v>
      </c>
      <c r="E206" s="1" t="s">
        <v>2198</v>
      </c>
      <c r="F206" s="44" t="s">
        <v>2199</v>
      </c>
      <c r="G206" s="1" t="s">
        <v>1826</v>
      </c>
      <c r="H206" s="1" t="s">
        <v>1812</v>
      </c>
      <c r="I206" s="10" t="str">
        <f>IF(H206="T27",1,IF(H206="T27",3,IF(H206="T43",6,IF(H206="T43",10,IF(H206="T75",14,IF(H206="T75",18,IF(H206="T43",22,"")))))))</f>
        <v/>
      </c>
      <c r="J206" s="1" t="s">
        <v>1808</v>
      </c>
      <c r="K206" s="10">
        <v>2</v>
      </c>
      <c r="L206" s="10">
        <v>1</v>
      </c>
      <c r="N206" s="10">
        <v>4</v>
      </c>
      <c r="O206" s="6"/>
      <c r="P206" s="45" t="s">
        <v>1862</v>
      </c>
      <c r="Q206" s="6">
        <v>10</v>
      </c>
      <c r="R206" s="6"/>
      <c r="S206" s="44" t="s">
        <v>2199</v>
      </c>
    </row>
    <row r="207" spans="1:19" ht="18.75" customHeight="1" x14ac:dyDescent="0.3">
      <c r="A207" s="10">
        <v>206</v>
      </c>
      <c r="B207" s="10">
        <f>_xlfn.XLOOKUP(1,(VALUE(D207)&gt;=VALUE(block!$C$3:$C$500))*(VALUE(D207)&lt;VALUE(block!$C$3:$C$500)+VALUE(block!$D$3:$D$500)),block!$A$3:$A$500,"无匹配",0,1)</f>
        <v>5</v>
      </c>
      <c r="C207" s="3" t="str">
        <f>B207 &amp; "-" &amp; COUNTIF($B$2:B207, B207)</f>
        <v>5-1</v>
      </c>
      <c r="D207" s="10">
        <v>8600</v>
      </c>
      <c r="E207" s="48" t="s">
        <v>2200</v>
      </c>
      <c r="F207" s="1" t="s">
        <v>9291</v>
      </c>
      <c r="G207" s="1" t="s">
        <v>1830</v>
      </c>
      <c r="H207" s="1" t="s">
        <v>1812</v>
      </c>
      <c r="I207" s="10" t="str">
        <f>IF(H207="T28",1,IF(H207="T28",3,IF(H207="T44",6,IF(H207="T44",10,IF(H207="T76",14,IF(H207="T76",18,IF(H207="T44",22,"")))))))</f>
        <v/>
      </c>
      <c r="J207" s="1" t="s">
        <v>1808</v>
      </c>
      <c r="K207" s="10">
        <v>2</v>
      </c>
      <c r="L207" s="10">
        <v>1</v>
      </c>
      <c r="N207" s="10">
        <v>4</v>
      </c>
      <c r="O207" s="6"/>
      <c r="P207" s="45" t="s">
        <v>1862</v>
      </c>
      <c r="Q207" s="42" t="s">
        <v>1868</v>
      </c>
      <c r="R207" s="42" t="s">
        <v>9292</v>
      </c>
      <c r="S207" s="1" t="s">
        <v>2201</v>
      </c>
    </row>
    <row r="208" spans="1:19" ht="18.75" customHeight="1" x14ac:dyDescent="0.3">
      <c r="A208" s="10">
        <v>207</v>
      </c>
      <c r="B208" s="10">
        <f>_xlfn.XLOOKUP(1,(VALUE(D208)&gt;=VALUE(block!$C$3:$C$500))*(VALUE(D208)&lt;VALUE(block!$C$3:$C$500)+VALUE(block!$D$3:$D$500)),block!$A$3:$A$500,"无匹配",0,1)</f>
        <v>5</v>
      </c>
      <c r="C208" s="3" t="str">
        <f>B208 &amp; "-" &amp; COUNTIF($B$2:B208, B208)</f>
        <v>5-2</v>
      </c>
      <c r="D208" s="10">
        <v>8602</v>
      </c>
      <c r="E208" s="48" t="s">
        <v>2202</v>
      </c>
      <c r="F208" s="1" t="s">
        <v>2203</v>
      </c>
      <c r="G208" s="1" t="s">
        <v>1832</v>
      </c>
      <c r="H208" s="1" t="s">
        <v>1812</v>
      </c>
      <c r="I208" s="10" t="str">
        <f>IF(H208="T29",1,IF(H208="T29",3,IF(H208="T45",6,IF(H208="T45",10,IF(H208="T77",14,IF(H208="T77",18,IF(H208="T45",22,"")))))))</f>
        <v/>
      </c>
      <c r="J208" s="1" t="s">
        <v>1808</v>
      </c>
      <c r="K208" s="10">
        <v>2</v>
      </c>
      <c r="L208" s="10">
        <v>1</v>
      </c>
      <c r="N208" s="10">
        <v>4</v>
      </c>
      <c r="O208" s="6"/>
      <c r="P208" s="45" t="s">
        <v>1862</v>
      </c>
      <c r="Q208" s="42" t="s">
        <v>1868</v>
      </c>
      <c r="R208" s="42"/>
      <c r="S208" s="1" t="s">
        <v>2203</v>
      </c>
    </row>
    <row r="209" spans="1:19" ht="18.75" customHeight="1" x14ac:dyDescent="0.3">
      <c r="A209" s="10">
        <v>208</v>
      </c>
      <c r="B209" s="10">
        <f>_xlfn.XLOOKUP(1,(VALUE(D209)&gt;=VALUE(block!$C$3:$C$500))*(VALUE(D209)&lt;VALUE(block!$C$3:$C$500)+VALUE(block!$D$3:$D$500)),block!$A$3:$A$500,"无匹配",0,1)</f>
        <v>5</v>
      </c>
      <c r="C209" s="3" t="str">
        <f>B209 &amp; "-" &amp; COUNTIF($B$2:B209, B209)</f>
        <v>5-3</v>
      </c>
      <c r="D209" s="10">
        <v>8604</v>
      </c>
      <c r="E209" s="49" t="s">
        <v>2204</v>
      </c>
      <c r="F209" s="1" t="s">
        <v>2205</v>
      </c>
      <c r="G209" s="1" t="s">
        <v>1834</v>
      </c>
      <c r="H209" s="1" t="s">
        <v>1812</v>
      </c>
      <c r="I209" s="10" t="str">
        <f>IF(H209="T30",1,IF(H209="T30",3,IF(H209="T46",6,IF(H209="T46",10,IF(H209="T78",14,IF(H209="T78",18,IF(H209="T46",22,"")))))))</f>
        <v/>
      </c>
      <c r="J209" s="1" t="s">
        <v>1808</v>
      </c>
      <c r="K209" s="10">
        <v>2</v>
      </c>
      <c r="L209" s="10">
        <v>1</v>
      </c>
      <c r="N209" s="10">
        <v>4</v>
      </c>
      <c r="O209" s="6"/>
      <c r="P209" s="45" t="s">
        <v>1862</v>
      </c>
      <c r="Q209" s="42" t="s">
        <v>1868</v>
      </c>
      <c r="R209" s="42"/>
      <c r="S209" s="1" t="s">
        <v>2205</v>
      </c>
    </row>
    <row r="210" spans="1:19" ht="18.75" customHeight="1" x14ac:dyDescent="0.3">
      <c r="A210" s="10">
        <v>209</v>
      </c>
      <c r="B210" s="10">
        <f>_xlfn.XLOOKUP(1,(VALUE(D210)&gt;=VALUE(block!$C$3:$C$500))*(VALUE(D210)&lt;VALUE(block!$C$3:$C$500)+VALUE(block!$D$3:$D$500)),block!$A$3:$A$500,"无匹配",0,1)</f>
        <v>5</v>
      </c>
      <c r="C210" s="3" t="str">
        <f>B210 &amp; "-" &amp; COUNTIF($B$2:B210, B210)</f>
        <v>5-4</v>
      </c>
      <c r="D210" s="10">
        <v>8606</v>
      </c>
      <c r="E210" s="49" t="s">
        <v>2206</v>
      </c>
      <c r="F210" s="1" t="s">
        <v>2207</v>
      </c>
      <c r="G210" s="1" t="s">
        <v>1836</v>
      </c>
      <c r="H210" s="1" t="s">
        <v>1812</v>
      </c>
      <c r="I210" s="10" t="str">
        <f>IF(H210="T31",1,IF(H210="T31",3,IF(H210="T47",6,IF(H210="T47",10,IF(H210="T79",14,IF(H210="T79",18,IF(H210="T47",22,"")))))))</f>
        <v/>
      </c>
      <c r="J210" s="1" t="s">
        <v>1808</v>
      </c>
      <c r="K210" s="10">
        <v>2</v>
      </c>
      <c r="L210" s="10">
        <v>1</v>
      </c>
      <c r="N210" s="10">
        <v>4</v>
      </c>
      <c r="O210" s="6"/>
      <c r="P210" s="45" t="s">
        <v>1862</v>
      </c>
      <c r="Q210" s="42" t="s">
        <v>1868</v>
      </c>
      <c r="R210" s="42"/>
      <c r="S210" s="1" t="s">
        <v>2207</v>
      </c>
    </row>
    <row r="211" spans="1:19" ht="18.75" hidden="1" customHeight="1" x14ac:dyDescent="0.3">
      <c r="A211" s="10">
        <v>210</v>
      </c>
      <c r="B211" s="10">
        <f>_xlfn.XLOOKUP(1,(VALUE(D211)&gt;=VALUE(block!$C$3:$C$500))*(VALUE(D211)&lt;VALUE(block!$C$3:$C$500)+VALUE(block!$D$3:$D$500)),block!$A$3:$A$500,"无匹配",0,1)</f>
        <v>5</v>
      </c>
      <c r="C211" s="3" t="str">
        <f>B211 &amp; "-" &amp; COUNTIF($B$2:B211, B211)</f>
        <v>5-5</v>
      </c>
      <c r="D211" s="10">
        <v>8608</v>
      </c>
      <c r="E211" s="1" t="s">
        <v>2208</v>
      </c>
      <c r="F211" s="1" t="s">
        <v>2209</v>
      </c>
      <c r="H211" s="1" t="s">
        <v>1838</v>
      </c>
      <c r="I211" s="10" t="str">
        <f>IF(H211="T32",1,IF(H211="T32",3,IF(H211="T48",6,IF(H211="T48",10,IF(H211="T80",14,IF(H211="T80",18,IF(H211="T48",22,"")))))))</f>
        <v/>
      </c>
      <c r="J211" s="1" t="s">
        <v>1808</v>
      </c>
      <c r="K211" s="10">
        <v>2</v>
      </c>
      <c r="L211" s="10">
        <v>1</v>
      </c>
      <c r="O211" s="6"/>
      <c r="Q211" s="6">
        <v>10</v>
      </c>
      <c r="R211" s="6"/>
      <c r="S211" s="1"/>
    </row>
    <row r="212" spans="1:19" ht="18.75" customHeight="1" x14ac:dyDescent="0.3">
      <c r="A212" s="10">
        <v>211</v>
      </c>
      <c r="B212" s="10">
        <f>_xlfn.XLOOKUP(1,(VALUE(D212)&gt;=VALUE(block!$C$3:$C$500))*(VALUE(D212)&lt;VALUE(block!$C$3:$C$500)+VALUE(block!$D$3:$D$500)),block!$A$3:$A$500,"无匹配",0,1)</f>
        <v>5</v>
      </c>
      <c r="C212" s="3" t="str">
        <f>B212 &amp; "-" &amp; COUNTIF($B$2:B212, B212)</f>
        <v>5-6</v>
      </c>
      <c r="D212" s="10">
        <v>8610</v>
      </c>
      <c r="E212" s="48" t="s">
        <v>2210</v>
      </c>
      <c r="F212" s="1" t="s">
        <v>2211</v>
      </c>
      <c r="H212" s="1" t="s">
        <v>1812</v>
      </c>
      <c r="I212" s="10" t="str">
        <f>IF(H212="T33",1,IF(H212="T33",3,IF(H212="T49",6,IF(H212="T49",10,IF(H212="T81",14,IF(H212="T81",18,IF(H212="T49",22,"")))))))</f>
        <v/>
      </c>
      <c r="J212" s="1" t="s">
        <v>1808</v>
      </c>
      <c r="K212" s="10">
        <v>2</v>
      </c>
      <c r="L212" s="10">
        <v>1</v>
      </c>
      <c r="N212" s="10">
        <v>4</v>
      </c>
      <c r="O212" s="6"/>
      <c r="P212" s="45" t="s">
        <v>1862</v>
      </c>
      <c r="Q212" s="42" t="s">
        <v>2212</v>
      </c>
      <c r="R212" s="42"/>
      <c r="S212" s="1" t="s">
        <v>2211</v>
      </c>
    </row>
    <row r="213" spans="1:19" ht="18.75" customHeight="1" x14ac:dyDescent="0.3">
      <c r="A213" s="10">
        <v>212</v>
      </c>
      <c r="B213" s="10">
        <f>_xlfn.XLOOKUP(1,(VALUE(D213)&gt;=VALUE(block!$C$3:$C$500))*(VALUE(D213)&lt;VALUE(block!$C$3:$C$500)+VALUE(block!$D$3:$D$500)),block!$A$3:$A$500,"无匹配",0,1)</f>
        <v>5</v>
      </c>
      <c r="C213" s="3" t="str">
        <f>B213 &amp; "-" &amp; COUNTIF($B$2:B213, B213)</f>
        <v>5-7</v>
      </c>
      <c r="D213" s="10">
        <v>8612</v>
      </c>
      <c r="E213" s="50" t="s">
        <v>2213</v>
      </c>
      <c r="F213" s="1" t="s">
        <v>2214</v>
      </c>
      <c r="G213" s="1" t="s">
        <v>1830</v>
      </c>
      <c r="H213" s="1" t="s">
        <v>1812</v>
      </c>
      <c r="I213" s="10" t="str">
        <f>IF(H213="T34",1,IF(H213="T34",3,IF(H213="T50",6,IF(H213="T50",10,IF(H213="T82",14,IF(H213="T82",18,IF(H213="T50",22,"")))))))</f>
        <v/>
      </c>
      <c r="J213" s="1" t="s">
        <v>1808</v>
      </c>
      <c r="K213" s="10">
        <v>2</v>
      </c>
      <c r="L213" s="10">
        <v>1</v>
      </c>
      <c r="N213" s="10">
        <v>4</v>
      </c>
      <c r="O213" s="6"/>
      <c r="P213" s="45" t="s">
        <v>1862</v>
      </c>
      <c r="Q213" s="42" t="s">
        <v>1868</v>
      </c>
      <c r="R213" s="42" t="s">
        <v>9293</v>
      </c>
      <c r="S213" s="1" t="s">
        <v>2214</v>
      </c>
    </row>
    <row r="214" spans="1:19" ht="18.75" customHeight="1" x14ac:dyDescent="0.3">
      <c r="A214" s="10">
        <v>213</v>
      </c>
      <c r="B214" s="10">
        <f>_xlfn.XLOOKUP(1,(VALUE(D214)&gt;=VALUE(block!$C$3:$C$500))*(VALUE(D214)&lt;VALUE(block!$C$3:$C$500)+VALUE(block!$D$3:$D$500)),block!$A$3:$A$500,"无匹配",0,1)</f>
        <v>5</v>
      </c>
      <c r="C214" s="3" t="str">
        <f>B214 &amp; "-" &amp; COUNTIF($B$2:B214, B214)</f>
        <v>5-8</v>
      </c>
      <c r="D214" s="10">
        <v>8614</v>
      </c>
      <c r="E214" s="50" t="s">
        <v>2215</v>
      </c>
      <c r="F214" s="1" t="s">
        <v>2216</v>
      </c>
      <c r="G214" s="1" t="s">
        <v>1832</v>
      </c>
      <c r="H214" s="1" t="s">
        <v>1812</v>
      </c>
      <c r="I214" s="10" t="str">
        <f>IF(H214="T35",1,IF(H214="T35",3,IF(H214="T51",6,IF(H214="T51",10,IF(H214="T83",14,IF(H214="T83",18,IF(H214="T51",22,"")))))))</f>
        <v/>
      </c>
      <c r="J214" s="1" t="s">
        <v>1808</v>
      </c>
      <c r="K214" s="10">
        <v>2</v>
      </c>
      <c r="L214" s="10">
        <v>1</v>
      </c>
      <c r="N214" s="10">
        <v>4</v>
      </c>
      <c r="O214" s="6"/>
      <c r="P214" s="45" t="s">
        <v>1862</v>
      </c>
      <c r="Q214" s="42" t="s">
        <v>1868</v>
      </c>
      <c r="R214" s="42"/>
      <c r="S214" s="1" t="s">
        <v>2216</v>
      </c>
    </row>
    <row r="215" spans="1:19" ht="18.75" customHeight="1" x14ac:dyDescent="0.3">
      <c r="A215" s="10">
        <v>214</v>
      </c>
      <c r="B215" s="10">
        <f>_xlfn.XLOOKUP(1,(VALUE(D215)&gt;=VALUE(block!$C$3:$C$500))*(VALUE(D215)&lt;VALUE(block!$C$3:$C$500)+VALUE(block!$D$3:$D$500)),block!$A$3:$A$500,"无匹配",0,1)</f>
        <v>5</v>
      </c>
      <c r="C215" s="3" t="str">
        <f>B215 &amp; "-" &amp; COUNTIF($B$2:B215, B215)</f>
        <v>5-9</v>
      </c>
      <c r="D215" s="10">
        <v>8616</v>
      </c>
      <c r="E215" s="1" t="s">
        <v>2217</v>
      </c>
      <c r="F215" s="1" t="s">
        <v>2218</v>
      </c>
      <c r="G215" s="1" t="s">
        <v>1834</v>
      </c>
      <c r="H215" s="1" t="s">
        <v>1812</v>
      </c>
      <c r="I215" s="10" t="str">
        <f>IF(H215="T36",1,IF(H215="T36",3,IF(H215="T52",6,IF(H215="T52",10,IF(H215="T84",14,IF(H215="T84",18,IF(H215="T52",22,"")))))))</f>
        <v/>
      </c>
      <c r="J215" s="1" t="s">
        <v>1808</v>
      </c>
      <c r="K215" s="10">
        <v>2</v>
      </c>
      <c r="L215" s="10">
        <v>1</v>
      </c>
      <c r="N215" s="10">
        <v>4</v>
      </c>
      <c r="O215" s="6"/>
      <c r="P215" s="45" t="s">
        <v>1862</v>
      </c>
      <c r="Q215" s="42" t="s">
        <v>1868</v>
      </c>
      <c r="R215" s="42"/>
      <c r="S215" s="1" t="s">
        <v>2218</v>
      </c>
    </row>
    <row r="216" spans="1:19" ht="18.75" customHeight="1" x14ac:dyDescent="0.3">
      <c r="A216" s="10">
        <v>215</v>
      </c>
      <c r="B216" s="10">
        <f>_xlfn.XLOOKUP(1,(VALUE(D216)&gt;=VALUE(block!$C$3:$C$500))*(VALUE(D216)&lt;VALUE(block!$C$3:$C$500)+VALUE(block!$D$3:$D$500)),block!$A$3:$A$500,"无匹配",0,1)</f>
        <v>5</v>
      </c>
      <c r="C216" s="3" t="str">
        <f>B216 &amp; "-" &amp; COUNTIF($B$2:B216, B216)</f>
        <v>5-10</v>
      </c>
      <c r="D216" s="10">
        <v>8618</v>
      </c>
      <c r="E216" s="1" t="s">
        <v>2219</v>
      </c>
      <c r="F216" s="1" t="s">
        <v>2220</v>
      </c>
      <c r="G216" s="1" t="s">
        <v>1836</v>
      </c>
      <c r="H216" s="1" t="s">
        <v>1812</v>
      </c>
      <c r="I216" s="10" t="str">
        <f>IF(H216="T37",1,IF(H216="T37",3,IF(H216="T53",6,IF(H216="T53",10,IF(H216="T85",14,IF(H216="T85",18,IF(H216="T53",22,"")))))))</f>
        <v/>
      </c>
      <c r="J216" s="1" t="s">
        <v>1808</v>
      </c>
      <c r="K216" s="10">
        <v>2</v>
      </c>
      <c r="L216" s="10">
        <v>1</v>
      </c>
      <c r="N216" s="10">
        <v>4</v>
      </c>
      <c r="O216" s="6"/>
      <c r="P216" s="45" t="s">
        <v>1862</v>
      </c>
      <c r="Q216" s="42" t="s">
        <v>1868</v>
      </c>
      <c r="R216" s="42"/>
      <c r="S216" s="1" t="s">
        <v>2220</v>
      </c>
    </row>
    <row r="217" spans="1:19" ht="18.75" hidden="1" customHeight="1" x14ac:dyDescent="0.3">
      <c r="A217" s="10">
        <v>216</v>
      </c>
      <c r="B217" s="10">
        <f>_xlfn.XLOOKUP(1,(VALUE(D217)&gt;=VALUE(block!$C$3:$C$500))*(VALUE(D217)&lt;VALUE(block!$C$3:$C$500)+VALUE(block!$D$3:$D$500)),block!$A$3:$A$500,"无匹配",0,1)</f>
        <v>5</v>
      </c>
      <c r="C217" s="3" t="str">
        <f>B217 &amp; "-" &amp; COUNTIF($B$2:B217, B217)</f>
        <v>5-11</v>
      </c>
      <c r="D217" s="10">
        <v>8620</v>
      </c>
      <c r="E217" s="3" t="s">
        <v>2221</v>
      </c>
      <c r="F217" s="1" t="s">
        <v>2222</v>
      </c>
      <c r="H217" s="1" t="s">
        <v>1838</v>
      </c>
      <c r="I217" s="10" t="str">
        <f>IF(H217="T38",1,IF(H217="T38",3,IF(H217="T54",6,IF(H217="T54",10,IF(H217="T86",14,IF(H217="T86",18,IF(H217="T54",22,"")))))))</f>
        <v/>
      </c>
      <c r="J217" s="1" t="s">
        <v>1808</v>
      </c>
      <c r="K217" s="10">
        <v>2</v>
      </c>
      <c r="L217" s="10">
        <v>1</v>
      </c>
      <c r="O217" s="6"/>
      <c r="P217" s="11"/>
      <c r="Q217" s="6">
        <v>10</v>
      </c>
      <c r="R217" s="6"/>
      <c r="S217" s="1"/>
    </row>
    <row r="218" spans="1:19" ht="18.75" customHeight="1" x14ac:dyDescent="0.3">
      <c r="A218" s="10">
        <v>217</v>
      </c>
      <c r="B218" s="10">
        <f>_xlfn.XLOOKUP(1,(VALUE(D218)&gt;=VALUE(block!$C$3:$C$500))*(VALUE(D218)&lt;VALUE(block!$C$3:$C$500)+VALUE(block!$D$3:$D$500)),block!$A$3:$A$500,"无匹配",0,1)</f>
        <v>5</v>
      </c>
      <c r="C218" s="3" t="str">
        <f>B218 &amp; "-" &amp; COUNTIF($B$2:B218, B218)</f>
        <v>5-12</v>
      </c>
      <c r="D218" s="10">
        <v>8622</v>
      </c>
      <c r="E218" s="1" t="s">
        <v>2223</v>
      </c>
      <c r="F218" s="1" t="s">
        <v>2224</v>
      </c>
      <c r="H218" s="1" t="s">
        <v>1812</v>
      </c>
      <c r="I218" s="10" t="str">
        <f>IF(H218="T39",1,IF(H218="T39",3,IF(H218="T55",6,IF(H218="T55",10,IF(H218="T87",14,IF(H218="T87",18,IF(H218="T55",22,"")))))))</f>
        <v/>
      </c>
      <c r="J218" s="1" t="s">
        <v>1808</v>
      </c>
      <c r="K218" s="10">
        <v>2</v>
      </c>
      <c r="L218" s="10">
        <v>1</v>
      </c>
      <c r="N218" s="10">
        <v>4</v>
      </c>
      <c r="O218" s="6"/>
      <c r="P218" s="45" t="s">
        <v>1862</v>
      </c>
      <c r="Q218" s="42" t="s">
        <v>2212</v>
      </c>
      <c r="R218" s="42"/>
      <c r="S218" s="1" t="s">
        <v>2224</v>
      </c>
    </row>
    <row r="219" spans="1:19" ht="18.75" customHeight="1" x14ac:dyDescent="0.3">
      <c r="A219" s="10">
        <v>218</v>
      </c>
      <c r="B219" s="10">
        <f>_xlfn.XLOOKUP(1,(VALUE(D219)&gt;=VALUE(block!$C$3:$C$500))*(VALUE(D219)&lt;VALUE(block!$C$3:$C$500)+VALUE(block!$D$3:$D$500)),block!$A$3:$A$500,"无匹配",0,1)</f>
        <v>5</v>
      </c>
      <c r="C219" s="3" t="str">
        <f>B219 &amp; "-" &amp; COUNTIF($B$2:B219, B219)</f>
        <v>5-13</v>
      </c>
      <c r="D219" s="10">
        <v>8624</v>
      </c>
      <c r="E219" s="1" t="s">
        <v>2225</v>
      </c>
      <c r="F219" s="1" t="s">
        <v>2226</v>
      </c>
      <c r="G219" s="1" t="s">
        <v>1830</v>
      </c>
      <c r="H219" s="1" t="s">
        <v>1812</v>
      </c>
      <c r="I219" s="10" t="str">
        <f>IF(H219="T40",1,IF(H219="T40",3,IF(H219="T56",6,IF(H219="T56",10,IF(H219="T88",14,IF(H219="T88",18,IF(H219="T56",22,"")))))))</f>
        <v/>
      </c>
      <c r="J219" s="1" t="s">
        <v>1808</v>
      </c>
      <c r="K219" s="10">
        <v>2</v>
      </c>
      <c r="L219" s="10">
        <v>1</v>
      </c>
      <c r="N219" s="10">
        <v>4</v>
      </c>
      <c r="O219" s="6"/>
      <c r="P219" s="45" t="s">
        <v>1862</v>
      </c>
      <c r="Q219" s="42" t="s">
        <v>1868</v>
      </c>
      <c r="R219" s="42" t="s">
        <v>9294</v>
      </c>
      <c r="S219" s="1" t="s">
        <v>2226</v>
      </c>
    </row>
    <row r="220" spans="1:19" ht="18.75" customHeight="1" x14ac:dyDescent="0.3">
      <c r="A220" s="10">
        <v>219</v>
      </c>
      <c r="B220" s="10">
        <f>_xlfn.XLOOKUP(1,(VALUE(D220)&gt;=VALUE(block!$C$3:$C$500))*(VALUE(D220)&lt;VALUE(block!$C$3:$C$500)+VALUE(block!$D$3:$D$500)),block!$A$3:$A$500,"无匹配",0,1)</f>
        <v>5</v>
      </c>
      <c r="C220" s="3" t="str">
        <f>B220 &amp; "-" &amp; COUNTIF($B$2:B220, B220)</f>
        <v>5-14</v>
      </c>
      <c r="D220" s="10">
        <v>8626</v>
      </c>
      <c r="E220" s="1" t="s">
        <v>2227</v>
      </c>
      <c r="F220" s="1" t="s">
        <v>2228</v>
      </c>
      <c r="G220" s="1" t="s">
        <v>1832</v>
      </c>
      <c r="H220" s="1" t="s">
        <v>1812</v>
      </c>
      <c r="I220" s="10" t="str">
        <f>IF(H220="T41",1,IF(H220="T41",3,IF(H220="T57",6,IF(H220="T57",10,IF(H220="T89",14,IF(H220="T89",18,IF(H220="T57",22,"")))))))</f>
        <v/>
      </c>
      <c r="J220" s="1" t="s">
        <v>1808</v>
      </c>
      <c r="K220" s="10">
        <v>2</v>
      </c>
      <c r="L220" s="10">
        <v>1</v>
      </c>
      <c r="N220" s="10">
        <v>4</v>
      </c>
      <c r="O220" s="6"/>
      <c r="P220" s="45" t="s">
        <v>1862</v>
      </c>
      <c r="Q220" s="42" t="s">
        <v>1868</v>
      </c>
      <c r="R220" s="42"/>
      <c r="S220" s="1" t="s">
        <v>2228</v>
      </c>
    </row>
    <row r="221" spans="1:19" ht="18.75" customHeight="1" x14ac:dyDescent="0.3">
      <c r="A221" s="10">
        <v>220</v>
      </c>
      <c r="B221" s="10">
        <f>_xlfn.XLOOKUP(1,(VALUE(D221)&gt;=VALUE(block!$C$3:$C$500))*(VALUE(D221)&lt;VALUE(block!$C$3:$C$500)+VALUE(block!$D$3:$D$500)),block!$A$3:$A$500,"无匹配",0,1)</f>
        <v>5</v>
      </c>
      <c r="C221" s="3" t="str">
        <f>B221 &amp; "-" &amp; COUNTIF($B$2:B221, B221)</f>
        <v>5-15</v>
      </c>
      <c r="D221" s="10">
        <v>8628</v>
      </c>
      <c r="E221" s="1" t="s">
        <v>2229</v>
      </c>
      <c r="F221" s="1" t="s">
        <v>2230</v>
      </c>
      <c r="G221" s="1" t="s">
        <v>1834</v>
      </c>
      <c r="H221" s="1" t="s">
        <v>1812</v>
      </c>
      <c r="I221" s="10" t="str">
        <f>IF(H221="T42",1,IF(H221="T42",3,IF(H221="T58",6,IF(H221="T58",10,IF(H221="T90",14,IF(H221="T90",18,IF(H221="T58",22,"")))))))</f>
        <v/>
      </c>
      <c r="J221" s="1" t="s">
        <v>1808</v>
      </c>
      <c r="K221" s="10">
        <v>2</v>
      </c>
      <c r="L221" s="10">
        <v>1</v>
      </c>
      <c r="N221" s="10">
        <v>4</v>
      </c>
      <c r="O221" s="6"/>
      <c r="P221" s="45" t="s">
        <v>1862</v>
      </c>
      <c r="Q221" s="42" t="s">
        <v>1868</v>
      </c>
      <c r="R221" s="42"/>
      <c r="S221" s="1" t="s">
        <v>2230</v>
      </c>
    </row>
    <row r="222" spans="1:19" ht="18.75" customHeight="1" x14ac:dyDescent="0.3">
      <c r="A222" s="10">
        <v>221</v>
      </c>
      <c r="B222" s="10">
        <f>_xlfn.XLOOKUP(1,(VALUE(D222)&gt;=VALUE(block!$C$3:$C$500))*(VALUE(D222)&lt;VALUE(block!$C$3:$C$500)+VALUE(block!$D$3:$D$500)),block!$A$3:$A$500,"无匹配",0,1)</f>
        <v>5</v>
      </c>
      <c r="C222" s="3" t="str">
        <f>B222 &amp; "-" &amp; COUNTIF($B$2:B222, B222)</f>
        <v>5-16</v>
      </c>
      <c r="D222" s="10">
        <v>8630</v>
      </c>
      <c r="E222" s="1" t="s">
        <v>2231</v>
      </c>
      <c r="F222" s="1" t="s">
        <v>2232</v>
      </c>
      <c r="G222" s="1" t="s">
        <v>1836</v>
      </c>
      <c r="H222" s="1" t="s">
        <v>1812</v>
      </c>
      <c r="I222" s="10" t="str">
        <f>IF(H222="T43",1,IF(H222="T43",3,IF(H222="T59",6,IF(H222="T59",10,IF(H222="T91",14,IF(H222="T91",18,IF(H222="T59",22,"")))))))</f>
        <v/>
      </c>
      <c r="J222" s="1" t="s">
        <v>1808</v>
      </c>
      <c r="K222" s="10">
        <v>2</v>
      </c>
      <c r="L222" s="10">
        <v>1</v>
      </c>
      <c r="N222" s="10">
        <v>4</v>
      </c>
      <c r="O222" s="6"/>
      <c r="P222" s="45" t="s">
        <v>1862</v>
      </c>
      <c r="Q222" s="42" t="s">
        <v>1868</v>
      </c>
      <c r="R222" s="42"/>
      <c r="S222" s="1" t="s">
        <v>2232</v>
      </c>
    </row>
    <row r="223" spans="1:19" ht="18.75" hidden="1" customHeight="1" x14ac:dyDescent="0.3">
      <c r="A223" s="10">
        <v>222</v>
      </c>
      <c r="B223" s="10">
        <f>_xlfn.XLOOKUP(1,(VALUE(D223)&gt;=VALUE(block!$C$3:$C$500))*(VALUE(D223)&lt;VALUE(block!$C$3:$C$500)+VALUE(block!$D$3:$D$500)),block!$A$3:$A$500,"无匹配",0,1)</f>
        <v>5</v>
      </c>
      <c r="C223" s="3" t="str">
        <f>B223 &amp; "-" &amp; COUNTIF($B$2:B223, B223)</f>
        <v>5-17</v>
      </c>
      <c r="D223" s="10">
        <v>8632</v>
      </c>
      <c r="E223" s="1" t="s">
        <v>2233</v>
      </c>
      <c r="F223" s="1" t="s">
        <v>2234</v>
      </c>
      <c r="H223" s="1" t="s">
        <v>1838</v>
      </c>
      <c r="I223" s="10" t="str">
        <f>IF(H223="T44",1,IF(H223="T44",3,IF(H223="T60",6,IF(H223="T60",10,IF(H223="T92",14,IF(H223="T92",18,IF(H223="T60",22,"")))))))</f>
        <v/>
      </c>
      <c r="J223" s="1" t="s">
        <v>1808</v>
      </c>
      <c r="K223" s="10">
        <v>2</v>
      </c>
      <c r="L223" s="10">
        <v>1</v>
      </c>
      <c r="O223" s="6"/>
      <c r="P223" s="11"/>
      <c r="Q223" s="6">
        <v>10</v>
      </c>
      <c r="R223" s="6"/>
      <c r="S223" s="1"/>
    </row>
    <row r="224" spans="1:19" ht="18.75" customHeight="1" x14ac:dyDescent="0.3">
      <c r="A224" s="10">
        <v>223</v>
      </c>
      <c r="B224" s="10">
        <f>_xlfn.XLOOKUP(1,(VALUE(D224)&gt;=VALUE(block!$C$3:$C$500))*(VALUE(D224)&lt;VALUE(block!$C$3:$C$500)+VALUE(block!$D$3:$D$500)),block!$A$3:$A$500,"无匹配",0,1)</f>
        <v>5</v>
      </c>
      <c r="C224" s="3" t="str">
        <f>B224 &amp; "-" &amp; COUNTIF($B$2:B224, B224)</f>
        <v>5-18</v>
      </c>
      <c r="D224" s="10">
        <v>8634</v>
      </c>
      <c r="E224" s="1" t="s">
        <v>2235</v>
      </c>
      <c r="F224" s="1" t="s">
        <v>2236</v>
      </c>
      <c r="H224" s="1" t="s">
        <v>1812</v>
      </c>
      <c r="I224" s="10" t="str">
        <f>IF(H224="T45",1,IF(H224="T45",3,IF(H224="T61",6,IF(H224="T61",10,IF(H224="T93",14,IF(H224="T93",18,IF(H224="T61",22,"")))))))</f>
        <v/>
      </c>
      <c r="J224" s="1" t="s">
        <v>1808</v>
      </c>
      <c r="K224" s="10">
        <v>2</v>
      </c>
      <c r="L224" s="10">
        <v>1</v>
      </c>
      <c r="N224" s="10">
        <v>4</v>
      </c>
      <c r="O224" s="6"/>
      <c r="P224" s="45" t="s">
        <v>1862</v>
      </c>
      <c r="Q224" s="42" t="s">
        <v>2212</v>
      </c>
      <c r="R224" s="42"/>
      <c r="S224" s="1" t="s">
        <v>2236</v>
      </c>
    </row>
    <row r="225" spans="1:19" ht="18.75" customHeight="1" x14ac:dyDescent="0.3">
      <c r="A225" s="10">
        <v>224</v>
      </c>
      <c r="B225" s="10">
        <f>_xlfn.XLOOKUP(1,(VALUE(D225)&gt;=VALUE(block!$C$3:$C$500))*(VALUE(D225)&lt;VALUE(block!$C$3:$C$500)+VALUE(block!$D$3:$D$500)),block!$A$3:$A$500,"无匹配",0,1)</f>
        <v>5</v>
      </c>
      <c r="C225" s="3" t="str">
        <f>B225 &amp; "-" &amp; COUNTIF($B$2:B225, B225)</f>
        <v>5-19</v>
      </c>
      <c r="D225" s="10">
        <v>8636</v>
      </c>
      <c r="E225" s="1" t="s">
        <v>2237</v>
      </c>
      <c r="F225" s="1" t="s">
        <v>2238</v>
      </c>
      <c r="G225" s="1" t="s">
        <v>1830</v>
      </c>
      <c r="H225" s="1" t="s">
        <v>1812</v>
      </c>
      <c r="I225" s="10" t="str">
        <f>IF(H225="T46",1,IF(H225="T46",3,IF(H225="T62",6,IF(H225="T62",10,IF(H225="T94",14,IF(H225="T94",18,IF(H225="T62",22,"")))))))</f>
        <v/>
      </c>
      <c r="J225" s="1" t="s">
        <v>1808</v>
      </c>
      <c r="K225" s="10">
        <v>2</v>
      </c>
      <c r="L225" s="10">
        <v>1</v>
      </c>
      <c r="N225" s="10">
        <v>4</v>
      </c>
      <c r="O225" s="6"/>
      <c r="P225" s="45" t="s">
        <v>1862</v>
      </c>
      <c r="Q225" s="42" t="s">
        <v>1868</v>
      </c>
      <c r="R225" s="42" t="s">
        <v>9295</v>
      </c>
      <c r="S225" s="1" t="s">
        <v>2238</v>
      </c>
    </row>
    <row r="226" spans="1:19" ht="18.75" customHeight="1" x14ac:dyDescent="0.3">
      <c r="A226" s="10">
        <v>225</v>
      </c>
      <c r="B226" s="10">
        <f>_xlfn.XLOOKUP(1,(VALUE(D226)&gt;=VALUE(block!$C$3:$C$500))*(VALUE(D226)&lt;VALUE(block!$C$3:$C$500)+VALUE(block!$D$3:$D$500)),block!$A$3:$A$500,"无匹配",0,1)</f>
        <v>5</v>
      </c>
      <c r="C226" s="3" t="str">
        <f>B226 &amp; "-" &amp; COUNTIF($B$2:B226, B226)</f>
        <v>5-20</v>
      </c>
      <c r="D226" s="10">
        <v>8638</v>
      </c>
      <c r="E226" s="1" t="s">
        <v>2239</v>
      </c>
      <c r="F226" s="1" t="s">
        <v>2240</v>
      </c>
      <c r="G226" s="1" t="s">
        <v>1832</v>
      </c>
      <c r="H226" s="1" t="s">
        <v>1812</v>
      </c>
      <c r="I226" s="10" t="str">
        <f>IF(H226="T47",1,IF(H226="T47",3,IF(H226="T63",6,IF(H226="T63",10,IF(H226="T95",14,IF(H226="T95",18,IF(H226="T63",22,"")))))))</f>
        <v/>
      </c>
      <c r="J226" s="1" t="s">
        <v>1808</v>
      </c>
      <c r="K226" s="10">
        <v>2</v>
      </c>
      <c r="L226" s="10">
        <v>1</v>
      </c>
      <c r="N226" s="10">
        <v>4</v>
      </c>
      <c r="O226" s="6"/>
      <c r="P226" s="45" t="s">
        <v>1862</v>
      </c>
      <c r="Q226" s="42" t="s">
        <v>1868</v>
      </c>
      <c r="R226" s="42"/>
      <c r="S226" s="1" t="s">
        <v>2240</v>
      </c>
    </row>
    <row r="227" spans="1:19" ht="18.75" customHeight="1" x14ac:dyDescent="0.3">
      <c r="A227" s="10">
        <v>226</v>
      </c>
      <c r="B227" s="10">
        <f>_xlfn.XLOOKUP(1,(VALUE(D227)&gt;=VALUE(block!$C$3:$C$500))*(VALUE(D227)&lt;VALUE(block!$C$3:$C$500)+VALUE(block!$D$3:$D$500)),block!$A$3:$A$500,"无匹配",0,1)</f>
        <v>5</v>
      </c>
      <c r="C227" s="3" t="str">
        <f>B227 &amp; "-" &amp; COUNTIF($B$2:B227, B227)</f>
        <v>5-21</v>
      </c>
      <c r="D227" s="10">
        <v>8640</v>
      </c>
      <c r="E227" s="1" t="s">
        <v>2241</v>
      </c>
      <c r="F227" s="1" t="s">
        <v>2242</v>
      </c>
      <c r="G227" s="1" t="s">
        <v>1834</v>
      </c>
      <c r="H227" s="1" t="s">
        <v>1812</v>
      </c>
      <c r="I227" s="10" t="str">
        <f>IF(H227="T48",1,IF(H227="T48",3,IF(H227="T64",6,IF(H227="T64",10,IF(H227="T96",14,IF(H227="T96",18,IF(H227="T64",22,"")))))))</f>
        <v/>
      </c>
      <c r="J227" s="1" t="s">
        <v>1808</v>
      </c>
      <c r="K227" s="10">
        <v>2</v>
      </c>
      <c r="L227" s="10">
        <v>1</v>
      </c>
      <c r="N227" s="10">
        <v>4</v>
      </c>
      <c r="O227" s="6"/>
      <c r="P227" s="45" t="s">
        <v>1862</v>
      </c>
      <c r="Q227" s="42" t="s">
        <v>1868</v>
      </c>
      <c r="R227" s="42"/>
      <c r="S227" s="1" t="s">
        <v>2242</v>
      </c>
    </row>
    <row r="228" spans="1:19" ht="18.75" customHeight="1" x14ac:dyDescent="0.3">
      <c r="A228" s="10">
        <v>227</v>
      </c>
      <c r="B228" s="10">
        <f>_xlfn.XLOOKUP(1,(VALUE(D228)&gt;=VALUE(block!$C$3:$C$500))*(VALUE(D228)&lt;VALUE(block!$C$3:$C$500)+VALUE(block!$D$3:$D$500)),block!$A$3:$A$500,"无匹配",0,1)</f>
        <v>5</v>
      </c>
      <c r="C228" s="3" t="str">
        <f>B228 &amp; "-" &amp; COUNTIF($B$2:B228, B228)</f>
        <v>5-22</v>
      </c>
      <c r="D228" s="10">
        <v>8642</v>
      </c>
      <c r="E228" s="1" t="s">
        <v>2243</v>
      </c>
      <c r="F228" s="1" t="s">
        <v>2244</v>
      </c>
      <c r="G228" s="1" t="s">
        <v>1836</v>
      </c>
      <c r="H228" s="1" t="s">
        <v>1812</v>
      </c>
      <c r="I228" s="10" t="str">
        <f>IF(H228="T49",1,IF(H228="T49",3,IF(H228="T65",6,IF(H228="T65",10,IF(H228="T97",14,IF(H228="T97",18,IF(H228="T65",22,"")))))))</f>
        <v/>
      </c>
      <c r="J228" s="1" t="s">
        <v>1808</v>
      </c>
      <c r="K228" s="10">
        <v>2</v>
      </c>
      <c r="L228" s="10">
        <v>1</v>
      </c>
      <c r="N228" s="10">
        <v>4</v>
      </c>
      <c r="O228" s="6"/>
      <c r="P228" s="45" t="s">
        <v>1862</v>
      </c>
      <c r="Q228" s="42" t="s">
        <v>1868</v>
      </c>
      <c r="R228" s="42"/>
      <c r="S228" s="1" t="s">
        <v>2244</v>
      </c>
    </row>
    <row r="229" spans="1:19" ht="18.75" hidden="1" customHeight="1" x14ac:dyDescent="0.3">
      <c r="A229" s="10">
        <v>228</v>
      </c>
      <c r="B229" s="10">
        <f>_xlfn.XLOOKUP(1,(VALUE(D229)&gt;=VALUE(block!$C$3:$C$500))*(VALUE(D229)&lt;VALUE(block!$C$3:$C$500)+VALUE(block!$D$3:$D$500)),block!$A$3:$A$500,"无匹配",0,1)</f>
        <v>5</v>
      </c>
      <c r="C229" s="3" t="str">
        <f>B229 &amp; "-" &amp; COUNTIF($B$2:B229, B229)</f>
        <v>5-23</v>
      </c>
      <c r="D229" s="10">
        <v>8644</v>
      </c>
      <c r="E229" s="1" t="s">
        <v>2245</v>
      </c>
      <c r="F229" s="1" t="s">
        <v>2246</v>
      </c>
      <c r="H229" s="1" t="s">
        <v>1838</v>
      </c>
      <c r="I229" s="10" t="str">
        <f>IF(H229="T50",1,IF(H229="T50",3,IF(H229="T66",6,IF(H229="T66",10,IF(H229="T98",14,IF(H229="T98",18,IF(H229="T66",22,"")))))))</f>
        <v/>
      </c>
      <c r="J229" s="1" t="s">
        <v>1808</v>
      </c>
      <c r="K229" s="10">
        <v>2</v>
      </c>
      <c r="L229" s="10">
        <v>1</v>
      </c>
      <c r="O229" s="6"/>
      <c r="P229" s="11"/>
      <c r="Q229" s="6">
        <v>10</v>
      </c>
      <c r="R229" s="6"/>
      <c r="S229" s="1"/>
    </row>
    <row r="230" spans="1:19" ht="18.75" customHeight="1" x14ac:dyDescent="0.3">
      <c r="A230" s="10">
        <v>229</v>
      </c>
      <c r="B230" s="10">
        <f>_xlfn.XLOOKUP(1,(VALUE(D230)&gt;=VALUE(block!$C$3:$C$500))*(VALUE(D230)&lt;VALUE(block!$C$3:$C$500)+VALUE(block!$D$3:$D$500)),block!$A$3:$A$500,"无匹配",0,1)</f>
        <v>5</v>
      </c>
      <c r="C230" s="3" t="str">
        <f>B230 &amp; "-" &amp; COUNTIF($B$2:B230, B230)</f>
        <v>5-24</v>
      </c>
      <c r="D230" s="10">
        <v>8646</v>
      </c>
      <c r="E230" s="1" t="s">
        <v>2247</v>
      </c>
      <c r="F230" s="1" t="s">
        <v>2248</v>
      </c>
      <c r="H230" s="1" t="s">
        <v>1812</v>
      </c>
      <c r="I230" s="10" t="str">
        <f>IF(H230="T51",1,IF(H230="T51",3,IF(H230="T67",6,IF(H230="T67",10,IF(H230="T99",14,IF(H230="T99",18,IF(H230="T67",22,"")))))))</f>
        <v/>
      </c>
      <c r="J230" s="1" t="s">
        <v>1808</v>
      </c>
      <c r="K230" s="10">
        <v>2</v>
      </c>
      <c r="L230" s="10">
        <v>1</v>
      </c>
      <c r="N230" s="10">
        <v>4</v>
      </c>
      <c r="O230" s="6"/>
      <c r="P230" s="45" t="s">
        <v>1862</v>
      </c>
      <c r="Q230" s="42" t="s">
        <v>2212</v>
      </c>
      <c r="R230" s="42"/>
      <c r="S230" s="1" t="s">
        <v>2248</v>
      </c>
    </row>
    <row r="231" spans="1:19" ht="18.75" customHeight="1" x14ac:dyDescent="0.3">
      <c r="A231" s="10">
        <v>230</v>
      </c>
      <c r="B231" s="10">
        <f>_xlfn.XLOOKUP(1,(VALUE(D231)&gt;=VALUE(block!$C$3:$C$500))*(VALUE(D231)&lt;VALUE(block!$C$3:$C$500)+VALUE(block!$D$3:$D$500)),block!$A$3:$A$500,"无匹配",0,1)</f>
        <v>5</v>
      </c>
      <c r="C231" s="3" t="str">
        <f>B231 &amp; "-" &amp; COUNTIF($B$2:B231, B231)</f>
        <v>5-25</v>
      </c>
      <c r="D231" s="10">
        <v>8648</v>
      </c>
      <c r="E231" s="1" t="s">
        <v>2249</v>
      </c>
      <c r="F231" s="1" t="s">
        <v>2250</v>
      </c>
      <c r="G231" s="1" t="s">
        <v>1830</v>
      </c>
      <c r="H231" s="1" t="s">
        <v>1812</v>
      </c>
      <c r="I231" s="10" t="str">
        <f>IF(H231="T52",1,IF(H231="T52",3,IF(H231="T68",6,IF(H231="T68",10,IF(H231="T100",14,IF(H231="T100",18,IF(H231="T68",22,"")))))))</f>
        <v/>
      </c>
      <c r="J231" s="1" t="s">
        <v>1808</v>
      </c>
      <c r="K231" s="10">
        <v>2</v>
      </c>
      <c r="L231" s="10">
        <v>1</v>
      </c>
      <c r="N231" s="10">
        <v>4</v>
      </c>
      <c r="O231" s="6"/>
      <c r="P231" s="45" t="s">
        <v>1862</v>
      </c>
      <c r="Q231" s="42" t="s">
        <v>1868</v>
      </c>
      <c r="R231" s="42" t="s">
        <v>9296</v>
      </c>
      <c r="S231" s="1" t="s">
        <v>2250</v>
      </c>
    </row>
    <row r="232" spans="1:19" ht="18.75" customHeight="1" x14ac:dyDescent="0.3">
      <c r="A232" s="10">
        <v>231</v>
      </c>
      <c r="B232" s="10">
        <f>_xlfn.XLOOKUP(1,(VALUE(D232)&gt;=VALUE(block!$C$3:$C$500))*(VALUE(D232)&lt;VALUE(block!$C$3:$C$500)+VALUE(block!$D$3:$D$500)),block!$A$3:$A$500,"无匹配",0,1)</f>
        <v>5</v>
      </c>
      <c r="C232" s="3" t="str">
        <f>B232 &amp; "-" &amp; COUNTIF($B$2:B232, B232)</f>
        <v>5-26</v>
      </c>
      <c r="D232" s="10">
        <v>8650</v>
      </c>
      <c r="E232" s="1" t="s">
        <v>2251</v>
      </c>
      <c r="F232" s="1" t="s">
        <v>2252</v>
      </c>
      <c r="G232" s="1" t="s">
        <v>1832</v>
      </c>
      <c r="H232" s="1" t="s">
        <v>1812</v>
      </c>
      <c r="I232" s="10" t="str">
        <f>IF(H232="T53",1,IF(H232="T53",3,IF(H232="T69",6,IF(H232="T69",10,IF(H232="T101",14,IF(H232="T101",18,IF(H232="T69",22,"")))))))</f>
        <v/>
      </c>
      <c r="J232" s="1" t="s">
        <v>1808</v>
      </c>
      <c r="K232" s="10">
        <v>2</v>
      </c>
      <c r="L232" s="10">
        <v>1</v>
      </c>
      <c r="N232" s="10">
        <v>4</v>
      </c>
      <c r="O232" s="6"/>
      <c r="P232" s="45" t="s">
        <v>1862</v>
      </c>
      <c r="Q232" s="42" t="s">
        <v>1868</v>
      </c>
      <c r="R232" s="42"/>
      <c r="S232" s="1" t="s">
        <v>2252</v>
      </c>
    </row>
    <row r="233" spans="1:19" ht="18.75" customHeight="1" x14ac:dyDescent="0.3">
      <c r="A233" s="10">
        <v>232</v>
      </c>
      <c r="B233" s="10">
        <f>_xlfn.XLOOKUP(1,(VALUE(D233)&gt;=VALUE(block!$C$3:$C$500))*(VALUE(D233)&lt;VALUE(block!$C$3:$C$500)+VALUE(block!$D$3:$D$500)),block!$A$3:$A$500,"无匹配",0,1)</f>
        <v>5</v>
      </c>
      <c r="C233" s="3" t="str">
        <f>B233 &amp; "-" &amp; COUNTIF($B$2:B233, B233)</f>
        <v>5-27</v>
      </c>
      <c r="D233" s="10">
        <v>8652</v>
      </c>
      <c r="E233" s="1" t="s">
        <v>2253</v>
      </c>
      <c r="F233" s="1" t="s">
        <v>2254</v>
      </c>
      <c r="G233" s="1" t="s">
        <v>1834</v>
      </c>
      <c r="H233" s="1" t="s">
        <v>1812</v>
      </c>
      <c r="I233" s="10" t="str">
        <f>IF(H233="T54",1,IF(H233="T54",3,IF(H233="T70",6,IF(H233="T70",10,IF(H233="T102",14,IF(H233="T102",18,IF(H233="T70",22,"")))))))</f>
        <v/>
      </c>
      <c r="J233" s="1" t="s">
        <v>1808</v>
      </c>
      <c r="K233" s="10">
        <v>2</v>
      </c>
      <c r="L233" s="10">
        <v>1</v>
      </c>
      <c r="N233" s="10">
        <v>4</v>
      </c>
      <c r="O233" s="6"/>
      <c r="P233" s="45" t="s">
        <v>1862</v>
      </c>
      <c r="Q233" s="42" t="s">
        <v>1868</v>
      </c>
      <c r="R233" s="42"/>
      <c r="S233" s="1" t="s">
        <v>2254</v>
      </c>
    </row>
    <row r="234" spans="1:19" ht="18.75" customHeight="1" x14ac:dyDescent="0.3">
      <c r="A234" s="10">
        <v>233</v>
      </c>
      <c r="B234" s="10">
        <f>_xlfn.XLOOKUP(1,(VALUE(D234)&gt;=VALUE(block!$C$3:$C$500))*(VALUE(D234)&lt;VALUE(block!$C$3:$C$500)+VALUE(block!$D$3:$D$500)),block!$A$3:$A$500,"无匹配",0,1)</f>
        <v>5</v>
      </c>
      <c r="C234" s="3" t="str">
        <f>B234 &amp; "-" &amp; COUNTIF($B$2:B234, B234)</f>
        <v>5-28</v>
      </c>
      <c r="D234" s="10">
        <v>8654</v>
      </c>
      <c r="E234" s="1" t="s">
        <v>2255</v>
      </c>
      <c r="F234" s="1" t="s">
        <v>2256</v>
      </c>
      <c r="G234" s="1" t="s">
        <v>1836</v>
      </c>
      <c r="H234" s="1" t="s">
        <v>1812</v>
      </c>
      <c r="I234" s="10" t="str">
        <f>IF(H234="T55",1,IF(H234="T55",3,IF(H234="T71",6,IF(H234="T71",10,IF(H234="T103",14,IF(H234="T103",18,IF(H234="T71",22,"")))))))</f>
        <v/>
      </c>
      <c r="J234" s="1" t="s">
        <v>1808</v>
      </c>
      <c r="K234" s="10">
        <v>2</v>
      </c>
      <c r="L234" s="10">
        <v>1</v>
      </c>
      <c r="N234" s="10">
        <v>4</v>
      </c>
      <c r="O234" s="6"/>
      <c r="P234" s="45" t="s">
        <v>1862</v>
      </c>
      <c r="Q234" s="42" t="s">
        <v>1868</v>
      </c>
      <c r="R234" s="42"/>
      <c r="S234" s="1" t="s">
        <v>2256</v>
      </c>
    </row>
    <row r="235" spans="1:19" ht="18.75" hidden="1" customHeight="1" x14ac:dyDescent="0.3">
      <c r="A235" s="10">
        <v>234</v>
      </c>
      <c r="B235" s="10">
        <f>_xlfn.XLOOKUP(1,(VALUE(D235)&gt;=VALUE(block!$C$3:$C$500))*(VALUE(D235)&lt;VALUE(block!$C$3:$C$500)+VALUE(block!$D$3:$D$500)),block!$A$3:$A$500,"无匹配",0,1)</f>
        <v>5</v>
      </c>
      <c r="C235" s="3" t="str">
        <f>B235 &amp; "-" &amp; COUNTIF($B$2:B235, B235)</f>
        <v>5-29</v>
      </c>
      <c r="D235" s="10">
        <v>8656</v>
      </c>
      <c r="E235" s="1" t="s">
        <v>2257</v>
      </c>
      <c r="F235" s="1" t="s">
        <v>2258</v>
      </c>
      <c r="H235" s="1" t="s">
        <v>1838</v>
      </c>
      <c r="I235" s="10" t="str">
        <f>IF(H235="T56",1,IF(H235="T56",3,IF(H235="T72",6,IF(H235="T72",10,IF(H235="T104",14,IF(H235="T104",18,IF(H235="T72",22,"")))))))</f>
        <v/>
      </c>
      <c r="J235" s="1" t="s">
        <v>1808</v>
      </c>
      <c r="K235" s="10">
        <v>2</v>
      </c>
      <c r="L235" s="10">
        <v>1</v>
      </c>
      <c r="O235" s="6"/>
      <c r="P235" s="11"/>
      <c r="Q235" s="6">
        <v>10</v>
      </c>
      <c r="R235" s="6"/>
      <c r="S235" s="1"/>
    </row>
    <row r="236" spans="1:19" ht="18.75" customHeight="1" x14ac:dyDescent="0.3">
      <c r="A236" s="10">
        <v>235</v>
      </c>
      <c r="B236" s="10">
        <f>_xlfn.XLOOKUP(1,(VALUE(D236)&gt;=VALUE(block!$C$3:$C$500))*(VALUE(D236)&lt;VALUE(block!$C$3:$C$500)+VALUE(block!$D$3:$D$500)),block!$A$3:$A$500,"无匹配",0,1)</f>
        <v>5</v>
      </c>
      <c r="C236" s="3" t="str">
        <f>B236 &amp; "-" &amp; COUNTIF($B$2:B236, B236)</f>
        <v>5-30</v>
      </c>
      <c r="D236" s="10">
        <v>8658</v>
      </c>
      <c r="E236" s="1" t="s">
        <v>2259</v>
      </c>
      <c r="F236" s="1" t="s">
        <v>2260</v>
      </c>
      <c r="H236" s="1" t="s">
        <v>1812</v>
      </c>
      <c r="I236" s="10" t="str">
        <f>IF(H236="T57",1,IF(H236="T57",3,IF(H236="T73",6,IF(H236="T73",10,IF(H236="T105",14,IF(H236="T105",18,IF(H236="T73",22,"")))))))</f>
        <v/>
      </c>
      <c r="J236" s="1" t="s">
        <v>1808</v>
      </c>
      <c r="K236" s="10">
        <v>2</v>
      </c>
      <c r="L236" s="10">
        <v>1</v>
      </c>
      <c r="N236" s="10">
        <v>4</v>
      </c>
      <c r="O236" s="6"/>
      <c r="P236" s="45" t="s">
        <v>1862</v>
      </c>
      <c r="Q236" s="42" t="s">
        <v>2212</v>
      </c>
      <c r="R236" s="42"/>
      <c r="S236" s="1" t="s">
        <v>2260</v>
      </c>
    </row>
    <row r="237" spans="1:19" ht="18.75" customHeight="1" x14ac:dyDescent="0.3">
      <c r="A237" s="10">
        <v>236</v>
      </c>
      <c r="B237" s="10">
        <f>_xlfn.XLOOKUP(1,(VALUE(D237)&gt;=VALUE(block!$C$3:$C$500))*(VALUE(D237)&lt;VALUE(block!$C$3:$C$500)+VALUE(block!$D$3:$D$500)),block!$A$3:$A$500,"无匹配",0,1)</f>
        <v>5</v>
      </c>
      <c r="C237" s="3" t="str">
        <f>B237 &amp; "-" &amp; COUNTIF($B$2:B237, B237)</f>
        <v>5-31</v>
      </c>
      <c r="D237" s="10">
        <v>8660</v>
      </c>
      <c r="E237" s="1" t="s">
        <v>2261</v>
      </c>
      <c r="F237" s="1" t="s">
        <v>2262</v>
      </c>
      <c r="G237" s="1" t="s">
        <v>1830</v>
      </c>
      <c r="H237" s="1" t="s">
        <v>1812</v>
      </c>
      <c r="I237" s="10" t="str">
        <f>IF(H237="T58",1,IF(H237="T58",3,IF(H237="T74",6,IF(H237="T74",10,IF(H237="T106",14,IF(H237="T106",18,IF(H237="T74",22,"")))))))</f>
        <v/>
      </c>
      <c r="J237" s="1" t="s">
        <v>1808</v>
      </c>
      <c r="K237" s="10">
        <v>2</v>
      </c>
      <c r="L237" s="10">
        <v>1</v>
      </c>
      <c r="N237" s="10">
        <v>4</v>
      </c>
      <c r="O237" s="6"/>
      <c r="P237" s="45" t="s">
        <v>1862</v>
      </c>
      <c r="Q237" s="42" t="s">
        <v>1868</v>
      </c>
      <c r="R237" s="42" t="s">
        <v>9297</v>
      </c>
      <c r="S237" s="1" t="s">
        <v>2262</v>
      </c>
    </row>
    <row r="238" spans="1:19" ht="18.75" customHeight="1" x14ac:dyDescent="0.3">
      <c r="A238" s="10">
        <v>237</v>
      </c>
      <c r="B238" s="10">
        <f>_xlfn.XLOOKUP(1,(VALUE(D238)&gt;=VALUE(block!$C$3:$C$500))*(VALUE(D238)&lt;VALUE(block!$C$3:$C$500)+VALUE(block!$D$3:$D$500)),block!$A$3:$A$500,"无匹配",0,1)</f>
        <v>5</v>
      </c>
      <c r="C238" s="3" t="str">
        <f>B238 &amp; "-" &amp; COUNTIF($B$2:B238, B238)</f>
        <v>5-32</v>
      </c>
      <c r="D238" s="10">
        <v>8662</v>
      </c>
      <c r="E238" s="1" t="s">
        <v>2263</v>
      </c>
      <c r="F238" s="1" t="s">
        <v>2264</v>
      </c>
      <c r="G238" s="1" t="s">
        <v>1832</v>
      </c>
      <c r="H238" s="1" t="s">
        <v>1812</v>
      </c>
      <c r="I238" s="10" t="str">
        <f>IF(H238="T59",1,IF(H238="T59",3,IF(H238="T75",6,IF(H238="T75",10,IF(H238="T107",14,IF(H238="T107",18,IF(H238="T75",22,"")))))))</f>
        <v/>
      </c>
      <c r="J238" s="1" t="s">
        <v>1808</v>
      </c>
      <c r="K238" s="10">
        <v>2</v>
      </c>
      <c r="L238" s="10">
        <v>1</v>
      </c>
      <c r="N238" s="10">
        <v>4</v>
      </c>
      <c r="O238" s="6"/>
      <c r="P238" s="45" t="s">
        <v>1862</v>
      </c>
      <c r="Q238" s="42" t="s">
        <v>1868</v>
      </c>
      <c r="R238" s="42"/>
      <c r="S238" s="1" t="s">
        <v>2264</v>
      </c>
    </row>
    <row r="239" spans="1:19" ht="18.75" customHeight="1" x14ac:dyDescent="0.3">
      <c r="A239" s="10">
        <v>238</v>
      </c>
      <c r="B239" s="10">
        <f>_xlfn.XLOOKUP(1,(VALUE(D239)&gt;=VALUE(block!$C$3:$C$500))*(VALUE(D239)&lt;VALUE(block!$C$3:$C$500)+VALUE(block!$D$3:$D$500)),block!$A$3:$A$500,"无匹配",0,1)</f>
        <v>5</v>
      </c>
      <c r="C239" s="3" t="str">
        <f>B239 &amp; "-" &amp; COUNTIF($B$2:B239, B239)</f>
        <v>5-33</v>
      </c>
      <c r="D239" s="10">
        <v>8664</v>
      </c>
      <c r="E239" s="1" t="s">
        <v>2265</v>
      </c>
      <c r="F239" s="1" t="s">
        <v>2266</v>
      </c>
      <c r="G239" s="1" t="s">
        <v>1834</v>
      </c>
      <c r="H239" s="1" t="s">
        <v>1812</v>
      </c>
      <c r="I239" s="10" t="str">
        <f>IF(H239="T60",1,IF(H239="T60",3,IF(H239="T76",6,IF(H239="T76",10,IF(H239="T108",14,IF(H239="T108",18,IF(H239="T76",22,"")))))))</f>
        <v/>
      </c>
      <c r="J239" s="1" t="s">
        <v>1808</v>
      </c>
      <c r="K239" s="10">
        <v>2</v>
      </c>
      <c r="L239" s="10">
        <v>1</v>
      </c>
      <c r="N239" s="10">
        <v>4</v>
      </c>
      <c r="O239" s="6"/>
      <c r="P239" s="45" t="s">
        <v>1862</v>
      </c>
      <c r="Q239" s="42" t="s">
        <v>1868</v>
      </c>
      <c r="R239" s="42"/>
      <c r="S239" s="1" t="s">
        <v>2266</v>
      </c>
    </row>
    <row r="240" spans="1:19" ht="18.75" customHeight="1" x14ac:dyDescent="0.3">
      <c r="A240" s="10">
        <v>239</v>
      </c>
      <c r="B240" s="10">
        <f>_xlfn.XLOOKUP(1,(VALUE(D240)&gt;=VALUE(block!$C$3:$C$500))*(VALUE(D240)&lt;VALUE(block!$C$3:$C$500)+VALUE(block!$D$3:$D$500)),block!$A$3:$A$500,"无匹配",0,1)</f>
        <v>5</v>
      </c>
      <c r="C240" s="3" t="str">
        <f>B240 &amp; "-" &amp; COUNTIF($B$2:B240, B240)</f>
        <v>5-34</v>
      </c>
      <c r="D240" s="10">
        <v>8666</v>
      </c>
      <c r="E240" s="1" t="s">
        <v>2267</v>
      </c>
      <c r="F240" s="1" t="s">
        <v>2268</v>
      </c>
      <c r="G240" s="1" t="s">
        <v>1836</v>
      </c>
      <c r="H240" s="1" t="s">
        <v>1812</v>
      </c>
      <c r="I240" s="10" t="str">
        <f>IF(H240="T61",1,IF(H240="T61",3,IF(H240="T77",6,IF(H240="T77",10,IF(H240="T109",14,IF(H240="T109",18,IF(H240="T77",22,"")))))))</f>
        <v/>
      </c>
      <c r="J240" s="1" t="s">
        <v>1808</v>
      </c>
      <c r="K240" s="10">
        <v>2</v>
      </c>
      <c r="L240" s="10">
        <v>1</v>
      </c>
      <c r="N240" s="10">
        <v>4</v>
      </c>
      <c r="O240" s="6"/>
      <c r="P240" s="45" t="s">
        <v>1862</v>
      </c>
      <c r="Q240" s="42" t="s">
        <v>1868</v>
      </c>
      <c r="R240" s="42"/>
      <c r="S240" s="1" t="s">
        <v>2268</v>
      </c>
    </row>
    <row r="241" spans="1:19" ht="18.75" hidden="1" customHeight="1" x14ac:dyDescent="0.3">
      <c r="A241" s="10">
        <v>240</v>
      </c>
      <c r="B241" s="10">
        <f>_xlfn.XLOOKUP(1,(VALUE(D241)&gt;=VALUE(block!$C$3:$C$500))*(VALUE(D241)&lt;VALUE(block!$C$3:$C$500)+VALUE(block!$D$3:$D$500)),block!$A$3:$A$500,"无匹配",0,1)</f>
        <v>5</v>
      </c>
      <c r="C241" s="3" t="str">
        <f>B241 &amp; "-" &amp; COUNTIF($B$2:B241, B241)</f>
        <v>5-35</v>
      </c>
      <c r="D241" s="10">
        <v>8668</v>
      </c>
      <c r="E241" s="1" t="s">
        <v>2269</v>
      </c>
      <c r="F241" s="1" t="s">
        <v>2270</v>
      </c>
      <c r="H241" s="1" t="s">
        <v>1838</v>
      </c>
      <c r="I241" s="10" t="str">
        <f>IF(H241="T62",1,IF(H241="T62",3,IF(H241="T78",6,IF(H241="T78",10,IF(H241="T110",14,IF(H241="T110",18,IF(H241="T78",22,"")))))))</f>
        <v/>
      </c>
      <c r="J241" s="1" t="s">
        <v>1808</v>
      </c>
      <c r="K241" s="10">
        <v>2</v>
      </c>
      <c r="L241" s="10">
        <v>1</v>
      </c>
      <c r="O241" s="6"/>
      <c r="Q241" s="6">
        <v>10</v>
      </c>
      <c r="R241" s="6"/>
      <c r="S241" s="1"/>
    </row>
    <row r="242" spans="1:19" ht="18.75" customHeight="1" x14ac:dyDescent="0.3">
      <c r="A242" s="10">
        <v>241</v>
      </c>
      <c r="B242" s="10">
        <f>_xlfn.XLOOKUP(1,(VALUE(D242)&gt;=VALUE(block!$C$3:$C$500))*(VALUE(D242)&lt;VALUE(block!$C$3:$C$500)+VALUE(block!$D$3:$D$500)),block!$A$3:$A$500,"无匹配",0,1)</f>
        <v>5</v>
      </c>
      <c r="C242" s="3" t="str">
        <f>B242 &amp; "-" &amp; COUNTIF($B$2:B242, B242)</f>
        <v>5-36</v>
      </c>
      <c r="D242" s="10">
        <v>8670</v>
      </c>
      <c r="E242" s="1" t="s">
        <v>2271</v>
      </c>
      <c r="F242" s="1" t="s">
        <v>2272</v>
      </c>
      <c r="H242" s="1" t="s">
        <v>1812</v>
      </c>
      <c r="I242" s="10" t="str">
        <f>IF(H242="T63",1,IF(H242="T63",3,IF(H242="T79",6,IF(H242="T79",10,IF(H242="T111",14,IF(H242="T111",18,IF(H242="T79",22,"")))))))</f>
        <v/>
      </c>
      <c r="J242" s="1" t="s">
        <v>1808</v>
      </c>
      <c r="K242" s="10">
        <v>2</v>
      </c>
      <c r="L242" s="10">
        <v>1</v>
      </c>
      <c r="N242" s="10">
        <v>4</v>
      </c>
      <c r="O242" s="6"/>
      <c r="P242" s="45" t="s">
        <v>1862</v>
      </c>
      <c r="Q242" s="42" t="s">
        <v>2212</v>
      </c>
      <c r="R242" s="42"/>
      <c r="S242" s="1" t="s">
        <v>2272</v>
      </c>
    </row>
    <row r="243" spans="1:19" ht="18.75" customHeight="1" x14ac:dyDescent="0.3">
      <c r="A243" s="10">
        <v>242</v>
      </c>
      <c r="B243" s="10">
        <f>_xlfn.XLOOKUP(1,(VALUE(D243)&gt;=VALUE(block!$C$3:$C$500))*(VALUE(D243)&lt;VALUE(block!$C$3:$C$500)+VALUE(block!$D$3:$D$500)),block!$A$3:$A$500,"无匹配",0,1)</f>
        <v>6</v>
      </c>
      <c r="C243" s="3" t="str">
        <f>B243 &amp; "-" &amp; COUNTIF($B$2:B243, B243)</f>
        <v>6-1</v>
      </c>
      <c r="D243" s="10">
        <v>8672</v>
      </c>
      <c r="E243" s="1" t="s">
        <v>2273</v>
      </c>
      <c r="F243" s="1" t="s">
        <v>2274</v>
      </c>
      <c r="G243" s="1" t="s">
        <v>1830</v>
      </c>
      <c r="H243" s="1" t="s">
        <v>1812</v>
      </c>
      <c r="I243" s="10" t="str">
        <f>IF(H243="T64",1,IF(H243="T64",3,IF(H243="T80",6,IF(H243="T80",10,IF(H243="T112",14,IF(H243="T112",18,IF(H243="T80",22,"")))))))</f>
        <v/>
      </c>
      <c r="J243" s="1" t="s">
        <v>1808</v>
      </c>
      <c r="K243" s="10">
        <v>2</v>
      </c>
      <c r="L243" s="10">
        <v>1</v>
      </c>
      <c r="N243" s="10">
        <v>4</v>
      </c>
      <c r="O243" s="6"/>
      <c r="P243" s="45" t="s">
        <v>1862</v>
      </c>
      <c r="Q243" s="42" t="s">
        <v>1868</v>
      </c>
      <c r="R243" s="42" t="s">
        <v>9298</v>
      </c>
      <c r="S243" s="1" t="s">
        <v>2274</v>
      </c>
    </row>
    <row r="244" spans="1:19" ht="18.75" customHeight="1" x14ac:dyDescent="0.3">
      <c r="A244" s="10">
        <v>243</v>
      </c>
      <c r="B244" s="10">
        <f>_xlfn.XLOOKUP(1,(VALUE(D244)&gt;=VALUE(block!$C$3:$C$500))*(VALUE(D244)&lt;VALUE(block!$C$3:$C$500)+VALUE(block!$D$3:$D$500)),block!$A$3:$A$500,"无匹配",0,1)</f>
        <v>6</v>
      </c>
      <c r="C244" s="3" t="str">
        <f>B244 &amp; "-" &amp; COUNTIF($B$2:B244, B244)</f>
        <v>6-2</v>
      </c>
      <c r="D244" s="10">
        <v>8674</v>
      </c>
      <c r="E244" s="1" t="s">
        <v>2275</v>
      </c>
      <c r="F244" s="1" t="s">
        <v>2276</v>
      </c>
      <c r="G244" s="1" t="s">
        <v>1832</v>
      </c>
      <c r="H244" s="1" t="s">
        <v>1812</v>
      </c>
      <c r="I244" s="10" t="str">
        <f>IF(H244="T65",1,IF(H244="T65",3,IF(H244="T81",6,IF(H244="T81",10,IF(H244="T113",14,IF(H244="T113",18,IF(H244="T81",22,"")))))))</f>
        <v/>
      </c>
      <c r="J244" s="1" t="s">
        <v>1808</v>
      </c>
      <c r="K244" s="10">
        <v>2</v>
      </c>
      <c r="L244" s="10">
        <v>1</v>
      </c>
      <c r="N244" s="10">
        <v>4</v>
      </c>
      <c r="O244" s="6"/>
      <c r="P244" s="45" t="s">
        <v>1862</v>
      </c>
      <c r="Q244" s="42" t="s">
        <v>1868</v>
      </c>
      <c r="R244" s="42"/>
      <c r="S244" s="1" t="s">
        <v>2276</v>
      </c>
    </row>
    <row r="245" spans="1:19" ht="18.75" customHeight="1" x14ac:dyDescent="0.3">
      <c r="A245" s="10">
        <v>244</v>
      </c>
      <c r="B245" s="10">
        <f>_xlfn.XLOOKUP(1,(VALUE(D245)&gt;=VALUE(block!$C$3:$C$500))*(VALUE(D245)&lt;VALUE(block!$C$3:$C$500)+VALUE(block!$D$3:$D$500)),block!$A$3:$A$500,"无匹配",0,1)</f>
        <v>6</v>
      </c>
      <c r="C245" s="3" t="str">
        <f>B245 &amp; "-" &amp; COUNTIF($B$2:B245, B245)</f>
        <v>6-3</v>
      </c>
      <c r="D245" s="10">
        <v>8676</v>
      </c>
      <c r="E245" s="1" t="s">
        <v>2277</v>
      </c>
      <c r="F245" s="1" t="s">
        <v>2278</v>
      </c>
      <c r="G245" s="1" t="s">
        <v>1834</v>
      </c>
      <c r="H245" s="1" t="s">
        <v>1812</v>
      </c>
      <c r="I245" s="10" t="str">
        <f>IF(H245="T66",1,IF(H245="T66",3,IF(H245="T82",6,IF(H245="T82",10,IF(H245="T114",14,IF(H245="T114",18,IF(H245="T82",22,"")))))))</f>
        <v/>
      </c>
      <c r="J245" s="1" t="s">
        <v>1808</v>
      </c>
      <c r="K245" s="10">
        <v>2</v>
      </c>
      <c r="L245" s="10">
        <v>1</v>
      </c>
      <c r="N245" s="10">
        <v>4</v>
      </c>
      <c r="O245" s="6"/>
      <c r="P245" s="45" t="s">
        <v>1862</v>
      </c>
      <c r="Q245" s="42" t="s">
        <v>1868</v>
      </c>
      <c r="R245" s="42"/>
      <c r="S245" s="1" t="s">
        <v>2278</v>
      </c>
    </row>
    <row r="246" spans="1:19" ht="18.75" customHeight="1" x14ac:dyDescent="0.3">
      <c r="A246" s="10">
        <v>245</v>
      </c>
      <c r="B246" s="10">
        <f>_xlfn.XLOOKUP(1,(VALUE(D246)&gt;=VALUE(block!$C$3:$C$500))*(VALUE(D246)&lt;VALUE(block!$C$3:$C$500)+VALUE(block!$D$3:$D$500)),block!$A$3:$A$500,"无匹配",0,1)</f>
        <v>6</v>
      </c>
      <c r="C246" s="3" t="str">
        <f>B246 &amp; "-" &amp; COUNTIF($B$2:B246, B246)</f>
        <v>6-4</v>
      </c>
      <c r="D246" s="10">
        <v>8678</v>
      </c>
      <c r="E246" s="1" t="s">
        <v>2279</v>
      </c>
      <c r="F246" s="1" t="s">
        <v>2280</v>
      </c>
      <c r="G246" s="1" t="s">
        <v>1836</v>
      </c>
      <c r="H246" s="1" t="s">
        <v>1812</v>
      </c>
      <c r="I246" s="10" t="str">
        <f>IF(H246="T67",1,IF(H246="T67",3,IF(H246="T83",6,IF(H246="T83",10,IF(H246="T115",14,IF(H246="T115",18,IF(H246="T83",22,"")))))))</f>
        <v/>
      </c>
      <c r="J246" s="1" t="s">
        <v>1808</v>
      </c>
      <c r="K246" s="10">
        <v>2</v>
      </c>
      <c r="L246" s="10">
        <v>1</v>
      </c>
      <c r="N246" s="10">
        <v>4</v>
      </c>
      <c r="O246" s="6"/>
      <c r="P246" s="45" t="s">
        <v>1862</v>
      </c>
      <c r="Q246" s="42" t="s">
        <v>1868</v>
      </c>
      <c r="R246" s="42"/>
      <c r="S246" s="1" t="s">
        <v>2280</v>
      </c>
    </row>
    <row r="247" spans="1:19" ht="18.75" hidden="1" customHeight="1" x14ac:dyDescent="0.3">
      <c r="A247" s="10">
        <v>246</v>
      </c>
      <c r="B247" s="10">
        <f>_xlfn.XLOOKUP(1,(VALUE(D247)&gt;=VALUE(block!$C$3:$C$500))*(VALUE(D247)&lt;VALUE(block!$C$3:$C$500)+VALUE(block!$D$3:$D$500)),block!$A$3:$A$500,"无匹配",0,1)</f>
        <v>6</v>
      </c>
      <c r="C247" s="3" t="str">
        <f>B247 &amp; "-" &amp; COUNTIF($B$2:B247, B247)</f>
        <v>6-5</v>
      </c>
      <c r="D247" s="10">
        <v>8680</v>
      </c>
      <c r="E247" s="1" t="s">
        <v>2281</v>
      </c>
      <c r="F247" s="1" t="s">
        <v>2282</v>
      </c>
      <c r="H247" s="1" t="s">
        <v>1838</v>
      </c>
      <c r="I247" s="10" t="str">
        <f>IF(H247="T68",1,IF(H247="T68",3,IF(H247="T84",6,IF(H247="T84",10,IF(H247="T116",14,IF(H247="T116",18,IF(H247="T84",22,"")))))))</f>
        <v/>
      </c>
      <c r="J247" s="1" t="s">
        <v>1808</v>
      </c>
      <c r="K247" s="10">
        <v>2</v>
      </c>
      <c r="L247" s="10">
        <v>1</v>
      </c>
      <c r="O247" s="6"/>
      <c r="Q247" s="6">
        <v>10</v>
      </c>
      <c r="R247" s="6"/>
      <c r="S247" s="1"/>
    </row>
    <row r="248" spans="1:19" ht="18.75" customHeight="1" x14ac:dyDescent="0.3">
      <c r="A248" s="10">
        <v>247</v>
      </c>
      <c r="B248" s="10">
        <f>_xlfn.XLOOKUP(1,(VALUE(D248)&gt;=VALUE(block!$C$3:$C$500))*(VALUE(D248)&lt;VALUE(block!$C$3:$C$500)+VALUE(block!$D$3:$D$500)),block!$A$3:$A$500,"无匹配",0,1)</f>
        <v>6</v>
      </c>
      <c r="C248" s="3" t="str">
        <f>B248 &amp; "-" &amp; COUNTIF($B$2:B248, B248)</f>
        <v>6-6</v>
      </c>
      <c r="D248" s="10">
        <v>8682</v>
      </c>
      <c r="E248" s="1" t="s">
        <v>2283</v>
      </c>
      <c r="F248" s="1" t="s">
        <v>2284</v>
      </c>
      <c r="H248" s="1" t="s">
        <v>1812</v>
      </c>
      <c r="I248" s="10" t="str">
        <f>IF(H248="T69",1,IF(H248="T69",3,IF(H248="T85",6,IF(H248="T85",10,IF(H248="T117",14,IF(H248="T117",18,IF(H248="T85",22,"")))))))</f>
        <v/>
      </c>
      <c r="J248" s="1" t="s">
        <v>1808</v>
      </c>
      <c r="K248" s="10">
        <v>2</v>
      </c>
      <c r="L248" s="10">
        <v>1</v>
      </c>
      <c r="N248" s="10">
        <v>4</v>
      </c>
      <c r="O248" s="6"/>
      <c r="P248" s="45" t="s">
        <v>1862</v>
      </c>
      <c r="Q248" s="42" t="s">
        <v>2212</v>
      </c>
      <c r="R248" s="42"/>
      <c r="S248" s="1" t="s">
        <v>2284</v>
      </c>
    </row>
    <row r="249" spans="1:19" ht="18.75" customHeight="1" x14ac:dyDescent="0.3">
      <c r="A249" s="10">
        <v>248</v>
      </c>
      <c r="B249" s="10">
        <f>_xlfn.XLOOKUP(1,(VALUE(D249)&gt;=VALUE(block!$C$3:$C$500))*(VALUE(D249)&lt;VALUE(block!$C$3:$C$500)+VALUE(block!$D$3:$D$500)),block!$A$3:$A$500,"无匹配",0,1)</f>
        <v>6</v>
      </c>
      <c r="C249" s="3" t="str">
        <f>B249 &amp; "-" &amp; COUNTIF($B$2:B249, B249)</f>
        <v>6-7</v>
      </c>
      <c r="D249" s="10">
        <v>8684</v>
      </c>
      <c r="E249" s="1" t="s">
        <v>2285</v>
      </c>
      <c r="F249" s="1" t="s">
        <v>2286</v>
      </c>
      <c r="G249" s="1" t="s">
        <v>1830</v>
      </c>
      <c r="H249" s="1" t="s">
        <v>1812</v>
      </c>
      <c r="I249" s="10" t="str">
        <f>IF(H249="T70",1,IF(H249="T70",3,IF(H249="T86",6,IF(H249="T86",10,IF(H249="T118",14,IF(H249="T118",18,IF(H249="T86",22,"")))))))</f>
        <v/>
      </c>
      <c r="J249" s="1" t="s">
        <v>1808</v>
      </c>
      <c r="K249" s="10">
        <v>2</v>
      </c>
      <c r="L249" s="10">
        <v>1</v>
      </c>
      <c r="N249" s="10">
        <v>4</v>
      </c>
      <c r="O249" s="6"/>
      <c r="P249" s="45" t="s">
        <v>1862</v>
      </c>
      <c r="Q249" s="42" t="s">
        <v>1868</v>
      </c>
      <c r="R249" s="42" t="s">
        <v>9299</v>
      </c>
      <c r="S249" s="1" t="s">
        <v>2286</v>
      </c>
    </row>
    <row r="250" spans="1:19" ht="18.75" customHeight="1" x14ac:dyDescent="0.3">
      <c r="A250" s="10">
        <v>249</v>
      </c>
      <c r="B250" s="10">
        <f>_xlfn.XLOOKUP(1,(VALUE(D250)&gt;=VALUE(block!$C$3:$C$500))*(VALUE(D250)&lt;VALUE(block!$C$3:$C$500)+VALUE(block!$D$3:$D$500)),block!$A$3:$A$500,"无匹配",0,1)</f>
        <v>6</v>
      </c>
      <c r="C250" s="3" t="str">
        <f>B250 &amp; "-" &amp; COUNTIF($B$2:B250, B250)</f>
        <v>6-8</v>
      </c>
      <c r="D250" s="10">
        <v>8686</v>
      </c>
      <c r="E250" s="1" t="s">
        <v>2287</v>
      </c>
      <c r="F250" s="1" t="s">
        <v>2288</v>
      </c>
      <c r="G250" s="1" t="s">
        <v>1832</v>
      </c>
      <c r="H250" s="1" t="s">
        <v>1812</v>
      </c>
      <c r="I250" s="10" t="str">
        <f>IF(H250="T71",1,IF(H250="T71",3,IF(H250="T87",6,IF(H250="T87",10,IF(H250="T119",14,IF(H250="T119",18,IF(H250="T87",22,"")))))))</f>
        <v/>
      </c>
      <c r="J250" s="1" t="s">
        <v>1808</v>
      </c>
      <c r="K250" s="10">
        <v>2</v>
      </c>
      <c r="L250" s="10">
        <v>1</v>
      </c>
      <c r="N250" s="10">
        <v>4</v>
      </c>
      <c r="O250" s="6"/>
      <c r="P250" s="45" t="s">
        <v>1862</v>
      </c>
      <c r="Q250" s="42" t="s">
        <v>1868</v>
      </c>
      <c r="R250" s="42"/>
      <c r="S250" s="1" t="s">
        <v>2288</v>
      </c>
    </row>
    <row r="251" spans="1:19" ht="18.75" customHeight="1" x14ac:dyDescent="0.3">
      <c r="A251" s="10">
        <v>250</v>
      </c>
      <c r="B251" s="10">
        <f>_xlfn.XLOOKUP(1,(VALUE(D251)&gt;=VALUE(block!$C$3:$C$500))*(VALUE(D251)&lt;VALUE(block!$C$3:$C$500)+VALUE(block!$D$3:$D$500)),block!$A$3:$A$500,"无匹配",0,1)</f>
        <v>6</v>
      </c>
      <c r="C251" s="3" t="str">
        <f>B251 &amp; "-" &amp; COUNTIF($B$2:B251, B251)</f>
        <v>6-9</v>
      </c>
      <c r="D251" s="10">
        <v>8688</v>
      </c>
      <c r="E251" s="1" t="s">
        <v>2289</v>
      </c>
      <c r="F251" s="1" t="s">
        <v>2290</v>
      </c>
      <c r="G251" s="1" t="s">
        <v>1834</v>
      </c>
      <c r="H251" s="1" t="s">
        <v>1812</v>
      </c>
      <c r="I251" s="10" t="str">
        <f>IF(H251="T72",1,IF(H251="T72",3,IF(H251="T88",6,IF(H251="T88",10,IF(H251="T120",14,IF(H251="T120",18,IF(H251="T88",22,"")))))))</f>
        <v/>
      </c>
      <c r="J251" s="1" t="s">
        <v>1808</v>
      </c>
      <c r="K251" s="10">
        <v>2</v>
      </c>
      <c r="L251" s="10">
        <v>1</v>
      </c>
      <c r="N251" s="10">
        <v>4</v>
      </c>
      <c r="O251" s="6"/>
      <c r="P251" s="45" t="s">
        <v>1862</v>
      </c>
      <c r="Q251" s="42" t="s">
        <v>1868</v>
      </c>
      <c r="R251" s="42"/>
      <c r="S251" s="1" t="s">
        <v>2290</v>
      </c>
    </row>
    <row r="252" spans="1:19" ht="18.75" customHeight="1" x14ac:dyDescent="0.3">
      <c r="A252" s="10">
        <v>251</v>
      </c>
      <c r="B252" s="10">
        <f>_xlfn.XLOOKUP(1,(VALUE(D252)&gt;=VALUE(block!$C$3:$C$500))*(VALUE(D252)&lt;VALUE(block!$C$3:$C$500)+VALUE(block!$D$3:$D$500)),block!$A$3:$A$500,"无匹配",0,1)</f>
        <v>6</v>
      </c>
      <c r="C252" s="3" t="str">
        <f>B252 &amp; "-" &amp; COUNTIF($B$2:B252, B252)</f>
        <v>6-10</v>
      </c>
      <c r="D252" s="10">
        <v>8690</v>
      </c>
      <c r="E252" s="1" t="s">
        <v>2291</v>
      </c>
      <c r="F252" s="1" t="s">
        <v>2292</v>
      </c>
      <c r="G252" s="1" t="s">
        <v>1836</v>
      </c>
      <c r="H252" s="1" t="s">
        <v>1812</v>
      </c>
      <c r="I252" s="10" t="str">
        <f>IF(H252="T73",1,IF(H252="T73",3,IF(H252="T89",6,IF(H252="T89",10,IF(H252="T121",14,IF(H252="T121",18,IF(H252="T89",22,"")))))))</f>
        <v/>
      </c>
      <c r="J252" s="1" t="s">
        <v>1808</v>
      </c>
      <c r="K252" s="10">
        <v>2</v>
      </c>
      <c r="L252" s="10">
        <v>1</v>
      </c>
      <c r="N252" s="10">
        <v>4</v>
      </c>
      <c r="O252" s="6"/>
      <c r="P252" s="45" t="s">
        <v>1862</v>
      </c>
      <c r="Q252" s="42" t="s">
        <v>1868</v>
      </c>
      <c r="R252" s="42"/>
      <c r="S252" s="1" t="s">
        <v>2292</v>
      </c>
    </row>
    <row r="253" spans="1:19" ht="18.75" hidden="1" customHeight="1" x14ac:dyDescent="0.3">
      <c r="A253" s="10">
        <v>252</v>
      </c>
      <c r="B253" s="10">
        <f>_xlfn.XLOOKUP(1,(VALUE(D253)&gt;=VALUE(block!$C$3:$C$500))*(VALUE(D253)&lt;VALUE(block!$C$3:$C$500)+VALUE(block!$D$3:$D$500)),block!$A$3:$A$500,"无匹配",0,1)</f>
        <v>6</v>
      </c>
      <c r="C253" s="3" t="str">
        <f>B253 &amp; "-" &amp; COUNTIF($B$2:B253, B253)</f>
        <v>6-11</v>
      </c>
      <c r="D253" s="10">
        <v>8692</v>
      </c>
      <c r="E253" s="1" t="s">
        <v>2293</v>
      </c>
      <c r="F253" s="1" t="s">
        <v>2294</v>
      </c>
      <c r="H253" s="1" t="s">
        <v>1838</v>
      </c>
      <c r="I253" s="10" t="str">
        <f>IF(H253="T74",1,IF(H253="T74",3,IF(H253="T90",6,IF(H253="T90",10,IF(H253="T122",14,IF(H253="T122",18,IF(H253="T90",22,"")))))))</f>
        <v/>
      </c>
      <c r="J253" s="1" t="s">
        <v>1808</v>
      </c>
      <c r="K253" s="10">
        <v>2</v>
      </c>
      <c r="L253" s="10">
        <v>1</v>
      </c>
      <c r="O253" s="6"/>
      <c r="P253" s="11"/>
      <c r="Q253" s="6">
        <v>10</v>
      </c>
      <c r="R253" s="6"/>
      <c r="S253" s="1"/>
    </row>
    <row r="254" spans="1:19" ht="18.75" customHeight="1" x14ac:dyDescent="0.3">
      <c r="A254" s="10">
        <v>253</v>
      </c>
      <c r="B254" s="10">
        <f>_xlfn.XLOOKUP(1,(VALUE(D254)&gt;=VALUE(block!$C$3:$C$500))*(VALUE(D254)&lt;VALUE(block!$C$3:$C$500)+VALUE(block!$D$3:$D$500)),block!$A$3:$A$500,"无匹配",0,1)</f>
        <v>6</v>
      </c>
      <c r="C254" s="3" t="str">
        <f>B254 &amp; "-" &amp; COUNTIF($B$2:B254, B254)</f>
        <v>6-12</v>
      </c>
      <c r="D254" s="10">
        <v>8694</v>
      </c>
      <c r="E254" s="1" t="s">
        <v>2295</v>
      </c>
      <c r="F254" s="1" t="s">
        <v>2296</v>
      </c>
      <c r="H254" s="1" t="s">
        <v>1812</v>
      </c>
      <c r="I254" s="10" t="str">
        <f>IF(H254="T75",1,IF(H254="T75",3,IF(H254="T91",6,IF(H254="T91",10,IF(H254="T123",14,IF(H254="T123",18,IF(H254="T91",22,"")))))))</f>
        <v/>
      </c>
      <c r="J254" s="1" t="s">
        <v>1808</v>
      </c>
      <c r="K254" s="10">
        <v>2</v>
      </c>
      <c r="L254" s="10">
        <v>1</v>
      </c>
      <c r="N254" s="10">
        <v>4</v>
      </c>
      <c r="O254" s="6"/>
      <c r="P254" s="45" t="s">
        <v>1862</v>
      </c>
      <c r="Q254" s="42" t="s">
        <v>1875</v>
      </c>
      <c r="R254" s="42"/>
      <c r="S254" s="1" t="s">
        <v>2296</v>
      </c>
    </row>
    <row r="255" spans="1:19" ht="18.75" customHeight="1" x14ac:dyDescent="0.3">
      <c r="A255" s="10">
        <v>254</v>
      </c>
      <c r="B255" s="10">
        <f>_xlfn.XLOOKUP(1,(VALUE(D255)&gt;=VALUE(block!$C$3:$C$500))*(VALUE(D255)&lt;VALUE(block!$C$3:$C$500)+VALUE(block!$D$3:$D$500)),block!$A$3:$A$500,"无匹配",0,1)</f>
        <v>6</v>
      </c>
      <c r="C255" s="3" t="str">
        <f>B255 &amp; "-" &amp; COUNTIF($B$2:B255, B255)</f>
        <v>6-13</v>
      </c>
      <c r="D255" s="10">
        <v>8696</v>
      </c>
      <c r="E255" s="1" t="s">
        <v>2297</v>
      </c>
      <c r="F255" s="1" t="s">
        <v>2298</v>
      </c>
      <c r="G255" s="1" t="s">
        <v>1830</v>
      </c>
      <c r="H255" s="1" t="s">
        <v>1812</v>
      </c>
      <c r="I255" s="10" t="str">
        <f>IF(H255="T76",1,IF(H255="T76",3,IF(H255="T92",6,IF(H255="T92",10,IF(H255="T124",14,IF(H255="T124",18,IF(H255="T92",22,"")))))))</f>
        <v/>
      </c>
      <c r="J255" s="1" t="s">
        <v>1808</v>
      </c>
      <c r="K255" s="10">
        <v>2</v>
      </c>
      <c r="L255" s="10">
        <v>1</v>
      </c>
      <c r="N255" s="10">
        <v>4</v>
      </c>
      <c r="O255" s="6"/>
      <c r="P255" s="45" t="s">
        <v>1862</v>
      </c>
      <c r="Q255" s="42" t="s">
        <v>1868</v>
      </c>
      <c r="R255" s="42" t="s">
        <v>9300</v>
      </c>
      <c r="S255" s="1" t="s">
        <v>2298</v>
      </c>
    </row>
    <row r="256" spans="1:19" ht="18.75" customHeight="1" x14ac:dyDescent="0.3">
      <c r="A256" s="10">
        <v>255</v>
      </c>
      <c r="B256" s="10">
        <f>_xlfn.XLOOKUP(1,(VALUE(D256)&gt;=VALUE(block!$C$3:$C$500))*(VALUE(D256)&lt;VALUE(block!$C$3:$C$500)+VALUE(block!$D$3:$D$500)),block!$A$3:$A$500,"无匹配",0,1)</f>
        <v>6</v>
      </c>
      <c r="C256" s="3" t="str">
        <f>B256 &amp; "-" &amp; COUNTIF($B$2:B256, B256)</f>
        <v>6-14</v>
      </c>
      <c r="D256" s="10">
        <v>8698</v>
      </c>
      <c r="E256" s="1" t="s">
        <v>2299</v>
      </c>
      <c r="F256" s="1" t="s">
        <v>2300</v>
      </c>
      <c r="G256" s="1" t="s">
        <v>1832</v>
      </c>
      <c r="H256" s="1" t="s">
        <v>1812</v>
      </c>
      <c r="I256" s="10" t="str">
        <f>IF(H256="T77",1,IF(H256="T77",3,IF(H256="T93",6,IF(H256="T93",10,IF(H256="T125",14,IF(H256="T125",18,IF(H256="T93",22,"")))))))</f>
        <v/>
      </c>
      <c r="J256" s="1" t="s">
        <v>1808</v>
      </c>
      <c r="K256" s="10">
        <v>2</v>
      </c>
      <c r="L256" s="10">
        <v>1</v>
      </c>
      <c r="N256" s="10">
        <v>4</v>
      </c>
      <c r="O256" s="6"/>
      <c r="P256" s="45" t="s">
        <v>1862</v>
      </c>
      <c r="Q256" s="42" t="s">
        <v>1868</v>
      </c>
      <c r="R256" s="42"/>
      <c r="S256" s="1" t="s">
        <v>2300</v>
      </c>
    </row>
    <row r="257" spans="1:19" ht="18.75" customHeight="1" x14ac:dyDescent="0.3">
      <c r="A257" s="10">
        <v>256</v>
      </c>
      <c r="B257" s="10">
        <f>_xlfn.XLOOKUP(1,(VALUE(D257)&gt;=VALUE(block!$C$3:$C$500))*(VALUE(D257)&lt;VALUE(block!$C$3:$C$500)+VALUE(block!$D$3:$D$500)),block!$A$3:$A$500,"无匹配",0,1)</f>
        <v>6</v>
      </c>
      <c r="C257" s="3" t="str">
        <f>B257 &amp; "-" &amp; COUNTIF($B$2:B257, B257)</f>
        <v>6-15</v>
      </c>
      <c r="D257" s="10">
        <v>8700</v>
      </c>
      <c r="E257" s="1" t="s">
        <v>2301</v>
      </c>
      <c r="F257" s="1" t="s">
        <v>2302</v>
      </c>
      <c r="G257" s="1" t="s">
        <v>1834</v>
      </c>
      <c r="H257" s="1" t="s">
        <v>1812</v>
      </c>
      <c r="I257" s="10" t="str">
        <f>IF(H257="T78",1,IF(H257="T78",3,IF(H257="T94",6,IF(H257="T94",10,IF(H257="T126",14,IF(H257="T126",18,IF(H257="T94",22,"")))))))</f>
        <v/>
      </c>
      <c r="J257" s="1" t="s">
        <v>1808</v>
      </c>
      <c r="K257" s="10">
        <v>2</v>
      </c>
      <c r="L257" s="10">
        <v>1</v>
      </c>
      <c r="N257" s="10">
        <v>4</v>
      </c>
      <c r="O257" s="6"/>
      <c r="P257" s="45" t="s">
        <v>1862</v>
      </c>
      <c r="Q257" s="42" t="s">
        <v>1868</v>
      </c>
      <c r="R257" s="42"/>
      <c r="S257" s="1" t="s">
        <v>2302</v>
      </c>
    </row>
    <row r="258" spans="1:19" ht="18.75" customHeight="1" x14ac:dyDescent="0.3">
      <c r="A258" s="10">
        <v>257</v>
      </c>
      <c r="B258" s="10">
        <f>_xlfn.XLOOKUP(1,(VALUE(D258)&gt;=VALUE(block!$C$3:$C$500))*(VALUE(D258)&lt;VALUE(block!$C$3:$C$500)+VALUE(block!$D$3:$D$500)),block!$A$3:$A$500,"无匹配",0,1)</f>
        <v>6</v>
      </c>
      <c r="C258" s="3" t="str">
        <f>B258 &amp; "-" &amp; COUNTIF($B$2:B258, B258)</f>
        <v>6-16</v>
      </c>
      <c r="D258" s="10">
        <v>8702</v>
      </c>
      <c r="E258" s="1" t="s">
        <v>2303</v>
      </c>
      <c r="F258" s="1" t="s">
        <v>2304</v>
      </c>
      <c r="G258" s="1" t="s">
        <v>1836</v>
      </c>
      <c r="H258" s="1" t="s">
        <v>1812</v>
      </c>
      <c r="I258" s="10" t="str">
        <f>IF(H258="T79",1,IF(H258="T79",3,IF(H258="T95",6,IF(H258="T95",10,IF(H258="T127",14,IF(H258="T127",18,IF(H258="T95",22,"")))))))</f>
        <v/>
      </c>
      <c r="J258" s="1" t="s">
        <v>1808</v>
      </c>
      <c r="K258" s="10">
        <v>2</v>
      </c>
      <c r="L258" s="10">
        <v>1</v>
      </c>
      <c r="N258" s="10">
        <v>4</v>
      </c>
      <c r="O258" s="6"/>
      <c r="P258" s="45" t="s">
        <v>1862</v>
      </c>
      <c r="Q258" s="42" t="s">
        <v>1868</v>
      </c>
      <c r="R258" s="42"/>
      <c r="S258" s="1" t="s">
        <v>2304</v>
      </c>
    </row>
    <row r="259" spans="1:19" ht="18.75" hidden="1" customHeight="1" x14ac:dyDescent="0.3">
      <c r="A259" s="10">
        <v>258</v>
      </c>
      <c r="B259" s="10">
        <f>_xlfn.XLOOKUP(1,(VALUE(D259)&gt;=VALUE(block!$C$3:$C$500))*(VALUE(D259)&lt;VALUE(block!$C$3:$C$500)+VALUE(block!$D$3:$D$500)),block!$A$3:$A$500,"无匹配",0,1)</f>
        <v>6</v>
      </c>
      <c r="C259" s="3" t="str">
        <f>B259 &amp; "-" &amp; COUNTIF($B$2:B259, B259)</f>
        <v>6-17</v>
      </c>
      <c r="D259" s="10">
        <v>8704</v>
      </c>
      <c r="E259" s="1" t="s">
        <v>2305</v>
      </c>
      <c r="F259" s="1" t="s">
        <v>2306</v>
      </c>
      <c r="H259" s="1" t="s">
        <v>1838</v>
      </c>
      <c r="I259" s="10">
        <f>IF(H259="uint16",1,IF(H259="int16",3,IF(H259="uint32",6,IF(H259="int32",10,IF(H259="uint64",14,IF(H259="int64",18,IF(H259="float32",22,"")))))))</f>
        <v>6</v>
      </c>
      <c r="J259" s="1" t="s">
        <v>1808</v>
      </c>
      <c r="K259" s="10">
        <v>2</v>
      </c>
      <c r="L259" s="10">
        <v>1</v>
      </c>
      <c r="O259" s="6"/>
      <c r="P259" s="11"/>
      <c r="Q259" s="6">
        <v>10</v>
      </c>
      <c r="R259" s="6"/>
      <c r="S259" s="1"/>
    </row>
    <row r="260" spans="1:19" ht="18.75" customHeight="1" x14ac:dyDescent="0.3">
      <c r="A260" s="10">
        <v>259</v>
      </c>
      <c r="B260" s="10">
        <f>_xlfn.XLOOKUP(1,(VALUE(D260)&gt;=VALUE(block!$C$3:$C$500))*(VALUE(D260)&lt;VALUE(block!$C$3:$C$500)+VALUE(block!$D$3:$D$500)),block!$A$3:$A$500,"无匹配",0,1)</f>
        <v>6</v>
      </c>
      <c r="C260" s="3" t="str">
        <f>B260 &amp; "-" &amp; COUNTIF($B$2:B260, B260)</f>
        <v>6-18</v>
      </c>
      <c r="D260" s="10">
        <v>8706</v>
      </c>
      <c r="E260" s="1" t="s">
        <v>2307</v>
      </c>
      <c r="F260" s="1" t="s">
        <v>2308</v>
      </c>
      <c r="H260" s="1" t="s">
        <v>1812</v>
      </c>
      <c r="I260" s="10" t="str">
        <f>IF(H260="T17",1,IF(H260="T17",3,IF(H260="T33",6,IF(H260="T33",10,IF(H260="T65",14,IF(H260="T65",18,IF(H260="T33",22,"")))))))</f>
        <v/>
      </c>
      <c r="J260" s="1" t="s">
        <v>1808</v>
      </c>
      <c r="K260" s="10">
        <v>2</v>
      </c>
      <c r="L260" s="10">
        <v>1</v>
      </c>
      <c r="N260" s="10">
        <v>4</v>
      </c>
      <c r="O260" s="6"/>
      <c r="P260" s="45" t="s">
        <v>1862</v>
      </c>
      <c r="Q260" s="42" t="s">
        <v>2212</v>
      </c>
      <c r="R260" s="42"/>
      <c r="S260" s="1" t="s">
        <v>2308</v>
      </c>
    </row>
    <row r="261" spans="1:19" ht="18.75" customHeight="1" x14ac:dyDescent="0.3">
      <c r="A261" s="10">
        <v>260</v>
      </c>
      <c r="B261" s="10">
        <f>_xlfn.XLOOKUP(1,(VALUE(D261)&gt;=VALUE(block!$C$3:$C$500))*(VALUE(D261)&lt;VALUE(block!$C$3:$C$500)+VALUE(block!$D$3:$D$500)),block!$A$3:$A$500,"无匹配",0,1)</f>
        <v>6</v>
      </c>
      <c r="C261" s="3" t="str">
        <f>B261 &amp; "-" &amp; COUNTIF($B$2:B261, B261)</f>
        <v>6-19</v>
      </c>
      <c r="D261" s="10">
        <v>8708</v>
      </c>
      <c r="E261" s="1" t="s">
        <v>2309</v>
      </c>
      <c r="F261" s="1" t="s">
        <v>2310</v>
      </c>
      <c r="G261" s="1" t="s">
        <v>1830</v>
      </c>
      <c r="H261" s="1" t="s">
        <v>1812</v>
      </c>
      <c r="I261" s="10" t="str">
        <f>IF(H261="T18",1,IF(H261="T18",3,IF(H261="T34",6,IF(H261="T34",10,IF(H261="T66",14,IF(H261="T66",18,IF(H261="T34",22,"")))))))</f>
        <v/>
      </c>
      <c r="J261" s="1" t="s">
        <v>1808</v>
      </c>
      <c r="K261" s="10">
        <v>2</v>
      </c>
      <c r="L261" s="10">
        <v>1</v>
      </c>
      <c r="N261" s="10">
        <v>4</v>
      </c>
      <c r="O261" s="6"/>
      <c r="P261" s="45" t="s">
        <v>1862</v>
      </c>
      <c r="Q261" s="42" t="s">
        <v>1868</v>
      </c>
      <c r="R261" s="42" t="s">
        <v>9301</v>
      </c>
      <c r="S261" s="1" t="s">
        <v>2310</v>
      </c>
    </row>
    <row r="262" spans="1:19" ht="18.75" customHeight="1" x14ac:dyDescent="0.3">
      <c r="A262" s="10">
        <v>261</v>
      </c>
      <c r="B262" s="10">
        <f>_xlfn.XLOOKUP(1,(VALUE(D262)&gt;=VALUE(block!$C$3:$C$500))*(VALUE(D262)&lt;VALUE(block!$C$3:$C$500)+VALUE(block!$D$3:$D$500)),block!$A$3:$A$500,"无匹配",0,1)</f>
        <v>6</v>
      </c>
      <c r="C262" s="3" t="str">
        <f>B262 &amp; "-" &amp; COUNTIF($B$2:B262, B262)</f>
        <v>6-20</v>
      </c>
      <c r="D262" s="10">
        <v>8710</v>
      </c>
      <c r="E262" s="1" t="s">
        <v>2311</v>
      </c>
      <c r="F262" s="1" t="s">
        <v>2312</v>
      </c>
      <c r="G262" s="1" t="s">
        <v>1832</v>
      </c>
      <c r="H262" s="1" t="s">
        <v>1812</v>
      </c>
      <c r="I262" s="10" t="str">
        <f>IF(H262="T19",1,IF(H262="T19",3,IF(H262="T35",6,IF(H262="T35",10,IF(H262="T67",14,IF(H262="T67",18,IF(H262="T35",22,"")))))))</f>
        <v/>
      </c>
      <c r="J262" s="1" t="s">
        <v>1808</v>
      </c>
      <c r="K262" s="10">
        <v>2</v>
      </c>
      <c r="L262" s="10">
        <v>1</v>
      </c>
      <c r="N262" s="10">
        <v>4</v>
      </c>
      <c r="O262" s="6"/>
      <c r="P262" s="45" t="s">
        <v>1862</v>
      </c>
      <c r="Q262" s="42" t="s">
        <v>1868</v>
      </c>
      <c r="R262" s="42"/>
      <c r="S262" s="1" t="s">
        <v>2312</v>
      </c>
    </row>
    <row r="263" spans="1:19" ht="18.75" customHeight="1" x14ac:dyDescent="0.3">
      <c r="A263" s="10">
        <v>262</v>
      </c>
      <c r="B263" s="10">
        <f>_xlfn.XLOOKUP(1,(VALUE(D263)&gt;=VALUE(block!$C$3:$C$500))*(VALUE(D263)&lt;VALUE(block!$C$3:$C$500)+VALUE(block!$D$3:$D$500)),block!$A$3:$A$500,"无匹配",0,1)</f>
        <v>6</v>
      </c>
      <c r="C263" s="3" t="str">
        <f>B263 &amp; "-" &amp; COUNTIF($B$2:B263, B263)</f>
        <v>6-21</v>
      </c>
      <c r="D263" s="10">
        <v>8712</v>
      </c>
      <c r="E263" s="1" t="s">
        <v>2313</v>
      </c>
      <c r="F263" s="1" t="s">
        <v>2314</v>
      </c>
      <c r="G263" s="1" t="s">
        <v>1834</v>
      </c>
      <c r="H263" s="1" t="s">
        <v>1812</v>
      </c>
      <c r="I263" s="10" t="str">
        <f>IF(H263="T20",1,IF(H263="T20",3,IF(H263="T36",6,IF(H263="T36",10,IF(H263="T68",14,IF(H263="T68",18,IF(H263="T36",22,"")))))))</f>
        <v/>
      </c>
      <c r="J263" s="1" t="s">
        <v>1808</v>
      </c>
      <c r="K263" s="10">
        <v>2</v>
      </c>
      <c r="L263" s="10">
        <v>1</v>
      </c>
      <c r="N263" s="10">
        <v>4</v>
      </c>
      <c r="O263" s="6"/>
      <c r="P263" s="45" t="s">
        <v>1862</v>
      </c>
      <c r="Q263" s="42" t="s">
        <v>1868</v>
      </c>
      <c r="R263" s="42"/>
      <c r="S263" s="1" t="s">
        <v>2314</v>
      </c>
    </row>
    <row r="264" spans="1:19" ht="18.75" customHeight="1" x14ac:dyDescent="0.3">
      <c r="A264" s="10">
        <v>263</v>
      </c>
      <c r="B264" s="10">
        <f>_xlfn.XLOOKUP(1,(VALUE(D264)&gt;=VALUE(block!$C$3:$C$500))*(VALUE(D264)&lt;VALUE(block!$C$3:$C$500)+VALUE(block!$D$3:$D$500)),block!$A$3:$A$500,"无匹配",0,1)</f>
        <v>6</v>
      </c>
      <c r="C264" s="3" t="str">
        <f>B264 &amp; "-" &amp; COUNTIF($B$2:B264, B264)</f>
        <v>6-22</v>
      </c>
      <c r="D264" s="10">
        <v>8714</v>
      </c>
      <c r="E264" s="1" t="s">
        <v>2315</v>
      </c>
      <c r="F264" s="1" t="s">
        <v>2316</v>
      </c>
      <c r="G264" s="1" t="s">
        <v>1836</v>
      </c>
      <c r="H264" s="1" t="s">
        <v>1812</v>
      </c>
      <c r="I264" s="10" t="str">
        <f>IF(H264="T21",1,IF(H264="T21",3,IF(H264="T37",6,IF(H264="T37",10,IF(H264="T69",14,IF(H264="T69",18,IF(H264="T37",22,"")))))))</f>
        <v/>
      </c>
      <c r="J264" s="1" t="s">
        <v>1808</v>
      </c>
      <c r="K264" s="10">
        <v>2</v>
      </c>
      <c r="L264" s="10">
        <v>1</v>
      </c>
      <c r="N264" s="10">
        <v>4</v>
      </c>
      <c r="O264" s="6"/>
      <c r="P264" s="45" t="s">
        <v>1862</v>
      </c>
      <c r="Q264" s="42" t="s">
        <v>1868</v>
      </c>
      <c r="R264" s="42"/>
      <c r="S264" s="1" t="s">
        <v>2316</v>
      </c>
    </row>
    <row r="265" spans="1:19" ht="18.75" hidden="1" customHeight="1" x14ac:dyDescent="0.3">
      <c r="A265" s="10">
        <v>264</v>
      </c>
      <c r="B265" s="10">
        <f>_xlfn.XLOOKUP(1,(VALUE(D265)&gt;=VALUE(block!$C$3:$C$500))*(VALUE(D265)&lt;VALUE(block!$C$3:$C$500)+VALUE(block!$D$3:$D$500)),block!$A$3:$A$500,"无匹配",0,1)</f>
        <v>6</v>
      </c>
      <c r="C265" s="3" t="str">
        <f>B265 &amp; "-" &amp; COUNTIF($B$2:B265, B265)</f>
        <v>6-23</v>
      </c>
      <c r="D265" s="10">
        <v>8716</v>
      </c>
      <c r="E265" s="1" t="s">
        <v>2317</v>
      </c>
      <c r="F265" s="1" t="s">
        <v>2318</v>
      </c>
      <c r="H265" s="1" t="s">
        <v>1838</v>
      </c>
      <c r="I265" s="10" t="str">
        <f>IF(H265="T22",1,IF(H265="T22",3,IF(H265="T38",6,IF(H265="T38",10,IF(H265="T70",14,IF(H265="T70",18,IF(H265="T38",22,"")))))))</f>
        <v/>
      </c>
      <c r="J265" s="1" t="s">
        <v>1808</v>
      </c>
      <c r="K265" s="10">
        <v>2</v>
      </c>
      <c r="L265" s="10">
        <v>1</v>
      </c>
      <c r="O265" s="6"/>
      <c r="P265" s="11"/>
      <c r="Q265" s="6">
        <v>10</v>
      </c>
      <c r="R265" s="6"/>
      <c r="S265" s="1"/>
    </row>
    <row r="266" spans="1:19" ht="18.75" customHeight="1" x14ac:dyDescent="0.3">
      <c r="A266" s="10">
        <v>265</v>
      </c>
      <c r="B266" s="10">
        <f>_xlfn.XLOOKUP(1,(VALUE(D266)&gt;=VALUE(block!$C$3:$C$500))*(VALUE(D266)&lt;VALUE(block!$C$3:$C$500)+VALUE(block!$D$3:$D$500)),block!$A$3:$A$500,"无匹配",0,1)</f>
        <v>6</v>
      </c>
      <c r="C266" s="3" t="str">
        <f>B266 &amp; "-" &amp; COUNTIF($B$2:B266, B266)</f>
        <v>6-24</v>
      </c>
      <c r="D266" s="10">
        <v>8718</v>
      </c>
      <c r="E266" s="1" t="s">
        <v>2319</v>
      </c>
      <c r="F266" s="1" t="s">
        <v>2320</v>
      </c>
      <c r="H266" s="1" t="s">
        <v>1812</v>
      </c>
      <c r="I266" s="10" t="str">
        <f>IF(H266="T23",1,IF(H266="T23",3,IF(H266="T39",6,IF(H266="T39",10,IF(H266="T71",14,IF(H266="T71",18,IF(H266="T39",22,"")))))))</f>
        <v/>
      </c>
      <c r="J266" s="1" t="s">
        <v>1808</v>
      </c>
      <c r="K266" s="10">
        <v>2</v>
      </c>
      <c r="L266" s="10">
        <v>1</v>
      </c>
      <c r="N266" s="10">
        <v>4</v>
      </c>
      <c r="O266" s="6"/>
      <c r="P266" s="45" t="s">
        <v>1862</v>
      </c>
      <c r="Q266" s="42" t="s">
        <v>1875</v>
      </c>
      <c r="R266" s="42"/>
      <c r="S266" s="1" t="s">
        <v>2320</v>
      </c>
    </row>
    <row r="267" spans="1:19" ht="18.75" customHeight="1" x14ac:dyDescent="0.3">
      <c r="A267" s="10">
        <v>266</v>
      </c>
      <c r="B267" s="10">
        <f>_xlfn.XLOOKUP(1,(VALUE(D267)&gt;=VALUE(block!$C$3:$C$500))*(VALUE(D267)&lt;VALUE(block!$C$3:$C$500)+VALUE(block!$D$3:$D$500)),block!$A$3:$A$500,"无匹配",0,1)</f>
        <v>6</v>
      </c>
      <c r="C267" s="3" t="str">
        <f>B267 &amp; "-" &amp; COUNTIF($B$2:B267, B267)</f>
        <v>6-25</v>
      </c>
      <c r="D267" s="10">
        <v>8720</v>
      </c>
      <c r="E267" s="1" t="s">
        <v>2321</v>
      </c>
      <c r="F267" s="1" t="s">
        <v>2322</v>
      </c>
      <c r="G267" s="1" t="s">
        <v>1830</v>
      </c>
      <c r="H267" s="1" t="s">
        <v>1812</v>
      </c>
      <c r="I267" s="10" t="str">
        <f>IF(H267="T24",1,IF(H267="T24",3,IF(H267="T40",6,IF(H267="T40",10,IF(H267="T72",14,IF(H267="T72",18,IF(H267="T40",22,"")))))))</f>
        <v/>
      </c>
      <c r="J267" s="1" t="s">
        <v>1808</v>
      </c>
      <c r="K267" s="10">
        <v>2</v>
      </c>
      <c r="L267" s="10">
        <v>1</v>
      </c>
      <c r="N267" s="10">
        <v>4</v>
      </c>
      <c r="O267" s="6"/>
      <c r="P267" s="45" t="s">
        <v>1862</v>
      </c>
      <c r="Q267" s="42" t="s">
        <v>1868</v>
      </c>
      <c r="R267" s="42" t="s">
        <v>9302</v>
      </c>
      <c r="S267" s="1" t="s">
        <v>2322</v>
      </c>
    </row>
    <row r="268" spans="1:19" ht="18.75" customHeight="1" x14ac:dyDescent="0.3">
      <c r="A268" s="10">
        <v>267</v>
      </c>
      <c r="B268" s="10">
        <f>_xlfn.XLOOKUP(1,(VALUE(D268)&gt;=VALUE(block!$C$3:$C$500))*(VALUE(D268)&lt;VALUE(block!$C$3:$C$500)+VALUE(block!$D$3:$D$500)),block!$A$3:$A$500,"无匹配",0,1)</f>
        <v>6</v>
      </c>
      <c r="C268" s="3" t="str">
        <f>B268 &amp; "-" &amp; COUNTIF($B$2:B268, B268)</f>
        <v>6-26</v>
      </c>
      <c r="D268" s="10">
        <v>8722</v>
      </c>
      <c r="E268" s="1" t="s">
        <v>2323</v>
      </c>
      <c r="F268" s="1" t="s">
        <v>2324</v>
      </c>
      <c r="G268" s="1" t="s">
        <v>1832</v>
      </c>
      <c r="H268" s="1" t="s">
        <v>1812</v>
      </c>
      <c r="I268" s="10" t="str">
        <f>IF(H268="T25",1,IF(H268="T25",3,IF(H268="T41",6,IF(H268="T41",10,IF(H268="T73",14,IF(H268="T73",18,IF(H268="T41",22,"")))))))</f>
        <v/>
      </c>
      <c r="J268" s="1" t="s">
        <v>1808</v>
      </c>
      <c r="K268" s="10">
        <v>2</v>
      </c>
      <c r="L268" s="10">
        <v>1</v>
      </c>
      <c r="N268" s="10">
        <v>4</v>
      </c>
      <c r="O268" s="6"/>
      <c r="P268" s="45" t="s">
        <v>1862</v>
      </c>
      <c r="Q268" s="42" t="s">
        <v>1868</v>
      </c>
      <c r="R268" s="42"/>
      <c r="S268" s="1" t="s">
        <v>2324</v>
      </c>
    </row>
    <row r="269" spans="1:19" ht="18.75" customHeight="1" x14ac:dyDescent="0.3">
      <c r="A269" s="10">
        <v>268</v>
      </c>
      <c r="B269" s="10">
        <f>_xlfn.XLOOKUP(1,(VALUE(D269)&gt;=VALUE(block!$C$3:$C$500))*(VALUE(D269)&lt;VALUE(block!$C$3:$C$500)+VALUE(block!$D$3:$D$500)),block!$A$3:$A$500,"无匹配",0,1)</f>
        <v>6</v>
      </c>
      <c r="C269" s="3" t="str">
        <f>B269 &amp; "-" &amp; COUNTIF($B$2:B269, B269)</f>
        <v>6-27</v>
      </c>
      <c r="D269" s="10">
        <v>8724</v>
      </c>
      <c r="E269" s="1" t="s">
        <v>2325</v>
      </c>
      <c r="F269" s="1" t="s">
        <v>2326</v>
      </c>
      <c r="G269" s="1" t="s">
        <v>1834</v>
      </c>
      <c r="H269" s="1" t="s">
        <v>1812</v>
      </c>
      <c r="I269" s="10" t="str">
        <f>IF(H269="T26",1,IF(H269="T26",3,IF(H269="T42",6,IF(H269="T42",10,IF(H269="T74",14,IF(H269="T74",18,IF(H269="T42",22,"")))))))</f>
        <v/>
      </c>
      <c r="J269" s="1" t="s">
        <v>1808</v>
      </c>
      <c r="K269" s="10">
        <v>2</v>
      </c>
      <c r="L269" s="10">
        <v>1</v>
      </c>
      <c r="N269" s="10">
        <v>4</v>
      </c>
      <c r="O269" s="6"/>
      <c r="P269" s="45" t="s">
        <v>1862</v>
      </c>
      <c r="Q269" s="42" t="s">
        <v>1868</v>
      </c>
      <c r="R269" s="42"/>
      <c r="S269" s="1" t="s">
        <v>2326</v>
      </c>
    </row>
    <row r="270" spans="1:19" ht="18.75" customHeight="1" x14ac:dyDescent="0.3">
      <c r="A270" s="10">
        <v>269</v>
      </c>
      <c r="B270" s="10">
        <f>_xlfn.XLOOKUP(1,(VALUE(D270)&gt;=VALUE(block!$C$3:$C$500))*(VALUE(D270)&lt;VALUE(block!$C$3:$C$500)+VALUE(block!$D$3:$D$500)),block!$A$3:$A$500,"无匹配",0,1)</f>
        <v>6</v>
      </c>
      <c r="C270" s="3" t="str">
        <f>B270 &amp; "-" &amp; COUNTIF($B$2:B270, B270)</f>
        <v>6-28</v>
      </c>
      <c r="D270" s="10">
        <v>8726</v>
      </c>
      <c r="E270" s="1" t="s">
        <v>2327</v>
      </c>
      <c r="F270" s="1" t="s">
        <v>2328</v>
      </c>
      <c r="G270" s="1" t="s">
        <v>1836</v>
      </c>
      <c r="H270" s="1" t="s">
        <v>1812</v>
      </c>
      <c r="I270" s="10" t="str">
        <f>IF(H270="T27",1,IF(H270="T27",3,IF(H270="T43",6,IF(H270="T43",10,IF(H270="T75",14,IF(H270="T75",18,IF(H270="T43",22,"")))))))</f>
        <v/>
      </c>
      <c r="J270" s="1" t="s">
        <v>1808</v>
      </c>
      <c r="K270" s="10">
        <v>2</v>
      </c>
      <c r="L270" s="10">
        <v>1</v>
      </c>
      <c r="N270" s="10">
        <v>4</v>
      </c>
      <c r="O270" s="6"/>
      <c r="P270" s="45" t="s">
        <v>1862</v>
      </c>
      <c r="Q270" s="42" t="s">
        <v>1868</v>
      </c>
      <c r="R270" s="42"/>
      <c r="S270" s="1" t="s">
        <v>2328</v>
      </c>
    </row>
    <row r="271" spans="1:19" ht="18.75" hidden="1" customHeight="1" x14ac:dyDescent="0.3">
      <c r="A271" s="10">
        <v>270</v>
      </c>
      <c r="B271" s="10">
        <f>_xlfn.XLOOKUP(1,(VALUE(D271)&gt;=VALUE(block!$C$3:$C$500))*(VALUE(D271)&lt;VALUE(block!$C$3:$C$500)+VALUE(block!$D$3:$D$500)),block!$A$3:$A$500,"无匹配",0,1)</f>
        <v>6</v>
      </c>
      <c r="C271" s="3" t="str">
        <f>B271 &amp; "-" &amp; COUNTIF($B$2:B271, B271)</f>
        <v>6-29</v>
      </c>
      <c r="D271" s="10">
        <v>8728</v>
      </c>
      <c r="E271" s="1" t="s">
        <v>2329</v>
      </c>
      <c r="F271" s="1" t="s">
        <v>2330</v>
      </c>
      <c r="H271" s="1" t="s">
        <v>1838</v>
      </c>
      <c r="I271" s="10" t="str">
        <f>IF(H271="T28",1,IF(H271="T28",3,IF(H271="T44",6,IF(H271="T44",10,IF(H271="T76",14,IF(H271="T76",18,IF(H271="T44",22,"")))))))</f>
        <v/>
      </c>
      <c r="J271" s="1" t="s">
        <v>1808</v>
      </c>
      <c r="K271" s="10">
        <v>2</v>
      </c>
      <c r="L271" s="10">
        <v>1</v>
      </c>
      <c r="O271" s="6"/>
      <c r="P271" s="11"/>
      <c r="Q271" s="6">
        <v>10</v>
      </c>
      <c r="R271" s="6"/>
      <c r="S271" s="1"/>
    </row>
    <row r="272" spans="1:19" ht="18.75" customHeight="1" x14ac:dyDescent="0.3">
      <c r="A272" s="10">
        <v>271</v>
      </c>
      <c r="B272" s="10">
        <f>_xlfn.XLOOKUP(1,(VALUE(D272)&gt;=VALUE(block!$C$3:$C$500))*(VALUE(D272)&lt;VALUE(block!$C$3:$C$500)+VALUE(block!$D$3:$D$500)),block!$A$3:$A$500,"无匹配",0,1)</f>
        <v>6</v>
      </c>
      <c r="C272" s="3" t="str">
        <f>B272 &amp; "-" &amp; COUNTIF($B$2:B272, B272)</f>
        <v>6-30</v>
      </c>
      <c r="D272" s="10">
        <v>8730</v>
      </c>
      <c r="E272" s="1" t="s">
        <v>2331</v>
      </c>
      <c r="F272" s="1" t="s">
        <v>2332</v>
      </c>
      <c r="H272" s="1" t="s">
        <v>1812</v>
      </c>
      <c r="I272" s="10" t="str">
        <f>IF(H272="T29",1,IF(H272="T29",3,IF(H272="T45",6,IF(H272="T45",10,IF(H272="T77",14,IF(H272="T77",18,IF(H272="T45",22,"")))))))</f>
        <v/>
      </c>
      <c r="J272" s="1" t="s">
        <v>1808</v>
      </c>
      <c r="K272" s="10">
        <v>2</v>
      </c>
      <c r="L272" s="10">
        <v>1</v>
      </c>
      <c r="N272" s="10">
        <v>4</v>
      </c>
      <c r="O272" s="6"/>
      <c r="P272" s="45" t="s">
        <v>1862</v>
      </c>
      <c r="Q272" s="42" t="s">
        <v>2212</v>
      </c>
      <c r="R272" s="42"/>
      <c r="S272" s="1" t="s">
        <v>2332</v>
      </c>
    </row>
    <row r="273" spans="1:19" ht="18.75" customHeight="1" x14ac:dyDescent="0.3">
      <c r="A273" s="10">
        <v>272</v>
      </c>
      <c r="B273" s="10">
        <f>_xlfn.XLOOKUP(1,(VALUE(D273)&gt;=VALUE(block!$C$3:$C$500))*(VALUE(D273)&lt;VALUE(block!$C$3:$C$500)+VALUE(block!$D$3:$D$500)),block!$A$3:$A$500,"无匹配",0,1)</f>
        <v>6</v>
      </c>
      <c r="C273" s="3" t="str">
        <f>B273 &amp; "-" &amp; COUNTIF($B$2:B273, B273)</f>
        <v>6-31</v>
      </c>
      <c r="D273" s="10">
        <v>8732</v>
      </c>
      <c r="E273" s="1" t="s">
        <v>2333</v>
      </c>
      <c r="F273" s="1" t="s">
        <v>2334</v>
      </c>
      <c r="G273" s="1" t="s">
        <v>1830</v>
      </c>
      <c r="H273" s="1" t="s">
        <v>1812</v>
      </c>
      <c r="I273" s="10" t="str">
        <f>IF(H273="T30",1,IF(H273="T30",3,IF(H273="T46",6,IF(H273="T46",10,IF(H273="T78",14,IF(H273="T78",18,IF(H273="T46",22,"")))))))</f>
        <v/>
      </c>
      <c r="J273" s="1" t="s">
        <v>1808</v>
      </c>
      <c r="K273" s="10">
        <v>2</v>
      </c>
      <c r="L273" s="10">
        <v>1</v>
      </c>
      <c r="N273" s="10">
        <v>4</v>
      </c>
      <c r="O273" s="6"/>
      <c r="P273" s="45" t="s">
        <v>1862</v>
      </c>
      <c r="Q273" s="42" t="s">
        <v>1868</v>
      </c>
      <c r="R273" s="42" t="s">
        <v>9303</v>
      </c>
      <c r="S273" s="1" t="s">
        <v>2334</v>
      </c>
    </row>
    <row r="274" spans="1:19" ht="18.75" customHeight="1" x14ac:dyDescent="0.3">
      <c r="A274" s="10">
        <v>273</v>
      </c>
      <c r="B274" s="10">
        <f>_xlfn.XLOOKUP(1,(VALUE(D274)&gt;=VALUE(block!$C$3:$C$500))*(VALUE(D274)&lt;VALUE(block!$C$3:$C$500)+VALUE(block!$D$3:$D$500)),block!$A$3:$A$500,"无匹配",0,1)</f>
        <v>6</v>
      </c>
      <c r="C274" s="3" t="str">
        <f>B274 &amp; "-" &amp; COUNTIF($B$2:B274, B274)</f>
        <v>6-32</v>
      </c>
      <c r="D274" s="10">
        <v>8734</v>
      </c>
      <c r="E274" s="1" t="s">
        <v>2335</v>
      </c>
      <c r="F274" s="1" t="s">
        <v>2336</v>
      </c>
      <c r="G274" s="1" t="s">
        <v>1832</v>
      </c>
      <c r="H274" s="1" t="s">
        <v>1812</v>
      </c>
      <c r="I274" s="10" t="str">
        <f>IF(H274="T31",1,IF(H274="T31",3,IF(H274="T47",6,IF(H274="T47",10,IF(H274="T79",14,IF(H274="T79",18,IF(H274="T47",22,"")))))))</f>
        <v/>
      </c>
      <c r="J274" s="1" t="s">
        <v>1808</v>
      </c>
      <c r="K274" s="10">
        <v>2</v>
      </c>
      <c r="L274" s="10">
        <v>1</v>
      </c>
      <c r="N274" s="10">
        <v>4</v>
      </c>
      <c r="O274" s="6"/>
      <c r="P274" s="45" t="s">
        <v>1862</v>
      </c>
      <c r="Q274" s="42" t="s">
        <v>1868</v>
      </c>
      <c r="R274" s="42"/>
      <c r="S274" s="1" t="s">
        <v>2336</v>
      </c>
    </row>
    <row r="275" spans="1:19" ht="18.75" customHeight="1" x14ac:dyDescent="0.3">
      <c r="A275" s="10">
        <v>274</v>
      </c>
      <c r="B275" s="10">
        <f>_xlfn.XLOOKUP(1,(VALUE(D275)&gt;=VALUE(block!$C$3:$C$500))*(VALUE(D275)&lt;VALUE(block!$C$3:$C$500)+VALUE(block!$D$3:$D$500)),block!$A$3:$A$500,"无匹配",0,1)</f>
        <v>6</v>
      </c>
      <c r="C275" s="3" t="str">
        <f>B275 &amp; "-" &amp; COUNTIF($B$2:B275, B275)</f>
        <v>6-33</v>
      </c>
      <c r="D275" s="10">
        <v>8736</v>
      </c>
      <c r="E275" s="1" t="s">
        <v>2337</v>
      </c>
      <c r="F275" s="1" t="s">
        <v>2338</v>
      </c>
      <c r="G275" s="1" t="s">
        <v>1834</v>
      </c>
      <c r="H275" s="1" t="s">
        <v>1812</v>
      </c>
      <c r="I275" s="10" t="str">
        <f>IF(H275="T32",1,IF(H275="T32",3,IF(H275="T48",6,IF(H275="T48",10,IF(H275="T80",14,IF(H275="T80",18,IF(H275="T48",22,"")))))))</f>
        <v/>
      </c>
      <c r="J275" s="1" t="s">
        <v>1808</v>
      </c>
      <c r="K275" s="10">
        <v>2</v>
      </c>
      <c r="L275" s="10">
        <v>1</v>
      </c>
      <c r="N275" s="10">
        <v>4</v>
      </c>
      <c r="O275" s="6"/>
      <c r="P275" s="45" t="s">
        <v>1862</v>
      </c>
      <c r="Q275" s="42" t="s">
        <v>1868</v>
      </c>
      <c r="R275" s="42"/>
      <c r="S275" s="1" t="s">
        <v>2338</v>
      </c>
    </row>
    <row r="276" spans="1:19" ht="18.75" customHeight="1" x14ac:dyDescent="0.3">
      <c r="A276" s="10">
        <v>275</v>
      </c>
      <c r="B276" s="10">
        <f>_xlfn.XLOOKUP(1,(VALUE(D276)&gt;=VALUE(block!$C$3:$C$500))*(VALUE(D276)&lt;VALUE(block!$C$3:$C$500)+VALUE(block!$D$3:$D$500)),block!$A$3:$A$500,"无匹配",0,1)</f>
        <v>6</v>
      </c>
      <c r="C276" s="3" t="str">
        <f>B276 &amp; "-" &amp; COUNTIF($B$2:B276, B276)</f>
        <v>6-34</v>
      </c>
      <c r="D276" s="10">
        <v>8738</v>
      </c>
      <c r="E276" s="1" t="s">
        <v>2339</v>
      </c>
      <c r="F276" s="1" t="s">
        <v>2340</v>
      </c>
      <c r="G276" s="1" t="s">
        <v>1836</v>
      </c>
      <c r="H276" s="1" t="s">
        <v>1812</v>
      </c>
      <c r="I276" s="10" t="str">
        <f>IF(H276="T33",1,IF(H276="T33",3,IF(H276="T49",6,IF(H276="T49",10,IF(H276="T81",14,IF(H276="T81",18,IF(H276="T49",22,"")))))))</f>
        <v/>
      </c>
      <c r="J276" s="1" t="s">
        <v>1808</v>
      </c>
      <c r="K276" s="10">
        <v>2</v>
      </c>
      <c r="L276" s="10">
        <v>1</v>
      </c>
      <c r="N276" s="10">
        <v>4</v>
      </c>
      <c r="O276" s="6"/>
      <c r="P276" s="45" t="s">
        <v>1862</v>
      </c>
      <c r="Q276" s="42" t="s">
        <v>1868</v>
      </c>
      <c r="R276" s="42"/>
      <c r="S276" s="1" t="s">
        <v>2340</v>
      </c>
    </row>
    <row r="277" spans="1:19" ht="18.75" hidden="1" customHeight="1" x14ac:dyDescent="0.3">
      <c r="A277" s="10">
        <v>276</v>
      </c>
      <c r="B277" s="10">
        <f>_xlfn.XLOOKUP(1,(VALUE(D277)&gt;=VALUE(block!$C$3:$C$500))*(VALUE(D277)&lt;VALUE(block!$C$3:$C$500)+VALUE(block!$D$3:$D$500)),block!$A$3:$A$500,"无匹配",0,1)</f>
        <v>6</v>
      </c>
      <c r="C277" s="3" t="str">
        <f>B277 &amp; "-" &amp; COUNTIF($B$2:B277, B277)</f>
        <v>6-35</v>
      </c>
      <c r="D277" s="10">
        <v>8740</v>
      </c>
      <c r="E277" s="1" t="s">
        <v>2341</v>
      </c>
      <c r="F277" s="1" t="s">
        <v>2342</v>
      </c>
      <c r="H277" s="1" t="s">
        <v>1838</v>
      </c>
      <c r="I277" s="10" t="str">
        <f>IF(H277="T34",1,IF(H277="T34",3,IF(H277="T50",6,IF(H277="T50",10,IF(H277="T82",14,IF(H277="T82",18,IF(H277="T50",22,"")))))))</f>
        <v/>
      </c>
      <c r="J277" s="1" t="s">
        <v>1808</v>
      </c>
      <c r="K277" s="10">
        <v>2</v>
      </c>
      <c r="L277" s="10">
        <v>1</v>
      </c>
      <c r="O277" s="6"/>
      <c r="Q277" s="6">
        <v>10</v>
      </c>
      <c r="R277" s="6"/>
      <c r="S277" s="1"/>
    </row>
    <row r="278" spans="1:19" ht="18.75" customHeight="1" x14ac:dyDescent="0.3">
      <c r="A278" s="10">
        <v>277</v>
      </c>
      <c r="B278" s="10">
        <f>_xlfn.XLOOKUP(1,(VALUE(D278)&gt;=VALUE(block!$C$3:$C$500))*(VALUE(D278)&lt;VALUE(block!$C$3:$C$500)+VALUE(block!$D$3:$D$500)),block!$A$3:$A$500,"无匹配",0,1)</f>
        <v>6</v>
      </c>
      <c r="C278" s="3" t="str">
        <f>B278 &amp; "-" &amp; COUNTIF($B$2:B278, B278)</f>
        <v>6-36</v>
      </c>
      <c r="D278" s="10">
        <v>8742</v>
      </c>
      <c r="E278" s="1" t="s">
        <v>2343</v>
      </c>
      <c r="F278" s="1" t="s">
        <v>2344</v>
      </c>
      <c r="H278" s="1" t="s">
        <v>1812</v>
      </c>
      <c r="I278" s="10" t="str">
        <f>IF(H278="T35",1,IF(H278="T35",3,IF(H278="T51",6,IF(H278="T51",10,IF(H278="T83",14,IF(H278="T83",18,IF(H278="T51",22,"")))))))</f>
        <v/>
      </c>
      <c r="J278" s="1" t="s">
        <v>1808</v>
      </c>
      <c r="K278" s="10">
        <v>2</v>
      </c>
      <c r="L278" s="10">
        <v>1</v>
      </c>
      <c r="N278" s="10">
        <v>4</v>
      </c>
      <c r="O278" s="6"/>
      <c r="P278" s="45" t="s">
        <v>1862</v>
      </c>
      <c r="Q278" s="42" t="s">
        <v>2212</v>
      </c>
      <c r="R278" s="42"/>
      <c r="S278" s="1" t="s">
        <v>2344</v>
      </c>
    </row>
    <row r="279" spans="1:19" ht="18.75" customHeight="1" x14ac:dyDescent="0.3">
      <c r="A279" s="10">
        <v>278</v>
      </c>
      <c r="B279" s="10">
        <f>_xlfn.XLOOKUP(1,(VALUE(D279)&gt;=VALUE(block!$C$3:$C$500))*(VALUE(D279)&lt;VALUE(block!$C$3:$C$500)+VALUE(block!$D$3:$D$500)),block!$A$3:$A$500,"无匹配",0,1)</f>
        <v>7</v>
      </c>
      <c r="C279" s="3" t="str">
        <f>B279 &amp; "-" &amp; COUNTIF($B$2:B279, B279)</f>
        <v>7-1</v>
      </c>
      <c r="D279" s="10">
        <v>8960</v>
      </c>
      <c r="E279" s="1" t="s">
        <v>2345</v>
      </c>
      <c r="F279" s="1" t="s">
        <v>2346</v>
      </c>
      <c r="G279" s="1" t="s">
        <v>1830</v>
      </c>
      <c r="H279" s="1" t="s">
        <v>1812</v>
      </c>
      <c r="I279" s="10" t="str">
        <f>IF(H279="T36",1,IF(H279="T36",3,IF(H279="T52",6,IF(H279="T52",10,IF(H279="T84",14,IF(H279="T84",18,IF(H279="T52",22,"")))))))</f>
        <v/>
      </c>
      <c r="J279" s="1" t="s">
        <v>1808</v>
      </c>
      <c r="K279" s="10">
        <v>2</v>
      </c>
      <c r="L279" s="10">
        <v>1</v>
      </c>
      <c r="N279" s="10">
        <v>4</v>
      </c>
      <c r="O279" s="6"/>
      <c r="P279" s="45" t="s">
        <v>2347</v>
      </c>
      <c r="Q279" s="42" t="s">
        <v>2348</v>
      </c>
      <c r="R279" s="42"/>
      <c r="S279" s="1" t="s">
        <v>2346</v>
      </c>
    </row>
    <row r="280" spans="1:19" ht="18.75" customHeight="1" x14ac:dyDescent="0.3">
      <c r="A280" s="10">
        <v>279</v>
      </c>
      <c r="B280" s="10">
        <f>_xlfn.XLOOKUP(1,(VALUE(D280)&gt;=VALUE(block!$C$3:$C$500))*(VALUE(D280)&lt;VALUE(block!$C$3:$C$500)+VALUE(block!$D$3:$D$500)),block!$A$3:$A$500,"无匹配",0,1)</f>
        <v>7</v>
      </c>
      <c r="C280" s="3" t="str">
        <f>B280 &amp; "-" &amp; COUNTIF($B$2:B280, B280)</f>
        <v>7-2</v>
      </c>
      <c r="D280" s="10">
        <v>8962</v>
      </c>
      <c r="E280" s="1" t="s">
        <v>2349</v>
      </c>
      <c r="F280" s="1" t="s">
        <v>2350</v>
      </c>
      <c r="G280" s="1" t="s">
        <v>1832</v>
      </c>
      <c r="H280" s="1" t="s">
        <v>1812</v>
      </c>
      <c r="I280" s="10" t="str">
        <f>IF(H280="T37",1,IF(H280="T37",3,IF(H280="T53",6,IF(H280="T53",10,IF(H280="T85",14,IF(H280="T85",18,IF(H280="T53",22,"")))))))</f>
        <v/>
      </c>
      <c r="J280" s="1" t="s">
        <v>1808</v>
      </c>
      <c r="K280" s="10">
        <v>2</v>
      </c>
      <c r="L280" s="10">
        <v>1</v>
      </c>
      <c r="N280" s="10">
        <v>4</v>
      </c>
      <c r="O280" s="6"/>
      <c r="P280" s="45" t="s">
        <v>2347</v>
      </c>
      <c r="Q280" s="42" t="s">
        <v>2348</v>
      </c>
      <c r="R280" s="42"/>
      <c r="S280" s="1" t="s">
        <v>2350</v>
      </c>
    </row>
    <row r="281" spans="1:19" ht="18.75" customHeight="1" x14ac:dyDescent="0.3">
      <c r="A281" s="10">
        <v>280</v>
      </c>
      <c r="B281" s="10">
        <f>_xlfn.XLOOKUP(1,(VALUE(D281)&gt;=VALUE(block!$C$3:$C$500))*(VALUE(D281)&lt;VALUE(block!$C$3:$C$500)+VALUE(block!$D$3:$D$500)),block!$A$3:$A$500,"无匹配",0,1)</f>
        <v>7</v>
      </c>
      <c r="C281" s="3" t="str">
        <f>B281 &amp; "-" &amp; COUNTIF($B$2:B281, B281)</f>
        <v>7-3</v>
      </c>
      <c r="D281" s="10">
        <v>8964</v>
      </c>
      <c r="E281" s="1" t="s">
        <v>2351</v>
      </c>
      <c r="F281" s="1" t="s">
        <v>2352</v>
      </c>
      <c r="G281" s="1" t="s">
        <v>1832</v>
      </c>
      <c r="H281" s="1" t="s">
        <v>1812</v>
      </c>
      <c r="I281" s="10" t="str">
        <f>IF(H281="T38",1,IF(H281="T38",3,IF(H281="T54",6,IF(H281="T54",10,IF(H281="T86",14,IF(H281="T86",18,IF(H281="T54",22,"")))))))</f>
        <v/>
      </c>
      <c r="J281" s="1" t="s">
        <v>1808</v>
      </c>
      <c r="K281" s="10">
        <v>2</v>
      </c>
      <c r="L281" s="10">
        <v>1</v>
      </c>
      <c r="N281" s="10">
        <v>4</v>
      </c>
      <c r="O281" s="6"/>
      <c r="P281" s="45" t="s">
        <v>2347</v>
      </c>
      <c r="Q281" s="42" t="s">
        <v>2348</v>
      </c>
      <c r="R281" s="42"/>
      <c r="S281" s="1" t="s">
        <v>2352</v>
      </c>
    </row>
    <row r="282" spans="1:19" ht="18.75" customHeight="1" x14ac:dyDescent="0.3">
      <c r="A282" s="10">
        <v>281</v>
      </c>
      <c r="B282" s="10">
        <f>_xlfn.XLOOKUP(1,(VALUE(D282)&gt;=VALUE(block!$C$3:$C$500))*(VALUE(D282)&lt;VALUE(block!$C$3:$C$500)+VALUE(block!$D$3:$D$500)),block!$A$3:$A$500,"无匹配",0,1)</f>
        <v>7</v>
      </c>
      <c r="C282" s="3" t="str">
        <f>B282 &amp; "-" &amp; COUNTIF($B$2:B282, B282)</f>
        <v>7-4</v>
      </c>
      <c r="D282" s="10">
        <v>8966</v>
      </c>
      <c r="E282" s="1" t="s">
        <v>2353</v>
      </c>
      <c r="F282" s="1" t="s">
        <v>2354</v>
      </c>
      <c r="G282" s="1" t="s">
        <v>1834</v>
      </c>
      <c r="H282" s="1" t="s">
        <v>1812</v>
      </c>
      <c r="I282" s="10" t="str">
        <f>IF(H282="T39",1,IF(H282="T39",3,IF(H282="T55",6,IF(H282="T55",10,IF(H282="T87",14,IF(H282="T87",18,IF(H282="T55",22,"")))))))</f>
        <v/>
      </c>
      <c r="J282" s="1" t="s">
        <v>1808</v>
      </c>
      <c r="K282" s="10">
        <v>2</v>
      </c>
      <c r="L282" s="10">
        <v>1</v>
      </c>
      <c r="N282" s="10">
        <v>4</v>
      </c>
      <c r="O282" s="6"/>
      <c r="P282" s="45" t="s">
        <v>2347</v>
      </c>
      <c r="Q282" s="42" t="s">
        <v>2348</v>
      </c>
      <c r="R282" s="42"/>
      <c r="S282" s="1" t="s">
        <v>2354</v>
      </c>
    </row>
    <row r="283" spans="1:19" ht="18.75" customHeight="1" x14ac:dyDescent="0.3">
      <c r="A283" s="10">
        <v>282</v>
      </c>
      <c r="B283" s="10">
        <f>_xlfn.XLOOKUP(1,(VALUE(D283)&gt;=VALUE(block!$C$3:$C$500))*(VALUE(D283)&lt;VALUE(block!$C$3:$C$500)+VALUE(block!$D$3:$D$500)),block!$A$3:$A$500,"无匹配",0,1)</f>
        <v>7</v>
      </c>
      <c r="C283" s="3" t="str">
        <f>B283 &amp; "-" &amp; COUNTIF($B$2:B283, B283)</f>
        <v>7-5</v>
      </c>
      <c r="D283" s="10">
        <v>8968</v>
      </c>
      <c r="E283" s="1" t="s">
        <v>2355</v>
      </c>
      <c r="F283" s="1" t="s">
        <v>2356</v>
      </c>
      <c r="G283" s="1" t="s">
        <v>1834</v>
      </c>
      <c r="H283" s="1" t="s">
        <v>1812</v>
      </c>
      <c r="I283" s="10" t="str">
        <f>IF(H283="T40",1,IF(H283="T40",3,IF(H283="T56",6,IF(H283="T56",10,IF(H283="T88",14,IF(H283="T88",18,IF(H283="T56",22,"")))))))</f>
        <v/>
      </c>
      <c r="J283" s="1" t="s">
        <v>1808</v>
      </c>
      <c r="K283" s="10">
        <v>2</v>
      </c>
      <c r="L283" s="10">
        <v>1</v>
      </c>
      <c r="N283" s="10">
        <v>4</v>
      </c>
      <c r="O283" s="6"/>
      <c r="P283" s="45" t="s">
        <v>2347</v>
      </c>
      <c r="Q283" s="42" t="s">
        <v>2348</v>
      </c>
      <c r="R283" s="42"/>
      <c r="S283" s="1" t="s">
        <v>2356</v>
      </c>
    </row>
    <row r="284" spans="1:19" ht="18.75" customHeight="1" x14ac:dyDescent="0.3">
      <c r="A284" s="10">
        <v>283</v>
      </c>
      <c r="B284" s="10">
        <f>_xlfn.XLOOKUP(1,(VALUE(D284)&gt;=VALUE(block!$C$3:$C$500))*(VALUE(D284)&lt;VALUE(block!$C$3:$C$500)+VALUE(block!$D$3:$D$500)),block!$A$3:$A$500,"无匹配",0,1)</f>
        <v>7</v>
      </c>
      <c r="C284" s="3" t="str">
        <f>B284 &amp; "-" &amp; COUNTIF($B$2:B284, B284)</f>
        <v>7-6</v>
      </c>
      <c r="D284" s="10">
        <v>8970</v>
      </c>
      <c r="E284" s="1" t="s">
        <v>2357</v>
      </c>
      <c r="F284" s="1" t="s">
        <v>294</v>
      </c>
      <c r="G284" s="1" t="s">
        <v>1836</v>
      </c>
      <c r="H284" s="1" t="s">
        <v>1812</v>
      </c>
      <c r="I284" s="10" t="str">
        <f>IF(H284="T41",1,IF(H284="T41",3,IF(H284="T57",6,IF(H284="T57",10,IF(H284="T89",14,IF(H284="T89",18,IF(H284="T57",22,"")))))))</f>
        <v/>
      </c>
      <c r="J284" s="1" t="s">
        <v>1808</v>
      </c>
      <c r="K284" s="10">
        <v>2</v>
      </c>
      <c r="L284" s="10">
        <v>1</v>
      </c>
      <c r="N284" s="10">
        <v>4</v>
      </c>
      <c r="O284" s="6"/>
      <c r="P284" s="45" t="s">
        <v>2347</v>
      </c>
      <c r="Q284" s="42" t="s">
        <v>2348</v>
      </c>
      <c r="R284" s="42"/>
      <c r="S284" s="1" t="s">
        <v>294</v>
      </c>
    </row>
    <row r="285" spans="1:19" ht="18.75" customHeight="1" x14ac:dyDescent="0.3">
      <c r="A285" s="10">
        <v>284</v>
      </c>
      <c r="B285" s="10">
        <f>_xlfn.XLOOKUP(1,(VALUE(D285)&gt;=VALUE(block!$C$3:$C$500))*(VALUE(D285)&lt;VALUE(block!$C$3:$C$500)+VALUE(block!$D$3:$D$500)),block!$A$3:$A$500,"无匹配",0,1)</f>
        <v>7</v>
      </c>
      <c r="C285" s="3" t="str">
        <f>B285 &amp; "-" &amp; COUNTIF($B$2:B285, B285)</f>
        <v>7-7</v>
      </c>
      <c r="D285" s="10">
        <v>8972</v>
      </c>
      <c r="E285" s="1" t="s">
        <v>2358</v>
      </c>
      <c r="F285" s="1" t="s">
        <v>2359</v>
      </c>
      <c r="G285" s="1" t="s">
        <v>1830</v>
      </c>
      <c r="H285" s="1" t="s">
        <v>1812</v>
      </c>
      <c r="I285" s="10" t="str">
        <f>IF(H285="T42",1,IF(H285="T42",3,IF(H285="T58",6,IF(H285="T58",10,IF(H285="T90",14,IF(H285="T90",18,IF(H285="T58",22,"")))))))</f>
        <v/>
      </c>
      <c r="J285" s="1" t="s">
        <v>1808</v>
      </c>
      <c r="K285" s="10">
        <v>2</v>
      </c>
      <c r="L285" s="10">
        <v>1</v>
      </c>
      <c r="N285" s="10">
        <v>4</v>
      </c>
      <c r="O285" s="6"/>
      <c r="P285" s="45" t="s">
        <v>2347</v>
      </c>
      <c r="Q285" s="42" t="s">
        <v>2348</v>
      </c>
      <c r="R285" s="42"/>
      <c r="S285" s="1" t="s">
        <v>2359</v>
      </c>
    </row>
    <row r="286" spans="1:19" ht="18.75" customHeight="1" x14ac:dyDescent="0.3">
      <c r="A286" s="10">
        <v>285</v>
      </c>
      <c r="B286" s="10">
        <f>_xlfn.XLOOKUP(1,(VALUE(D286)&gt;=VALUE(block!$C$3:$C$500))*(VALUE(D286)&lt;VALUE(block!$C$3:$C$500)+VALUE(block!$D$3:$D$500)),block!$A$3:$A$500,"无匹配",0,1)</f>
        <v>7</v>
      </c>
      <c r="C286" s="3" t="str">
        <f>B286 &amp; "-" &amp; COUNTIF($B$2:B286, B286)</f>
        <v>7-8</v>
      </c>
      <c r="D286" s="10">
        <v>8974</v>
      </c>
      <c r="E286" s="1" t="s">
        <v>2360</v>
      </c>
      <c r="F286" s="1" t="s">
        <v>2361</v>
      </c>
      <c r="G286" s="1" t="s">
        <v>1832</v>
      </c>
      <c r="H286" s="1" t="s">
        <v>1812</v>
      </c>
      <c r="I286" s="10" t="str">
        <f>IF(H286="T43",1,IF(H286="T43",3,IF(H286="T59",6,IF(H286="T59",10,IF(H286="T91",14,IF(H286="T91",18,IF(H286="T59",22,"")))))))</f>
        <v/>
      </c>
      <c r="J286" s="1" t="s">
        <v>1808</v>
      </c>
      <c r="K286" s="10">
        <v>2</v>
      </c>
      <c r="L286" s="10">
        <v>1</v>
      </c>
      <c r="N286" s="10">
        <v>4</v>
      </c>
      <c r="O286" s="6"/>
      <c r="P286" s="45" t="s">
        <v>2347</v>
      </c>
      <c r="Q286" s="42" t="s">
        <v>2348</v>
      </c>
      <c r="R286" s="42"/>
      <c r="S286" s="1" t="s">
        <v>2361</v>
      </c>
    </row>
    <row r="287" spans="1:19" ht="18.75" customHeight="1" x14ac:dyDescent="0.3">
      <c r="A287" s="10">
        <v>286</v>
      </c>
      <c r="B287" s="10">
        <f>_xlfn.XLOOKUP(1,(VALUE(D287)&gt;=VALUE(block!$C$3:$C$500))*(VALUE(D287)&lt;VALUE(block!$C$3:$C$500)+VALUE(block!$D$3:$D$500)),block!$A$3:$A$500,"无匹配",0,1)</f>
        <v>7</v>
      </c>
      <c r="C287" s="3" t="str">
        <f>B287 &amp; "-" &amp; COUNTIF($B$2:B287, B287)</f>
        <v>7-9</v>
      </c>
      <c r="D287" s="10">
        <v>8976</v>
      </c>
      <c r="E287" s="1" t="s">
        <v>2362</v>
      </c>
      <c r="F287" s="1" t="s">
        <v>2363</v>
      </c>
      <c r="G287" s="1" t="s">
        <v>1832</v>
      </c>
      <c r="H287" s="1" t="s">
        <v>1812</v>
      </c>
      <c r="I287" s="10" t="str">
        <f>IF(H287="T44",1,IF(H287="T44",3,IF(H287="T60",6,IF(H287="T60",10,IF(H287="T92",14,IF(H287="T92",18,IF(H287="T60",22,"")))))))</f>
        <v/>
      </c>
      <c r="J287" s="1" t="s">
        <v>1808</v>
      </c>
      <c r="K287" s="10">
        <v>2</v>
      </c>
      <c r="L287" s="10">
        <v>1</v>
      </c>
      <c r="N287" s="10">
        <v>4</v>
      </c>
      <c r="O287" s="6"/>
      <c r="P287" s="45" t="s">
        <v>2347</v>
      </c>
      <c r="Q287" s="42" t="s">
        <v>2348</v>
      </c>
      <c r="R287" s="42"/>
      <c r="S287" s="1" t="s">
        <v>2363</v>
      </c>
    </row>
    <row r="288" spans="1:19" ht="18.75" customHeight="1" x14ac:dyDescent="0.3">
      <c r="A288" s="10">
        <v>287</v>
      </c>
      <c r="B288" s="10">
        <f>_xlfn.XLOOKUP(1,(VALUE(D288)&gt;=VALUE(block!$C$3:$C$500))*(VALUE(D288)&lt;VALUE(block!$C$3:$C$500)+VALUE(block!$D$3:$D$500)),block!$A$3:$A$500,"无匹配",0,1)</f>
        <v>7</v>
      </c>
      <c r="C288" s="3" t="str">
        <f>B288 &amp; "-" &amp; COUNTIF($B$2:B288, B288)</f>
        <v>7-10</v>
      </c>
      <c r="D288" s="10">
        <v>8978</v>
      </c>
      <c r="E288" s="1" t="s">
        <v>2364</v>
      </c>
      <c r="F288" s="1" t="s">
        <v>2365</v>
      </c>
      <c r="G288" s="1" t="s">
        <v>1834</v>
      </c>
      <c r="H288" s="1" t="s">
        <v>1812</v>
      </c>
      <c r="I288" s="10" t="str">
        <f>IF(H288="T45",1,IF(H288="T45",3,IF(H288="T61",6,IF(H288="T61",10,IF(H288="T93",14,IF(H288="T93",18,IF(H288="T61",22,"")))))))</f>
        <v/>
      </c>
      <c r="J288" s="1" t="s">
        <v>1808</v>
      </c>
      <c r="K288" s="10">
        <v>2</v>
      </c>
      <c r="L288" s="10">
        <v>1</v>
      </c>
      <c r="N288" s="10">
        <v>4</v>
      </c>
      <c r="O288" s="6"/>
      <c r="P288" s="45" t="s">
        <v>2347</v>
      </c>
      <c r="Q288" s="42" t="s">
        <v>2348</v>
      </c>
      <c r="R288" s="42"/>
      <c r="S288" s="1" t="s">
        <v>2365</v>
      </c>
    </row>
    <row r="289" spans="1:19" ht="18.75" customHeight="1" x14ac:dyDescent="0.3">
      <c r="A289" s="10">
        <v>288</v>
      </c>
      <c r="B289" s="10">
        <f>_xlfn.XLOOKUP(1,(VALUE(D289)&gt;=VALUE(block!$C$3:$C$500))*(VALUE(D289)&lt;VALUE(block!$C$3:$C$500)+VALUE(block!$D$3:$D$500)),block!$A$3:$A$500,"无匹配",0,1)</f>
        <v>7</v>
      </c>
      <c r="C289" s="3" t="str">
        <f>B289 &amp; "-" &amp; COUNTIF($B$2:B289, B289)</f>
        <v>7-11</v>
      </c>
      <c r="D289" s="10">
        <v>8980</v>
      </c>
      <c r="E289" s="1" t="s">
        <v>2366</v>
      </c>
      <c r="F289" s="1" t="s">
        <v>2367</v>
      </c>
      <c r="G289" s="1" t="s">
        <v>1834</v>
      </c>
      <c r="H289" s="1" t="s">
        <v>1812</v>
      </c>
      <c r="I289" s="10" t="str">
        <f>IF(H289="T46",1,IF(H289="T46",3,IF(H289="T62",6,IF(H289="T62",10,IF(H289="T94",14,IF(H289="T94",18,IF(H289="T62",22,"")))))))</f>
        <v/>
      </c>
      <c r="J289" s="1" t="s">
        <v>1808</v>
      </c>
      <c r="K289" s="10">
        <v>2</v>
      </c>
      <c r="L289" s="10">
        <v>1</v>
      </c>
      <c r="N289" s="10">
        <v>4</v>
      </c>
      <c r="O289" s="6"/>
      <c r="P289" s="45" t="s">
        <v>2347</v>
      </c>
      <c r="Q289" s="42" t="s">
        <v>2348</v>
      </c>
      <c r="R289" s="42"/>
      <c r="S289" s="1" t="s">
        <v>2367</v>
      </c>
    </row>
    <row r="290" spans="1:19" ht="18.75" customHeight="1" x14ac:dyDescent="0.3">
      <c r="A290" s="10">
        <v>289</v>
      </c>
      <c r="B290" s="10">
        <f>_xlfn.XLOOKUP(1,(VALUE(D290)&gt;=VALUE(block!$C$3:$C$500))*(VALUE(D290)&lt;VALUE(block!$C$3:$C$500)+VALUE(block!$D$3:$D$500)),block!$A$3:$A$500,"无匹配",0,1)</f>
        <v>7</v>
      </c>
      <c r="C290" s="3" t="str">
        <f>B290 &amp; "-" &amp; COUNTIF($B$2:B290, B290)</f>
        <v>7-12</v>
      </c>
      <c r="D290" s="10">
        <v>8982</v>
      </c>
      <c r="E290" s="1" t="s">
        <v>2368</v>
      </c>
      <c r="F290" s="1" t="s">
        <v>305</v>
      </c>
      <c r="G290" s="1" t="s">
        <v>1836</v>
      </c>
      <c r="H290" s="1" t="s">
        <v>1812</v>
      </c>
      <c r="I290" s="10" t="str">
        <f>IF(H290="T47",1,IF(H290="T47",3,IF(H290="T63",6,IF(H290="T63",10,IF(H290="T95",14,IF(H290="T95",18,IF(H290="T63",22,"")))))))</f>
        <v/>
      </c>
      <c r="J290" s="1" t="s">
        <v>1808</v>
      </c>
      <c r="K290" s="10">
        <v>2</v>
      </c>
      <c r="L290" s="10">
        <v>1</v>
      </c>
      <c r="N290" s="10">
        <v>4</v>
      </c>
      <c r="O290" s="6"/>
      <c r="P290" s="45" t="s">
        <v>2347</v>
      </c>
      <c r="Q290" s="42" t="s">
        <v>2348</v>
      </c>
      <c r="R290" s="42"/>
      <c r="S290" s="1" t="s">
        <v>305</v>
      </c>
    </row>
    <row r="291" spans="1:19" ht="18.75" customHeight="1" x14ac:dyDescent="0.3">
      <c r="A291" s="10">
        <v>290</v>
      </c>
      <c r="B291" s="10">
        <f>_xlfn.XLOOKUP(1,(VALUE(D291)&gt;=VALUE(block!$C$3:$C$500))*(VALUE(D291)&lt;VALUE(block!$C$3:$C$500)+VALUE(block!$D$3:$D$500)),block!$A$3:$A$500,"无匹配",0,1)</f>
        <v>7</v>
      </c>
      <c r="C291" s="3" t="str">
        <f>B291 &amp; "-" &amp; COUNTIF($B$2:B291, B291)</f>
        <v>7-13</v>
      </c>
      <c r="D291" s="10">
        <v>8984</v>
      </c>
      <c r="E291" s="1" t="s">
        <v>2369</v>
      </c>
      <c r="F291" s="1" t="s">
        <v>2370</v>
      </c>
      <c r="G291" s="1" t="s">
        <v>1830</v>
      </c>
      <c r="H291" s="1" t="s">
        <v>1812</v>
      </c>
      <c r="I291" s="10" t="str">
        <f>IF(H291="T48",1,IF(H291="T48",3,IF(H291="T64",6,IF(H291="T64",10,IF(H291="T96",14,IF(H291="T96",18,IF(H291="T64",22,"")))))))</f>
        <v/>
      </c>
      <c r="J291" s="1" t="s">
        <v>1808</v>
      </c>
      <c r="K291" s="10">
        <v>2</v>
      </c>
      <c r="L291" s="10">
        <v>1</v>
      </c>
      <c r="N291" s="10">
        <v>4</v>
      </c>
      <c r="O291" s="6"/>
      <c r="P291" s="45" t="s">
        <v>2347</v>
      </c>
      <c r="Q291" s="42" t="s">
        <v>2348</v>
      </c>
      <c r="R291" s="42"/>
      <c r="S291" s="1" t="s">
        <v>2370</v>
      </c>
    </row>
    <row r="292" spans="1:19" ht="18.75" customHeight="1" x14ac:dyDescent="0.3">
      <c r="A292" s="10">
        <v>291</v>
      </c>
      <c r="B292" s="10">
        <f>_xlfn.XLOOKUP(1,(VALUE(D292)&gt;=VALUE(block!$C$3:$C$500))*(VALUE(D292)&lt;VALUE(block!$C$3:$C$500)+VALUE(block!$D$3:$D$500)),block!$A$3:$A$500,"无匹配",0,1)</f>
        <v>7</v>
      </c>
      <c r="C292" s="3" t="str">
        <f>B292 &amp; "-" &amp; COUNTIF($B$2:B292, B292)</f>
        <v>7-14</v>
      </c>
      <c r="D292" s="10">
        <v>8986</v>
      </c>
      <c r="E292" s="1" t="s">
        <v>2371</v>
      </c>
      <c r="F292" s="1" t="s">
        <v>2372</v>
      </c>
      <c r="G292" s="1" t="s">
        <v>1832</v>
      </c>
      <c r="H292" s="1" t="s">
        <v>1812</v>
      </c>
      <c r="I292" s="10" t="str">
        <f>IF(H292="T49",1,IF(H292="T49",3,IF(H292="T65",6,IF(H292="T65",10,IF(H292="T97",14,IF(H292="T97",18,IF(H292="T65",22,"")))))))</f>
        <v/>
      </c>
      <c r="J292" s="1" t="s">
        <v>1808</v>
      </c>
      <c r="K292" s="10">
        <v>2</v>
      </c>
      <c r="L292" s="10">
        <v>1</v>
      </c>
      <c r="N292" s="10">
        <v>4</v>
      </c>
      <c r="O292" s="6"/>
      <c r="P292" s="45" t="s">
        <v>2347</v>
      </c>
      <c r="Q292" s="42" t="s">
        <v>2348</v>
      </c>
      <c r="R292" s="42"/>
      <c r="S292" s="1" t="s">
        <v>2372</v>
      </c>
    </row>
    <row r="293" spans="1:19" ht="18.75" customHeight="1" x14ac:dyDescent="0.3">
      <c r="A293" s="10">
        <v>292</v>
      </c>
      <c r="B293" s="10">
        <f>_xlfn.XLOOKUP(1,(VALUE(D293)&gt;=VALUE(block!$C$3:$C$500))*(VALUE(D293)&lt;VALUE(block!$C$3:$C$500)+VALUE(block!$D$3:$D$500)),block!$A$3:$A$500,"无匹配",0,1)</f>
        <v>7</v>
      </c>
      <c r="C293" s="3" t="str">
        <f>B293 &amp; "-" &amp; COUNTIF($B$2:B293, B293)</f>
        <v>7-15</v>
      </c>
      <c r="D293" s="10">
        <v>8988</v>
      </c>
      <c r="E293" s="1" t="s">
        <v>2373</v>
      </c>
      <c r="F293" s="1" t="s">
        <v>2374</v>
      </c>
      <c r="G293" s="1" t="s">
        <v>1832</v>
      </c>
      <c r="H293" s="1" t="s">
        <v>1812</v>
      </c>
      <c r="I293" s="10" t="str">
        <f>IF(H293="T50",1,IF(H293="T50",3,IF(H293="T66",6,IF(H293="T66",10,IF(H293="T98",14,IF(H293="T98",18,IF(H293="T66",22,"")))))))</f>
        <v/>
      </c>
      <c r="J293" s="1" t="s">
        <v>1808</v>
      </c>
      <c r="K293" s="10">
        <v>2</v>
      </c>
      <c r="L293" s="10">
        <v>1</v>
      </c>
      <c r="N293" s="10">
        <v>4</v>
      </c>
      <c r="O293" s="6"/>
      <c r="P293" s="45" t="s">
        <v>2347</v>
      </c>
      <c r="Q293" s="42" t="s">
        <v>2348</v>
      </c>
      <c r="R293" s="42"/>
      <c r="S293" s="1" t="s">
        <v>2374</v>
      </c>
    </row>
    <row r="294" spans="1:19" ht="18.75" customHeight="1" x14ac:dyDescent="0.3">
      <c r="A294" s="10">
        <v>293</v>
      </c>
      <c r="B294" s="10">
        <f>_xlfn.XLOOKUP(1,(VALUE(D294)&gt;=VALUE(block!$C$3:$C$500))*(VALUE(D294)&lt;VALUE(block!$C$3:$C$500)+VALUE(block!$D$3:$D$500)),block!$A$3:$A$500,"无匹配",0,1)</f>
        <v>7</v>
      </c>
      <c r="C294" s="3" t="str">
        <f>B294 &amp; "-" &amp; COUNTIF($B$2:B294, B294)</f>
        <v>7-16</v>
      </c>
      <c r="D294" s="10">
        <v>8990</v>
      </c>
      <c r="E294" s="1" t="s">
        <v>2375</v>
      </c>
      <c r="F294" s="1" t="s">
        <v>2376</v>
      </c>
      <c r="G294" s="1" t="s">
        <v>1834</v>
      </c>
      <c r="H294" s="1" t="s">
        <v>1812</v>
      </c>
      <c r="I294" s="10" t="str">
        <f>IF(H294="T51",1,IF(H294="T51",3,IF(H294="T67",6,IF(H294="T67",10,IF(H294="T99",14,IF(H294="T99",18,IF(H294="T67",22,"")))))))</f>
        <v/>
      </c>
      <c r="J294" s="1" t="s">
        <v>1808</v>
      </c>
      <c r="K294" s="10">
        <v>2</v>
      </c>
      <c r="L294" s="10">
        <v>1</v>
      </c>
      <c r="N294" s="10">
        <v>4</v>
      </c>
      <c r="O294" s="6"/>
      <c r="P294" s="45" t="s">
        <v>2347</v>
      </c>
      <c r="Q294" s="42" t="s">
        <v>2348</v>
      </c>
      <c r="R294" s="42"/>
      <c r="S294" s="1" t="s">
        <v>2376</v>
      </c>
    </row>
    <row r="295" spans="1:19" ht="18.75" customHeight="1" x14ac:dyDescent="0.3">
      <c r="A295" s="10">
        <v>294</v>
      </c>
      <c r="B295" s="10">
        <f>_xlfn.XLOOKUP(1,(VALUE(D295)&gt;=VALUE(block!$C$3:$C$500))*(VALUE(D295)&lt;VALUE(block!$C$3:$C$500)+VALUE(block!$D$3:$D$500)),block!$A$3:$A$500,"无匹配",0,1)</f>
        <v>7</v>
      </c>
      <c r="C295" s="3" t="str">
        <f>B295 &amp; "-" &amp; COUNTIF($B$2:B295, B295)</f>
        <v>7-17</v>
      </c>
      <c r="D295" s="10">
        <v>8992</v>
      </c>
      <c r="E295" s="1" t="s">
        <v>2377</v>
      </c>
      <c r="F295" s="1" t="s">
        <v>2378</v>
      </c>
      <c r="G295" s="1" t="s">
        <v>1834</v>
      </c>
      <c r="H295" s="1" t="s">
        <v>1812</v>
      </c>
      <c r="I295" s="10" t="str">
        <f>IF(H295="T52",1,IF(H295="T52",3,IF(H295="T68",6,IF(H295="T68",10,IF(H295="T100",14,IF(H295="T100",18,IF(H295="T68",22,"")))))))</f>
        <v/>
      </c>
      <c r="J295" s="1" t="s">
        <v>1808</v>
      </c>
      <c r="K295" s="10">
        <v>2</v>
      </c>
      <c r="L295" s="10">
        <v>1</v>
      </c>
      <c r="N295" s="10">
        <v>4</v>
      </c>
      <c r="O295" s="6"/>
      <c r="P295" s="45" t="s">
        <v>2347</v>
      </c>
      <c r="Q295" s="42" t="s">
        <v>2348</v>
      </c>
      <c r="R295" s="42"/>
      <c r="S295" s="1" t="s">
        <v>2378</v>
      </c>
    </row>
    <row r="296" spans="1:19" ht="18.75" customHeight="1" x14ac:dyDescent="0.3">
      <c r="A296" s="10">
        <v>295</v>
      </c>
      <c r="B296" s="10">
        <f>_xlfn.XLOOKUP(1,(VALUE(D296)&gt;=VALUE(block!$C$3:$C$500))*(VALUE(D296)&lt;VALUE(block!$C$3:$C$500)+VALUE(block!$D$3:$D$500)),block!$A$3:$A$500,"无匹配",0,1)</f>
        <v>7</v>
      </c>
      <c r="C296" s="3" t="str">
        <f>B296 &amp; "-" &amp; COUNTIF($B$2:B296, B296)</f>
        <v>7-18</v>
      </c>
      <c r="D296" s="10">
        <v>8994</v>
      </c>
      <c r="E296" s="1" t="s">
        <v>2379</v>
      </c>
      <c r="F296" s="1" t="s">
        <v>314</v>
      </c>
      <c r="G296" s="1" t="s">
        <v>1836</v>
      </c>
      <c r="H296" s="1" t="s">
        <v>1812</v>
      </c>
      <c r="I296" s="10" t="str">
        <f>IF(H296="T53",1,IF(H296="T53",3,IF(H296="T69",6,IF(H296="T69",10,IF(H296="T101",14,IF(H296="T101",18,IF(H296="T69",22,"")))))))</f>
        <v/>
      </c>
      <c r="J296" s="1" t="s">
        <v>1808</v>
      </c>
      <c r="K296" s="10">
        <v>2</v>
      </c>
      <c r="L296" s="10">
        <v>1</v>
      </c>
      <c r="N296" s="10">
        <v>4</v>
      </c>
      <c r="O296" s="6"/>
      <c r="P296" s="45" t="s">
        <v>2347</v>
      </c>
      <c r="Q296" s="42" t="s">
        <v>2348</v>
      </c>
      <c r="R296" s="42"/>
      <c r="S296" s="1" t="s">
        <v>314</v>
      </c>
    </row>
    <row r="297" spans="1:19" ht="18.75" customHeight="1" x14ac:dyDescent="0.3">
      <c r="A297" s="10">
        <v>296</v>
      </c>
      <c r="B297" s="10">
        <f>_xlfn.XLOOKUP(1,(VALUE(D297)&gt;=VALUE(block!$C$3:$C$500))*(VALUE(D297)&lt;VALUE(block!$C$3:$C$500)+VALUE(block!$D$3:$D$500)),block!$A$3:$A$500,"无匹配",0,1)</f>
        <v>7</v>
      </c>
      <c r="C297" s="3" t="str">
        <f>B297 &amp; "-" &amp; COUNTIF($B$2:B297, B297)</f>
        <v>7-19</v>
      </c>
      <c r="D297" s="10">
        <v>8996</v>
      </c>
      <c r="E297" s="1" t="s">
        <v>2380</v>
      </c>
      <c r="F297" s="1" t="s">
        <v>2381</v>
      </c>
      <c r="G297" s="1" t="s">
        <v>1830</v>
      </c>
      <c r="H297" s="1" t="s">
        <v>1812</v>
      </c>
      <c r="I297" s="10" t="str">
        <f>IF(H297="T54",1,IF(H297="T54",3,IF(H297="T70",6,IF(H297="T70",10,IF(H297="T102",14,IF(H297="T102",18,IF(H297="T70",22,"")))))))</f>
        <v/>
      </c>
      <c r="J297" s="1" t="s">
        <v>1808</v>
      </c>
      <c r="K297" s="10">
        <v>2</v>
      </c>
      <c r="L297" s="10">
        <v>1</v>
      </c>
      <c r="N297" s="10">
        <v>4</v>
      </c>
      <c r="O297" s="6"/>
      <c r="P297" s="45" t="s">
        <v>2347</v>
      </c>
      <c r="Q297" s="42" t="s">
        <v>2348</v>
      </c>
      <c r="R297" s="42"/>
      <c r="S297" s="1" t="s">
        <v>2381</v>
      </c>
    </row>
    <row r="298" spans="1:19" ht="18.75" customHeight="1" x14ac:dyDescent="0.3">
      <c r="A298" s="10">
        <v>297</v>
      </c>
      <c r="B298" s="10">
        <f>_xlfn.XLOOKUP(1,(VALUE(D298)&gt;=VALUE(block!$C$3:$C$500))*(VALUE(D298)&lt;VALUE(block!$C$3:$C$500)+VALUE(block!$D$3:$D$500)),block!$A$3:$A$500,"无匹配",0,1)</f>
        <v>7</v>
      </c>
      <c r="C298" s="3" t="str">
        <f>B298 &amp; "-" &amp; COUNTIF($B$2:B298, B298)</f>
        <v>7-20</v>
      </c>
      <c r="D298" s="10">
        <v>8998</v>
      </c>
      <c r="E298" s="1" t="s">
        <v>2382</v>
      </c>
      <c r="F298" s="1" t="s">
        <v>2383</v>
      </c>
      <c r="G298" s="1" t="s">
        <v>1832</v>
      </c>
      <c r="H298" s="1" t="s">
        <v>1812</v>
      </c>
      <c r="I298" s="10" t="str">
        <f>IF(H298="T55",1,IF(H298="T55",3,IF(H298="T71",6,IF(H298="T71",10,IF(H298="T103",14,IF(H298="T103",18,IF(H298="T71",22,"")))))))</f>
        <v/>
      </c>
      <c r="J298" s="1" t="s">
        <v>1808</v>
      </c>
      <c r="K298" s="10">
        <v>2</v>
      </c>
      <c r="L298" s="10">
        <v>1</v>
      </c>
      <c r="N298" s="10">
        <v>4</v>
      </c>
      <c r="O298" s="6"/>
      <c r="P298" s="45" t="s">
        <v>2347</v>
      </c>
      <c r="Q298" s="42" t="s">
        <v>2348</v>
      </c>
      <c r="R298" s="42"/>
      <c r="S298" s="1" t="s">
        <v>2383</v>
      </c>
    </row>
    <row r="299" spans="1:19" ht="18.75" customHeight="1" x14ac:dyDescent="0.3">
      <c r="A299" s="10">
        <v>298</v>
      </c>
      <c r="B299" s="10">
        <f>_xlfn.XLOOKUP(1,(VALUE(D299)&gt;=VALUE(block!$C$3:$C$500))*(VALUE(D299)&lt;VALUE(block!$C$3:$C$500)+VALUE(block!$D$3:$D$500)),block!$A$3:$A$500,"无匹配",0,1)</f>
        <v>7</v>
      </c>
      <c r="C299" s="3" t="str">
        <f>B299 &amp; "-" &amp; COUNTIF($B$2:B299, B299)</f>
        <v>7-21</v>
      </c>
      <c r="D299" s="10">
        <v>9000</v>
      </c>
      <c r="E299" s="1" t="s">
        <v>2384</v>
      </c>
      <c r="F299" s="1" t="s">
        <v>2385</v>
      </c>
      <c r="G299" s="1" t="s">
        <v>1832</v>
      </c>
      <c r="H299" s="1" t="s">
        <v>1812</v>
      </c>
      <c r="I299" s="10" t="str">
        <f>IF(H299="T56",1,IF(H299="T56",3,IF(H299="T72",6,IF(H299="T72",10,IF(H299="T104",14,IF(H299="T104",18,IF(H299="T72",22,"")))))))</f>
        <v/>
      </c>
      <c r="J299" s="1" t="s">
        <v>1808</v>
      </c>
      <c r="K299" s="10">
        <v>2</v>
      </c>
      <c r="L299" s="10">
        <v>1</v>
      </c>
      <c r="N299" s="10">
        <v>4</v>
      </c>
      <c r="O299" s="6"/>
      <c r="P299" s="45" t="s">
        <v>2347</v>
      </c>
      <c r="Q299" s="42" t="s">
        <v>2348</v>
      </c>
      <c r="R299" s="42"/>
      <c r="S299" s="1" t="s">
        <v>2385</v>
      </c>
    </row>
    <row r="300" spans="1:19" ht="18.75" customHeight="1" x14ac:dyDescent="0.3">
      <c r="A300" s="10">
        <v>299</v>
      </c>
      <c r="B300" s="10">
        <f>_xlfn.XLOOKUP(1,(VALUE(D300)&gt;=VALUE(block!$C$3:$C$500))*(VALUE(D300)&lt;VALUE(block!$C$3:$C$500)+VALUE(block!$D$3:$D$500)),block!$A$3:$A$500,"无匹配",0,1)</f>
        <v>7</v>
      </c>
      <c r="C300" s="3" t="str">
        <f>B300 &amp; "-" &amp; COUNTIF($B$2:B300, B300)</f>
        <v>7-22</v>
      </c>
      <c r="D300" s="10">
        <v>9002</v>
      </c>
      <c r="E300" s="1" t="s">
        <v>2386</v>
      </c>
      <c r="F300" s="1" t="s">
        <v>2387</v>
      </c>
      <c r="G300" s="1" t="s">
        <v>1834</v>
      </c>
      <c r="H300" s="1" t="s">
        <v>1812</v>
      </c>
      <c r="I300" s="10" t="str">
        <f>IF(H300="T57",1,IF(H300="T57",3,IF(H300="T73",6,IF(H300="T73",10,IF(H300="T105",14,IF(H300="T105",18,IF(H300="T73",22,"")))))))</f>
        <v/>
      </c>
      <c r="J300" s="1" t="s">
        <v>1808</v>
      </c>
      <c r="K300" s="10">
        <v>2</v>
      </c>
      <c r="L300" s="10">
        <v>1</v>
      </c>
      <c r="N300" s="10">
        <v>4</v>
      </c>
      <c r="O300" s="6"/>
      <c r="P300" s="45" t="s">
        <v>2347</v>
      </c>
      <c r="Q300" s="42" t="s">
        <v>2348</v>
      </c>
      <c r="R300" s="42"/>
      <c r="S300" s="1" t="s">
        <v>2387</v>
      </c>
    </row>
    <row r="301" spans="1:19" ht="18.75" customHeight="1" x14ac:dyDescent="0.3">
      <c r="A301" s="10">
        <v>300</v>
      </c>
      <c r="B301" s="10">
        <f>_xlfn.XLOOKUP(1,(VALUE(D301)&gt;=VALUE(block!$C$3:$C$500))*(VALUE(D301)&lt;VALUE(block!$C$3:$C$500)+VALUE(block!$D$3:$D$500)),block!$A$3:$A$500,"无匹配",0,1)</f>
        <v>7</v>
      </c>
      <c r="C301" s="3" t="str">
        <f>B301 &amp; "-" &amp; COUNTIF($B$2:B301, B301)</f>
        <v>7-23</v>
      </c>
      <c r="D301" s="10">
        <v>9004</v>
      </c>
      <c r="E301" s="1" t="s">
        <v>2388</v>
      </c>
      <c r="F301" s="1" t="s">
        <v>2389</v>
      </c>
      <c r="G301" s="1" t="s">
        <v>1834</v>
      </c>
      <c r="H301" s="1" t="s">
        <v>1812</v>
      </c>
      <c r="I301" s="10" t="str">
        <f>IF(H301="T58",1,IF(H301="T58",3,IF(H301="T74",6,IF(H301="T74",10,IF(H301="T106",14,IF(H301="T106",18,IF(H301="T74",22,"")))))))</f>
        <v/>
      </c>
      <c r="J301" s="1" t="s">
        <v>1808</v>
      </c>
      <c r="K301" s="10">
        <v>2</v>
      </c>
      <c r="L301" s="10">
        <v>1</v>
      </c>
      <c r="N301" s="10">
        <v>4</v>
      </c>
      <c r="O301" s="6"/>
      <c r="P301" s="45" t="s">
        <v>2347</v>
      </c>
      <c r="Q301" s="42" t="s">
        <v>2348</v>
      </c>
      <c r="R301" s="42"/>
      <c r="S301" s="1" t="s">
        <v>2389</v>
      </c>
    </row>
    <row r="302" spans="1:19" ht="18.75" customHeight="1" x14ac:dyDescent="0.3">
      <c r="A302" s="10">
        <v>301</v>
      </c>
      <c r="B302" s="10">
        <f>_xlfn.XLOOKUP(1,(VALUE(D302)&gt;=VALUE(block!$C$3:$C$500))*(VALUE(D302)&lt;VALUE(block!$C$3:$C$500)+VALUE(block!$D$3:$D$500)),block!$A$3:$A$500,"无匹配",0,1)</f>
        <v>7</v>
      </c>
      <c r="C302" s="3" t="str">
        <f>B302 &amp; "-" &amp; COUNTIF($B$2:B302, B302)</f>
        <v>7-24</v>
      </c>
      <c r="D302" s="10">
        <v>9006</v>
      </c>
      <c r="E302" s="1" t="s">
        <v>2390</v>
      </c>
      <c r="F302" s="1" t="s">
        <v>323</v>
      </c>
      <c r="G302" s="1" t="s">
        <v>1836</v>
      </c>
      <c r="H302" s="1" t="s">
        <v>1812</v>
      </c>
      <c r="I302" s="10" t="str">
        <f>IF(H302="T59",1,IF(H302="T59",3,IF(H302="T75",6,IF(H302="T75",10,IF(H302="T107",14,IF(H302="T107",18,IF(H302="T75",22,"")))))))</f>
        <v/>
      </c>
      <c r="J302" s="1" t="s">
        <v>1808</v>
      </c>
      <c r="K302" s="10">
        <v>2</v>
      </c>
      <c r="L302" s="10">
        <v>1</v>
      </c>
      <c r="N302" s="10">
        <v>4</v>
      </c>
      <c r="O302" s="6"/>
      <c r="P302" s="45" t="s">
        <v>2347</v>
      </c>
      <c r="Q302" s="42" t="s">
        <v>2348</v>
      </c>
      <c r="R302" s="42"/>
      <c r="S302" s="1" t="s">
        <v>323</v>
      </c>
    </row>
    <row r="303" spans="1:19" ht="18.75" customHeight="1" x14ac:dyDescent="0.3">
      <c r="A303" s="10">
        <v>302</v>
      </c>
      <c r="B303" s="10">
        <f>_xlfn.XLOOKUP(1,(VALUE(D303)&gt;=VALUE(block!$C$3:$C$500))*(VALUE(D303)&lt;VALUE(block!$C$3:$C$500)+VALUE(block!$D$3:$D$500)),block!$A$3:$A$500,"无匹配",0,1)</f>
        <v>8</v>
      </c>
      <c r="C303" s="3" t="str">
        <f>B303 &amp; "-" &amp; COUNTIF($B$2:B303, B303)</f>
        <v>8-1</v>
      </c>
      <c r="D303" s="10">
        <v>9008</v>
      </c>
      <c r="E303" s="1" t="s">
        <v>2391</v>
      </c>
      <c r="F303" s="1" t="s">
        <v>2392</v>
      </c>
      <c r="G303" s="1" t="s">
        <v>1830</v>
      </c>
      <c r="H303" s="1" t="s">
        <v>1812</v>
      </c>
      <c r="I303" s="10" t="str">
        <f>IF(H303="T60",1,IF(H303="T60",3,IF(H303="T76",6,IF(H303="T76",10,IF(H303="T108",14,IF(H303="T108",18,IF(H303="T76",22,"")))))))</f>
        <v/>
      </c>
      <c r="J303" s="1" t="s">
        <v>1808</v>
      </c>
      <c r="K303" s="10">
        <v>2</v>
      </c>
      <c r="L303" s="10">
        <v>1</v>
      </c>
      <c r="N303" s="10">
        <v>4</v>
      </c>
      <c r="O303" s="6"/>
      <c r="P303" s="45" t="s">
        <v>2347</v>
      </c>
      <c r="Q303" s="42" t="s">
        <v>2393</v>
      </c>
      <c r="R303" s="42"/>
      <c r="S303" s="1" t="s">
        <v>2392</v>
      </c>
    </row>
    <row r="304" spans="1:19" ht="18.75" customHeight="1" x14ac:dyDescent="0.3">
      <c r="A304" s="10">
        <v>303</v>
      </c>
      <c r="B304" s="10">
        <f>_xlfn.XLOOKUP(1,(VALUE(D304)&gt;=VALUE(block!$C$3:$C$500))*(VALUE(D304)&lt;VALUE(block!$C$3:$C$500)+VALUE(block!$D$3:$D$500)),block!$A$3:$A$500,"无匹配",0,1)</f>
        <v>8</v>
      </c>
      <c r="C304" s="3" t="str">
        <f>B304 &amp; "-" &amp; COUNTIF($B$2:B304, B304)</f>
        <v>8-2</v>
      </c>
      <c r="D304" s="10">
        <v>9010</v>
      </c>
      <c r="E304" s="1" t="s">
        <v>2394</v>
      </c>
      <c r="F304" s="1" t="s">
        <v>2395</v>
      </c>
      <c r="G304" s="1" t="s">
        <v>1832</v>
      </c>
      <c r="H304" s="1" t="s">
        <v>1812</v>
      </c>
      <c r="I304" s="10" t="str">
        <f>IF(H304="T61",1,IF(H304="T61",3,IF(H304="T77",6,IF(H304="T77",10,IF(H304="T109",14,IF(H304="T109",18,IF(H304="T77",22,"")))))))</f>
        <v/>
      </c>
      <c r="J304" s="1" t="s">
        <v>1808</v>
      </c>
      <c r="K304" s="10">
        <v>2</v>
      </c>
      <c r="L304" s="10">
        <v>1</v>
      </c>
      <c r="N304" s="10">
        <v>4</v>
      </c>
      <c r="O304" s="6"/>
      <c r="P304" s="45" t="s">
        <v>2347</v>
      </c>
      <c r="Q304" s="42" t="s">
        <v>2393</v>
      </c>
      <c r="R304" s="42"/>
      <c r="S304" s="1" t="s">
        <v>2395</v>
      </c>
    </row>
    <row r="305" spans="1:19" ht="18.75" customHeight="1" x14ac:dyDescent="0.3">
      <c r="A305" s="10">
        <v>304</v>
      </c>
      <c r="B305" s="10">
        <f>_xlfn.XLOOKUP(1,(VALUE(D305)&gt;=VALUE(block!$C$3:$C$500))*(VALUE(D305)&lt;VALUE(block!$C$3:$C$500)+VALUE(block!$D$3:$D$500)),block!$A$3:$A$500,"无匹配",0,1)</f>
        <v>8</v>
      </c>
      <c r="C305" s="3" t="str">
        <f>B305 &amp; "-" &amp; COUNTIF($B$2:B305, B305)</f>
        <v>8-3</v>
      </c>
      <c r="D305" s="10">
        <v>9012</v>
      </c>
      <c r="E305" s="1" t="s">
        <v>2396</v>
      </c>
      <c r="F305" s="1" t="s">
        <v>2397</v>
      </c>
      <c r="G305" s="1" t="s">
        <v>1832</v>
      </c>
      <c r="H305" s="1" t="s">
        <v>1812</v>
      </c>
      <c r="I305" s="10" t="str">
        <f>IF(H305="T62",1,IF(H305="T62",3,IF(H305="T78",6,IF(H305="T78",10,IF(H305="T110",14,IF(H305="T110",18,IF(H305="T78",22,"")))))))</f>
        <v/>
      </c>
      <c r="J305" s="1" t="s">
        <v>1808</v>
      </c>
      <c r="K305" s="10">
        <v>2</v>
      </c>
      <c r="L305" s="10">
        <v>1</v>
      </c>
      <c r="N305" s="10">
        <v>4</v>
      </c>
      <c r="O305" s="6"/>
      <c r="P305" s="45" t="s">
        <v>2347</v>
      </c>
      <c r="Q305" s="42" t="s">
        <v>2393</v>
      </c>
      <c r="R305" s="42"/>
      <c r="S305" s="1" t="s">
        <v>2397</v>
      </c>
    </row>
    <row r="306" spans="1:19" ht="18.75" customHeight="1" x14ac:dyDescent="0.3">
      <c r="A306" s="10">
        <v>305</v>
      </c>
      <c r="B306" s="10">
        <f>_xlfn.XLOOKUP(1,(VALUE(D306)&gt;=VALUE(block!$C$3:$C$500))*(VALUE(D306)&lt;VALUE(block!$C$3:$C$500)+VALUE(block!$D$3:$D$500)),block!$A$3:$A$500,"无匹配",0,1)</f>
        <v>8</v>
      </c>
      <c r="C306" s="3" t="str">
        <f>B306 &amp; "-" &amp; COUNTIF($B$2:B306, B306)</f>
        <v>8-4</v>
      </c>
      <c r="D306" s="10">
        <v>9014</v>
      </c>
      <c r="E306" s="1" t="s">
        <v>2398</v>
      </c>
      <c r="F306" s="1" t="s">
        <v>2399</v>
      </c>
      <c r="G306" s="1" t="s">
        <v>1834</v>
      </c>
      <c r="H306" s="1" t="s">
        <v>1812</v>
      </c>
      <c r="I306" s="10" t="str">
        <f>IF(H306="T63",1,IF(H306="T63",3,IF(H306="T79",6,IF(H306="T79",10,IF(H306="T111",14,IF(H306="T111",18,IF(H306="T79",22,"")))))))</f>
        <v/>
      </c>
      <c r="J306" s="1" t="s">
        <v>1808</v>
      </c>
      <c r="K306" s="10">
        <v>2</v>
      </c>
      <c r="L306" s="10">
        <v>1</v>
      </c>
      <c r="N306" s="10">
        <v>4</v>
      </c>
      <c r="O306" s="6"/>
      <c r="P306" s="45" t="s">
        <v>2347</v>
      </c>
      <c r="Q306" s="42" t="s">
        <v>2393</v>
      </c>
      <c r="R306" s="42"/>
      <c r="S306" s="1" t="s">
        <v>2399</v>
      </c>
    </row>
    <row r="307" spans="1:19" ht="18.75" customHeight="1" x14ac:dyDescent="0.3">
      <c r="A307" s="10">
        <v>306</v>
      </c>
      <c r="B307" s="10">
        <f>_xlfn.XLOOKUP(1,(VALUE(D307)&gt;=VALUE(block!$C$3:$C$500))*(VALUE(D307)&lt;VALUE(block!$C$3:$C$500)+VALUE(block!$D$3:$D$500)),block!$A$3:$A$500,"无匹配",0,1)</f>
        <v>8</v>
      </c>
      <c r="C307" s="3" t="str">
        <f>B307 &amp; "-" &amp; COUNTIF($B$2:B307, B307)</f>
        <v>8-5</v>
      </c>
      <c r="D307" s="10">
        <v>9016</v>
      </c>
      <c r="E307" s="1" t="s">
        <v>2400</v>
      </c>
      <c r="F307" s="1" t="s">
        <v>2401</v>
      </c>
      <c r="G307" s="1" t="s">
        <v>1834</v>
      </c>
      <c r="H307" s="1" t="s">
        <v>1812</v>
      </c>
      <c r="I307" s="10" t="str">
        <f>IF(H307="T64",1,IF(H307="T64",3,IF(H307="T80",6,IF(H307="T80",10,IF(H307="T112",14,IF(H307="T112",18,IF(H307="T80",22,"")))))))</f>
        <v/>
      </c>
      <c r="J307" s="1" t="s">
        <v>1808</v>
      </c>
      <c r="K307" s="10">
        <v>2</v>
      </c>
      <c r="L307" s="10">
        <v>1</v>
      </c>
      <c r="N307" s="10">
        <v>4</v>
      </c>
      <c r="O307" s="6"/>
      <c r="P307" s="45" t="s">
        <v>2347</v>
      </c>
      <c r="Q307" s="42" t="s">
        <v>2393</v>
      </c>
      <c r="R307" s="42"/>
      <c r="S307" s="1" t="s">
        <v>2401</v>
      </c>
    </row>
    <row r="308" spans="1:19" ht="18.75" customHeight="1" x14ac:dyDescent="0.3">
      <c r="A308" s="10">
        <v>307</v>
      </c>
      <c r="B308" s="10">
        <f>_xlfn.XLOOKUP(1,(VALUE(D308)&gt;=VALUE(block!$C$3:$C$500))*(VALUE(D308)&lt;VALUE(block!$C$3:$C$500)+VALUE(block!$D$3:$D$500)),block!$A$3:$A$500,"无匹配",0,1)</f>
        <v>8</v>
      </c>
      <c r="C308" s="3" t="str">
        <f>B308 &amp; "-" &amp; COUNTIF($B$2:B308, B308)</f>
        <v>8-6</v>
      </c>
      <c r="D308" s="10">
        <v>9018</v>
      </c>
      <c r="E308" s="1" t="s">
        <v>2402</v>
      </c>
      <c r="F308" s="1" t="s">
        <v>2403</v>
      </c>
      <c r="G308" s="1" t="s">
        <v>1836</v>
      </c>
      <c r="H308" s="1" t="s">
        <v>1812</v>
      </c>
      <c r="I308" s="10" t="str">
        <f>IF(H308="T65",1,IF(H308="T65",3,IF(H308="T81",6,IF(H308="T81",10,IF(H308="T113",14,IF(H308="T113",18,IF(H308="T81",22,"")))))))</f>
        <v/>
      </c>
      <c r="J308" s="1" t="s">
        <v>1808</v>
      </c>
      <c r="K308" s="10">
        <v>2</v>
      </c>
      <c r="L308" s="10">
        <v>1</v>
      </c>
      <c r="N308" s="10">
        <v>4</v>
      </c>
      <c r="O308" s="6"/>
      <c r="P308" s="45" t="s">
        <v>2347</v>
      </c>
      <c r="Q308" s="42" t="s">
        <v>2393</v>
      </c>
      <c r="R308" s="42"/>
      <c r="S308" s="1" t="s">
        <v>2403</v>
      </c>
    </row>
    <row r="309" spans="1:19" ht="18.75" customHeight="1" x14ac:dyDescent="0.3">
      <c r="A309" s="10">
        <v>308</v>
      </c>
      <c r="B309" s="10">
        <f>_xlfn.XLOOKUP(1,(VALUE(D309)&gt;=VALUE(block!$C$3:$C$500))*(VALUE(D309)&lt;VALUE(block!$C$3:$C$500)+VALUE(block!$D$3:$D$500)),block!$A$3:$A$500,"无匹配",0,1)</f>
        <v>8</v>
      </c>
      <c r="C309" s="3" t="str">
        <f>B309 &amp; "-" &amp; COUNTIF($B$2:B309, B309)</f>
        <v>8-7</v>
      </c>
      <c r="D309" s="10">
        <v>9020</v>
      </c>
      <c r="E309" s="1" t="s">
        <v>2404</v>
      </c>
      <c r="F309" s="1" t="s">
        <v>2405</v>
      </c>
      <c r="G309" s="1" t="s">
        <v>1830</v>
      </c>
      <c r="H309" s="1" t="s">
        <v>1812</v>
      </c>
      <c r="I309" s="10" t="str">
        <f>IF(H309="T66",1,IF(H309="T66",3,IF(H309="T82",6,IF(H309="T82",10,IF(H309="T114",14,IF(H309="T114",18,IF(H309="T82",22,"")))))))</f>
        <v/>
      </c>
      <c r="J309" s="1" t="s">
        <v>1808</v>
      </c>
      <c r="K309" s="10">
        <v>2</v>
      </c>
      <c r="L309" s="10">
        <v>1</v>
      </c>
      <c r="N309" s="10">
        <v>4</v>
      </c>
      <c r="O309" s="6"/>
      <c r="P309" s="45" t="s">
        <v>2347</v>
      </c>
      <c r="Q309" s="42" t="s">
        <v>2393</v>
      </c>
      <c r="R309" s="42"/>
      <c r="S309" s="1" t="s">
        <v>2405</v>
      </c>
    </row>
    <row r="310" spans="1:19" ht="18.75" customHeight="1" x14ac:dyDescent="0.3">
      <c r="A310" s="10">
        <v>309</v>
      </c>
      <c r="B310" s="10">
        <f>_xlfn.XLOOKUP(1,(VALUE(D310)&gt;=VALUE(block!$C$3:$C$500))*(VALUE(D310)&lt;VALUE(block!$C$3:$C$500)+VALUE(block!$D$3:$D$500)),block!$A$3:$A$500,"无匹配",0,1)</f>
        <v>8</v>
      </c>
      <c r="C310" s="3" t="str">
        <f>B310 &amp; "-" &amp; COUNTIF($B$2:B310, B310)</f>
        <v>8-8</v>
      </c>
      <c r="D310" s="10">
        <v>9022</v>
      </c>
      <c r="E310" s="1" t="s">
        <v>2406</v>
      </c>
      <c r="F310" s="1" t="s">
        <v>2407</v>
      </c>
      <c r="G310" s="1" t="s">
        <v>1832</v>
      </c>
      <c r="H310" s="1" t="s">
        <v>1812</v>
      </c>
      <c r="I310" s="10" t="str">
        <f>IF(H310="T67",1,IF(H310="T67",3,IF(H310="T83",6,IF(H310="T83",10,IF(H310="T115",14,IF(H310="T115",18,IF(H310="T83",22,"")))))))</f>
        <v/>
      </c>
      <c r="J310" s="1" t="s">
        <v>1808</v>
      </c>
      <c r="K310" s="10">
        <v>2</v>
      </c>
      <c r="L310" s="10">
        <v>1</v>
      </c>
      <c r="N310" s="10">
        <v>4</v>
      </c>
      <c r="O310" s="6"/>
      <c r="P310" s="45" t="s">
        <v>2347</v>
      </c>
      <c r="Q310" s="42" t="s">
        <v>2393</v>
      </c>
      <c r="R310" s="42"/>
      <c r="S310" s="1" t="s">
        <v>2407</v>
      </c>
    </row>
    <row r="311" spans="1:19" ht="18.75" customHeight="1" x14ac:dyDescent="0.3">
      <c r="A311" s="10">
        <v>310</v>
      </c>
      <c r="B311" s="10">
        <f>_xlfn.XLOOKUP(1,(VALUE(D311)&gt;=VALUE(block!$C$3:$C$500))*(VALUE(D311)&lt;VALUE(block!$C$3:$C$500)+VALUE(block!$D$3:$D$500)),block!$A$3:$A$500,"无匹配",0,1)</f>
        <v>8</v>
      </c>
      <c r="C311" s="3" t="str">
        <f>B311 &amp; "-" &amp; COUNTIF($B$2:B311, B311)</f>
        <v>8-9</v>
      </c>
      <c r="D311" s="10">
        <v>9024</v>
      </c>
      <c r="E311" s="1" t="s">
        <v>2408</v>
      </c>
      <c r="F311" s="1" t="s">
        <v>2409</v>
      </c>
      <c r="G311" s="1" t="s">
        <v>1832</v>
      </c>
      <c r="H311" s="1" t="s">
        <v>1812</v>
      </c>
      <c r="I311" s="10" t="str">
        <f>IF(H311="T68",1,IF(H311="T68",3,IF(H311="T84",6,IF(H311="T84",10,IF(H311="T116",14,IF(H311="T116",18,IF(H311="T84",22,"")))))))</f>
        <v/>
      </c>
      <c r="J311" s="1" t="s">
        <v>1808</v>
      </c>
      <c r="K311" s="10">
        <v>2</v>
      </c>
      <c r="L311" s="10">
        <v>1</v>
      </c>
      <c r="N311" s="10">
        <v>4</v>
      </c>
      <c r="O311" s="6"/>
      <c r="P311" s="45" t="s">
        <v>2347</v>
      </c>
      <c r="Q311" s="42" t="s">
        <v>2393</v>
      </c>
      <c r="R311" s="42"/>
      <c r="S311" s="1" t="s">
        <v>2409</v>
      </c>
    </row>
    <row r="312" spans="1:19" ht="18.75" customHeight="1" x14ac:dyDescent="0.3">
      <c r="A312" s="10">
        <v>311</v>
      </c>
      <c r="B312" s="10">
        <f>_xlfn.XLOOKUP(1,(VALUE(D312)&gt;=VALUE(block!$C$3:$C$500))*(VALUE(D312)&lt;VALUE(block!$C$3:$C$500)+VALUE(block!$D$3:$D$500)),block!$A$3:$A$500,"无匹配",0,1)</f>
        <v>8</v>
      </c>
      <c r="C312" s="3" t="str">
        <f>B312 &amp; "-" &amp; COUNTIF($B$2:B312, B312)</f>
        <v>8-10</v>
      </c>
      <c r="D312" s="10">
        <v>9026</v>
      </c>
      <c r="E312" s="1" t="s">
        <v>2410</v>
      </c>
      <c r="F312" s="1" t="s">
        <v>2411</v>
      </c>
      <c r="G312" s="1" t="s">
        <v>1834</v>
      </c>
      <c r="H312" s="1" t="s">
        <v>1812</v>
      </c>
      <c r="I312" s="10" t="str">
        <f>IF(H312="T69",1,IF(H312="T69",3,IF(H312="T85",6,IF(H312="T85",10,IF(H312="T117",14,IF(H312="T117",18,IF(H312="T85",22,"")))))))</f>
        <v/>
      </c>
      <c r="J312" s="1" t="s">
        <v>1808</v>
      </c>
      <c r="K312" s="10">
        <v>2</v>
      </c>
      <c r="L312" s="10">
        <v>1</v>
      </c>
      <c r="N312" s="10">
        <v>4</v>
      </c>
      <c r="O312" s="6"/>
      <c r="P312" s="45" t="s">
        <v>2347</v>
      </c>
      <c r="Q312" s="42" t="s">
        <v>2393</v>
      </c>
      <c r="R312" s="42"/>
      <c r="S312" s="1" t="s">
        <v>2411</v>
      </c>
    </row>
    <row r="313" spans="1:19" ht="18.75" customHeight="1" x14ac:dyDescent="0.3">
      <c r="A313" s="10">
        <v>312</v>
      </c>
      <c r="B313" s="10">
        <f>_xlfn.XLOOKUP(1,(VALUE(D313)&gt;=VALUE(block!$C$3:$C$500))*(VALUE(D313)&lt;VALUE(block!$C$3:$C$500)+VALUE(block!$D$3:$D$500)),block!$A$3:$A$500,"无匹配",0,1)</f>
        <v>8</v>
      </c>
      <c r="C313" s="3" t="str">
        <f>B313 &amp; "-" &amp; COUNTIF($B$2:B313, B313)</f>
        <v>8-11</v>
      </c>
      <c r="D313" s="10">
        <v>9028</v>
      </c>
      <c r="E313" s="1" t="s">
        <v>2412</v>
      </c>
      <c r="F313" s="1" t="s">
        <v>2413</v>
      </c>
      <c r="G313" s="1" t="s">
        <v>1834</v>
      </c>
      <c r="H313" s="1" t="s">
        <v>1812</v>
      </c>
      <c r="I313" s="10" t="str">
        <f>IF(H313="T70",1,IF(H313="T70",3,IF(H313="T86",6,IF(H313="T86",10,IF(H313="T118",14,IF(H313="T118",18,IF(H313="T86",22,"")))))))</f>
        <v/>
      </c>
      <c r="J313" s="1" t="s">
        <v>1808</v>
      </c>
      <c r="K313" s="10">
        <v>2</v>
      </c>
      <c r="L313" s="10">
        <v>1</v>
      </c>
      <c r="N313" s="10">
        <v>4</v>
      </c>
      <c r="O313" s="6"/>
      <c r="P313" s="45" t="s">
        <v>2347</v>
      </c>
      <c r="Q313" s="42" t="s">
        <v>2393</v>
      </c>
      <c r="R313" s="42"/>
      <c r="S313" s="1" t="s">
        <v>2413</v>
      </c>
    </row>
    <row r="314" spans="1:19" ht="18.75" customHeight="1" x14ac:dyDescent="0.3">
      <c r="A314" s="10">
        <v>313</v>
      </c>
      <c r="B314" s="10">
        <f>_xlfn.XLOOKUP(1,(VALUE(D314)&gt;=VALUE(block!$C$3:$C$500))*(VALUE(D314)&lt;VALUE(block!$C$3:$C$500)+VALUE(block!$D$3:$D$500)),block!$A$3:$A$500,"无匹配",0,1)</f>
        <v>8</v>
      </c>
      <c r="C314" s="3" t="str">
        <f>B314 &amp; "-" &amp; COUNTIF($B$2:B314, B314)</f>
        <v>8-12</v>
      </c>
      <c r="D314" s="10">
        <v>9030</v>
      </c>
      <c r="E314" s="1" t="s">
        <v>2414</v>
      </c>
      <c r="F314" s="1" t="s">
        <v>2415</v>
      </c>
      <c r="G314" s="1" t="s">
        <v>1836</v>
      </c>
      <c r="H314" s="1" t="s">
        <v>1812</v>
      </c>
      <c r="I314" s="10" t="str">
        <f>IF(H314="T71",1,IF(H314="T71",3,IF(H314="T87",6,IF(H314="T87",10,IF(H314="T119",14,IF(H314="T119",18,IF(H314="T87",22,"")))))))</f>
        <v/>
      </c>
      <c r="J314" s="1" t="s">
        <v>1808</v>
      </c>
      <c r="K314" s="10">
        <v>2</v>
      </c>
      <c r="L314" s="10">
        <v>1</v>
      </c>
      <c r="N314" s="10">
        <v>4</v>
      </c>
      <c r="O314" s="6"/>
      <c r="P314" s="45" t="s">
        <v>2347</v>
      </c>
      <c r="Q314" s="42" t="s">
        <v>2393</v>
      </c>
      <c r="R314" s="42"/>
      <c r="S314" s="1" t="s">
        <v>2415</v>
      </c>
    </row>
    <row r="315" spans="1:19" ht="18.75" customHeight="1" x14ac:dyDescent="0.3">
      <c r="A315" s="10">
        <v>314</v>
      </c>
      <c r="B315" s="10">
        <f>_xlfn.XLOOKUP(1,(VALUE(D315)&gt;=VALUE(block!$C$3:$C$500))*(VALUE(D315)&lt;VALUE(block!$C$3:$C$500)+VALUE(block!$D$3:$D$500)),block!$A$3:$A$500,"无匹配",0,1)</f>
        <v>8</v>
      </c>
      <c r="C315" s="3" t="str">
        <f>B315 &amp; "-" &amp; COUNTIF($B$2:B315, B315)</f>
        <v>8-13</v>
      </c>
      <c r="D315" s="10">
        <v>9032</v>
      </c>
      <c r="E315" s="1" t="s">
        <v>2416</v>
      </c>
      <c r="F315" s="1" t="s">
        <v>2417</v>
      </c>
      <c r="G315" s="1" t="s">
        <v>1830</v>
      </c>
      <c r="H315" s="1" t="s">
        <v>1812</v>
      </c>
      <c r="I315" s="10" t="str">
        <f>IF(H315="T72",1,IF(H315="T72",3,IF(H315="T88",6,IF(H315="T88",10,IF(H315="T120",14,IF(H315="T120",18,IF(H315="T88",22,"")))))))</f>
        <v/>
      </c>
      <c r="J315" s="1" t="s">
        <v>1808</v>
      </c>
      <c r="K315" s="10">
        <v>2</v>
      </c>
      <c r="L315" s="10">
        <v>1</v>
      </c>
      <c r="N315" s="10">
        <v>4</v>
      </c>
      <c r="O315" s="6"/>
      <c r="P315" s="45" t="s">
        <v>2347</v>
      </c>
      <c r="Q315" s="42" t="s">
        <v>2393</v>
      </c>
      <c r="R315" s="42"/>
      <c r="S315" s="1" t="s">
        <v>2417</v>
      </c>
    </row>
    <row r="316" spans="1:19" ht="18.75" customHeight="1" x14ac:dyDescent="0.3">
      <c r="A316" s="10">
        <v>315</v>
      </c>
      <c r="B316" s="10">
        <f>_xlfn.XLOOKUP(1,(VALUE(D316)&gt;=VALUE(block!$C$3:$C$500))*(VALUE(D316)&lt;VALUE(block!$C$3:$C$500)+VALUE(block!$D$3:$D$500)),block!$A$3:$A$500,"无匹配",0,1)</f>
        <v>8</v>
      </c>
      <c r="C316" s="3" t="str">
        <f>B316 &amp; "-" &amp; COUNTIF($B$2:B316, B316)</f>
        <v>8-14</v>
      </c>
      <c r="D316" s="10">
        <v>9034</v>
      </c>
      <c r="E316" s="1" t="s">
        <v>2418</v>
      </c>
      <c r="F316" s="1" t="s">
        <v>2419</v>
      </c>
      <c r="G316" s="1" t="s">
        <v>1832</v>
      </c>
      <c r="H316" s="1" t="s">
        <v>1812</v>
      </c>
      <c r="I316" s="10" t="str">
        <f>IF(H316="T73",1,IF(H316="T73",3,IF(H316="T89",6,IF(H316="T89",10,IF(H316="T121",14,IF(H316="T121",18,IF(H316="T89",22,"")))))))</f>
        <v/>
      </c>
      <c r="J316" s="1" t="s">
        <v>1808</v>
      </c>
      <c r="K316" s="10">
        <v>2</v>
      </c>
      <c r="L316" s="10">
        <v>1</v>
      </c>
      <c r="N316" s="10">
        <v>4</v>
      </c>
      <c r="O316" s="6"/>
      <c r="P316" s="45" t="s">
        <v>2347</v>
      </c>
      <c r="Q316" s="42" t="s">
        <v>2393</v>
      </c>
      <c r="R316" s="42"/>
      <c r="S316" s="1" t="s">
        <v>2419</v>
      </c>
    </row>
    <row r="317" spans="1:19" ht="18.75" customHeight="1" x14ac:dyDescent="0.3">
      <c r="A317" s="10">
        <v>316</v>
      </c>
      <c r="B317" s="10">
        <f>_xlfn.XLOOKUP(1,(VALUE(D317)&gt;=VALUE(block!$C$3:$C$500))*(VALUE(D317)&lt;VALUE(block!$C$3:$C$500)+VALUE(block!$D$3:$D$500)),block!$A$3:$A$500,"无匹配",0,1)</f>
        <v>8</v>
      </c>
      <c r="C317" s="3" t="str">
        <f>B317 &amp; "-" &amp; COUNTIF($B$2:B317, B317)</f>
        <v>8-15</v>
      </c>
      <c r="D317" s="10">
        <v>9036</v>
      </c>
      <c r="E317" s="1" t="s">
        <v>2420</v>
      </c>
      <c r="F317" s="1" t="s">
        <v>2421</v>
      </c>
      <c r="G317" s="1" t="s">
        <v>1832</v>
      </c>
      <c r="H317" s="1" t="s">
        <v>1812</v>
      </c>
      <c r="I317" s="10" t="str">
        <f>IF(H317="T74",1,IF(H317="T74",3,IF(H317="T90",6,IF(H317="T90",10,IF(H317="T122",14,IF(H317="T122",18,IF(H317="T90",22,"")))))))</f>
        <v/>
      </c>
      <c r="J317" s="1" t="s">
        <v>1808</v>
      </c>
      <c r="K317" s="10">
        <v>2</v>
      </c>
      <c r="L317" s="10">
        <v>1</v>
      </c>
      <c r="N317" s="10">
        <v>4</v>
      </c>
      <c r="O317" s="6"/>
      <c r="P317" s="45" t="s">
        <v>2347</v>
      </c>
      <c r="Q317" s="42" t="s">
        <v>2393</v>
      </c>
      <c r="R317" s="42"/>
      <c r="S317" s="1" t="s">
        <v>2421</v>
      </c>
    </row>
    <row r="318" spans="1:19" ht="18.75" customHeight="1" x14ac:dyDescent="0.3">
      <c r="A318" s="10">
        <v>317</v>
      </c>
      <c r="B318" s="10">
        <f>_xlfn.XLOOKUP(1,(VALUE(D318)&gt;=VALUE(block!$C$3:$C$500))*(VALUE(D318)&lt;VALUE(block!$C$3:$C$500)+VALUE(block!$D$3:$D$500)),block!$A$3:$A$500,"无匹配",0,1)</f>
        <v>8</v>
      </c>
      <c r="C318" s="3" t="str">
        <f>B318 &amp; "-" &amp; COUNTIF($B$2:B318, B318)</f>
        <v>8-16</v>
      </c>
      <c r="D318" s="10">
        <v>9038</v>
      </c>
      <c r="E318" s="1" t="s">
        <v>2422</v>
      </c>
      <c r="F318" s="1" t="s">
        <v>2423</v>
      </c>
      <c r="G318" s="1" t="s">
        <v>1834</v>
      </c>
      <c r="H318" s="1" t="s">
        <v>1812</v>
      </c>
      <c r="I318" s="10" t="str">
        <f>IF(H318="T75",1,IF(H318="T75",3,IF(H318="T91",6,IF(H318="T91",10,IF(H318="T123",14,IF(H318="T123",18,IF(H318="T91",22,"")))))))</f>
        <v/>
      </c>
      <c r="J318" s="1" t="s">
        <v>1808</v>
      </c>
      <c r="K318" s="10">
        <v>2</v>
      </c>
      <c r="L318" s="10">
        <v>1</v>
      </c>
      <c r="N318" s="10">
        <v>4</v>
      </c>
      <c r="O318" s="6"/>
      <c r="P318" s="45" t="s">
        <v>2347</v>
      </c>
      <c r="Q318" s="42" t="s">
        <v>2393</v>
      </c>
      <c r="R318" s="42"/>
      <c r="S318" s="1" t="s">
        <v>2423</v>
      </c>
    </row>
    <row r="319" spans="1:19" ht="18.75" customHeight="1" x14ac:dyDescent="0.3">
      <c r="A319" s="10">
        <v>318</v>
      </c>
      <c r="B319" s="10">
        <f>_xlfn.XLOOKUP(1,(VALUE(D319)&gt;=VALUE(block!$C$3:$C$500))*(VALUE(D319)&lt;VALUE(block!$C$3:$C$500)+VALUE(block!$D$3:$D$500)),block!$A$3:$A$500,"无匹配",0,1)</f>
        <v>8</v>
      </c>
      <c r="C319" s="3" t="str">
        <f>B319 &amp; "-" &amp; COUNTIF($B$2:B319, B319)</f>
        <v>8-17</v>
      </c>
      <c r="D319" s="10">
        <v>9040</v>
      </c>
      <c r="E319" s="1" t="s">
        <v>2424</v>
      </c>
      <c r="F319" s="1" t="s">
        <v>2425</v>
      </c>
      <c r="G319" s="1" t="s">
        <v>1834</v>
      </c>
      <c r="H319" s="1" t="s">
        <v>1812</v>
      </c>
      <c r="I319" s="10" t="str">
        <f>IF(H319="T76",1,IF(H319="T76",3,IF(H319="T92",6,IF(H319="T92",10,IF(H319="T124",14,IF(H319="T124",18,IF(H319="T92",22,"")))))))</f>
        <v/>
      </c>
      <c r="J319" s="1" t="s">
        <v>1808</v>
      </c>
      <c r="K319" s="10">
        <v>2</v>
      </c>
      <c r="L319" s="10">
        <v>1</v>
      </c>
      <c r="N319" s="10">
        <v>4</v>
      </c>
      <c r="O319" s="6"/>
      <c r="P319" s="45" t="s">
        <v>2347</v>
      </c>
      <c r="Q319" s="42" t="s">
        <v>2393</v>
      </c>
      <c r="R319" s="42"/>
      <c r="S319" s="1" t="s">
        <v>2425</v>
      </c>
    </row>
    <row r="320" spans="1:19" ht="18.75" customHeight="1" x14ac:dyDescent="0.3">
      <c r="A320" s="10">
        <v>319</v>
      </c>
      <c r="B320" s="10">
        <f>_xlfn.XLOOKUP(1,(VALUE(D320)&gt;=VALUE(block!$C$3:$C$500))*(VALUE(D320)&lt;VALUE(block!$C$3:$C$500)+VALUE(block!$D$3:$D$500)),block!$A$3:$A$500,"无匹配",0,1)</f>
        <v>8</v>
      </c>
      <c r="C320" s="3" t="str">
        <f>B320 &amp; "-" &amp; COUNTIF($B$2:B320, B320)</f>
        <v>8-18</v>
      </c>
      <c r="D320" s="10">
        <v>9042</v>
      </c>
      <c r="E320" s="1" t="s">
        <v>2426</v>
      </c>
      <c r="F320" s="1" t="s">
        <v>2427</v>
      </c>
      <c r="G320" s="1" t="s">
        <v>1836</v>
      </c>
      <c r="H320" s="1" t="s">
        <v>1812</v>
      </c>
      <c r="I320" s="10" t="str">
        <f>IF(H320="T77",1,IF(H320="T77",3,IF(H320="T93",6,IF(H320="T93",10,IF(H320="T125",14,IF(H320="T125",18,IF(H320="T93",22,"")))))))</f>
        <v/>
      </c>
      <c r="J320" s="1" t="s">
        <v>1808</v>
      </c>
      <c r="K320" s="10">
        <v>2</v>
      </c>
      <c r="L320" s="10">
        <v>1</v>
      </c>
      <c r="N320" s="10">
        <v>4</v>
      </c>
      <c r="O320" s="6"/>
      <c r="P320" s="45" t="s">
        <v>2347</v>
      </c>
      <c r="Q320" s="42" t="s">
        <v>2393</v>
      </c>
      <c r="R320" s="42"/>
      <c r="S320" s="1" t="s">
        <v>2427</v>
      </c>
    </row>
    <row r="321" spans="1:19" ht="18.75" customHeight="1" x14ac:dyDescent="0.3">
      <c r="A321" s="10">
        <v>320</v>
      </c>
      <c r="B321" s="10">
        <f>_xlfn.XLOOKUP(1,(VALUE(D321)&gt;=VALUE(block!$C$3:$C$500))*(VALUE(D321)&lt;VALUE(block!$C$3:$C$500)+VALUE(block!$D$3:$D$500)),block!$A$3:$A$500,"无匹配",0,1)</f>
        <v>8</v>
      </c>
      <c r="C321" s="3" t="str">
        <f>B321 &amp; "-" &amp; COUNTIF($B$2:B321, B321)</f>
        <v>8-19</v>
      </c>
      <c r="D321" s="10">
        <v>9044</v>
      </c>
      <c r="E321" s="1" t="s">
        <v>2428</v>
      </c>
      <c r="F321" s="1" t="s">
        <v>2429</v>
      </c>
      <c r="G321" s="1" t="s">
        <v>1830</v>
      </c>
      <c r="H321" s="1" t="s">
        <v>1812</v>
      </c>
      <c r="I321" s="10" t="str">
        <f>IF(H321="T78",1,IF(H321="T78",3,IF(H321="T94",6,IF(H321="T94",10,IF(H321="T126",14,IF(H321="T126",18,IF(H321="T94",22,"")))))))</f>
        <v/>
      </c>
      <c r="J321" s="1" t="s">
        <v>1808</v>
      </c>
      <c r="K321" s="10">
        <v>2</v>
      </c>
      <c r="L321" s="10">
        <v>1</v>
      </c>
      <c r="N321" s="10">
        <v>4</v>
      </c>
      <c r="O321" s="6"/>
      <c r="P321" s="45" t="s">
        <v>2347</v>
      </c>
      <c r="Q321" s="42" t="s">
        <v>2393</v>
      </c>
      <c r="R321" s="42"/>
      <c r="S321" s="1" t="s">
        <v>2429</v>
      </c>
    </row>
    <row r="322" spans="1:19" ht="18.75" customHeight="1" x14ac:dyDescent="0.3">
      <c r="A322" s="10">
        <v>321</v>
      </c>
      <c r="B322" s="10">
        <f>_xlfn.XLOOKUP(1,(VALUE(D322)&gt;=VALUE(block!$C$3:$C$500))*(VALUE(D322)&lt;VALUE(block!$C$3:$C$500)+VALUE(block!$D$3:$D$500)),block!$A$3:$A$500,"无匹配",0,1)</f>
        <v>8</v>
      </c>
      <c r="C322" s="3" t="str">
        <f>B322 &amp; "-" &amp; COUNTIF($B$2:B322, B322)</f>
        <v>8-20</v>
      </c>
      <c r="D322" s="10">
        <v>9046</v>
      </c>
      <c r="E322" s="1" t="s">
        <v>2430</v>
      </c>
      <c r="F322" s="1" t="s">
        <v>2431</v>
      </c>
      <c r="G322" s="1" t="s">
        <v>1832</v>
      </c>
      <c r="H322" s="1" t="s">
        <v>1812</v>
      </c>
      <c r="I322" s="10" t="str">
        <f>IF(H322="T79",1,IF(H322="T79",3,IF(H322="T95",6,IF(H322="T95",10,IF(H322="T127",14,IF(H322="T127",18,IF(H322="T95",22,"")))))))</f>
        <v/>
      </c>
      <c r="J322" s="1" t="s">
        <v>1808</v>
      </c>
      <c r="K322" s="10">
        <v>2</v>
      </c>
      <c r="L322" s="10">
        <v>1</v>
      </c>
      <c r="N322" s="10">
        <v>4</v>
      </c>
      <c r="O322" s="6"/>
      <c r="P322" s="45" t="s">
        <v>2347</v>
      </c>
      <c r="Q322" s="42" t="s">
        <v>2393</v>
      </c>
      <c r="R322" s="42"/>
      <c r="S322" s="1" t="s">
        <v>2431</v>
      </c>
    </row>
    <row r="323" spans="1:19" ht="18.75" customHeight="1" x14ac:dyDescent="0.3">
      <c r="A323" s="10">
        <v>322</v>
      </c>
      <c r="B323" s="10">
        <f>_xlfn.XLOOKUP(1,(VALUE(D323)&gt;=VALUE(block!$C$3:$C$500))*(VALUE(D323)&lt;VALUE(block!$C$3:$C$500)+VALUE(block!$D$3:$D$500)),block!$A$3:$A$500,"无匹配",0,1)</f>
        <v>8</v>
      </c>
      <c r="C323" s="3" t="str">
        <f>B323 &amp; "-" &amp; COUNTIF($B$2:B323, B323)</f>
        <v>8-21</v>
      </c>
      <c r="D323" s="10">
        <v>9048</v>
      </c>
      <c r="E323" s="1" t="s">
        <v>2432</v>
      </c>
      <c r="F323" s="1" t="s">
        <v>2433</v>
      </c>
      <c r="G323" s="1" t="s">
        <v>1832</v>
      </c>
      <c r="H323" s="1" t="s">
        <v>1812</v>
      </c>
      <c r="I323" s="10">
        <f>IF(H323="uint16",1,IF(H323="int16",3,IF(H323="uint32",6,IF(H323="int32",10,IF(H323="uint64",14,IF(H323="int64",18,IF(H323="float32",22,"")))))))</f>
        <v>22</v>
      </c>
      <c r="J323" s="1" t="s">
        <v>1808</v>
      </c>
      <c r="K323" s="10">
        <v>2</v>
      </c>
      <c r="L323" s="10">
        <v>1</v>
      </c>
      <c r="N323" s="10">
        <v>4</v>
      </c>
      <c r="O323" s="6"/>
      <c r="P323" s="45" t="s">
        <v>2347</v>
      </c>
      <c r="Q323" s="42" t="s">
        <v>2393</v>
      </c>
      <c r="R323" s="42"/>
      <c r="S323" s="1" t="s">
        <v>2433</v>
      </c>
    </row>
    <row r="324" spans="1:19" ht="18.75" customHeight="1" x14ac:dyDescent="0.3">
      <c r="A324" s="10">
        <v>323</v>
      </c>
      <c r="B324" s="10">
        <f>_xlfn.XLOOKUP(1,(VALUE(D324)&gt;=VALUE(block!$C$3:$C$500))*(VALUE(D324)&lt;VALUE(block!$C$3:$C$500)+VALUE(block!$D$3:$D$500)),block!$A$3:$A$500,"无匹配",0,1)</f>
        <v>8</v>
      </c>
      <c r="C324" s="3" t="str">
        <f>B324 &amp; "-" &amp; COUNTIF($B$2:B324, B324)</f>
        <v>8-22</v>
      </c>
      <c r="D324" s="10">
        <v>9050</v>
      </c>
      <c r="E324" s="1" t="s">
        <v>2434</v>
      </c>
      <c r="F324" s="1" t="s">
        <v>2435</v>
      </c>
      <c r="G324" s="1" t="s">
        <v>1834</v>
      </c>
      <c r="H324" s="1" t="s">
        <v>1812</v>
      </c>
      <c r="I324" s="10" t="str">
        <f>IF(H324="T17",1,IF(H324="T17",3,IF(H324="T33",6,IF(H324="T33",10,IF(H324="T65",14,IF(H324="T65",18,IF(H324="T33",22,"")))))))</f>
        <v/>
      </c>
      <c r="J324" s="1" t="s">
        <v>1808</v>
      </c>
      <c r="K324" s="10">
        <v>2</v>
      </c>
      <c r="L324" s="10">
        <v>1</v>
      </c>
      <c r="N324" s="10">
        <v>4</v>
      </c>
      <c r="O324" s="6"/>
      <c r="P324" s="45" t="s">
        <v>2347</v>
      </c>
      <c r="Q324" s="42" t="s">
        <v>2393</v>
      </c>
      <c r="R324" s="42"/>
      <c r="S324" s="1" t="s">
        <v>2435</v>
      </c>
    </row>
    <row r="325" spans="1:19" ht="18.75" customHeight="1" x14ac:dyDescent="0.3">
      <c r="A325" s="10">
        <v>324</v>
      </c>
      <c r="B325" s="10">
        <f>_xlfn.XLOOKUP(1,(VALUE(D325)&gt;=VALUE(block!$C$3:$C$500))*(VALUE(D325)&lt;VALUE(block!$C$3:$C$500)+VALUE(block!$D$3:$D$500)),block!$A$3:$A$500,"无匹配",0,1)</f>
        <v>8</v>
      </c>
      <c r="C325" s="3" t="str">
        <f>B325 &amp; "-" &amp; COUNTIF($B$2:B325, B325)</f>
        <v>8-23</v>
      </c>
      <c r="D325" s="10">
        <v>9052</v>
      </c>
      <c r="E325" s="1" t="s">
        <v>2436</v>
      </c>
      <c r="F325" s="1" t="s">
        <v>2437</v>
      </c>
      <c r="G325" s="1" t="s">
        <v>1834</v>
      </c>
      <c r="H325" s="1" t="s">
        <v>1812</v>
      </c>
      <c r="I325" s="10" t="str">
        <f>IF(H325="T18",1,IF(H325="T18",3,IF(H325="T34",6,IF(H325="T34",10,IF(H325="T66",14,IF(H325="T66",18,IF(H325="T34",22,"")))))))</f>
        <v/>
      </c>
      <c r="J325" s="1" t="s">
        <v>1808</v>
      </c>
      <c r="K325" s="10">
        <v>2</v>
      </c>
      <c r="L325" s="10">
        <v>1</v>
      </c>
      <c r="N325" s="10">
        <v>4</v>
      </c>
      <c r="O325" s="6"/>
      <c r="P325" s="45" t="s">
        <v>2347</v>
      </c>
      <c r="Q325" s="42" t="s">
        <v>2393</v>
      </c>
      <c r="R325" s="42"/>
      <c r="S325" s="1" t="s">
        <v>2437</v>
      </c>
    </row>
    <row r="326" spans="1:19" ht="18.75" customHeight="1" x14ac:dyDescent="0.3">
      <c r="A326" s="10">
        <v>325</v>
      </c>
      <c r="B326" s="10">
        <f>_xlfn.XLOOKUP(1,(VALUE(D326)&gt;=VALUE(block!$C$3:$C$500))*(VALUE(D326)&lt;VALUE(block!$C$3:$C$500)+VALUE(block!$D$3:$D$500)),block!$A$3:$A$500,"无匹配",0,1)</f>
        <v>8</v>
      </c>
      <c r="C326" s="3" t="str">
        <f>B326 &amp; "-" &amp; COUNTIF($B$2:B326, B326)</f>
        <v>8-24</v>
      </c>
      <c r="D326" s="10">
        <v>9054</v>
      </c>
      <c r="E326" s="1" t="s">
        <v>2438</v>
      </c>
      <c r="F326" s="1" t="s">
        <v>2439</v>
      </c>
      <c r="G326" s="1" t="s">
        <v>1836</v>
      </c>
      <c r="H326" s="1" t="s">
        <v>1812</v>
      </c>
      <c r="I326" s="10" t="str">
        <f>IF(H326="T19",1,IF(H326="T19",3,IF(H326="T35",6,IF(H326="T35",10,IF(H326="T67",14,IF(H326="T67",18,IF(H326="T35",22,"")))))))</f>
        <v/>
      </c>
      <c r="J326" s="1" t="s">
        <v>1808</v>
      </c>
      <c r="K326" s="10">
        <v>2</v>
      </c>
      <c r="L326" s="10">
        <v>1</v>
      </c>
      <c r="N326" s="10">
        <v>4</v>
      </c>
      <c r="O326" s="6"/>
      <c r="P326" s="45" t="s">
        <v>2347</v>
      </c>
      <c r="Q326" s="42" t="s">
        <v>2393</v>
      </c>
      <c r="R326" s="42"/>
      <c r="S326" s="1" t="s">
        <v>2439</v>
      </c>
    </row>
    <row r="327" spans="1:19" ht="18.75" customHeight="1" x14ac:dyDescent="0.3">
      <c r="A327" s="10">
        <v>326</v>
      </c>
      <c r="B327" s="10">
        <f>_xlfn.XLOOKUP(1,(VALUE(D327)&gt;=VALUE(block!$C$3:$C$500))*(VALUE(D327)&lt;VALUE(block!$C$3:$C$500)+VALUE(block!$D$3:$D$500)),block!$A$3:$A$500,"无匹配",0,1)</f>
        <v>8</v>
      </c>
      <c r="C327" s="3" t="str">
        <f>B327 &amp; "-" &amp; COUNTIF($B$2:B327, B327)</f>
        <v>8-25</v>
      </c>
      <c r="D327" s="10">
        <v>9056</v>
      </c>
      <c r="E327" s="1" t="s">
        <v>2440</v>
      </c>
      <c r="F327" s="1" t="s">
        <v>2441</v>
      </c>
      <c r="G327" s="1" t="s">
        <v>1830</v>
      </c>
      <c r="H327" s="1" t="s">
        <v>1812</v>
      </c>
      <c r="I327" s="10" t="str">
        <f>IF(H327="T20",1,IF(H327="T20",3,IF(H327="T36",6,IF(H327="T36",10,IF(H327="T68",14,IF(H327="T68",18,IF(H327="T36",22,"")))))))</f>
        <v/>
      </c>
      <c r="J327" s="1" t="s">
        <v>1808</v>
      </c>
      <c r="K327" s="10">
        <v>2</v>
      </c>
      <c r="L327" s="10">
        <v>1</v>
      </c>
      <c r="N327" s="10">
        <v>4</v>
      </c>
      <c r="O327" s="6"/>
      <c r="P327" s="45" t="s">
        <v>2347</v>
      </c>
      <c r="Q327" s="42" t="s">
        <v>2393</v>
      </c>
      <c r="R327" s="42"/>
      <c r="S327" s="1" t="s">
        <v>2441</v>
      </c>
    </row>
    <row r="328" spans="1:19" ht="18.75" customHeight="1" x14ac:dyDescent="0.3">
      <c r="A328" s="10">
        <v>327</v>
      </c>
      <c r="B328" s="10">
        <f>_xlfn.XLOOKUP(1,(VALUE(D328)&gt;=VALUE(block!$C$3:$C$500))*(VALUE(D328)&lt;VALUE(block!$C$3:$C$500)+VALUE(block!$D$3:$D$500)),block!$A$3:$A$500,"无匹配",0,1)</f>
        <v>8</v>
      </c>
      <c r="C328" s="3" t="str">
        <f>B328 &amp; "-" &amp; COUNTIF($B$2:B328, B328)</f>
        <v>8-26</v>
      </c>
      <c r="D328" s="10">
        <v>9058</v>
      </c>
      <c r="E328" s="1" t="s">
        <v>2442</v>
      </c>
      <c r="F328" s="1" t="s">
        <v>2443</v>
      </c>
      <c r="G328" s="1" t="s">
        <v>1832</v>
      </c>
      <c r="H328" s="1" t="s">
        <v>1812</v>
      </c>
      <c r="I328" s="10" t="str">
        <f>IF(H328="T21",1,IF(H328="T21",3,IF(H328="T37",6,IF(H328="T37",10,IF(H328="T69",14,IF(H328="T69",18,IF(H328="T37",22,"")))))))</f>
        <v/>
      </c>
      <c r="J328" s="1" t="s">
        <v>1808</v>
      </c>
      <c r="K328" s="10">
        <v>2</v>
      </c>
      <c r="L328" s="10">
        <v>1</v>
      </c>
      <c r="N328" s="10">
        <v>4</v>
      </c>
      <c r="O328" s="6"/>
      <c r="P328" s="45" t="s">
        <v>2347</v>
      </c>
      <c r="Q328" s="42" t="s">
        <v>2393</v>
      </c>
      <c r="R328" s="42"/>
      <c r="S328" s="1" t="s">
        <v>2443</v>
      </c>
    </row>
    <row r="329" spans="1:19" ht="18.75" customHeight="1" x14ac:dyDescent="0.3">
      <c r="A329" s="10">
        <v>328</v>
      </c>
      <c r="B329" s="10">
        <f>_xlfn.XLOOKUP(1,(VALUE(D329)&gt;=VALUE(block!$C$3:$C$500))*(VALUE(D329)&lt;VALUE(block!$C$3:$C$500)+VALUE(block!$D$3:$D$500)),block!$A$3:$A$500,"无匹配",0,1)</f>
        <v>8</v>
      </c>
      <c r="C329" s="3" t="str">
        <f>B329 &amp; "-" &amp; COUNTIF($B$2:B329, B329)</f>
        <v>8-27</v>
      </c>
      <c r="D329" s="10">
        <v>9060</v>
      </c>
      <c r="E329" s="1" t="s">
        <v>2444</v>
      </c>
      <c r="F329" s="1" t="s">
        <v>2445</v>
      </c>
      <c r="G329" s="1" t="s">
        <v>1832</v>
      </c>
      <c r="H329" s="1" t="s">
        <v>1812</v>
      </c>
      <c r="I329" s="10" t="str">
        <f>IF(H329="T22",1,IF(H329="T22",3,IF(H329="T38",6,IF(H329="T38",10,IF(H329="T70",14,IF(H329="T70",18,IF(H329="T38",22,"")))))))</f>
        <v/>
      </c>
      <c r="J329" s="1" t="s">
        <v>1808</v>
      </c>
      <c r="K329" s="10">
        <v>2</v>
      </c>
      <c r="L329" s="10">
        <v>1</v>
      </c>
      <c r="N329" s="10">
        <v>4</v>
      </c>
      <c r="O329" s="6"/>
      <c r="P329" s="45" t="s">
        <v>2347</v>
      </c>
      <c r="Q329" s="42" t="s">
        <v>2393</v>
      </c>
      <c r="R329" s="42"/>
      <c r="S329" s="1" t="s">
        <v>2445</v>
      </c>
    </row>
    <row r="330" spans="1:19" ht="18.75" customHeight="1" x14ac:dyDescent="0.3">
      <c r="A330" s="10">
        <v>329</v>
      </c>
      <c r="B330" s="10">
        <f>_xlfn.XLOOKUP(1,(VALUE(D330)&gt;=VALUE(block!$C$3:$C$500))*(VALUE(D330)&lt;VALUE(block!$C$3:$C$500)+VALUE(block!$D$3:$D$500)),block!$A$3:$A$500,"无匹配",0,1)</f>
        <v>8</v>
      </c>
      <c r="C330" s="3" t="str">
        <f>B330 &amp; "-" &amp; COUNTIF($B$2:B330, B330)</f>
        <v>8-28</v>
      </c>
      <c r="D330" s="10">
        <v>9062</v>
      </c>
      <c r="E330" s="1" t="s">
        <v>2446</v>
      </c>
      <c r="F330" s="1" t="s">
        <v>2447</v>
      </c>
      <c r="G330" s="1" t="s">
        <v>1834</v>
      </c>
      <c r="H330" s="1" t="s">
        <v>1812</v>
      </c>
      <c r="I330" s="10" t="str">
        <f>IF(H330="T23",1,IF(H330="T23",3,IF(H330="T39",6,IF(H330="T39",10,IF(H330="T71",14,IF(H330="T71",18,IF(H330="T39",22,"")))))))</f>
        <v/>
      </c>
      <c r="J330" s="1" t="s">
        <v>1808</v>
      </c>
      <c r="K330" s="10">
        <v>2</v>
      </c>
      <c r="L330" s="10">
        <v>1</v>
      </c>
      <c r="N330" s="10">
        <v>4</v>
      </c>
      <c r="O330" s="6"/>
      <c r="P330" s="45" t="s">
        <v>2347</v>
      </c>
      <c r="Q330" s="42" t="s">
        <v>2393</v>
      </c>
      <c r="R330" s="42"/>
      <c r="S330" s="1" t="s">
        <v>2447</v>
      </c>
    </row>
    <row r="331" spans="1:19" ht="18.75" customHeight="1" x14ac:dyDescent="0.3">
      <c r="A331" s="10">
        <v>330</v>
      </c>
      <c r="B331" s="10">
        <f>_xlfn.XLOOKUP(1,(VALUE(D331)&gt;=VALUE(block!$C$3:$C$500))*(VALUE(D331)&lt;VALUE(block!$C$3:$C$500)+VALUE(block!$D$3:$D$500)),block!$A$3:$A$500,"无匹配",0,1)</f>
        <v>8</v>
      </c>
      <c r="C331" s="3" t="str">
        <f>B331 &amp; "-" &amp; COUNTIF($B$2:B331, B331)</f>
        <v>8-29</v>
      </c>
      <c r="D331" s="10">
        <v>9064</v>
      </c>
      <c r="E331" s="1" t="s">
        <v>2448</v>
      </c>
      <c r="F331" s="1" t="s">
        <v>2449</v>
      </c>
      <c r="G331" s="1" t="s">
        <v>1834</v>
      </c>
      <c r="H331" s="1" t="s">
        <v>1812</v>
      </c>
      <c r="I331" s="10" t="str">
        <f>IF(H331="T24",1,IF(H331="T24",3,IF(H331="T40",6,IF(H331="T40",10,IF(H331="T72",14,IF(H331="T72",18,IF(H331="T40",22,"")))))))</f>
        <v/>
      </c>
      <c r="J331" s="1" t="s">
        <v>1808</v>
      </c>
      <c r="K331" s="10">
        <v>2</v>
      </c>
      <c r="L331" s="10">
        <v>1</v>
      </c>
      <c r="N331" s="10">
        <v>4</v>
      </c>
      <c r="O331" s="6"/>
      <c r="P331" s="45" t="s">
        <v>2347</v>
      </c>
      <c r="Q331" s="42" t="s">
        <v>2393</v>
      </c>
      <c r="R331" s="42"/>
      <c r="S331" s="1" t="s">
        <v>2449</v>
      </c>
    </row>
    <row r="332" spans="1:19" ht="18.75" customHeight="1" x14ac:dyDescent="0.3">
      <c r="A332" s="10">
        <v>331</v>
      </c>
      <c r="B332" s="10">
        <f>_xlfn.XLOOKUP(1,(VALUE(D332)&gt;=VALUE(block!$C$3:$C$500))*(VALUE(D332)&lt;VALUE(block!$C$3:$C$500)+VALUE(block!$D$3:$D$500)),block!$A$3:$A$500,"无匹配",0,1)</f>
        <v>8</v>
      </c>
      <c r="C332" s="3" t="str">
        <f>B332 &amp; "-" &amp; COUNTIF($B$2:B332, B332)</f>
        <v>8-30</v>
      </c>
      <c r="D332" s="10">
        <v>9066</v>
      </c>
      <c r="E332" s="1" t="s">
        <v>2450</v>
      </c>
      <c r="F332" s="1" t="s">
        <v>2451</v>
      </c>
      <c r="G332" s="1" t="s">
        <v>1836</v>
      </c>
      <c r="H332" s="1" t="s">
        <v>1812</v>
      </c>
      <c r="I332" s="10" t="str">
        <f>IF(H332="T25",1,IF(H332="T25",3,IF(H332="T41",6,IF(H332="T41",10,IF(H332="T73",14,IF(H332="T73",18,IF(H332="T41",22,"")))))))</f>
        <v/>
      </c>
      <c r="J332" s="1" t="s">
        <v>1808</v>
      </c>
      <c r="K332" s="10">
        <v>2</v>
      </c>
      <c r="L332" s="10">
        <v>1</v>
      </c>
      <c r="N332" s="10">
        <v>4</v>
      </c>
      <c r="O332" s="6"/>
      <c r="P332" s="45" t="s">
        <v>2347</v>
      </c>
      <c r="Q332" s="42" t="s">
        <v>2393</v>
      </c>
      <c r="R332" s="42"/>
      <c r="S332" s="1" t="s">
        <v>2451</v>
      </c>
    </row>
    <row r="333" spans="1:19" ht="18.75" customHeight="1" x14ac:dyDescent="0.3">
      <c r="A333" s="10">
        <v>332</v>
      </c>
      <c r="B333" s="10">
        <f>_xlfn.XLOOKUP(1,(VALUE(D333)&gt;=VALUE(block!$C$3:$C$500))*(VALUE(D333)&lt;VALUE(block!$C$3:$C$500)+VALUE(block!$D$3:$D$500)),block!$A$3:$A$500,"无匹配",0,1)</f>
        <v>8</v>
      </c>
      <c r="C333" s="3" t="str">
        <f>B333 &amp; "-" &amp; COUNTIF($B$2:B333, B333)</f>
        <v>8-31</v>
      </c>
      <c r="D333" s="10">
        <v>9068</v>
      </c>
      <c r="E333" s="1" t="s">
        <v>2452</v>
      </c>
      <c r="F333" s="1" t="s">
        <v>2453</v>
      </c>
      <c r="G333" s="1" t="s">
        <v>1830</v>
      </c>
      <c r="H333" s="1" t="s">
        <v>1812</v>
      </c>
      <c r="I333" s="10" t="str">
        <f>IF(H333="T26",1,IF(H333="T26",3,IF(H333="T42",6,IF(H333="T42",10,IF(H333="T74",14,IF(H333="T74",18,IF(H333="T42",22,"")))))))</f>
        <v/>
      </c>
      <c r="J333" s="1" t="s">
        <v>1808</v>
      </c>
      <c r="K333" s="10">
        <v>2</v>
      </c>
      <c r="L333" s="10">
        <v>1</v>
      </c>
      <c r="N333" s="10">
        <v>4</v>
      </c>
      <c r="O333" s="6"/>
      <c r="P333" s="45" t="s">
        <v>2347</v>
      </c>
      <c r="Q333" s="42" t="s">
        <v>2393</v>
      </c>
      <c r="R333" s="42"/>
      <c r="S333" s="1" t="s">
        <v>2453</v>
      </c>
    </row>
    <row r="334" spans="1:19" ht="18.75" customHeight="1" x14ac:dyDescent="0.3">
      <c r="A334" s="10">
        <v>333</v>
      </c>
      <c r="B334" s="10">
        <f>_xlfn.XLOOKUP(1,(VALUE(D334)&gt;=VALUE(block!$C$3:$C$500))*(VALUE(D334)&lt;VALUE(block!$C$3:$C$500)+VALUE(block!$D$3:$D$500)),block!$A$3:$A$500,"无匹配",0,1)</f>
        <v>8</v>
      </c>
      <c r="C334" s="3" t="str">
        <f>B334 &amp; "-" &amp; COUNTIF($B$2:B334, B334)</f>
        <v>8-32</v>
      </c>
      <c r="D334" s="10">
        <v>9070</v>
      </c>
      <c r="E334" s="1" t="s">
        <v>2454</v>
      </c>
      <c r="F334" s="1" t="s">
        <v>2455</v>
      </c>
      <c r="G334" s="1" t="s">
        <v>1832</v>
      </c>
      <c r="H334" s="1" t="s">
        <v>1812</v>
      </c>
      <c r="I334" s="10" t="str">
        <f>IF(H334="T27",1,IF(H334="T27",3,IF(H334="T43",6,IF(H334="T43",10,IF(H334="T75",14,IF(H334="T75",18,IF(H334="T43",22,"")))))))</f>
        <v/>
      </c>
      <c r="J334" s="1" t="s">
        <v>1808</v>
      </c>
      <c r="K334" s="10">
        <v>2</v>
      </c>
      <c r="L334" s="10">
        <v>1</v>
      </c>
      <c r="N334" s="10">
        <v>4</v>
      </c>
      <c r="O334" s="6"/>
      <c r="P334" s="45" t="s">
        <v>2347</v>
      </c>
      <c r="Q334" s="42" t="s">
        <v>2393</v>
      </c>
      <c r="R334" s="42"/>
      <c r="S334" s="1" t="s">
        <v>2455</v>
      </c>
    </row>
    <row r="335" spans="1:19" ht="18.75" customHeight="1" x14ac:dyDescent="0.3">
      <c r="A335" s="10">
        <v>334</v>
      </c>
      <c r="B335" s="10">
        <f>_xlfn.XLOOKUP(1,(VALUE(D335)&gt;=VALUE(block!$C$3:$C$500))*(VALUE(D335)&lt;VALUE(block!$C$3:$C$500)+VALUE(block!$D$3:$D$500)),block!$A$3:$A$500,"无匹配",0,1)</f>
        <v>8</v>
      </c>
      <c r="C335" s="3" t="str">
        <f>B335 &amp; "-" &amp; COUNTIF($B$2:B335, B335)</f>
        <v>8-33</v>
      </c>
      <c r="D335" s="10">
        <v>9072</v>
      </c>
      <c r="E335" s="1" t="s">
        <v>2456</v>
      </c>
      <c r="F335" s="1" t="s">
        <v>2457</v>
      </c>
      <c r="G335" s="1" t="s">
        <v>1832</v>
      </c>
      <c r="H335" s="1" t="s">
        <v>1812</v>
      </c>
      <c r="I335" s="10" t="str">
        <f>IF(H335="T28",1,IF(H335="T28",3,IF(H335="T44",6,IF(H335="T44",10,IF(H335="T76",14,IF(H335="T76",18,IF(H335="T44",22,"")))))))</f>
        <v/>
      </c>
      <c r="J335" s="1" t="s">
        <v>1808</v>
      </c>
      <c r="K335" s="10">
        <v>2</v>
      </c>
      <c r="L335" s="10">
        <v>1</v>
      </c>
      <c r="N335" s="10">
        <v>4</v>
      </c>
      <c r="O335" s="6"/>
      <c r="P335" s="45" t="s">
        <v>2347</v>
      </c>
      <c r="Q335" s="42" t="s">
        <v>2393</v>
      </c>
      <c r="R335" s="42"/>
      <c r="S335" s="1" t="s">
        <v>2457</v>
      </c>
    </row>
    <row r="336" spans="1:19" ht="18.75" customHeight="1" x14ac:dyDescent="0.3">
      <c r="A336" s="10">
        <v>335</v>
      </c>
      <c r="B336" s="10">
        <f>_xlfn.XLOOKUP(1,(VALUE(D336)&gt;=VALUE(block!$C$3:$C$500))*(VALUE(D336)&lt;VALUE(block!$C$3:$C$500)+VALUE(block!$D$3:$D$500)),block!$A$3:$A$500,"无匹配",0,1)</f>
        <v>8</v>
      </c>
      <c r="C336" s="3" t="str">
        <f>B336 &amp; "-" &amp; COUNTIF($B$2:B336, B336)</f>
        <v>8-34</v>
      </c>
      <c r="D336" s="10">
        <v>9074</v>
      </c>
      <c r="E336" s="1" t="s">
        <v>2458</v>
      </c>
      <c r="F336" s="1" t="s">
        <v>2459</v>
      </c>
      <c r="G336" s="1" t="s">
        <v>1834</v>
      </c>
      <c r="H336" s="1" t="s">
        <v>1812</v>
      </c>
      <c r="I336" s="10" t="str">
        <f>IF(H336="T29",1,IF(H336="T29",3,IF(H336="T45",6,IF(H336="T45",10,IF(H336="T77",14,IF(H336="T77",18,IF(H336="T45",22,"")))))))</f>
        <v/>
      </c>
      <c r="J336" s="1" t="s">
        <v>1808</v>
      </c>
      <c r="K336" s="10">
        <v>2</v>
      </c>
      <c r="L336" s="10">
        <v>1</v>
      </c>
      <c r="N336" s="10">
        <v>4</v>
      </c>
      <c r="O336" s="6"/>
      <c r="P336" s="45" t="s">
        <v>2347</v>
      </c>
      <c r="Q336" s="42" t="s">
        <v>2393</v>
      </c>
      <c r="R336" s="42"/>
      <c r="S336" s="1" t="s">
        <v>2459</v>
      </c>
    </row>
    <row r="337" spans="1:19" ht="18.75" customHeight="1" x14ac:dyDescent="0.3">
      <c r="A337" s="10">
        <v>336</v>
      </c>
      <c r="B337" s="10">
        <f>_xlfn.XLOOKUP(1,(VALUE(D337)&gt;=VALUE(block!$C$3:$C$500))*(VALUE(D337)&lt;VALUE(block!$C$3:$C$500)+VALUE(block!$D$3:$D$500)),block!$A$3:$A$500,"无匹配",0,1)</f>
        <v>8</v>
      </c>
      <c r="C337" s="3" t="str">
        <f>B337 &amp; "-" &amp; COUNTIF($B$2:B337, B337)</f>
        <v>8-35</v>
      </c>
      <c r="D337" s="10">
        <v>9076</v>
      </c>
      <c r="E337" s="1" t="s">
        <v>2460</v>
      </c>
      <c r="F337" s="1" t="s">
        <v>2461</v>
      </c>
      <c r="G337" s="1" t="s">
        <v>1834</v>
      </c>
      <c r="H337" s="1" t="s">
        <v>1812</v>
      </c>
      <c r="I337" s="10" t="str">
        <f>IF(H337="T30",1,IF(H337="T30",3,IF(H337="T46",6,IF(H337="T46",10,IF(H337="T78",14,IF(H337="T78",18,IF(H337="T46",22,"")))))))</f>
        <v/>
      </c>
      <c r="J337" s="1" t="s">
        <v>1808</v>
      </c>
      <c r="K337" s="10">
        <v>2</v>
      </c>
      <c r="L337" s="10">
        <v>1</v>
      </c>
      <c r="N337" s="10">
        <v>4</v>
      </c>
      <c r="O337" s="6"/>
      <c r="P337" s="45" t="s">
        <v>2347</v>
      </c>
      <c r="Q337" s="42" t="s">
        <v>2393</v>
      </c>
      <c r="R337" s="42"/>
      <c r="S337" s="1" t="s">
        <v>2461</v>
      </c>
    </row>
    <row r="338" spans="1:19" ht="18.75" customHeight="1" x14ac:dyDescent="0.3">
      <c r="A338" s="10">
        <v>337</v>
      </c>
      <c r="B338" s="10">
        <f>_xlfn.XLOOKUP(1,(VALUE(D338)&gt;=VALUE(block!$C$3:$C$500))*(VALUE(D338)&lt;VALUE(block!$C$3:$C$500)+VALUE(block!$D$3:$D$500)),block!$A$3:$A$500,"无匹配",0,1)</f>
        <v>8</v>
      </c>
      <c r="C338" s="3" t="str">
        <f>B338 &amp; "-" &amp; COUNTIF($B$2:B338, B338)</f>
        <v>8-36</v>
      </c>
      <c r="D338" s="10">
        <v>9078</v>
      </c>
      <c r="E338" s="1" t="s">
        <v>2462</v>
      </c>
      <c r="F338" s="1" t="s">
        <v>2463</v>
      </c>
      <c r="G338" s="1" t="s">
        <v>1836</v>
      </c>
      <c r="H338" s="1" t="s">
        <v>1812</v>
      </c>
      <c r="I338" s="10" t="str">
        <f>IF(H338="T31",1,IF(H338="T31",3,IF(H338="T47",6,IF(H338="T47",10,IF(H338="T79",14,IF(H338="T79",18,IF(H338="T47",22,"")))))))</f>
        <v/>
      </c>
      <c r="J338" s="1" t="s">
        <v>1808</v>
      </c>
      <c r="K338" s="10">
        <v>2</v>
      </c>
      <c r="L338" s="10">
        <v>1</v>
      </c>
      <c r="N338" s="10">
        <v>4</v>
      </c>
      <c r="O338" s="6"/>
      <c r="P338" s="45" t="s">
        <v>2347</v>
      </c>
      <c r="Q338" s="42" t="s">
        <v>2393</v>
      </c>
      <c r="R338" s="42"/>
      <c r="S338" s="1" t="s">
        <v>2463</v>
      </c>
    </row>
    <row r="339" spans="1:19" ht="18.75" customHeight="1" x14ac:dyDescent="0.3">
      <c r="A339" s="10">
        <v>338</v>
      </c>
      <c r="B339" s="10">
        <f>_xlfn.XLOOKUP(1,(VALUE(D339)&gt;=VALUE(block!$C$3:$C$500))*(VALUE(D339)&lt;VALUE(block!$C$3:$C$500)+VALUE(block!$D$3:$D$500)),block!$A$3:$A$500,"无匹配",0,1)</f>
        <v>8</v>
      </c>
      <c r="C339" s="3" t="str">
        <f>B339 &amp; "-" &amp; COUNTIF($B$2:B339, B339)</f>
        <v>8-37</v>
      </c>
      <c r="D339" s="10">
        <v>9080</v>
      </c>
      <c r="E339" s="1" t="s">
        <v>2464</v>
      </c>
      <c r="F339" s="1" t="s">
        <v>2465</v>
      </c>
      <c r="G339" s="1" t="s">
        <v>1830</v>
      </c>
      <c r="H339" s="1" t="s">
        <v>1812</v>
      </c>
      <c r="I339" s="10" t="str">
        <f>IF(H339="T32",1,IF(H339="T32",3,IF(H339="T48",6,IF(H339="T48",10,IF(H339="T80",14,IF(H339="T80",18,IF(H339="T48",22,"")))))))</f>
        <v/>
      </c>
      <c r="J339" s="1" t="s">
        <v>1808</v>
      </c>
      <c r="K339" s="10">
        <v>2</v>
      </c>
      <c r="L339" s="10">
        <v>1</v>
      </c>
      <c r="N339" s="10">
        <v>4</v>
      </c>
      <c r="O339" s="6"/>
      <c r="P339" s="45" t="s">
        <v>2347</v>
      </c>
      <c r="Q339" s="42" t="s">
        <v>2393</v>
      </c>
      <c r="R339" s="42"/>
      <c r="S339" s="1" t="s">
        <v>2465</v>
      </c>
    </row>
    <row r="340" spans="1:19" ht="18.75" customHeight="1" x14ac:dyDescent="0.3">
      <c r="A340" s="10">
        <v>339</v>
      </c>
      <c r="B340" s="10">
        <f>_xlfn.XLOOKUP(1,(VALUE(D340)&gt;=VALUE(block!$C$3:$C$500))*(VALUE(D340)&lt;VALUE(block!$C$3:$C$500)+VALUE(block!$D$3:$D$500)),block!$A$3:$A$500,"无匹配",0,1)</f>
        <v>8</v>
      </c>
      <c r="C340" s="3" t="str">
        <f>B340 &amp; "-" &amp; COUNTIF($B$2:B340, B340)</f>
        <v>8-38</v>
      </c>
      <c r="D340" s="10">
        <v>9082</v>
      </c>
      <c r="E340" s="1" t="s">
        <v>2466</v>
      </c>
      <c r="F340" s="1" t="s">
        <v>2467</v>
      </c>
      <c r="G340" s="1" t="s">
        <v>1832</v>
      </c>
      <c r="H340" s="1" t="s">
        <v>1812</v>
      </c>
      <c r="I340" s="10" t="str">
        <f>IF(H340="T33",1,IF(H340="T33",3,IF(H340="T49",6,IF(H340="T49",10,IF(H340="T81",14,IF(H340="T81",18,IF(H340="T49",22,"")))))))</f>
        <v/>
      </c>
      <c r="J340" s="1" t="s">
        <v>1808</v>
      </c>
      <c r="K340" s="10">
        <v>2</v>
      </c>
      <c r="L340" s="10">
        <v>1</v>
      </c>
      <c r="N340" s="10">
        <v>4</v>
      </c>
      <c r="O340" s="6"/>
      <c r="P340" s="45" t="s">
        <v>2347</v>
      </c>
      <c r="Q340" s="42" t="s">
        <v>2393</v>
      </c>
      <c r="R340" s="42"/>
      <c r="S340" s="1" t="s">
        <v>2467</v>
      </c>
    </row>
    <row r="341" spans="1:19" ht="18.75" customHeight="1" x14ac:dyDescent="0.3">
      <c r="A341" s="10">
        <v>340</v>
      </c>
      <c r="B341" s="10">
        <f>_xlfn.XLOOKUP(1,(VALUE(D341)&gt;=VALUE(block!$C$3:$C$500))*(VALUE(D341)&lt;VALUE(block!$C$3:$C$500)+VALUE(block!$D$3:$D$500)),block!$A$3:$A$500,"无匹配",0,1)</f>
        <v>8</v>
      </c>
      <c r="C341" s="3" t="str">
        <f>B341 &amp; "-" &amp; COUNTIF($B$2:B341, B341)</f>
        <v>8-39</v>
      </c>
      <c r="D341" s="10">
        <v>9084</v>
      </c>
      <c r="E341" s="1" t="s">
        <v>2468</v>
      </c>
      <c r="F341" s="1" t="s">
        <v>2469</v>
      </c>
      <c r="G341" s="1" t="s">
        <v>1832</v>
      </c>
      <c r="H341" s="1" t="s">
        <v>1812</v>
      </c>
      <c r="I341" s="10" t="str">
        <f>IF(H341="T34",1,IF(H341="T34",3,IF(H341="T50",6,IF(H341="T50",10,IF(H341="T82",14,IF(H341="T82",18,IF(H341="T50",22,"")))))))</f>
        <v/>
      </c>
      <c r="J341" s="1" t="s">
        <v>1808</v>
      </c>
      <c r="K341" s="10">
        <v>2</v>
      </c>
      <c r="L341" s="10">
        <v>1</v>
      </c>
      <c r="N341" s="10">
        <v>4</v>
      </c>
      <c r="O341" s="6"/>
      <c r="P341" s="45" t="s">
        <v>2347</v>
      </c>
      <c r="Q341" s="42" t="s">
        <v>2393</v>
      </c>
      <c r="R341" s="42"/>
      <c r="S341" s="1" t="s">
        <v>2469</v>
      </c>
    </row>
    <row r="342" spans="1:19" ht="18.75" customHeight="1" x14ac:dyDescent="0.3">
      <c r="A342" s="10">
        <v>341</v>
      </c>
      <c r="B342" s="10">
        <f>_xlfn.XLOOKUP(1,(VALUE(D342)&gt;=VALUE(block!$C$3:$C$500))*(VALUE(D342)&lt;VALUE(block!$C$3:$C$500)+VALUE(block!$D$3:$D$500)),block!$A$3:$A$500,"无匹配",0,1)</f>
        <v>8</v>
      </c>
      <c r="C342" s="3" t="str">
        <f>B342 &amp; "-" &amp; COUNTIF($B$2:B342, B342)</f>
        <v>8-40</v>
      </c>
      <c r="D342" s="10">
        <v>9086</v>
      </c>
      <c r="E342" s="1" t="s">
        <v>2470</v>
      </c>
      <c r="F342" s="1" t="s">
        <v>2471</v>
      </c>
      <c r="G342" s="1" t="s">
        <v>1834</v>
      </c>
      <c r="H342" s="1" t="s">
        <v>1812</v>
      </c>
      <c r="I342" s="10" t="str">
        <f>IF(H342="T35",1,IF(H342="T35",3,IF(H342="T51",6,IF(H342="T51",10,IF(H342="T83",14,IF(H342="T83",18,IF(H342="T51",22,"")))))))</f>
        <v/>
      </c>
      <c r="J342" s="1" t="s">
        <v>1808</v>
      </c>
      <c r="K342" s="10">
        <v>2</v>
      </c>
      <c r="L342" s="10">
        <v>1</v>
      </c>
      <c r="N342" s="10">
        <v>4</v>
      </c>
      <c r="O342" s="6"/>
      <c r="P342" s="45" t="s">
        <v>2347</v>
      </c>
      <c r="Q342" s="42" t="s">
        <v>2393</v>
      </c>
      <c r="R342" s="42"/>
      <c r="S342" s="1" t="s">
        <v>2471</v>
      </c>
    </row>
    <row r="343" spans="1:19" ht="18.75" customHeight="1" x14ac:dyDescent="0.3">
      <c r="A343" s="10">
        <v>342</v>
      </c>
      <c r="B343" s="10">
        <f>_xlfn.XLOOKUP(1,(VALUE(D343)&gt;=VALUE(block!$C$3:$C$500))*(VALUE(D343)&lt;VALUE(block!$C$3:$C$500)+VALUE(block!$D$3:$D$500)),block!$A$3:$A$500,"无匹配",0,1)</f>
        <v>8</v>
      </c>
      <c r="C343" s="3" t="str">
        <f>B343 &amp; "-" &amp; COUNTIF($B$2:B343, B343)</f>
        <v>8-41</v>
      </c>
      <c r="D343" s="10">
        <v>9088</v>
      </c>
      <c r="E343" s="1" t="s">
        <v>2472</v>
      </c>
      <c r="F343" s="1" t="s">
        <v>2473</v>
      </c>
      <c r="G343" s="1" t="s">
        <v>1834</v>
      </c>
      <c r="H343" s="1" t="s">
        <v>1812</v>
      </c>
      <c r="I343" s="10" t="str">
        <f>IF(H343="T36",1,IF(H343="T36",3,IF(H343="T52",6,IF(H343="T52",10,IF(H343="T84",14,IF(H343="T84",18,IF(H343="T52",22,"")))))))</f>
        <v/>
      </c>
      <c r="J343" s="1" t="s">
        <v>1808</v>
      </c>
      <c r="K343" s="10">
        <v>2</v>
      </c>
      <c r="L343" s="10">
        <v>1</v>
      </c>
      <c r="N343" s="10">
        <v>4</v>
      </c>
      <c r="O343" s="6"/>
      <c r="P343" s="45" t="s">
        <v>2347</v>
      </c>
      <c r="Q343" s="42" t="s">
        <v>2393</v>
      </c>
      <c r="R343" s="42"/>
      <c r="S343" s="1" t="s">
        <v>2473</v>
      </c>
    </row>
    <row r="344" spans="1:19" ht="18.75" customHeight="1" x14ac:dyDescent="0.3">
      <c r="A344" s="10">
        <v>343</v>
      </c>
      <c r="B344" s="10">
        <f>_xlfn.XLOOKUP(1,(VALUE(D344)&gt;=VALUE(block!$C$3:$C$500))*(VALUE(D344)&lt;VALUE(block!$C$3:$C$500)+VALUE(block!$D$3:$D$500)),block!$A$3:$A$500,"无匹配",0,1)</f>
        <v>8</v>
      </c>
      <c r="C344" s="3" t="str">
        <f>B344 &amp; "-" &amp; COUNTIF($B$2:B344, B344)</f>
        <v>8-42</v>
      </c>
      <c r="D344" s="10">
        <v>9090</v>
      </c>
      <c r="E344" s="1" t="s">
        <v>2474</v>
      </c>
      <c r="F344" s="1" t="s">
        <v>2475</v>
      </c>
      <c r="G344" s="1" t="s">
        <v>1836</v>
      </c>
      <c r="H344" s="1" t="s">
        <v>1812</v>
      </c>
      <c r="I344" s="10" t="str">
        <f>IF(H344="T37",1,IF(H344="T37",3,IF(H344="T53",6,IF(H344="T53",10,IF(H344="T85",14,IF(H344="T85",18,IF(H344="T53",22,"")))))))</f>
        <v/>
      </c>
      <c r="J344" s="1" t="s">
        <v>1808</v>
      </c>
      <c r="K344" s="10">
        <v>2</v>
      </c>
      <c r="L344" s="10">
        <v>1</v>
      </c>
      <c r="N344" s="10">
        <v>4</v>
      </c>
      <c r="O344" s="6"/>
      <c r="P344" s="45" t="s">
        <v>2347</v>
      </c>
      <c r="Q344" s="42" t="s">
        <v>2393</v>
      </c>
      <c r="R344" s="42"/>
      <c r="S344" s="1" t="s">
        <v>2475</v>
      </c>
    </row>
    <row r="345" spans="1:19" ht="18.75" customHeight="1" x14ac:dyDescent="0.3">
      <c r="A345" s="10">
        <v>344</v>
      </c>
      <c r="B345" s="10">
        <f>_xlfn.XLOOKUP(1,(VALUE(D345)&gt;=VALUE(block!$C$3:$C$500))*(VALUE(D345)&lt;VALUE(block!$C$3:$C$500)+VALUE(block!$D$3:$D$500)),block!$A$3:$A$500,"无匹配",0,1)</f>
        <v>8</v>
      </c>
      <c r="C345" s="3" t="str">
        <f>B345 &amp; "-" &amp; COUNTIF($B$2:B345, B345)</f>
        <v>8-43</v>
      </c>
      <c r="D345" s="10">
        <v>9092</v>
      </c>
      <c r="E345" s="1" t="s">
        <v>2476</v>
      </c>
      <c r="F345" s="1" t="s">
        <v>2477</v>
      </c>
      <c r="G345" s="1" t="s">
        <v>1830</v>
      </c>
      <c r="H345" s="1" t="s">
        <v>1812</v>
      </c>
      <c r="I345" s="10" t="str">
        <f>IF(H345="T38",1,IF(H345="T38",3,IF(H345="T54",6,IF(H345="T54",10,IF(H345="T86",14,IF(H345="T86",18,IF(H345="T54",22,"")))))))</f>
        <v/>
      </c>
      <c r="J345" s="1" t="s">
        <v>1808</v>
      </c>
      <c r="K345" s="10">
        <v>2</v>
      </c>
      <c r="L345" s="10">
        <v>1</v>
      </c>
      <c r="N345" s="10">
        <v>4</v>
      </c>
      <c r="O345" s="6"/>
      <c r="P345" s="45" t="s">
        <v>2347</v>
      </c>
      <c r="Q345" s="42" t="s">
        <v>2393</v>
      </c>
      <c r="R345" s="42"/>
      <c r="S345" s="1" t="s">
        <v>2477</v>
      </c>
    </row>
    <row r="346" spans="1:19" ht="18.75" customHeight="1" x14ac:dyDescent="0.3">
      <c r="A346" s="10">
        <v>345</v>
      </c>
      <c r="B346" s="10">
        <f>_xlfn.XLOOKUP(1,(VALUE(D346)&gt;=VALUE(block!$C$3:$C$500))*(VALUE(D346)&lt;VALUE(block!$C$3:$C$500)+VALUE(block!$D$3:$D$500)),block!$A$3:$A$500,"无匹配",0,1)</f>
        <v>8</v>
      </c>
      <c r="C346" s="3" t="str">
        <f>B346 &amp; "-" &amp; COUNTIF($B$2:B346, B346)</f>
        <v>8-44</v>
      </c>
      <c r="D346" s="10">
        <v>9094</v>
      </c>
      <c r="E346" s="1" t="s">
        <v>2478</v>
      </c>
      <c r="F346" s="1" t="s">
        <v>2479</v>
      </c>
      <c r="G346" s="1" t="s">
        <v>1832</v>
      </c>
      <c r="H346" s="1" t="s">
        <v>1812</v>
      </c>
      <c r="I346" s="10" t="str">
        <f>IF(H346="T39",1,IF(H346="T39",3,IF(H346="T55",6,IF(H346="T55",10,IF(H346="T87",14,IF(H346="T87",18,IF(H346="T55",22,"")))))))</f>
        <v/>
      </c>
      <c r="J346" s="1" t="s">
        <v>1808</v>
      </c>
      <c r="K346" s="10">
        <v>2</v>
      </c>
      <c r="L346" s="10">
        <v>1</v>
      </c>
      <c r="N346" s="10">
        <v>4</v>
      </c>
      <c r="O346" s="6"/>
      <c r="P346" s="45" t="s">
        <v>2347</v>
      </c>
      <c r="Q346" s="42" t="s">
        <v>2393</v>
      </c>
      <c r="R346" s="42"/>
      <c r="S346" s="1" t="s">
        <v>2479</v>
      </c>
    </row>
    <row r="347" spans="1:19" ht="18.75" customHeight="1" x14ac:dyDescent="0.3">
      <c r="A347" s="10">
        <v>346</v>
      </c>
      <c r="B347" s="10">
        <f>_xlfn.XLOOKUP(1,(VALUE(D347)&gt;=VALUE(block!$C$3:$C$500))*(VALUE(D347)&lt;VALUE(block!$C$3:$C$500)+VALUE(block!$D$3:$D$500)),block!$A$3:$A$500,"无匹配",0,1)</f>
        <v>8</v>
      </c>
      <c r="C347" s="3" t="str">
        <f>B347 &amp; "-" &amp; COUNTIF($B$2:B347, B347)</f>
        <v>8-45</v>
      </c>
      <c r="D347" s="10">
        <v>9096</v>
      </c>
      <c r="E347" s="1" t="s">
        <v>2480</v>
      </c>
      <c r="F347" s="1" t="s">
        <v>2481</v>
      </c>
      <c r="G347" s="1" t="s">
        <v>1832</v>
      </c>
      <c r="H347" s="1" t="s">
        <v>1812</v>
      </c>
      <c r="I347" s="10" t="str">
        <f>IF(H347="T40",1,IF(H347="T40",3,IF(H347="T56",6,IF(H347="T56",10,IF(H347="T88",14,IF(H347="T88",18,IF(H347="T56",22,"")))))))</f>
        <v/>
      </c>
      <c r="J347" s="1" t="s">
        <v>1808</v>
      </c>
      <c r="K347" s="10">
        <v>2</v>
      </c>
      <c r="L347" s="10">
        <v>1</v>
      </c>
      <c r="N347" s="10">
        <v>4</v>
      </c>
      <c r="O347" s="6"/>
      <c r="P347" s="45" t="s">
        <v>2347</v>
      </c>
      <c r="Q347" s="42" t="s">
        <v>2393</v>
      </c>
      <c r="R347" s="42"/>
      <c r="S347" s="1" t="s">
        <v>2481</v>
      </c>
    </row>
    <row r="348" spans="1:19" ht="18.75" customHeight="1" x14ac:dyDescent="0.3">
      <c r="A348" s="10">
        <v>347</v>
      </c>
      <c r="B348" s="10">
        <f>_xlfn.XLOOKUP(1,(VALUE(D348)&gt;=VALUE(block!$C$3:$C$500))*(VALUE(D348)&lt;VALUE(block!$C$3:$C$500)+VALUE(block!$D$3:$D$500)),block!$A$3:$A$500,"无匹配",0,1)</f>
        <v>8</v>
      </c>
      <c r="C348" s="3" t="str">
        <f>B348 &amp; "-" &amp; COUNTIF($B$2:B348, B348)</f>
        <v>8-46</v>
      </c>
      <c r="D348" s="10">
        <v>9098</v>
      </c>
      <c r="E348" s="1" t="s">
        <v>2482</v>
      </c>
      <c r="F348" s="1" t="s">
        <v>2483</v>
      </c>
      <c r="G348" s="1" t="s">
        <v>1834</v>
      </c>
      <c r="H348" s="1" t="s">
        <v>1812</v>
      </c>
      <c r="I348" s="10" t="str">
        <f>IF(H348="T41",1,IF(H348="T41",3,IF(H348="T57",6,IF(H348="T57",10,IF(H348="T89",14,IF(H348="T89",18,IF(H348="T57",22,"")))))))</f>
        <v/>
      </c>
      <c r="J348" s="1" t="s">
        <v>1808</v>
      </c>
      <c r="K348" s="10">
        <v>2</v>
      </c>
      <c r="L348" s="10">
        <v>1</v>
      </c>
      <c r="N348" s="10">
        <v>4</v>
      </c>
      <c r="O348" s="6"/>
      <c r="P348" s="45" t="s">
        <v>2347</v>
      </c>
      <c r="Q348" s="42" t="s">
        <v>2393</v>
      </c>
      <c r="R348" s="42"/>
      <c r="S348" s="1" t="s">
        <v>2483</v>
      </c>
    </row>
    <row r="349" spans="1:19" ht="18.75" customHeight="1" x14ac:dyDescent="0.3">
      <c r="A349" s="10">
        <v>348</v>
      </c>
      <c r="B349" s="10">
        <f>_xlfn.XLOOKUP(1,(VALUE(D349)&gt;=VALUE(block!$C$3:$C$500))*(VALUE(D349)&lt;VALUE(block!$C$3:$C$500)+VALUE(block!$D$3:$D$500)),block!$A$3:$A$500,"无匹配",0,1)</f>
        <v>8</v>
      </c>
      <c r="C349" s="3" t="str">
        <f>B349 &amp; "-" &amp; COUNTIF($B$2:B349, B349)</f>
        <v>8-47</v>
      </c>
      <c r="D349" s="10">
        <v>9100</v>
      </c>
      <c r="E349" s="1" t="s">
        <v>2484</v>
      </c>
      <c r="F349" s="1" t="s">
        <v>2485</v>
      </c>
      <c r="G349" s="1" t="s">
        <v>1834</v>
      </c>
      <c r="H349" s="1" t="s">
        <v>1812</v>
      </c>
      <c r="I349" s="10" t="str">
        <f>IF(H349="T42",1,IF(H349="T42",3,IF(H349="T58",6,IF(H349="T58",10,IF(H349="T90",14,IF(H349="T90",18,IF(H349="T58",22,"")))))))</f>
        <v/>
      </c>
      <c r="J349" s="1" t="s">
        <v>1808</v>
      </c>
      <c r="K349" s="10">
        <v>2</v>
      </c>
      <c r="L349" s="10">
        <v>1</v>
      </c>
      <c r="N349" s="10">
        <v>4</v>
      </c>
      <c r="O349" s="6"/>
      <c r="P349" s="45" t="s">
        <v>2347</v>
      </c>
      <c r="Q349" s="42" t="s">
        <v>2393</v>
      </c>
      <c r="R349" s="42"/>
      <c r="S349" s="1" t="s">
        <v>2485</v>
      </c>
    </row>
    <row r="350" spans="1:19" ht="18.75" customHeight="1" x14ac:dyDescent="0.3">
      <c r="A350" s="10">
        <v>349</v>
      </c>
      <c r="B350" s="10">
        <f>_xlfn.XLOOKUP(1,(VALUE(D350)&gt;=VALUE(block!$C$3:$C$500))*(VALUE(D350)&lt;VALUE(block!$C$3:$C$500)+VALUE(block!$D$3:$D$500)),block!$A$3:$A$500,"无匹配",0,1)</f>
        <v>8</v>
      </c>
      <c r="C350" s="3" t="str">
        <f>B350 &amp; "-" &amp; COUNTIF($B$2:B350, B350)</f>
        <v>8-48</v>
      </c>
      <c r="D350" s="10">
        <v>9102</v>
      </c>
      <c r="E350" s="1" t="s">
        <v>2486</v>
      </c>
      <c r="F350" s="1" t="s">
        <v>2487</v>
      </c>
      <c r="G350" s="1" t="s">
        <v>1836</v>
      </c>
      <c r="H350" s="1" t="s">
        <v>1812</v>
      </c>
      <c r="I350" s="10" t="str">
        <f>IF(H350="T43",1,IF(H350="T43",3,IF(H350="T59",6,IF(H350="T59",10,IF(H350="T91",14,IF(H350="T91",18,IF(H350="T59",22,"")))))))</f>
        <v/>
      </c>
      <c r="J350" s="1" t="s">
        <v>1808</v>
      </c>
      <c r="K350" s="10">
        <v>2</v>
      </c>
      <c r="L350" s="10">
        <v>1</v>
      </c>
      <c r="N350" s="10">
        <v>4</v>
      </c>
      <c r="O350" s="6"/>
      <c r="P350" s="45" t="s">
        <v>2347</v>
      </c>
      <c r="Q350" s="42" t="s">
        <v>2393</v>
      </c>
      <c r="R350" s="42"/>
      <c r="S350" s="1" t="s">
        <v>2487</v>
      </c>
    </row>
    <row r="351" spans="1:19" ht="18.75" customHeight="1" x14ac:dyDescent="0.3">
      <c r="A351" s="10">
        <v>350</v>
      </c>
      <c r="B351" s="10">
        <f>_xlfn.XLOOKUP(1,(VALUE(D351)&gt;=VALUE(block!$C$3:$C$500))*(VALUE(D351)&lt;VALUE(block!$C$3:$C$500)+VALUE(block!$D$3:$D$500)),block!$A$3:$A$500,"无匹配",0,1)</f>
        <v>9</v>
      </c>
      <c r="C351" s="3" t="str">
        <f>B351 &amp; "-" &amp; COUNTIF($B$2:B351, B351)</f>
        <v>9-1</v>
      </c>
      <c r="D351" s="10">
        <v>9104</v>
      </c>
      <c r="E351" s="1" t="s">
        <v>2488</v>
      </c>
      <c r="F351" s="1" t="s">
        <v>2489</v>
      </c>
      <c r="G351" s="1" t="s">
        <v>1830</v>
      </c>
      <c r="H351" s="1" t="s">
        <v>1812</v>
      </c>
      <c r="I351" s="10" t="str">
        <f>IF(H351="T44",1,IF(H351="T44",3,IF(H351="T60",6,IF(H351="T60",10,IF(H351="T92",14,IF(H351="T92",18,IF(H351="T60",22,"")))))))</f>
        <v/>
      </c>
      <c r="J351" s="1" t="s">
        <v>1808</v>
      </c>
      <c r="K351" s="10">
        <v>2</v>
      </c>
      <c r="L351" s="10">
        <v>1</v>
      </c>
      <c r="N351" s="10">
        <v>4</v>
      </c>
      <c r="O351" s="6"/>
      <c r="P351" s="45" t="s">
        <v>2347</v>
      </c>
      <c r="Q351" s="42" t="s">
        <v>2393</v>
      </c>
      <c r="R351" s="42"/>
      <c r="S351" s="1" t="s">
        <v>2489</v>
      </c>
    </row>
    <row r="352" spans="1:19" ht="18.75" customHeight="1" x14ac:dyDescent="0.3">
      <c r="A352" s="10">
        <v>351</v>
      </c>
      <c r="B352" s="10">
        <f>_xlfn.XLOOKUP(1,(VALUE(D352)&gt;=VALUE(block!$C$3:$C$500))*(VALUE(D352)&lt;VALUE(block!$C$3:$C$500)+VALUE(block!$D$3:$D$500)),block!$A$3:$A$500,"无匹配",0,1)</f>
        <v>9</v>
      </c>
      <c r="C352" s="3" t="str">
        <f>B352 &amp; "-" &amp; COUNTIF($B$2:B352, B352)</f>
        <v>9-2</v>
      </c>
      <c r="D352" s="10">
        <v>9106</v>
      </c>
      <c r="E352" s="1" t="s">
        <v>2490</v>
      </c>
      <c r="F352" s="1" t="s">
        <v>2491</v>
      </c>
      <c r="G352" s="1" t="s">
        <v>1832</v>
      </c>
      <c r="H352" s="1" t="s">
        <v>1812</v>
      </c>
      <c r="I352" s="10" t="str">
        <f>IF(H352="T45",1,IF(H352="T45",3,IF(H352="T61",6,IF(H352="T61",10,IF(H352="T93",14,IF(H352="T93",18,IF(H352="T61",22,"")))))))</f>
        <v/>
      </c>
      <c r="J352" s="1" t="s">
        <v>1808</v>
      </c>
      <c r="K352" s="10">
        <v>2</v>
      </c>
      <c r="L352" s="10">
        <v>1</v>
      </c>
      <c r="N352" s="10">
        <v>4</v>
      </c>
      <c r="O352" s="6"/>
      <c r="P352" s="45" t="s">
        <v>2347</v>
      </c>
      <c r="Q352" s="42" t="s">
        <v>2393</v>
      </c>
      <c r="R352" s="42"/>
      <c r="S352" s="1" t="s">
        <v>2491</v>
      </c>
    </row>
    <row r="353" spans="1:19" ht="18.75" customHeight="1" x14ac:dyDescent="0.3">
      <c r="A353" s="10">
        <v>352</v>
      </c>
      <c r="B353" s="10">
        <f>_xlfn.XLOOKUP(1,(VALUE(D353)&gt;=VALUE(block!$C$3:$C$500))*(VALUE(D353)&lt;VALUE(block!$C$3:$C$500)+VALUE(block!$D$3:$D$500)),block!$A$3:$A$500,"无匹配",0,1)</f>
        <v>9</v>
      </c>
      <c r="C353" s="3" t="str">
        <f>B353 &amp; "-" &amp; COUNTIF($B$2:B353, B353)</f>
        <v>9-3</v>
      </c>
      <c r="D353" s="10">
        <v>9108</v>
      </c>
      <c r="E353" s="1" t="s">
        <v>2492</v>
      </c>
      <c r="F353" s="1" t="s">
        <v>2493</v>
      </c>
      <c r="G353" s="1" t="s">
        <v>1832</v>
      </c>
      <c r="H353" s="1" t="s">
        <v>1812</v>
      </c>
      <c r="I353" s="10" t="str">
        <f>IF(H353="T46",1,IF(H353="T46",3,IF(H353="T62",6,IF(H353="T62",10,IF(H353="T94",14,IF(H353="T94",18,IF(H353="T62",22,"")))))))</f>
        <v/>
      </c>
      <c r="J353" s="1" t="s">
        <v>1808</v>
      </c>
      <c r="K353" s="10">
        <v>2</v>
      </c>
      <c r="L353" s="10">
        <v>1</v>
      </c>
      <c r="N353" s="10">
        <v>4</v>
      </c>
      <c r="O353" s="6"/>
      <c r="P353" s="45" t="s">
        <v>2347</v>
      </c>
      <c r="Q353" s="42" t="s">
        <v>2393</v>
      </c>
      <c r="R353" s="42"/>
      <c r="S353" s="1" t="s">
        <v>2493</v>
      </c>
    </row>
    <row r="354" spans="1:19" ht="18.75" customHeight="1" x14ac:dyDescent="0.3">
      <c r="A354" s="10">
        <v>353</v>
      </c>
      <c r="B354" s="10">
        <f>_xlfn.XLOOKUP(1,(VALUE(D354)&gt;=VALUE(block!$C$3:$C$500))*(VALUE(D354)&lt;VALUE(block!$C$3:$C$500)+VALUE(block!$D$3:$D$500)),block!$A$3:$A$500,"无匹配",0,1)</f>
        <v>9</v>
      </c>
      <c r="C354" s="3" t="str">
        <f>B354 &amp; "-" &amp; COUNTIF($B$2:B354, B354)</f>
        <v>9-4</v>
      </c>
      <c r="D354" s="10">
        <v>9110</v>
      </c>
      <c r="E354" s="1" t="s">
        <v>2494</v>
      </c>
      <c r="F354" s="1" t="s">
        <v>2495</v>
      </c>
      <c r="G354" s="1" t="s">
        <v>1834</v>
      </c>
      <c r="H354" s="1" t="s">
        <v>1812</v>
      </c>
      <c r="I354" s="10" t="str">
        <f>IF(H354="T47",1,IF(H354="T47",3,IF(H354="T63",6,IF(H354="T63",10,IF(H354="T95",14,IF(H354="T95",18,IF(H354="T63",22,"")))))))</f>
        <v/>
      </c>
      <c r="J354" s="1" t="s">
        <v>1808</v>
      </c>
      <c r="K354" s="10">
        <v>2</v>
      </c>
      <c r="L354" s="10">
        <v>1</v>
      </c>
      <c r="N354" s="10">
        <v>4</v>
      </c>
      <c r="O354" s="6"/>
      <c r="P354" s="45" t="s">
        <v>2347</v>
      </c>
      <c r="Q354" s="42" t="s">
        <v>2393</v>
      </c>
      <c r="R354" s="42"/>
      <c r="S354" s="1" t="s">
        <v>2495</v>
      </c>
    </row>
    <row r="355" spans="1:19" ht="18.75" customHeight="1" x14ac:dyDescent="0.3">
      <c r="A355" s="10">
        <v>354</v>
      </c>
      <c r="B355" s="10">
        <f>_xlfn.XLOOKUP(1,(VALUE(D355)&gt;=VALUE(block!$C$3:$C$500))*(VALUE(D355)&lt;VALUE(block!$C$3:$C$500)+VALUE(block!$D$3:$D$500)),block!$A$3:$A$500,"无匹配",0,1)</f>
        <v>9</v>
      </c>
      <c r="C355" s="3" t="str">
        <f>B355 &amp; "-" &amp; COUNTIF($B$2:B355, B355)</f>
        <v>9-5</v>
      </c>
      <c r="D355" s="10">
        <v>9112</v>
      </c>
      <c r="E355" s="1" t="s">
        <v>2496</v>
      </c>
      <c r="F355" s="1" t="s">
        <v>2497</v>
      </c>
      <c r="G355" s="1" t="s">
        <v>1834</v>
      </c>
      <c r="H355" s="1" t="s">
        <v>1812</v>
      </c>
      <c r="I355" s="10" t="str">
        <f>IF(H355="T48",1,IF(H355="T48",3,IF(H355="T64",6,IF(H355="T64",10,IF(H355="T96",14,IF(H355="T96",18,IF(H355="T64",22,"")))))))</f>
        <v/>
      </c>
      <c r="J355" s="1" t="s">
        <v>1808</v>
      </c>
      <c r="K355" s="10">
        <v>2</v>
      </c>
      <c r="L355" s="10">
        <v>1</v>
      </c>
      <c r="N355" s="10">
        <v>4</v>
      </c>
      <c r="O355" s="6"/>
      <c r="P355" s="45" t="s">
        <v>2347</v>
      </c>
      <c r="Q355" s="42" t="s">
        <v>2393</v>
      </c>
      <c r="R355" s="42"/>
      <c r="S355" s="1" t="s">
        <v>2497</v>
      </c>
    </row>
    <row r="356" spans="1:19" ht="18.75" customHeight="1" x14ac:dyDescent="0.3">
      <c r="A356" s="10">
        <v>355</v>
      </c>
      <c r="B356" s="10">
        <f>_xlfn.XLOOKUP(1,(VALUE(D356)&gt;=VALUE(block!$C$3:$C$500))*(VALUE(D356)&lt;VALUE(block!$C$3:$C$500)+VALUE(block!$D$3:$D$500)),block!$A$3:$A$500,"无匹配",0,1)</f>
        <v>9</v>
      </c>
      <c r="C356" s="3" t="str">
        <f>B356 &amp; "-" &amp; COUNTIF($B$2:B356, B356)</f>
        <v>9-6</v>
      </c>
      <c r="D356" s="10">
        <v>9114</v>
      </c>
      <c r="E356" s="1" t="s">
        <v>2498</v>
      </c>
      <c r="F356" s="1" t="s">
        <v>2499</v>
      </c>
      <c r="G356" s="1" t="s">
        <v>1836</v>
      </c>
      <c r="H356" s="1" t="s">
        <v>1812</v>
      </c>
      <c r="I356" s="10" t="str">
        <f>IF(H356="T49",1,IF(H356="T49",3,IF(H356="T65",6,IF(H356="T65",10,IF(H356="T97",14,IF(H356="T97",18,IF(H356="T65",22,"")))))))</f>
        <v/>
      </c>
      <c r="J356" s="1" t="s">
        <v>1808</v>
      </c>
      <c r="K356" s="10">
        <v>2</v>
      </c>
      <c r="L356" s="10">
        <v>1</v>
      </c>
      <c r="N356" s="10">
        <v>4</v>
      </c>
      <c r="O356" s="6"/>
      <c r="P356" s="45" t="s">
        <v>2347</v>
      </c>
      <c r="Q356" s="42" t="s">
        <v>2393</v>
      </c>
      <c r="R356" s="42"/>
      <c r="S356" s="1" t="s">
        <v>2499</v>
      </c>
    </row>
    <row r="357" spans="1:19" ht="18.75" customHeight="1" x14ac:dyDescent="0.3">
      <c r="A357" s="10">
        <v>356</v>
      </c>
      <c r="B357" s="10">
        <f>_xlfn.XLOOKUP(1,(VALUE(D357)&gt;=VALUE(block!$C$3:$C$500))*(VALUE(D357)&lt;VALUE(block!$C$3:$C$500)+VALUE(block!$D$3:$D$500)),block!$A$3:$A$500,"无匹配",0,1)</f>
        <v>9</v>
      </c>
      <c r="C357" s="3" t="str">
        <f>B357 &amp; "-" &amp; COUNTIF($B$2:B357, B357)</f>
        <v>9-7</v>
      </c>
      <c r="D357" s="10">
        <v>9116</v>
      </c>
      <c r="E357" s="1" t="s">
        <v>2500</v>
      </c>
      <c r="F357" s="1" t="s">
        <v>2501</v>
      </c>
      <c r="G357" s="1" t="s">
        <v>1830</v>
      </c>
      <c r="H357" s="1" t="s">
        <v>1812</v>
      </c>
      <c r="I357" s="10" t="str">
        <f>IF(H357="T50",1,IF(H357="T50",3,IF(H357="T66",6,IF(H357="T66",10,IF(H357="T98",14,IF(H357="T98",18,IF(H357="T66",22,"")))))))</f>
        <v/>
      </c>
      <c r="J357" s="1" t="s">
        <v>1808</v>
      </c>
      <c r="K357" s="10">
        <v>2</v>
      </c>
      <c r="L357" s="10">
        <v>1</v>
      </c>
      <c r="N357" s="10">
        <v>4</v>
      </c>
      <c r="O357" s="6"/>
      <c r="P357" s="45" t="s">
        <v>2347</v>
      </c>
      <c r="Q357" s="42" t="s">
        <v>2393</v>
      </c>
      <c r="R357" s="42"/>
      <c r="S357" s="1" t="s">
        <v>2501</v>
      </c>
    </row>
    <row r="358" spans="1:19" ht="18.75" customHeight="1" x14ac:dyDescent="0.3">
      <c r="A358" s="10">
        <v>357</v>
      </c>
      <c r="B358" s="10">
        <f>_xlfn.XLOOKUP(1,(VALUE(D358)&gt;=VALUE(block!$C$3:$C$500))*(VALUE(D358)&lt;VALUE(block!$C$3:$C$500)+VALUE(block!$D$3:$D$500)),block!$A$3:$A$500,"无匹配",0,1)</f>
        <v>9</v>
      </c>
      <c r="C358" s="3" t="str">
        <f>B358 &amp; "-" &amp; COUNTIF($B$2:B358, B358)</f>
        <v>9-8</v>
      </c>
      <c r="D358" s="10">
        <v>9118</v>
      </c>
      <c r="E358" s="1" t="s">
        <v>2502</v>
      </c>
      <c r="F358" s="1" t="s">
        <v>2503</v>
      </c>
      <c r="G358" s="1" t="s">
        <v>1832</v>
      </c>
      <c r="H358" s="1" t="s">
        <v>1812</v>
      </c>
      <c r="I358" s="10" t="str">
        <f>IF(H358="T51",1,IF(H358="T51",3,IF(H358="T67",6,IF(H358="T67",10,IF(H358="T99",14,IF(H358="T99",18,IF(H358="T67",22,"")))))))</f>
        <v/>
      </c>
      <c r="J358" s="1" t="s">
        <v>1808</v>
      </c>
      <c r="K358" s="10">
        <v>2</v>
      </c>
      <c r="L358" s="10">
        <v>1</v>
      </c>
      <c r="N358" s="10">
        <v>4</v>
      </c>
      <c r="O358" s="6"/>
      <c r="P358" s="45" t="s">
        <v>2347</v>
      </c>
      <c r="Q358" s="42" t="s">
        <v>2393</v>
      </c>
      <c r="R358" s="42"/>
      <c r="S358" s="1" t="s">
        <v>2503</v>
      </c>
    </row>
    <row r="359" spans="1:19" ht="18.75" customHeight="1" x14ac:dyDescent="0.3">
      <c r="A359" s="10">
        <v>358</v>
      </c>
      <c r="B359" s="10">
        <f>_xlfn.XLOOKUP(1,(VALUE(D359)&gt;=VALUE(block!$C$3:$C$500))*(VALUE(D359)&lt;VALUE(block!$C$3:$C$500)+VALUE(block!$D$3:$D$500)),block!$A$3:$A$500,"无匹配",0,1)</f>
        <v>9</v>
      </c>
      <c r="C359" s="3" t="str">
        <f>B359 &amp; "-" &amp; COUNTIF($B$2:B359, B359)</f>
        <v>9-9</v>
      </c>
      <c r="D359" s="10">
        <v>9120</v>
      </c>
      <c r="E359" s="1" t="s">
        <v>2504</v>
      </c>
      <c r="F359" s="1" t="s">
        <v>2505</v>
      </c>
      <c r="G359" s="1" t="s">
        <v>1832</v>
      </c>
      <c r="H359" s="1" t="s">
        <v>1812</v>
      </c>
      <c r="I359" s="10" t="str">
        <f>IF(H359="T52",1,IF(H359="T52",3,IF(H359="T68",6,IF(H359="T68",10,IF(H359="T100",14,IF(H359="T100",18,IF(H359="T68",22,"")))))))</f>
        <v/>
      </c>
      <c r="J359" s="1" t="s">
        <v>1808</v>
      </c>
      <c r="K359" s="10">
        <v>2</v>
      </c>
      <c r="L359" s="10">
        <v>1</v>
      </c>
      <c r="N359" s="10">
        <v>4</v>
      </c>
      <c r="O359" s="6"/>
      <c r="P359" s="45" t="s">
        <v>2347</v>
      </c>
      <c r="Q359" s="42" t="s">
        <v>2393</v>
      </c>
      <c r="R359" s="42"/>
      <c r="S359" s="1" t="s">
        <v>2505</v>
      </c>
    </row>
    <row r="360" spans="1:19" ht="18.75" customHeight="1" x14ac:dyDescent="0.3">
      <c r="A360" s="10">
        <v>359</v>
      </c>
      <c r="B360" s="10">
        <f>_xlfn.XLOOKUP(1,(VALUE(D360)&gt;=VALUE(block!$C$3:$C$500))*(VALUE(D360)&lt;VALUE(block!$C$3:$C$500)+VALUE(block!$D$3:$D$500)),block!$A$3:$A$500,"无匹配",0,1)</f>
        <v>9</v>
      </c>
      <c r="C360" s="3" t="str">
        <f>B360 &amp; "-" &amp; COUNTIF($B$2:B360, B360)</f>
        <v>9-10</v>
      </c>
      <c r="D360" s="10">
        <v>9122</v>
      </c>
      <c r="E360" s="1" t="s">
        <v>2506</v>
      </c>
      <c r="F360" s="1" t="s">
        <v>2507</v>
      </c>
      <c r="G360" s="1" t="s">
        <v>1834</v>
      </c>
      <c r="H360" s="1" t="s">
        <v>1812</v>
      </c>
      <c r="I360" s="10" t="str">
        <f>IF(H360="T53",1,IF(H360="T53",3,IF(H360="T69",6,IF(H360="T69",10,IF(H360="T101",14,IF(H360="T101",18,IF(H360="T69",22,"")))))))</f>
        <v/>
      </c>
      <c r="J360" s="1" t="s">
        <v>1808</v>
      </c>
      <c r="K360" s="10">
        <v>2</v>
      </c>
      <c r="L360" s="10">
        <v>1</v>
      </c>
      <c r="N360" s="10">
        <v>4</v>
      </c>
      <c r="O360" s="6"/>
      <c r="P360" s="45" t="s">
        <v>2347</v>
      </c>
      <c r="Q360" s="42" t="s">
        <v>2393</v>
      </c>
      <c r="R360" s="42"/>
      <c r="S360" s="1" t="s">
        <v>2507</v>
      </c>
    </row>
    <row r="361" spans="1:19" ht="18.75" customHeight="1" x14ac:dyDescent="0.3">
      <c r="A361" s="10">
        <v>360</v>
      </c>
      <c r="B361" s="10">
        <f>_xlfn.XLOOKUP(1,(VALUE(D361)&gt;=VALUE(block!$C$3:$C$500))*(VALUE(D361)&lt;VALUE(block!$C$3:$C$500)+VALUE(block!$D$3:$D$500)),block!$A$3:$A$500,"无匹配",0,1)</f>
        <v>9</v>
      </c>
      <c r="C361" s="3" t="str">
        <f>B361 &amp; "-" &amp; COUNTIF($B$2:B361, B361)</f>
        <v>9-11</v>
      </c>
      <c r="D361" s="10">
        <v>9124</v>
      </c>
      <c r="E361" s="1" t="s">
        <v>2508</v>
      </c>
      <c r="F361" s="1" t="s">
        <v>2509</v>
      </c>
      <c r="G361" s="1" t="s">
        <v>1834</v>
      </c>
      <c r="H361" s="1" t="s">
        <v>1812</v>
      </c>
      <c r="I361" s="10" t="str">
        <f>IF(H361="T54",1,IF(H361="T54",3,IF(H361="T70",6,IF(H361="T70",10,IF(H361="T102",14,IF(H361="T102",18,IF(H361="T70",22,"")))))))</f>
        <v/>
      </c>
      <c r="J361" s="1" t="s">
        <v>1808</v>
      </c>
      <c r="K361" s="10">
        <v>2</v>
      </c>
      <c r="L361" s="10">
        <v>1</v>
      </c>
      <c r="N361" s="10">
        <v>4</v>
      </c>
      <c r="O361" s="6"/>
      <c r="P361" s="45" t="s">
        <v>2347</v>
      </c>
      <c r="Q361" s="42" t="s">
        <v>2393</v>
      </c>
      <c r="R361" s="42"/>
      <c r="S361" s="1" t="s">
        <v>2509</v>
      </c>
    </row>
    <row r="362" spans="1:19" ht="18.75" customHeight="1" x14ac:dyDescent="0.3">
      <c r="A362" s="10">
        <v>361</v>
      </c>
      <c r="B362" s="10">
        <f>_xlfn.XLOOKUP(1,(VALUE(D362)&gt;=VALUE(block!$C$3:$C$500))*(VALUE(D362)&lt;VALUE(block!$C$3:$C$500)+VALUE(block!$D$3:$D$500)),block!$A$3:$A$500,"无匹配",0,1)</f>
        <v>9</v>
      </c>
      <c r="C362" s="3" t="str">
        <f>B362 &amp; "-" &amp; COUNTIF($B$2:B362, B362)</f>
        <v>9-12</v>
      </c>
      <c r="D362" s="10">
        <v>9126</v>
      </c>
      <c r="E362" s="1" t="s">
        <v>2510</v>
      </c>
      <c r="F362" s="1" t="s">
        <v>2511</v>
      </c>
      <c r="G362" s="1" t="s">
        <v>1836</v>
      </c>
      <c r="H362" s="1" t="s">
        <v>1812</v>
      </c>
      <c r="I362" s="10" t="str">
        <f>IF(H362="T55",1,IF(H362="T55",3,IF(H362="T71",6,IF(H362="T71",10,IF(H362="T103",14,IF(H362="T103",18,IF(H362="T71",22,"")))))))</f>
        <v/>
      </c>
      <c r="J362" s="1" t="s">
        <v>1808</v>
      </c>
      <c r="K362" s="10">
        <v>2</v>
      </c>
      <c r="L362" s="10">
        <v>1</v>
      </c>
      <c r="N362" s="10">
        <v>4</v>
      </c>
      <c r="O362" s="6"/>
      <c r="P362" s="45" t="s">
        <v>2347</v>
      </c>
      <c r="Q362" s="42" t="s">
        <v>2393</v>
      </c>
      <c r="R362" s="42"/>
      <c r="S362" s="1" t="s">
        <v>2511</v>
      </c>
    </row>
    <row r="363" spans="1:19" ht="18.75" customHeight="1" x14ac:dyDescent="0.3">
      <c r="A363" s="10">
        <v>362</v>
      </c>
      <c r="B363" s="10">
        <f>_xlfn.XLOOKUP(1,(VALUE(D363)&gt;=VALUE(block!$C$3:$C$500))*(VALUE(D363)&lt;VALUE(block!$C$3:$C$500)+VALUE(block!$D$3:$D$500)),block!$A$3:$A$500,"无匹配",0,1)</f>
        <v>9</v>
      </c>
      <c r="C363" s="3" t="str">
        <f>B363 &amp; "-" &amp; COUNTIF($B$2:B363, B363)</f>
        <v>9-13</v>
      </c>
      <c r="D363" s="10">
        <v>9128</v>
      </c>
      <c r="E363" s="1" t="s">
        <v>2512</v>
      </c>
      <c r="F363" s="1" t="s">
        <v>2513</v>
      </c>
      <c r="G363" s="1" t="s">
        <v>1830</v>
      </c>
      <c r="H363" s="1" t="s">
        <v>1812</v>
      </c>
      <c r="I363" s="10" t="str">
        <f>IF(H363="T56",1,IF(H363="T56",3,IF(H363="T72",6,IF(H363="T72",10,IF(H363="T104",14,IF(H363="T104",18,IF(H363="T72",22,"")))))))</f>
        <v/>
      </c>
      <c r="J363" s="1" t="s">
        <v>1808</v>
      </c>
      <c r="K363" s="10">
        <v>2</v>
      </c>
      <c r="L363" s="10">
        <v>1</v>
      </c>
      <c r="N363" s="10">
        <v>4</v>
      </c>
      <c r="O363" s="6"/>
      <c r="P363" s="45" t="s">
        <v>2347</v>
      </c>
      <c r="Q363" s="42" t="s">
        <v>2393</v>
      </c>
      <c r="R363" s="42"/>
      <c r="S363" s="1" t="s">
        <v>2513</v>
      </c>
    </row>
    <row r="364" spans="1:19" ht="18.75" customHeight="1" x14ac:dyDescent="0.3">
      <c r="A364" s="10">
        <v>363</v>
      </c>
      <c r="B364" s="10">
        <f>_xlfn.XLOOKUP(1,(VALUE(D364)&gt;=VALUE(block!$C$3:$C$500))*(VALUE(D364)&lt;VALUE(block!$C$3:$C$500)+VALUE(block!$D$3:$D$500)),block!$A$3:$A$500,"无匹配",0,1)</f>
        <v>9</v>
      </c>
      <c r="C364" s="3" t="str">
        <f>B364 &amp; "-" &amp; COUNTIF($B$2:B364, B364)</f>
        <v>9-14</v>
      </c>
      <c r="D364" s="10">
        <v>9130</v>
      </c>
      <c r="E364" s="1" t="s">
        <v>2514</v>
      </c>
      <c r="F364" s="1" t="s">
        <v>2515</v>
      </c>
      <c r="G364" s="1" t="s">
        <v>1832</v>
      </c>
      <c r="H364" s="1" t="s">
        <v>1812</v>
      </c>
      <c r="I364" s="10" t="str">
        <f>IF(H364="T57",1,IF(H364="T57",3,IF(H364="T73",6,IF(H364="T73",10,IF(H364="T105",14,IF(H364="T105",18,IF(H364="T73",22,"")))))))</f>
        <v/>
      </c>
      <c r="J364" s="1" t="s">
        <v>1808</v>
      </c>
      <c r="K364" s="10">
        <v>2</v>
      </c>
      <c r="L364" s="10">
        <v>1</v>
      </c>
      <c r="N364" s="10">
        <v>4</v>
      </c>
      <c r="O364" s="6"/>
      <c r="P364" s="45" t="s">
        <v>2347</v>
      </c>
      <c r="Q364" s="42" t="s">
        <v>2393</v>
      </c>
      <c r="R364" s="42"/>
      <c r="S364" s="1" t="s">
        <v>2515</v>
      </c>
    </row>
    <row r="365" spans="1:19" ht="18.75" customHeight="1" x14ac:dyDescent="0.3">
      <c r="A365" s="10">
        <v>364</v>
      </c>
      <c r="B365" s="10">
        <f>_xlfn.XLOOKUP(1,(VALUE(D365)&gt;=VALUE(block!$C$3:$C$500))*(VALUE(D365)&lt;VALUE(block!$C$3:$C$500)+VALUE(block!$D$3:$D$500)),block!$A$3:$A$500,"无匹配",0,1)</f>
        <v>9</v>
      </c>
      <c r="C365" s="3" t="str">
        <f>B365 &amp; "-" &amp; COUNTIF($B$2:B365, B365)</f>
        <v>9-15</v>
      </c>
      <c r="D365" s="10">
        <v>9132</v>
      </c>
      <c r="E365" s="1" t="s">
        <v>2516</v>
      </c>
      <c r="F365" s="1" t="s">
        <v>2517</v>
      </c>
      <c r="G365" s="1" t="s">
        <v>1832</v>
      </c>
      <c r="H365" s="1" t="s">
        <v>1812</v>
      </c>
      <c r="I365" s="10" t="str">
        <f>IF(H365="T58",1,IF(H365="T58",3,IF(H365="T74",6,IF(H365="T74",10,IF(H365="T106",14,IF(H365="T106",18,IF(H365="T74",22,"")))))))</f>
        <v/>
      </c>
      <c r="J365" s="1" t="s">
        <v>1808</v>
      </c>
      <c r="K365" s="10">
        <v>2</v>
      </c>
      <c r="L365" s="10">
        <v>1</v>
      </c>
      <c r="N365" s="10">
        <v>4</v>
      </c>
      <c r="O365" s="6"/>
      <c r="P365" s="45" t="s">
        <v>2347</v>
      </c>
      <c r="Q365" s="42" t="s">
        <v>2393</v>
      </c>
      <c r="R365" s="42"/>
      <c r="S365" s="1" t="s">
        <v>2517</v>
      </c>
    </row>
    <row r="366" spans="1:19" ht="18.75" customHeight="1" x14ac:dyDescent="0.3">
      <c r="A366" s="10">
        <v>365</v>
      </c>
      <c r="B366" s="10">
        <f>_xlfn.XLOOKUP(1,(VALUE(D366)&gt;=VALUE(block!$C$3:$C$500))*(VALUE(D366)&lt;VALUE(block!$C$3:$C$500)+VALUE(block!$D$3:$D$500)),block!$A$3:$A$500,"无匹配",0,1)</f>
        <v>9</v>
      </c>
      <c r="C366" s="3" t="str">
        <f>B366 &amp; "-" &amp; COUNTIF($B$2:B366, B366)</f>
        <v>9-16</v>
      </c>
      <c r="D366" s="10">
        <v>9134</v>
      </c>
      <c r="E366" s="1" t="s">
        <v>2518</v>
      </c>
      <c r="F366" s="1" t="s">
        <v>2519</v>
      </c>
      <c r="G366" s="1" t="s">
        <v>1834</v>
      </c>
      <c r="H366" s="1" t="s">
        <v>1812</v>
      </c>
      <c r="I366" s="10" t="str">
        <f>IF(H366="T59",1,IF(H366="T59",3,IF(H366="T75",6,IF(H366="T75",10,IF(H366="T107",14,IF(H366="T107",18,IF(H366="T75",22,"")))))))</f>
        <v/>
      </c>
      <c r="J366" s="1" t="s">
        <v>1808</v>
      </c>
      <c r="K366" s="10">
        <v>2</v>
      </c>
      <c r="L366" s="10">
        <v>1</v>
      </c>
      <c r="N366" s="10">
        <v>4</v>
      </c>
      <c r="O366" s="6"/>
      <c r="P366" s="45" t="s">
        <v>2347</v>
      </c>
      <c r="Q366" s="42" t="s">
        <v>2393</v>
      </c>
      <c r="R366" s="42"/>
      <c r="S366" s="1" t="s">
        <v>2519</v>
      </c>
    </row>
    <row r="367" spans="1:19" ht="18.75" customHeight="1" x14ac:dyDescent="0.3">
      <c r="A367" s="10">
        <v>366</v>
      </c>
      <c r="B367" s="10">
        <f>_xlfn.XLOOKUP(1,(VALUE(D367)&gt;=VALUE(block!$C$3:$C$500))*(VALUE(D367)&lt;VALUE(block!$C$3:$C$500)+VALUE(block!$D$3:$D$500)),block!$A$3:$A$500,"无匹配",0,1)</f>
        <v>9</v>
      </c>
      <c r="C367" s="3" t="str">
        <f>B367 &amp; "-" &amp; COUNTIF($B$2:B367, B367)</f>
        <v>9-17</v>
      </c>
      <c r="D367" s="10">
        <v>9136</v>
      </c>
      <c r="E367" s="1" t="s">
        <v>2520</v>
      </c>
      <c r="F367" s="1" t="s">
        <v>2521</v>
      </c>
      <c r="G367" s="1" t="s">
        <v>1834</v>
      </c>
      <c r="H367" s="1" t="s">
        <v>1812</v>
      </c>
      <c r="I367" s="10" t="str">
        <f>IF(H367="T60",1,IF(H367="T60",3,IF(H367="T76",6,IF(H367="T76",10,IF(H367="T108",14,IF(H367="T108",18,IF(H367="T76",22,"")))))))</f>
        <v/>
      </c>
      <c r="J367" s="1" t="s">
        <v>1808</v>
      </c>
      <c r="K367" s="10">
        <v>2</v>
      </c>
      <c r="L367" s="10">
        <v>1</v>
      </c>
      <c r="N367" s="10">
        <v>4</v>
      </c>
      <c r="O367" s="6"/>
      <c r="P367" s="45" t="s">
        <v>2347</v>
      </c>
      <c r="Q367" s="42" t="s">
        <v>2393</v>
      </c>
      <c r="R367" s="42"/>
      <c r="S367" s="1" t="s">
        <v>2521</v>
      </c>
    </row>
    <row r="368" spans="1:19" ht="18.75" customHeight="1" x14ac:dyDescent="0.3">
      <c r="A368" s="10">
        <v>367</v>
      </c>
      <c r="B368" s="10">
        <f>_xlfn.XLOOKUP(1,(VALUE(D368)&gt;=VALUE(block!$C$3:$C$500))*(VALUE(D368)&lt;VALUE(block!$C$3:$C$500)+VALUE(block!$D$3:$D$500)),block!$A$3:$A$500,"无匹配",0,1)</f>
        <v>9</v>
      </c>
      <c r="C368" s="3" t="str">
        <f>B368 &amp; "-" &amp; COUNTIF($B$2:B368, B368)</f>
        <v>9-18</v>
      </c>
      <c r="D368" s="10">
        <v>9138</v>
      </c>
      <c r="E368" s="1" t="s">
        <v>2522</v>
      </c>
      <c r="F368" s="1" t="s">
        <v>2523</v>
      </c>
      <c r="G368" s="1" t="s">
        <v>1836</v>
      </c>
      <c r="H368" s="1" t="s">
        <v>1812</v>
      </c>
      <c r="I368" s="10" t="str">
        <f>IF(H368="T61",1,IF(H368="T61",3,IF(H368="T77",6,IF(H368="T77",10,IF(H368="T109",14,IF(H368="T109",18,IF(H368="T77",22,"")))))))</f>
        <v/>
      </c>
      <c r="J368" s="1" t="s">
        <v>1808</v>
      </c>
      <c r="K368" s="10">
        <v>2</v>
      </c>
      <c r="L368" s="10">
        <v>1</v>
      </c>
      <c r="N368" s="10">
        <v>4</v>
      </c>
      <c r="O368" s="6"/>
      <c r="P368" s="45" t="s">
        <v>2347</v>
      </c>
      <c r="Q368" s="42" t="s">
        <v>2393</v>
      </c>
      <c r="R368" s="42"/>
      <c r="S368" s="1" t="s">
        <v>2523</v>
      </c>
    </row>
    <row r="369" spans="1:19" ht="18.75" customHeight="1" x14ac:dyDescent="0.3">
      <c r="A369" s="10">
        <v>368</v>
      </c>
      <c r="B369" s="10">
        <f>_xlfn.XLOOKUP(1,(VALUE(D369)&gt;=VALUE(block!$C$3:$C$500))*(VALUE(D369)&lt;VALUE(block!$C$3:$C$500)+VALUE(block!$D$3:$D$500)),block!$A$3:$A$500,"无匹配",0,1)</f>
        <v>9</v>
      </c>
      <c r="C369" s="3" t="str">
        <f>B369 &amp; "-" &amp; COUNTIF($B$2:B369, B369)</f>
        <v>9-19</v>
      </c>
      <c r="D369" s="10">
        <v>9140</v>
      </c>
      <c r="E369" s="1" t="s">
        <v>2524</v>
      </c>
      <c r="F369" s="1" t="s">
        <v>2525</v>
      </c>
      <c r="G369" s="1" t="s">
        <v>1830</v>
      </c>
      <c r="H369" s="1" t="s">
        <v>1812</v>
      </c>
      <c r="I369" s="10" t="str">
        <f>IF(H369="T62",1,IF(H369="T62",3,IF(H369="T78",6,IF(H369="T78",10,IF(H369="T110",14,IF(H369="T110",18,IF(H369="T78",22,"")))))))</f>
        <v/>
      </c>
      <c r="J369" s="1" t="s">
        <v>1808</v>
      </c>
      <c r="K369" s="10">
        <v>2</v>
      </c>
      <c r="L369" s="10">
        <v>1</v>
      </c>
      <c r="N369" s="10">
        <v>4</v>
      </c>
      <c r="O369" s="6"/>
      <c r="P369" s="45" t="s">
        <v>2347</v>
      </c>
      <c r="Q369" s="42" t="s">
        <v>2393</v>
      </c>
      <c r="R369" s="42"/>
      <c r="S369" s="1" t="s">
        <v>2525</v>
      </c>
    </row>
    <row r="370" spans="1:19" ht="18.75" customHeight="1" x14ac:dyDescent="0.3">
      <c r="A370" s="10">
        <v>369</v>
      </c>
      <c r="B370" s="10">
        <f>_xlfn.XLOOKUP(1,(VALUE(D370)&gt;=VALUE(block!$C$3:$C$500))*(VALUE(D370)&lt;VALUE(block!$C$3:$C$500)+VALUE(block!$D$3:$D$500)),block!$A$3:$A$500,"无匹配",0,1)</f>
        <v>9</v>
      </c>
      <c r="C370" s="3" t="str">
        <f>B370 &amp; "-" &amp; COUNTIF($B$2:B370, B370)</f>
        <v>9-20</v>
      </c>
      <c r="D370" s="10">
        <v>9142</v>
      </c>
      <c r="E370" s="1" t="s">
        <v>2526</v>
      </c>
      <c r="F370" s="1" t="s">
        <v>2527</v>
      </c>
      <c r="G370" s="1" t="s">
        <v>1832</v>
      </c>
      <c r="H370" s="1" t="s">
        <v>1812</v>
      </c>
      <c r="I370" s="10" t="str">
        <f>IF(H370="T63",1,IF(H370="T63",3,IF(H370="T79",6,IF(H370="T79",10,IF(H370="T111",14,IF(H370="T111",18,IF(H370="T79",22,"")))))))</f>
        <v/>
      </c>
      <c r="J370" s="1" t="s">
        <v>1808</v>
      </c>
      <c r="K370" s="10">
        <v>2</v>
      </c>
      <c r="L370" s="10">
        <v>1</v>
      </c>
      <c r="N370" s="10">
        <v>4</v>
      </c>
      <c r="O370" s="6"/>
      <c r="P370" s="45" t="s">
        <v>2347</v>
      </c>
      <c r="Q370" s="42" t="s">
        <v>2393</v>
      </c>
      <c r="R370" s="42"/>
      <c r="S370" s="1" t="s">
        <v>2527</v>
      </c>
    </row>
    <row r="371" spans="1:19" ht="18.75" customHeight="1" x14ac:dyDescent="0.3">
      <c r="A371" s="10">
        <v>370</v>
      </c>
      <c r="B371" s="10">
        <f>_xlfn.XLOOKUP(1,(VALUE(D371)&gt;=VALUE(block!$C$3:$C$500))*(VALUE(D371)&lt;VALUE(block!$C$3:$C$500)+VALUE(block!$D$3:$D$500)),block!$A$3:$A$500,"无匹配",0,1)</f>
        <v>9</v>
      </c>
      <c r="C371" s="3" t="str">
        <f>B371 &amp; "-" &amp; COUNTIF($B$2:B371, B371)</f>
        <v>9-21</v>
      </c>
      <c r="D371" s="10">
        <v>9144</v>
      </c>
      <c r="E371" s="1" t="s">
        <v>2528</v>
      </c>
      <c r="F371" s="1" t="s">
        <v>2529</v>
      </c>
      <c r="G371" s="1" t="s">
        <v>1832</v>
      </c>
      <c r="H371" s="1" t="s">
        <v>1812</v>
      </c>
      <c r="I371" s="10" t="str">
        <f>IF(H371="T64",1,IF(H371="T64",3,IF(H371="T80",6,IF(H371="T80",10,IF(H371="T112",14,IF(H371="T112",18,IF(H371="T80",22,"")))))))</f>
        <v/>
      </c>
      <c r="J371" s="1" t="s">
        <v>1808</v>
      </c>
      <c r="K371" s="10">
        <v>2</v>
      </c>
      <c r="L371" s="10">
        <v>1</v>
      </c>
      <c r="N371" s="10">
        <v>4</v>
      </c>
      <c r="O371" s="6"/>
      <c r="P371" s="45" t="s">
        <v>2347</v>
      </c>
      <c r="Q371" s="42" t="s">
        <v>2393</v>
      </c>
      <c r="R371" s="42"/>
      <c r="S371" s="1" t="s">
        <v>2529</v>
      </c>
    </row>
    <row r="372" spans="1:19" ht="18.75" customHeight="1" x14ac:dyDescent="0.3">
      <c r="A372" s="10">
        <v>371</v>
      </c>
      <c r="B372" s="10">
        <f>_xlfn.XLOOKUP(1,(VALUE(D372)&gt;=VALUE(block!$C$3:$C$500))*(VALUE(D372)&lt;VALUE(block!$C$3:$C$500)+VALUE(block!$D$3:$D$500)),block!$A$3:$A$500,"无匹配",0,1)</f>
        <v>9</v>
      </c>
      <c r="C372" s="3" t="str">
        <f>B372 &amp; "-" &amp; COUNTIF($B$2:B372, B372)</f>
        <v>9-22</v>
      </c>
      <c r="D372" s="10">
        <v>9146</v>
      </c>
      <c r="E372" s="1" t="s">
        <v>2530</v>
      </c>
      <c r="F372" s="1" t="s">
        <v>2531</v>
      </c>
      <c r="G372" s="1" t="s">
        <v>1834</v>
      </c>
      <c r="H372" s="1" t="s">
        <v>1812</v>
      </c>
      <c r="I372" s="10" t="str">
        <f>IF(H372="T65",1,IF(H372="T65",3,IF(H372="T81",6,IF(H372="T81",10,IF(H372="T113",14,IF(H372="T113",18,IF(H372="T81",22,"")))))))</f>
        <v/>
      </c>
      <c r="J372" s="1" t="s">
        <v>1808</v>
      </c>
      <c r="K372" s="10">
        <v>2</v>
      </c>
      <c r="L372" s="10">
        <v>1</v>
      </c>
      <c r="N372" s="10">
        <v>4</v>
      </c>
      <c r="O372" s="6"/>
      <c r="P372" s="45" t="s">
        <v>2347</v>
      </c>
      <c r="Q372" s="42" t="s">
        <v>2393</v>
      </c>
      <c r="R372" s="42"/>
      <c r="S372" s="1" t="s">
        <v>2531</v>
      </c>
    </row>
    <row r="373" spans="1:19" ht="18.75" customHeight="1" x14ac:dyDescent="0.3">
      <c r="A373" s="10">
        <v>372</v>
      </c>
      <c r="B373" s="10">
        <f>_xlfn.XLOOKUP(1,(VALUE(D373)&gt;=VALUE(block!$C$3:$C$500))*(VALUE(D373)&lt;VALUE(block!$C$3:$C$500)+VALUE(block!$D$3:$D$500)),block!$A$3:$A$500,"无匹配",0,1)</f>
        <v>9</v>
      </c>
      <c r="C373" s="3" t="str">
        <f>B373 &amp; "-" &amp; COUNTIF($B$2:B373, B373)</f>
        <v>9-23</v>
      </c>
      <c r="D373" s="10">
        <v>9148</v>
      </c>
      <c r="E373" s="1" t="s">
        <v>2532</v>
      </c>
      <c r="F373" s="1" t="s">
        <v>2533</v>
      </c>
      <c r="G373" s="1" t="s">
        <v>1834</v>
      </c>
      <c r="H373" s="1" t="s">
        <v>1812</v>
      </c>
      <c r="I373" s="10" t="str">
        <f>IF(H373="T66",1,IF(H373="T66",3,IF(H373="T82",6,IF(H373="T82",10,IF(H373="T114",14,IF(H373="T114",18,IF(H373="T82",22,"")))))))</f>
        <v/>
      </c>
      <c r="J373" s="1" t="s">
        <v>1808</v>
      </c>
      <c r="K373" s="10">
        <v>2</v>
      </c>
      <c r="L373" s="10">
        <v>1</v>
      </c>
      <c r="N373" s="10">
        <v>4</v>
      </c>
      <c r="O373" s="6"/>
      <c r="P373" s="45" t="s">
        <v>2347</v>
      </c>
      <c r="Q373" s="42" t="s">
        <v>2393</v>
      </c>
      <c r="R373" s="42"/>
      <c r="S373" s="1" t="s">
        <v>2533</v>
      </c>
    </row>
    <row r="374" spans="1:19" ht="18.75" customHeight="1" x14ac:dyDescent="0.3">
      <c r="A374" s="10">
        <v>373</v>
      </c>
      <c r="B374" s="10">
        <f>_xlfn.XLOOKUP(1,(VALUE(D374)&gt;=VALUE(block!$C$3:$C$500))*(VALUE(D374)&lt;VALUE(block!$C$3:$C$500)+VALUE(block!$D$3:$D$500)),block!$A$3:$A$500,"无匹配",0,1)</f>
        <v>9</v>
      </c>
      <c r="C374" s="3" t="str">
        <f>B374 &amp; "-" &amp; COUNTIF($B$2:B374, B374)</f>
        <v>9-24</v>
      </c>
      <c r="D374" s="10">
        <v>9150</v>
      </c>
      <c r="E374" s="1" t="s">
        <v>2534</v>
      </c>
      <c r="F374" s="1" t="s">
        <v>2535</v>
      </c>
      <c r="G374" s="1" t="s">
        <v>1836</v>
      </c>
      <c r="H374" s="1" t="s">
        <v>1812</v>
      </c>
      <c r="I374" s="10" t="str">
        <f>IF(H374="T67",1,IF(H374="T67",3,IF(H374="T83",6,IF(H374="T83",10,IF(H374="T115",14,IF(H374="T115",18,IF(H374="T83",22,"")))))))</f>
        <v/>
      </c>
      <c r="J374" s="1" t="s">
        <v>1808</v>
      </c>
      <c r="K374" s="10">
        <v>2</v>
      </c>
      <c r="L374" s="10">
        <v>1</v>
      </c>
      <c r="N374" s="10">
        <v>4</v>
      </c>
      <c r="O374" s="6"/>
      <c r="P374" s="45" t="s">
        <v>2347</v>
      </c>
      <c r="Q374" s="42" t="s">
        <v>2393</v>
      </c>
      <c r="R374" s="42"/>
      <c r="S374" s="1" t="s">
        <v>2535</v>
      </c>
    </row>
    <row r="375" spans="1:19" ht="18.75" customHeight="1" x14ac:dyDescent="0.3">
      <c r="A375" s="10">
        <v>374</v>
      </c>
      <c r="B375" s="10">
        <f>_xlfn.XLOOKUP(1,(VALUE(D375)&gt;=VALUE(block!$C$3:$C$500))*(VALUE(D375)&lt;VALUE(block!$C$3:$C$500)+VALUE(block!$D$3:$D$500)),block!$A$3:$A$500,"无匹配",0,1)</f>
        <v>9</v>
      </c>
      <c r="C375" s="3" t="str">
        <f>B375 &amp; "-" &amp; COUNTIF($B$2:B375, B375)</f>
        <v>9-25</v>
      </c>
      <c r="D375" s="10">
        <v>9152</v>
      </c>
      <c r="E375" s="1" t="s">
        <v>2536</v>
      </c>
      <c r="F375" s="1" t="s">
        <v>2537</v>
      </c>
      <c r="G375" s="1" t="s">
        <v>1830</v>
      </c>
      <c r="H375" s="1" t="s">
        <v>1812</v>
      </c>
      <c r="I375" s="10" t="str">
        <f>IF(H375="T68",1,IF(H375="T68",3,IF(H375="T84",6,IF(H375="T84",10,IF(H375="T116",14,IF(H375="T116",18,IF(H375="T84",22,"")))))))</f>
        <v/>
      </c>
      <c r="J375" s="1" t="s">
        <v>1808</v>
      </c>
      <c r="K375" s="10">
        <v>2</v>
      </c>
      <c r="L375" s="10">
        <v>1</v>
      </c>
      <c r="N375" s="10">
        <v>4</v>
      </c>
      <c r="O375" s="6"/>
      <c r="P375" s="45" t="s">
        <v>2347</v>
      </c>
      <c r="Q375" s="42" t="s">
        <v>2393</v>
      </c>
      <c r="R375" s="42"/>
      <c r="S375" s="1" t="s">
        <v>2537</v>
      </c>
    </row>
    <row r="376" spans="1:19" ht="18.75" customHeight="1" x14ac:dyDescent="0.3">
      <c r="A376" s="10">
        <v>375</v>
      </c>
      <c r="B376" s="10">
        <f>_xlfn.XLOOKUP(1,(VALUE(D376)&gt;=VALUE(block!$C$3:$C$500))*(VALUE(D376)&lt;VALUE(block!$C$3:$C$500)+VALUE(block!$D$3:$D$500)),block!$A$3:$A$500,"无匹配",0,1)</f>
        <v>9</v>
      </c>
      <c r="C376" s="3" t="str">
        <f>B376 &amp; "-" &amp; COUNTIF($B$2:B376, B376)</f>
        <v>9-26</v>
      </c>
      <c r="D376" s="10">
        <v>9154</v>
      </c>
      <c r="E376" s="1" t="s">
        <v>2538</v>
      </c>
      <c r="F376" s="1" t="s">
        <v>2539</v>
      </c>
      <c r="G376" s="1" t="s">
        <v>1832</v>
      </c>
      <c r="H376" s="1" t="s">
        <v>1812</v>
      </c>
      <c r="I376" s="10" t="str">
        <f>IF(H376="T69",1,IF(H376="T69",3,IF(H376="T85",6,IF(H376="T85",10,IF(H376="T117",14,IF(H376="T117",18,IF(H376="T85",22,"")))))))</f>
        <v/>
      </c>
      <c r="J376" s="1" t="s">
        <v>1808</v>
      </c>
      <c r="K376" s="10">
        <v>2</v>
      </c>
      <c r="L376" s="10">
        <v>1</v>
      </c>
      <c r="N376" s="10">
        <v>4</v>
      </c>
      <c r="O376" s="6"/>
      <c r="P376" s="45" t="s">
        <v>2347</v>
      </c>
      <c r="Q376" s="42" t="s">
        <v>2393</v>
      </c>
      <c r="R376" s="42"/>
      <c r="S376" s="1" t="s">
        <v>2539</v>
      </c>
    </row>
    <row r="377" spans="1:19" ht="18.75" customHeight="1" x14ac:dyDescent="0.3">
      <c r="A377" s="10">
        <v>376</v>
      </c>
      <c r="B377" s="10">
        <f>_xlfn.XLOOKUP(1,(VALUE(D377)&gt;=VALUE(block!$C$3:$C$500))*(VALUE(D377)&lt;VALUE(block!$C$3:$C$500)+VALUE(block!$D$3:$D$500)),block!$A$3:$A$500,"无匹配",0,1)</f>
        <v>9</v>
      </c>
      <c r="C377" s="3" t="str">
        <f>B377 &amp; "-" &amp; COUNTIF($B$2:B377, B377)</f>
        <v>9-27</v>
      </c>
      <c r="D377" s="10">
        <v>9156</v>
      </c>
      <c r="E377" s="1" t="s">
        <v>2540</v>
      </c>
      <c r="F377" s="1" t="s">
        <v>2541</v>
      </c>
      <c r="G377" s="1" t="s">
        <v>1832</v>
      </c>
      <c r="H377" s="1" t="s">
        <v>1812</v>
      </c>
      <c r="I377" s="10" t="str">
        <f>IF(H377="T70",1,IF(H377="T70",3,IF(H377="T86",6,IF(H377="T86",10,IF(H377="T118",14,IF(H377="T118",18,IF(H377="T86",22,"")))))))</f>
        <v/>
      </c>
      <c r="J377" s="1" t="s">
        <v>1808</v>
      </c>
      <c r="K377" s="10">
        <v>2</v>
      </c>
      <c r="L377" s="10">
        <v>1</v>
      </c>
      <c r="N377" s="10">
        <v>4</v>
      </c>
      <c r="O377" s="6"/>
      <c r="P377" s="45" t="s">
        <v>2347</v>
      </c>
      <c r="Q377" s="42" t="s">
        <v>2393</v>
      </c>
      <c r="R377" s="42"/>
      <c r="S377" s="1" t="s">
        <v>2541</v>
      </c>
    </row>
    <row r="378" spans="1:19" ht="18.75" customHeight="1" x14ac:dyDescent="0.3">
      <c r="A378" s="10">
        <v>377</v>
      </c>
      <c r="B378" s="10">
        <f>_xlfn.XLOOKUP(1,(VALUE(D378)&gt;=VALUE(block!$C$3:$C$500))*(VALUE(D378)&lt;VALUE(block!$C$3:$C$500)+VALUE(block!$D$3:$D$500)),block!$A$3:$A$500,"无匹配",0,1)</f>
        <v>9</v>
      </c>
      <c r="C378" s="3" t="str">
        <f>B378 &amp; "-" &amp; COUNTIF($B$2:B378, B378)</f>
        <v>9-28</v>
      </c>
      <c r="D378" s="10">
        <v>9158</v>
      </c>
      <c r="E378" s="1" t="s">
        <v>2542</v>
      </c>
      <c r="F378" s="1" t="s">
        <v>2543</v>
      </c>
      <c r="G378" s="1" t="s">
        <v>1834</v>
      </c>
      <c r="H378" s="1" t="s">
        <v>1812</v>
      </c>
      <c r="I378" s="10" t="str">
        <f>IF(H378="T71",1,IF(H378="T71",3,IF(H378="T87",6,IF(H378="T87",10,IF(H378="T119",14,IF(H378="T119",18,IF(H378="T87",22,"")))))))</f>
        <v/>
      </c>
      <c r="J378" s="1" t="s">
        <v>1808</v>
      </c>
      <c r="K378" s="10">
        <v>2</v>
      </c>
      <c r="L378" s="10">
        <v>1</v>
      </c>
      <c r="N378" s="10">
        <v>4</v>
      </c>
      <c r="O378" s="6"/>
      <c r="P378" s="45" t="s">
        <v>2347</v>
      </c>
      <c r="Q378" s="42" t="s">
        <v>2393</v>
      </c>
      <c r="R378" s="42"/>
      <c r="S378" s="1" t="s">
        <v>2543</v>
      </c>
    </row>
    <row r="379" spans="1:19" ht="18.75" customHeight="1" x14ac:dyDescent="0.3">
      <c r="A379" s="10">
        <v>378</v>
      </c>
      <c r="B379" s="10">
        <f>_xlfn.XLOOKUP(1,(VALUE(D379)&gt;=VALUE(block!$C$3:$C$500))*(VALUE(D379)&lt;VALUE(block!$C$3:$C$500)+VALUE(block!$D$3:$D$500)),block!$A$3:$A$500,"无匹配",0,1)</f>
        <v>9</v>
      </c>
      <c r="C379" s="3" t="str">
        <f>B379 &amp; "-" &amp; COUNTIF($B$2:B379, B379)</f>
        <v>9-29</v>
      </c>
      <c r="D379" s="10">
        <v>9160</v>
      </c>
      <c r="E379" s="1" t="s">
        <v>2544</v>
      </c>
      <c r="F379" s="1" t="s">
        <v>2545</v>
      </c>
      <c r="G379" s="1" t="s">
        <v>1834</v>
      </c>
      <c r="H379" s="1" t="s">
        <v>1812</v>
      </c>
      <c r="I379" s="10" t="str">
        <f>IF(H379="T72",1,IF(H379="T72",3,IF(H379="T88",6,IF(H379="T88",10,IF(H379="T120",14,IF(H379="T120",18,IF(H379="T88",22,"")))))))</f>
        <v/>
      </c>
      <c r="J379" s="1" t="s">
        <v>1808</v>
      </c>
      <c r="K379" s="10">
        <v>2</v>
      </c>
      <c r="L379" s="10">
        <v>1</v>
      </c>
      <c r="N379" s="10">
        <v>4</v>
      </c>
      <c r="O379" s="6"/>
      <c r="P379" s="45" t="s">
        <v>2347</v>
      </c>
      <c r="Q379" s="42" t="s">
        <v>2393</v>
      </c>
      <c r="R379" s="42"/>
      <c r="S379" s="1" t="s">
        <v>2545</v>
      </c>
    </row>
    <row r="380" spans="1:19" ht="18.75" customHeight="1" x14ac:dyDescent="0.3">
      <c r="A380" s="10">
        <v>379</v>
      </c>
      <c r="B380" s="10">
        <f>_xlfn.XLOOKUP(1,(VALUE(D380)&gt;=VALUE(block!$C$3:$C$500))*(VALUE(D380)&lt;VALUE(block!$C$3:$C$500)+VALUE(block!$D$3:$D$500)),block!$A$3:$A$500,"无匹配",0,1)</f>
        <v>9</v>
      </c>
      <c r="C380" s="3" t="str">
        <f>B380 &amp; "-" &amp; COUNTIF($B$2:B380, B380)</f>
        <v>9-30</v>
      </c>
      <c r="D380" s="10">
        <v>9162</v>
      </c>
      <c r="E380" s="1" t="s">
        <v>2546</v>
      </c>
      <c r="F380" s="1" t="s">
        <v>2547</v>
      </c>
      <c r="G380" s="1" t="s">
        <v>1836</v>
      </c>
      <c r="H380" s="1" t="s">
        <v>1812</v>
      </c>
      <c r="I380" s="10" t="str">
        <f>IF(H380="T73",1,IF(H380="T73",3,IF(H380="T89",6,IF(H380="T89",10,IF(H380="T121",14,IF(H380="T121",18,IF(H380="T89",22,"")))))))</f>
        <v/>
      </c>
      <c r="J380" s="1" t="s">
        <v>1808</v>
      </c>
      <c r="K380" s="10">
        <v>2</v>
      </c>
      <c r="L380" s="10">
        <v>1</v>
      </c>
      <c r="N380" s="10">
        <v>4</v>
      </c>
      <c r="O380" s="6"/>
      <c r="P380" s="45" t="s">
        <v>2347</v>
      </c>
      <c r="Q380" s="42" t="s">
        <v>2393</v>
      </c>
      <c r="R380" s="42"/>
      <c r="S380" s="1" t="s">
        <v>2547</v>
      </c>
    </row>
    <row r="381" spans="1:19" ht="18.75" customHeight="1" x14ac:dyDescent="0.3">
      <c r="A381" s="10">
        <v>380</v>
      </c>
      <c r="B381" s="10">
        <f>_xlfn.XLOOKUP(1,(VALUE(D381)&gt;=VALUE(block!$C$3:$C$500))*(VALUE(D381)&lt;VALUE(block!$C$3:$C$500)+VALUE(block!$D$3:$D$500)),block!$A$3:$A$500,"无匹配",0,1)</f>
        <v>9</v>
      </c>
      <c r="C381" s="3" t="str">
        <f>B381 &amp; "-" &amp; COUNTIF($B$2:B381, B381)</f>
        <v>9-31</v>
      </c>
      <c r="D381" s="10">
        <v>9164</v>
      </c>
      <c r="E381" s="1" t="s">
        <v>2548</v>
      </c>
      <c r="F381" s="1" t="s">
        <v>2549</v>
      </c>
      <c r="G381" s="1" t="s">
        <v>1830</v>
      </c>
      <c r="H381" s="1" t="s">
        <v>1812</v>
      </c>
      <c r="I381" s="10" t="str">
        <f>IF(H381="T74",1,IF(H381="T74",3,IF(H381="T90",6,IF(H381="T90",10,IF(H381="T122",14,IF(H381="T122",18,IF(H381="T90",22,"")))))))</f>
        <v/>
      </c>
      <c r="J381" s="1" t="s">
        <v>1808</v>
      </c>
      <c r="K381" s="10">
        <v>2</v>
      </c>
      <c r="L381" s="10">
        <v>1</v>
      </c>
      <c r="N381" s="10">
        <v>4</v>
      </c>
      <c r="O381" s="6"/>
      <c r="P381" s="45" t="s">
        <v>2347</v>
      </c>
      <c r="Q381" s="42" t="s">
        <v>2393</v>
      </c>
      <c r="R381" s="42"/>
      <c r="S381" s="1" t="s">
        <v>2549</v>
      </c>
    </row>
    <row r="382" spans="1:19" ht="18.75" customHeight="1" x14ac:dyDescent="0.3">
      <c r="A382" s="10">
        <v>381</v>
      </c>
      <c r="B382" s="10">
        <f>_xlfn.XLOOKUP(1,(VALUE(D382)&gt;=VALUE(block!$C$3:$C$500))*(VALUE(D382)&lt;VALUE(block!$C$3:$C$500)+VALUE(block!$D$3:$D$500)),block!$A$3:$A$500,"无匹配",0,1)</f>
        <v>9</v>
      </c>
      <c r="C382" s="3" t="str">
        <f>B382 &amp; "-" &amp; COUNTIF($B$2:B382, B382)</f>
        <v>9-32</v>
      </c>
      <c r="D382" s="10">
        <v>9166</v>
      </c>
      <c r="E382" s="1" t="s">
        <v>2550</v>
      </c>
      <c r="F382" s="1" t="s">
        <v>2551</v>
      </c>
      <c r="G382" s="1" t="s">
        <v>1832</v>
      </c>
      <c r="H382" s="1" t="s">
        <v>1812</v>
      </c>
      <c r="I382" s="10" t="str">
        <f>IF(H382="T75",1,IF(H382="T75",3,IF(H382="T91",6,IF(H382="T91",10,IF(H382="T123",14,IF(H382="T123",18,IF(H382="T91",22,"")))))))</f>
        <v/>
      </c>
      <c r="J382" s="1" t="s">
        <v>1808</v>
      </c>
      <c r="K382" s="10">
        <v>2</v>
      </c>
      <c r="L382" s="10">
        <v>1</v>
      </c>
      <c r="N382" s="10">
        <v>4</v>
      </c>
      <c r="O382" s="6"/>
      <c r="P382" s="45" t="s">
        <v>2347</v>
      </c>
      <c r="Q382" s="42" t="s">
        <v>2393</v>
      </c>
      <c r="R382" s="42"/>
      <c r="S382" s="1" t="s">
        <v>2551</v>
      </c>
    </row>
    <row r="383" spans="1:19" ht="18.75" customHeight="1" x14ac:dyDescent="0.3">
      <c r="A383" s="10">
        <v>382</v>
      </c>
      <c r="B383" s="10">
        <f>_xlfn.XLOOKUP(1,(VALUE(D383)&gt;=VALUE(block!$C$3:$C$500))*(VALUE(D383)&lt;VALUE(block!$C$3:$C$500)+VALUE(block!$D$3:$D$500)),block!$A$3:$A$500,"无匹配",0,1)</f>
        <v>9</v>
      </c>
      <c r="C383" s="3" t="str">
        <f>B383 &amp; "-" &amp; COUNTIF($B$2:B383, B383)</f>
        <v>9-33</v>
      </c>
      <c r="D383" s="10">
        <v>9168</v>
      </c>
      <c r="E383" s="1" t="s">
        <v>2552</v>
      </c>
      <c r="F383" s="1" t="s">
        <v>2553</v>
      </c>
      <c r="G383" s="1" t="s">
        <v>1832</v>
      </c>
      <c r="H383" s="1" t="s">
        <v>1812</v>
      </c>
      <c r="I383" s="10" t="str">
        <f>IF(H383="T76",1,IF(H383="T76",3,IF(H383="T92",6,IF(H383="T92",10,IF(H383="T124",14,IF(H383="T124",18,IF(H383="T92",22,"")))))))</f>
        <v/>
      </c>
      <c r="J383" s="1" t="s">
        <v>1808</v>
      </c>
      <c r="K383" s="10">
        <v>2</v>
      </c>
      <c r="L383" s="10">
        <v>1</v>
      </c>
      <c r="N383" s="10">
        <v>4</v>
      </c>
      <c r="O383" s="6"/>
      <c r="P383" s="45" t="s">
        <v>2347</v>
      </c>
      <c r="Q383" s="42" t="s">
        <v>2393</v>
      </c>
      <c r="R383" s="42"/>
      <c r="S383" s="1" t="s">
        <v>2553</v>
      </c>
    </row>
    <row r="384" spans="1:19" ht="18.75" customHeight="1" x14ac:dyDescent="0.3">
      <c r="A384" s="10">
        <v>383</v>
      </c>
      <c r="B384" s="10">
        <f>_xlfn.XLOOKUP(1,(VALUE(D384)&gt;=VALUE(block!$C$3:$C$500))*(VALUE(D384)&lt;VALUE(block!$C$3:$C$500)+VALUE(block!$D$3:$D$500)),block!$A$3:$A$500,"无匹配",0,1)</f>
        <v>9</v>
      </c>
      <c r="C384" s="3" t="str">
        <f>B384 &amp; "-" &amp; COUNTIF($B$2:B384, B384)</f>
        <v>9-34</v>
      </c>
      <c r="D384" s="10">
        <v>9170</v>
      </c>
      <c r="E384" s="1" t="s">
        <v>2554</v>
      </c>
      <c r="F384" s="1" t="s">
        <v>2555</v>
      </c>
      <c r="G384" s="1" t="s">
        <v>1834</v>
      </c>
      <c r="H384" s="1" t="s">
        <v>1812</v>
      </c>
      <c r="I384" s="10" t="str">
        <f>IF(H384="T77",1,IF(H384="T77",3,IF(H384="T93",6,IF(H384="T93",10,IF(H384="T125",14,IF(H384="T125",18,IF(H384="T93",22,"")))))))</f>
        <v/>
      </c>
      <c r="J384" s="1" t="s">
        <v>1808</v>
      </c>
      <c r="K384" s="10">
        <v>2</v>
      </c>
      <c r="L384" s="10">
        <v>1</v>
      </c>
      <c r="N384" s="10">
        <v>4</v>
      </c>
      <c r="O384" s="6"/>
      <c r="P384" s="45" t="s">
        <v>2347</v>
      </c>
      <c r="Q384" s="42" t="s">
        <v>2393</v>
      </c>
      <c r="R384" s="42"/>
      <c r="S384" s="1" t="s">
        <v>2555</v>
      </c>
    </row>
    <row r="385" spans="1:19" ht="18.75" customHeight="1" x14ac:dyDescent="0.3">
      <c r="A385" s="10">
        <v>384</v>
      </c>
      <c r="B385" s="10">
        <f>_xlfn.XLOOKUP(1,(VALUE(D385)&gt;=VALUE(block!$C$3:$C$500))*(VALUE(D385)&lt;VALUE(block!$C$3:$C$500)+VALUE(block!$D$3:$D$500)),block!$A$3:$A$500,"无匹配",0,1)</f>
        <v>9</v>
      </c>
      <c r="C385" s="3" t="str">
        <f>B385 &amp; "-" &amp; COUNTIF($B$2:B385, B385)</f>
        <v>9-35</v>
      </c>
      <c r="D385" s="10">
        <v>9172</v>
      </c>
      <c r="E385" s="1" t="s">
        <v>2556</v>
      </c>
      <c r="F385" s="1" t="s">
        <v>2557</v>
      </c>
      <c r="G385" s="1" t="s">
        <v>1834</v>
      </c>
      <c r="H385" s="1" t="s">
        <v>1812</v>
      </c>
      <c r="I385" s="10" t="str">
        <f>IF(H385="T78",1,IF(H385="T78",3,IF(H385="T94",6,IF(H385="T94",10,IF(H385="T126",14,IF(H385="T126",18,IF(H385="T94",22,"")))))))</f>
        <v/>
      </c>
      <c r="J385" s="1" t="s">
        <v>1808</v>
      </c>
      <c r="K385" s="10">
        <v>2</v>
      </c>
      <c r="L385" s="10">
        <v>1</v>
      </c>
      <c r="N385" s="10">
        <v>4</v>
      </c>
      <c r="O385" s="6"/>
      <c r="P385" s="45" t="s">
        <v>2347</v>
      </c>
      <c r="Q385" s="42" t="s">
        <v>2393</v>
      </c>
      <c r="R385" s="42"/>
      <c r="S385" s="1" t="s">
        <v>2557</v>
      </c>
    </row>
    <row r="386" spans="1:19" ht="18.75" customHeight="1" x14ac:dyDescent="0.3">
      <c r="A386" s="10">
        <v>385</v>
      </c>
      <c r="B386" s="10">
        <f>_xlfn.XLOOKUP(1,(VALUE(D386)&gt;=VALUE(block!$C$3:$C$500))*(VALUE(D386)&lt;VALUE(block!$C$3:$C$500)+VALUE(block!$D$3:$D$500)),block!$A$3:$A$500,"无匹配",0,1)</f>
        <v>9</v>
      </c>
      <c r="C386" s="3" t="str">
        <f>B386 &amp; "-" &amp; COUNTIF($B$2:B386, B386)</f>
        <v>9-36</v>
      </c>
      <c r="D386" s="10">
        <v>9174</v>
      </c>
      <c r="E386" s="1" t="s">
        <v>2558</v>
      </c>
      <c r="F386" s="1" t="s">
        <v>2559</v>
      </c>
      <c r="G386" s="1" t="s">
        <v>1836</v>
      </c>
      <c r="H386" s="1" t="s">
        <v>1812</v>
      </c>
      <c r="I386" s="10" t="str">
        <f>IF(H386="T79",1,IF(H386="T79",3,IF(H386="T95",6,IF(H386="T95",10,IF(H386="T127",14,IF(H386="T127",18,IF(H386="T95",22,"")))))))</f>
        <v/>
      </c>
      <c r="J386" s="1" t="s">
        <v>1808</v>
      </c>
      <c r="K386" s="10">
        <v>2</v>
      </c>
      <c r="L386" s="10">
        <v>1</v>
      </c>
      <c r="N386" s="10">
        <v>4</v>
      </c>
      <c r="O386" s="6"/>
      <c r="P386" s="45" t="s">
        <v>2347</v>
      </c>
      <c r="Q386" s="42" t="s">
        <v>2393</v>
      </c>
      <c r="R386" s="42"/>
      <c r="S386" s="1" t="s">
        <v>2559</v>
      </c>
    </row>
    <row r="387" spans="1:19" ht="18.75" customHeight="1" x14ac:dyDescent="0.3">
      <c r="A387" s="10">
        <v>386</v>
      </c>
      <c r="B387" s="10">
        <f>_xlfn.XLOOKUP(1,(VALUE(D387)&gt;=VALUE(block!$C$3:$C$500))*(VALUE(D387)&lt;VALUE(block!$C$3:$C$500)+VALUE(block!$D$3:$D$500)),block!$A$3:$A$500,"无匹配",0,1)</f>
        <v>9</v>
      </c>
      <c r="C387" s="3" t="str">
        <f>B387 &amp; "-" &amp; COUNTIF($B$2:B387, B387)</f>
        <v>9-37</v>
      </c>
      <c r="D387" s="10">
        <v>9176</v>
      </c>
      <c r="E387" s="1" t="s">
        <v>2560</v>
      </c>
      <c r="F387" s="1" t="s">
        <v>2561</v>
      </c>
      <c r="G387" s="1" t="s">
        <v>1830</v>
      </c>
      <c r="H387" s="1" t="s">
        <v>1812</v>
      </c>
      <c r="I387" s="10">
        <f>IF(H387="uint16",1,IF(H387="int16",3,IF(H387="uint32",6,IF(H387="int32",10,IF(H387="uint64",14,IF(H387="int64",18,IF(H387="float32",22,"")))))))</f>
        <v>22</v>
      </c>
      <c r="J387" s="1" t="s">
        <v>1808</v>
      </c>
      <c r="K387" s="10">
        <v>2</v>
      </c>
      <c r="L387" s="10">
        <v>1</v>
      </c>
      <c r="N387" s="10">
        <v>4</v>
      </c>
      <c r="O387" s="6"/>
      <c r="P387" s="45" t="s">
        <v>2347</v>
      </c>
      <c r="Q387" s="42" t="s">
        <v>2393</v>
      </c>
      <c r="R387" s="42"/>
      <c r="S387" s="1" t="s">
        <v>2561</v>
      </c>
    </row>
    <row r="388" spans="1:19" ht="18.75" customHeight="1" x14ac:dyDescent="0.3">
      <c r="A388" s="10">
        <v>387</v>
      </c>
      <c r="B388" s="10">
        <f>_xlfn.XLOOKUP(1,(VALUE(D388)&gt;=VALUE(block!$C$3:$C$500))*(VALUE(D388)&lt;VALUE(block!$C$3:$C$500)+VALUE(block!$D$3:$D$500)),block!$A$3:$A$500,"无匹配",0,1)</f>
        <v>9</v>
      </c>
      <c r="C388" s="3" t="str">
        <f>B388 &amp; "-" &amp; COUNTIF($B$2:B388, B388)</f>
        <v>9-38</v>
      </c>
      <c r="D388" s="10">
        <v>9178</v>
      </c>
      <c r="E388" s="1" t="s">
        <v>2562</v>
      </c>
      <c r="F388" s="1" t="s">
        <v>2563</v>
      </c>
      <c r="G388" s="1" t="s">
        <v>1832</v>
      </c>
      <c r="H388" s="1" t="s">
        <v>1812</v>
      </c>
      <c r="I388" s="10" t="str">
        <f>IF(H388="T17",1,IF(H388="T17",3,IF(H388="T33",6,IF(H388="T33",10,IF(H388="T65",14,IF(H388="T65",18,IF(H388="T33",22,"")))))))</f>
        <v/>
      </c>
      <c r="J388" s="1" t="s">
        <v>1808</v>
      </c>
      <c r="K388" s="10">
        <v>2</v>
      </c>
      <c r="L388" s="10">
        <v>1</v>
      </c>
      <c r="N388" s="10">
        <v>4</v>
      </c>
      <c r="O388" s="6"/>
      <c r="P388" s="45" t="s">
        <v>2347</v>
      </c>
      <c r="Q388" s="42" t="s">
        <v>2393</v>
      </c>
      <c r="R388" s="42"/>
      <c r="S388" s="1" t="s">
        <v>2563</v>
      </c>
    </row>
    <row r="389" spans="1:19" ht="18.75" customHeight="1" x14ac:dyDescent="0.3">
      <c r="A389" s="10">
        <v>388</v>
      </c>
      <c r="B389" s="10">
        <f>_xlfn.XLOOKUP(1,(VALUE(D389)&gt;=VALUE(block!$C$3:$C$500))*(VALUE(D389)&lt;VALUE(block!$C$3:$C$500)+VALUE(block!$D$3:$D$500)),block!$A$3:$A$500,"无匹配",0,1)</f>
        <v>9</v>
      </c>
      <c r="C389" s="3" t="str">
        <f>B389 &amp; "-" &amp; COUNTIF($B$2:B389, B389)</f>
        <v>9-39</v>
      </c>
      <c r="D389" s="10">
        <v>9180</v>
      </c>
      <c r="E389" s="1" t="s">
        <v>2564</v>
      </c>
      <c r="F389" s="1" t="s">
        <v>2565</v>
      </c>
      <c r="G389" s="1" t="s">
        <v>1832</v>
      </c>
      <c r="H389" s="1" t="s">
        <v>1812</v>
      </c>
      <c r="I389" s="10" t="str">
        <f>IF(H389="T18",1,IF(H389="T18",3,IF(H389="T34",6,IF(H389="T34",10,IF(H389="T66",14,IF(H389="T66",18,IF(H389="T34",22,"")))))))</f>
        <v/>
      </c>
      <c r="J389" s="1" t="s">
        <v>1808</v>
      </c>
      <c r="K389" s="10">
        <v>2</v>
      </c>
      <c r="L389" s="10">
        <v>1</v>
      </c>
      <c r="N389" s="10">
        <v>4</v>
      </c>
      <c r="O389" s="6"/>
      <c r="P389" s="45" t="s">
        <v>2347</v>
      </c>
      <c r="Q389" s="42" t="s">
        <v>2393</v>
      </c>
      <c r="R389" s="42"/>
      <c r="S389" s="1" t="s">
        <v>2565</v>
      </c>
    </row>
    <row r="390" spans="1:19" ht="18.75" customHeight="1" x14ac:dyDescent="0.3">
      <c r="A390" s="10">
        <v>389</v>
      </c>
      <c r="B390" s="10">
        <f>_xlfn.XLOOKUP(1,(VALUE(D390)&gt;=VALUE(block!$C$3:$C$500))*(VALUE(D390)&lt;VALUE(block!$C$3:$C$500)+VALUE(block!$D$3:$D$500)),block!$A$3:$A$500,"无匹配",0,1)</f>
        <v>9</v>
      </c>
      <c r="C390" s="3" t="str">
        <f>B390 &amp; "-" &amp; COUNTIF($B$2:B390, B390)</f>
        <v>9-40</v>
      </c>
      <c r="D390" s="10">
        <v>9182</v>
      </c>
      <c r="E390" s="1" t="s">
        <v>2566</v>
      </c>
      <c r="F390" s="1" t="s">
        <v>2567</v>
      </c>
      <c r="G390" s="1" t="s">
        <v>1834</v>
      </c>
      <c r="H390" s="1" t="s">
        <v>1812</v>
      </c>
      <c r="I390" s="10" t="str">
        <f>IF(H390="T19",1,IF(H390="T19",3,IF(H390="T35",6,IF(H390="T35",10,IF(H390="T67",14,IF(H390="T67",18,IF(H390="T35",22,"")))))))</f>
        <v/>
      </c>
      <c r="J390" s="1" t="s">
        <v>1808</v>
      </c>
      <c r="K390" s="10">
        <v>2</v>
      </c>
      <c r="L390" s="10">
        <v>1</v>
      </c>
      <c r="N390" s="10">
        <v>4</v>
      </c>
      <c r="O390" s="6"/>
      <c r="P390" s="45" t="s">
        <v>2347</v>
      </c>
      <c r="Q390" s="42" t="s">
        <v>2393</v>
      </c>
      <c r="R390" s="42"/>
      <c r="S390" s="1" t="s">
        <v>2567</v>
      </c>
    </row>
    <row r="391" spans="1:19" ht="18.75" customHeight="1" x14ac:dyDescent="0.3">
      <c r="A391" s="10">
        <v>390</v>
      </c>
      <c r="B391" s="10">
        <f>_xlfn.XLOOKUP(1,(VALUE(D391)&gt;=VALUE(block!$C$3:$C$500))*(VALUE(D391)&lt;VALUE(block!$C$3:$C$500)+VALUE(block!$D$3:$D$500)),block!$A$3:$A$500,"无匹配",0,1)</f>
        <v>9</v>
      </c>
      <c r="C391" s="3" t="str">
        <f>B391 &amp; "-" &amp; COUNTIF($B$2:B391, B391)</f>
        <v>9-41</v>
      </c>
      <c r="D391" s="10">
        <v>9184</v>
      </c>
      <c r="E391" s="1" t="s">
        <v>2568</v>
      </c>
      <c r="F391" s="1" t="s">
        <v>2569</v>
      </c>
      <c r="G391" s="1" t="s">
        <v>1834</v>
      </c>
      <c r="H391" s="1" t="s">
        <v>1812</v>
      </c>
      <c r="I391" s="10" t="str">
        <f>IF(H391="T20",1,IF(H391="T20",3,IF(H391="T36",6,IF(H391="T36",10,IF(H391="T68",14,IF(H391="T68",18,IF(H391="T36",22,"")))))))</f>
        <v/>
      </c>
      <c r="J391" s="1" t="s">
        <v>1808</v>
      </c>
      <c r="K391" s="10">
        <v>2</v>
      </c>
      <c r="L391" s="10">
        <v>1</v>
      </c>
      <c r="N391" s="10">
        <v>4</v>
      </c>
      <c r="O391" s="6"/>
      <c r="P391" s="45" t="s">
        <v>2347</v>
      </c>
      <c r="Q391" s="42" t="s">
        <v>2393</v>
      </c>
      <c r="R391" s="42"/>
      <c r="S391" s="1" t="s">
        <v>2569</v>
      </c>
    </row>
    <row r="392" spans="1:19" ht="18.75" customHeight="1" x14ac:dyDescent="0.3">
      <c r="A392" s="10">
        <v>391</v>
      </c>
      <c r="B392" s="10">
        <f>_xlfn.XLOOKUP(1,(VALUE(D392)&gt;=VALUE(block!$C$3:$C$500))*(VALUE(D392)&lt;VALUE(block!$C$3:$C$500)+VALUE(block!$D$3:$D$500)),block!$A$3:$A$500,"无匹配",0,1)</f>
        <v>9</v>
      </c>
      <c r="C392" s="3" t="str">
        <f>B392 &amp; "-" &amp; COUNTIF($B$2:B392, B392)</f>
        <v>9-42</v>
      </c>
      <c r="D392" s="10">
        <v>9186</v>
      </c>
      <c r="E392" s="1" t="s">
        <v>2570</v>
      </c>
      <c r="F392" s="1" t="s">
        <v>2571</v>
      </c>
      <c r="G392" s="1" t="s">
        <v>1836</v>
      </c>
      <c r="H392" s="1" t="s">
        <v>1812</v>
      </c>
      <c r="I392" s="10" t="str">
        <f>IF(H392="T21",1,IF(H392="T21",3,IF(H392="T37",6,IF(H392="T37",10,IF(H392="T69",14,IF(H392="T69",18,IF(H392="T37",22,"")))))))</f>
        <v/>
      </c>
      <c r="J392" s="1" t="s">
        <v>1808</v>
      </c>
      <c r="K392" s="10">
        <v>2</v>
      </c>
      <c r="L392" s="10">
        <v>1</v>
      </c>
      <c r="N392" s="10">
        <v>4</v>
      </c>
      <c r="O392" s="6"/>
      <c r="P392" s="45" t="s">
        <v>2347</v>
      </c>
      <c r="Q392" s="42" t="s">
        <v>2393</v>
      </c>
      <c r="R392" s="42"/>
      <c r="S392" s="1" t="s">
        <v>2571</v>
      </c>
    </row>
    <row r="393" spans="1:19" ht="18.75" customHeight="1" x14ac:dyDescent="0.3">
      <c r="A393" s="10">
        <v>392</v>
      </c>
      <c r="B393" s="10">
        <f>_xlfn.XLOOKUP(1,(VALUE(D393)&gt;=VALUE(block!$C$3:$C$500))*(VALUE(D393)&lt;VALUE(block!$C$3:$C$500)+VALUE(block!$D$3:$D$500)),block!$A$3:$A$500,"无匹配",0,1)</f>
        <v>9</v>
      </c>
      <c r="C393" s="3" t="str">
        <f>B393 &amp; "-" &amp; COUNTIF($B$2:B393, B393)</f>
        <v>9-43</v>
      </c>
      <c r="D393" s="10">
        <v>9188</v>
      </c>
      <c r="E393" s="1" t="s">
        <v>2572</v>
      </c>
      <c r="F393" s="1" t="s">
        <v>2573</v>
      </c>
      <c r="G393" s="1" t="s">
        <v>1830</v>
      </c>
      <c r="H393" s="1" t="s">
        <v>1812</v>
      </c>
      <c r="I393" s="10" t="str">
        <f>IF(H393="T22",1,IF(H393="T22",3,IF(H393="T38",6,IF(H393="T38",10,IF(H393="T70",14,IF(H393="T70",18,IF(H393="T38",22,"")))))))</f>
        <v/>
      </c>
      <c r="J393" s="1" t="s">
        <v>1808</v>
      </c>
      <c r="K393" s="10">
        <v>2</v>
      </c>
      <c r="L393" s="10">
        <v>1</v>
      </c>
      <c r="N393" s="10">
        <v>4</v>
      </c>
      <c r="O393" s="6"/>
      <c r="P393" s="45" t="s">
        <v>2347</v>
      </c>
      <c r="Q393" s="42" t="s">
        <v>2393</v>
      </c>
      <c r="R393" s="42"/>
      <c r="S393" s="1" t="s">
        <v>2573</v>
      </c>
    </row>
    <row r="394" spans="1:19" ht="18.75" customHeight="1" x14ac:dyDescent="0.3">
      <c r="A394" s="10">
        <v>393</v>
      </c>
      <c r="B394" s="10">
        <f>_xlfn.XLOOKUP(1,(VALUE(D394)&gt;=VALUE(block!$C$3:$C$500))*(VALUE(D394)&lt;VALUE(block!$C$3:$C$500)+VALUE(block!$D$3:$D$500)),block!$A$3:$A$500,"无匹配",0,1)</f>
        <v>9</v>
      </c>
      <c r="C394" s="3" t="str">
        <f>B394 &amp; "-" &amp; COUNTIF($B$2:B394, B394)</f>
        <v>9-44</v>
      </c>
      <c r="D394" s="10">
        <v>9190</v>
      </c>
      <c r="E394" s="1" t="s">
        <v>2574</v>
      </c>
      <c r="F394" s="1" t="s">
        <v>2575</v>
      </c>
      <c r="G394" s="1" t="s">
        <v>1832</v>
      </c>
      <c r="H394" s="1" t="s">
        <v>1812</v>
      </c>
      <c r="I394" s="10" t="str">
        <f>IF(H394="T23",1,IF(H394="T23",3,IF(H394="T39",6,IF(H394="T39",10,IF(H394="T71",14,IF(H394="T71",18,IF(H394="T39",22,"")))))))</f>
        <v/>
      </c>
      <c r="J394" s="1" t="s">
        <v>1808</v>
      </c>
      <c r="K394" s="10">
        <v>2</v>
      </c>
      <c r="L394" s="10">
        <v>1</v>
      </c>
      <c r="N394" s="10">
        <v>4</v>
      </c>
      <c r="O394" s="6"/>
      <c r="P394" s="45" t="s">
        <v>2347</v>
      </c>
      <c r="Q394" s="42" t="s">
        <v>2393</v>
      </c>
      <c r="R394" s="42"/>
      <c r="S394" s="1" t="s">
        <v>2575</v>
      </c>
    </row>
    <row r="395" spans="1:19" ht="18.75" customHeight="1" x14ac:dyDescent="0.3">
      <c r="A395" s="10">
        <v>394</v>
      </c>
      <c r="B395" s="10">
        <f>_xlfn.XLOOKUP(1,(VALUE(D395)&gt;=VALUE(block!$C$3:$C$500))*(VALUE(D395)&lt;VALUE(block!$C$3:$C$500)+VALUE(block!$D$3:$D$500)),block!$A$3:$A$500,"无匹配",0,1)</f>
        <v>9</v>
      </c>
      <c r="C395" s="3" t="str">
        <f>B395 &amp; "-" &amp; COUNTIF($B$2:B395, B395)</f>
        <v>9-45</v>
      </c>
      <c r="D395" s="10">
        <v>9192</v>
      </c>
      <c r="E395" s="1" t="s">
        <v>2576</v>
      </c>
      <c r="F395" s="1" t="s">
        <v>2577</v>
      </c>
      <c r="G395" s="1" t="s">
        <v>1832</v>
      </c>
      <c r="H395" s="1" t="s">
        <v>1812</v>
      </c>
      <c r="I395" s="10" t="str">
        <f>IF(H395="T24",1,IF(H395="T24",3,IF(H395="T40",6,IF(H395="T40",10,IF(H395="T72",14,IF(H395="T72",18,IF(H395="T40",22,"")))))))</f>
        <v/>
      </c>
      <c r="J395" s="1" t="s">
        <v>1808</v>
      </c>
      <c r="K395" s="10">
        <v>2</v>
      </c>
      <c r="L395" s="10">
        <v>1</v>
      </c>
      <c r="N395" s="10">
        <v>4</v>
      </c>
      <c r="O395" s="6"/>
      <c r="P395" s="45" t="s">
        <v>2347</v>
      </c>
      <c r="Q395" s="42" t="s">
        <v>2393</v>
      </c>
      <c r="R395" s="42"/>
      <c r="S395" s="1" t="s">
        <v>2577</v>
      </c>
    </row>
    <row r="396" spans="1:19" ht="18.75" customHeight="1" x14ac:dyDescent="0.3">
      <c r="A396" s="10">
        <v>395</v>
      </c>
      <c r="B396" s="10">
        <f>_xlfn.XLOOKUP(1,(VALUE(D396)&gt;=VALUE(block!$C$3:$C$500))*(VALUE(D396)&lt;VALUE(block!$C$3:$C$500)+VALUE(block!$D$3:$D$500)),block!$A$3:$A$500,"无匹配",0,1)</f>
        <v>9</v>
      </c>
      <c r="C396" s="3" t="str">
        <f>B396 &amp; "-" &amp; COUNTIF($B$2:B396, B396)</f>
        <v>9-46</v>
      </c>
      <c r="D396" s="10">
        <v>9194</v>
      </c>
      <c r="E396" s="1" t="s">
        <v>2578</v>
      </c>
      <c r="F396" s="1" t="s">
        <v>2579</v>
      </c>
      <c r="G396" s="1" t="s">
        <v>1834</v>
      </c>
      <c r="H396" s="1" t="s">
        <v>1812</v>
      </c>
      <c r="I396" s="10" t="str">
        <f>IF(H396="T25",1,IF(H396="T25",3,IF(H396="T41",6,IF(H396="T41",10,IF(H396="T73",14,IF(H396="T73",18,IF(H396="T41",22,"")))))))</f>
        <v/>
      </c>
      <c r="J396" s="1" t="s">
        <v>1808</v>
      </c>
      <c r="K396" s="10">
        <v>2</v>
      </c>
      <c r="L396" s="10">
        <v>1</v>
      </c>
      <c r="N396" s="10">
        <v>4</v>
      </c>
      <c r="O396" s="6"/>
      <c r="P396" s="45" t="s">
        <v>2347</v>
      </c>
      <c r="Q396" s="42" t="s">
        <v>2393</v>
      </c>
      <c r="R396" s="42"/>
      <c r="S396" s="1" t="s">
        <v>2579</v>
      </c>
    </row>
    <row r="397" spans="1:19" ht="18.75" customHeight="1" x14ac:dyDescent="0.3">
      <c r="A397" s="10">
        <v>396</v>
      </c>
      <c r="B397" s="10">
        <f>_xlfn.XLOOKUP(1,(VALUE(D397)&gt;=VALUE(block!$C$3:$C$500))*(VALUE(D397)&lt;VALUE(block!$C$3:$C$500)+VALUE(block!$D$3:$D$500)),block!$A$3:$A$500,"无匹配",0,1)</f>
        <v>9</v>
      </c>
      <c r="C397" s="3" t="str">
        <f>B397 &amp; "-" &amp; COUNTIF($B$2:B397, B397)</f>
        <v>9-47</v>
      </c>
      <c r="D397" s="10">
        <v>9196</v>
      </c>
      <c r="E397" s="1" t="s">
        <v>2580</v>
      </c>
      <c r="F397" s="1" t="s">
        <v>2581</v>
      </c>
      <c r="G397" s="1" t="s">
        <v>1834</v>
      </c>
      <c r="H397" s="1" t="s">
        <v>1812</v>
      </c>
      <c r="I397" s="10" t="str">
        <f>IF(H397="T26",1,IF(H397="T26",3,IF(H397="T42",6,IF(H397="T42",10,IF(H397="T74",14,IF(H397="T74",18,IF(H397="T42",22,"")))))))</f>
        <v/>
      </c>
      <c r="J397" s="1" t="s">
        <v>1808</v>
      </c>
      <c r="K397" s="10">
        <v>2</v>
      </c>
      <c r="L397" s="10">
        <v>1</v>
      </c>
      <c r="N397" s="10">
        <v>4</v>
      </c>
      <c r="O397" s="6"/>
      <c r="P397" s="45" t="s">
        <v>2347</v>
      </c>
      <c r="Q397" s="42" t="s">
        <v>2393</v>
      </c>
      <c r="R397" s="42"/>
      <c r="S397" s="1" t="s">
        <v>2581</v>
      </c>
    </row>
    <row r="398" spans="1:19" ht="18.75" customHeight="1" x14ac:dyDescent="0.3">
      <c r="A398" s="10">
        <v>397</v>
      </c>
      <c r="B398" s="10">
        <f>_xlfn.XLOOKUP(1,(VALUE(D398)&gt;=VALUE(block!$C$3:$C$500))*(VALUE(D398)&lt;VALUE(block!$C$3:$C$500)+VALUE(block!$D$3:$D$500)),block!$A$3:$A$500,"无匹配",0,1)</f>
        <v>9</v>
      </c>
      <c r="C398" s="3" t="str">
        <f>B398 &amp; "-" &amp; COUNTIF($B$2:B398, B398)</f>
        <v>9-48</v>
      </c>
      <c r="D398" s="10">
        <v>9198</v>
      </c>
      <c r="E398" s="1" t="s">
        <v>2582</v>
      </c>
      <c r="F398" s="1" t="s">
        <v>2583</v>
      </c>
      <c r="G398" s="1" t="s">
        <v>1836</v>
      </c>
      <c r="H398" s="1" t="s">
        <v>1812</v>
      </c>
      <c r="I398" s="10" t="str">
        <f>IF(H398="T27",1,IF(H398="T27",3,IF(H398="T43",6,IF(H398="T43",10,IF(H398="T75",14,IF(H398="T75",18,IF(H398="T43",22,"")))))))</f>
        <v/>
      </c>
      <c r="J398" s="1" t="s">
        <v>1808</v>
      </c>
      <c r="K398" s="10">
        <v>2</v>
      </c>
      <c r="L398" s="10">
        <v>1</v>
      </c>
      <c r="N398" s="10">
        <v>4</v>
      </c>
      <c r="O398" s="6"/>
      <c r="P398" s="45" t="s">
        <v>2347</v>
      </c>
      <c r="Q398" s="42" t="s">
        <v>2393</v>
      </c>
      <c r="R398" s="42"/>
      <c r="S398" s="1" t="s">
        <v>2583</v>
      </c>
    </row>
    <row r="399" spans="1:19" ht="18.75" customHeight="1" x14ac:dyDescent="0.3">
      <c r="A399" s="10">
        <v>398</v>
      </c>
      <c r="B399" s="10">
        <f>_xlfn.XLOOKUP(1,(VALUE(D399)&gt;=VALUE(block!$C$3:$C$500))*(VALUE(D399)&lt;VALUE(block!$C$3:$C$500)+VALUE(block!$D$3:$D$500)),block!$A$3:$A$500,"无匹配",0,1)</f>
        <v>10</v>
      </c>
      <c r="C399" s="3" t="str">
        <f>B399 &amp; "-" &amp; COUNTIF($B$2:B399, B399)</f>
        <v>10-1</v>
      </c>
      <c r="D399" s="10">
        <v>9200</v>
      </c>
      <c r="E399" s="1" t="s">
        <v>2584</v>
      </c>
      <c r="F399" s="1" t="s">
        <v>2585</v>
      </c>
      <c r="G399" s="1" t="s">
        <v>1830</v>
      </c>
      <c r="H399" s="1" t="s">
        <v>1812</v>
      </c>
      <c r="I399" s="10" t="str">
        <f>IF(H399="T28",1,IF(H399="T28",3,IF(H399="T44",6,IF(H399="T44",10,IF(H399="T76",14,IF(H399="T76",18,IF(H399="T44",22,"")))))))</f>
        <v/>
      </c>
      <c r="J399" s="1" t="s">
        <v>1808</v>
      </c>
      <c r="K399" s="10">
        <v>2</v>
      </c>
      <c r="L399" s="10">
        <v>1</v>
      </c>
      <c r="N399" s="10">
        <v>4</v>
      </c>
      <c r="O399" s="6"/>
      <c r="P399" s="45" t="s">
        <v>2347</v>
      </c>
      <c r="Q399" s="42" t="s">
        <v>2393</v>
      </c>
      <c r="R399" s="42"/>
      <c r="S399" s="1" t="s">
        <v>2585</v>
      </c>
    </row>
    <row r="400" spans="1:19" ht="18.75" customHeight="1" x14ac:dyDescent="0.3">
      <c r="A400" s="10">
        <v>399</v>
      </c>
      <c r="B400" s="10">
        <f>_xlfn.XLOOKUP(1,(VALUE(D400)&gt;=VALUE(block!$C$3:$C$500))*(VALUE(D400)&lt;VALUE(block!$C$3:$C$500)+VALUE(block!$D$3:$D$500)),block!$A$3:$A$500,"无匹配",0,1)</f>
        <v>10</v>
      </c>
      <c r="C400" s="3" t="str">
        <f>B400 &amp; "-" &amp; COUNTIF($B$2:B400, B400)</f>
        <v>10-2</v>
      </c>
      <c r="D400" s="10">
        <v>9202</v>
      </c>
      <c r="E400" s="1" t="s">
        <v>2586</v>
      </c>
      <c r="F400" s="1" t="s">
        <v>2587</v>
      </c>
      <c r="G400" s="1" t="s">
        <v>1832</v>
      </c>
      <c r="H400" s="1" t="s">
        <v>1812</v>
      </c>
      <c r="I400" s="10" t="str">
        <f>IF(H400="T29",1,IF(H400="T29",3,IF(H400="T45",6,IF(H400="T45",10,IF(H400="T77",14,IF(H400="T77",18,IF(H400="T45",22,"")))))))</f>
        <v/>
      </c>
      <c r="J400" s="1" t="s">
        <v>1808</v>
      </c>
      <c r="K400" s="10">
        <v>2</v>
      </c>
      <c r="L400" s="10">
        <v>1</v>
      </c>
      <c r="N400" s="10">
        <v>4</v>
      </c>
      <c r="O400" s="6"/>
      <c r="P400" s="45" t="s">
        <v>2347</v>
      </c>
      <c r="Q400" s="42" t="s">
        <v>2393</v>
      </c>
      <c r="R400" s="42"/>
      <c r="S400" s="1" t="s">
        <v>2587</v>
      </c>
    </row>
    <row r="401" spans="1:19" ht="18.75" customHeight="1" x14ac:dyDescent="0.3">
      <c r="A401" s="10">
        <v>400</v>
      </c>
      <c r="B401" s="10">
        <f>_xlfn.XLOOKUP(1,(VALUE(D401)&gt;=VALUE(block!$C$3:$C$500))*(VALUE(D401)&lt;VALUE(block!$C$3:$C$500)+VALUE(block!$D$3:$D$500)),block!$A$3:$A$500,"无匹配",0,1)</f>
        <v>10</v>
      </c>
      <c r="C401" s="3" t="str">
        <f>B401 &amp; "-" &amp; COUNTIF($B$2:B401, B401)</f>
        <v>10-3</v>
      </c>
      <c r="D401" s="10">
        <v>9204</v>
      </c>
      <c r="E401" s="1" t="s">
        <v>2588</v>
      </c>
      <c r="F401" s="1" t="s">
        <v>2589</v>
      </c>
      <c r="G401" s="1" t="s">
        <v>1832</v>
      </c>
      <c r="H401" s="1" t="s">
        <v>1812</v>
      </c>
      <c r="I401" s="10" t="str">
        <f>IF(H401="T30",1,IF(H401="T30",3,IF(H401="T46",6,IF(H401="T46",10,IF(H401="T78",14,IF(H401="T78",18,IF(H401="T46",22,"")))))))</f>
        <v/>
      </c>
      <c r="J401" s="1" t="s">
        <v>1808</v>
      </c>
      <c r="K401" s="10">
        <v>2</v>
      </c>
      <c r="L401" s="10">
        <v>1</v>
      </c>
      <c r="N401" s="10">
        <v>4</v>
      </c>
      <c r="O401" s="6"/>
      <c r="P401" s="45" t="s">
        <v>2347</v>
      </c>
      <c r="Q401" s="42" t="s">
        <v>2393</v>
      </c>
      <c r="R401" s="42"/>
      <c r="S401" s="1" t="s">
        <v>2589</v>
      </c>
    </row>
    <row r="402" spans="1:19" ht="18.75" customHeight="1" x14ac:dyDescent="0.3">
      <c r="A402" s="10">
        <v>401</v>
      </c>
      <c r="B402" s="10">
        <f>_xlfn.XLOOKUP(1,(VALUE(D402)&gt;=VALUE(block!$C$3:$C$500))*(VALUE(D402)&lt;VALUE(block!$C$3:$C$500)+VALUE(block!$D$3:$D$500)),block!$A$3:$A$500,"无匹配",0,1)</f>
        <v>10</v>
      </c>
      <c r="C402" s="3" t="str">
        <f>B402 &amp; "-" &amp; COUNTIF($B$2:B402, B402)</f>
        <v>10-4</v>
      </c>
      <c r="D402" s="10">
        <v>9206</v>
      </c>
      <c r="E402" s="1" t="s">
        <v>2590</v>
      </c>
      <c r="F402" s="1" t="s">
        <v>2591</v>
      </c>
      <c r="G402" s="1" t="s">
        <v>1834</v>
      </c>
      <c r="H402" s="1" t="s">
        <v>1812</v>
      </c>
      <c r="I402" s="10" t="str">
        <f>IF(H402="T31",1,IF(H402="T31",3,IF(H402="T47",6,IF(H402="T47",10,IF(H402="T79",14,IF(H402="T79",18,IF(H402="T47",22,"")))))))</f>
        <v/>
      </c>
      <c r="J402" s="1" t="s">
        <v>1808</v>
      </c>
      <c r="K402" s="10">
        <v>2</v>
      </c>
      <c r="L402" s="10">
        <v>1</v>
      </c>
      <c r="N402" s="10">
        <v>4</v>
      </c>
      <c r="O402" s="6"/>
      <c r="P402" s="45" t="s">
        <v>2347</v>
      </c>
      <c r="Q402" s="42" t="s">
        <v>2393</v>
      </c>
      <c r="R402" s="42"/>
      <c r="S402" s="1" t="s">
        <v>2591</v>
      </c>
    </row>
    <row r="403" spans="1:19" ht="18.75" customHeight="1" x14ac:dyDescent="0.3">
      <c r="A403" s="10">
        <v>402</v>
      </c>
      <c r="B403" s="10">
        <f>_xlfn.XLOOKUP(1,(VALUE(D403)&gt;=VALUE(block!$C$3:$C$500))*(VALUE(D403)&lt;VALUE(block!$C$3:$C$500)+VALUE(block!$D$3:$D$500)),block!$A$3:$A$500,"无匹配",0,1)</f>
        <v>10</v>
      </c>
      <c r="C403" s="3" t="str">
        <f>B403 &amp; "-" &amp; COUNTIF($B$2:B403, B403)</f>
        <v>10-5</v>
      </c>
      <c r="D403" s="10">
        <v>9208</v>
      </c>
      <c r="E403" s="1" t="s">
        <v>2592</v>
      </c>
      <c r="F403" s="1" t="s">
        <v>2593</v>
      </c>
      <c r="G403" s="1" t="s">
        <v>1834</v>
      </c>
      <c r="H403" s="1" t="s">
        <v>1812</v>
      </c>
      <c r="I403" s="10" t="str">
        <f>IF(H403="T32",1,IF(H403="T32",3,IF(H403="T48",6,IF(H403="T48",10,IF(H403="T80",14,IF(H403="T80",18,IF(H403="T48",22,"")))))))</f>
        <v/>
      </c>
      <c r="J403" s="1" t="s">
        <v>1808</v>
      </c>
      <c r="K403" s="10">
        <v>2</v>
      </c>
      <c r="L403" s="10">
        <v>1</v>
      </c>
      <c r="N403" s="10">
        <v>4</v>
      </c>
      <c r="O403" s="6"/>
      <c r="P403" s="45" t="s">
        <v>2347</v>
      </c>
      <c r="Q403" s="42" t="s">
        <v>2393</v>
      </c>
      <c r="R403" s="42"/>
      <c r="S403" s="1" t="s">
        <v>2593</v>
      </c>
    </row>
    <row r="404" spans="1:19" ht="18.75" customHeight="1" x14ac:dyDescent="0.3">
      <c r="A404" s="10">
        <v>403</v>
      </c>
      <c r="B404" s="10">
        <f>_xlfn.XLOOKUP(1,(VALUE(D404)&gt;=VALUE(block!$C$3:$C$500))*(VALUE(D404)&lt;VALUE(block!$C$3:$C$500)+VALUE(block!$D$3:$D$500)),block!$A$3:$A$500,"无匹配",0,1)</f>
        <v>10</v>
      </c>
      <c r="C404" s="3" t="str">
        <f>B404 &amp; "-" &amp; COUNTIF($B$2:B404, B404)</f>
        <v>10-6</v>
      </c>
      <c r="D404" s="10">
        <v>9210</v>
      </c>
      <c r="E404" s="1" t="s">
        <v>2594</v>
      </c>
      <c r="F404" s="1" t="s">
        <v>2595</v>
      </c>
      <c r="G404" s="1" t="s">
        <v>1836</v>
      </c>
      <c r="H404" s="1" t="s">
        <v>1812</v>
      </c>
      <c r="I404" s="10" t="str">
        <f>IF(H404="T33",1,IF(H404="T33",3,IF(H404="T49",6,IF(H404="T49",10,IF(H404="T81",14,IF(H404="T81",18,IF(H404="T49",22,"")))))))</f>
        <v/>
      </c>
      <c r="J404" s="1" t="s">
        <v>1808</v>
      </c>
      <c r="K404" s="10">
        <v>2</v>
      </c>
      <c r="L404" s="10">
        <v>1</v>
      </c>
      <c r="N404" s="10">
        <v>4</v>
      </c>
      <c r="O404" s="6"/>
      <c r="P404" s="45" t="s">
        <v>2347</v>
      </c>
      <c r="Q404" s="42" t="s">
        <v>2393</v>
      </c>
      <c r="R404" s="42"/>
      <c r="S404" s="1" t="s">
        <v>2595</v>
      </c>
    </row>
    <row r="405" spans="1:19" ht="18.75" customHeight="1" x14ac:dyDescent="0.3">
      <c r="A405" s="10">
        <v>404</v>
      </c>
      <c r="B405" s="10">
        <f>_xlfn.XLOOKUP(1,(VALUE(D405)&gt;=VALUE(block!$C$3:$C$500))*(VALUE(D405)&lt;VALUE(block!$C$3:$C$500)+VALUE(block!$D$3:$D$500)),block!$A$3:$A$500,"无匹配",0,1)</f>
        <v>10</v>
      </c>
      <c r="C405" s="3" t="str">
        <f>B405 &amp; "-" &amp; COUNTIF($B$2:B405, B405)</f>
        <v>10-7</v>
      </c>
      <c r="D405" s="10">
        <v>9212</v>
      </c>
      <c r="E405" s="1" t="s">
        <v>2596</v>
      </c>
      <c r="F405" s="1" t="s">
        <v>2597</v>
      </c>
      <c r="G405" s="1" t="s">
        <v>1830</v>
      </c>
      <c r="H405" s="1" t="s">
        <v>1812</v>
      </c>
      <c r="I405" s="10" t="str">
        <f>IF(H405="T34",1,IF(H405="T34",3,IF(H405="T50",6,IF(H405="T50",10,IF(H405="T82",14,IF(H405="T82",18,IF(H405="T50",22,"")))))))</f>
        <v/>
      </c>
      <c r="J405" s="1" t="s">
        <v>1808</v>
      </c>
      <c r="K405" s="10">
        <v>2</v>
      </c>
      <c r="L405" s="10">
        <v>1</v>
      </c>
      <c r="N405" s="10">
        <v>4</v>
      </c>
      <c r="O405" s="6"/>
      <c r="P405" s="45" t="s">
        <v>2347</v>
      </c>
      <c r="Q405" s="42" t="s">
        <v>2393</v>
      </c>
      <c r="R405" s="42"/>
      <c r="S405" s="1" t="s">
        <v>2597</v>
      </c>
    </row>
    <row r="406" spans="1:19" ht="18.75" customHeight="1" x14ac:dyDescent="0.3">
      <c r="A406" s="10">
        <v>405</v>
      </c>
      <c r="B406" s="10">
        <f>_xlfn.XLOOKUP(1,(VALUE(D406)&gt;=VALUE(block!$C$3:$C$500))*(VALUE(D406)&lt;VALUE(block!$C$3:$C$500)+VALUE(block!$D$3:$D$500)),block!$A$3:$A$500,"无匹配",0,1)</f>
        <v>10</v>
      </c>
      <c r="C406" s="3" t="str">
        <f>B406 &amp; "-" &amp; COUNTIF($B$2:B406, B406)</f>
        <v>10-8</v>
      </c>
      <c r="D406" s="10">
        <v>9214</v>
      </c>
      <c r="E406" s="1" t="s">
        <v>2598</v>
      </c>
      <c r="F406" s="1" t="s">
        <v>2599</v>
      </c>
      <c r="G406" s="1" t="s">
        <v>1832</v>
      </c>
      <c r="H406" s="1" t="s">
        <v>1812</v>
      </c>
      <c r="I406" s="10" t="str">
        <f>IF(H406="T35",1,IF(H406="T35",3,IF(H406="T51",6,IF(H406="T51",10,IF(H406="T83",14,IF(H406="T83",18,IF(H406="T51",22,"")))))))</f>
        <v/>
      </c>
      <c r="J406" s="1" t="s">
        <v>1808</v>
      </c>
      <c r="K406" s="10">
        <v>2</v>
      </c>
      <c r="L406" s="10">
        <v>1</v>
      </c>
      <c r="N406" s="10">
        <v>4</v>
      </c>
      <c r="O406" s="6"/>
      <c r="P406" s="45" t="s">
        <v>2347</v>
      </c>
      <c r="Q406" s="42" t="s">
        <v>2393</v>
      </c>
      <c r="R406" s="42"/>
      <c r="S406" s="1" t="s">
        <v>2599</v>
      </c>
    </row>
    <row r="407" spans="1:19" ht="18.75" customHeight="1" x14ac:dyDescent="0.3">
      <c r="A407" s="10">
        <v>406</v>
      </c>
      <c r="B407" s="10">
        <f>_xlfn.XLOOKUP(1,(VALUE(D407)&gt;=VALUE(block!$C$3:$C$500))*(VALUE(D407)&lt;VALUE(block!$C$3:$C$500)+VALUE(block!$D$3:$D$500)),block!$A$3:$A$500,"无匹配",0,1)</f>
        <v>10</v>
      </c>
      <c r="C407" s="3" t="str">
        <f>B407 &amp; "-" &amp; COUNTIF($B$2:B407, B407)</f>
        <v>10-9</v>
      </c>
      <c r="D407" s="10">
        <v>9216</v>
      </c>
      <c r="E407" s="1" t="s">
        <v>2600</v>
      </c>
      <c r="F407" s="1" t="s">
        <v>2601</v>
      </c>
      <c r="G407" s="1" t="s">
        <v>1832</v>
      </c>
      <c r="H407" s="1" t="s">
        <v>1812</v>
      </c>
      <c r="I407" s="10" t="str">
        <f>IF(H407="T36",1,IF(H407="T36",3,IF(H407="T52",6,IF(H407="T52",10,IF(H407="T84",14,IF(H407="T84",18,IF(H407="T52",22,"")))))))</f>
        <v/>
      </c>
      <c r="J407" s="1" t="s">
        <v>1808</v>
      </c>
      <c r="K407" s="10">
        <v>2</v>
      </c>
      <c r="L407" s="10">
        <v>1</v>
      </c>
      <c r="N407" s="10">
        <v>4</v>
      </c>
      <c r="O407" s="6"/>
      <c r="P407" s="45" t="s">
        <v>2347</v>
      </c>
      <c r="Q407" s="42" t="s">
        <v>2393</v>
      </c>
      <c r="R407" s="42"/>
      <c r="S407" s="1" t="s">
        <v>2601</v>
      </c>
    </row>
    <row r="408" spans="1:19" ht="18.75" customHeight="1" x14ac:dyDescent="0.3">
      <c r="A408" s="10">
        <v>407</v>
      </c>
      <c r="B408" s="10">
        <f>_xlfn.XLOOKUP(1,(VALUE(D408)&gt;=VALUE(block!$C$3:$C$500))*(VALUE(D408)&lt;VALUE(block!$C$3:$C$500)+VALUE(block!$D$3:$D$500)),block!$A$3:$A$500,"无匹配",0,1)</f>
        <v>10</v>
      </c>
      <c r="C408" s="3" t="str">
        <f>B408 &amp; "-" &amp; COUNTIF($B$2:B408, B408)</f>
        <v>10-10</v>
      </c>
      <c r="D408" s="10">
        <v>9218</v>
      </c>
      <c r="E408" s="1" t="s">
        <v>2602</v>
      </c>
      <c r="F408" s="1" t="s">
        <v>2603</v>
      </c>
      <c r="G408" s="1" t="s">
        <v>1834</v>
      </c>
      <c r="H408" s="1" t="s">
        <v>1812</v>
      </c>
      <c r="I408" s="10" t="str">
        <f>IF(H408="T37",1,IF(H408="T37",3,IF(H408="T53",6,IF(H408="T53",10,IF(H408="T85",14,IF(H408="T85",18,IF(H408="T53",22,"")))))))</f>
        <v/>
      </c>
      <c r="J408" s="1" t="s">
        <v>1808</v>
      </c>
      <c r="K408" s="10">
        <v>2</v>
      </c>
      <c r="L408" s="10">
        <v>1</v>
      </c>
      <c r="N408" s="10">
        <v>4</v>
      </c>
      <c r="O408" s="6"/>
      <c r="P408" s="45" t="s">
        <v>2347</v>
      </c>
      <c r="Q408" s="42" t="s">
        <v>2393</v>
      </c>
      <c r="R408" s="42"/>
      <c r="S408" s="1" t="s">
        <v>2603</v>
      </c>
    </row>
    <row r="409" spans="1:19" ht="18.75" customHeight="1" x14ac:dyDescent="0.3">
      <c r="A409" s="10">
        <v>408</v>
      </c>
      <c r="B409" s="10">
        <f>_xlfn.XLOOKUP(1,(VALUE(D409)&gt;=VALUE(block!$C$3:$C$500))*(VALUE(D409)&lt;VALUE(block!$C$3:$C$500)+VALUE(block!$D$3:$D$500)),block!$A$3:$A$500,"无匹配",0,1)</f>
        <v>10</v>
      </c>
      <c r="C409" s="3" t="str">
        <f>B409 &amp; "-" &amp; COUNTIF($B$2:B409, B409)</f>
        <v>10-11</v>
      </c>
      <c r="D409" s="10">
        <v>9220</v>
      </c>
      <c r="E409" s="1" t="s">
        <v>2604</v>
      </c>
      <c r="F409" s="1" t="s">
        <v>2605</v>
      </c>
      <c r="G409" s="1" t="s">
        <v>1834</v>
      </c>
      <c r="H409" s="1" t="s">
        <v>1812</v>
      </c>
      <c r="I409" s="10" t="str">
        <f>IF(H409="T38",1,IF(H409="T38",3,IF(H409="T54",6,IF(H409="T54",10,IF(H409="T86",14,IF(H409="T86",18,IF(H409="T54",22,"")))))))</f>
        <v/>
      </c>
      <c r="J409" s="1" t="s">
        <v>1808</v>
      </c>
      <c r="K409" s="10">
        <v>2</v>
      </c>
      <c r="L409" s="10">
        <v>1</v>
      </c>
      <c r="N409" s="10">
        <v>4</v>
      </c>
      <c r="O409" s="6"/>
      <c r="P409" s="45" t="s">
        <v>2347</v>
      </c>
      <c r="Q409" s="42" t="s">
        <v>2393</v>
      </c>
      <c r="R409" s="42"/>
      <c r="S409" s="1" t="s">
        <v>2605</v>
      </c>
    </row>
    <row r="410" spans="1:19" ht="18.75" customHeight="1" x14ac:dyDescent="0.3">
      <c r="A410" s="10">
        <v>409</v>
      </c>
      <c r="B410" s="10">
        <f>_xlfn.XLOOKUP(1,(VALUE(D410)&gt;=VALUE(block!$C$3:$C$500))*(VALUE(D410)&lt;VALUE(block!$C$3:$C$500)+VALUE(block!$D$3:$D$500)),block!$A$3:$A$500,"无匹配",0,1)</f>
        <v>10</v>
      </c>
      <c r="C410" s="3" t="str">
        <f>B410 &amp; "-" &amp; COUNTIF($B$2:B410, B410)</f>
        <v>10-12</v>
      </c>
      <c r="D410" s="10">
        <v>9222</v>
      </c>
      <c r="E410" s="1" t="s">
        <v>2606</v>
      </c>
      <c r="F410" s="1" t="s">
        <v>2607</v>
      </c>
      <c r="G410" s="1" t="s">
        <v>1836</v>
      </c>
      <c r="H410" s="1" t="s">
        <v>1812</v>
      </c>
      <c r="I410" s="10" t="str">
        <f>IF(H410="T39",1,IF(H410="T39",3,IF(H410="T55",6,IF(H410="T55",10,IF(H410="T87",14,IF(H410="T87",18,IF(H410="T55",22,"")))))))</f>
        <v/>
      </c>
      <c r="J410" s="1" t="s">
        <v>1808</v>
      </c>
      <c r="K410" s="10">
        <v>2</v>
      </c>
      <c r="L410" s="10">
        <v>1</v>
      </c>
      <c r="N410" s="10">
        <v>4</v>
      </c>
      <c r="O410" s="6"/>
      <c r="P410" s="45" t="s">
        <v>2347</v>
      </c>
      <c r="Q410" s="42" t="s">
        <v>2393</v>
      </c>
      <c r="R410" s="42"/>
      <c r="S410" s="1" t="s">
        <v>2607</v>
      </c>
    </row>
    <row r="411" spans="1:19" ht="18.75" customHeight="1" x14ac:dyDescent="0.3">
      <c r="A411" s="10">
        <v>410</v>
      </c>
      <c r="B411" s="10">
        <f>_xlfn.XLOOKUP(1,(VALUE(D411)&gt;=VALUE(block!$C$3:$C$500))*(VALUE(D411)&lt;VALUE(block!$C$3:$C$500)+VALUE(block!$D$3:$D$500)),block!$A$3:$A$500,"无匹配",0,1)</f>
        <v>10</v>
      </c>
      <c r="C411" s="3" t="str">
        <f>B411 &amp; "-" &amp; COUNTIF($B$2:B411, B411)</f>
        <v>10-13</v>
      </c>
      <c r="D411" s="10">
        <v>9224</v>
      </c>
      <c r="E411" s="1" t="s">
        <v>2608</v>
      </c>
      <c r="F411" s="1" t="s">
        <v>2609</v>
      </c>
      <c r="G411" s="1" t="s">
        <v>1830</v>
      </c>
      <c r="H411" s="1" t="s">
        <v>1812</v>
      </c>
      <c r="I411" s="10" t="str">
        <f>IF(H411="T40",1,IF(H411="T40",3,IF(H411="T56",6,IF(H411="T56",10,IF(H411="T88",14,IF(H411="T88",18,IF(H411="T56",22,"")))))))</f>
        <v/>
      </c>
      <c r="J411" s="1" t="s">
        <v>1808</v>
      </c>
      <c r="K411" s="10">
        <v>2</v>
      </c>
      <c r="L411" s="10">
        <v>1</v>
      </c>
      <c r="N411" s="10">
        <v>4</v>
      </c>
      <c r="O411" s="6"/>
      <c r="P411" s="45" t="s">
        <v>2347</v>
      </c>
      <c r="Q411" s="42" t="s">
        <v>2393</v>
      </c>
      <c r="R411" s="42"/>
      <c r="S411" s="1" t="s">
        <v>2609</v>
      </c>
    </row>
    <row r="412" spans="1:19" ht="18.75" customHeight="1" x14ac:dyDescent="0.3">
      <c r="A412" s="10">
        <v>411</v>
      </c>
      <c r="B412" s="10">
        <f>_xlfn.XLOOKUP(1,(VALUE(D412)&gt;=VALUE(block!$C$3:$C$500))*(VALUE(D412)&lt;VALUE(block!$C$3:$C$500)+VALUE(block!$D$3:$D$500)),block!$A$3:$A$500,"无匹配",0,1)</f>
        <v>10</v>
      </c>
      <c r="C412" s="3" t="str">
        <f>B412 &amp; "-" &amp; COUNTIF($B$2:B412, B412)</f>
        <v>10-14</v>
      </c>
      <c r="D412" s="10">
        <v>9226</v>
      </c>
      <c r="E412" s="1" t="s">
        <v>2610</v>
      </c>
      <c r="F412" s="1" t="s">
        <v>2611</v>
      </c>
      <c r="G412" s="1" t="s">
        <v>1832</v>
      </c>
      <c r="H412" s="1" t="s">
        <v>1812</v>
      </c>
      <c r="I412" s="10" t="str">
        <f>IF(H412="T41",1,IF(H412="T41",3,IF(H412="T57",6,IF(H412="T57",10,IF(H412="T89",14,IF(H412="T89",18,IF(H412="T57",22,"")))))))</f>
        <v/>
      </c>
      <c r="J412" s="1" t="s">
        <v>1808</v>
      </c>
      <c r="K412" s="10">
        <v>2</v>
      </c>
      <c r="L412" s="10">
        <v>1</v>
      </c>
      <c r="N412" s="10">
        <v>4</v>
      </c>
      <c r="O412" s="6"/>
      <c r="P412" s="45" t="s">
        <v>2347</v>
      </c>
      <c r="Q412" s="42" t="s">
        <v>2393</v>
      </c>
      <c r="R412" s="42"/>
      <c r="S412" s="1" t="s">
        <v>2611</v>
      </c>
    </row>
    <row r="413" spans="1:19" ht="18.75" customHeight="1" x14ac:dyDescent="0.3">
      <c r="A413" s="10">
        <v>412</v>
      </c>
      <c r="B413" s="10">
        <f>_xlfn.XLOOKUP(1,(VALUE(D413)&gt;=VALUE(block!$C$3:$C$500))*(VALUE(D413)&lt;VALUE(block!$C$3:$C$500)+VALUE(block!$D$3:$D$500)),block!$A$3:$A$500,"无匹配",0,1)</f>
        <v>10</v>
      </c>
      <c r="C413" s="3" t="str">
        <f>B413 &amp; "-" &amp; COUNTIF($B$2:B413, B413)</f>
        <v>10-15</v>
      </c>
      <c r="D413" s="10">
        <v>9228</v>
      </c>
      <c r="E413" s="1" t="s">
        <v>2612</v>
      </c>
      <c r="F413" s="1" t="s">
        <v>2613</v>
      </c>
      <c r="G413" s="1" t="s">
        <v>1832</v>
      </c>
      <c r="H413" s="1" t="s">
        <v>1812</v>
      </c>
      <c r="I413" s="10" t="str">
        <f>IF(H413="T42",1,IF(H413="T42",3,IF(H413="T58",6,IF(H413="T58",10,IF(H413="T90",14,IF(H413="T90",18,IF(H413="T58",22,"")))))))</f>
        <v/>
      </c>
      <c r="J413" s="1" t="s">
        <v>1808</v>
      </c>
      <c r="K413" s="10">
        <v>2</v>
      </c>
      <c r="L413" s="10">
        <v>1</v>
      </c>
      <c r="N413" s="10">
        <v>4</v>
      </c>
      <c r="O413" s="6"/>
      <c r="P413" s="45" t="s">
        <v>2347</v>
      </c>
      <c r="Q413" s="42" t="s">
        <v>2393</v>
      </c>
      <c r="R413" s="42"/>
      <c r="S413" s="1" t="s">
        <v>2613</v>
      </c>
    </row>
    <row r="414" spans="1:19" ht="18.75" customHeight="1" x14ac:dyDescent="0.3">
      <c r="A414" s="10">
        <v>413</v>
      </c>
      <c r="B414" s="10">
        <f>_xlfn.XLOOKUP(1,(VALUE(D414)&gt;=VALUE(block!$C$3:$C$500))*(VALUE(D414)&lt;VALUE(block!$C$3:$C$500)+VALUE(block!$D$3:$D$500)),block!$A$3:$A$500,"无匹配",0,1)</f>
        <v>10</v>
      </c>
      <c r="C414" s="3" t="str">
        <f>B414 &amp; "-" &amp; COUNTIF($B$2:B414, B414)</f>
        <v>10-16</v>
      </c>
      <c r="D414" s="10">
        <v>9230</v>
      </c>
      <c r="E414" s="1" t="s">
        <v>2614</v>
      </c>
      <c r="F414" s="1" t="s">
        <v>2615</v>
      </c>
      <c r="G414" s="1" t="s">
        <v>1834</v>
      </c>
      <c r="H414" s="1" t="s">
        <v>1812</v>
      </c>
      <c r="I414" s="10" t="str">
        <f>IF(H414="T43",1,IF(H414="T43",3,IF(H414="T59",6,IF(H414="T59",10,IF(H414="T91",14,IF(H414="T91",18,IF(H414="T59",22,"")))))))</f>
        <v/>
      </c>
      <c r="J414" s="1" t="s">
        <v>1808</v>
      </c>
      <c r="K414" s="10">
        <v>2</v>
      </c>
      <c r="L414" s="10">
        <v>1</v>
      </c>
      <c r="N414" s="10">
        <v>4</v>
      </c>
      <c r="O414" s="6"/>
      <c r="P414" s="45" t="s">
        <v>2347</v>
      </c>
      <c r="Q414" s="42" t="s">
        <v>2393</v>
      </c>
      <c r="R414" s="42"/>
      <c r="S414" s="1" t="s">
        <v>2615</v>
      </c>
    </row>
    <row r="415" spans="1:19" ht="18.75" customHeight="1" x14ac:dyDescent="0.3">
      <c r="A415" s="10">
        <v>414</v>
      </c>
      <c r="B415" s="10">
        <f>_xlfn.XLOOKUP(1,(VALUE(D415)&gt;=VALUE(block!$C$3:$C$500))*(VALUE(D415)&lt;VALUE(block!$C$3:$C$500)+VALUE(block!$D$3:$D$500)),block!$A$3:$A$500,"无匹配",0,1)</f>
        <v>10</v>
      </c>
      <c r="C415" s="3" t="str">
        <f>B415 &amp; "-" &amp; COUNTIF($B$2:B415, B415)</f>
        <v>10-17</v>
      </c>
      <c r="D415" s="10">
        <v>9232</v>
      </c>
      <c r="E415" s="1" t="s">
        <v>2616</v>
      </c>
      <c r="F415" s="1" t="s">
        <v>2617</v>
      </c>
      <c r="G415" s="1" t="s">
        <v>1834</v>
      </c>
      <c r="H415" s="1" t="s">
        <v>1812</v>
      </c>
      <c r="I415" s="10" t="str">
        <f>IF(H415="T44",1,IF(H415="T44",3,IF(H415="T60",6,IF(H415="T60",10,IF(H415="T92",14,IF(H415="T92",18,IF(H415="T60",22,"")))))))</f>
        <v/>
      </c>
      <c r="J415" s="1" t="s">
        <v>1808</v>
      </c>
      <c r="K415" s="10">
        <v>2</v>
      </c>
      <c r="L415" s="10">
        <v>1</v>
      </c>
      <c r="N415" s="10">
        <v>4</v>
      </c>
      <c r="O415" s="6"/>
      <c r="P415" s="45" t="s">
        <v>2347</v>
      </c>
      <c r="Q415" s="42" t="s">
        <v>2393</v>
      </c>
      <c r="R415" s="42"/>
      <c r="S415" s="1" t="s">
        <v>2617</v>
      </c>
    </row>
    <row r="416" spans="1:19" ht="18.75" customHeight="1" x14ac:dyDescent="0.3">
      <c r="A416" s="10">
        <v>415</v>
      </c>
      <c r="B416" s="10">
        <f>_xlfn.XLOOKUP(1,(VALUE(D416)&gt;=VALUE(block!$C$3:$C$500))*(VALUE(D416)&lt;VALUE(block!$C$3:$C$500)+VALUE(block!$D$3:$D$500)),block!$A$3:$A$500,"无匹配",0,1)</f>
        <v>10</v>
      </c>
      <c r="C416" s="3" t="str">
        <f>B416 &amp; "-" &amp; COUNTIF($B$2:B416, B416)</f>
        <v>10-18</v>
      </c>
      <c r="D416" s="10">
        <v>9234</v>
      </c>
      <c r="E416" s="1" t="s">
        <v>2618</v>
      </c>
      <c r="F416" s="1" t="s">
        <v>2619</v>
      </c>
      <c r="G416" s="1" t="s">
        <v>1836</v>
      </c>
      <c r="H416" s="1" t="s">
        <v>1812</v>
      </c>
      <c r="I416" s="10" t="str">
        <f>IF(H416="T45",1,IF(H416="T45",3,IF(H416="T61",6,IF(H416="T61",10,IF(H416="T93",14,IF(H416="T93",18,IF(H416="T61",22,"")))))))</f>
        <v/>
      </c>
      <c r="J416" s="1" t="s">
        <v>1808</v>
      </c>
      <c r="K416" s="10">
        <v>2</v>
      </c>
      <c r="L416" s="10">
        <v>1</v>
      </c>
      <c r="N416" s="10">
        <v>4</v>
      </c>
      <c r="O416" s="6"/>
      <c r="P416" s="45" t="s">
        <v>2347</v>
      </c>
      <c r="Q416" s="42" t="s">
        <v>2393</v>
      </c>
      <c r="R416" s="42"/>
      <c r="S416" s="1" t="s">
        <v>2619</v>
      </c>
    </row>
    <row r="417" spans="1:19" ht="18.75" customHeight="1" x14ac:dyDescent="0.3">
      <c r="A417" s="10">
        <v>416</v>
      </c>
      <c r="B417" s="10">
        <f>_xlfn.XLOOKUP(1,(VALUE(D417)&gt;=VALUE(block!$C$3:$C$500))*(VALUE(D417)&lt;VALUE(block!$C$3:$C$500)+VALUE(block!$D$3:$D$500)),block!$A$3:$A$500,"无匹配",0,1)</f>
        <v>10</v>
      </c>
      <c r="C417" s="3" t="str">
        <f>B417 &amp; "-" &amp; COUNTIF($B$2:B417, B417)</f>
        <v>10-19</v>
      </c>
      <c r="D417" s="10">
        <v>9236</v>
      </c>
      <c r="E417" s="1" t="s">
        <v>2620</v>
      </c>
      <c r="F417" s="1" t="s">
        <v>2621</v>
      </c>
      <c r="G417" s="1" t="s">
        <v>1830</v>
      </c>
      <c r="H417" s="1" t="s">
        <v>1812</v>
      </c>
      <c r="I417" s="10" t="str">
        <f>IF(H417="T46",1,IF(H417="T46",3,IF(H417="T62",6,IF(H417="T62",10,IF(H417="T94",14,IF(H417="T94",18,IF(H417="T62",22,"")))))))</f>
        <v/>
      </c>
      <c r="J417" s="1" t="s">
        <v>1808</v>
      </c>
      <c r="K417" s="10">
        <v>2</v>
      </c>
      <c r="L417" s="10">
        <v>1</v>
      </c>
      <c r="N417" s="10">
        <v>4</v>
      </c>
      <c r="O417" s="6"/>
      <c r="P417" s="45" t="s">
        <v>2347</v>
      </c>
      <c r="Q417" s="42" t="s">
        <v>2393</v>
      </c>
      <c r="R417" s="42"/>
      <c r="S417" s="1" t="s">
        <v>2621</v>
      </c>
    </row>
    <row r="418" spans="1:19" ht="18.75" customHeight="1" x14ac:dyDescent="0.3">
      <c r="A418" s="10">
        <v>417</v>
      </c>
      <c r="B418" s="10">
        <f>_xlfn.XLOOKUP(1,(VALUE(D418)&gt;=VALUE(block!$C$3:$C$500))*(VALUE(D418)&lt;VALUE(block!$C$3:$C$500)+VALUE(block!$D$3:$D$500)),block!$A$3:$A$500,"无匹配",0,1)</f>
        <v>10</v>
      </c>
      <c r="C418" s="3" t="str">
        <f>B418 &amp; "-" &amp; COUNTIF($B$2:B418, B418)</f>
        <v>10-20</v>
      </c>
      <c r="D418" s="10">
        <v>9238</v>
      </c>
      <c r="E418" s="1" t="s">
        <v>2622</v>
      </c>
      <c r="F418" s="1" t="s">
        <v>2623</v>
      </c>
      <c r="G418" s="1" t="s">
        <v>1832</v>
      </c>
      <c r="H418" s="1" t="s">
        <v>1812</v>
      </c>
      <c r="I418" s="10" t="str">
        <f>IF(H418="T47",1,IF(H418="T47",3,IF(H418="T63",6,IF(H418="T63",10,IF(H418="T95",14,IF(H418="T95",18,IF(H418="T63",22,"")))))))</f>
        <v/>
      </c>
      <c r="J418" s="1" t="s">
        <v>1808</v>
      </c>
      <c r="K418" s="10">
        <v>2</v>
      </c>
      <c r="L418" s="10">
        <v>1</v>
      </c>
      <c r="N418" s="10">
        <v>4</v>
      </c>
      <c r="O418" s="6"/>
      <c r="P418" s="45" t="s">
        <v>2347</v>
      </c>
      <c r="Q418" s="42" t="s">
        <v>2393</v>
      </c>
      <c r="R418" s="42"/>
      <c r="S418" s="1" t="s">
        <v>2623</v>
      </c>
    </row>
    <row r="419" spans="1:19" ht="18.75" customHeight="1" x14ac:dyDescent="0.3">
      <c r="A419" s="10">
        <v>418</v>
      </c>
      <c r="B419" s="10">
        <f>_xlfn.XLOOKUP(1,(VALUE(D419)&gt;=VALUE(block!$C$3:$C$500))*(VALUE(D419)&lt;VALUE(block!$C$3:$C$500)+VALUE(block!$D$3:$D$500)),block!$A$3:$A$500,"无匹配",0,1)</f>
        <v>10</v>
      </c>
      <c r="C419" s="3" t="str">
        <f>B419 &amp; "-" &amp; COUNTIF($B$2:B419, B419)</f>
        <v>10-21</v>
      </c>
      <c r="D419" s="10">
        <v>9240</v>
      </c>
      <c r="E419" s="1" t="s">
        <v>2624</v>
      </c>
      <c r="F419" s="1" t="s">
        <v>2625</v>
      </c>
      <c r="G419" s="1" t="s">
        <v>1832</v>
      </c>
      <c r="H419" s="1" t="s">
        <v>1812</v>
      </c>
      <c r="I419" s="10" t="str">
        <f>IF(H419="T48",1,IF(H419="T48",3,IF(H419="T64",6,IF(H419="T64",10,IF(H419="T96",14,IF(H419="T96",18,IF(H419="T64",22,"")))))))</f>
        <v/>
      </c>
      <c r="J419" s="1" t="s">
        <v>1808</v>
      </c>
      <c r="K419" s="10">
        <v>2</v>
      </c>
      <c r="L419" s="10">
        <v>1</v>
      </c>
      <c r="N419" s="10">
        <v>4</v>
      </c>
      <c r="O419" s="6"/>
      <c r="P419" s="45" t="s">
        <v>2347</v>
      </c>
      <c r="Q419" s="42" t="s">
        <v>2393</v>
      </c>
      <c r="R419" s="42"/>
      <c r="S419" s="1" t="s">
        <v>2625</v>
      </c>
    </row>
    <row r="420" spans="1:19" ht="18.75" customHeight="1" x14ac:dyDescent="0.3">
      <c r="A420" s="10">
        <v>419</v>
      </c>
      <c r="B420" s="10">
        <f>_xlfn.XLOOKUP(1,(VALUE(D420)&gt;=VALUE(block!$C$3:$C$500))*(VALUE(D420)&lt;VALUE(block!$C$3:$C$500)+VALUE(block!$D$3:$D$500)),block!$A$3:$A$500,"无匹配",0,1)</f>
        <v>10</v>
      </c>
      <c r="C420" s="3" t="str">
        <f>B420 &amp; "-" &amp; COUNTIF($B$2:B420, B420)</f>
        <v>10-22</v>
      </c>
      <c r="D420" s="10">
        <v>9242</v>
      </c>
      <c r="E420" s="1" t="s">
        <v>2626</v>
      </c>
      <c r="F420" s="1" t="s">
        <v>2627</v>
      </c>
      <c r="G420" s="1" t="s">
        <v>1834</v>
      </c>
      <c r="H420" s="1" t="s">
        <v>1812</v>
      </c>
      <c r="I420" s="10" t="str">
        <f>IF(H420="T49",1,IF(H420="T49",3,IF(H420="T65",6,IF(H420="T65",10,IF(H420="T97",14,IF(H420="T97",18,IF(H420="T65",22,"")))))))</f>
        <v/>
      </c>
      <c r="J420" s="1" t="s">
        <v>1808</v>
      </c>
      <c r="K420" s="10">
        <v>2</v>
      </c>
      <c r="L420" s="10">
        <v>1</v>
      </c>
      <c r="N420" s="10">
        <v>4</v>
      </c>
      <c r="O420" s="6"/>
      <c r="P420" s="45" t="s">
        <v>2347</v>
      </c>
      <c r="Q420" s="42" t="s">
        <v>2393</v>
      </c>
      <c r="R420" s="42"/>
      <c r="S420" s="1" t="s">
        <v>2627</v>
      </c>
    </row>
    <row r="421" spans="1:19" ht="18.75" customHeight="1" x14ac:dyDescent="0.3">
      <c r="A421" s="10">
        <v>420</v>
      </c>
      <c r="B421" s="10">
        <f>_xlfn.XLOOKUP(1,(VALUE(D421)&gt;=VALUE(block!$C$3:$C$500))*(VALUE(D421)&lt;VALUE(block!$C$3:$C$500)+VALUE(block!$D$3:$D$500)),block!$A$3:$A$500,"无匹配",0,1)</f>
        <v>10</v>
      </c>
      <c r="C421" s="3" t="str">
        <f>B421 &amp; "-" &amp; COUNTIF($B$2:B421, B421)</f>
        <v>10-23</v>
      </c>
      <c r="D421" s="10">
        <v>9244</v>
      </c>
      <c r="E421" s="1" t="s">
        <v>2628</v>
      </c>
      <c r="F421" s="1" t="s">
        <v>2629</v>
      </c>
      <c r="G421" s="1" t="s">
        <v>1834</v>
      </c>
      <c r="H421" s="1" t="s">
        <v>1812</v>
      </c>
      <c r="I421" s="10" t="str">
        <f>IF(H421="T50",1,IF(H421="T50",3,IF(H421="T66",6,IF(H421="T66",10,IF(H421="T98",14,IF(H421="T98",18,IF(H421="T66",22,"")))))))</f>
        <v/>
      </c>
      <c r="J421" s="1" t="s">
        <v>1808</v>
      </c>
      <c r="K421" s="10">
        <v>2</v>
      </c>
      <c r="L421" s="10">
        <v>1</v>
      </c>
      <c r="N421" s="10">
        <v>4</v>
      </c>
      <c r="O421" s="6"/>
      <c r="P421" s="45" t="s">
        <v>2347</v>
      </c>
      <c r="Q421" s="42" t="s">
        <v>2393</v>
      </c>
      <c r="R421" s="42"/>
      <c r="S421" s="1" t="s">
        <v>2629</v>
      </c>
    </row>
    <row r="422" spans="1:19" ht="18.75" customHeight="1" x14ac:dyDescent="0.3">
      <c r="A422" s="10">
        <v>421</v>
      </c>
      <c r="B422" s="10">
        <f>_xlfn.XLOOKUP(1,(VALUE(D422)&gt;=VALUE(block!$C$3:$C$500))*(VALUE(D422)&lt;VALUE(block!$C$3:$C$500)+VALUE(block!$D$3:$D$500)),block!$A$3:$A$500,"无匹配",0,1)</f>
        <v>10</v>
      </c>
      <c r="C422" s="3" t="str">
        <f>B422 &amp; "-" &amp; COUNTIF($B$2:B422, B422)</f>
        <v>10-24</v>
      </c>
      <c r="D422" s="10">
        <v>9246</v>
      </c>
      <c r="E422" s="1" t="s">
        <v>2630</v>
      </c>
      <c r="F422" s="1" t="s">
        <v>2631</v>
      </c>
      <c r="G422" s="1" t="s">
        <v>1836</v>
      </c>
      <c r="H422" s="1" t="s">
        <v>1812</v>
      </c>
      <c r="I422" s="10" t="str">
        <f>IF(H422="T51",1,IF(H422="T51",3,IF(H422="T67",6,IF(H422="T67",10,IF(H422="T99",14,IF(H422="T99",18,IF(H422="T67",22,"")))))))</f>
        <v/>
      </c>
      <c r="J422" s="1" t="s">
        <v>1808</v>
      </c>
      <c r="K422" s="10">
        <v>2</v>
      </c>
      <c r="L422" s="10">
        <v>1</v>
      </c>
      <c r="N422" s="10">
        <v>4</v>
      </c>
      <c r="O422" s="6"/>
      <c r="P422" s="45" t="s">
        <v>2347</v>
      </c>
      <c r="Q422" s="42" t="s">
        <v>2393</v>
      </c>
      <c r="R422" s="42"/>
      <c r="S422" s="1" t="s">
        <v>2631</v>
      </c>
    </row>
    <row r="423" spans="1:19" ht="18.75" customHeight="1" x14ac:dyDescent="0.3">
      <c r="A423" s="10">
        <v>422</v>
      </c>
      <c r="B423" s="10">
        <f>_xlfn.XLOOKUP(1,(VALUE(D423)&gt;=VALUE(block!$C$3:$C$500))*(VALUE(D423)&lt;VALUE(block!$C$3:$C$500)+VALUE(block!$D$3:$D$500)),block!$A$3:$A$500,"无匹配",0,1)</f>
        <v>10</v>
      </c>
      <c r="C423" s="3" t="str">
        <f>B423 &amp; "-" &amp; COUNTIF($B$2:B423, B423)</f>
        <v>10-25</v>
      </c>
      <c r="D423" s="10">
        <v>9248</v>
      </c>
      <c r="E423" s="1" t="s">
        <v>2632</v>
      </c>
      <c r="F423" s="1" t="s">
        <v>2633</v>
      </c>
      <c r="G423" s="1" t="s">
        <v>1830</v>
      </c>
      <c r="H423" s="1" t="s">
        <v>1812</v>
      </c>
      <c r="I423" s="10" t="str">
        <f>IF(H423="T52",1,IF(H423="T52",3,IF(H423="T68",6,IF(H423="T68",10,IF(H423="T100",14,IF(H423="T100",18,IF(H423="T68",22,"")))))))</f>
        <v/>
      </c>
      <c r="J423" s="1" t="s">
        <v>1808</v>
      </c>
      <c r="K423" s="10">
        <v>2</v>
      </c>
      <c r="L423" s="10">
        <v>1</v>
      </c>
      <c r="N423" s="10">
        <v>4</v>
      </c>
      <c r="O423" s="6"/>
      <c r="P423" s="45" t="s">
        <v>2347</v>
      </c>
      <c r="Q423" s="42" t="s">
        <v>2393</v>
      </c>
      <c r="R423" s="42"/>
      <c r="S423" s="1" t="s">
        <v>2633</v>
      </c>
    </row>
    <row r="424" spans="1:19" ht="18.75" customHeight="1" x14ac:dyDescent="0.3">
      <c r="A424" s="10">
        <v>423</v>
      </c>
      <c r="B424" s="10">
        <f>_xlfn.XLOOKUP(1,(VALUE(D424)&gt;=VALUE(block!$C$3:$C$500))*(VALUE(D424)&lt;VALUE(block!$C$3:$C$500)+VALUE(block!$D$3:$D$500)),block!$A$3:$A$500,"无匹配",0,1)</f>
        <v>10</v>
      </c>
      <c r="C424" s="3" t="str">
        <f>B424 &amp; "-" &amp; COUNTIF($B$2:B424, B424)</f>
        <v>10-26</v>
      </c>
      <c r="D424" s="10">
        <v>9250</v>
      </c>
      <c r="E424" s="1" t="s">
        <v>2634</v>
      </c>
      <c r="F424" s="1" t="s">
        <v>2635</v>
      </c>
      <c r="G424" s="1" t="s">
        <v>1832</v>
      </c>
      <c r="H424" s="1" t="s">
        <v>1812</v>
      </c>
      <c r="I424" s="10" t="str">
        <f>IF(H424="T53",1,IF(H424="T53",3,IF(H424="T69",6,IF(H424="T69",10,IF(H424="T101",14,IF(H424="T101",18,IF(H424="T69",22,"")))))))</f>
        <v/>
      </c>
      <c r="J424" s="1" t="s">
        <v>1808</v>
      </c>
      <c r="K424" s="10">
        <v>2</v>
      </c>
      <c r="L424" s="10">
        <v>1</v>
      </c>
      <c r="N424" s="10">
        <v>4</v>
      </c>
      <c r="O424" s="6"/>
      <c r="P424" s="45" t="s">
        <v>2347</v>
      </c>
      <c r="Q424" s="42" t="s">
        <v>2393</v>
      </c>
      <c r="R424" s="42"/>
      <c r="S424" s="1" t="s">
        <v>2635</v>
      </c>
    </row>
    <row r="425" spans="1:19" ht="18.75" customHeight="1" x14ac:dyDescent="0.3">
      <c r="A425" s="10">
        <v>424</v>
      </c>
      <c r="B425" s="10">
        <f>_xlfn.XLOOKUP(1,(VALUE(D425)&gt;=VALUE(block!$C$3:$C$500))*(VALUE(D425)&lt;VALUE(block!$C$3:$C$500)+VALUE(block!$D$3:$D$500)),block!$A$3:$A$500,"无匹配",0,1)</f>
        <v>10</v>
      </c>
      <c r="C425" s="3" t="str">
        <f>B425 &amp; "-" &amp; COUNTIF($B$2:B425, B425)</f>
        <v>10-27</v>
      </c>
      <c r="D425" s="10">
        <v>9252</v>
      </c>
      <c r="E425" s="1" t="s">
        <v>2636</v>
      </c>
      <c r="F425" s="1" t="s">
        <v>2637</v>
      </c>
      <c r="G425" s="1" t="s">
        <v>1832</v>
      </c>
      <c r="H425" s="1" t="s">
        <v>1812</v>
      </c>
      <c r="I425" s="10" t="str">
        <f>IF(H425="T54",1,IF(H425="T54",3,IF(H425="T70",6,IF(H425="T70",10,IF(H425="T102",14,IF(H425="T102",18,IF(H425="T70",22,"")))))))</f>
        <v/>
      </c>
      <c r="J425" s="1" t="s">
        <v>1808</v>
      </c>
      <c r="K425" s="10">
        <v>2</v>
      </c>
      <c r="L425" s="10">
        <v>1</v>
      </c>
      <c r="N425" s="10">
        <v>4</v>
      </c>
      <c r="O425" s="6"/>
      <c r="P425" s="45" t="s">
        <v>2347</v>
      </c>
      <c r="Q425" s="42" t="s">
        <v>2393</v>
      </c>
      <c r="R425" s="42"/>
      <c r="S425" s="1" t="s">
        <v>2637</v>
      </c>
    </row>
    <row r="426" spans="1:19" ht="18.75" customHeight="1" x14ac:dyDescent="0.3">
      <c r="A426" s="10">
        <v>425</v>
      </c>
      <c r="B426" s="10">
        <f>_xlfn.XLOOKUP(1,(VALUE(D426)&gt;=VALUE(block!$C$3:$C$500))*(VALUE(D426)&lt;VALUE(block!$C$3:$C$500)+VALUE(block!$D$3:$D$500)),block!$A$3:$A$500,"无匹配",0,1)</f>
        <v>10</v>
      </c>
      <c r="C426" s="3" t="str">
        <f>B426 &amp; "-" &amp; COUNTIF($B$2:B426, B426)</f>
        <v>10-28</v>
      </c>
      <c r="D426" s="10">
        <v>9254</v>
      </c>
      <c r="E426" s="1" t="s">
        <v>2638</v>
      </c>
      <c r="F426" s="1" t="s">
        <v>2639</v>
      </c>
      <c r="G426" s="1" t="s">
        <v>1834</v>
      </c>
      <c r="H426" s="1" t="s">
        <v>1812</v>
      </c>
      <c r="I426" s="10" t="str">
        <f>IF(H426="T55",1,IF(H426="T55",3,IF(H426="T71",6,IF(H426="T71",10,IF(H426="T103",14,IF(H426="T103",18,IF(H426="T71",22,"")))))))</f>
        <v/>
      </c>
      <c r="J426" s="1" t="s">
        <v>1808</v>
      </c>
      <c r="K426" s="10">
        <v>2</v>
      </c>
      <c r="L426" s="10">
        <v>1</v>
      </c>
      <c r="N426" s="10">
        <v>4</v>
      </c>
      <c r="O426" s="6"/>
      <c r="P426" s="45" t="s">
        <v>2347</v>
      </c>
      <c r="Q426" s="42" t="s">
        <v>2393</v>
      </c>
      <c r="R426" s="42"/>
      <c r="S426" s="1" t="s">
        <v>2639</v>
      </c>
    </row>
    <row r="427" spans="1:19" ht="18.75" customHeight="1" x14ac:dyDescent="0.3">
      <c r="A427" s="10">
        <v>426</v>
      </c>
      <c r="B427" s="10">
        <f>_xlfn.XLOOKUP(1,(VALUE(D427)&gt;=VALUE(block!$C$3:$C$500))*(VALUE(D427)&lt;VALUE(block!$C$3:$C$500)+VALUE(block!$D$3:$D$500)),block!$A$3:$A$500,"无匹配",0,1)</f>
        <v>10</v>
      </c>
      <c r="C427" s="3" t="str">
        <f>B427 &amp; "-" &amp; COUNTIF($B$2:B427, B427)</f>
        <v>10-29</v>
      </c>
      <c r="D427" s="10">
        <v>9256</v>
      </c>
      <c r="E427" s="1" t="s">
        <v>2640</v>
      </c>
      <c r="F427" s="1" t="s">
        <v>2641</v>
      </c>
      <c r="G427" s="1" t="s">
        <v>1834</v>
      </c>
      <c r="H427" s="1" t="s">
        <v>1812</v>
      </c>
      <c r="I427" s="10" t="str">
        <f>IF(H427="T56",1,IF(H427="T56",3,IF(H427="T72",6,IF(H427="T72",10,IF(H427="T104",14,IF(H427="T104",18,IF(H427="T72",22,"")))))))</f>
        <v/>
      </c>
      <c r="J427" s="1" t="s">
        <v>1808</v>
      </c>
      <c r="K427" s="10">
        <v>2</v>
      </c>
      <c r="L427" s="10">
        <v>1</v>
      </c>
      <c r="N427" s="10">
        <v>4</v>
      </c>
      <c r="O427" s="6"/>
      <c r="P427" s="45" t="s">
        <v>2347</v>
      </c>
      <c r="Q427" s="42" t="s">
        <v>2393</v>
      </c>
      <c r="R427" s="42"/>
      <c r="S427" s="1" t="s">
        <v>2641</v>
      </c>
    </row>
    <row r="428" spans="1:19" ht="18.75" customHeight="1" x14ac:dyDescent="0.3">
      <c r="A428" s="10">
        <v>427</v>
      </c>
      <c r="B428" s="10">
        <f>_xlfn.XLOOKUP(1,(VALUE(D428)&gt;=VALUE(block!$C$3:$C$500))*(VALUE(D428)&lt;VALUE(block!$C$3:$C$500)+VALUE(block!$D$3:$D$500)),block!$A$3:$A$500,"无匹配",0,1)</f>
        <v>10</v>
      </c>
      <c r="C428" s="3" t="str">
        <f>B428 &amp; "-" &amp; COUNTIF($B$2:B428, B428)</f>
        <v>10-30</v>
      </c>
      <c r="D428" s="10">
        <v>9258</v>
      </c>
      <c r="E428" s="1" t="s">
        <v>2642</v>
      </c>
      <c r="F428" s="1" t="s">
        <v>2643</v>
      </c>
      <c r="G428" s="1" t="s">
        <v>1836</v>
      </c>
      <c r="H428" s="1" t="s">
        <v>1812</v>
      </c>
      <c r="I428" s="10" t="str">
        <f>IF(H428="T57",1,IF(H428="T57",3,IF(H428="T73",6,IF(H428="T73",10,IF(H428="T105",14,IF(H428="T105",18,IF(H428="T73",22,"")))))))</f>
        <v/>
      </c>
      <c r="J428" s="1" t="s">
        <v>1808</v>
      </c>
      <c r="K428" s="10">
        <v>2</v>
      </c>
      <c r="L428" s="10">
        <v>1</v>
      </c>
      <c r="N428" s="10">
        <v>4</v>
      </c>
      <c r="O428" s="6"/>
      <c r="P428" s="45" t="s">
        <v>2347</v>
      </c>
      <c r="Q428" s="42" t="s">
        <v>2393</v>
      </c>
      <c r="R428" s="42"/>
      <c r="S428" s="1" t="s">
        <v>2643</v>
      </c>
    </row>
    <row r="429" spans="1:19" ht="18.75" customHeight="1" x14ac:dyDescent="0.3">
      <c r="A429" s="10">
        <v>428</v>
      </c>
      <c r="B429" s="10">
        <f>_xlfn.XLOOKUP(1,(VALUE(D429)&gt;=VALUE(block!$C$3:$C$500))*(VALUE(D429)&lt;VALUE(block!$C$3:$C$500)+VALUE(block!$D$3:$D$500)),block!$A$3:$A$500,"无匹配",0,1)</f>
        <v>10</v>
      </c>
      <c r="C429" s="3" t="str">
        <f>B429 &amp; "-" &amp; COUNTIF($B$2:B429, B429)</f>
        <v>10-31</v>
      </c>
      <c r="D429" s="10">
        <v>9260</v>
      </c>
      <c r="E429" s="1" t="s">
        <v>2644</v>
      </c>
      <c r="F429" s="1" t="s">
        <v>2645</v>
      </c>
      <c r="G429" s="1" t="s">
        <v>1830</v>
      </c>
      <c r="H429" s="1" t="s">
        <v>1812</v>
      </c>
      <c r="I429" s="10" t="str">
        <f>IF(H429="T58",1,IF(H429="T58",3,IF(H429="T74",6,IF(H429="T74",10,IF(H429="T106",14,IF(H429="T106",18,IF(H429="T74",22,"")))))))</f>
        <v/>
      </c>
      <c r="J429" s="1" t="s">
        <v>1808</v>
      </c>
      <c r="K429" s="10">
        <v>2</v>
      </c>
      <c r="L429" s="10">
        <v>1</v>
      </c>
      <c r="N429" s="10">
        <v>4</v>
      </c>
      <c r="O429" s="6"/>
      <c r="P429" s="45" t="s">
        <v>2347</v>
      </c>
      <c r="Q429" s="42" t="s">
        <v>2393</v>
      </c>
      <c r="R429" s="42"/>
      <c r="S429" s="1" t="s">
        <v>2645</v>
      </c>
    </row>
    <row r="430" spans="1:19" ht="18.75" customHeight="1" x14ac:dyDescent="0.3">
      <c r="A430" s="10">
        <v>429</v>
      </c>
      <c r="B430" s="10">
        <f>_xlfn.XLOOKUP(1,(VALUE(D430)&gt;=VALUE(block!$C$3:$C$500))*(VALUE(D430)&lt;VALUE(block!$C$3:$C$500)+VALUE(block!$D$3:$D$500)),block!$A$3:$A$500,"无匹配",0,1)</f>
        <v>10</v>
      </c>
      <c r="C430" s="3" t="str">
        <f>B430 &amp; "-" &amp; COUNTIF($B$2:B430, B430)</f>
        <v>10-32</v>
      </c>
      <c r="D430" s="10">
        <v>9262</v>
      </c>
      <c r="E430" s="1" t="s">
        <v>2646</v>
      </c>
      <c r="F430" s="1" t="s">
        <v>2647</v>
      </c>
      <c r="G430" s="1" t="s">
        <v>1832</v>
      </c>
      <c r="H430" s="1" t="s">
        <v>1812</v>
      </c>
      <c r="I430" s="10" t="str">
        <f>IF(H430="T59",1,IF(H430="T59",3,IF(H430="T75",6,IF(H430="T75",10,IF(H430="T107",14,IF(H430="T107",18,IF(H430="T75",22,"")))))))</f>
        <v/>
      </c>
      <c r="J430" s="1" t="s">
        <v>1808</v>
      </c>
      <c r="K430" s="10">
        <v>2</v>
      </c>
      <c r="L430" s="10">
        <v>1</v>
      </c>
      <c r="N430" s="10">
        <v>4</v>
      </c>
      <c r="O430" s="6"/>
      <c r="P430" s="45" t="s">
        <v>2347</v>
      </c>
      <c r="Q430" s="42" t="s">
        <v>2393</v>
      </c>
      <c r="R430" s="42"/>
      <c r="S430" s="1" t="s">
        <v>2647</v>
      </c>
    </row>
    <row r="431" spans="1:19" ht="18.75" customHeight="1" x14ac:dyDescent="0.3">
      <c r="A431" s="10">
        <v>430</v>
      </c>
      <c r="B431" s="10">
        <f>_xlfn.XLOOKUP(1,(VALUE(D431)&gt;=VALUE(block!$C$3:$C$500))*(VALUE(D431)&lt;VALUE(block!$C$3:$C$500)+VALUE(block!$D$3:$D$500)),block!$A$3:$A$500,"无匹配",0,1)</f>
        <v>10</v>
      </c>
      <c r="C431" s="3" t="str">
        <f>B431 &amp; "-" &amp; COUNTIF($B$2:B431, B431)</f>
        <v>10-33</v>
      </c>
      <c r="D431" s="10">
        <v>9264</v>
      </c>
      <c r="E431" s="1" t="s">
        <v>2648</v>
      </c>
      <c r="F431" s="1" t="s">
        <v>2649</v>
      </c>
      <c r="G431" s="1" t="s">
        <v>1832</v>
      </c>
      <c r="H431" s="1" t="s">
        <v>1812</v>
      </c>
      <c r="I431" s="10" t="str">
        <f>IF(H431="T60",1,IF(H431="T60",3,IF(H431="T76",6,IF(H431="T76",10,IF(H431="T108",14,IF(H431="T108",18,IF(H431="T76",22,"")))))))</f>
        <v/>
      </c>
      <c r="J431" s="1" t="s">
        <v>1808</v>
      </c>
      <c r="K431" s="10">
        <v>2</v>
      </c>
      <c r="L431" s="10">
        <v>1</v>
      </c>
      <c r="N431" s="10">
        <v>4</v>
      </c>
      <c r="O431" s="6"/>
      <c r="P431" s="45" t="s">
        <v>2347</v>
      </c>
      <c r="Q431" s="42" t="s">
        <v>2393</v>
      </c>
      <c r="R431" s="42"/>
      <c r="S431" s="1" t="s">
        <v>2649</v>
      </c>
    </row>
    <row r="432" spans="1:19" ht="18.75" customHeight="1" x14ac:dyDescent="0.3">
      <c r="A432" s="10">
        <v>431</v>
      </c>
      <c r="B432" s="10">
        <f>_xlfn.XLOOKUP(1,(VALUE(D432)&gt;=VALUE(block!$C$3:$C$500))*(VALUE(D432)&lt;VALUE(block!$C$3:$C$500)+VALUE(block!$D$3:$D$500)),block!$A$3:$A$500,"无匹配",0,1)</f>
        <v>10</v>
      </c>
      <c r="C432" s="3" t="str">
        <f>B432 &amp; "-" &amp; COUNTIF($B$2:B432, B432)</f>
        <v>10-34</v>
      </c>
      <c r="D432" s="10">
        <v>9266</v>
      </c>
      <c r="E432" s="1" t="s">
        <v>2650</v>
      </c>
      <c r="F432" s="1" t="s">
        <v>2651</v>
      </c>
      <c r="G432" s="1" t="s">
        <v>1834</v>
      </c>
      <c r="H432" s="1" t="s">
        <v>1812</v>
      </c>
      <c r="I432" s="10" t="str">
        <f>IF(H432="T61",1,IF(H432="T61",3,IF(H432="T77",6,IF(H432="T77",10,IF(H432="T109",14,IF(H432="T109",18,IF(H432="T77",22,"")))))))</f>
        <v/>
      </c>
      <c r="J432" s="1" t="s">
        <v>1808</v>
      </c>
      <c r="K432" s="10">
        <v>2</v>
      </c>
      <c r="L432" s="10">
        <v>1</v>
      </c>
      <c r="N432" s="10">
        <v>4</v>
      </c>
      <c r="O432" s="6"/>
      <c r="P432" s="45" t="s">
        <v>2347</v>
      </c>
      <c r="Q432" s="42" t="s">
        <v>2393</v>
      </c>
      <c r="R432" s="42"/>
      <c r="S432" s="1" t="s">
        <v>2651</v>
      </c>
    </row>
    <row r="433" spans="1:19" ht="18.75" customHeight="1" x14ac:dyDescent="0.3">
      <c r="A433" s="10">
        <v>432</v>
      </c>
      <c r="B433" s="10">
        <f>_xlfn.XLOOKUP(1,(VALUE(D433)&gt;=VALUE(block!$C$3:$C$500))*(VALUE(D433)&lt;VALUE(block!$C$3:$C$500)+VALUE(block!$D$3:$D$500)),block!$A$3:$A$500,"无匹配",0,1)</f>
        <v>10</v>
      </c>
      <c r="C433" s="3" t="str">
        <f>B433 &amp; "-" &amp; COUNTIF($B$2:B433, B433)</f>
        <v>10-35</v>
      </c>
      <c r="D433" s="10">
        <v>9268</v>
      </c>
      <c r="E433" s="1" t="s">
        <v>2652</v>
      </c>
      <c r="F433" s="1" t="s">
        <v>2653</v>
      </c>
      <c r="G433" s="1" t="s">
        <v>1834</v>
      </c>
      <c r="H433" s="1" t="s">
        <v>1812</v>
      </c>
      <c r="I433" s="10" t="str">
        <f>IF(H433="T62",1,IF(H433="T62",3,IF(H433="T78",6,IF(H433="T78",10,IF(H433="T110",14,IF(H433="T110",18,IF(H433="T78",22,"")))))))</f>
        <v/>
      </c>
      <c r="J433" s="1" t="s">
        <v>1808</v>
      </c>
      <c r="K433" s="10">
        <v>2</v>
      </c>
      <c r="L433" s="10">
        <v>1</v>
      </c>
      <c r="N433" s="10">
        <v>4</v>
      </c>
      <c r="O433" s="6"/>
      <c r="P433" s="45" t="s">
        <v>2347</v>
      </c>
      <c r="Q433" s="42" t="s">
        <v>2393</v>
      </c>
      <c r="R433" s="42"/>
      <c r="S433" s="1" t="s">
        <v>2653</v>
      </c>
    </row>
    <row r="434" spans="1:19" ht="18.75" customHeight="1" x14ac:dyDescent="0.3">
      <c r="A434" s="10">
        <v>433</v>
      </c>
      <c r="B434" s="10">
        <f>_xlfn.XLOOKUP(1,(VALUE(D434)&gt;=VALUE(block!$C$3:$C$500))*(VALUE(D434)&lt;VALUE(block!$C$3:$C$500)+VALUE(block!$D$3:$D$500)),block!$A$3:$A$500,"无匹配",0,1)</f>
        <v>10</v>
      </c>
      <c r="C434" s="3" t="str">
        <f>B434 &amp; "-" &amp; COUNTIF($B$2:B434, B434)</f>
        <v>10-36</v>
      </c>
      <c r="D434" s="10">
        <v>9270</v>
      </c>
      <c r="E434" s="1" t="s">
        <v>2654</v>
      </c>
      <c r="F434" s="1" t="s">
        <v>2655</v>
      </c>
      <c r="G434" s="1" t="s">
        <v>1836</v>
      </c>
      <c r="H434" s="1" t="s">
        <v>1812</v>
      </c>
      <c r="I434" s="10" t="str">
        <f>IF(H434="T63",1,IF(H434="T63",3,IF(H434="T79",6,IF(H434="T79",10,IF(H434="T111",14,IF(H434="T111",18,IF(H434="T79",22,"")))))))</f>
        <v/>
      </c>
      <c r="J434" s="1" t="s">
        <v>1808</v>
      </c>
      <c r="K434" s="10">
        <v>2</v>
      </c>
      <c r="L434" s="10">
        <v>1</v>
      </c>
      <c r="N434" s="10">
        <v>4</v>
      </c>
      <c r="O434" s="6"/>
      <c r="P434" s="45" t="s">
        <v>2347</v>
      </c>
      <c r="Q434" s="42" t="s">
        <v>2393</v>
      </c>
      <c r="R434" s="42"/>
      <c r="S434" s="1" t="s">
        <v>2655</v>
      </c>
    </row>
    <row r="435" spans="1:19" ht="18.75" customHeight="1" x14ac:dyDescent="0.3">
      <c r="A435" s="10">
        <v>434</v>
      </c>
      <c r="B435" s="10">
        <f>_xlfn.XLOOKUP(1,(VALUE(D435)&gt;=VALUE(block!$C$3:$C$500))*(VALUE(D435)&lt;VALUE(block!$C$3:$C$500)+VALUE(block!$D$3:$D$500)),block!$A$3:$A$500,"无匹配",0,1)</f>
        <v>10</v>
      </c>
      <c r="C435" s="3" t="str">
        <f>B435 &amp; "-" &amp; COUNTIF($B$2:B435, B435)</f>
        <v>10-37</v>
      </c>
      <c r="D435" s="10">
        <v>9272</v>
      </c>
      <c r="E435" s="1" t="s">
        <v>2656</v>
      </c>
      <c r="F435" s="1" t="s">
        <v>2657</v>
      </c>
      <c r="G435" s="1" t="s">
        <v>1830</v>
      </c>
      <c r="H435" s="1" t="s">
        <v>1812</v>
      </c>
      <c r="I435" s="10" t="str">
        <f>IF(H435="T64",1,IF(H435="T64",3,IF(H435="T80",6,IF(H435="T80",10,IF(H435="T112",14,IF(H435="T112",18,IF(H435="T80",22,"")))))))</f>
        <v/>
      </c>
      <c r="J435" s="1" t="s">
        <v>1808</v>
      </c>
      <c r="K435" s="10">
        <v>2</v>
      </c>
      <c r="L435" s="10">
        <v>1</v>
      </c>
      <c r="N435" s="10">
        <v>4</v>
      </c>
      <c r="O435" s="6"/>
      <c r="P435" s="45" t="s">
        <v>2347</v>
      </c>
      <c r="Q435" s="42" t="s">
        <v>2393</v>
      </c>
      <c r="R435" s="42"/>
      <c r="S435" s="1" t="s">
        <v>2657</v>
      </c>
    </row>
    <row r="436" spans="1:19" ht="18.75" customHeight="1" x14ac:dyDescent="0.3">
      <c r="A436" s="10">
        <v>435</v>
      </c>
      <c r="B436" s="10">
        <f>_xlfn.XLOOKUP(1,(VALUE(D436)&gt;=VALUE(block!$C$3:$C$500))*(VALUE(D436)&lt;VALUE(block!$C$3:$C$500)+VALUE(block!$D$3:$D$500)),block!$A$3:$A$500,"无匹配",0,1)</f>
        <v>10</v>
      </c>
      <c r="C436" s="3" t="str">
        <f>B436 &amp; "-" &amp; COUNTIF($B$2:B436, B436)</f>
        <v>10-38</v>
      </c>
      <c r="D436" s="10">
        <v>9274</v>
      </c>
      <c r="E436" s="1" t="s">
        <v>2658</v>
      </c>
      <c r="F436" s="1" t="s">
        <v>2659</v>
      </c>
      <c r="G436" s="1" t="s">
        <v>1832</v>
      </c>
      <c r="H436" s="1" t="s">
        <v>1812</v>
      </c>
      <c r="I436" s="10" t="str">
        <f>IF(H436="T65",1,IF(H436="T65",3,IF(H436="T81",6,IF(H436="T81",10,IF(H436="T113",14,IF(H436="T113",18,IF(H436="T81",22,"")))))))</f>
        <v/>
      </c>
      <c r="J436" s="1" t="s">
        <v>1808</v>
      </c>
      <c r="K436" s="10">
        <v>2</v>
      </c>
      <c r="L436" s="10">
        <v>1</v>
      </c>
      <c r="N436" s="10">
        <v>4</v>
      </c>
      <c r="O436" s="6"/>
      <c r="P436" s="45" t="s">
        <v>2347</v>
      </c>
      <c r="Q436" s="42" t="s">
        <v>2393</v>
      </c>
      <c r="R436" s="42"/>
      <c r="S436" s="1" t="s">
        <v>2659</v>
      </c>
    </row>
    <row r="437" spans="1:19" ht="18.75" customHeight="1" x14ac:dyDescent="0.3">
      <c r="A437" s="10">
        <v>436</v>
      </c>
      <c r="B437" s="10">
        <f>_xlfn.XLOOKUP(1,(VALUE(D437)&gt;=VALUE(block!$C$3:$C$500))*(VALUE(D437)&lt;VALUE(block!$C$3:$C$500)+VALUE(block!$D$3:$D$500)),block!$A$3:$A$500,"无匹配",0,1)</f>
        <v>10</v>
      </c>
      <c r="C437" s="3" t="str">
        <f>B437 &amp; "-" &amp; COUNTIF($B$2:B437, B437)</f>
        <v>10-39</v>
      </c>
      <c r="D437" s="10">
        <v>9276</v>
      </c>
      <c r="E437" s="1" t="s">
        <v>2660</v>
      </c>
      <c r="F437" s="1" t="s">
        <v>2661</v>
      </c>
      <c r="G437" s="1" t="s">
        <v>1832</v>
      </c>
      <c r="H437" s="1" t="s">
        <v>1812</v>
      </c>
      <c r="I437" s="10" t="str">
        <f>IF(H437="T66",1,IF(H437="T66",3,IF(H437="T82",6,IF(H437="T82",10,IF(H437="T114",14,IF(H437="T114",18,IF(H437="T82",22,"")))))))</f>
        <v/>
      </c>
      <c r="J437" s="1" t="s">
        <v>1808</v>
      </c>
      <c r="K437" s="10">
        <v>2</v>
      </c>
      <c r="L437" s="10">
        <v>1</v>
      </c>
      <c r="N437" s="10">
        <v>4</v>
      </c>
      <c r="O437" s="6"/>
      <c r="P437" s="45" t="s">
        <v>2347</v>
      </c>
      <c r="Q437" s="42" t="s">
        <v>2393</v>
      </c>
      <c r="R437" s="42"/>
      <c r="S437" s="1" t="s">
        <v>2661</v>
      </c>
    </row>
    <row r="438" spans="1:19" ht="18.75" customHeight="1" x14ac:dyDescent="0.3">
      <c r="A438" s="10">
        <v>437</v>
      </c>
      <c r="B438" s="10">
        <f>_xlfn.XLOOKUP(1,(VALUE(D438)&gt;=VALUE(block!$C$3:$C$500))*(VALUE(D438)&lt;VALUE(block!$C$3:$C$500)+VALUE(block!$D$3:$D$500)),block!$A$3:$A$500,"无匹配",0,1)</f>
        <v>10</v>
      </c>
      <c r="C438" s="3" t="str">
        <f>B438 &amp; "-" &amp; COUNTIF($B$2:B438, B438)</f>
        <v>10-40</v>
      </c>
      <c r="D438" s="10">
        <v>9278</v>
      </c>
      <c r="E438" s="1" t="s">
        <v>2662</v>
      </c>
      <c r="F438" s="1" t="s">
        <v>2663</v>
      </c>
      <c r="G438" s="1" t="s">
        <v>1834</v>
      </c>
      <c r="H438" s="1" t="s">
        <v>1812</v>
      </c>
      <c r="I438" s="10" t="str">
        <f>IF(H438="T67",1,IF(H438="T67",3,IF(H438="T83",6,IF(H438="T83",10,IF(H438="T115",14,IF(H438="T115",18,IF(H438="T83",22,"")))))))</f>
        <v/>
      </c>
      <c r="J438" s="1" t="s">
        <v>1808</v>
      </c>
      <c r="K438" s="10">
        <v>2</v>
      </c>
      <c r="L438" s="10">
        <v>1</v>
      </c>
      <c r="N438" s="10">
        <v>4</v>
      </c>
      <c r="O438" s="6"/>
      <c r="P438" s="45" t="s">
        <v>2347</v>
      </c>
      <c r="Q438" s="42" t="s">
        <v>2393</v>
      </c>
      <c r="R438" s="42"/>
      <c r="S438" s="1" t="s">
        <v>2663</v>
      </c>
    </row>
    <row r="439" spans="1:19" ht="18.75" customHeight="1" x14ac:dyDescent="0.3">
      <c r="A439" s="10">
        <v>438</v>
      </c>
      <c r="B439" s="10">
        <f>_xlfn.XLOOKUP(1,(VALUE(D439)&gt;=VALUE(block!$C$3:$C$500))*(VALUE(D439)&lt;VALUE(block!$C$3:$C$500)+VALUE(block!$D$3:$D$500)),block!$A$3:$A$500,"无匹配",0,1)</f>
        <v>10</v>
      </c>
      <c r="C439" s="3" t="str">
        <f>B439 &amp; "-" &amp; COUNTIF($B$2:B439, B439)</f>
        <v>10-41</v>
      </c>
      <c r="D439" s="10">
        <v>9280</v>
      </c>
      <c r="E439" s="1" t="s">
        <v>2664</v>
      </c>
      <c r="F439" s="1" t="s">
        <v>2665</v>
      </c>
      <c r="G439" s="1" t="s">
        <v>1834</v>
      </c>
      <c r="H439" s="1" t="s">
        <v>1812</v>
      </c>
      <c r="I439" s="10" t="str">
        <f>IF(H439="T68",1,IF(H439="T68",3,IF(H439="T84",6,IF(H439="T84",10,IF(H439="T116",14,IF(H439="T116",18,IF(H439="T84",22,"")))))))</f>
        <v/>
      </c>
      <c r="J439" s="1" t="s">
        <v>1808</v>
      </c>
      <c r="K439" s="10">
        <v>2</v>
      </c>
      <c r="L439" s="10">
        <v>1</v>
      </c>
      <c r="N439" s="10">
        <v>4</v>
      </c>
      <c r="O439" s="6"/>
      <c r="P439" s="45" t="s">
        <v>2347</v>
      </c>
      <c r="Q439" s="42" t="s">
        <v>2393</v>
      </c>
      <c r="R439" s="42"/>
      <c r="S439" s="1" t="s">
        <v>2665</v>
      </c>
    </row>
    <row r="440" spans="1:19" ht="18.75" customHeight="1" x14ac:dyDescent="0.3">
      <c r="A440" s="10">
        <v>439</v>
      </c>
      <c r="B440" s="10">
        <f>_xlfn.XLOOKUP(1,(VALUE(D440)&gt;=VALUE(block!$C$3:$C$500))*(VALUE(D440)&lt;VALUE(block!$C$3:$C$500)+VALUE(block!$D$3:$D$500)),block!$A$3:$A$500,"无匹配",0,1)</f>
        <v>10</v>
      </c>
      <c r="C440" s="3" t="str">
        <f>B440 &amp; "-" &amp; COUNTIF($B$2:B440, B440)</f>
        <v>10-42</v>
      </c>
      <c r="D440" s="10">
        <v>9282</v>
      </c>
      <c r="E440" s="1" t="s">
        <v>2666</v>
      </c>
      <c r="F440" s="1" t="s">
        <v>2667</v>
      </c>
      <c r="G440" s="1" t="s">
        <v>1836</v>
      </c>
      <c r="H440" s="1" t="s">
        <v>1812</v>
      </c>
      <c r="I440" s="10" t="str">
        <f>IF(H440="T69",1,IF(H440="T69",3,IF(H440="T85",6,IF(H440="T85",10,IF(H440="T117",14,IF(H440="T117",18,IF(H440="T85",22,"")))))))</f>
        <v/>
      </c>
      <c r="J440" s="1" t="s">
        <v>1808</v>
      </c>
      <c r="K440" s="10">
        <v>2</v>
      </c>
      <c r="L440" s="10">
        <v>1</v>
      </c>
      <c r="N440" s="10">
        <v>4</v>
      </c>
      <c r="O440" s="6"/>
      <c r="P440" s="45" t="s">
        <v>2347</v>
      </c>
      <c r="Q440" s="42" t="s">
        <v>2393</v>
      </c>
      <c r="R440" s="42"/>
      <c r="S440" s="1" t="s">
        <v>2667</v>
      </c>
    </row>
    <row r="441" spans="1:19" ht="18.75" customHeight="1" x14ac:dyDescent="0.3">
      <c r="A441" s="10">
        <v>440</v>
      </c>
      <c r="B441" s="10">
        <f>_xlfn.XLOOKUP(1,(VALUE(D441)&gt;=VALUE(block!$C$3:$C$500))*(VALUE(D441)&lt;VALUE(block!$C$3:$C$500)+VALUE(block!$D$3:$D$500)),block!$A$3:$A$500,"无匹配",0,1)</f>
        <v>10</v>
      </c>
      <c r="C441" s="3" t="str">
        <f>B441 &amp; "-" &amp; COUNTIF($B$2:B441, B441)</f>
        <v>10-43</v>
      </c>
      <c r="D441" s="10">
        <v>9284</v>
      </c>
      <c r="E441" s="1" t="s">
        <v>2668</v>
      </c>
      <c r="F441" s="1" t="s">
        <v>2669</v>
      </c>
      <c r="G441" s="1" t="s">
        <v>1830</v>
      </c>
      <c r="H441" s="1" t="s">
        <v>1812</v>
      </c>
      <c r="I441" s="10" t="str">
        <f>IF(H441="T70",1,IF(H441="T70",3,IF(H441="T86",6,IF(H441="T86",10,IF(H441="T118",14,IF(H441="T118",18,IF(H441="T86",22,"")))))))</f>
        <v/>
      </c>
      <c r="J441" s="1" t="s">
        <v>1808</v>
      </c>
      <c r="K441" s="10">
        <v>2</v>
      </c>
      <c r="L441" s="10">
        <v>1</v>
      </c>
      <c r="N441" s="10">
        <v>4</v>
      </c>
      <c r="O441" s="6"/>
      <c r="P441" s="45" t="s">
        <v>2347</v>
      </c>
      <c r="Q441" s="42" t="s">
        <v>2393</v>
      </c>
      <c r="R441" s="42"/>
      <c r="S441" s="1" t="s">
        <v>2669</v>
      </c>
    </row>
    <row r="442" spans="1:19" ht="18.75" customHeight="1" x14ac:dyDescent="0.3">
      <c r="A442" s="10">
        <v>441</v>
      </c>
      <c r="B442" s="10">
        <f>_xlfn.XLOOKUP(1,(VALUE(D442)&gt;=VALUE(block!$C$3:$C$500))*(VALUE(D442)&lt;VALUE(block!$C$3:$C$500)+VALUE(block!$D$3:$D$500)),block!$A$3:$A$500,"无匹配",0,1)</f>
        <v>10</v>
      </c>
      <c r="C442" s="3" t="str">
        <f>B442 &amp; "-" &amp; COUNTIF($B$2:B442, B442)</f>
        <v>10-44</v>
      </c>
      <c r="D442" s="10">
        <v>9286</v>
      </c>
      <c r="E442" s="1" t="s">
        <v>2670</v>
      </c>
      <c r="F442" s="1" t="s">
        <v>2671</v>
      </c>
      <c r="G442" s="1" t="s">
        <v>1832</v>
      </c>
      <c r="H442" s="1" t="s">
        <v>1812</v>
      </c>
      <c r="I442" s="10" t="str">
        <f>IF(H442="T71",1,IF(H442="T71",3,IF(H442="T87",6,IF(H442="T87",10,IF(H442="T119",14,IF(H442="T119",18,IF(H442="T87",22,"")))))))</f>
        <v/>
      </c>
      <c r="J442" s="1" t="s">
        <v>1808</v>
      </c>
      <c r="K442" s="10">
        <v>2</v>
      </c>
      <c r="L442" s="10">
        <v>1</v>
      </c>
      <c r="N442" s="10">
        <v>4</v>
      </c>
      <c r="O442" s="6"/>
      <c r="P442" s="45" t="s">
        <v>2347</v>
      </c>
      <c r="Q442" s="42" t="s">
        <v>2393</v>
      </c>
      <c r="R442" s="42"/>
      <c r="S442" s="1" t="s">
        <v>2671</v>
      </c>
    </row>
    <row r="443" spans="1:19" ht="18.75" customHeight="1" x14ac:dyDescent="0.3">
      <c r="A443" s="10">
        <v>442</v>
      </c>
      <c r="B443" s="10">
        <f>_xlfn.XLOOKUP(1,(VALUE(D443)&gt;=VALUE(block!$C$3:$C$500))*(VALUE(D443)&lt;VALUE(block!$C$3:$C$500)+VALUE(block!$D$3:$D$500)),block!$A$3:$A$500,"无匹配",0,1)</f>
        <v>10</v>
      </c>
      <c r="C443" s="3" t="str">
        <f>B443 &amp; "-" &amp; COUNTIF($B$2:B443, B443)</f>
        <v>10-45</v>
      </c>
      <c r="D443" s="10">
        <v>9288</v>
      </c>
      <c r="E443" s="1" t="s">
        <v>2672</v>
      </c>
      <c r="F443" s="1" t="s">
        <v>2673</v>
      </c>
      <c r="G443" s="1" t="s">
        <v>1832</v>
      </c>
      <c r="H443" s="1" t="s">
        <v>1812</v>
      </c>
      <c r="I443" s="10" t="str">
        <f>IF(H443="T72",1,IF(H443="T72",3,IF(H443="T88",6,IF(H443="T88",10,IF(H443="T120",14,IF(H443="T120",18,IF(H443="T88",22,"")))))))</f>
        <v/>
      </c>
      <c r="J443" s="1" t="s">
        <v>1808</v>
      </c>
      <c r="K443" s="10">
        <v>2</v>
      </c>
      <c r="L443" s="10">
        <v>1</v>
      </c>
      <c r="N443" s="10">
        <v>4</v>
      </c>
      <c r="O443" s="6"/>
      <c r="P443" s="45" t="s">
        <v>2347</v>
      </c>
      <c r="Q443" s="42" t="s">
        <v>2393</v>
      </c>
      <c r="R443" s="42"/>
      <c r="S443" s="1" t="s">
        <v>2673</v>
      </c>
    </row>
    <row r="444" spans="1:19" ht="18.75" customHeight="1" x14ac:dyDescent="0.3">
      <c r="A444" s="10">
        <v>443</v>
      </c>
      <c r="B444" s="10">
        <f>_xlfn.XLOOKUP(1,(VALUE(D444)&gt;=VALUE(block!$C$3:$C$500))*(VALUE(D444)&lt;VALUE(block!$C$3:$C$500)+VALUE(block!$D$3:$D$500)),block!$A$3:$A$500,"无匹配",0,1)</f>
        <v>10</v>
      </c>
      <c r="C444" s="3" t="str">
        <f>B444 &amp; "-" &amp; COUNTIF($B$2:B444, B444)</f>
        <v>10-46</v>
      </c>
      <c r="D444" s="10">
        <v>9290</v>
      </c>
      <c r="E444" s="1" t="s">
        <v>2674</v>
      </c>
      <c r="F444" s="1" t="s">
        <v>2675</v>
      </c>
      <c r="G444" s="1" t="s">
        <v>1834</v>
      </c>
      <c r="H444" s="1" t="s">
        <v>1812</v>
      </c>
      <c r="I444" s="10" t="str">
        <f>IF(H444="T73",1,IF(H444="T73",3,IF(H444="T89",6,IF(H444="T89",10,IF(H444="T121",14,IF(H444="T121",18,IF(H444="T89",22,"")))))))</f>
        <v/>
      </c>
      <c r="J444" s="1" t="s">
        <v>1808</v>
      </c>
      <c r="K444" s="10">
        <v>2</v>
      </c>
      <c r="L444" s="10">
        <v>1</v>
      </c>
      <c r="N444" s="10">
        <v>4</v>
      </c>
      <c r="O444" s="6"/>
      <c r="P444" s="45" t="s">
        <v>2347</v>
      </c>
      <c r="Q444" s="42" t="s">
        <v>2393</v>
      </c>
      <c r="R444" s="42"/>
      <c r="S444" s="1" t="s">
        <v>2675</v>
      </c>
    </row>
    <row r="445" spans="1:19" ht="18.75" customHeight="1" x14ac:dyDescent="0.3">
      <c r="A445" s="10">
        <v>444</v>
      </c>
      <c r="B445" s="10">
        <f>_xlfn.XLOOKUP(1,(VALUE(D445)&gt;=VALUE(block!$C$3:$C$500))*(VALUE(D445)&lt;VALUE(block!$C$3:$C$500)+VALUE(block!$D$3:$D$500)),block!$A$3:$A$500,"无匹配",0,1)</f>
        <v>10</v>
      </c>
      <c r="C445" s="3" t="str">
        <f>B445 &amp; "-" &amp; COUNTIF($B$2:B445, B445)</f>
        <v>10-47</v>
      </c>
      <c r="D445" s="10">
        <v>9292</v>
      </c>
      <c r="E445" s="1" t="s">
        <v>2676</v>
      </c>
      <c r="F445" s="1" t="s">
        <v>2677</v>
      </c>
      <c r="G445" s="1" t="s">
        <v>1834</v>
      </c>
      <c r="H445" s="1" t="s">
        <v>1812</v>
      </c>
      <c r="I445" s="10" t="str">
        <f>IF(H445="T74",1,IF(H445="T74",3,IF(H445="T90",6,IF(H445="T90",10,IF(H445="T122",14,IF(H445="T122",18,IF(H445="T90",22,"")))))))</f>
        <v/>
      </c>
      <c r="J445" s="1" t="s">
        <v>1808</v>
      </c>
      <c r="K445" s="10">
        <v>2</v>
      </c>
      <c r="L445" s="10">
        <v>1</v>
      </c>
      <c r="N445" s="10">
        <v>4</v>
      </c>
      <c r="O445" s="6"/>
      <c r="P445" s="45" t="s">
        <v>2347</v>
      </c>
      <c r="Q445" s="42" t="s">
        <v>2393</v>
      </c>
      <c r="R445" s="42"/>
      <c r="S445" s="1" t="s">
        <v>2677</v>
      </c>
    </row>
    <row r="446" spans="1:19" ht="18.75" customHeight="1" x14ac:dyDescent="0.3">
      <c r="A446" s="10">
        <v>445</v>
      </c>
      <c r="B446" s="10">
        <f>_xlfn.XLOOKUP(1,(VALUE(D446)&gt;=VALUE(block!$C$3:$C$500))*(VALUE(D446)&lt;VALUE(block!$C$3:$C$500)+VALUE(block!$D$3:$D$500)),block!$A$3:$A$500,"无匹配",0,1)</f>
        <v>10</v>
      </c>
      <c r="C446" s="3" t="str">
        <f>B446 &amp; "-" &amp; COUNTIF($B$2:B446, B446)</f>
        <v>10-48</v>
      </c>
      <c r="D446" s="10">
        <v>9294</v>
      </c>
      <c r="E446" s="1" t="s">
        <v>2678</v>
      </c>
      <c r="F446" s="1" t="s">
        <v>2679</v>
      </c>
      <c r="G446" s="1" t="s">
        <v>1836</v>
      </c>
      <c r="H446" s="1" t="s">
        <v>1812</v>
      </c>
      <c r="I446" s="10" t="str">
        <f>IF(H446="T75",1,IF(H446="T75",3,IF(H446="T91",6,IF(H446="T91",10,IF(H446="T123",14,IF(H446="T123",18,IF(H446="T91",22,"")))))))</f>
        <v/>
      </c>
      <c r="J446" s="1" t="s">
        <v>1808</v>
      </c>
      <c r="K446" s="10">
        <v>2</v>
      </c>
      <c r="L446" s="10">
        <v>1</v>
      </c>
      <c r="N446" s="10">
        <v>4</v>
      </c>
      <c r="O446" s="6"/>
      <c r="P446" s="45" t="s">
        <v>2347</v>
      </c>
      <c r="Q446" s="42" t="s">
        <v>2393</v>
      </c>
      <c r="R446" s="42"/>
      <c r="S446" s="1" t="s">
        <v>2679</v>
      </c>
    </row>
    <row r="447" spans="1:19" ht="18.75" customHeight="1" x14ac:dyDescent="0.3">
      <c r="A447" s="10">
        <v>446</v>
      </c>
      <c r="B447" s="10">
        <f>_xlfn.XLOOKUP(1,(VALUE(D447)&gt;=VALUE(block!$C$3:$C$500))*(VALUE(D447)&lt;VALUE(block!$C$3:$C$500)+VALUE(block!$D$3:$D$500)),block!$A$3:$A$500,"无匹配",0,1)</f>
        <v>11</v>
      </c>
      <c r="C447" s="3" t="str">
        <f>B447 &amp; "-" &amp; COUNTIF($B$2:B447, B447)</f>
        <v>11-1</v>
      </c>
      <c r="D447" s="10">
        <v>9296</v>
      </c>
      <c r="E447" s="1" t="s">
        <v>2680</v>
      </c>
      <c r="F447" s="1" t="s">
        <v>2681</v>
      </c>
      <c r="G447" s="1" t="s">
        <v>1830</v>
      </c>
      <c r="H447" s="1" t="s">
        <v>1812</v>
      </c>
      <c r="I447" s="10" t="str">
        <f>IF(H447="T76",1,IF(H447="T76",3,IF(H447="T92",6,IF(H447="T92",10,IF(H447="T124",14,IF(H447="T124",18,IF(H447="T92",22,"")))))))</f>
        <v/>
      </c>
      <c r="J447" s="1" t="s">
        <v>1808</v>
      </c>
      <c r="K447" s="10">
        <v>2</v>
      </c>
      <c r="L447" s="10">
        <v>1</v>
      </c>
      <c r="N447" s="10">
        <v>4</v>
      </c>
      <c r="O447" s="6"/>
      <c r="P447" s="45" t="s">
        <v>2347</v>
      </c>
      <c r="Q447" s="42" t="s">
        <v>2393</v>
      </c>
      <c r="R447" s="42"/>
      <c r="S447" s="1" t="s">
        <v>2681</v>
      </c>
    </row>
    <row r="448" spans="1:19" ht="18.75" customHeight="1" x14ac:dyDescent="0.3">
      <c r="A448" s="10">
        <v>447</v>
      </c>
      <c r="B448" s="10">
        <f>_xlfn.XLOOKUP(1,(VALUE(D448)&gt;=VALUE(block!$C$3:$C$500))*(VALUE(D448)&lt;VALUE(block!$C$3:$C$500)+VALUE(block!$D$3:$D$500)),block!$A$3:$A$500,"无匹配",0,1)</f>
        <v>11</v>
      </c>
      <c r="C448" s="3" t="str">
        <f>B448 &amp; "-" &amp; COUNTIF($B$2:B448, B448)</f>
        <v>11-2</v>
      </c>
      <c r="D448" s="10">
        <v>9298</v>
      </c>
      <c r="E448" s="1" t="s">
        <v>2682</v>
      </c>
      <c r="F448" s="1" t="s">
        <v>2683</v>
      </c>
      <c r="G448" s="1" t="s">
        <v>1832</v>
      </c>
      <c r="H448" s="1" t="s">
        <v>1812</v>
      </c>
      <c r="I448" s="10" t="str">
        <f>IF(H448="T77",1,IF(H448="T77",3,IF(H448="T93",6,IF(H448="T93",10,IF(H448="T125",14,IF(H448="T125",18,IF(H448="T93",22,"")))))))</f>
        <v/>
      </c>
      <c r="J448" s="1" t="s">
        <v>1808</v>
      </c>
      <c r="K448" s="10">
        <v>2</v>
      </c>
      <c r="L448" s="10">
        <v>1</v>
      </c>
      <c r="N448" s="10">
        <v>4</v>
      </c>
      <c r="O448" s="6"/>
      <c r="P448" s="45" t="s">
        <v>2347</v>
      </c>
      <c r="Q448" s="42" t="s">
        <v>2393</v>
      </c>
      <c r="R448" s="42"/>
      <c r="S448" s="1" t="s">
        <v>2683</v>
      </c>
    </row>
    <row r="449" spans="1:19" ht="18.75" customHeight="1" x14ac:dyDescent="0.3">
      <c r="A449" s="10">
        <v>448</v>
      </c>
      <c r="B449" s="10">
        <f>_xlfn.XLOOKUP(1,(VALUE(D449)&gt;=VALUE(block!$C$3:$C$500))*(VALUE(D449)&lt;VALUE(block!$C$3:$C$500)+VALUE(block!$D$3:$D$500)),block!$A$3:$A$500,"无匹配",0,1)</f>
        <v>11</v>
      </c>
      <c r="C449" s="3" t="str">
        <f>B449 &amp; "-" &amp; COUNTIF($B$2:B449, B449)</f>
        <v>11-3</v>
      </c>
      <c r="D449" s="10">
        <v>9300</v>
      </c>
      <c r="E449" s="1" t="s">
        <v>2684</v>
      </c>
      <c r="F449" s="1" t="s">
        <v>2685</v>
      </c>
      <c r="G449" s="1" t="s">
        <v>1832</v>
      </c>
      <c r="H449" s="1" t="s">
        <v>1812</v>
      </c>
      <c r="I449" s="10" t="str">
        <f>IF(H449="T78",1,IF(H449="T78",3,IF(H449="T94",6,IF(H449="T94",10,IF(H449="T126",14,IF(H449="T126",18,IF(H449="T94",22,"")))))))</f>
        <v/>
      </c>
      <c r="J449" s="1" t="s">
        <v>1808</v>
      </c>
      <c r="K449" s="10">
        <v>2</v>
      </c>
      <c r="L449" s="10">
        <v>1</v>
      </c>
      <c r="N449" s="10">
        <v>4</v>
      </c>
      <c r="O449" s="6"/>
      <c r="P449" s="45" t="s">
        <v>2347</v>
      </c>
      <c r="Q449" s="42" t="s">
        <v>2393</v>
      </c>
      <c r="R449" s="42"/>
      <c r="S449" s="1" t="s">
        <v>2685</v>
      </c>
    </row>
    <row r="450" spans="1:19" ht="18.75" customHeight="1" x14ac:dyDescent="0.3">
      <c r="A450" s="10">
        <v>449</v>
      </c>
      <c r="B450" s="10">
        <f>_xlfn.XLOOKUP(1,(VALUE(D450)&gt;=VALUE(block!$C$3:$C$500))*(VALUE(D450)&lt;VALUE(block!$C$3:$C$500)+VALUE(block!$D$3:$D$500)),block!$A$3:$A$500,"无匹配",0,1)</f>
        <v>11</v>
      </c>
      <c r="C450" s="3" t="str">
        <f>B450 &amp; "-" &amp; COUNTIF($B$2:B450, B450)</f>
        <v>11-4</v>
      </c>
      <c r="D450" s="10">
        <v>9302</v>
      </c>
      <c r="E450" s="1" t="s">
        <v>2686</v>
      </c>
      <c r="F450" s="1" t="s">
        <v>2687</v>
      </c>
      <c r="G450" s="1" t="s">
        <v>1834</v>
      </c>
      <c r="H450" s="1" t="s">
        <v>1812</v>
      </c>
      <c r="I450" s="10" t="str">
        <f>IF(H450="T79",1,IF(H450="T79",3,IF(H450="T95",6,IF(H450="T95",10,IF(H450="T127",14,IF(H450="T127",18,IF(H450="T95",22,"")))))))</f>
        <v/>
      </c>
      <c r="J450" s="1" t="s">
        <v>1808</v>
      </c>
      <c r="K450" s="10">
        <v>2</v>
      </c>
      <c r="L450" s="10">
        <v>1</v>
      </c>
      <c r="N450" s="10">
        <v>4</v>
      </c>
      <c r="O450" s="6"/>
      <c r="P450" s="45" t="s">
        <v>2347</v>
      </c>
      <c r="Q450" s="42" t="s">
        <v>2393</v>
      </c>
      <c r="R450" s="42"/>
      <c r="S450" s="1" t="s">
        <v>2687</v>
      </c>
    </row>
    <row r="451" spans="1:19" ht="18.75" customHeight="1" x14ac:dyDescent="0.3">
      <c r="A451" s="10">
        <v>450</v>
      </c>
      <c r="B451" s="10">
        <f>_xlfn.XLOOKUP(1,(VALUE(D451)&gt;=VALUE(block!$C$3:$C$500))*(VALUE(D451)&lt;VALUE(block!$C$3:$C$500)+VALUE(block!$D$3:$D$500)),block!$A$3:$A$500,"无匹配",0,1)</f>
        <v>11</v>
      </c>
      <c r="C451" s="3" t="str">
        <f>B451 &amp; "-" &amp; COUNTIF($B$2:B451, B451)</f>
        <v>11-5</v>
      </c>
      <c r="D451" s="10">
        <v>9304</v>
      </c>
      <c r="E451" s="1" t="s">
        <v>2688</v>
      </c>
      <c r="F451" s="1" t="s">
        <v>2689</v>
      </c>
      <c r="G451" s="1" t="s">
        <v>1834</v>
      </c>
      <c r="H451" s="1" t="s">
        <v>1812</v>
      </c>
      <c r="I451" s="10">
        <f>IF(H451="uint16",1,IF(H451="int16",3,IF(H451="uint32",6,IF(H451="int32",10,IF(H451="uint64",14,IF(H451="int64",18,IF(H451="float32",22,"")))))))</f>
        <v>22</v>
      </c>
      <c r="J451" s="1" t="s">
        <v>1808</v>
      </c>
      <c r="K451" s="10">
        <v>2</v>
      </c>
      <c r="L451" s="10">
        <v>1</v>
      </c>
      <c r="N451" s="10">
        <v>4</v>
      </c>
      <c r="O451" s="6"/>
      <c r="P451" s="45" t="s">
        <v>2347</v>
      </c>
      <c r="Q451" s="42" t="s">
        <v>2393</v>
      </c>
      <c r="R451" s="42"/>
      <c r="S451" s="1" t="s">
        <v>2689</v>
      </c>
    </row>
    <row r="452" spans="1:19" ht="18.75" customHeight="1" x14ac:dyDescent="0.3">
      <c r="A452" s="10">
        <v>451</v>
      </c>
      <c r="B452" s="10">
        <f>_xlfn.XLOOKUP(1,(VALUE(D452)&gt;=VALUE(block!$C$3:$C$500))*(VALUE(D452)&lt;VALUE(block!$C$3:$C$500)+VALUE(block!$D$3:$D$500)),block!$A$3:$A$500,"无匹配",0,1)</f>
        <v>11</v>
      </c>
      <c r="C452" s="3" t="str">
        <f>B452 &amp; "-" &amp; COUNTIF($B$2:B452, B452)</f>
        <v>11-6</v>
      </c>
      <c r="D452" s="10">
        <v>9306</v>
      </c>
      <c r="E452" s="1" t="s">
        <v>2690</v>
      </c>
      <c r="F452" s="1" t="s">
        <v>2691</v>
      </c>
      <c r="G452" s="1" t="s">
        <v>1836</v>
      </c>
      <c r="H452" s="1" t="s">
        <v>1812</v>
      </c>
      <c r="I452" s="10" t="str">
        <f>IF(H452="T17",1,IF(H452="T17",3,IF(H452="T33",6,IF(H452="T33",10,IF(H452="T65",14,IF(H452="T65",18,IF(H452="T33",22,"")))))))</f>
        <v/>
      </c>
      <c r="J452" s="1" t="s">
        <v>1808</v>
      </c>
      <c r="K452" s="10">
        <v>2</v>
      </c>
      <c r="L452" s="10">
        <v>1</v>
      </c>
      <c r="N452" s="10">
        <v>4</v>
      </c>
      <c r="O452" s="6"/>
      <c r="P452" s="45" t="s">
        <v>2347</v>
      </c>
      <c r="Q452" s="42" t="s">
        <v>2393</v>
      </c>
      <c r="R452" s="42"/>
      <c r="S452" s="1" t="s">
        <v>2691</v>
      </c>
    </row>
    <row r="453" spans="1:19" ht="18.75" customHeight="1" x14ac:dyDescent="0.3">
      <c r="A453" s="10">
        <v>452</v>
      </c>
      <c r="B453" s="10">
        <f>_xlfn.XLOOKUP(1,(VALUE(D453)&gt;=VALUE(block!$C$3:$C$500))*(VALUE(D453)&lt;VALUE(block!$C$3:$C$500)+VALUE(block!$D$3:$D$500)),block!$A$3:$A$500,"无匹配",0,1)</f>
        <v>11</v>
      </c>
      <c r="C453" s="3" t="str">
        <f>B453 &amp; "-" &amp; COUNTIF($B$2:B453, B453)</f>
        <v>11-7</v>
      </c>
      <c r="D453" s="10">
        <v>9308</v>
      </c>
      <c r="E453" s="1" t="s">
        <v>2692</v>
      </c>
      <c r="F453" s="1" t="s">
        <v>2693</v>
      </c>
      <c r="G453" s="1" t="s">
        <v>1830</v>
      </c>
      <c r="H453" s="1" t="s">
        <v>1812</v>
      </c>
      <c r="I453" s="10" t="str">
        <f>IF(H453="T18",1,IF(H453="T18",3,IF(H453="T34",6,IF(H453="T34",10,IF(H453="T66",14,IF(H453="T66",18,IF(H453="T34",22,"")))))))</f>
        <v/>
      </c>
      <c r="J453" s="1" t="s">
        <v>1808</v>
      </c>
      <c r="K453" s="10">
        <v>2</v>
      </c>
      <c r="L453" s="10">
        <v>1</v>
      </c>
      <c r="N453" s="10">
        <v>4</v>
      </c>
      <c r="O453" s="6"/>
      <c r="P453" s="45" t="s">
        <v>2347</v>
      </c>
      <c r="Q453" s="42" t="s">
        <v>2393</v>
      </c>
      <c r="R453" s="42"/>
      <c r="S453" s="1" t="s">
        <v>2693</v>
      </c>
    </row>
    <row r="454" spans="1:19" ht="18.75" customHeight="1" x14ac:dyDescent="0.3">
      <c r="A454" s="10">
        <v>453</v>
      </c>
      <c r="B454" s="10">
        <f>_xlfn.XLOOKUP(1,(VALUE(D454)&gt;=VALUE(block!$C$3:$C$500))*(VALUE(D454)&lt;VALUE(block!$C$3:$C$500)+VALUE(block!$D$3:$D$500)),block!$A$3:$A$500,"无匹配",0,1)</f>
        <v>11</v>
      </c>
      <c r="C454" s="3" t="str">
        <f>B454 &amp; "-" &amp; COUNTIF($B$2:B454, B454)</f>
        <v>11-8</v>
      </c>
      <c r="D454" s="10">
        <v>9310</v>
      </c>
      <c r="E454" s="1" t="s">
        <v>2694</v>
      </c>
      <c r="F454" s="1" t="s">
        <v>2695</v>
      </c>
      <c r="G454" s="1" t="s">
        <v>1832</v>
      </c>
      <c r="H454" s="1" t="s">
        <v>1812</v>
      </c>
      <c r="I454" s="10" t="str">
        <f>IF(H454="T19",1,IF(H454="T19",3,IF(H454="T35",6,IF(H454="T35",10,IF(H454="T67",14,IF(H454="T67",18,IF(H454="T35",22,"")))))))</f>
        <v/>
      </c>
      <c r="J454" s="1" t="s">
        <v>1808</v>
      </c>
      <c r="K454" s="10">
        <v>2</v>
      </c>
      <c r="L454" s="10">
        <v>1</v>
      </c>
      <c r="N454" s="10">
        <v>4</v>
      </c>
      <c r="O454" s="6"/>
      <c r="P454" s="45" t="s">
        <v>2347</v>
      </c>
      <c r="Q454" s="42" t="s">
        <v>2393</v>
      </c>
      <c r="R454" s="42"/>
      <c r="S454" s="1" t="s">
        <v>2695</v>
      </c>
    </row>
    <row r="455" spans="1:19" ht="18.75" customHeight="1" x14ac:dyDescent="0.3">
      <c r="A455" s="10">
        <v>454</v>
      </c>
      <c r="B455" s="10">
        <f>_xlfn.XLOOKUP(1,(VALUE(D455)&gt;=VALUE(block!$C$3:$C$500))*(VALUE(D455)&lt;VALUE(block!$C$3:$C$500)+VALUE(block!$D$3:$D$500)),block!$A$3:$A$500,"无匹配",0,1)</f>
        <v>11</v>
      </c>
      <c r="C455" s="3" t="str">
        <f>B455 &amp; "-" &amp; COUNTIF($B$2:B455, B455)</f>
        <v>11-9</v>
      </c>
      <c r="D455" s="10">
        <v>9312</v>
      </c>
      <c r="E455" s="1" t="s">
        <v>2696</v>
      </c>
      <c r="F455" s="1" t="s">
        <v>2697</v>
      </c>
      <c r="G455" s="1" t="s">
        <v>1832</v>
      </c>
      <c r="H455" s="1" t="s">
        <v>1812</v>
      </c>
      <c r="I455" s="10" t="str">
        <f>IF(H455="T20",1,IF(H455="T20",3,IF(H455="T36",6,IF(H455="T36",10,IF(H455="T68",14,IF(H455="T68",18,IF(H455="T36",22,"")))))))</f>
        <v/>
      </c>
      <c r="J455" s="1" t="s">
        <v>1808</v>
      </c>
      <c r="K455" s="10">
        <v>2</v>
      </c>
      <c r="L455" s="10">
        <v>1</v>
      </c>
      <c r="N455" s="10">
        <v>4</v>
      </c>
      <c r="O455" s="6"/>
      <c r="P455" s="45" t="s">
        <v>2347</v>
      </c>
      <c r="Q455" s="42" t="s">
        <v>2393</v>
      </c>
      <c r="R455" s="42"/>
      <c r="S455" s="1" t="s">
        <v>2697</v>
      </c>
    </row>
    <row r="456" spans="1:19" ht="18.75" customHeight="1" x14ac:dyDescent="0.3">
      <c r="A456" s="10">
        <v>455</v>
      </c>
      <c r="B456" s="10">
        <f>_xlfn.XLOOKUP(1,(VALUE(D456)&gt;=VALUE(block!$C$3:$C$500))*(VALUE(D456)&lt;VALUE(block!$C$3:$C$500)+VALUE(block!$D$3:$D$500)),block!$A$3:$A$500,"无匹配",0,1)</f>
        <v>11</v>
      </c>
      <c r="C456" s="3" t="str">
        <f>B456 &amp; "-" &amp; COUNTIF($B$2:B456, B456)</f>
        <v>11-10</v>
      </c>
      <c r="D456" s="10">
        <v>9314</v>
      </c>
      <c r="E456" s="1" t="s">
        <v>2698</v>
      </c>
      <c r="F456" s="1" t="s">
        <v>2699</v>
      </c>
      <c r="G456" s="1" t="s">
        <v>1834</v>
      </c>
      <c r="H456" s="1" t="s">
        <v>1812</v>
      </c>
      <c r="I456" s="10" t="str">
        <f>IF(H456="T21",1,IF(H456="T21",3,IF(H456="T37",6,IF(H456="T37",10,IF(H456="T69",14,IF(H456="T69",18,IF(H456="T37",22,"")))))))</f>
        <v/>
      </c>
      <c r="J456" s="1" t="s">
        <v>1808</v>
      </c>
      <c r="K456" s="10">
        <v>2</v>
      </c>
      <c r="L456" s="10">
        <v>1</v>
      </c>
      <c r="N456" s="10">
        <v>4</v>
      </c>
      <c r="O456" s="6"/>
      <c r="P456" s="45" t="s">
        <v>2347</v>
      </c>
      <c r="Q456" s="42" t="s">
        <v>2393</v>
      </c>
      <c r="R456" s="42"/>
      <c r="S456" s="1" t="s">
        <v>2699</v>
      </c>
    </row>
    <row r="457" spans="1:19" ht="18.75" customHeight="1" x14ac:dyDescent="0.3">
      <c r="A457" s="10">
        <v>456</v>
      </c>
      <c r="B457" s="10">
        <f>_xlfn.XLOOKUP(1,(VALUE(D457)&gt;=VALUE(block!$C$3:$C$500))*(VALUE(D457)&lt;VALUE(block!$C$3:$C$500)+VALUE(block!$D$3:$D$500)),block!$A$3:$A$500,"无匹配",0,1)</f>
        <v>11</v>
      </c>
      <c r="C457" s="3" t="str">
        <f>B457 &amp; "-" &amp; COUNTIF($B$2:B457, B457)</f>
        <v>11-11</v>
      </c>
      <c r="D457" s="10">
        <v>9316</v>
      </c>
      <c r="E457" s="1" t="s">
        <v>2700</v>
      </c>
      <c r="F457" s="1" t="s">
        <v>2701</v>
      </c>
      <c r="G457" s="1" t="s">
        <v>1834</v>
      </c>
      <c r="H457" s="1" t="s">
        <v>1812</v>
      </c>
      <c r="I457" s="10" t="str">
        <f>IF(H457="T22",1,IF(H457="T22",3,IF(H457="T38",6,IF(H457="T38",10,IF(H457="T70",14,IF(H457="T70",18,IF(H457="T38",22,"")))))))</f>
        <v/>
      </c>
      <c r="J457" s="1" t="s">
        <v>1808</v>
      </c>
      <c r="K457" s="10">
        <v>2</v>
      </c>
      <c r="L457" s="10">
        <v>1</v>
      </c>
      <c r="N457" s="10">
        <v>4</v>
      </c>
      <c r="O457" s="6"/>
      <c r="P457" s="45" t="s">
        <v>2347</v>
      </c>
      <c r="Q457" s="42" t="s">
        <v>2393</v>
      </c>
      <c r="R457" s="42"/>
      <c r="S457" s="1" t="s">
        <v>2701</v>
      </c>
    </row>
    <row r="458" spans="1:19" ht="18.75" customHeight="1" x14ac:dyDescent="0.3">
      <c r="A458" s="10">
        <v>457</v>
      </c>
      <c r="B458" s="10">
        <f>_xlfn.XLOOKUP(1,(VALUE(D458)&gt;=VALUE(block!$C$3:$C$500))*(VALUE(D458)&lt;VALUE(block!$C$3:$C$500)+VALUE(block!$D$3:$D$500)),block!$A$3:$A$500,"无匹配",0,1)</f>
        <v>11</v>
      </c>
      <c r="C458" s="3" t="str">
        <f>B458 &amp; "-" &amp; COUNTIF($B$2:B458, B458)</f>
        <v>11-12</v>
      </c>
      <c r="D458" s="10">
        <v>9318</v>
      </c>
      <c r="E458" s="1" t="s">
        <v>2702</v>
      </c>
      <c r="F458" s="1" t="s">
        <v>2703</v>
      </c>
      <c r="G458" s="1" t="s">
        <v>1836</v>
      </c>
      <c r="H458" s="1" t="s">
        <v>1812</v>
      </c>
      <c r="I458" s="10" t="str">
        <f>IF(H458="T23",1,IF(H458="T23",3,IF(H458="T39",6,IF(H458="T39",10,IF(H458="T71",14,IF(H458="T71",18,IF(H458="T39",22,"")))))))</f>
        <v/>
      </c>
      <c r="J458" s="1" t="s">
        <v>1808</v>
      </c>
      <c r="K458" s="10">
        <v>2</v>
      </c>
      <c r="L458" s="10">
        <v>1</v>
      </c>
      <c r="N458" s="10">
        <v>4</v>
      </c>
      <c r="O458" s="6"/>
      <c r="P458" s="45" t="s">
        <v>2347</v>
      </c>
      <c r="Q458" s="42" t="s">
        <v>2393</v>
      </c>
      <c r="R458" s="42"/>
      <c r="S458" s="1" t="s">
        <v>2703</v>
      </c>
    </row>
    <row r="459" spans="1:19" ht="18.75" customHeight="1" x14ac:dyDescent="0.3">
      <c r="A459" s="10">
        <v>458</v>
      </c>
      <c r="B459" s="10">
        <f>_xlfn.XLOOKUP(1,(VALUE(D459)&gt;=VALUE(block!$C$3:$C$500))*(VALUE(D459)&lt;VALUE(block!$C$3:$C$500)+VALUE(block!$D$3:$D$500)),block!$A$3:$A$500,"无匹配",0,1)</f>
        <v>11</v>
      </c>
      <c r="C459" s="3" t="str">
        <f>B459 &amp; "-" &amp; COUNTIF($B$2:B459, B459)</f>
        <v>11-13</v>
      </c>
      <c r="D459" s="10">
        <v>9320</v>
      </c>
      <c r="E459" s="1" t="s">
        <v>2704</v>
      </c>
      <c r="F459" s="1" t="s">
        <v>2705</v>
      </c>
      <c r="G459" s="1" t="s">
        <v>1830</v>
      </c>
      <c r="H459" s="1" t="s">
        <v>1812</v>
      </c>
      <c r="I459" s="10" t="str">
        <f>IF(H459="T24",1,IF(H459="T24",3,IF(H459="T40",6,IF(H459="T40",10,IF(H459="T72",14,IF(H459="T72",18,IF(H459="T40",22,"")))))))</f>
        <v/>
      </c>
      <c r="J459" s="1" t="s">
        <v>1808</v>
      </c>
      <c r="K459" s="10">
        <v>2</v>
      </c>
      <c r="L459" s="10">
        <v>1</v>
      </c>
      <c r="N459" s="10">
        <v>4</v>
      </c>
      <c r="O459" s="6"/>
      <c r="P459" s="45" t="s">
        <v>2347</v>
      </c>
      <c r="Q459" s="42" t="s">
        <v>2393</v>
      </c>
      <c r="R459" s="42"/>
      <c r="S459" s="1" t="s">
        <v>2705</v>
      </c>
    </row>
    <row r="460" spans="1:19" ht="18.75" customHeight="1" x14ac:dyDescent="0.3">
      <c r="A460" s="10">
        <v>459</v>
      </c>
      <c r="B460" s="10">
        <f>_xlfn.XLOOKUP(1,(VALUE(D460)&gt;=VALUE(block!$C$3:$C$500))*(VALUE(D460)&lt;VALUE(block!$C$3:$C$500)+VALUE(block!$D$3:$D$500)),block!$A$3:$A$500,"无匹配",0,1)</f>
        <v>11</v>
      </c>
      <c r="C460" s="3" t="str">
        <f>B460 &amp; "-" &amp; COUNTIF($B$2:B460, B460)</f>
        <v>11-14</v>
      </c>
      <c r="D460" s="10">
        <v>9322</v>
      </c>
      <c r="E460" s="1" t="s">
        <v>2706</v>
      </c>
      <c r="F460" s="1" t="s">
        <v>2707</v>
      </c>
      <c r="G460" s="1" t="s">
        <v>1832</v>
      </c>
      <c r="H460" s="1" t="s">
        <v>1812</v>
      </c>
      <c r="I460" s="10" t="str">
        <f>IF(H460="T25",1,IF(H460="T25",3,IF(H460="T41",6,IF(H460="T41",10,IF(H460="T73",14,IF(H460="T73",18,IF(H460="T41",22,"")))))))</f>
        <v/>
      </c>
      <c r="J460" s="1" t="s">
        <v>1808</v>
      </c>
      <c r="K460" s="10">
        <v>2</v>
      </c>
      <c r="L460" s="10">
        <v>1</v>
      </c>
      <c r="N460" s="10">
        <v>4</v>
      </c>
      <c r="O460" s="6"/>
      <c r="P460" s="45" t="s">
        <v>2347</v>
      </c>
      <c r="Q460" s="42" t="s">
        <v>2393</v>
      </c>
      <c r="R460" s="42"/>
      <c r="S460" s="1" t="s">
        <v>2707</v>
      </c>
    </row>
    <row r="461" spans="1:19" ht="18.75" customHeight="1" x14ac:dyDescent="0.3">
      <c r="A461" s="10">
        <v>460</v>
      </c>
      <c r="B461" s="10">
        <f>_xlfn.XLOOKUP(1,(VALUE(D461)&gt;=VALUE(block!$C$3:$C$500))*(VALUE(D461)&lt;VALUE(block!$C$3:$C$500)+VALUE(block!$D$3:$D$500)),block!$A$3:$A$500,"无匹配",0,1)</f>
        <v>11</v>
      </c>
      <c r="C461" s="3" t="str">
        <f>B461 &amp; "-" &amp; COUNTIF($B$2:B461, B461)</f>
        <v>11-15</v>
      </c>
      <c r="D461" s="10">
        <v>9324</v>
      </c>
      <c r="E461" s="1" t="s">
        <v>2708</v>
      </c>
      <c r="F461" s="1" t="s">
        <v>2709</v>
      </c>
      <c r="G461" s="1" t="s">
        <v>1832</v>
      </c>
      <c r="H461" s="1" t="s">
        <v>1812</v>
      </c>
      <c r="I461" s="10" t="str">
        <f>IF(H461="T26",1,IF(H461="T26",3,IF(H461="T42",6,IF(H461="T42",10,IF(H461="T74",14,IF(H461="T74",18,IF(H461="T42",22,"")))))))</f>
        <v/>
      </c>
      <c r="J461" s="1" t="s">
        <v>1808</v>
      </c>
      <c r="K461" s="10">
        <v>2</v>
      </c>
      <c r="L461" s="10">
        <v>1</v>
      </c>
      <c r="N461" s="10">
        <v>4</v>
      </c>
      <c r="O461" s="6"/>
      <c r="P461" s="45" t="s">
        <v>2347</v>
      </c>
      <c r="Q461" s="42" t="s">
        <v>2393</v>
      </c>
      <c r="R461" s="42"/>
      <c r="S461" s="1" t="s">
        <v>2709</v>
      </c>
    </row>
    <row r="462" spans="1:19" ht="18.75" customHeight="1" x14ac:dyDescent="0.3">
      <c r="A462" s="10">
        <v>461</v>
      </c>
      <c r="B462" s="10">
        <f>_xlfn.XLOOKUP(1,(VALUE(D462)&gt;=VALUE(block!$C$3:$C$500))*(VALUE(D462)&lt;VALUE(block!$C$3:$C$500)+VALUE(block!$D$3:$D$500)),block!$A$3:$A$500,"无匹配",0,1)</f>
        <v>11</v>
      </c>
      <c r="C462" s="3" t="str">
        <f>B462 &amp; "-" &amp; COUNTIF($B$2:B462, B462)</f>
        <v>11-16</v>
      </c>
      <c r="D462" s="10">
        <v>9326</v>
      </c>
      <c r="E462" s="1" t="s">
        <v>2710</v>
      </c>
      <c r="F462" s="1" t="s">
        <v>2711</v>
      </c>
      <c r="G462" s="1" t="s">
        <v>1834</v>
      </c>
      <c r="H462" s="1" t="s">
        <v>1812</v>
      </c>
      <c r="I462" s="10" t="str">
        <f>IF(H462="T27",1,IF(H462="T27",3,IF(H462="T43",6,IF(H462="T43",10,IF(H462="T75",14,IF(H462="T75",18,IF(H462="T43",22,"")))))))</f>
        <v/>
      </c>
      <c r="J462" s="1" t="s">
        <v>1808</v>
      </c>
      <c r="K462" s="10">
        <v>2</v>
      </c>
      <c r="L462" s="10">
        <v>1</v>
      </c>
      <c r="N462" s="10">
        <v>4</v>
      </c>
      <c r="O462" s="6"/>
      <c r="P462" s="45" t="s">
        <v>2347</v>
      </c>
      <c r="Q462" s="42" t="s">
        <v>2393</v>
      </c>
      <c r="R462" s="42"/>
      <c r="S462" s="1" t="s">
        <v>2711</v>
      </c>
    </row>
    <row r="463" spans="1:19" ht="18.75" customHeight="1" x14ac:dyDescent="0.3">
      <c r="A463" s="10">
        <v>462</v>
      </c>
      <c r="B463" s="10">
        <f>_xlfn.XLOOKUP(1,(VALUE(D463)&gt;=VALUE(block!$C$3:$C$500))*(VALUE(D463)&lt;VALUE(block!$C$3:$C$500)+VALUE(block!$D$3:$D$500)),block!$A$3:$A$500,"无匹配",0,1)</f>
        <v>11</v>
      </c>
      <c r="C463" s="3" t="str">
        <f>B463 &amp; "-" &amp; COUNTIF($B$2:B463, B463)</f>
        <v>11-17</v>
      </c>
      <c r="D463" s="10">
        <v>9328</v>
      </c>
      <c r="E463" s="1" t="s">
        <v>2712</v>
      </c>
      <c r="F463" s="1" t="s">
        <v>2713</v>
      </c>
      <c r="G463" s="1" t="s">
        <v>1834</v>
      </c>
      <c r="H463" s="1" t="s">
        <v>1812</v>
      </c>
      <c r="I463" s="10" t="str">
        <f>IF(H463="T28",1,IF(H463="T28",3,IF(H463="T44",6,IF(H463="T44",10,IF(H463="T76",14,IF(H463="T76",18,IF(H463="T44",22,"")))))))</f>
        <v/>
      </c>
      <c r="J463" s="1" t="s">
        <v>1808</v>
      </c>
      <c r="K463" s="10">
        <v>2</v>
      </c>
      <c r="L463" s="10">
        <v>1</v>
      </c>
      <c r="N463" s="10">
        <v>4</v>
      </c>
      <c r="O463" s="6"/>
      <c r="P463" s="45" t="s">
        <v>2347</v>
      </c>
      <c r="Q463" s="42" t="s">
        <v>2393</v>
      </c>
      <c r="R463" s="42"/>
      <c r="S463" s="1" t="s">
        <v>2713</v>
      </c>
    </row>
    <row r="464" spans="1:19" ht="18.75" customHeight="1" x14ac:dyDescent="0.3">
      <c r="A464" s="10">
        <v>463</v>
      </c>
      <c r="B464" s="10">
        <f>_xlfn.XLOOKUP(1,(VALUE(D464)&gt;=VALUE(block!$C$3:$C$500))*(VALUE(D464)&lt;VALUE(block!$C$3:$C$500)+VALUE(block!$D$3:$D$500)),block!$A$3:$A$500,"无匹配",0,1)</f>
        <v>11</v>
      </c>
      <c r="C464" s="3" t="str">
        <f>B464 &amp; "-" &amp; COUNTIF($B$2:B464, B464)</f>
        <v>11-18</v>
      </c>
      <c r="D464" s="10">
        <v>9330</v>
      </c>
      <c r="E464" s="1" t="s">
        <v>2714</v>
      </c>
      <c r="F464" s="1" t="s">
        <v>2715</v>
      </c>
      <c r="G464" s="1" t="s">
        <v>1836</v>
      </c>
      <c r="H464" s="1" t="s">
        <v>1812</v>
      </c>
      <c r="I464" s="10" t="str">
        <f>IF(H464="T29",1,IF(H464="T29",3,IF(H464="T45",6,IF(H464="T45",10,IF(H464="T77",14,IF(H464="T77",18,IF(H464="T45",22,"")))))))</f>
        <v/>
      </c>
      <c r="J464" s="1" t="s">
        <v>1808</v>
      </c>
      <c r="K464" s="10">
        <v>2</v>
      </c>
      <c r="L464" s="10">
        <v>1</v>
      </c>
      <c r="N464" s="10">
        <v>4</v>
      </c>
      <c r="O464" s="6"/>
      <c r="P464" s="45" t="s">
        <v>2347</v>
      </c>
      <c r="Q464" s="42" t="s">
        <v>2393</v>
      </c>
      <c r="R464" s="42"/>
      <c r="S464" s="1" t="s">
        <v>2715</v>
      </c>
    </row>
    <row r="465" spans="1:19" ht="18.75" customHeight="1" x14ac:dyDescent="0.3">
      <c r="A465" s="10">
        <v>464</v>
      </c>
      <c r="B465" s="10">
        <f>_xlfn.XLOOKUP(1,(VALUE(D465)&gt;=VALUE(block!$C$3:$C$500))*(VALUE(D465)&lt;VALUE(block!$C$3:$C$500)+VALUE(block!$D$3:$D$500)),block!$A$3:$A$500,"无匹配",0,1)</f>
        <v>11</v>
      </c>
      <c r="C465" s="3" t="str">
        <f>B465 &amp; "-" &amp; COUNTIF($B$2:B465, B465)</f>
        <v>11-19</v>
      </c>
      <c r="D465" s="10">
        <v>9332</v>
      </c>
      <c r="E465" s="1" t="s">
        <v>2716</v>
      </c>
      <c r="F465" s="1" t="s">
        <v>2717</v>
      </c>
      <c r="G465" s="1" t="s">
        <v>1830</v>
      </c>
      <c r="H465" s="1" t="s">
        <v>1812</v>
      </c>
      <c r="I465" s="10" t="str">
        <f>IF(H465="T30",1,IF(H465="T30",3,IF(H465="T46",6,IF(H465="T46",10,IF(H465="T78",14,IF(H465="T78",18,IF(H465="T46",22,"")))))))</f>
        <v/>
      </c>
      <c r="J465" s="1" t="s">
        <v>1808</v>
      </c>
      <c r="K465" s="10">
        <v>2</v>
      </c>
      <c r="L465" s="10">
        <v>1</v>
      </c>
      <c r="N465" s="10">
        <v>4</v>
      </c>
      <c r="O465" s="6"/>
      <c r="P465" s="45" t="s">
        <v>2347</v>
      </c>
      <c r="Q465" s="42" t="s">
        <v>2393</v>
      </c>
      <c r="R465" s="42"/>
      <c r="S465" s="1" t="s">
        <v>2717</v>
      </c>
    </row>
    <row r="466" spans="1:19" ht="18.75" customHeight="1" x14ac:dyDescent="0.3">
      <c r="A466" s="10">
        <v>465</v>
      </c>
      <c r="B466" s="10">
        <f>_xlfn.XLOOKUP(1,(VALUE(D466)&gt;=VALUE(block!$C$3:$C$500))*(VALUE(D466)&lt;VALUE(block!$C$3:$C$500)+VALUE(block!$D$3:$D$500)),block!$A$3:$A$500,"无匹配",0,1)</f>
        <v>11</v>
      </c>
      <c r="C466" s="3" t="str">
        <f>B466 &amp; "-" &amp; COUNTIF($B$2:B466, B466)</f>
        <v>11-20</v>
      </c>
      <c r="D466" s="10">
        <v>9334</v>
      </c>
      <c r="E466" s="1" t="s">
        <v>2718</v>
      </c>
      <c r="F466" s="1" t="s">
        <v>2719</v>
      </c>
      <c r="G466" s="1" t="s">
        <v>1832</v>
      </c>
      <c r="H466" s="1" t="s">
        <v>1812</v>
      </c>
      <c r="I466" s="10" t="str">
        <f>IF(H466="T31",1,IF(H466="T31",3,IF(H466="T47",6,IF(H466="T47",10,IF(H466="T79",14,IF(H466="T79",18,IF(H466="T47",22,"")))))))</f>
        <v/>
      </c>
      <c r="J466" s="1" t="s">
        <v>1808</v>
      </c>
      <c r="K466" s="10">
        <v>2</v>
      </c>
      <c r="L466" s="10">
        <v>1</v>
      </c>
      <c r="N466" s="10">
        <v>4</v>
      </c>
      <c r="O466" s="6"/>
      <c r="P466" s="45" t="s">
        <v>2347</v>
      </c>
      <c r="Q466" s="42" t="s">
        <v>2393</v>
      </c>
      <c r="R466" s="42"/>
      <c r="S466" s="1" t="s">
        <v>2719</v>
      </c>
    </row>
    <row r="467" spans="1:19" ht="18.75" customHeight="1" x14ac:dyDescent="0.3">
      <c r="A467" s="10">
        <v>466</v>
      </c>
      <c r="B467" s="10">
        <f>_xlfn.XLOOKUP(1,(VALUE(D467)&gt;=VALUE(block!$C$3:$C$500))*(VALUE(D467)&lt;VALUE(block!$C$3:$C$500)+VALUE(block!$D$3:$D$500)),block!$A$3:$A$500,"无匹配",0,1)</f>
        <v>11</v>
      </c>
      <c r="C467" s="3" t="str">
        <f>B467 &amp; "-" &amp; COUNTIF($B$2:B467, B467)</f>
        <v>11-21</v>
      </c>
      <c r="D467" s="10">
        <v>9336</v>
      </c>
      <c r="E467" s="1" t="s">
        <v>2720</v>
      </c>
      <c r="F467" s="1" t="s">
        <v>2721</v>
      </c>
      <c r="G467" s="1" t="s">
        <v>1832</v>
      </c>
      <c r="H467" s="1" t="s">
        <v>1812</v>
      </c>
      <c r="I467" s="10" t="str">
        <f>IF(H467="T32",1,IF(H467="T32",3,IF(H467="T48",6,IF(H467="T48",10,IF(H467="T80",14,IF(H467="T80",18,IF(H467="T48",22,"")))))))</f>
        <v/>
      </c>
      <c r="J467" s="1" t="s">
        <v>1808</v>
      </c>
      <c r="K467" s="10">
        <v>2</v>
      </c>
      <c r="L467" s="10">
        <v>1</v>
      </c>
      <c r="N467" s="10">
        <v>4</v>
      </c>
      <c r="O467" s="6"/>
      <c r="P467" s="45" t="s">
        <v>2347</v>
      </c>
      <c r="Q467" s="42" t="s">
        <v>2393</v>
      </c>
      <c r="R467" s="42"/>
      <c r="S467" s="1" t="s">
        <v>2721</v>
      </c>
    </row>
    <row r="468" spans="1:19" ht="18.75" customHeight="1" x14ac:dyDescent="0.3">
      <c r="A468" s="10">
        <v>467</v>
      </c>
      <c r="B468" s="10">
        <f>_xlfn.XLOOKUP(1,(VALUE(D468)&gt;=VALUE(block!$C$3:$C$500))*(VALUE(D468)&lt;VALUE(block!$C$3:$C$500)+VALUE(block!$D$3:$D$500)),block!$A$3:$A$500,"无匹配",0,1)</f>
        <v>11</v>
      </c>
      <c r="C468" s="3" t="str">
        <f>B468 &amp; "-" &amp; COUNTIF($B$2:B468, B468)</f>
        <v>11-22</v>
      </c>
      <c r="D468" s="10">
        <v>9338</v>
      </c>
      <c r="E468" s="1" t="s">
        <v>2722</v>
      </c>
      <c r="F468" s="1" t="s">
        <v>2723</v>
      </c>
      <c r="G468" s="1" t="s">
        <v>1834</v>
      </c>
      <c r="H468" s="1" t="s">
        <v>1812</v>
      </c>
      <c r="I468" s="10" t="str">
        <f>IF(H468="T33",1,IF(H468="T33",3,IF(H468="T49",6,IF(H468="T49",10,IF(H468="T81",14,IF(H468="T81",18,IF(H468="T49",22,"")))))))</f>
        <v/>
      </c>
      <c r="J468" s="1" t="s">
        <v>1808</v>
      </c>
      <c r="K468" s="10">
        <v>2</v>
      </c>
      <c r="L468" s="10">
        <v>1</v>
      </c>
      <c r="N468" s="10">
        <v>4</v>
      </c>
      <c r="O468" s="6"/>
      <c r="P468" s="45" t="s">
        <v>2347</v>
      </c>
      <c r="Q468" s="42" t="s">
        <v>2393</v>
      </c>
      <c r="R468" s="42"/>
      <c r="S468" s="1" t="s">
        <v>2723</v>
      </c>
    </row>
    <row r="469" spans="1:19" ht="18.75" customHeight="1" x14ac:dyDescent="0.3">
      <c r="A469" s="10">
        <v>468</v>
      </c>
      <c r="B469" s="10">
        <f>_xlfn.XLOOKUP(1,(VALUE(D469)&gt;=VALUE(block!$C$3:$C$500))*(VALUE(D469)&lt;VALUE(block!$C$3:$C$500)+VALUE(block!$D$3:$D$500)),block!$A$3:$A$500,"无匹配",0,1)</f>
        <v>11</v>
      </c>
      <c r="C469" s="3" t="str">
        <f>B469 &amp; "-" &amp; COUNTIF($B$2:B469, B469)</f>
        <v>11-23</v>
      </c>
      <c r="D469" s="10">
        <v>9340</v>
      </c>
      <c r="E469" s="1" t="s">
        <v>2724</v>
      </c>
      <c r="F469" s="1" t="s">
        <v>2725</v>
      </c>
      <c r="G469" s="1" t="s">
        <v>1834</v>
      </c>
      <c r="H469" s="1" t="s">
        <v>1812</v>
      </c>
      <c r="I469" s="10" t="str">
        <f>IF(H469="T34",1,IF(H469="T34",3,IF(H469="T50",6,IF(H469="T50",10,IF(H469="T82",14,IF(H469="T82",18,IF(H469="T50",22,"")))))))</f>
        <v/>
      </c>
      <c r="J469" s="1" t="s">
        <v>1808</v>
      </c>
      <c r="K469" s="10">
        <v>2</v>
      </c>
      <c r="L469" s="10">
        <v>1</v>
      </c>
      <c r="N469" s="10">
        <v>4</v>
      </c>
      <c r="O469" s="6"/>
      <c r="P469" s="45" t="s">
        <v>2347</v>
      </c>
      <c r="Q469" s="42" t="s">
        <v>2393</v>
      </c>
      <c r="R469" s="42"/>
      <c r="S469" s="1" t="s">
        <v>2725</v>
      </c>
    </row>
    <row r="470" spans="1:19" ht="18.75" customHeight="1" x14ac:dyDescent="0.3">
      <c r="A470" s="10">
        <v>469</v>
      </c>
      <c r="B470" s="10">
        <f>_xlfn.XLOOKUP(1,(VALUE(D470)&gt;=VALUE(block!$C$3:$C$500))*(VALUE(D470)&lt;VALUE(block!$C$3:$C$500)+VALUE(block!$D$3:$D$500)),block!$A$3:$A$500,"无匹配",0,1)</f>
        <v>11</v>
      </c>
      <c r="C470" s="3" t="str">
        <f>B470 &amp; "-" &amp; COUNTIF($B$2:B470, B470)</f>
        <v>11-24</v>
      </c>
      <c r="D470" s="10">
        <v>9342</v>
      </c>
      <c r="E470" s="1" t="s">
        <v>2726</v>
      </c>
      <c r="F470" s="1" t="s">
        <v>2727</v>
      </c>
      <c r="G470" s="1" t="s">
        <v>1836</v>
      </c>
      <c r="H470" s="1" t="s">
        <v>1812</v>
      </c>
      <c r="I470" s="10" t="str">
        <f>IF(H470="T35",1,IF(H470="T35",3,IF(H470="T51",6,IF(H470="T51",10,IF(H470="T83",14,IF(H470="T83",18,IF(H470="T51",22,"")))))))</f>
        <v/>
      </c>
      <c r="J470" s="1" t="s">
        <v>1808</v>
      </c>
      <c r="K470" s="10">
        <v>2</v>
      </c>
      <c r="L470" s="10">
        <v>1</v>
      </c>
      <c r="N470" s="10">
        <v>4</v>
      </c>
      <c r="O470" s="6"/>
      <c r="P470" s="45" t="s">
        <v>2347</v>
      </c>
      <c r="Q470" s="42" t="s">
        <v>2393</v>
      </c>
      <c r="R470" s="42"/>
      <c r="S470" s="1" t="s">
        <v>2727</v>
      </c>
    </row>
    <row r="471" spans="1:19" ht="18.75" customHeight="1" x14ac:dyDescent="0.3">
      <c r="A471" s="10">
        <v>470</v>
      </c>
      <c r="B471" s="10">
        <f>_xlfn.XLOOKUP(1,(VALUE(D471)&gt;=VALUE(block!$C$3:$C$500))*(VALUE(D471)&lt;VALUE(block!$C$3:$C$500)+VALUE(block!$D$3:$D$500)),block!$A$3:$A$500,"无匹配",0,1)</f>
        <v>11</v>
      </c>
      <c r="C471" s="3" t="str">
        <f>B471 &amp; "-" &amp; COUNTIF($B$2:B471, B471)</f>
        <v>11-25</v>
      </c>
      <c r="D471" s="10">
        <v>9344</v>
      </c>
      <c r="E471" s="1" t="s">
        <v>2728</v>
      </c>
      <c r="F471" s="1" t="s">
        <v>2729</v>
      </c>
      <c r="G471" s="1" t="s">
        <v>1830</v>
      </c>
      <c r="H471" s="1" t="s">
        <v>1812</v>
      </c>
      <c r="I471" s="10" t="str">
        <f>IF(H471="T36",1,IF(H471="T36",3,IF(H471="T52",6,IF(H471="T52",10,IF(H471="T84",14,IF(H471="T84",18,IF(H471="T52",22,"")))))))</f>
        <v/>
      </c>
      <c r="J471" s="1" t="s">
        <v>1808</v>
      </c>
      <c r="K471" s="10">
        <v>2</v>
      </c>
      <c r="L471" s="10">
        <v>1</v>
      </c>
      <c r="N471" s="10">
        <v>4</v>
      </c>
      <c r="O471" s="6"/>
      <c r="P471" s="45" t="s">
        <v>2347</v>
      </c>
      <c r="Q471" s="42" t="s">
        <v>2393</v>
      </c>
      <c r="R471" s="42"/>
      <c r="S471" s="1" t="s">
        <v>2729</v>
      </c>
    </row>
    <row r="472" spans="1:19" ht="18.75" customHeight="1" x14ac:dyDescent="0.3">
      <c r="A472" s="10">
        <v>471</v>
      </c>
      <c r="B472" s="10">
        <f>_xlfn.XLOOKUP(1,(VALUE(D472)&gt;=VALUE(block!$C$3:$C$500))*(VALUE(D472)&lt;VALUE(block!$C$3:$C$500)+VALUE(block!$D$3:$D$500)),block!$A$3:$A$500,"无匹配",0,1)</f>
        <v>11</v>
      </c>
      <c r="C472" s="3" t="str">
        <f>B472 &amp; "-" &amp; COUNTIF($B$2:B472, B472)</f>
        <v>11-26</v>
      </c>
      <c r="D472" s="10">
        <v>9346</v>
      </c>
      <c r="E472" s="1" t="s">
        <v>2730</v>
      </c>
      <c r="F472" s="1" t="s">
        <v>2731</v>
      </c>
      <c r="G472" s="1" t="s">
        <v>1832</v>
      </c>
      <c r="H472" s="1" t="s">
        <v>1812</v>
      </c>
      <c r="I472" s="10" t="str">
        <f>IF(H472="T37",1,IF(H472="T37",3,IF(H472="T53",6,IF(H472="T53",10,IF(H472="T85",14,IF(H472="T85",18,IF(H472="T53",22,"")))))))</f>
        <v/>
      </c>
      <c r="J472" s="1" t="s">
        <v>1808</v>
      </c>
      <c r="K472" s="10">
        <v>2</v>
      </c>
      <c r="L472" s="10">
        <v>1</v>
      </c>
      <c r="N472" s="10">
        <v>4</v>
      </c>
      <c r="O472" s="6"/>
      <c r="P472" s="45" t="s">
        <v>2347</v>
      </c>
      <c r="Q472" s="42" t="s">
        <v>2393</v>
      </c>
      <c r="R472" s="42"/>
      <c r="S472" s="1" t="s">
        <v>2731</v>
      </c>
    </row>
    <row r="473" spans="1:19" ht="18.75" customHeight="1" x14ac:dyDescent="0.3">
      <c r="A473" s="10">
        <v>472</v>
      </c>
      <c r="B473" s="10">
        <f>_xlfn.XLOOKUP(1,(VALUE(D473)&gt;=VALUE(block!$C$3:$C$500))*(VALUE(D473)&lt;VALUE(block!$C$3:$C$500)+VALUE(block!$D$3:$D$500)),block!$A$3:$A$500,"无匹配",0,1)</f>
        <v>11</v>
      </c>
      <c r="C473" s="3" t="str">
        <f>B473 &amp; "-" &amp; COUNTIF($B$2:B473, B473)</f>
        <v>11-27</v>
      </c>
      <c r="D473" s="10">
        <v>9348</v>
      </c>
      <c r="E473" s="1" t="s">
        <v>2732</v>
      </c>
      <c r="F473" s="1" t="s">
        <v>2733</v>
      </c>
      <c r="G473" s="1" t="s">
        <v>1832</v>
      </c>
      <c r="H473" s="1" t="s">
        <v>1812</v>
      </c>
      <c r="I473" s="10" t="str">
        <f>IF(H473="T38",1,IF(H473="T38",3,IF(H473="T54",6,IF(H473="T54",10,IF(H473="T86",14,IF(H473="T86",18,IF(H473="T54",22,"")))))))</f>
        <v/>
      </c>
      <c r="J473" s="1" t="s">
        <v>1808</v>
      </c>
      <c r="K473" s="10">
        <v>2</v>
      </c>
      <c r="L473" s="10">
        <v>1</v>
      </c>
      <c r="N473" s="10">
        <v>4</v>
      </c>
      <c r="O473" s="6"/>
      <c r="P473" s="45" t="s">
        <v>2347</v>
      </c>
      <c r="Q473" s="42" t="s">
        <v>2393</v>
      </c>
      <c r="R473" s="42"/>
      <c r="S473" s="1" t="s">
        <v>2733</v>
      </c>
    </row>
    <row r="474" spans="1:19" ht="18.75" customHeight="1" x14ac:dyDescent="0.3">
      <c r="A474" s="10">
        <v>473</v>
      </c>
      <c r="B474" s="10">
        <f>_xlfn.XLOOKUP(1,(VALUE(D474)&gt;=VALUE(block!$C$3:$C$500))*(VALUE(D474)&lt;VALUE(block!$C$3:$C$500)+VALUE(block!$D$3:$D$500)),block!$A$3:$A$500,"无匹配",0,1)</f>
        <v>11</v>
      </c>
      <c r="C474" s="3" t="str">
        <f>B474 &amp; "-" &amp; COUNTIF($B$2:B474, B474)</f>
        <v>11-28</v>
      </c>
      <c r="D474" s="10">
        <v>9350</v>
      </c>
      <c r="E474" s="1" t="s">
        <v>2734</v>
      </c>
      <c r="F474" s="1" t="s">
        <v>2735</v>
      </c>
      <c r="G474" s="1" t="s">
        <v>1834</v>
      </c>
      <c r="H474" s="1" t="s">
        <v>1812</v>
      </c>
      <c r="I474" s="10" t="str">
        <f>IF(H474="T39",1,IF(H474="T39",3,IF(H474="T55",6,IF(H474="T55",10,IF(H474="T87",14,IF(H474="T87",18,IF(H474="T55",22,"")))))))</f>
        <v/>
      </c>
      <c r="J474" s="1" t="s">
        <v>1808</v>
      </c>
      <c r="K474" s="10">
        <v>2</v>
      </c>
      <c r="L474" s="10">
        <v>1</v>
      </c>
      <c r="N474" s="10">
        <v>4</v>
      </c>
      <c r="O474" s="6"/>
      <c r="P474" s="45" t="s">
        <v>2347</v>
      </c>
      <c r="Q474" s="42" t="s">
        <v>2393</v>
      </c>
      <c r="R474" s="42"/>
      <c r="S474" s="1" t="s">
        <v>2735</v>
      </c>
    </row>
    <row r="475" spans="1:19" ht="18.75" customHeight="1" x14ac:dyDescent="0.3">
      <c r="A475" s="10">
        <v>474</v>
      </c>
      <c r="B475" s="10">
        <f>_xlfn.XLOOKUP(1,(VALUE(D475)&gt;=VALUE(block!$C$3:$C$500))*(VALUE(D475)&lt;VALUE(block!$C$3:$C$500)+VALUE(block!$D$3:$D$500)),block!$A$3:$A$500,"无匹配",0,1)</f>
        <v>11</v>
      </c>
      <c r="C475" s="3" t="str">
        <f>B475 &amp; "-" &amp; COUNTIF($B$2:B475, B475)</f>
        <v>11-29</v>
      </c>
      <c r="D475" s="10">
        <v>9352</v>
      </c>
      <c r="E475" s="1" t="s">
        <v>2736</v>
      </c>
      <c r="F475" s="1" t="s">
        <v>2737</v>
      </c>
      <c r="G475" s="1" t="s">
        <v>1834</v>
      </c>
      <c r="H475" s="1" t="s">
        <v>1812</v>
      </c>
      <c r="I475" s="10" t="str">
        <f>IF(H475="T40",1,IF(H475="T40",3,IF(H475="T56",6,IF(H475="T56",10,IF(H475="T88",14,IF(H475="T88",18,IF(H475="T56",22,"")))))))</f>
        <v/>
      </c>
      <c r="J475" s="1" t="s">
        <v>1808</v>
      </c>
      <c r="K475" s="10">
        <v>2</v>
      </c>
      <c r="L475" s="10">
        <v>1</v>
      </c>
      <c r="N475" s="10">
        <v>4</v>
      </c>
      <c r="O475" s="6"/>
      <c r="P475" s="45" t="s">
        <v>2347</v>
      </c>
      <c r="Q475" s="42" t="s">
        <v>2393</v>
      </c>
      <c r="R475" s="42"/>
      <c r="S475" s="1" t="s">
        <v>2737</v>
      </c>
    </row>
    <row r="476" spans="1:19" ht="18.75" customHeight="1" x14ac:dyDescent="0.3">
      <c r="A476" s="10">
        <v>475</v>
      </c>
      <c r="B476" s="10">
        <f>_xlfn.XLOOKUP(1,(VALUE(D476)&gt;=VALUE(block!$C$3:$C$500))*(VALUE(D476)&lt;VALUE(block!$C$3:$C$500)+VALUE(block!$D$3:$D$500)),block!$A$3:$A$500,"无匹配",0,1)</f>
        <v>11</v>
      </c>
      <c r="C476" s="3" t="str">
        <f>B476 &amp; "-" &amp; COUNTIF($B$2:B476, B476)</f>
        <v>11-30</v>
      </c>
      <c r="D476" s="10">
        <v>9354</v>
      </c>
      <c r="E476" s="1" t="s">
        <v>2738</v>
      </c>
      <c r="F476" s="1" t="s">
        <v>2739</v>
      </c>
      <c r="G476" s="1" t="s">
        <v>1836</v>
      </c>
      <c r="H476" s="1" t="s">
        <v>1812</v>
      </c>
      <c r="I476" s="10" t="str">
        <f>IF(H476="T41",1,IF(H476="T41",3,IF(H476="T57",6,IF(H476="T57",10,IF(H476="T89",14,IF(H476="T89",18,IF(H476="T57",22,"")))))))</f>
        <v/>
      </c>
      <c r="J476" s="1" t="s">
        <v>1808</v>
      </c>
      <c r="K476" s="10">
        <v>2</v>
      </c>
      <c r="L476" s="10">
        <v>1</v>
      </c>
      <c r="N476" s="10">
        <v>4</v>
      </c>
      <c r="O476" s="6"/>
      <c r="P476" s="45" t="s">
        <v>2347</v>
      </c>
      <c r="Q476" s="42" t="s">
        <v>2393</v>
      </c>
      <c r="R476" s="42"/>
      <c r="S476" s="1" t="s">
        <v>2739</v>
      </c>
    </row>
    <row r="477" spans="1:19" ht="18.75" customHeight="1" x14ac:dyDescent="0.3">
      <c r="A477" s="10">
        <v>476</v>
      </c>
      <c r="B477" s="10">
        <f>_xlfn.XLOOKUP(1,(VALUE(D477)&gt;=VALUE(block!$C$3:$C$500))*(VALUE(D477)&lt;VALUE(block!$C$3:$C$500)+VALUE(block!$D$3:$D$500)),block!$A$3:$A$500,"无匹配",0,1)</f>
        <v>11</v>
      </c>
      <c r="C477" s="3" t="str">
        <f>B477 &amp; "-" &amp; COUNTIF($B$2:B477, B477)</f>
        <v>11-31</v>
      </c>
      <c r="D477" s="10">
        <v>9356</v>
      </c>
      <c r="E477" s="1" t="s">
        <v>2740</v>
      </c>
      <c r="F477" s="1" t="s">
        <v>2741</v>
      </c>
      <c r="G477" s="1" t="s">
        <v>1830</v>
      </c>
      <c r="H477" s="1" t="s">
        <v>1812</v>
      </c>
      <c r="I477" s="10" t="str">
        <f>IF(H477="T42",1,IF(H477="T42",3,IF(H477="T58",6,IF(H477="T58",10,IF(H477="T90",14,IF(H477="T90",18,IF(H477="T58",22,"")))))))</f>
        <v/>
      </c>
      <c r="J477" s="1" t="s">
        <v>1808</v>
      </c>
      <c r="K477" s="10">
        <v>2</v>
      </c>
      <c r="L477" s="10">
        <v>1</v>
      </c>
      <c r="N477" s="10">
        <v>4</v>
      </c>
      <c r="O477" s="6"/>
      <c r="P477" s="45" t="s">
        <v>2347</v>
      </c>
      <c r="Q477" s="42" t="s">
        <v>2393</v>
      </c>
      <c r="R477" s="42"/>
      <c r="S477" s="1" t="s">
        <v>2741</v>
      </c>
    </row>
    <row r="478" spans="1:19" ht="18.75" customHeight="1" x14ac:dyDescent="0.3">
      <c r="A478" s="10">
        <v>477</v>
      </c>
      <c r="B478" s="10">
        <f>_xlfn.XLOOKUP(1,(VALUE(D478)&gt;=VALUE(block!$C$3:$C$500))*(VALUE(D478)&lt;VALUE(block!$C$3:$C$500)+VALUE(block!$D$3:$D$500)),block!$A$3:$A$500,"无匹配",0,1)</f>
        <v>11</v>
      </c>
      <c r="C478" s="3" t="str">
        <f>B478 &amp; "-" &amp; COUNTIF($B$2:B478, B478)</f>
        <v>11-32</v>
      </c>
      <c r="D478" s="10">
        <v>9358</v>
      </c>
      <c r="E478" s="1" t="s">
        <v>2742</v>
      </c>
      <c r="F478" s="1" t="s">
        <v>2743</v>
      </c>
      <c r="G478" s="1" t="s">
        <v>1832</v>
      </c>
      <c r="H478" s="1" t="s">
        <v>1812</v>
      </c>
      <c r="I478" s="10" t="str">
        <f>IF(H478="T43",1,IF(H478="T43",3,IF(H478="T59",6,IF(H478="T59",10,IF(H478="T91",14,IF(H478="T91",18,IF(H478="T59",22,"")))))))</f>
        <v/>
      </c>
      <c r="J478" s="1" t="s">
        <v>1808</v>
      </c>
      <c r="K478" s="10">
        <v>2</v>
      </c>
      <c r="L478" s="10">
        <v>1</v>
      </c>
      <c r="N478" s="10">
        <v>4</v>
      </c>
      <c r="O478" s="6"/>
      <c r="P478" s="45" t="s">
        <v>2347</v>
      </c>
      <c r="Q478" s="42" t="s">
        <v>2393</v>
      </c>
      <c r="R478" s="42"/>
      <c r="S478" s="1" t="s">
        <v>2743</v>
      </c>
    </row>
    <row r="479" spans="1:19" ht="18.75" customHeight="1" x14ac:dyDescent="0.3">
      <c r="A479" s="10">
        <v>478</v>
      </c>
      <c r="B479" s="10">
        <f>_xlfn.XLOOKUP(1,(VALUE(D479)&gt;=VALUE(block!$C$3:$C$500))*(VALUE(D479)&lt;VALUE(block!$C$3:$C$500)+VALUE(block!$D$3:$D$500)),block!$A$3:$A$500,"无匹配",0,1)</f>
        <v>11</v>
      </c>
      <c r="C479" s="3" t="str">
        <f>B479 &amp; "-" &amp; COUNTIF($B$2:B479, B479)</f>
        <v>11-33</v>
      </c>
      <c r="D479" s="10">
        <v>9360</v>
      </c>
      <c r="E479" s="1" t="s">
        <v>2744</v>
      </c>
      <c r="F479" s="1" t="s">
        <v>2745</v>
      </c>
      <c r="G479" s="1" t="s">
        <v>1832</v>
      </c>
      <c r="H479" s="1" t="s">
        <v>1812</v>
      </c>
      <c r="I479" s="10" t="str">
        <f>IF(H479="T44",1,IF(H479="T44",3,IF(H479="T60",6,IF(H479="T60",10,IF(H479="T92",14,IF(H479="T92",18,IF(H479="T60",22,"")))))))</f>
        <v/>
      </c>
      <c r="J479" s="1" t="s">
        <v>1808</v>
      </c>
      <c r="K479" s="10">
        <v>2</v>
      </c>
      <c r="L479" s="10">
        <v>1</v>
      </c>
      <c r="N479" s="10">
        <v>4</v>
      </c>
      <c r="O479" s="6"/>
      <c r="P479" s="45" t="s">
        <v>2347</v>
      </c>
      <c r="Q479" s="42" t="s">
        <v>2393</v>
      </c>
      <c r="R479" s="42"/>
      <c r="S479" s="1" t="s">
        <v>2745</v>
      </c>
    </row>
    <row r="480" spans="1:19" ht="18.75" customHeight="1" x14ac:dyDescent="0.3">
      <c r="A480" s="10">
        <v>479</v>
      </c>
      <c r="B480" s="10">
        <f>_xlfn.XLOOKUP(1,(VALUE(D480)&gt;=VALUE(block!$C$3:$C$500))*(VALUE(D480)&lt;VALUE(block!$C$3:$C$500)+VALUE(block!$D$3:$D$500)),block!$A$3:$A$500,"无匹配",0,1)</f>
        <v>11</v>
      </c>
      <c r="C480" s="3" t="str">
        <f>B480 &amp; "-" &amp; COUNTIF($B$2:B480, B480)</f>
        <v>11-34</v>
      </c>
      <c r="D480" s="10">
        <v>9362</v>
      </c>
      <c r="E480" s="1" t="s">
        <v>2746</v>
      </c>
      <c r="F480" s="1" t="s">
        <v>2747</v>
      </c>
      <c r="G480" s="1" t="s">
        <v>1834</v>
      </c>
      <c r="H480" s="1" t="s">
        <v>1812</v>
      </c>
      <c r="I480" s="10" t="str">
        <f>IF(H480="T45",1,IF(H480="T45",3,IF(H480="T61",6,IF(H480="T61",10,IF(H480="T93",14,IF(H480="T93",18,IF(H480="T61",22,"")))))))</f>
        <v/>
      </c>
      <c r="J480" s="1" t="s">
        <v>1808</v>
      </c>
      <c r="K480" s="10">
        <v>2</v>
      </c>
      <c r="L480" s="10">
        <v>1</v>
      </c>
      <c r="N480" s="10">
        <v>4</v>
      </c>
      <c r="O480" s="6"/>
      <c r="P480" s="45" t="s">
        <v>2347</v>
      </c>
      <c r="Q480" s="42" t="s">
        <v>2393</v>
      </c>
      <c r="R480" s="42"/>
      <c r="S480" s="1" t="s">
        <v>2747</v>
      </c>
    </row>
    <row r="481" spans="1:19" ht="18.75" customHeight="1" x14ac:dyDescent="0.3">
      <c r="A481" s="10">
        <v>480</v>
      </c>
      <c r="B481" s="10">
        <f>_xlfn.XLOOKUP(1,(VALUE(D481)&gt;=VALUE(block!$C$3:$C$500))*(VALUE(D481)&lt;VALUE(block!$C$3:$C$500)+VALUE(block!$D$3:$D$500)),block!$A$3:$A$500,"无匹配",0,1)</f>
        <v>11</v>
      </c>
      <c r="C481" s="3" t="str">
        <f>B481 &amp; "-" &amp; COUNTIF($B$2:B481, B481)</f>
        <v>11-35</v>
      </c>
      <c r="D481" s="10">
        <v>9364</v>
      </c>
      <c r="E481" s="1" t="s">
        <v>2748</v>
      </c>
      <c r="F481" s="1" t="s">
        <v>2749</v>
      </c>
      <c r="G481" s="1" t="s">
        <v>1834</v>
      </c>
      <c r="H481" s="1" t="s">
        <v>1812</v>
      </c>
      <c r="I481" s="10" t="str">
        <f>IF(H481="T46",1,IF(H481="T46",3,IF(H481="T62",6,IF(H481="T62",10,IF(H481="T94",14,IF(H481="T94",18,IF(H481="T62",22,"")))))))</f>
        <v/>
      </c>
      <c r="J481" s="1" t="s">
        <v>1808</v>
      </c>
      <c r="K481" s="10">
        <v>2</v>
      </c>
      <c r="L481" s="10">
        <v>1</v>
      </c>
      <c r="N481" s="10">
        <v>4</v>
      </c>
      <c r="O481" s="6"/>
      <c r="P481" s="45" t="s">
        <v>2347</v>
      </c>
      <c r="Q481" s="42" t="s">
        <v>2393</v>
      </c>
      <c r="R481" s="42"/>
      <c r="S481" s="1" t="s">
        <v>2749</v>
      </c>
    </row>
    <row r="482" spans="1:19" ht="18.75" customHeight="1" x14ac:dyDescent="0.3">
      <c r="A482" s="10">
        <v>481</v>
      </c>
      <c r="B482" s="10">
        <f>_xlfn.XLOOKUP(1,(VALUE(D482)&gt;=VALUE(block!$C$3:$C$500))*(VALUE(D482)&lt;VALUE(block!$C$3:$C$500)+VALUE(block!$D$3:$D$500)),block!$A$3:$A$500,"无匹配",0,1)</f>
        <v>11</v>
      </c>
      <c r="C482" s="3" t="str">
        <f>B482 &amp; "-" &amp; COUNTIF($B$2:B482, B482)</f>
        <v>11-36</v>
      </c>
      <c r="D482" s="10">
        <v>9366</v>
      </c>
      <c r="E482" s="1" t="s">
        <v>2750</v>
      </c>
      <c r="F482" s="1" t="s">
        <v>2751</v>
      </c>
      <c r="G482" s="1" t="s">
        <v>1836</v>
      </c>
      <c r="H482" s="1" t="s">
        <v>1812</v>
      </c>
      <c r="I482" s="10" t="str">
        <f>IF(H482="T47",1,IF(H482="T47",3,IF(H482="T63",6,IF(H482="T63",10,IF(H482="T95",14,IF(H482="T95",18,IF(H482="T63",22,"")))))))</f>
        <v/>
      </c>
      <c r="J482" s="1" t="s">
        <v>1808</v>
      </c>
      <c r="K482" s="10">
        <v>2</v>
      </c>
      <c r="L482" s="10">
        <v>1</v>
      </c>
      <c r="N482" s="10">
        <v>4</v>
      </c>
      <c r="O482" s="6"/>
      <c r="P482" s="45" t="s">
        <v>2347</v>
      </c>
      <c r="Q482" s="42" t="s">
        <v>2393</v>
      </c>
      <c r="R482" s="42"/>
      <c r="S482" s="1" t="s">
        <v>2751</v>
      </c>
    </row>
    <row r="483" spans="1:19" ht="18.75" customHeight="1" x14ac:dyDescent="0.3">
      <c r="A483" s="10">
        <v>482</v>
      </c>
      <c r="B483" s="10">
        <f>_xlfn.XLOOKUP(1,(VALUE(D483)&gt;=VALUE(block!$C$3:$C$500))*(VALUE(D483)&lt;VALUE(block!$C$3:$C$500)+VALUE(block!$D$3:$D$500)),block!$A$3:$A$500,"无匹配",0,1)</f>
        <v>12</v>
      </c>
      <c r="C483" s="3" t="str">
        <f>B483 &amp; "-" &amp; COUNTIF($B$2:B483, B483)</f>
        <v>12-1</v>
      </c>
      <c r="D483" s="10">
        <v>9368</v>
      </c>
      <c r="E483" s="1" t="s">
        <v>2752</v>
      </c>
      <c r="F483" s="1" t="s">
        <v>2753</v>
      </c>
      <c r="G483" s="1" t="s">
        <v>1830</v>
      </c>
      <c r="H483" s="1" t="s">
        <v>1812</v>
      </c>
      <c r="I483" s="10" t="str">
        <f>IF(H483="T48",1,IF(H483="T48",3,IF(H483="T64",6,IF(H483="T64",10,IF(H483="T96",14,IF(H483="T96",18,IF(H483="T64",22,"")))))))</f>
        <v/>
      </c>
      <c r="J483" s="1" t="s">
        <v>1808</v>
      </c>
      <c r="K483" s="10">
        <v>2</v>
      </c>
      <c r="L483" s="10">
        <v>1</v>
      </c>
      <c r="N483" s="10">
        <v>4</v>
      </c>
      <c r="O483" s="6"/>
      <c r="P483" s="45" t="s">
        <v>2347</v>
      </c>
      <c r="Q483" s="42" t="s">
        <v>2393</v>
      </c>
      <c r="R483" s="42"/>
      <c r="S483" s="1" t="s">
        <v>2753</v>
      </c>
    </row>
    <row r="484" spans="1:19" ht="18.75" customHeight="1" x14ac:dyDescent="0.3">
      <c r="A484" s="10">
        <v>483</v>
      </c>
      <c r="B484" s="10">
        <f>_xlfn.XLOOKUP(1,(VALUE(D484)&gt;=VALUE(block!$C$3:$C$500))*(VALUE(D484)&lt;VALUE(block!$C$3:$C$500)+VALUE(block!$D$3:$D$500)),block!$A$3:$A$500,"无匹配",0,1)</f>
        <v>12</v>
      </c>
      <c r="C484" s="3" t="str">
        <f>B484 &amp; "-" &amp; COUNTIF($B$2:B484, B484)</f>
        <v>12-2</v>
      </c>
      <c r="D484" s="10">
        <v>9370</v>
      </c>
      <c r="E484" s="1" t="s">
        <v>2754</v>
      </c>
      <c r="F484" s="1" t="s">
        <v>2755</v>
      </c>
      <c r="G484" s="1" t="s">
        <v>1832</v>
      </c>
      <c r="H484" s="1" t="s">
        <v>1812</v>
      </c>
      <c r="I484" s="10" t="str">
        <f>IF(H484="T49",1,IF(H484="T49",3,IF(H484="T65",6,IF(H484="T65",10,IF(H484="T97",14,IF(H484="T97",18,IF(H484="T65",22,"")))))))</f>
        <v/>
      </c>
      <c r="J484" s="1" t="s">
        <v>1808</v>
      </c>
      <c r="K484" s="10">
        <v>2</v>
      </c>
      <c r="L484" s="10">
        <v>1</v>
      </c>
      <c r="N484" s="10">
        <v>4</v>
      </c>
      <c r="O484" s="6"/>
      <c r="P484" s="45" t="s">
        <v>2347</v>
      </c>
      <c r="Q484" s="42" t="s">
        <v>2393</v>
      </c>
      <c r="R484" s="42"/>
      <c r="S484" s="1" t="s">
        <v>2755</v>
      </c>
    </row>
    <row r="485" spans="1:19" ht="18.75" customHeight="1" x14ac:dyDescent="0.3">
      <c r="A485" s="10">
        <v>484</v>
      </c>
      <c r="B485" s="10">
        <f>_xlfn.XLOOKUP(1,(VALUE(D485)&gt;=VALUE(block!$C$3:$C$500))*(VALUE(D485)&lt;VALUE(block!$C$3:$C$500)+VALUE(block!$D$3:$D$500)),block!$A$3:$A$500,"无匹配",0,1)</f>
        <v>12</v>
      </c>
      <c r="C485" s="3" t="str">
        <f>B485 &amp; "-" &amp; COUNTIF($B$2:B485, B485)</f>
        <v>12-3</v>
      </c>
      <c r="D485" s="10">
        <v>9372</v>
      </c>
      <c r="E485" s="1" t="s">
        <v>2756</v>
      </c>
      <c r="F485" s="1" t="s">
        <v>2757</v>
      </c>
      <c r="G485" s="1" t="s">
        <v>1832</v>
      </c>
      <c r="H485" s="1" t="s">
        <v>1812</v>
      </c>
      <c r="I485" s="10" t="str">
        <f>IF(H485="T50",1,IF(H485="T50",3,IF(H485="T66",6,IF(H485="T66",10,IF(H485="T98",14,IF(H485="T98",18,IF(H485="T66",22,"")))))))</f>
        <v/>
      </c>
      <c r="J485" s="1" t="s">
        <v>1808</v>
      </c>
      <c r="K485" s="10">
        <v>2</v>
      </c>
      <c r="L485" s="10">
        <v>1</v>
      </c>
      <c r="N485" s="10">
        <v>4</v>
      </c>
      <c r="O485" s="6"/>
      <c r="P485" s="45" t="s">
        <v>2347</v>
      </c>
      <c r="Q485" s="42" t="s">
        <v>2393</v>
      </c>
      <c r="R485" s="42"/>
      <c r="S485" s="1" t="s">
        <v>2757</v>
      </c>
    </row>
    <row r="486" spans="1:19" ht="18.75" customHeight="1" x14ac:dyDescent="0.3">
      <c r="A486" s="10">
        <v>485</v>
      </c>
      <c r="B486" s="10">
        <f>_xlfn.XLOOKUP(1,(VALUE(D486)&gt;=VALUE(block!$C$3:$C$500))*(VALUE(D486)&lt;VALUE(block!$C$3:$C$500)+VALUE(block!$D$3:$D$500)),block!$A$3:$A$500,"无匹配",0,1)</f>
        <v>12</v>
      </c>
      <c r="C486" s="3" t="str">
        <f>B486 &amp; "-" &amp; COUNTIF($B$2:B486, B486)</f>
        <v>12-4</v>
      </c>
      <c r="D486" s="10">
        <v>9374</v>
      </c>
      <c r="E486" s="1" t="s">
        <v>2758</v>
      </c>
      <c r="F486" s="1" t="s">
        <v>2759</v>
      </c>
      <c r="G486" s="1" t="s">
        <v>1834</v>
      </c>
      <c r="H486" s="1" t="s">
        <v>1812</v>
      </c>
      <c r="I486" s="10" t="str">
        <f>IF(H486="T51",1,IF(H486="T51",3,IF(H486="T67",6,IF(H486="T67",10,IF(H486="T99",14,IF(H486="T99",18,IF(H486="T67",22,"")))))))</f>
        <v/>
      </c>
      <c r="J486" s="1" t="s">
        <v>1808</v>
      </c>
      <c r="K486" s="10">
        <v>2</v>
      </c>
      <c r="L486" s="10">
        <v>1</v>
      </c>
      <c r="N486" s="10">
        <v>4</v>
      </c>
      <c r="O486" s="6"/>
      <c r="P486" s="45" t="s">
        <v>2347</v>
      </c>
      <c r="Q486" s="42" t="s">
        <v>2393</v>
      </c>
      <c r="R486" s="42"/>
      <c r="S486" s="1" t="s">
        <v>2759</v>
      </c>
    </row>
    <row r="487" spans="1:19" ht="18.75" customHeight="1" x14ac:dyDescent="0.3">
      <c r="A487" s="10">
        <v>486</v>
      </c>
      <c r="B487" s="10">
        <f>_xlfn.XLOOKUP(1,(VALUE(D487)&gt;=VALUE(block!$C$3:$C$500))*(VALUE(D487)&lt;VALUE(block!$C$3:$C$500)+VALUE(block!$D$3:$D$500)),block!$A$3:$A$500,"无匹配",0,1)</f>
        <v>12</v>
      </c>
      <c r="C487" s="3" t="str">
        <f>B487 &amp; "-" &amp; COUNTIF($B$2:B487, B487)</f>
        <v>12-5</v>
      </c>
      <c r="D487" s="10">
        <v>9376</v>
      </c>
      <c r="E487" s="1" t="s">
        <v>2760</v>
      </c>
      <c r="F487" s="1" t="s">
        <v>2761</v>
      </c>
      <c r="G487" s="1" t="s">
        <v>1834</v>
      </c>
      <c r="H487" s="1" t="s">
        <v>1812</v>
      </c>
      <c r="I487" s="10" t="str">
        <f>IF(H487="T52",1,IF(H487="T52",3,IF(H487="T68",6,IF(H487="T68",10,IF(H487="T100",14,IF(H487="T100",18,IF(H487="T68",22,"")))))))</f>
        <v/>
      </c>
      <c r="J487" s="1" t="s">
        <v>1808</v>
      </c>
      <c r="K487" s="10">
        <v>2</v>
      </c>
      <c r="L487" s="10">
        <v>1</v>
      </c>
      <c r="N487" s="10">
        <v>4</v>
      </c>
      <c r="O487" s="6"/>
      <c r="P487" s="45" t="s">
        <v>2347</v>
      </c>
      <c r="Q487" s="42" t="s">
        <v>2393</v>
      </c>
      <c r="R487" s="42"/>
      <c r="S487" s="1" t="s">
        <v>2761</v>
      </c>
    </row>
    <row r="488" spans="1:19" ht="18.75" customHeight="1" x14ac:dyDescent="0.3">
      <c r="A488" s="10">
        <v>487</v>
      </c>
      <c r="B488" s="10">
        <f>_xlfn.XLOOKUP(1,(VALUE(D488)&gt;=VALUE(block!$C$3:$C$500))*(VALUE(D488)&lt;VALUE(block!$C$3:$C$500)+VALUE(block!$D$3:$D$500)),block!$A$3:$A$500,"无匹配",0,1)</f>
        <v>12</v>
      </c>
      <c r="C488" s="3" t="str">
        <f>B488 &amp; "-" &amp; COUNTIF($B$2:B488, B488)</f>
        <v>12-6</v>
      </c>
      <c r="D488" s="10">
        <v>9378</v>
      </c>
      <c r="E488" s="1" t="s">
        <v>2762</v>
      </c>
      <c r="F488" s="1" t="s">
        <v>2763</v>
      </c>
      <c r="G488" s="1" t="s">
        <v>1836</v>
      </c>
      <c r="H488" s="1" t="s">
        <v>1812</v>
      </c>
      <c r="I488" s="10" t="str">
        <f>IF(H488="T53",1,IF(H488="T53",3,IF(H488="T69",6,IF(H488="T69",10,IF(H488="T101",14,IF(H488="T101",18,IF(H488="T69",22,"")))))))</f>
        <v/>
      </c>
      <c r="J488" s="1" t="s">
        <v>1808</v>
      </c>
      <c r="K488" s="10">
        <v>2</v>
      </c>
      <c r="L488" s="10">
        <v>1</v>
      </c>
      <c r="N488" s="10">
        <v>4</v>
      </c>
      <c r="O488" s="6"/>
      <c r="P488" s="45" t="s">
        <v>2347</v>
      </c>
      <c r="Q488" s="42" t="s">
        <v>2393</v>
      </c>
      <c r="R488" s="42"/>
      <c r="S488" s="1" t="s">
        <v>2763</v>
      </c>
    </row>
    <row r="489" spans="1:19" ht="18.75" customHeight="1" x14ac:dyDescent="0.3">
      <c r="A489" s="10">
        <v>488</v>
      </c>
      <c r="B489" s="10">
        <f>_xlfn.XLOOKUP(1,(VALUE(D489)&gt;=VALUE(block!$C$3:$C$500))*(VALUE(D489)&lt;VALUE(block!$C$3:$C$500)+VALUE(block!$D$3:$D$500)),block!$A$3:$A$500,"无匹配",0,1)</f>
        <v>12</v>
      </c>
      <c r="C489" s="3" t="str">
        <f>B489 &amp; "-" &amp; COUNTIF($B$2:B489, B489)</f>
        <v>12-7</v>
      </c>
      <c r="D489" s="10">
        <v>9380</v>
      </c>
      <c r="E489" s="1" t="s">
        <v>2764</v>
      </c>
      <c r="F489" s="1" t="s">
        <v>2765</v>
      </c>
      <c r="G489" s="1" t="s">
        <v>1830</v>
      </c>
      <c r="H489" s="1" t="s">
        <v>1812</v>
      </c>
      <c r="I489" s="10" t="str">
        <f>IF(H489="T54",1,IF(H489="T54",3,IF(H489="T70",6,IF(H489="T70",10,IF(H489="T102",14,IF(H489="T102",18,IF(H489="T70",22,"")))))))</f>
        <v/>
      </c>
      <c r="J489" s="1" t="s">
        <v>1808</v>
      </c>
      <c r="K489" s="10">
        <v>2</v>
      </c>
      <c r="L489" s="10">
        <v>1</v>
      </c>
      <c r="N489" s="10">
        <v>4</v>
      </c>
      <c r="O489" s="6"/>
      <c r="P489" s="45" t="s">
        <v>2347</v>
      </c>
      <c r="Q489" s="42" t="s">
        <v>2393</v>
      </c>
      <c r="R489" s="42"/>
      <c r="S489" s="1" t="s">
        <v>2765</v>
      </c>
    </row>
    <row r="490" spans="1:19" ht="18.75" customHeight="1" x14ac:dyDescent="0.3">
      <c r="A490" s="10">
        <v>489</v>
      </c>
      <c r="B490" s="10">
        <f>_xlfn.XLOOKUP(1,(VALUE(D490)&gt;=VALUE(block!$C$3:$C$500))*(VALUE(D490)&lt;VALUE(block!$C$3:$C$500)+VALUE(block!$D$3:$D$500)),block!$A$3:$A$500,"无匹配",0,1)</f>
        <v>12</v>
      </c>
      <c r="C490" s="3" t="str">
        <f>B490 &amp; "-" &amp; COUNTIF($B$2:B490, B490)</f>
        <v>12-8</v>
      </c>
      <c r="D490" s="10">
        <v>9382</v>
      </c>
      <c r="E490" s="1" t="s">
        <v>2766</v>
      </c>
      <c r="F490" s="1" t="s">
        <v>2767</v>
      </c>
      <c r="G490" s="1" t="s">
        <v>1832</v>
      </c>
      <c r="H490" s="1" t="s">
        <v>1812</v>
      </c>
      <c r="I490" s="10" t="str">
        <f>IF(H490="T55",1,IF(H490="T55",3,IF(H490="T71",6,IF(H490="T71",10,IF(H490="T103",14,IF(H490="T103",18,IF(H490="T71",22,"")))))))</f>
        <v/>
      </c>
      <c r="J490" s="1" t="s">
        <v>1808</v>
      </c>
      <c r="K490" s="10">
        <v>2</v>
      </c>
      <c r="L490" s="10">
        <v>1</v>
      </c>
      <c r="N490" s="10">
        <v>4</v>
      </c>
      <c r="O490" s="6"/>
      <c r="P490" s="45" t="s">
        <v>2347</v>
      </c>
      <c r="Q490" s="42" t="s">
        <v>2393</v>
      </c>
      <c r="R490" s="42"/>
      <c r="S490" s="1" t="s">
        <v>2767</v>
      </c>
    </row>
    <row r="491" spans="1:19" ht="18.75" customHeight="1" x14ac:dyDescent="0.3">
      <c r="A491" s="10">
        <v>490</v>
      </c>
      <c r="B491" s="10">
        <f>_xlfn.XLOOKUP(1,(VALUE(D491)&gt;=VALUE(block!$C$3:$C$500))*(VALUE(D491)&lt;VALUE(block!$C$3:$C$500)+VALUE(block!$D$3:$D$500)),block!$A$3:$A$500,"无匹配",0,1)</f>
        <v>12</v>
      </c>
      <c r="C491" s="3" t="str">
        <f>B491 &amp; "-" &amp; COUNTIF($B$2:B491, B491)</f>
        <v>12-9</v>
      </c>
      <c r="D491" s="10">
        <v>9384</v>
      </c>
      <c r="E491" s="1" t="s">
        <v>2768</v>
      </c>
      <c r="F491" s="1" t="s">
        <v>2769</v>
      </c>
      <c r="G491" s="1" t="s">
        <v>1832</v>
      </c>
      <c r="H491" s="1" t="s">
        <v>1812</v>
      </c>
      <c r="I491" s="10" t="str">
        <f>IF(H491="T56",1,IF(H491="T56",3,IF(H491="T72",6,IF(H491="T72",10,IF(H491="T104",14,IF(H491="T104",18,IF(H491="T72",22,"")))))))</f>
        <v/>
      </c>
      <c r="J491" s="1" t="s">
        <v>1808</v>
      </c>
      <c r="K491" s="10">
        <v>2</v>
      </c>
      <c r="L491" s="10">
        <v>1</v>
      </c>
      <c r="N491" s="10">
        <v>4</v>
      </c>
      <c r="O491" s="6"/>
      <c r="P491" s="45" t="s">
        <v>2347</v>
      </c>
      <c r="Q491" s="42" t="s">
        <v>2393</v>
      </c>
      <c r="R491" s="42"/>
      <c r="S491" s="1" t="s">
        <v>2769</v>
      </c>
    </row>
    <row r="492" spans="1:19" ht="18.75" customHeight="1" x14ac:dyDescent="0.3">
      <c r="A492" s="10">
        <v>491</v>
      </c>
      <c r="B492" s="10">
        <f>_xlfn.XLOOKUP(1,(VALUE(D492)&gt;=VALUE(block!$C$3:$C$500))*(VALUE(D492)&lt;VALUE(block!$C$3:$C$500)+VALUE(block!$D$3:$D$500)),block!$A$3:$A$500,"无匹配",0,1)</f>
        <v>12</v>
      </c>
      <c r="C492" s="3" t="str">
        <f>B492 &amp; "-" &amp; COUNTIF($B$2:B492, B492)</f>
        <v>12-10</v>
      </c>
      <c r="D492" s="10">
        <v>9386</v>
      </c>
      <c r="E492" s="1" t="s">
        <v>2770</v>
      </c>
      <c r="F492" s="1" t="s">
        <v>2771</v>
      </c>
      <c r="G492" s="1" t="s">
        <v>1834</v>
      </c>
      <c r="H492" s="1" t="s">
        <v>1812</v>
      </c>
      <c r="I492" s="10" t="str">
        <f>IF(H492="T57",1,IF(H492="T57",3,IF(H492="T73",6,IF(H492="T73",10,IF(H492="T105",14,IF(H492="T105",18,IF(H492="T73",22,"")))))))</f>
        <v/>
      </c>
      <c r="J492" s="1" t="s">
        <v>1808</v>
      </c>
      <c r="K492" s="10">
        <v>2</v>
      </c>
      <c r="L492" s="10">
        <v>1</v>
      </c>
      <c r="N492" s="10">
        <v>4</v>
      </c>
      <c r="O492" s="6"/>
      <c r="P492" s="45" t="s">
        <v>2347</v>
      </c>
      <c r="Q492" s="42" t="s">
        <v>2393</v>
      </c>
      <c r="R492" s="42"/>
      <c r="S492" s="1" t="s">
        <v>2771</v>
      </c>
    </row>
    <row r="493" spans="1:19" ht="18.75" customHeight="1" x14ac:dyDescent="0.3">
      <c r="A493" s="10">
        <v>492</v>
      </c>
      <c r="B493" s="10">
        <f>_xlfn.XLOOKUP(1,(VALUE(D493)&gt;=VALUE(block!$C$3:$C$500))*(VALUE(D493)&lt;VALUE(block!$C$3:$C$500)+VALUE(block!$D$3:$D$500)),block!$A$3:$A$500,"无匹配",0,1)</f>
        <v>12</v>
      </c>
      <c r="C493" s="3" t="str">
        <f>B493 &amp; "-" &amp; COUNTIF($B$2:B493, B493)</f>
        <v>12-11</v>
      </c>
      <c r="D493" s="10">
        <v>9388</v>
      </c>
      <c r="E493" s="1" t="s">
        <v>2772</v>
      </c>
      <c r="F493" s="1" t="s">
        <v>2773</v>
      </c>
      <c r="G493" s="1" t="s">
        <v>1834</v>
      </c>
      <c r="H493" s="1" t="s">
        <v>1812</v>
      </c>
      <c r="I493" s="10" t="str">
        <f>IF(H493="T58",1,IF(H493="T58",3,IF(H493="T74",6,IF(H493="T74",10,IF(H493="T106",14,IF(H493="T106",18,IF(H493="T74",22,"")))))))</f>
        <v/>
      </c>
      <c r="J493" s="1" t="s">
        <v>1808</v>
      </c>
      <c r="K493" s="10">
        <v>2</v>
      </c>
      <c r="L493" s="10">
        <v>1</v>
      </c>
      <c r="N493" s="10">
        <v>4</v>
      </c>
      <c r="O493" s="6"/>
      <c r="P493" s="45" t="s">
        <v>2347</v>
      </c>
      <c r="Q493" s="42" t="s">
        <v>2393</v>
      </c>
      <c r="R493" s="42"/>
      <c r="S493" s="1" t="s">
        <v>2773</v>
      </c>
    </row>
    <row r="494" spans="1:19" ht="18.75" customHeight="1" x14ac:dyDescent="0.3">
      <c r="A494" s="10">
        <v>493</v>
      </c>
      <c r="B494" s="10">
        <f>_xlfn.XLOOKUP(1,(VALUE(D494)&gt;=VALUE(block!$C$3:$C$500))*(VALUE(D494)&lt;VALUE(block!$C$3:$C$500)+VALUE(block!$D$3:$D$500)),block!$A$3:$A$500,"无匹配",0,1)</f>
        <v>12</v>
      </c>
      <c r="C494" s="3" t="str">
        <f>B494 &amp; "-" &amp; COUNTIF($B$2:B494, B494)</f>
        <v>12-12</v>
      </c>
      <c r="D494" s="10">
        <v>9390</v>
      </c>
      <c r="E494" s="1" t="s">
        <v>2774</v>
      </c>
      <c r="F494" s="1" t="s">
        <v>2775</v>
      </c>
      <c r="G494" s="1" t="s">
        <v>1836</v>
      </c>
      <c r="H494" s="1" t="s">
        <v>1812</v>
      </c>
      <c r="I494" s="10" t="str">
        <f>IF(H494="T59",1,IF(H494="T59",3,IF(H494="T75",6,IF(H494="T75",10,IF(H494="T107",14,IF(H494="T107",18,IF(H494="T75",22,"")))))))</f>
        <v/>
      </c>
      <c r="J494" s="1" t="s">
        <v>1808</v>
      </c>
      <c r="K494" s="10">
        <v>2</v>
      </c>
      <c r="L494" s="10">
        <v>1</v>
      </c>
      <c r="N494" s="10">
        <v>4</v>
      </c>
      <c r="O494" s="6"/>
      <c r="P494" s="45" t="s">
        <v>2347</v>
      </c>
      <c r="Q494" s="42" t="s">
        <v>2393</v>
      </c>
      <c r="R494" s="42"/>
      <c r="S494" s="1" t="s">
        <v>2775</v>
      </c>
    </row>
    <row r="495" spans="1:19" ht="18.75" customHeight="1" x14ac:dyDescent="0.3">
      <c r="A495" s="10">
        <v>494</v>
      </c>
      <c r="B495" s="10">
        <f>_xlfn.XLOOKUP(1,(VALUE(D495)&gt;=VALUE(block!$C$3:$C$500))*(VALUE(D495)&lt;VALUE(block!$C$3:$C$500)+VALUE(block!$D$3:$D$500)),block!$A$3:$A$500,"无匹配",0,1)</f>
        <v>12</v>
      </c>
      <c r="C495" s="3" t="str">
        <f>B495 &amp; "-" &amp; COUNTIF($B$2:B495, B495)</f>
        <v>12-13</v>
      </c>
      <c r="D495" s="10">
        <v>9392</v>
      </c>
      <c r="E495" s="1" t="s">
        <v>2776</v>
      </c>
      <c r="F495" s="1" t="s">
        <v>2777</v>
      </c>
      <c r="G495" s="1" t="s">
        <v>1830</v>
      </c>
      <c r="H495" s="1" t="s">
        <v>1812</v>
      </c>
      <c r="I495" s="10" t="str">
        <f>IF(H495="T60",1,IF(H495="T60",3,IF(H495="T76",6,IF(H495="T76",10,IF(H495="T108",14,IF(H495="T108",18,IF(H495="T76",22,"")))))))</f>
        <v/>
      </c>
      <c r="J495" s="1" t="s">
        <v>1808</v>
      </c>
      <c r="K495" s="10">
        <v>2</v>
      </c>
      <c r="L495" s="10">
        <v>1</v>
      </c>
      <c r="N495" s="10">
        <v>4</v>
      </c>
      <c r="O495" s="6"/>
      <c r="P495" s="45" t="s">
        <v>2347</v>
      </c>
      <c r="Q495" s="42" t="s">
        <v>2393</v>
      </c>
      <c r="R495" s="42"/>
      <c r="S495" s="1" t="s">
        <v>2777</v>
      </c>
    </row>
    <row r="496" spans="1:19" ht="18.75" customHeight="1" x14ac:dyDescent="0.3">
      <c r="A496" s="10">
        <v>495</v>
      </c>
      <c r="B496" s="10">
        <f>_xlfn.XLOOKUP(1,(VALUE(D496)&gt;=VALUE(block!$C$3:$C$500))*(VALUE(D496)&lt;VALUE(block!$C$3:$C$500)+VALUE(block!$D$3:$D$500)),block!$A$3:$A$500,"无匹配",0,1)</f>
        <v>12</v>
      </c>
      <c r="C496" s="3" t="str">
        <f>B496 &amp; "-" &amp; COUNTIF($B$2:B496, B496)</f>
        <v>12-14</v>
      </c>
      <c r="D496" s="10">
        <v>9394</v>
      </c>
      <c r="E496" s="1" t="s">
        <v>2778</v>
      </c>
      <c r="F496" s="1" t="s">
        <v>2779</v>
      </c>
      <c r="G496" s="1" t="s">
        <v>1832</v>
      </c>
      <c r="H496" s="1" t="s">
        <v>1812</v>
      </c>
      <c r="I496" s="10" t="str">
        <f>IF(H496="T61",1,IF(H496="T61",3,IF(H496="T77",6,IF(H496="T77",10,IF(H496="T109",14,IF(H496="T109",18,IF(H496="T77",22,"")))))))</f>
        <v/>
      </c>
      <c r="J496" s="1" t="s">
        <v>1808</v>
      </c>
      <c r="K496" s="10">
        <v>2</v>
      </c>
      <c r="L496" s="10">
        <v>1</v>
      </c>
      <c r="N496" s="10">
        <v>4</v>
      </c>
      <c r="O496" s="6"/>
      <c r="P496" s="45" t="s">
        <v>2347</v>
      </c>
      <c r="Q496" s="42" t="s">
        <v>2393</v>
      </c>
      <c r="R496" s="42"/>
      <c r="S496" s="1" t="s">
        <v>2779</v>
      </c>
    </row>
    <row r="497" spans="1:19" ht="18.75" customHeight="1" x14ac:dyDescent="0.3">
      <c r="A497" s="10">
        <v>496</v>
      </c>
      <c r="B497" s="10">
        <f>_xlfn.XLOOKUP(1,(VALUE(D497)&gt;=VALUE(block!$C$3:$C$500))*(VALUE(D497)&lt;VALUE(block!$C$3:$C$500)+VALUE(block!$D$3:$D$500)),block!$A$3:$A$500,"无匹配",0,1)</f>
        <v>12</v>
      </c>
      <c r="C497" s="3" t="str">
        <f>B497 &amp; "-" &amp; COUNTIF($B$2:B497, B497)</f>
        <v>12-15</v>
      </c>
      <c r="D497" s="10">
        <v>9396</v>
      </c>
      <c r="E497" s="1" t="s">
        <v>2780</v>
      </c>
      <c r="F497" s="1" t="s">
        <v>2781</v>
      </c>
      <c r="G497" s="1" t="s">
        <v>1832</v>
      </c>
      <c r="H497" s="1" t="s">
        <v>1812</v>
      </c>
      <c r="I497" s="10" t="str">
        <f>IF(H497="T62",1,IF(H497="T62",3,IF(H497="T78",6,IF(H497="T78",10,IF(H497="T110",14,IF(H497="T110",18,IF(H497="T78",22,"")))))))</f>
        <v/>
      </c>
      <c r="J497" s="1" t="s">
        <v>1808</v>
      </c>
      <c r="K497" s="10">
        <v>2</v>
      </c>
      <c r="L497" s="10">
        <v>1</v>
      </c>
      <c r="N497" s="10">
        <v>4</v>
      </c>
      <c r="O497" s="6"/>
      <c r="P497" s="45" t="s">
        <v>2347</v>
      </c>
      <c r="Q497" s="42" t="s">
        <v>2393</v>
      </c>
      <c r="R497" s="42"/>
      <c r="S497" s="1" t="s">
        <v>2781</v>
      </c>
    </row>
    <row r="498" spans="1:19" ht="18.75" customHeight="1" x14ac:dyDescent="0.3">
      <c r="A498" s="10">
        <v>497</v>
      </c>
      <c r="B498" s="10">
        <f>_xlfn.XLOOKUP(1,(VALUE(D498)&gt;=VALUE(block!$C$3:$C$500))*(VALUE(D498)&lt;VALUE(block!$C$3:$C$500)+VALUE(block!$D$3:$D$500)),block!$A$3:$A$500,"无匹配",0,1)</f>
        <v>12</v>
      </c>
      <c r="C498" s="3" t="str">
        <f>B498 &amp; "-" &amp; COUNTIF($B$2:B498, B498)</f>
        <v>12-16</v>
      </c>
      <c r="D498" s="10">
        <v>9398</v>
      </c>
      <c r="E498" s="1" t="s">
        <v>2782</v>
      </c>
      <c r="F498" s="1" t="s">
        <v>2783</v>
      </c>
      <c r="G498" s="1" t="s">
        <v>1834</v>
      </c>
      <c r="H498" s="1" t="s">
        <v>1812</v>
      </c>
      <c r="I498" s="10" t="str">
        <f>IF(H498="T63",1,IF(H498="T63",3,IF(H498="T79",6,IF(H498="T79",10,IF(H498="T111",14,IF(H498="T111",18,IF(H498="T79",22,"")))))))</f>
        <v/>
      </c>
      <c r="J498" s="1" t="s">
        <v>1808</v>
      </c>
      <c r="K498" s="10">
        <v>2</v>
      </c>
      <c r="L498" s="10">
        <v>1</v>
      </c>
      <c r="N498" s="10">
        <v>4</v>
      </c>
      <c r="O498" s="6"/>
      <c r="P498" s="45" t="s">
        <v>2347</v>
      </c>
      <c r="Q498" s="42" t="s">
        <v>2393</v>
      </c>
      <c r="R498" s="42"/>
      <c r="S498" s="1" t="s">
        <v>2783</v>
      </c>
    </row>
    <row r="499" spans="1:19" ht="18.75" customHeight="1" x14ac:dyDescent="0.3">
      <c r="A499" s="10">
        <v>498</v>
      </c>
      <c r="B499" s="10">
        <f>_xlfn.XLOOKUP(1,(VALUE(D499)&gt;=VALUE(block!$C$3:$C$500))*(VALUE(D499)&lt;VALUE(block!$C$3:$C$500)+VALUE(block!$D$3:$D$500)),block!$A$3:$A$500,"无匹配",0,1)</f>
        <v>12</v>
      </c>
      <c r="C499" s="3" t="str">
        <f>B499 &amp; "-" &amp; COUNTIF($B$2:B499, B499)</f>
        <v>12-17</v>
      </c>
      <c r="D499" s="10">
        <v>9400</v>
      </c>
      <c r="E499" s="1" t="s">
        <v>2784</v>
      </c>
      <c r="F499" s="1" t="s">
        <v>2785</v>
      </c>
      <c r="G499" s="1" t="s">
        <v>1834</v>
      </c>
      <c r="H499" s="1" t="s">
        <v>1812</v>
      </c>
      <c r="I499" s="10" t="str">
        <f>IF(H499="T64",1,IF(H499="T64",3,IF(H499="T80",6,IF(H499="T80",10,IF(H499="T112",14,IF(H499="T112",18,IF(H499="T80",22,"")))))))</f>
        <v/>
      </c>
      <c r="J499" s="1" t="s">
        <v>1808</v>
      </c>
      <c r="K499" s="10">
        <v>2</v>
      </c>
      <c r="L499" s="10">
        <v>1</v>
      </c>
      <c r="N499" s="10">
        <v>4</v>
      </c>
      <c r="O499" s="6"/>
      <c r="P499" s="45" t="s">
        <v>2347</v>
      </c>
      <c r="Q499" s="42" t="s">
        <v>2393</v>
      </c>
      <c r="R499" s="42"/>
      <c r="S499" s="1" t="s">
        <v>2785</v>
      </c>
    </row>
    <row r="500" spans="1:19" ht="18.75" customHeight="1" x14ac:dyDescent="0.3">
      <c r="A500" s="10">
        <v>499</v>
      </c>
      <c r="B500" s="10">
        <f>_xlfn.XLOOKUP(1,(VALUE(D500)&gt;=VALUE(block!$C$3:$C$500))*(VALUE(D500)&lt;VALUE(block!$C$3:$C$500)+VALUE(block!$D$3:$D$500)),block!$A$3:$A$500,"无匹配",0,1)</f>
        <v>12</v>
      </c>
      <c r="C500" s="3" t="str">
        <f>B500 &amp; "-" &amp; COUNTIF($B$2:B500, B500)</f>
        <v>12-18</v>
      </c>
      <c r="D500" s="10">
        <v>9402</v>
      </c>
      <c r="E500" s="1" t="s">
        <v>2786</v>
      </c>
      <c r="F500" s="1" t="s">
        <v>2787</v>
      </c>
      <c r="G500" s="1" t="s">
        <v>1836</v>
      </c>
      <c r="H500" s="1" t="s">
        <v>1812</v>
      </c>
      <c r="I500" s="10" t="str">
        <f>IF(H500="T65",1,IF(H500="T65",3,IF(H500="T81",6,IF(H500="T81",10,IF(H500="T113",14,IF(H500="T113",18,IF(H500="T81",22,"")))))))</f>
        <v/>
      </c>
      <c r="J500" s="1" t="s">
        <v>1808</v>
      </c>
      <c r="K500" s="10">
        <v>2</v>
      </c>
      <c r="L500" s="10">
        <v>1</v>
      </c>
      <c r="N500" s="10">
        <v>4</v>
      </c>
      <c r="O500" s="6"/>
      <c r="P500" s="45" t="s">
        <v>2347</v>
      </c>
      <c r="Q500" s="42" t="s">
        <v>2393</v>
      </c>
      <c r="R500" s="42"/>
      <c r="S500" s="1" t="s">
        <v>2787</v>
      </c>
    </row>
    <row r="501" spans="1:19" ht="18.75" customHeight="1" x14ac:dyDescent="0.3">
      <c r="A501" s="10">
        <v>500</v>
      </c>
      <c r="B501" s="10">
        <f>_xlfn.XLOOKUP(1,(VALUE(D501)&gt;=VALUE(block!$C$3:$C$500))*(VALUE(D501)&lt;VALUE(block!$C$3:$C$500)+VALUE(block!$D$3:$D$500)),block!$A$3:$A$500,"无匹配",0,1)</f>
        <v>12</v>
      </c>
      <c r="C501" s="3" t="str">
        <f>B501 &amp; "-" &amp; COUNTIF($B$2:B501, B501)</f>
        <v>12-19</v>
      </c>
      <c r="D501" s="10">
        <v>9404</v>
      </c>
      <c r="E501" s="1" t="s">
        <v>2788</v>
      </c>
      <c r="F501" s="1" t="s">
        <v>2789</v>
      </c>
      <c r="G501" s="1" t="s">
        <v>1830</v>
      </c>
      <c r="H501" s="1" t="s">
        <v>1812</v>
      </c>
      <c r="I501" s="10" t="str">
        <f>IF(H501="T66",1,IF(H501="T66",3,IF(H501="T82",6,IF(H501="T82",10,IF(H501="T114",14,IF(H501="T114",18,IF(H501="T82",22,"")))))))</f>
        <v/>
      </c>
      <c r="J501" s="1" t="s">
        <v>1808</v>
      </c>
      <c r="K501" s="10">
        <v>2</v>
      </c>
      <c r="L501" s="10">
        <v>1</v>
      </c>
      <c r="N501" s="10">
        <v>4</v>
      </c>
      <c r="O501" s="6"/>
      <c r="P501" s="45" t="s">
        <v>2347</v>
      </c>
      <c r="Q501" s="42" t="s">
        <v>2393</v>
      </c>
      <c r="R501" s="42"/>
      <c r="S501" s="1" t="s">
        <v>2789</v>
      </c>
    </row>
    <row r="502" spans="1:19" ht="18.75" customHeight="1" x14ac:dyDescent="0.3">
      <c r="A502" s="10">
        <v>501</v>
      </c>
      <c r="B502" s="10">
        <f>_xlfn.XLOOKUP(1,(VALUE(D502)&gt;=VALUE(block!$C$3:$C$500))*(VALUE(D502)&lt;VALUE(block!$C$3:$C$500)+VALUE(block!$D$3:$D$500)),block!$A$3:$A$500,"无匹配",0,1)</f>
        <v>12</v>
      </c>
      <c r="C502" s="3" t="str">
        <f>B502 &amp; "-" &amp; COUNTIF($B$2:B502, B502)</f>
        <v>12-20</v>
      </c>
      <c r="D502" s="10">
        <v>9406</v>
      </c>
      <c r="E502" s="1" t="s">
        <v>2790</v>
      </c>
      <c r="F502" s="1" t="s">
        <v>2791</v>
      </c>
      <c r="G502" s="1" t="s">
        <v>1832</v>
      </c>
      <c r="H502" s="1" t="s">
        <v>1812</v>
      </c>
      <c r="I502" s="10" t="str">
        <f>IF(H502="T67",1,IF(H502="T67",3,IF(H502="T83",6,IF(H502="T83",10,IF(H502="T115",14,IF(H502="T115",18,IF(H502="T83",22,"")))))))</f>
        <v/>
      </c>
      <c r="J502" s="1" t="s">
        <v>1808</v>
      </c>
      <c r="K502" s="10">
        <v>2</v>
      </c>
      <c r="L502" s="10">
        <v>1</v>
      </c>
      <c r="N502" s="10">
        <v>4</v>
      </c>
      <c r="O502" s="6"/>
      <c r="P502" s="45" t="s">
        <v>2347</v>
      </c>
      <c r="Q502" s="42" t="s">
        <v>2393</v>
      </c>
      <c r="R502" s="42"/>
      <c r="S502" s="1" t="s">
        <v>2791</v>
      </c>
    </row>
    <row r="503" spans="1:19" ht="18.75" customHeight="1" x14ac:dyDescent="0.3">
      <c r="A503" s="10">
        <v>502</v>
      </c>
      <c r="B503" s="10">
        <f>_xlfn.XLOOKUP(1,(VALUE(D503)&gt;=VALUE(block!$C$3:$C$500))*(VALUE(D503)&lt;VALUE(block!$C$3:$C$500)+VALUE(block!$D$3:$D$500)),block!$A$3:$A$500,"无匹配",0,1)</f>
        <v>12</v>
      </c>
      <c r="C503" s="3" t="str">
        <f>B503 &amp; "-" &amp; COUNTIF($B$2:B503, B503)</f>
        <v>12-21</v>
      </c>
      <c r="D503" s="10">
        <v>9408</v>
      </c>
      <c r="E503" s="1" t="s">
        <v>2792</v>
      </c>
      <c r="F503" s="1" t="s">
        <v>2793</v>
      </c>
      <c r="G503" s="1" t="s">
        <v>1832</v>
      </c>
      <c r="H503" s="1" t="s">
        <v>1812</v>
      </c>
      <c r="I503" s="10" t="str">
        <f>IF(H503="T68",1,IF(H503="T68",3,IF(H503="T84",6,IF(H503="T84",10,IF(H503="T116",14,IF(H503="T116",18,IF(H503="T84",22,"")))))))</f>
        <v/>
      </c>
      <c r="J503" s="1" t="s">
        <v>1808</v>
      </c>
      <c r="K503" s="10">
        <v>2</v>
      </c>
      <c r="L503" s="10">
        <v>1</v>
      </c>
      <c r="N503" s="10">
        <v>4</v>
      </c>
      <c r="O503" s="6"/>
      <c r="P503" s="45" t="s">
        <v>2347</v>
      </c>
      <c r="Q503" s="42" t="s">
        <v>2393</v>
      </c>
      <c r="R503" s="42"/>
      <c r="S503" s="1" t="s">
        <v>2793</v>
      </c>
    </row>
    <row r="504" spans="1:19" ht="18.75" customHeight="1" x14ac:dyDescent="0.3">
      <c r="A504" s="10">
        <v>503</v>
      </c>
      <c r="B504" s="10">
        <f>_xlfn.XLOOKUP(1,(VALUE(D504)&gt;=VALUE(block!$C$3:$C$500))*(VALUE(D504)&lt;VALUE(block!$C$3:$C$500)+VALUE(block!$D$3:$D$500)),block!$A$3:$A$500,"无匹配",0,1)</f>
        <v>12</v>
      </c>
      <c r="C504" s="3" t="str">
        <f>B504 &amp; "-" &amp; COUNTIF($B$2:B504, B504)</f>
        <v>12-22</v>
      </c>
      <c r="D504" s="10">
        <v>9410</v>
      </c>
      <c r="E504" s="1" t="s">
        <v>2794</v>
      </c>
      <c r="F504" s="1" t="s">
        <v>2795</v>
      </c>
      <c r="G504" s="1" t="s">
        <v>1834</v>
      </c>
      <c r="H504" s="1" t="s">
        <v>1812</v>
      </c>
      <c r="I504" s="10" t="str">
        <f>IF(H504="T69",1,IF(H504="T69",3,IF(H504="T85",6,IF(H504="T85",10,IF(H504="T117",14,IF(H504="T117",18,IF(H504="T85",22,"")))))))</f>
        <v/>
      </c>
      <c r="J504" s="1" t="s">
        <v>1808</v>
      </c>
      <c r="K504" s="10">
        <v>2</v>
      </c>
      <c r="L504" s="10">
        <v>1</v>
      </c>
      <c r="N504" s="10">
        <v>4</v>
      </c>
      <c r="O504" s="6"/>
      <c r="P504" s="45" t="s">
        <v>2347</v>
      </c>
      <c r="Q504" s="42" t="s">
        <v>2393</v>
      </c>
      <c r="R504" s="42"/>
      <c r="S504" s="1" t="s">
        <v>2795</v>
      </c>
    </row>
    <row r="505" spans="1:19" ht="18.75" customHeight="1" x14ac:dyDescent="0.3">
      <c r="A505" s="10">
        <v>504</v>
      </c>
      <c r="B505" s="10">
        <f>_xlfn.XLOOKUP(1,(VALUE(D505)&gt;=VALUE(block!$C$3:$C$500))*(VALUE(D505)&lt;VALUE(block!$C$3:$C$500)+VALUE(block!$D$3:$D$500)),block!$A$3:$A$500,"无匹配",0,1)</f>
        <v>12</v>
      </c>
      <c r="C505" s="3" t="str">
        <f>B505 &amp; "-" &amp; COUNTIF($B$2:B505, B505)</f>
        <v>12-23</v>
      </c>
      <c r="D505" s="10">
        <v>9412</v>
      </c>
      <c r="E505" s="1" t="s">
        <v>2796</v>
      </c>
      <c r="F505" s="1" t="s">
        <v>2797</v>
      </c>
      <c r="G505" s="1" t="s">
        <v>1834</v>
      </c>
      <c r="H505" s="1" t="s">
        <v>1812</v>
      </c>
      <c r="I505" s="10" t="str">
        <f>IF(H505="T70",1,IF(H505="T70",3,IF(H505="T86",6,IF(H505="T86",10,IF(H505="T118",14,IF(H505="T118",18,IF(H505="T86",22,"")))))))</f>
        <v/>
      </c>
      <c r="J505" s="1" t="s">
        <v>1808</v>
      </c>
      <c r="K505" s="10">
        <v>2</v>
      </c>
      <c r="L505" s="10">
        <v>1</v>
      </c>
      <c r="N505" s="10">
        <v>4</v>
      </c>
      <c r="O505" s="6"/>
      <c r="P505" s="45" t="s">
        <v>2347</v>
      </c>
      <c r="Q505" s="42" t="s">
        <v>2393</v>
      </c>
      <c r="R505" s="42"/>
      <c r="S505" s="1" t="s">
        <v>2797</v>
      </c>
    </row>
    <row r="506" spans="1:19" ht="18.75" customHeight="1" x14ac:dyDescent="0.3">
      <c r="A506" s="10">
        <v>505</v>
      </c>
      <c r="B506" s="10">
        <f>_xlfn.XLOOKUP(1,(VALUE(D506)&gt;=VALUE(block!$C$3:$C$500))*(VALUE(D506)&lt;VALUE(block!$C$3:$C$500)+VALUE(block!$D$3:$D$500)),block!$A$3:$A$500,"无匹配",0,1)</f>
        <v>12</v>
      </c>
      <c r="C506" s="3" t="str">
        <f>B506 &amp; "-" &amp; COUNTIF($B$2:B506, B506)</f>
        <v>12-24</v>
      </c>
      <c r="D506" s="10">
        <v>9414</v>
      </c>
      <c r="E506" s="1" t="s">
        <v>2798</v>
      </c>
      <c r="F506" s="1" t="s">
        <v>2799</v>
      </c>
      <c r="G506" s="1" t="s">
        <v>1836</v>
      </c>
      <c r="H506" s="1" t="s">
        <v>1812</v>
      </c>
      <c r="I506" s="10" t="str">
        <f>IF(H506="T71",1,IF(H506="T71",3,IF(H506="T87",6,IF(H506="T87",10,IF(H506="T119",14,IF(H506="T119",18,IF(H506="T87",22,"")))))))</f>
        <v/>
      </c>
      <c r="J506" s="1" t="s">
        <v>1808</v>
      </c>
      <c r="K506" s="10">
        <v>2</v>
      </c>
      <c r="L506" s="10">
        <v>1</v>
      </c>
      <c r="N506" s="10">
        <v>4</v>
      </c>
      <c r="O506" s="6"/>
      <c r="P506" s="45" t="s">
        <v>2347</v>
      </c>
      <c r="Q506" s="42" t="s">
        <v>2393</v>
      </c>
      <c r="R506" s="42"/>
      <c r="S506" s="1" t="s">
        <v>2799</v>
      </c>
    </row>
    <row r="507" spans="1:19" ht="18.75" customHeight="1" x14ac:dyDescent="0.3">
      <c r="A507" s="10">
        <v>506</v>
      </c>
      <c r="B507" s="10">
        <f>_xlfn.XLOOKUP(1,(VALUE(D507)&gt;=VALUE(block!$C$3:$C$500))*(VALUE(D507)&lt;VALUE(block!$C$3:$C$500)+VALUE(block!$D$3:$D$500)),block!$A$3:$A$500,"无匹配",0,1)</f>
        <v>12</v>
      </c>
      <c r="C507" s="3" t="str">
        <f>B507 &amp; "-" &amp; COUNTIF($B$2:B507, B507)</f>
        <v>12-25</v>
      </c>
      <c r="D507" s="10">
        <v>9416</v>
      </c>
      <c r="E507" s="1" t="s">
        <v>2800</v>
      </c>
      <c r="F507" s="1" t="s">
        <v>2801</v>
      </c>
      <c r="G507" s="1" t="s">
        <v>1830</v>
      </c>
      <c r="H507" s="1" t="s">
        <v>1812</v>
      </c>
      <c r="I507" s="10" t="str">
        <f>IF(H507="T72",1,IF(H507="T72",3,IF(H507="T88",6,IF(H507="T88",10,IF(H507="T120",14,IF(H507="T120",18,IF(H507="T88",22,"")))))))</f>
        <v/>
      </c>
      <c r="J507" s="1" t="s">
        <v>1808</v>
      </c>
      <c r="K507" s="10">
        <v>2</v>
      </c>
      <c r="L507" s="10">
        <v>1</v>
      </c>
      <c r="N507" s="10">
        <v>4</v>
      </c>
      <c r="O507" s="6"/>
      <c r="P507" s="45" t="s">
        <v>2347</v>
      </c>
      <c r="Q507" s="42" t="s">
        <v>2393</v>
      </c>
      <c r="R507" s="42"/>
      <c r="S507" s="1" t="s">
        <v>2801</v>
      </c>
    </row>
    <row r="508" spans="1:19" ht="18.75" customHeight="1" x14ac:dyDescent="0.3">
      <c r="A508" s="10">
        <v>507</v>
      </c>
      <c r="B508" s="10">
        <f>_xlfn.XLOOKUP(1,(VALUE(D508)&gt;=VALUE(block!$C$3:$C$500))*(VALUE(D508)&lt;VALUE(block!$C$3:$C$500)+VALUE(block!$D$3:$D$500)),block!$A$3:$A$500,"无匹配",0,1)</f>
        <v>12</v>
      </c>
      <c r="C508" s="3" t="str">
        <f>B508 &amp; "-" &amp; COUNTIF($B$2:B508, B508)</f>
        <v>12-26</v>
      </c>
      <c r="D508" s="10">
        <v>9418</v>
      </c>
      <c r="E508" s="1" t="s">
        <v>2802</v>
      </c>
      <c r="F508" s="1" t="s">
        <v>2803</v>
      </c>
      <c r="G508" s="1" t="s">
        <v>1832</v>
      </c>
      <c r="H508" s="1" t="s">
        <v>1812</v>
      </c>
      <c r="I508" s="10" t="str">
        <f>IF(H508="T73",1,IF(H508="T73",3,IF(H508="T89",6,IF(H508="T89",10,IF(H508="T121",14,IF(H508="T121",18,IF(H508="T89",22,"")))))))</f>
        <v/>
      </c>
      <c r="J508" s="1" t="s">
        <v>1808</v>
      </c>
      <c r="K508" s="10">
        <v>2</v>
      </c>
      <c r="L508" s="10">
        <v>1</v>
      </c>
      <c r="N508" s="10">
        <v>4</v>
      </c>
      <c r="O508" s="6"/>
      <c r="P508" s="45" t="s">
        <v>2347</v>
      </c>
      <c r="Q508" s="42" t="s">
        <v>2393</v>
      </c>
      <c r="R508" s="42"/>
      <c r="S508" s="1" t="s">
        <v>2803</v>
      </c>
    </row>
    <row r="509" spans="1:19" ht="18.75" customHeight="1" x14ac:dyDescent="0.3">
      <c r="A509" s="10">
        <v>508</v>
      </c>
      <c r="B509" s="10">
        <f>_xlfn.XLOOKUP(1,(VALUE(D509)&gt;=VALUE(block!$C$3:$C$500))*(VALUE(D509)&lt;VALUE(block!$C$3:$C$500)+VALUE(block!$D$3:$D$500)),block!$A$3:$A$500,"无匹配",0,1)</f>
        <v>12</v>
      </c>
      <c r="C509" s="3" t="str">
        <f>B509 &amp; "-" &amp; COUNTIF($B$2:B509, B509)</f>
        <v>12-27</v>
      </c>
      <c r="D509" s="10">
        <v>9420</v>
      </c>
      <c r="E509" s="1" t="s">
        <v>2804</v>
      </c>
      <c r="F509" s="1" t="s">
        <v>2805</v>
      </c>
      <c r="G509" s="1" t="s">
        <v>1832</v>
      </c>
      <c r="H509" s="1" t="s">
        <v>1812</v>
      </c>
      <c r="I509" s="10" t="str">
        <f>IF(H509="T74",1,IF(H509="T74",3,IF(H509="T90",6,IF(H509="T90",10,IF(H509="T122",14,IF(H509="T122",18,IF(H509="T90",22,"")))))))</f>
        <v/>
      </c>
      <c r="J509" s="1" t="s">
        <v>1808</v>
      </c>
      <c r="K509" s="10">
        <v>2</v>
      </c>
      <c r="L509" s="10">
        <v>1</v>
      </c>
      <c r="N509" s="10">
        <v>4</v>
      </c>
      <c r="O509" s="6"/>
      <c r="P509" s="45" t="s">
        <v>2347</v>
      </c>
      <c r="Q509" s="42" t="s">
        <v>2393</v>
      </c>
      <c r="R509" s="42"/>
      <c r="S509" s="1" t="s">
        <v>2805</v>
      </c>
    </row>
    <row r="510" spans="1:19" ht="18.75" customHeight="1" x14ac:dyDescent="0.3">
      <c r="A510" s="10">
        <v>509</v>
      </c>
      <c r="B510" s="10">
        <f>_xlfn.XLOOKUP(1,(VALUE(D510)&gt;=VALUE(block!$C$3:$C$500))*(VALUE(D510)&lt;VALUE(block!$C$3:$C$500)+VALUE(block!$D$3:$D$500)),block!$A$3:$A$500,"无匹配",0,1)</f>
        <v>12</v>
      </c>
      <c r="C510" s="3" t="str">
        <f>B510 &amp; "-" &amp; COUNTIF($B$2:B510, B510)</f>
        <v>12-28</v>
      </c>
      <c r="D510" s="10">
        <v>9422</v>
      </c>
      <c r="E510" s="1" t="s">
        <v>2806</v>
      </c>
      <c r="F510" s="1" t="s">
        <v>2807</v>
      </c>
      <c r="G510" s="1" t="s">
        <v>1834</v>
      </c>
      <c r="H510" s="1" t="s">
        <v>1812</v>
      </c>
      <c r="I510" s="10" t="str">
        <f>IF(H510="T75",1,IF(H510="T75",3,IF(H510="T91",6,IF(H510="T91",10,IF(H510="T123",14,IF(H510="T123",18,IF(H510="T91",22,"")))))))</f>
        <v/>
      </c>
      <c r="J510" s="1" t="s">
        <v>1808</v>
      </c>
      <c r="K510" s="10">
        <v>2</v>
      </c>
      <c r="L510" s="10">
        <v>1</v>
      </c>
      <c r="N510" s="10">
        <v>4</v>
      </c>
      <c r="O510" s="6"/>
      <c r="P510" s="45" t="s">
        <v>2347</v>
      </c>
      <c r="Q510" s="42" t="s">
        <v>2393</v>
      </c>
      <c r="R510" s="42"/>
      <c r="S510" s="1" t="s">
        <v>2807</v>
      </c>
    </row>
    <row r="511" spans="1:19" ht="18.75" customHeight="1" x14ac:dyDescent="0.3">
      <c r="A511" s="10">
        <v>510</v>
      </c>
      <c r="B511" s="10">
        <f>_xlfn.XLOOKUP(1,(VALUE(D511)&gt;=VALUE(block!$C$3:$C$500))*(VALUE(D511)&lt;VALUE(block!$C$3:$C$500)+VALUE(block!$D$3:$D$500)),block!$A$3:$A$500,"无匹配",0,1)</f>
        <v>12</v>
      </c>
      <c r="C511" s="3" t="str">
        <f>B511 &amp; "-" &amp; COUNTIF($B$2:B511, B511)</f>
        <v>12-29</v>
      </c>
      <c r="D511" s="10">
        <v>9424</v>
      </c>
      <c r="E511" s="1" t="s">
        <v>2808</v>
      </c>
      <c r="F511" s="1" t="s">
        <v>2809</v>
      </c>
      <c r="G511" s="1" t="s">
        <v>1834</v>
      </c>
      <c r="H511" s="1" t="s">
        <v>1812</v>
      </c>
      <c r="I511" s="10" t="str">
        <f>IF(H511="T76",1,IF(H511="T76",3,IF(H511="T92",6,IF(H511="T92",10,IF(H511="T124",14,IF(H511="T124",18,IF(H511="T92",22,"")))))))</f>
        <v/>
      </c>
      <c r="J511" s="1" t="s">
        <v>1808</v>
      </c>
      <c r="K511" s="10">
        <v>2</v>
      </c>
      <c r="L511" s="10">
        <v>1</v>
      </c>
      <c r="N511" s="10">
        <v>4</v>
      </c>
      <c r="O511" s="6"/>
      <c r="P511" s="45" t="s">
        <v>2347</v>
      </c>
      <c r="Q511" s="42" t="s">
        <v>2393</v>
      </c>
      <c r="R511" s="42"/>
      <c r="S511" s="1" t="s">
        <v>2809</v>
      </c>
    </row>
    <row r="512" spans="1:19" ht="18.75" customHeight="1" x14ac:dyDescent="0.3">
      <c r="A512" s="10">
        <v>511</v>
      </c>
      <c r="B512" s="10">
        <f>_xlfn.XLOOKUP(1,(VALUE(D512)&gt;=VALUE(block!$C$3:$C$500))*(VALUE(D512)&lt;VALUE(block!$C$3:$C$500)+VALUE(block!$D$3:$D$500)),block!$A$3:$A$500,"无匹配",0,1)</f>
        <v>12</v>
      </c>
      <c r="C512" s="3" t="str">
        <f>B512 &amp; "-" &amp; COUNTIF($B$2:B512, B512)</f>
        <v>12-30</v>
      </c>
      <c r="D512" s="10">
        <v>9426</v>
      </c>
      <c r="E512" s="1" t="s">
        <v>2810</v>
      </c>
      <c r="F512" s="1" t="s">
        <v>2811</v>
      </c>
      <c r="G512" s="1" t="s">
        <v>1836</v>
      </c>
      <c r="H512" s="1" t="s">
        <v>1812</v>
      </c>
      <c r="I512" s="10" t="str">
        <f>IF(H512="T77",1,IF(H512="T77",3,IF(H512="T93",6,IF(H512="T93",10,IF(H512="T125",14,IF(H512="T125",18,IF(H512="T93",22,"")))))))</f>
        <v/>
      </c>
      <c r="J512" s="1" t="s">
        <v>1808</v>
      </c>
      <c r="K512" s="10">
        <v>2</v>
      </c>
      <c r="L512" s="10">
        <v>1</v>
      </c>
      <c r="N512" s="10">
        <v>4</v>
      </c>
      <c r="O512" s="6"/>
      <c r="P512" s="45" t="s">
        <v>2347</v>
      </c>
      <c r="Q512" s="42" t="s">
        <v>2393</v>
      </c>
      <c r="R512" s="42"/>
      <c r="S512" s="1" t="s">
        <v>2811</v>
      </c>
    </row>
    <row r="513" spans="1:19" ht="18.75" customHeight="1" x14ac:dyDescent="0.3">
      <c r="A513" s="10">
        <v>512</v>
      </c>
      <c r="B513" s="10">
        <f>_xlfn.XLOOKUP(1,(VALUE(D513)&gt;=VALUE(block!$C$3:$C$500))*(VALUE(D513)&lt;VALUE(block!$C$3:$C$500)+VALUE(block!$D$3:$D$500)),block!$A$3:$A$500,"无匹配",0,1)</f>
        <v>12</v>
      </c>
      <c r="C513" s="3" t="str">
        <f>B513 &amp; "-" &amp; COUNTIF($B$2:B513, B513)</f>
        <v>12-31</v>
      </c>
      <c r="D513" s="10">
        <v>9428</v>
      </c>
      <c r="E513" s="1" t="s">
        <v>2812</v>
      </c>
      <c r="F513" s="1" t="s">
        <v>2813</v>
      </c>
      <c r="G513" s="1" t="s">
        <v>1830</v>
      </c>
      <c r="H513" s="1" t="s">
        <v>1812</v>
      </c>
      <c r="I513" s="10" t="str">
        <f>IF(H513="T78",1,IF(H513="T78",3,IF(H513="T94",6,IF(H513="T94",10,IF(H513="T126",14,IF(H513="T126",18,IF(H513="T94",22,"")))))))</f>
        <v/>
      </c>
      <c r="J513" s="1" t="s">
        <v>1808</v>
      </c>
      <c r="K513" s="10">
        <v>2</v>
      </c>
      <c r="L513" s="10">
        <v>1</v>
      </c>
      <c r="N513" s="10">
        <v>4</v>
      </c>
      <c r="O513" s="6"/>
      <c r="P513" s="45" t="s">
        <v>2347</v>
      </c>
      <c r="Q513" s="42" t="s">
        <v>2393</v>
      </c>
      <c r="R513" s="42"/>
      <c r="S513" s="1" t="s">
        <v>2813</v>
      </c>
    </row>
    <row r="514" spans="1:19" ht="18.75" customHeight="1" x14ac:dyDescent="0.3">
      <c r="A514" s="10">
        <v>513</v>
      </c>
      <c r="B514" s="10">
        <f>_xlfn.XLOOKUP(1,(VALUE(D514)&gt;=VALUE(block!$C$3:$C$500))*(VALUE(D514)&lt;VALUE(block!$C$3:$C$500)+VALUE(block!$D$3:$D$500)),block!$A$3:$A$500,"无匹配",0,1)</f>
        <v>12</v>
      </c>
      <c r="C514" s="3" t="str">
        <f>B514 &amp; "-" &amp; COUNTIF($B$2:B514, B514)</f>
        <v>12-32</v>
      </c>
      <c r="D514" s="10">
        <v>9430</v>
      </c>
      <c r="E514" s="1" t="s">
        <v>2814</v>
      </c>
      <c r="F514" s="1" t="s">
        <v>2815</v>
      </c>
      <c r="G514" s="1" t="s">
        <v>1832</v>
      </c>
      <c r="H514" s="1" t="s">
        <v>1812</v>
      </c>
      <c r="I514" s="10" t="str">
        <f>IF(H514="T79",1,IF(H514="T79",3,IF(H514="T95",6,IF(H514="T95",10,IF(H514="T127",14,IF(H514="T127",18,IF(H514="T95",22,"")))))))</f>
        <v/>
      </c>
      <c r="J514" s="1" t="s">
        <v>1808</v>
      </c>
      <c r="K514" s="10">
        <v>2</v>
      </c>
      <c r="L514" s="10">
        <v>1</v>
      </c>
      <c r="N514" s="10">
        <v>4</v>
      </c>
      <c r="O514" s="6"/>
      <c r="P514" s="45" t="s">
        <v>2347</v>
      </c>
      <c r="Q514" s="42" t="s">
        <v>2393</v>
      </c>
      <c r="R514" s="42"/>
      <c r="S514" s="1" t="s">
        <v>2815</v>
      </c>
    </row>
    <row r="515" spans="1:19" ht="18.75" customHeight="1" x14ac:dyDescent="0.3">
      <c r="A515" s="10">
        <v>514</v>
      </c>
      <c r="B515" s="10">
        <f>_xlfn.XLOOKUP(1,(VALUE(D515)&gt;=VALUE(block!$C$3:$C$500))*(VALUE(D515)&lt;VALUE(block!$C$3:$C$500)+VALUE(block!$D$3:$D$500)),block!$A$3:$A$500,"无匹配",0,1)</f>
        <v>12</v>
      </c>
      <c r="C515" s="3" t="str">
        <f>B515 &amp; "-" &amp; COUNTIF($B$2:B515, B515)</f>
        <v>12-33</v>
      </c>
      <c r="D515" s="10">
        <v>9432</v>
      </c>
      <c r="E515" s="1" t="s">
        <v>2816</v>
      </c>
      <c r="F515" s="1" t="s">
        <v>2817</v>
      </c>
      <c r="G515" s="1" t="s">
        <v>1832</v>
      </c>
      <c r="H515" s="1" t="s">
        <v>1812</v>
      </c>
      <c r="I515" s="10">
        <f>IF(H515="uint16",1,IF(H515="int16",3,IF(H515="uint32",6,IF(H515="int32",10,IF(H515="uint64",14,IF(H515="int64",18,IF(H515="float32",22,"")))))))</f>
        <v>22</v>
      </c>
      <c r="J515" s="1" t="s">
        <v>1808</v>
      </c>
      <c r="K515" s="10">
        <v>2</v>
      </c>
      <c r="L515" s="10">
        <v>1</v>
      </c>
      <c r="N515" s="10">
        <v>4</v>
      </c>
      <c r="O515" s="6"/>
      <c r="P515" s="45" t="s">
        <v>2347</v>
      </c>
      <c r="Q515" s="42" t="s">
        <v>2393</v>
      </c>
      <c r="R515" s="42"/>
      <c r="S515" s="1" t="s">
        <v>2817</v>
      </c>
    </row>
    <row r="516" spans="1:19" ht="18.75" customHeight="1" x14ac:dyDescent="0.3">
      <c r="A516" s="10">
        <v>515</v>
      </c>
      <c r="B516" s="10">
        <f>_xlfn.XLOOKUP(1,(VALUE(D516)&gt;=VALUE(block!$C$3:$C$500))*(VALUE(D516)&lt;VALUE(block!$C$3:$C$500)+VALUE(block!$D$3:$D$500)),block!$A$3:$A$500,"无匹配",0,1)</f>
        <v>12</v>
      </c>
      <c r="C516" s="3" t="str">
        <f>B516 &amp; "-" &amp; COUNTIF($B$2:B516, B516)</f>
        <v>12-34</v>
      </c>
      <c r="D516" s="10">
        <v>9434</v>
      </c>
      <c r="E516" s="1" t="s">
        <v>2818</v>
      </c>
      <c r="F516" s="1" t="s">
        <v>2819</v>
      </c>
      <c r="G516" s="1" t="s">
        <v>1834</v>
      </c>
      <c r="H516" s="1" t="s">
        <v>1812</v>
      </c>
      <c r="I516" s="10" t="str">
        <f>IF(H516="T17",1,IF(H516="T17",3,IF(H516="T33",6,IF(H516="T33",10,IF(H516="T65",14,IF(H516="T65",18,IF(H516="T33",22,"")))))))</f>
        <v/>
      </c>
      <c r="J516" s="1" t="s">
        <v>1808</v>
      </c>
      <c r="K516" s="10">
        <v>2</v>
      </c>
      <c r="L516" s="10">
        <v>1</v>
      </c>
      <c r="N516" s="10">
        <v>4</v>
      </c>
      <c r="O516" s="6"/>
      <c r="P516" s="45" t="s">
        <v>2347</v>
      </c>
      <c r="Q516" s="42" t="s">
        <v>2393</v>
      </c>
      <c r="R516" s="42"/>
      <c r="S516" s="1" t="s">
        <v>2819</v>
      </c>
    </row>
    <row r="517" spans="1:19" ht="18.75" customHeight="1" x14ac:dyDescent="0.3">
      <c r="A517" s="10">
        <v>516</v>
      </c>
      <c r="B517" s="10">
        <f>_xlfn.XLOOKUP(1,(VALUE(D517)&gt;=VALUE(block!$C$3:$C$500))*(VALUE(D517)&lt;VALUE(block!$C$3:$C$500)+VALUE(block!$D$3:$D$500)),block!$A$3:$A$500,"无匹配",0,1)</f>
        <v>12</v>
      </c>
      <c r="C517" s="3" t="str">
        <f>B517 &amp; "-" &amp; COUNTIF($B$2:B517, B517)</f>
        <v>12-35</v>
      </c>
      <c r="D517" s="10">
        <v>9436</v>
      </c>
      <c r="E517" s="1" t="s">
        <v>2820</v>
      </c>
      <c r="F517" s="1" t="s">
        <v>2821</v>
      </c>
      <c r="G517" s="1" t="s">
        <v>1834</v>
      </c>
      <c r="H517" s="1" t="s">
        <v>1812</v>
      </c>
      <c r="I517" s="10" t="str">
        <f>IF(H517="T18",1,IF(H517="T18",3,IF(H517="T34",6,IF(H517="T34",10,IF(H517="T66",14,IF(H517="T66",18,IF(H517="T34",22,"")))))))</f>
        <v/>
      </c>
      <c r="J517" s="1" t="s">
        <v>1808</v>
      </c>
      <c r="K517" s="10">
        <v>2</v>
      </c>
      <c r="L517" s="10">
        <v>1</v>
      </c>
      <c r="N517" s="10">
        <v>4</v>
      </c>
      <c r="O517" s="6"/>
      <c r="P517" s="45" t="s">
        <v>2347</v>
      </c>
      <c r="Q517" s="42" t="s">
        <v>2393</v>
      </c>
      <c r="R517" s="42"/>
      <c r="S517" s="1" t="s">
        <v>2821</v>
      </c>
    </row>
    <row r="518" spans="1:19" ht="18.75" customHeight="1" x14ac:dyDescent="0.3">
      <c r="A518" s="10">
        <v>517</v>
      </c>
      <c r="B518" s="10">
        <f>_xlfn.XLOOKUP(1,(VALUE(D518)&gt;=VALUE(block!$C$3:$C$500))*(VALUE(D518)&lt;VALUE(block!$C$3:$C$500)+VALUE(block!$D$3:$D$500)),block!$A$3:$A$500,"无匹配",0,1)</f>
        <v>12</v>
      </c>
      <c r="C518" s="3" t="str">
        <f>B518 &amp; "-" &amp; COUNTIF($B$2:B518, B518)</f>
        <v>12-36</v>
      </c>
      <c r="D518" s="10">
        <v>9438</v>
      </c>
      <c r="E518" s="1" t="s">
        <v>2822</v>
      </c>
      <c r="F518" s="1" t="s">
        <v>2823</v>
      </c>
      <c r="G518" s="1" t="s">
        <v>1836</v>
      </c>
      <c r="H518" s="1" t="s">
        <v>1812</v>
      </c>
      <c r="I518" s="10" t="str">
        <f>IF(H518="T19",1,IF(H518="T19",3,IF(H518="T35",6,IF(H518="T35",10,IF(H518="T67",14,IF(H518="T67",18,IF(H518="T35",22,"")))))))</f>
        <v/>
      </c>
      <c r="J518" s="1" t="s">
        <v>1808</v>
      </c>
      <c r="K518" s="10">
        <v>2</v>
      </c>
      <c r="L518" s="10">
        <v>1</v>
      </c>
      <c r="N518" s="10">
        <v>4</v>
      </c>
      <c r="O518" s="6"/>
      <c r="P518" s="45" t="s">
        <v>2347</v>
      </c>
      <c r="Q518" s="42" t="s">
        <v>2393</v>
      </c>
      <c r="R518" s="42"/>
      <c r="S518" s="1" t="s">
        <v>2823</v>
      </c>
    </row>
    <row r="519" spans="1:19" ht="18.75" customHeight="1" x14ac:dyDescent="0.3">
      <c r="A519" s="51">
        <v>518</v>
      </c>
      <c r="B519" s="10">
        <f>_xlfn.XLOOKUP(1,(VALUE(D519)&gt;=VALUE(block!$C$3:$C$500))*(VALUE(D519)&lt;VALUE(block!$C$3:$C$500)+VALUE(block!$D$3:$D$500)),block!$A$3:$A$500,"无匹配",0,1)</f>
        <v>13</v>
      </c>
      <c r="C519" s="3" t="str">
        <f>B519 &amp; "-" &amp; COUNTIF($B$2:B519, B519)</f>
        <v>13-1</v>
      </c>
      <c r="D519" s="51">
        <v>9728</v>
      </c>
      <c r="E519" s="52" t="s">
        <v>2824</v>
      </c>
      <c r="F519" s="53" t="s">
        <v>2825</v>
      </c>
      <c r="G519" s="52" t="s">
        <v>1816</v>
      </c>
      <c r="H519" s="52" t="s">
        <v>1812</v>
      </c>
      <c r="I519" s="51" t="str">
        <f>IF(H519="T20",1,IF(H519="T20",3,IF(H519="T36",6,IF(H519="T36",10,IF(H519="T68",14,IF(H519="T68",18,IF(H519="T36",22,"")))))))</f>
        <v/>
      </c>
      <c r="J519" s="52" t="s">
        <v>1808</v>
      </c>
      <c r="K519" s="51">
        <v>2</v>
      </c>
      <c r="L519" s="51">
        <v>1</v>
      </c>
      <c r="M519" s="52"/>
      <c r="N519" s="51">
        <v>4</v>
      </c>
      <c r="O519" s="54"/>
      <c r="P519" s="45" t="s">
        <v>2826</v>
      </c>
      <c r="Q519" s="55" t="s">
        <v>2827</v>
      </c>
      <c r="R519" s="55"/>
      <c r="S519" s="53" t="s">
        <v>2825</v>
      </c>
    </row>
    <row r="520" spans="1:19" ht="18.75" customHeight="1" x14ac:dyDescent="0.3">
      <c r="A520" s="51">
        <v>519</v>
      </c>
      <c r="B520" s="10">
        <f>_xlfn.XLOOKUP(1,(VALUE(D520)&gt;=VALUE(block!$C$3:$C$500))*(VALUE(D520)&lt;VALUE(block!$C$3:$C$500)+VALUE(block!$D$3:$D$500)),block!$A$3:$A$500,"无匹配",0,1)</f>
        <v>13</v>
      </c>
      <c r="C520" s="3" t="str">
        <f>B520 &amp; "-" &amp; COUNTIF($B$2:B520, B520)</f>
        <v>13-2</v>
      </c>
      <c r="D520" s="51">
        <v>9730</v>
      </c>
      <c r="E520" s="52" t="s">
        <v>2828</v>
      </c>
      <c r="F520" s="53" t="s">
        <v>2829</v>
      </c>
      <c r="G520" s="52" t="s">
        <v>1816</v>
      </c>
      <c r="H520" s="52" t="s">
        <v>1812</v>
      </c>
      <c r="I520" s="51" t="str">
        <f>IF(H520="T21",1,IF(H520="T21",3,IF(H520="T37",6,IF(H520="T37",10,IF(H520="T69",14,IF(H520="T69",18,IF(H520="T37",22,"")))))))</f>
        <v/>
      </c>
      <c r="J520" s="52" t="s">
        <v>1808</v>
      </c>
      <c r="K520" s="51">
        <v>2</v>
      </c>
      <c r="L520" s="51">
        <v>1</v>
      </c>
      <c r="M520" s="52"/>
      <c r="N520" s="51">
        <v>4</v>
      </c>
      <c r="O520" s="54"/>
      <c r="P520" s="45" t="s">
        <v>2826</v>
      </c>
      <c r="Q520" s="55" t="s">
        <v>2827</v>
      </c>
      <c r="R520" s="55"/>
      <c r="S520" s="53" t="s">
        <v>2829</v>
      </c>
    </row>
    <row r="521" spans="1:19" ht="18.75" customHeight="1" x14ac:dyDescent="0.3">
      <c r="A521" s="51">
        <v>520</v>
      </c>
      <c r="B521" s="10">
        <f>_xlfn.XLOOKUP(1,(VALUE(D521)&gt;=VALUE(block!$C$3:$C$500))*(VALUE(D521)&lt;VALUE(block!$C$3:$C$500)+VALUE(block!$D$3:$D$500)),block!$A$3:$A$500,"无匹配",0,1)</f>
        <v>13</v>
      </c>
      <c r="C521" s="3" t="str">
        <f>B521 &amp; "-" &amp; COUNTIF($B$2:B521, B521)</f>
        <v>13-3</v>
      </c>
      <c r="D521" s="51">
        <v>9732</v>
      </c>
      <c r="E521" s="52" t="s">
        <v>2830</v>
      </c>
      <c r="F521" s="53" t="s">
        <v>2831</v>
      </c>
      <c r="G521" s="52" t="s">
        <v>1816</v>
      </c>
      <c r="H521" s="52" t="s">
        <v>1812</v>
      </c>
      <c r="I521" s="51" t="str">
        <f>IF(H521="T22",1,IF(H521="T22",3,IF(H521="T38",6,IF(H521="T38",10,IF(H521="T70",14,IF(H521="T70",18,IF(H521="T38",22,"")))))))</f>
        <v/>
      </c>
      <c r="J521" s="52" t="s">
        <v>1808</v>
      </c>
      <c r="K521" s="51">
        <v>2</v>
      </c>
      <c r="L521" s="51">
        <v>1</v>
      </c>
      <c r="M521" s="52"/>
      <c r="N521" s="51">
        <v>4</v>
      </c>
      <c r="O521" s="54"/>
      <c r="P521" s="45" t="s">
        <v>2826</v>
      </c>
      <c r="Q521" s="55" t="s">
        <v>2827</v>
      </c>
      <c r="R521" s="55"/>
      <c r="S521" s="53" t="s">
        <v>2831</v>
      </c>
    </row>
    <row r="522" spans="1:19" ht="18.75" customHeight="1" x14ac:dyDescent="0.3">
      <c r="A522" s="51">
        <v>521</v>
      </c>
      <c r="B522" s="10">
        <f>_xlfn.XLOOKUP(1,(VALUE(D522)&gt;=VALUE(block!$C$3:$C$500))*(VALUE(D522)&lt;VALUE(block!$C$3:$C$500)+VALUE(block!$D$3:$D$500)),block!$A$3:$A$500,"无匹配",0,1)</f>
        <v>13</v>
      </c>
      <c r="C522" s="3" t="str">
        <f>B522 &amp; "-" &amp; COUNTIF($B$2:B522, B522)</f>
        <v>13-4</v>
      </c>
      <c r="D522" s="51">
        <v>9734</v>
      </c>
      <c r="E522" s="52" t="s">
        <v>2832</v>
      </c>
      <c r="F522" s="53" t="s">
        <v>2833</v>
      </c>
      <c r="G522" s="56" t="s">
        <v>1826</v>
      </c>
      <c r="H522" s="52" t="s">
        <v>1812</v>
      </c>
      <c r="I522" s="51" t="str">
        <f>IF(H522="T23",1,IF(H522="T23",3,IF(H522="T39",6,IF(H522="T39",10,IF(H522="T71",14,IF(H522="T71",18,IF(H522="T39",22,"")))))))</f>
        <v/>
      </c>
      <c r="J522" s="52" t="s">
        <v>1808</v>
      </c>
      <c r="K522" s="51">
        <v>2</v>
      </c>
      <c r="L522" s="51">
        <v>1</v>
      </c>
      <c r="M522" s="52"/>
      <c r="N522" s="51">
        <v>4</v>
      </c>
      <c r="O522" s="54"/>
      <c r="P522" s="45" t="s">
        <v>2826</v>
      </c>
      <c r="Q522" s="55" t="s">
        <v>2827</v>
      </c>
      <c r="R522" s="55"/>
      <c r="S522" s="53" t="s">
        <v>2833</v>
      </c>
    </row>
    <row r="523" spans="1:19" ht="18.75" customHeight="1" x14ac:dyDescent="0.3">
      <c r="A523" s="51">
        <v>522</v>
      </c>
      <c r="B523" s="10">
        <f>_xlfn.XLOOKUP(1,(VALUE(D523)&gt;=VALUE(block!$C$3:$C$500))*(VALUE(D523)&lt;VALUE(block!$C$3:$C$500)+VALUE(block!$D$3:$D$500)),block!$A$3:$A$500,"无匹配",0,1)</f>
        <v>13</v>
      </c>
      <c r="C523" s="3" t="str">
        <f>B523 &amp; "-" &amp; COUNTIF($B$2:B523, B523)</f>
        <v>13-5</v>
      </c>
      <c r="D523" s="51">
        <v>9736</v>
      </c>
      <c r="E523" s="52" t="s">
        <v>2834</v>
      </c>
      <c r="F523" s="53" t="s">
        <v>2835</v>
      </c>
      <c r="G523" s="56" t="s">
        <v>1826</v>
      </c>
      <c r="H523" s="52" t="s">
        <v>1812</v>
      </c>
      <c r="I523" s="51" t="str">
        <f>IF(H523="T24",1,IF(H523="T24",3,IF(H523="T40",6,IF(H523="T40",10,IF(H523="T72",14,IF(H523="T72",18,IF(H523="T40",22,"")))))))</f>
        <v/>
      </c>
      <c r="J523" s="52" t="s">
        <v>1808</v>
      </c>
      <c r="K523" s="51">
        <v>2</v>
      </c>
      <c r="L523" s="51">
        <v>1</v>
      </c>
      <c r="M523" s="52"/>
      <c r="N523" s="51">
        <v>4</v>
      </c>
      <c r="O523" s="54"/>
      <c r="P523" s="45" t="s">
        <v>2826</v>
      </c>
      <c r="Q523" s="55" t="s">
        <v>2827</v>
      </c>
      <c r="R523" s="55"/>
      <c r="S523" s="53" t="s">
        <v>2835</v>
      </c>
    </row>
    <row r="524" spans="1:19" ht="18.75" customHeight="1" x14ac:dyDescent="0.3">
      <c r="A524" s="51">
        <v>523</v>
      </c>
      <c r="B524" s="10">
        <f>_xlfn.XLOOKUP(1,(VALUE(D524)&gt;=VALUE(block!$C$3:$C$500))*(VALUE(D524)&lt;VALUE(block!$C$3:$C$500)+VALUE(block!$D$3:$D$500)),block!$A$3:$A$500,"无匹配",0,1)</f>
        <v>13</v>
      </c>
      <c r="C524" s="3" t="str">
        <f>B524 &amp; "-" &amp; COUNTIF($B$2:B524, B524)</f>
        <v>13-6</v>
      </c>
      <c r="D524" s="51">
        <v>9738</v>
      </c>
      <c r="E524" s="52" t="s">
        <v>2836</v>
      </c>
      <c r="F524" s="53" t="s">
        <v>2837</v>
      </c>
      <c r="G524" s="56" t="s">
        <v>1826</v>
      </c>
      <c r="H524" s="52" t="s">
        <v>1812</v>
      </c>
      <c r="I524" s="51" t="str">
        <f>IF(H524="T25",1,IF(H524="T25",3,IF(H524="T41",6,IF(H524="T41",10,IF(H524="T73",14,IF(H524="T73",18,IF(H524="T41",22,"")))))))</f>
        <v/>
      </c>
      <c r="J524" s="52" t="s">
        <v>1808</v>
      </c>
      <c r="K524" s="51">
        <v>2</v>
      </c>
      <c r="L524" s="51">
        <v>1</v>
      </c>
      <c r="M524" s="52"/>
      <c r="N524" s="51">
        <v>4</v>
      </c>
      <c r="O524" s="54"/>
      <c r="P524" s="45" t="s">
        <v>2826</v>
      </c>
      <c r="Q524" s="55" t="s">
        <v>2827</v>
      </c>
      <c r="R524" s="55"/>
      <c r="S524" s="53" t="s">
        <v>2837</v>
      </c>
    </row>
    <row r="525" spans="1:19" ht="18.75" customHeight="1" x14ac:dyDescent="0.3">
      <c r="A525" s="51">
        <v>524</v>
      </c>
      <c r="B525" s="10">
        <f>_xlfn.XLOOKUP(1,(VALUE(D525)&gt;=VALUE(block!$C$3:$C$500))*(VALUE(D525)&lt;VALUE(block!$C$3:$C$500)+VALUE(block!$D$3:$D$500)),block!$A$3:$A$500,"无匹配",0,1)</f>
        <v>13</v>
      </c>
      <c r="C525" s="3" t="str">
        <f>B525 &amp; "-" &amp; COUNTIF($B$2:B525, B525)</f>
        <v>13-7</v>
      </c>
      <c r="D525" s="51">
        <v>9740</v>
      </c>
      <c r="E525" s="52" t="s">
        <v>2838</v>
      </c>
      <c r="F525" s="53" t="s">
        <v>189</v>
      </c>
      <c r="G525" s="57" t="s">
        <v>1840</v>
      </c>
      <c r="H525" s="52" t="s">
        <v>1812</v>
      </c>
      <c r="I525" s="51" t="str">
        <f>IF(H525="T26",1,IF(H525="T26",3,IF(H525="T42",6,IF(H525="T42",10,IF(H525="T74",14,IF(H525="T74",18,IF(H525="T42",22,"")))))))</f>
        <v/>
      </c>
      <c r="J525" s="52" t="s">
        <v>1808</v>
      </c>
      <c r="K525" s="51">
        <v>2</v>
      </c>
      <c r="L525" s="51">
        <v>1</v>
      </c>
      <c r="M525" s="52"/>
      <c r="N525" s="51">
        <v>4</v>
      </c>
      <c r="O525" s="54"/>
      <c r="P525" s="45" t="s">
        <v>2826</v>
      </c>
      <c r="Q525" s="55" t="s">
        <v>2839</v>
      </c>
      <c r="R525" s="55"/>
      <c r="S525" s="53" t="s">
        <v>189</v>
      </c>
    </row>
    <row r="526" spans="1:19" ht="18.75" customHeight="1" x14ac:dyDescent="0.3">
      <c r="A526" s="51">
        <v>525</v>
      </c>
      <c r="B526" s="10">
        <f>_xlfn.XLOOKUP(1,(VALUE(D526)&gt;=VALUE(block!$C$3:$C$500))*(VALUE(D526)&lt;VALUE(block!$C$3:$C$500)+VALUE(block!$D$3:$D$500)),block!$A$3:$A$500,"无匹配",0,1)</f>
        <v>13</v>
      </c>
      <c r="C526" s="3" t="str">
        <f>B526 &amp; "-" &amp; COUNTIF($B$2:B526, B526)</f>
        <v>13-8</v>
      </c>
      <c r="D526" s="51">
        <v>9742</v>
      </c>
      <c r="E526" s="52" t="s">
        <v>2840</v>
      </c>
      <c r="F526" s="52" t="s">
        <v>127</v>
      </c>
      <c r="G526" s="52" t="s">
        <v>1840</v>
      </c>
      <c r="H526" s="52" t="s">
        <v>1812</v>
      </c>
      <c r="I526" s="51" t="str">
        <f>IF(H526="T27",1,IF(H526="T27",3,IF(H526="T43",6,IF(H526="T43",10,IF(H526="T75",14,IF(H526="T75",18,IF(H526="T43",22,"")))))))</f>
        <v/>
      </c>
      <c r="J526" s="52" t="s">
        <v>1808</v>
      </c>
      <c r="K526" s="51">
        <v>2</v>
      </c>
      <c r="L526" s="51">
        <v>1</v>
      </c>
      <c r="M526" s="52"/>
      <c r="N526" s="51">
        <v>4</v>
      </c>
      <c r="O526" s="54"/>
      <c r="P526" s="45" t="s">
        <v>2826</v>
      </c>
      <c r="Q526" s="54">
        <v>13</v>
      </c>
      <c r="R526" s="54"/>
      <c r="S526" s="52" t="s">
        <v>127</v>
      </c>
    </row>
    <row r="527" spans="1:19" ht="18.75" customHeight="1" x14ac:dyDescent="0.3">
      <c r="A527" s="51">
        <v>526</v>
      </c>
      <c r="B527" s="10">
        <f>_xlfn.XLOOKUP(1,(VALUE(D527)&gt;=VALUE(block!$C$3:$C$500))*(VALUE(D527)&lt;VALUE(block!$C$3:$C$500)+VALUE(block!$D$3:$D$500)),block!$A$3:$A$500,"无匹配",0,1)</f>
        <v>13</v>
      </c>
      <c r="C527" s="3" t="str">
        <f>B527 &amp; "-" &amp; COUNTIF($B$2:B527, B527)</f>
        <v>13-9</v>
      </c>
      <c r="D527" s="51">
        <v>9744</v>
      </c>
      <c r="E527" s="52" t="s">
        <v>2841</v>
      </c>
      <c r="F527" s="52" t="s">
        <v>132</v>
      </c>
      <c r="G527" s="52" t="s">
        <v>1840</v>
      </c>
      <c r="H527" s="52" t="s">
        <v>1812</v>
      </c>
      <c r="I527" s="51" t="str">
        <f>IF(H527="T28",1,IF(H527="T28",3,IF(H527="T44",6,IF(H527="T44",10,IF(H527="T76",14,IF(H527="T76",18,IF(H527="T44",22,"")))))))</f>
        <v/>
      </c>
      <c r="J527" s="52" t="s">
        <v>1808</v>
      </c>
      <c r="K527" s="51">
        <v>2</v>
      </c>
      <c r="L527" s="51">
        <v>1</v>
      </c>
      <c r="M527" s="52"/>
      <c r="N527" s="51">
        <v>4</v>
      </c>
      <c r="O527" s="54"/>
      <c r="P527" s="45" t="s">
        <v>2826</v>
      </c>
      <c r="Q527" s="54">
        <v>13</v>
      </c>
      <c r="R527" s="54"/>
      <c r="S527" s="52" t="s">
        <v>132</v>
      </c>
    </row>
    <row r="528" spans="1:19" ht="18.75" customHeight="1" x14ac:dyDescent="0.3">
      <c r="A528" s="51">
        <v>527</v>
      </c>
      <c r="B528" s="10">
        <f>_xlfn.XLOOKUP(1,(VALUE(D528)&gt;=VALUE(block!$C$3:$C$500))*(VALUE(D528)&lt;VALUE(block!$C$3:$C$500)+VALUE(block!$D$3:$D$500)),block!$A$3:$A$500,"无匹配",0,1)</f>
        <v>13</v>
      </c>
      <c r="C528" s="3" t="str">
        <f>B528 &amp; "-" &amp; COUNTIF($B$2:B528, B528)</f>
        <v>13-10</v>
      </c>
      <c r="D528" s="51">
        <v>9746</v>
      </c>
      <c r="E528" s="52" t="s">
        <v>2842</v>
      </c>
      <c r="F528" s="52" t="s">
        <v>137</v>
      </c>
      <c r="G528" s="52" t="s">
        <v>1840</v>
      </c>
      <c r="H528" s="52" t="s">
        <v>1812</v>
      </c>
      <c r="I528" s="51" t="str">
        <f>IF(H528="T29",1,IF(H528="T29",3,IF(H528="T45",6,IF(H528="T45",10,IF(H528="T77",14,IF(H528="T77",18,IF(H528="T45",22,"")))))))</f>
        <v/>
      </c>
      <c r="J528" s="52" t="s">
        <v>1808</v>
      </c>
      <c r="K528" s="51">
        <v>2</v>
      </c>
      <c r="L528" s="51">
        <v>1</v>
      </c>
      <c r="M528" s="52"/>
      <c r="N528" s="51">
        <v>4</v>
      </c>
      <c r="O528" s="54"/>
      <c r="P528" s="45" t="s">
        <v>2826</v>
      </c>
      <c r="Q528" s="54">
        <v>13</v>
      </c>
      <c r="R528" s="54"/>
      <c r="S528" s="52" t="s">
        <v>137</v>
      </c>
    </row>
    <row r="529" spans="1:19" ht="18.75" customHeight="1" x14ac:dyDescent="0.3">
      <c r="A529" s="51">
        <v>528</v>
      </c>
      <c r="B529" s="10">
        <f>_xlfn.XLOOKUP(1,(VALUE(D529)&gt;=VALUE(block!$C$3:$C$500))*(VALUE(D529)&lt;VALUE(block!$C$3:$C$500)+VALUE(block!$D$3:$D$500)),block!$A$3:$A$500,"无匹配",0,1)</f>
        <v>13</v>
      </c>
      <c r="C529" s="3" t="str">
        <f>B529 &amp; "-" &amp; COUNTIF($B$2:B529, B529)</f>
        <v>13-11</v>
      </c>
      <c r="D529" s="51">
        <v>9748</v>
      </c>
      <c r="E529" s="52" t="s">
        <v>2843</v>
      </c>
      <c r="F529" s="52" t="s">
        <v>142</v>
      </c>
      <c r="G529" s="52" t="s">
        <v>1840</v>
      </c>
      <c r="H529" s="52" t="s">
        <v>1812</v>
      </c>
      <c r="I529" s="51" t="str">
        <f>IF(H529="T30",1,IF(H529="T30",3,IF(H529="T46",6,IF(H529="T46",10,IF(H529="T78",14,IF(H529="T78",18,IF(H529="T46",22,"")))))))</f>
        <v/>
      </c>
      <c r="J529" s="52" t="s">
        <v>1808</v>
      </c>
      <c r="K529" s="51">
        <v>2</v>
      </c>
      <c r="L529" s="51">
        <v>1</v>
      </c>
      <c r="M529" s="52"/>
      <c r="N529" s="51">
        <v>4</v>
      </c>
      <c r="O529" s="54"/>
      <c r="P529" s="45" t="s">
        <v>2826</v>
      </c>
      <c r="Q529" s="54">
        <v>13</v>
      </c>
      <c r="R529" s="54"/>
      <c r="S529" s="52" t="s">
        <v>142</v>
      </c>
    </row>
    <row r="530" spans="1:19" ht="18.75" customHeight="1" x14ac:dyDescent="0.3">
      <c r="A530" s="51">
        <v>529</v>
      </c>
      <c r="B530" s="10">
        <f>_xlfn.XLOOKUP(1,(VALUE(D530)&gt;=VALUE(block!$C$3:$C$500))*(VALUE(D530)&lt;VALUE(block!$C$3:$C$500)+VALUE(block!$D$3:$D$500)),block!$A$3:$A$500,"无匹配",0,1)</f>
        <v>13</v>
      </c>
      <c r="C530" s="3" t="str">
        <f>B530 &amp; "-" &amp; COUNTIF($B$2:B530, B530)</f>
        <v>13-12</v>
      </c>
      <c r="D530" s="51">
        <v>9750</v>
      </c>
      <c r="E530" s="52" t="s">
        <v>2844</v>
      </c>
      <c r="F530" s="52" t="s">
        <v>2845</v>
      </c>
      <c r="G530" s="52" t="s">
        <v>1840</v>
      </c>
      <c r="H530" s="52" t="s">
        <v>1812</v>
      </c>
      <c r="I530" s="51" t="str">
        <f>IF(H530="T31",1,IF(H530="T31",3,IF(H530="T47",6,IF(H530="T47",10,IF(H530="T79",14,IF(H530="T79",18,IF(H530="T47",22,"")))))))</f>
        <v/>
      </c>
      <c r="J530" s="52" t="s">
        <v>1808</v>
      </c>
      <c r="K530" s="51">
        <v>2</v>
      </c>
      <c r="L530" s="51">
        <v>1</v>
      </c>
      <c r="M530" s="52"/>
      <c r="N530" s="51">
        <v>4</v>
      </c>
      <c r="O530" s="54"/>
      <c r="P530" s="45" t="s">
        <v>2826</v>
      </c>
      <c r="Q530" s="54">
        <v>13</v>
      </c>
      <c r="R530" s="54"/>
      <c r="S530" s="52" t="s">
        <v>2845</v>
      </c>
    </row>
    <row r="531" spans="1:19" ht="18.75" hidden="1" customHeight="1" x14ac:dyDescent="0.3">
      <c r="A531" s="10">
        <v>530</v>
      </c>
      <c r="B531" s="10">
        <f>_xlfn.XLOOKUP(1,(VALUE(D531)&gt;=VALUE(block!$C$3:$C$500))*(VALUE(D531)&lt;VALUE(block!$C$3:$C$500)+VALUE(block!$D$3:$D$500)),block!$A$3:$A$500,"无匹配",0,1)</f>
        <v>13</v>
      </c>
      <c r="C531" s="3" t="str">
        <f>B531 &amp; "-" &amp; COUNTIF($B$2:B531, B531)</f>
        <v>13-13</v>
      </c>
      <c r="D531" s="10">
        <v>9752</v>
      </c>
      <c r="E531" s="1" t="s">
        <v>2846</v>
      </c>
      <c r="F531" s="3" t="s">
        <v>128</v>
      </c>
      <c r="G531" s="1" t="s">
        <v>1840</v>
      </c>
      <c r="H531" s="1" t="s">
        <v>1812</v>
      </c>
      <c r="I531" s="10" t="str">
        <f>IF(H531="T32",1,IF(H531="T32",3,IF(H531="T48",6,IF(H531="T48",10,IF(H531="T80",14,IF(H531="T80",18,IF(H531="T48",22,"")))))))</f>
        <v/>
      </c>
      <c r="J531" s="1" t="s">
        <v>1808</v>
      </c>
      <c r="K531" s="10">
        <v>2</v>
      </c>
      <c r="L531" s="10">
        <v>1</v>
      </c>
      <c r="O531" s="6"/>
      <c r="Q531" s="42" t="s">
        <v>2847</v>
      </c>
      <c r="R531" s="42"/>
      <c r="S531" s="3"/>
    </row>
    <row r="532" spans="1:19" ht="18.75" hidden="1" customHeight="1" x14ac:dyDescent="0.3">
      <c r="A532" s="10">
        <v>531</v>
      </c>
      <c r="B532" s="10">
        <f>_xlfn.XLOOKUP(1,(VALUE(D532)&gt;=VALUE(block!$C$3:$C$500))*(VALUE(D532)&lt;VALUE(block!$C$3:$C$500)+VALUE(block!$D$3:$D$500)),block!$A$3:$A$500,"无匹配",0,1)</f>
        <v>13</v>
      </c>
      <c r="C532" s="3" t="str">
        <f>B532 &amp; "-" &amp; COUNTIF($B$2:B532, B532)</f>
        <v>13-14</v>
      </c>
      <c r="D532" s="10">
        <v>9754</v>
      </c>
      <c r="E532" s="1" t="s">
        <v>2848</v>
      </c>
      <c r="F532" s="1" t="s">
        <v>133</v>
      </c>
      <c r="G532" s="1" t="s">
        <v>1840</v>
      </c>
      <c r="H532" s="1" t="s">
        <v>1812</v>
      </c>
      <c r="I532" s="10" t="str">
        <f>IF(H532="T33",1,IF(H532="T33",3,IF(H532="T49",6,IF(H532="T49",10,IF(H532="T81",14,IF(H532="T81",18,IF(H532="T49",22,"")))))))</f>
        <v/>
      </c>
      <c r="J532" s="1" t="s">
        <v>1808</v>
      </c>
      <c r="K532" s="10">
        <v>2</v>
      </c>
      <c r="L532" s="10">
        <v>1</v>
      </c>
      <c r="O532" s="6"/>
      <c r="Q532" s="42" t="s">
        <v>2847</v>
      </c>
      <c r="R532" s="42"/>
      <c r="S532" s="1"/>
    </row>
    <row r="533" spans="1:19" ht="18.75" hidden="1" customHeight="1" x14ac:dyDescent="0.3">
      <c r="A533" s="10">
        <v>532</v>
      </c>
      <c r="B533" s="10">
        <f>_xlfn.XLOOKUP(1,(VALUE(D533)&gt;=VALUE(block!$C$3:$C$500))*(VALUE(D533)&lt;VALUE(block!$C$3:$C$500)+VALUE(block!$D$3:$D$500)),block!$A$3:$A$500,"无匹配",0,1)</f>
        <v>13</v>
      </c>
      <c r="C533" s="3" t="str">
        <f>B533 &amp; "-" &amp; COUNTIF($B$2:B533, B533)</f>
        <v>13-15</v>
      </c>
      <c r="D533" s="10">
        <v>9756</v>
      </c>
      <c r="E533" s="1" t="s">
        <v>2849</v>
      </c>
      <c r="F533" s="1" t="s">
        <v>138</v>
      </c>
      <c r="G533" s="1" t="s">
        <v>1840</v>
      </c>
      <c r="H533" s="1" t="s">
        <v>1812</v>
      </c>
      <c r="I533" s="10" t="str">
        <f>IF(H533="T34",1,IF(H533="T34",3,IF(H533="T50",6,IF(H533="T50",10,IF(H533="T82",14,IF(H533="T82",18,IF(H533="T50",22,"")))))))</f>
        <v/>
      </c>
      <c r="J533" s="1" t="s">
        <v>1808</v>
      </c>
      <c r="K533" s="10">
        <v>2</v>
      </c>
      <c r="L533" s="10">
        <v>1</v>
      </c>
      <c r="O533" s="6"/>
      <c r="Q533" s="42" t="s">
        <v>2847</v>
      </c>
      <c r="R533" s="42"/>
      <c r="S533" s="1"/>
    </row>
    <row r="534" spans="1:19" ht="18.75" hidden="1" customHeight="1" x14ac:dyDescent="0.3">
      <c r="A534" s="10">
        <v>533</v>
      </c>
      <c r="B534" s="10">
        <f>_xlfn.XLOOKUP(1,(VALUE(D534)&gt;=VALUE(block!$C$3:$C$500))*(VALUE(D534)&lt;VALUE(block!$C$3:$C$500)+VALUE(block!$D$3:$D$500)),block!$A$3:$A$500,"无匹配",0,1)</f>
        <v>13</v>
      </c>
      <c r="C534" s="3" t="str">
        <f>B534 &amp; "-" &amp; COUNTIF($B$2:B534, B534)</f>
        <v>13-16</v>
      </c>
      <c r="D534" s="10">
        <v>9758</v>
      </c>
      <c r="E534" s="1" t="s">
        <v>2850</v>
      </c>
      <c r="F534" s="1" t="s">
        <v>143</v>
      </c>
      <c r="G534" s="1" t="s">
        <v>1840</v>
      </c>
      <c r="H534" s="1" t="s">
        <v>1812</v>
      </c>
      <c r="I534" s="10" t="str">
        <f>IF(H534="T35",1,IF(H534="T35",3,IF(H534="T51",6,IF(H534="T51",10,IF(H534="T83",14,IF(H534="T83",18,IF(H534="T51",22,"")))))))</f>
        <v/>
      </c>
      <c r="J534" s="1" t="s">
        <v>1808</v>
      </c>
      <c r="K534" s="10">
        <v>2</v>
      </c>
      <c r="L534" s="10">
        <v>1</v>
      </c>
      <c r="O534" s="6"/>
      <c r="Q534" s="42" t="s">
        <v>2847</v>
      </c>
      <c r="R534" s="42"/>
      <c r="S534" s="1"/>
    </row>
    <row r="535" spans="1:19" ht="18.75" hidden="1" customHeight="1" x14ac:dyDescent="0.3">
      <c r="A535" s="10">
        <v>534</v>
      </c>
      <c r="B535" s="10">
        <f>_xlfn.XLOOKUP(1,(VALUE(D535)&gt;=VALUE(block!$C$3:$C$500))*(VALUE(D535)&lt;VALUE(block!$C$3:$C$500)+VALUE(block!$D$3:$D$500)),block!$A$3:$A$500,"无匹配",0,1)</f>
        <v>13</v>
      </c>
      <c r="C535" s="3" t="str">
        <f>B535 &amp; "-" &amp; COUNTIF($B$2:B535, B535)</f>
        <v>13-17</v>
      </c>
      <c r="D535" s="10">
        <v>9760</v>
      </c>
      <c r="E535" s="1" t="s">
        <v>2851</v>
      </c>
      <c r="F535" s="1" t="s">
        <v>148</v>
      </c>
      <c r="G535" s="1" t="s">
        <v>1840</v>
      </c>
      <c r="H535" s="1" t="s">
        <v>1812</v>
      </c>
      <c r="I535" s="10" t="str">
        <f>IF(H535="T36",1,IF(H535="T36",3,IF(H535="T52",6,IF(H535="T52",10,IF(H535="T84",14,IF(H535="T84",18,IF(H535="T52",22,"")))))))</f>
        <v/>
      </c>
      <c r="J535" s="1" t="s">
        <v>1808</v>
      </c>
      <c r="K535" s="10">
        <v>2</v>
      </c>
      <c r="L535" s="10">
        <v>1</v>
      </c>
      <c r="O535" s="6"/>
      <c r="Q535" s="42" t="s">
        <v>2847</v>
      </c>
      <c r="R535" s="42"/>
      <c r="S535" s="1"/>
    </row>
    <row r="536" spans="1:19" ht="18.75" hidden="1" customHeight="1" x14ac:dyDescent="0.3">
      <c r="A536" s="10">
        <v>535</v>
      </c>
      <c r="B536" s="10">
        <f>_xlfn.XLOOKUP(1,(VALUE(D536)&gt;=VALUE(block!$C$3:$C$500))*(VALUE(D536)&lt;VALUE(block!$C$3:$C$500)+VALUE(block!$D$3:$D$500)),block!$A$3:$A$500,"无匹配",0,1)</f>
        <v>13</v>
      </c>
      <c r="C536" s="3" t="str">
        <f>B536 &amp; "-" &amp; COUNTIF($B$2:B536, B536)</f>
        <v>13-18</v>
      </c>
      <c r="D536" s="10">
        <v>9762</v>
      </c>
      <c r="E536" s="1" t="s">
        <v>2852</v>
      </c>
      <c r="F536" s="1" t="s">
        <v>153</v>
      </c>
      <c r="G536" s="1" t="s">
        <v>1840</v>
      </c>
      <c r="H536" s="1" t="s">
        <v>1812</v>
      </c>
      <c r="I536" s="10" t="str">
        <f>IF(H536="T37",1,IF(H536="T37",3,IF(H536="T53",6,IF(H536="T53",10,IF(H536="T85",14,IF(H536="T85",18,IF(H536="T53",22,"")))))))</f>
        <v/>
      </c>
      <c r="J536" s="1" t="s">
        <v>1808</v>
      </c>
      <c r="K536" s="10">
        <v>2</v>
      </c>
      <c r="L536" s="10">
        <v>1</v>
      </c>
      <c r="O536" s="6"/>
      <c r="Q536" s="42" t="s">
        <v>2847</v>
      </c>
      <c r="R536" s="42"/>
      <c r="S536" s="1"/>
    </row>
    <row r="537" spans="1:19" ht="18.75" hidden="1" customHeight="1" x14ac:dyDescent="0.3">
      <c r="A537" s="10">
        <v>536</v>
      </c>
      <c r="B537" s="10">
        <f>_xlfn.XLOOKUP(1,(VALUE(D537)&gt;=VALUE(block!$C$3:$C$500))*(VALUE(D537)&lt;VALUE(block!$C$3:$C$500)+VALUE(block!$D$3:$D$500)),block!$A$3:$A$500,"无匹配",0,1)</f>
        <v>13</v>
      </c>
      <c r="C537" s="3" t="str">
        <f>B537 &amp; "-" &amp; COUNTIF($B$2:B537, B537)</f>
        <v>13-19</v>
      </c>
      <c r="D537" s="10">
        <v>9764</v>
      </c>
      <c r="E537" s="1" t="s">
        <v>2853</v>
      </c>
      <c r="F537" s="1" t="s">
        <v>158</v>
      </c>
      <c r="G537" s="1" t="s">
        <v>1840</v>
      </c>
      <c r="H537" s="1" t="s">
        <v>1812</v>
      </c>
      <c r="I537" s="10" t="str">
        <f>IF(H537="T38",1,IF(H537="T38",3,IF(H537="T54",6,IF(H537="T54",10,IF(H537="T86",14,IF(H537="T86",18,IF(H537="T54",22,"")))))))</f>
        <v/>
      </c>
      <c r="J537" s="1" t="s">
        <v>1808</v>
      </c>
      <c r="K537" s="10">
        <v>2</v>
      </c>
      <c r="L537" s="10">
        <v>1</v>
      </c>
      <c r="O537" s="6"/>
      <c r="Q537" s="42" t="s">
        <v>2847</v>
      </c>
      <c r="R537" s="42"/>
      <c r="S537" s="1"/>
    </row>
    <row r="538" spans="1:19" ht="18.75" hidden="1" customHeight="1" x14ac:dyDescent="0.3">
      <c r="A538" s="10">
        <v>537</v>
      </c>
      <c r="B538" s="10">
        <f>_xlfn.XLOOKUP(1,(VALUE(D538)&gt;=VALUE(block!$C$3:$C$500))*(VALUE(D538)&lt;VALUE(block!$C$3:$C$500)+VALUE(block!$D$3:$D$500)),block!$A$3:$A$500,"无匹配",0,1)</f>
        <v>13</v>
      </c>
      <c r="C538" s="3" t="str">
        <f>B538 &amp; "-" &amp; COUNTIF($B$2:B538, B538)</f>
        <v>13-20</v>
      </c>
      <c r="D538" s="10">
        <v>9766</v>
      </c>
      <c r="E538" s="1" t="s">
        <v>2854</v>
      </c>
      <c r="F538" s="1" t="s">
        <v>163</v>
      </c>
      <c r="G538" s="1" t="s">
        <v>1840</v>
      </c>
      <c r="H538" s="1" t="s">
        <v>1812</v>
      </c>
      <c r="I538" s="10" t="str">
        <f>IF(H538="T39",1,IF(H538="T39",3,IF(H538="T55",6,IF(H538="T55",10,IF(H538="T87",14,IF(H538="T87",18,IF(H538="T55",22,"")))))))</f>
        <v/>
      </c>
      <c r="J538" s="1" t="s">
        <v>1808</v>
      </c>
      <c r="K538" s="10">
        <v>2</v>
      </c>
      <c r="L538" s="10">
        <v>1</v>
      </c>
      <c r="O538" s="6"/>
      <c r="Q538" s="42" t="s">
        <v>2847</v>
      </c>
      <c r="R538" s="42"/>
      <c r="S538" s="1"/>
    </row>
    <row r="539" spans="1:19" ht="18.75" hidden="1" customHeight="1" x14ac:dyDescent="0.3">
      <c r="A539" s="10">
        <v>538</v>
      </c>
      <c r="B539" s="10">
        <f>_xlfn.XLOOKUP(1,(VALUE(D539)&gt;=VALUE(block!$C$3:$C$500))*(VALUE(D539)&lt;VALUE(block!$C$3:$C$500)+VALUE(block!$D$3:$D$500)),block!$A$3:$A$500,"无匹配",0,1)</f>
        <v>13</v>
      </c>
      <c r="C539" s="3" t="str">
        <f>B539 &amp; "-" &amp; COUNTIF($B$2:B539, B539)</f>
        <v>13-21</v>
      </c>
      <c r="D539" s="10">
        <v>9768</v>
      </c>
      <c r="E539" s="1" t="s">
        <v>2855</v>
      </c>
      <c r="F539" s="1" t="s">
        <v>168</v>
      </c>
      <c r="G539" s="1" t="s">
        <v>1840</v>
      </c>
      <c r="H539" s="1" t="s">
        <v>1812</v>
      </c>
      <c r="I539" s="10" t="str">
        <f>IF(H539="T40",1,IF(H539="T40",3,IF(H539="T56",6,IF(H539="T56",10,IF(H539="T88",14,IF(H539="T88",18,IF(H539="T56",22,"")))))))</f>
        <v/>
      </c>
      <c r="J539" s="1" t="s">
        <v>1808</v>
      </c>
      <c r="K539" s="10">
        <v>2</v>
      </c>
      <c r="L539" s="10">
        <v>1</v>
      </c>
      <c r="O539" s="6"/>
      <c r="Q539" s="42" t="s">
        <v>2847</v>
      </c>
      <c r="R539" s="42"/>
      <c r="S539" s="1"/>
    </row>
    <row r="540" spans="1:19" ht="18.75" hidden="1" customHeight="1" x14ac:dyDescent="0.3">
      <c r="A540" s="10">
        <v>539</v>
      </c>
      <c r="B540" s="10">
        <f>_xlfn.XLOOKUP(1,(VALUE(D540)&gt;=VALUE(block!$C$3:$C$500))*(VALUE(D540)&lt;VALUE(block!$C$3:$C$500)+VALUE(block!$D$3:$D$500)),block!$A$3:$A$500,"无匹配",0,1)</f>
        <v>13</v>
      </c>
      <c r="C540" s="3" t="str">
        <f>B540 &amp; "-" &amp; COUNTIF($B$2:B540, B540)</f>
        <v>13-22</v>
      </c>
      <c r="D540" s="10">
        <v>9770</v>
      </c>
      <c r="E540" s="1" t="s">
        <v>2856</v>
      </c>
      <c r="F540" s="1" t="s">
        <v>173</v>
      </c>
      <c r="G540" s="1" t="s">
        <v>1840</v>
      </c>
      <c r="H540" s="1" t="s">
        <v>1812</v>
      </c>
      <c r="I540" s="10" t="str">
        <f>IF(H540="T41",1,IF(H540="T41",3,IF(H540="T57",6,IF(H540="T57",10,IF(H540="T89",14,IF(H540="T89",18,IF(H540="T57",22,"")))))))</f>
        <v/>
      </c>
      <c r="J540" s="1" t="s">
        <v>1808</v>
      </c>
      <c r="K540" s="10">
        <v>2</v>
      </c>
      <c r="L540" s="10">
        <v>1</v>
      </c>
      <c r="O540" s="6"/>
      <c r="Q540" s="42" t="s">
        <v>2847</v>
      </c>
      <c r="R540" s="42"/>
      <c r="S540" s="1"/>
    </row>
    <row r="541" spans="1:19" ht="18.75" hidden="1" customHeight="1" x14ac:dyDescent="0.3">
      <c r="A541" s="10">
        <v>540</v>
      </c>
      <c r="B541" s="10">
        <f>_xlfn.XLOOKUP(1,(VALUE(D541)&gt;=VALUE(block!$C$3:$C$500))*(VALUE(D541)&lt;VALUE(block!$C$3:$C$500)+VALUE(block!$D$3:$D$500)),block!$A$3:$A$500,"无匹配",0,1)</f>
        <v>13</v>
      </c>
      <c r="C541" s="3" t="str">
        <f>B541 &amp; "-" &amp; COUNTIF($B$2:B541, B541)</f>
        <v>13-23</v>
      </c>
      <c r="D541" s="10">
        <v>9772</v>
      </c>
      <c r="E541" s="1" t="s">
        <v>2857</v>
      </c>
      <c r="F541" s="1" t="s">
        <v>178</v>
      </c>
      <c r="G541" s="1" t="s">
        <v>1840</v>
      </c>
      <c r="H541" s="1" t="s">
        <v>1812</v>
      </c>
      <c r="I541" s="10" t="str">
        <f>IF(H541="T42",1,IF(H541="T42",3,IF(H541="T58",6,IF(H541="T58",10,IF(H541="T90",14,IF(H541="T90",18,IF(H541="T58",22,"")))))))</f>
        <v/>
      </c>
      <c r="J541" s="1" t="s">
        <v>1808</v>
      </c>
      <c r="K541" s="10">
        <v>2</v>
      </c>
      <c r="L541" s="10">
        <v>1</v>
      </c>
      <c r="O541" s="6"/>
      <c r="Q541" s="42" t="s">
        <v>2847</v>
      </c>
      <c r="R541" s="42"/>
      <c r="S541" s="1"/>
    </row>
    <row r="542" spans="1:19" ht="18.75" hidden="1" customHeight="1" x14ac:dyDescent="0.3">
      <c r="A542" s="10">
        <v>541</v>
      </c>
      <c r="B542" s="10">
        <f>_xlfn.XLOOKUP(1,(VALUE(D542)&gt;=VALUE(block!$C$3:$C$500))*(VALUE(D542)&lt;VALUE(block!$C$3:$C$500)+VALUE(block!$D$3:$D$500)),block!$A$3:$A$500,"无匹配",0,1)</f>
        <v>13</v>
      </c>
      <c r="C542" s="3" t="str">
        <f>B542 &amp; "-" &amp; COUNTIF($B$2:B542, B542)</f>
        <v>13-24</v>
      </c>
      <c r="D542" s="10">
        <v>9774</v>
      </c>
      <c r="E542" s="1" t="s">
        <v>2858</v>
      </c>
      <c r="F542" s="1" t="s">
        <v>183</v>
      </c>
      <c r="G542" s="1" t="s">
        <v>1840</v>
      </c>
      <c r="H542" s="1" t="s">
        <v>1812</v>
      </c>
      <c r="I542" s="10" t="str">
        <f>IF(H542="T43",1,IF(H542="T43",3,IF(H542="T59",6,IF(H542="T59",10,IF(H542="T91",14,IF(H542="T91",18,IF(H542="T59",22,"")))))))</f>
        <v/>
      </c>
      <c r="J542" s="1" t="s">
        <v>1808</v>
      </c>
      <c r="K542" s="10">
        <v>2</v>
      </c>
      <c r="L542" s="10">
        <v>1</v>
      </c>
      <c r="O542" s="6"/>
      <c r="Q542" s="42" t="s">
        <v>2847</v>
      </c>
      <c r="R542" s="42"/>
      <c r="S542" s="1"/>
    </row>
    <row r="543" spans="1:19" ht="18.75" hidden="1" customHeight="1" x14ac:dyDescent="0.3">
      <c r="A543" s="10">
        <v>542</v>
      </c>
      <c r="B543" s="10">
        <f>_xlfn.XLOOKUP(1,(VALUE(D543)&gt;=VALUE(block!$C$3:$C$500))*(VALUE(D543)&lt;VALUE(block!$C$3:$C$500)+VALUE(block!$D$3:$D$500)),block!$A$3:$A$500,"无匹配",0,1)</f>
        <v>13</v>
      </c>
      <c r="C543" s="3" t="str">
        <f>B543 &amp; "-" &amp; COUNTIF($B$2:B543, B543)</f>
        <v>13-25</v>
      </c>
      <c r="D543" s="10">
        <v>9776</v>
      </c>
      <c r="E543" s="1" t="s">
        <v>2859</v>
      </c>
      <c r="F543" s="1" t="s">
        <v>188</v>
      </c>
      <c r="G543" s="1" t="s">
        <v>1840</v>
      </c>
      <c r="H543" s="1" t="s">
        <v>1812</v>
      </c>
      <c r="I543" s="10" t="str">
        <f>IF(H543="T44",1,IF(H543="T44",3,IF(H543="T60",6,IF(H543="T60",10,IF(H543="T92",14,IF(H543="T92",18,IF(H543="T60",22,"")))))))</f>
        <v/>
      </c>
      <c r="J543" s="1" t="s">
        <v>1808</v>
      </c>
      <c r="K543" s="10">
        <v>2</v>
      </c>
      <c r="L543" s="10">
        <v>1</v>
      </c>
      <c r="O543" s="6"/>
      <c r="Q543" s="42" t="s">
        <v>2847</v>
      </c>
      <c r="R543" s="42"/>
      <c r="S543" s="1"/>
    </row>
    <row r="544" spans="1:19" ht="18.75" hidden="1" customHeight="1" x14ac:dyDescent="0.3">
      <c r="A544" s="10">
        <v>543</v>
      </c>
      <c r="B544" s="10">
        <f>_xlfn.XLOOKUP(1,(VALUE(D544)&gt;=VALUE(block!$C$3:$C$500))*(VALUE(D544)&lt;VALUE(block!$C$3:$C$500)+VALUE(block!$D$3:$D$500)),block!$A$3:$A$500,"无匹配",0,1)</f>
        <v>13</v>
      </c>
      <c r="C544" s="3" t="str">
        <f>B544 &amp; "-" &amp; COUNTIF($B$2:B544, B544)</f>
        <v>13-26</v>
      </c>
      <c r="D544" s="10">
        <v>9778</v>
      </c>
      <c r="E544" s="1" t="s">
        <v>2860</v>
      </c>
      <c r="F544" s="1" t="s">
        <v>193</v>
      </c>
      <c r="G544" s="1" t="s">
        <v>1840</v>
      </c>
      <c r="H544" s="1" t="s">
        <v>1812</v>
      </c>
      <c r="I544" s="10" t="str">
        <f>IF(H544="T45",1,IF(H544="T45",3,IF(H544="T61",6,IF(H544="T61",10,IF(H544="T93",14,IF(H544="T93",18,IF(H544="T61",22,"")))))))</f>
        <v/>
      </c>
      <c r="J544" s="1" t="s">
        <v>1808</v>
      </c>
      <c r="K544" s="10">
        <v>2</v>
      </c>
      <c r="L544" s="10">
        <v>1</v>
      </c>
      <c r="O544" s="6"/>
      <c r="Q544" s="42" t="s">
        <v>2847</v>
      </c>
      <c r="R544" s="42"/>
      <c r="S544" s="1"/>
    </row>
    <row r="545" spans="1:19" ht="18.75" hidden="1" customHeight="1" x14ac:dyDescent="0.3">
      <c r="A545" s="10">
        <v>544</v>
      </c>
      <c r="B545" s="10">
        <f>_xlfn.XLOOKUP(1,(VALUE(D545)&gt;=VALUE(block!$C$3:$C$500))*(VALUE(D545)&lt;VALUE(block!$C$3:$C$500)+VALUE(block!$D$3:$D$500)),block!$A$3:$A$500,"无匹配",0,1)</f>
        <v>13</v>
      </c>
      <c r="C545" s="3" t="str">
        <f>B545 &amp; "-" &amp; COUNTIF($B$2:B545, B545)</f>
        <v>13-27</v>
      </c>
      <c r="D545" s="10">
        <v>9780</v>
      </c>
      <c r="E545" s="1" t="s">
        <v>2861</v>
      </c>
      <c r="F545" s="1" t="s">
        <v>198</v>
      </c>
      <c r="G545" s="1" t="s">
        <v>1840</v>
      </c>
      <c r="H545" s="1" t="s">
        <v>1812</v>
      </c>
      <c r="I545" s="10" t="str">
        <f>IF(H545="T46",1,IF(H545="T46",3,IF(H545="T62",6,IF(H545="T62",10,IF(H545="T94",14,IF(H545="T94",18,IF(H545="T62",22,"")))))))</f>
        <v/>
      </c>
      <c r="J545" s="1" t="s">
        <v>1808</v>
      </c>
      <c r="K545" s="10">
        <v>2</v>
      </c>
      <c r="L545" s="10">
        <v>1</v>
      </c>
      <c r="O545" s="6"/>
      <c r="Q545" s="42" t="s">
        <v>2847</v>
      </c>
      <c r="R545" s="42"/>
      <c r="S545" s="1"/>
    </row>
    <row r="546" spans="1:19" ht="18.75" hidden="1" customHeight="1" x14ac:dyDescent="0.3">
      <c r="A546" s="10">
        <v>545</v>
      </c>
      <c r="B546" s="10">
        <f>_xlfn.XLOOKUP(1,(VALUE(D546)&gt;=VALUE(block!$C$3:$C$500))*(VALUE(D546)&lt;VALUE(block!$C$3:$C$500)+VALUE(block!$D$3:$D$500)),block!$A$3:$A$500,"无匹配",0,1)</f>
        <v>13</v>
      </c>
      <c r="C546" s="3" t="str">
        <f>B546 &amp; "-" &amp; COUNTIF($B$2:B546, B546)</f>
        <v>13-28</v>
      </c>
      <c r="D546" s="10">
        <v>9782</v>
      </c>
      <c r="E546" s="1" t="s">
        <v>2862</v>
      </c>
      <c r="F546" s="1" t="s">
        <v>203</v>
      </c>
      <c r="G546" s="1" t="s">
        <v>1840</v>
      </c>
      <c r="H546" s="1" t="s">
        <v>1812</v>
      </c>
      <c r="I546" s="10" t="str">
        <f>IF(H546="T47",1,IF(H546="T47",3,IF(H546="T63",6,IF(H546="T63",10,IF(H546="T95",14,IF(H546="T95",18,IF(H546="T63",22,"")))))))</f>
        <v/>
      </c>
      <c r="J546" s="1" t="s">
        <v>1808</v>
      </c>
      <c r="K546" s="10">
        <v>2</v>
      </c>
      <c r="L546" s="10">
        <v>1</v>
      </c>
      <c r="O546" s="6"/>
      <c r="Q546" s="42" t="s">
        <v>2847</v>
      </c>
      <c r="R546" s="42"/>
      <c r="S546" s="1"/>
    </row>
    <row r="547" spans="1:19" ht="18.75" hidden="1" customHeight="1" x14ac:dyDescent="0.3">
      <c r="A547" s="10">
        <v>546</v>
      </c>
      <c r="B547" s="10">
        <f>_xlfn.XLOOKUP(1,(VALUE(D547)&gt;=VALUE(block!$C$3:$C$500))*(VALUE(D547)&lt;VALUE(block!$C$3:$C$500)+VALUE(block!$D$3:$D$500)),block!$A$3:$A$500,"无匹配",0,1)</f>
        <v>13</v>
      </c>
      <c r="C547" s="3" t="str">
        <f>B547 &amp; "-" &amp; COUNTIF($B$2:B547, B547)</f>
        <v>13-29</v>
      </c>
      <c r="D547" s="10">
        <v>9784</v>
      </c>
      <c r="E547" s="1" t="s">
        <v>2863</v>
      </c>
      <c r="F547" s="1" t="s">
        <v>208</v>
      </c>
      <c r="G547" s="1" t="s">
        <v>1840</v>
      </c>
      <c r="H547" s="1" t="s">
        <v>1812</v>
      </c>
      <c r="I547" s="10" t="str">
        <f>IF(H547="T48",1,IF(H547="T48",3,IF(H547="T64",6,IF(H547="T64",10,IF(H547="T96",14,IF(H547="T96",18,IF(H547="T64",22,"")))))))</f>
        <v/>
      </c>
      <c r="J547" s="1" t="s">
        <v>1808</v>
      </c>
      <c r="K547" s="10">
        <v>2</v>
      </c>
      <c r="L547" s="10">
        <v>1</v>
      </c>
      <c r="O547" s="6"/>
      <c r="Q547" s="42" t="s">
        <v>2847</v>
      </c>
      <c r="R547" s="42"/>
      <c r="S547" s="1"/>
    </row>
    <row r="548" spans="1:19" ht="18.75" hidden="1" customHeight="1" x14ac:dyDescent="0.3">
      <c r="A548" s="10">
        <v>547</v>
      </c>
      <c r="B548" s="10">
        <f>_xlfn.XLOOKUP(1,(VALUE(D548)&gt;=VALUE(block!$C$3:$C$500))*(VALUE(D548)&lt;VALUE(block!$C$3:$C$500)+VALUE(block!$D$3:$D$500)),block!$A$3:$A$500,"无匹配",0,1)</f>
        <v>13</v>
      </c>
      <c r="C548" s="3" t="str">
        <f>B548 &amp; "-" &amp; COUNTIF($B$2:B548, B548)</f>
        <v>13-30</v>
      </c>
      <c r="D548" s="10">
        <v>9786</v>
      </c>
      <c r="E548" s="1" t="s">
        <v>2864</v>
      </c>
      <c r="F548" s="1" t="s">
        <v>212</v>
      </c>
      <c r="G548" s="1" t="s">
        <v>1840</v>
      </c>
      <c r="H548" s="1" t="s">
        <v>1812</v>
      </c>
      <c r="I548" s="10" t="str">
        <f>IF(H548="T49",1,IF(H548="T49",3,IF(H548="T65",6,IF(H548="T65",10,IF(H548="T97",14,IF(H548="T97",18,IF(H548="T65",22,"")))))))</f>
        <v/>
      </c>
      <c r="J548" s="1" t="s">
        <v>1808</v>
      </c>
      <c r="K548" s="10">
        <v>2</v>
      </c>
      <c r="L548" s="10">
        <v>1</v>
      </c>
      <c r="O548" s="6"/>
      <c r="Q548" s="42" t="s">
        <v>2847</v>
      </c>
      <c r="R548" s="42"/>
      <c r="S548" s="1"/>
    </row>
    <row r="549" spans="1:19" ht="18.75" hidden="1" customHeight="1" x14ac:dyDescent="0.3">
      <c r="A549" s="10">
        <v>548</v>
      </c>
      <c r="B549" s="10">
        <f>_xlfn.XLOOKUP(1,(VALUE(D549)&gt;=VALUE(block!$C$3:$C$500))*(VALUE(D549)&lt;VALUE(block!$C$3:$C$500)+VALUE(block!$D$3:$D$500)),block!$A$3:$A$500,"无匹配",0,1)</f>
        <v>13</v>
      </c>
      <c r="C549" s="3" t="str">
        <f>B549 &amp; "-" &amp; COUNTIF($B$2:B549, B549)</f>
        <v>13-31</v>
      </c>
      <c r="D549" s="10">
        <v>9788</v>
      </c>
      <c r="E549" s="1" t="s">
        <v>2865</v>
      </c>
      <c r="F549" s="1" t="s">
        <v>216</v>
      </c>
      <c r="G549" s="1" t="s">
        <v>1840</v>
      </c>
      <c r="H549" s="1" t="s">
        <v>1812</v>
      </c>
      <c r="I549" s="10" t="str">
        <f>IF(H549="T50",1,IF(H549="T50",3,IF(H549="T66",6,IF(H549="T66",10,IF(H549="T98",14,IF(H549="T98",18,IF(H549="T66",22,"")))))))</f>
        <v/>
      </c>
      <c r="J549" s="1" t="s">
        <v>1808</v>
      </c>
      <c r="K549" s="10">
        <v>2</v>
      </c>
      <c r="L549" s="10">
        <v>1</v>
      </c>
      <c r="O549" s="6"/>
      <c r="Q549" s="42" t="s">
        <v>2847</v>
      </c>
      <c r="R549" s="42"/>
      <c r="S549" s="1"/>
    </row>
    <row r="550" spans="1:19" ht="18.75" hidden="1" customHeight="1" x14ac:dyDescent="0.3">
      <c r="A550" s="10">
        <v>549</v>
      </c>
      <c r="B550" s="10">
        <f>_xlfn.XLOOKUP(1,(VALUE(D550)&gt;=VALUE(block!$C$3:$C$500))*(VALUE(D550)&lt;VALUE(block!$C$3:$C$500)+VALUE(block!$D$3:$D$500)),block!$A$3:$A$500,"无匹配",0,1)</f>
        <v>13</v>
      </c>
      <c r="C550" s="3" t="str">
        <f>B550 &amp; "-" &amp; COUNTIF($B$2:B550, B550)</f>
        <v>13-32</v>
      </c>
      <c r="D550" s="10">
        <v>9790</v>
      </c>
      <c r="E550" s="1" t="s">
        <v>2866</v>
      </c>
      <c r="F550" s="1" t="s">
        <v>220</v>
      </c>
      <c r="G550" s="1" t="s">
        <v>1840</v>
      </c>
      <c r="H550" s="1" t="s">
        <v>1812</v>
      </c>
      <c r="I550" s="10" t="str">
        <f>IF(H550="T51",1,IF(H550="T51",3,IF(H550="T67",6,IF(H550="T67",10,IF(H550="T99",14,IF(H550="T99",18,IF(H550="T67",22,"")))))))</f>
        <v/>
      </c>
      <c r="J550" s="1" t="s">
        <v>1808</v>
      </c>
      <c r="K550" s="10">
        <v>2</v>
      </c>
      <c r="L550" s="10">
        <v>1</v>
      </c>
      <c r="O550" s="6"/>
      <c r="Q550" s="42" t="s">
        <v>2847</v>
      </c>
      <c r="R550" s="42"/>
      <c r="S550" s="1"/>
    </row>
    <row r="551" spans="1:19" ht="18.75" hidden="1" customHeight="1" x14ac:dyDescent="0.3">
      <c r="A551" s="10">
        <v>550</v>
      </c>
      <c r="B551" s="10">
        <f>_xlfn.XLOOKUP(1,(VALUE(D551)&gt;=VALUE(block!$C$3:$C$500))*(VALUE(D551)&lt;VALUE(block!$C$3:$C$500)+VALUE(block!$D$3:$D$500)),block!$A$3:$A$500,"无匹配",0,1)</f>
        <v>13</v>
      </c>
      <c r="C551" s="3" t="str">
        <f>B551 &amp; "-" &amp; COUNTIF($B$2:B551, B551)</f>
        <v>13-33</v>
      </c>
      <c r="D551" s="10">
        <v>9792</v>
      </c>
      <c r="E551" s="1" t="s">
        <v>2867</v>
      </c>
      <c r="F551" s="1" t="s">
        <v>224</v>
      </c>
      <c r="G551" s="1" t="s">
        <v>1840</v>
      </c>
      <c r="H551" s="1" t="s">
        <v>1812</v>
      </c>
      <c r="I551" s="10" t="str">
        <f>IF(H551="T52",1,IF(H551="T52",3,IF(H551="T68",6,IF(H551="T68",10,IF(H551="T100",14,IF(H551="T100",18,IF(H551="T68",22,"")))))))</f>
        <v/>
      </c>
      <c r="J551" s="1" t="s">
        <v>1808</v>
      </c>
      <c r="K551" s="10">
        <v>2</v>
      </c>
      <c r="L551" s="10">
        <v>1</v>
      </c>
      <c r="O551" s="6"/>
      <c r="Q551" s="42" t="s">
        <v>2847</v>
      </c>
      <c r="R551" s="42"/>
      <c r="S551" s="1"/>
    </row>
    <row r="552" spans="1:19" ht="18.75" hidden="1" customHeight="1" x14ac:dyDescent="0.3">
      <c r="A552" s="10">
        <v>551</v>
      </c>
      <c r="B552" s="10">
        <f>_xlfn.XLOOKUP(1,(VALUE(D552)&gt;=VALUE(block!$C$3:$C$500))*(VALUE(D552)&lt;VALUE(block!$C$3:$C$500)+VALUE(block!$D$3:$D$500)),block!$A$3:$A$500,"无匹配",0,1)</f>
        <v>13</v>
      </c>
      <c r="C552" s="3" t="str">
        <f>B552 &amp; "-" &amp; COUNTIF($B$2:B552, B552)</f>
        <v>13-34</v>
      </c>
      <c r="D552" s="10">
        <v>9794</v>
      </c>
      <c r="E552" s="1" t="s">
        <v>2868</v>
      </c>
      <c r="F552" s="1" t="s">
        <v>228</v>
      </c>
      <c r="G552" s="1" t="s">
        <v>1840</v>
      </c>
      <c r="H552" s="1" t="s">
        <v>1812</v>
      </c>
      <c r="I552" s="10" t="str">
        <f>IF(H552="T53",1,IF(H552="T53",3,IF(H552="T69",6,IF(H552="T69",10,IF(H552="T101",14,IF(H552="T101",18,IF(H552="T69",22,"")))))))</f>
        <v/>
      </c>
      <c r="J552" s="1" t="s">
        <v>1808</v>
      </c>
      <c r="K552" s="10">
        <v>2</v>
      </c>
      <c r="L552" s="10">
        <v>1</v>
      </c>
      <c r="O552" s="6"/>
      <c r="Q552" s="42" t="s">
        <v>2847</v>
      </c>
      <c r="R552" s="42"/>
      <c r="S552" s="1"/>
    </row>
    <row r="553" spans="1:19" ht="18.75" hidden="1" customHeight="1" x14ac:dyDescent="0.3">
      <c r="A553" s="10">
        <v>552</v>
      </c>
      <c r="B553" s="10">
        <f>_xlfn.XLOOKUP(1,(VALUE(D553)&gt;=VALUE(block!$C$3:$C$500))*(VALUE(D553)&lt;VALUE(block!$C$3:$C$500)+VALUE(block!$D$3:$D$500)),block!$A$3:$A$500,"无匹配",0,1)</f>
        <v>13</v>
      </c>
      <c r="C553" s="3" t="str">
        <f>B553 &amp; "-" &amp; COUNTIF($B$2:B553, B553)</f>
        <v>13-35</v>
      </c>
      <c r="D553" s="10">
        <v>9796</v>
      </c>
      <c r="E553" s="1" t="s">
        <v>2869</v>
      </c>
      <c r="F553" s="1" t="s">
        <v>232</v>
      </c>
      <c r="G553" s="1" t="s">
        <v>1840</v>
      </c>
      <c r="H553" s="1" t="s">
        <v>1812</v>
      </c>
      <c r="I553" s="10" t="str">
        <f>IF(H553="T54",1,IF(H553="T54",3,IF(H553="T70",6,IF(H553="T70",10,IF(H553="T102",14,IF(H553="T102",18,IF(H553="T70",22,"")))))))</f>
        <v/>
      </c>
      <c r="J553" s="1" t="s">
        <v>1808</v>
      </c>
      <c r="K553" s="10">
        <v>2</v>
      </c>
      <c r="L553" s="10">
        <v>1</v>
      </c>
      <c r="O553" s="6"/>
      <c r="Q553" s="42" t="s">
        <v>2847</v>
      </c>
      <c r="R553" s="42"/>
      <c r="S553" s="1"/>
    </row>
    <row r="554" spans="1:19" ht="18.75" hidden="1" customHeight="1" x14ac:dyDescent="0.3">
      <c r="A554" s="10">
        <v>553</v>
      </c>
      <c r="B554" s="10">
        <f>_xlfn.XLOOKUP(1,(VALUE(D554)&gt;=VALUE(block!$C$3:$C$500))*(VALUE(D554)&lt;VALUE(block!$C$3:$C$500)+VALUE(block!$D$3:$D$500)),block!$A$3:$A$500,"无匹配",0,1)</f>
        <v>13</v>
      </c>
      <c r="C554" s="3" t="str">
        <f>B554 &amp; "-" &amp; COUNTIF($B$2:B554, B554)</f>
        <v>13-36</v>
      </c>
      <c r="D554" s="10">
        <v>9798</v>
      </c>
      <c r="E554" s="1" t="s">
        <v>2870</v>
      </c>
      <c r="F554" s="1" t="s">
        <v>236</v>
      </c>
      <c r="G554" s="1" t="s">
        <v>1840</v>
      </c>
      <c r="H554" s="1" t="s">
        <v>1812</v>
      </c>
      <c r="I554" s="10" t="str">
        <f>IF(H554="T55",1,IF(H554="T55",3,IF(H554="T71",6,IF(H554="T71",10,IF(H554="T103",14,IF(H554="T103",18,IF(H554="T71",22,"")))))))</f>
        <v/>
      </c>
      <c r="J554" s="1" t="s">
        <v>1808</v>
      </c>
      <c r="K554" s="10">
        <v>2</v>
      </c>
      <c r="L554" s="10">
        <v>1</v>
      </c>
      <c r="O554" s="6"/>
      <c r="Q554" s="42" t="s">
        <v>2847</v>
      </c>
      <c r="R554" s="42"/>
      <c r="S554" s="1"/>
    </row>
    <row r="555" spans="1:19" ht="18.75" hidden="1" customHeight="1" x14ac:dyDescent="0.3">
      <c r="A555" s="10">
        <v>554</v>
      </c>
      <c r="B555" s="10">
        <f>_xlfn.XLOOKUP(1,(VALUE(D555)&gt;=VALUE(block!$C$3:$C$500))*(VALUE(D555)&lt;VALUE(block!$C$3:$C$500)+VALUE(block!$D$3:$D$500)),block!$A$3:$A$500,"无匹配",0,1)</f>
        <v>13</v>
      </c>
      <c r="C555" s="3" t="str">
        <f>B555 &amp; "-" &amp; COUNTIF($B$2:B555, B555)</f>
        <v>13-37</v>
      </c>
      <c r="D555" s="10">
        <v>9800</v>
      </c>
      <c r="E555" s="1" t="s">
        <v>2871</v>
      </c>
      <c r="F555" s="1" t="s">
        <v>240</v>
      </c>
      <c r="G555" s="1" t="s">
        <v>1840</v>
      </c>
      <c r="H555" s="1" t="s">
        <v>1812</v>
      </c>
      <c r="I555" s="10" t="str">
        <f>IF(H555="T56",1,IF(H555="T56",3,IF(H555="T72",6,IF(H555="T72",10,IF(H555="T104",14,IF(H555="T104",18,IF(H555="T72",22,"")))))))</f>
        <v/>
      </c>
      <c r="J555" s="1" t="s">
        <v>1808</v>
      </c>
      <c r="K555" s="10">
        <v>2</v>
      </c>
      <c r="L555" s="10">
        <v>1</v>
      </c>
      <c r="O555" s="6"/>
      <c r="Q555" s="42" t="s">
        <v>2847</v>
      </c>
      <c r="R555" s="42"/>
      <c r="S555" s="1"/>
    </row>
    <row r="556" spans="1:19" ht="18.75" hidden="1" customHeight="1" x14ac:dyDescent="0.3">
      <c r="A556" s="10">
        <v>555</v>
      </c>
      <c r="B556" s="10">
        <f>_xlfn.XLOOKUP(1,(VALUE(D556)&gt;=VALUE(block!$C$3:$C$500))*(VALUE(D556)&lt;VALUE(block!$C$3:$C$500)+VALUE(block!$D$3:$D$500)),block!$A$3:$A$500,"无匹配",0,1)</f>
        <v>13</v>
      </c>
      <c r="C556" s="3" t="str">
        <f>B556 &amp; "-" &amp; COUNTIF($B$2:B556, B556)</f>
        <v>13-38</v>
      </c>
      <c r="D556" s="10">
        <v>9802</v>
      </c>
      <c r="E556" s="1" t="s">
        <v>2872</v>
      </c>
      <c r="F556" s="1" t="s">
        <v>244</v>
      </c>
      <c r="G556" s="1" t="s">
        <v>1840</v>
      </c>
      <c r="H556" s="1" t="s">
        <v>1812</v>
      </c>
      <c r="I556" s="10" t="str">
        <f>IF(H556="T57",1,IF(H556="T57",3,IF(H556="T73",6,IF(H556="T73",10,IF(H556="T105",14,IF(H556="T105",18,IF(H556="T73",22,"")))))))</f>
        <v/>
      </c>
      <c r="J556" s="1" t="s">
        <v>1808</v>
      </c>
      <c r="K556" s="10">
        <v>2</v>
      </c>
      <c r="L556" s="10">
        <v>1</v>
      </c>
      <c r="O556" s="6"/>
      <c r="Q556" s="42" t="s">
        <v>2847</v>
      </c>
      <c r="R556" s="42"/>
      <c r="S556" s="1"/>
    </row>
    <row r="557" spans="1:19" ht="18.75" hidden="1" customHeight="1" x14ac:dyDescent="0.3">
      <c r="A557" s="10">
        <v>556</v>
      </c>
      <c r="B557" s="10">
        <f>_xlfn.XLOOKUP(1,(VALUE(D557)&gt;=VALUE(block!$C$3:$C$500))*(VALUE(D557)&lt;VALUE(block!$C$3:$C$500)+VALUE(block!$D$3:$D$500)),block!$A$3:$A$500,"无匹配",0,1)</f>
        <v>13</v>
      </c>
      <c r="C557" s="3" t="str">
        <f>B557 &amp; "-" &amp; COUNTIF($B$2:B557, B557)</f>
        <v>13-39</v>
      </c>
      <c r="D557" s="10">
        <v>9804</v>
      </c>
      <c r="E557" s="1" t="s">
        <v>2873</v>
      </c>
      <c r="F557" s="1" t="s">
        <v>248</v>
      </c>
      <c r="G557" s="1" t="s">
        <v>1840</v>
      </c>
      <c r="H557" s="1" t="s">
        <v>1812</v>
      </c>
      <c r="I557" s="10" t="str">
        <f>IF(H557="T58",1,IF(H557="T58",3,IF(H557="T74",6,IF(H557="T74",10,IF(H557="T106",14,IF(H557="T106",18,IF(H557="T74",22,"")))))))</f>
        <v/>
      </c>
      <c r="J557" s="1" t="s">
        <v>1808</v>
      </c>
      <c r="K557" s="10">
        <v>2</v>
      </c>
      <c r="L557" s="10">
        <v>1</v>
      </c>
      <c r="O557" s="6"/>
      <c r="Q557" s="42" t="s">
        <v>2847</v>
      </c>
      <c r="R557" s="42"/>
      <c r="S557" s="1"/>
    </row>
    <row r="558" spans="1:19" ht="18.75" hidden="1" customHeight="1" x14ac:dyDescent="0.3">
      <c r="A558" s="10">
        <v>557</v>
      </c>
      <c r="B558" s="10">
        <f>_xlfn.XLOOKUP(1,(VALUE(D558)&gt;=VALUE(block!$C$3:$C$500))*(VALUE(D558)&lt;VALUE(block!$C$3:$C$500)+VALUE(block!$D$3:$D$500)),block!$A$3:$A$500,"无匹配",0,1)</f>
        <v>13</v>
      </c>
      <c r="C558" s="3" t="str">
        <f>B558 &amp; "-" &amp; COUNTIF($B$2:B558, B558)</f>
        <v>13-40</v>
      </c>
      <c r="D558" s="10">
        <v>9806</v>
      </c>
      <c r="E558" s="1" t="s">
        <v>2874</v>
      </c>
      <c r="F558" s="1" t="s">
        <v>252</v>
      </c>
      <c r="G558" s="1" t="s">
        <v>1840</v>
      </c>
      <c r="H558" s="1" t="s">
        <v>1812</v>
      </c>
      <c r="I558" s="10" t="str">
        <f>IF(H558="T59",1,IF(H558="T59",3,IF(H558="T75",6,IF(H558="T75",10,IF(H558="T107",14,IF(H558="T107",18,IF(H558="T75",22,"")))))))</f>
        <v/>
      </c>
      <c r="J558" s="1" t="s">
        <v>1808</v>
      </c>
      <c r="K558" s="10">
        <v>2</v>
      </c>
      <c r="L558" s="10">
        <v>1</v>
      </c>
      <c r="O558" s="6"/>
      <c r="Q558" s="42" t="s">
        <v>2847</v>
      </c>
      <c r="R558" s="42"/>
      <c r="S558" s="1"/>
    </row>
    <row r="559" spans="1:19" ht="18.75" hidden="1" customHeight="1" x14ac:dyDescent="0.3">
      <c r="A559" s="10">
        <v>558</v>
      </c>
      <c r="B559" s="10">
        <f>_xlfn.XLOOKUP(1,(VALUE(D559)&gt;=VALUE(block!$C$3:$C$500))*(VALUE(D559)&lt;VALUE(block!$C$3:$C$500)+VALUE(block!$D$3:$D$500)),block!$A$3:$A$500,"无匹配",0,1)</f>
        <v>13</v>
      </c>
      <c r="C559" s="3" t="str">
        <f>B559 &amp; "-" &amp; COUNTIF($B$2:B559, B559)</f>
        <v>13-41</v>
      </c>
      <c r="D559" s="10">
        <v>9808</v>
      </c>
      <c r="E559" s="1" t="s">
        <v>2875</v>
      </c>
      <c r="F559" s="1" t="s">
        <v>256</v>
      </c>
      <c r="G559" s="1" t="s">
        <v>1840</v>
      </c>
      <c r="H559" s="1" t="s">
        <v>1812</v>
      </c>
      <c r="I559" s="10" t="str">
        <f>IF(H559="T60",1,IF(H559="T60",3,IF(H559="T76",6,IF(H559="T76",10,IF(H559="T108",14,IF(H559="T108",18,IF(H559="T76",22,"")))))))</f>
        <v/>
      </c>
      <c r="J559" s="1" t="s">
        <v>1808</v>
      </c>
      <c r="K559" s="10">
        <v>2</v>
      </c>
      <c r="L559" s="10">
        <v>1</v>
      </c>
      <c r="O559" s="6"/>
      <c r="Q559" s="42" t="s">
        <v>2847</v>
      </c>
      <c r="R559" s="42"/>
      <c r="S559" s="1"/>
    </row>
    <row r="560" spans="1:19" ht="18.75" hidden="1" customHeight="1" x14ac:dyDescent="0.3">
      <c r="A560" s="10">
        <v>559</v>
      </c>
      <c r="B560" s="10">
        <f>_xlfn.XLOOKUP(1,(VALUE(D560)&gt;=VALUE(block!$C$3:$C$500))*(VALUE(D560)&lt;VALUE(block!$C$3:$C$500)+VALUE(block!$D$3:$D$500)),block!$A$3:$A$500,"无匹配",0,1)</f>
        <v>13</v>
      </c>
      <c r="C560" s="3" t="str">
        <f>B560 &amp; "-" &amp; COUNTIF($B$2:B560, B560)</f>
        <v>13-42</v>
      </c>
      <c r="D560" s="10">
        <v>9810</v>
      </c>
      <c r="E560" s="1" t="s">
        <v>2876</v>
      </c>
      <c r="F560" s="1" t="s">
        <v>260</v>
      </c>
      <c r="G560" s="1" t="s">
        <v>1840</v>
      </c>
      <c r="H560" s="1" t="s">
        <v>1812</v>
      </c>
      <c r="I560" s="10" t="str">
        <f>IF(H560="T61",1,IF(H560="T61",3,IF(H560="T77",6,IF(H560="T77",10,IF(H560="T109",14,IF(H560="T109",18,IF(H560="T77",22,"")))))))</f>
        <v/>
      </c>
      <c r="J560" s="1" t="s">
        <v>1808</v>
      </c>
      <c r="K560" s="10">
        <v>2</v>
      </c>
      <c r="L560" s="10">
        <v>1</v>
      </c>
      <c r="O560" s="6"/>
      <c r="Q560" s="42" t="s">
        <v>2847</v>
      </c>
      <c r="R560" s="42"/>
      <c r="S560" s="1"/>
    </row>
    <row r="561" spans="1:19" ht="18.75" customHeight="1" x14ac:dyDescent="0.3">
      <c r="A561" s="10">
        <v>560</v>
      </c>
      <c r="B561" s="10">
        <f>_xlfn.XLOOKUP(1,(VALUE(D561)&gt;=VALUE(block!$C$3:$C$500))*(VALUE(D561)&lt;VALUE(block!$C$3:$C$500)+VALUE(block!$D$3:$D$500)),block!$A$3:$A$500,"无匹配",0,1)</f>
        <v>14</v>
      </c>
      <c r="C561" s="3" t="str">
        <f>B561 &amp; "-" &amp; COUNTIF($B$2:B561, B561)</f>
        <v>14-1</v>
      </c>
      <c r="D561" s="10">
        <v>9812</v>
      </c>
      <c r="E561" s="1" t="s">
        <v>2877</v>
      </c>
      <c r="F561" s="1" t="s">
        <v>177</v>
      </c>
      <c r="G561" s="1" t="s">
        <v>1840</v>
      </c>
      <c r="H561" s="1" t="s">
        <v>1812</v>
      </c>
      <c r="I561" s="10" t="str">
        <f>IF(H561="T62",1,IF(H561="T62",3,IF(H561="T78",6,IF(H561="T78",10,IF(H561="T110",14,IF(H561="T110",18,IF(H561="T78",22,"")))))))</f>
        <v/>
      </c>
      <c r="J561" s="1" t="s">
        <v>1808</v>
      </c>
      <c r="K561" s="10">
        <v>2</v>
      </c>
      <c r="L561" s="10">
        <v>1</v>
      </c>
      <c r="N561" s="10">
        <v>4</v>
      </c>
      <c r="O561" s="6"/>
      <c r="P561" s="45" t="s">
        <v>2826</v>
      </c>
      <c r="Q561" s="6">
        <v>13</v>
      </c>
      <c r="R561" s="6"/>
      <c r="S561" s="1" t="s">
        <v>177</v>
      </c>
    </row>
    <row r="562" spans="1:19" ht="18.75" customHeight="1" x14ac:dyDescent="0.3">
      <c r="A562" s="10">
        <v>561</v>
      </c>
      <c r="B562" s="10">
        <f>_xlfn.XLOOKUP(1,(VALUE(D562)&gt;=VALUE(block!$C$3:$C$500))*(VALUE(D562)&lt;VALUE(block!$C$3:$C$500)+VALUE(block!$D$3:$D$500)),block!$A$3:$A$500,"无匹配",0,1)</f>
        <v>14</v>
      </c>
      <c r="C562" s="3" t="str">
        <f>B562 &amp; "-" &amp; COUNTIF($B$2:B562, B562)</f>
        <v>14-2</v>
      </c>
      <c r="D562" s="10">
        <v>9814</v>
      </c>
      <c r="E562" s="1" t="s">
        <v>2878</v>
      </c>
      <c r="F562" s="1" t="s">
        <v>182</v>
      </c>
      <c r="G562" s="1" t="s">
        <v>1840</v>
      </c>
      <c r="H562" s="1" t="s">
        <v>1812</v>
      </c>
      <c r="I562" s="10" t="str">
        <f>IF(H562="T63",1,IF(H562="T63",3,IF(H562="T79",6,IF(H562="T79",10,IF(H562="T111",14,IF(H562="T111",18,IF(H562="T79",22,"")))))))</f>
        <v/>
      </c>
      <c r="J562" s="1" t="s">
        <v>1808</v>
      </c>
      <c r="K562" s="10">
        <v>2</v>
      </c>
      <c r="L562" s="10">
        <v>1</v>
      </c>
      <c r="N562" s="10">
        <v>4</v>
      </c>
      <c r="O562" s="6"/>
      <c r="P562" s="45" t="s">
        <v>2826</v>
      </c>
      <c r="Q562" s="6">
        <v>13</v>
      </c>
      <c r="R562" s="6"/>
      <c r="S562" s="1" t="s">
        <v>182</v>
      </c>
    </row>
    <row r="563" spans="1:19" ht="18.75" customHeight="1" x14ac:dyDescent="0.3">
      <c r="A563" s="10">
        <v>562</v>
      </c>
      <c r="B563" s="10">
        <f>_xlfn.XLOOKUP(1,(VALUE(D563)&gt;=VALUE(block!$C$3:$C$500))*(VALUE(D563)&lt;VALUE(block!$C$3:$C$500)+VALUE(block!$D$3:$D$500)),block!$A$3:$A$500,"无匹配",0,1)</f>
        <v>14</v>
      </c>
      <c r="C563" s="3" t="str">
        <f>B563 &amp; "-" &amp; COUNTIF($B$2:B563, B563)</f>
        <v>14-3</v>
      </c>
      <c r="D563" s="10">
        <v>9816</v>
      </c>
      <c r="E563" s="1" t="s">
        <v>2879</v>
      </c>
      <c r="F563" s="1" t="s">
        <v>187</v>
      </c>
      <c r="G563" s="1" t="s">
        <v>1840</v>
      </c>
      <c r="H563" s="1" t="s">
        <v>1812</v>
      </c>
      <c r="I563" s="10" t="str">
        <f>IF(H563="T64",1,IF(H563="T64",3,IF(H563="T80",6,IF(H563="T80",10,IF(H563="T112",14,IF(H563="T112",18,IF(H563="T80",22,"")))))))</f>
        <v/>
      </c>
      <c r="J563" s="1" t="s">
        <v>1808</v>
      </c>
      <c r="K563" s="10">
        <v>2</v>
      </c>
      <c r="L563" s="10">
        <v>1</v>
      </c>
      <c r="N563" s="10">
        <v>4</v>
      </c>
      <c r="O563" s="6"/>
      <c r="P563" s="45" t="s">
        <v>2826</v>
      </c>
      <c r="Q563" s="6">
        <v>13</v>
      </c>
      <c r="R563" s="6"/>
      <c r="S563" s="1" t="s">
        <v>187</v>
      </c>
    </row>
    <row r="564" spans="1:19" ht="18.75" customHeight="1" x14ac:dyDescent="0.3">
      <c r="A564" s="10">
        <v>563</v>
      </c>
      <c r="B564" s="10">
        <f>_xlfn.XLOOKUP(1,(VALUE(D564)&gt;=VALUE(block!$C$3:$C$500))*(VALUE(D564)&lt;VALUE(block!$C$3:$C$500)+VALUE(block!$D$3:$D$500)),block!$A$3:$A$500,"无匹配",0,1)</f>
        <v>14</v>
      </c>
      <c r="C564" s="3" t="str">
        <f>B564 &amp; "-" &amp; COUNTIF($B$2:B564, B564)</f>
        <v>14-4</v>
      </c>
      <c r="D564" s="10">
        <v>9818</v>
      </c>
      <c r="E564" s="1" t="s">
        <v>2880</v>
      </c>
      <c r="F564" s="1" t="s">
        <v>192</v>
      </c>
      <c r="G564" s="1" t="s">
        <v>1840</v>
      </c>
      <c r="H564" s="1" t="s">
        <v>1812</v>
      </c>
      <c r="I564" s="10" t="str">
        <f>IF(H564="T65",1,IF(H564="T65",3,IF(H564="T81",6,IF(H564="T81",10,IF(H564="T113",14,IF(H564="T113",18,IF(H564="T81",22,"")))))))</f>
        <v/>
      </c>
      <c r="J564" s="1" t="s">
        <v>1808</v>
      </c>
      <c r="K564" s="10">
        <v>2</v>
      </c>
      <c r="L564" s="10">
        <v>1</v>
      </c>
      <c r="N564" s="10">
        <v>4</v>
      </c>
      <c r="O564" s="6"/>
      <c r="P564" s="45" t="s">
        <v>2826</v>
      </c>
      <c r="Q564" s="6">
        <v>13</v>
      </c>
      <c r="R564" s="6"/>
      <c r="S564" s="1" t="s">
        <v>192</v>
      </c>
    </row>
    <row r="565" spans="1:19" ht="18.75" customHeight="1" x14ac:dyDescent="0.3">
      <c r="A565" s="10">
        <v>564</v>
      </c>
      <c r="B565" s="10">
        <f>_xlfn.XLOOKUP(1,(VALUE(D565)&gt;=VALUE(block!$C$3:$C$500))*(VALUE(D565)&lt;VALUE(block!$C$3:$C$500)+VALUE(block!$D$3:$D$500)),block!$A$3:$A$500,"无匹配",0,1)</f>
        <v>14</v>
      </c>
      <c r="C565" s="3" t="str">
        <f>B565 &amp; "-" &amp; COUNTIF($B$2:B565, B565)</f>
        <v>14-5</v>
      </c>
      <c r="D565" s="10">
        <v>9820</v>
      </c>
      <c r="E565" s="1" t="s">
        <v>2881</v>
      </c>
      <c r="F565" s="1" t="s">
        <v>2882</v>
      </c>
      <c r="G565" s="1" t="s">
        <v>1840</v>
      </c>
      <c r="H565" s="1" t="s">
        <v>1812</v>
      </c>
      <c r="I565" s="10" t="str">
        <f>IF(H565="T66",1,IF(H565="T66",3,IF(H565="T82",6,IF(H565="T82",10,IF(H565="T114",14,IF(H565="T114",18,IF(H565="T82",22,"")))))))</f>
        <v/>
      </c>
      <c r="J565" s="1" t="s">
        <v>1808</v>
      </c>
      <c r="K565" s="10">
        <v>2</v>
      </c>
      <c r="L565" s="10">
        <v>1</v>
      </c>
      <c r="N565" s="10">
        <v>4</v>
      </c>
      <c r="O565" s="6"/>
      <c r="P565" s="45" t="s">
        <v>2826</v>
      </c>
      <c r="Q565" s="6">
        <v>13</v>
      </c>
      <c r="R565" s="6"/>
      <c r="S565" s="1" t="s">
        <v>2882</v>
      </c>
    </row>
    <row r="566" spans="1:19" ht="18.75" hidden="1" customHeight="1" x14ac:dyDescent="0.3">
      <c r="A566" s="10">
        <v>565</v>
      </c>
      <c r="B566" s="10">
        <f>_xlfn.XLOOKUP(1,(VALUE(D566)&gt;=VALUE(block!$C$3:$C$500))*(VALUE(D566)&lt;VALUE(block!$C$3:$C$500)+VALUE(block!$D$3:$D$500)),block!$A$3:$A$500,"无匹配",0,1)</f>
        <v>14</v>
      </c>
      <c r="C566" s="3" t="str">
        <f>B566 &amp; "-" &amp; COUNTIF($B$2:B566, B566)</f>
        <v>14-6</v>
      </c>
      <c r="D566" s="10">
        <v>9822</v>
      </c>
      <c r="E566" s="1" t="s">
        <v>2883</v>
      </c>
      <c r="F566" s="1" t="s">
        <v>532</v>
      </c>
      <c r="G566" s="1" t="s">
        <v>1840</v>
      </c>
      <c r="H566" s="1" t="s">
        <v>1812</v>
      </c>
      <c r="I566" s="10" t="str">
        <f>IF(H566="T67",1,IF(H566="T67",3,IF(H566="T83",6,IF(H566="T83",10,IF(H566="T115",14,IF(H566="T115",18,IF(H566="T83",22,"")))))))</f>
        <v/>
      </c>
      <c r="J566" s="1" t="s">
        <v>1808</v>
      </c>
      <c r="K566" s="10">
        <v>2</v>
      </c>
      <c r="L566" s="10">
        <v>1</v>
      </c>
      <c r="O566" s="6"/>
      <c r="Q566" s="42" t="s">
        <v>2847</v>
      </c>
      <c r="R566" s="42"/>
      <c r="S566" s="1"/>
    </row>
    <row r="567" spans="1:19" ht="18.75" hidden="1" customHeight="1" x14ac:dyDescent="0.3">
      <c r="A567" s="10">
        <v>566</v>
      </c>
      <c r="B567" s="10">
        <f>_xlfn.XLOOKUP(1,(VALUE(D567)&gt;=VALUE(block!$C$3:$C$500))*(VALUE(D567)&lt;VALUE(block!$C$3:$C$500)+VALUE(block!$D$3:$D$500)),block!$A$3:$A$500,"无匹配",0,1)</f>
        <v>14</v>
      </c>
      <c r="C567" s="3" t="str">
        <f>B567 &amp; "-" &amp; COUNTIF($B$2:B567, B567)</f>
        <v>14-7</v>
      </c>
      <c r="D567" s="10">
        <v>9824</v>
      </c>
      <c r="E567" s="1" t="s">
        <v>2884</v>
      </c>
      <c r="F567" s="1" t="s">
        <v>533</v>
      </c>
      <c r="G567" s="1" t="s">
        <v>1840</v>
      </c>
      <c r="H567" s="1" t="s">
        <v>1812</v>
      </c>
      <c r="I567" s="10" t="str">
        <f>IF(H567="T68",1,IF(H567="T68",3,IF(H567="T84",6,IF(H567="T84",10,IF(H567="T116",14,IF(H567="T116",18,IF(H567="T84",22,"")))))))</f>
        <v/>
      </c>
      <c r="J567" s="1" t="s">
        <v>1808</v>
      </c>
      <c r="K567" s="10">
        <v>2</v>
      </c>
      <c r="L567" s="10">
        <v>1</v>
      </c>
      <c r="O567" s="6"/>
      <c r="Q567" s="42" t="s">
        <v>2847</v>
      </c>
      <c r="R567" s="42"/>
      <c r="S567" s="1"/>
    </row>
    <row r="568" spans="1:19" ht="18.75" hidden="1" customHeight="1" x14ac:dyDescent="0.3">
      <c r="A568" s="10">
        <v>567</v>
      </c>
      <c r="B568" s="10">
        <f>_xlfn.XLOOKUP(1,(VALUE(D568)&gt;=VALUE(block!$C$3:$C$500))*(VALUE(D568)&lt;VALUE(block!$C$3:$C$500)+VALUE(block!$D$3:$D$500)),block!$A$3:$A$500,"无匹配",0,1)</f>
        <v>14</v>
      </c>
      <c r="C568" s="3" t="str">
        <f>B568 &amp; "-" &amp; COUNTIF($B$2:B568, B568)</f>
        <v>14-8</v>
      </c>
      <c r="D568" s="10">
        <v>9826</v>
      </c>
      <c r="E568" s="1" t="s">
        <v>2885</v>
      </c>
      <c r="F568" s="1" t="s">
        <v>534</v>
      </c>
      <c r="G568" s="1" t="s">
        <v>1840</v>
      </c>
      <c r="H568" s="1" t="s">
        <v>1812</v>
      </c>
      <c r="I568" s="10" t="str">
        <f>IF(H568="T69",1,IF(H568="T69",3,IF(H568="T85",6,IF(H568="T85",10,IF(H568="T117",14,IF(H568="T117",18,IF(H568="T85",22,"")))))))</f>
        <v/>
      </c>
      <c r="J568" s="1" t="s">
        <v>1808</v>
      </c>
      <c r="K568" s="10">
        <v>2</v>
      </c>
      <c r="L568" s="10">
        <v>1</v>
      </c>
      <c r="O568" s="6"/>
      <c r="Q568" s="42" t="s">
        <v>2847</v>
      </c>
      <c r="R568" s="42"/>
      <c r="S568" s="1"/>
    </row>
    <row r="569" spans="1:19" ht="18.75" hidden="1" customHeight="1" x14ac:dyDescent="0.3">
      <c r="A569" s="10">
        <v>568</v>
      </c>
      <c r="B569" s="10">
        <f>_xlfn.XLOOKUP(1,(VALUE(D569)&gt;=VALUE(block!$C$3:$C$500))*(VALUE(D569)&lt;VALUE(block!$C$3:$C$500)+VALUE(block!$D$3:$D$500)),block!$A$3:$A$500,"无匹配",0,1)</f>
        <v>14</v>
      </c>
      <c r="C569" s="3" t="str">
        <f>B569 &amp; "-" &amp; COUNTIF($B$2:B569, B569)</f>
        <v>14-9</v>
      </c>
      <c r="D569" s="10">
        <v>9828</v>
      </c>
      <c r="E569" s="1" t="s">
        <v>2886</v>
      </c>
      <c r="F569" s="1" t="s">
        <v>535</v>
      </c>
      <c r="G569" s="1" t="s">
        <v>1840</v>
      </c>
      <c r="H569" s="1" t="s">
        <v>1812</v>
      </c>
      <c r="I569" s="10" t="str">
        <f>IF(H569="T70",1,IF(H569="T70",3,IF(H569="T86",6,IF(H569="T86",10,IF(H569="T118",14,IF(H569="T118",18,IF(H569="T86",22,"")))))))</f>
        <v/>
      </c>
      <c r="J569" s="1" t="s">
        <v>1808</v>
      </c>
      <c r="K569" s="10">
        <v>2</v>
      </c>
      <c r="L569" s="10">
        <v>1</v>
      </c>
      <c r="O569" s="6"/>
      <c r="Q569" s="42" t="s">
        <v>2847</v>
      </c>
      <c r="R569" s="42"/>
      <c r="S569" s="1"/>
    </row>
    <row r="570" spans="1:19" ht="18.75" hidden="1" customHeight="1" x14ac:dyDescent="0.3">
      <c r="A570" s="10">
        <v>569</v>
      </c>
      <c r="B570" s="10">
        <f>_xlfn.XLOOKUP(1,(VALUE(D570)&gt;=VALUE(block!$C$3:$C$500))*(VALUE(D570)&lt;VALUE(block!$C$3:$C$500)+VALUE(block!$D$3:$D$500)),block!$A$3:$A$500,"无匹配",0,1)</f>
        <v>14</v>
      </c>
      <c r="C570" s="3" t="str">
        <f>B570 &amp; "-" &amp; COUNTIF($B$2:B570, B570)</f>
        <v>14-10</v>
      </c>
      <c r="D570" s="10">
        <v>9830</v>
      </c>
      <c r="E570" s="1" t="s">
        <v>2887</v>
      </c>
      <c r="F570" s="1" t="s">
        <v>536</v>
      </c>
      <c r="G570" s="1" t="s">
        <v>1840</v>
      </c>
      <c r="H570" s="1" t="s">
        <v>1812</v>
      </c>
      <c r="I570" s="10" t="str">
        <f>IF(H570="T71",1,IF(H570="T71",3,IF(H570="T87",6,IF(H570="T87",10,IF(H570="T119",14,IF(H570="T119",18,IF(H570="T87",22,"")))))))</f>
        <v/>
      </c>
      <c r="J570" s="1" t="s">
        <v>1808</v>
      </c>
      <c r="K570" s="10">
        <v>2</v>
      </c>
      <c r="L570" s="10">
        <v>1</v>
      </c>
      <c r="O570" s="6"/>
      <c r="Q570" s="42" t="s">
        <v>2847</v>
      </c>
      <c r="R570" s="42"/>
      <c r="S570" s="1"/>
    </row>
    <row r="571" spans="1:19" ht="18.75" hidden="1" customHeight="1" x14ac:dyDescent="0.3">
      <c r="A571" s="10">
        <v>570</v>
      </c>
      <c r="B571" s="10">
        <f>_xlfn.XLOOKUP(1,(VALUE(D571)&gt;=VALUE(block!$C$3:$C$500))*(VALUE(D571)&lt;VALUE(block!$C$3:$C$500)+VALUE(block!$D$3:$D$500)),block!$A$3:$A$500,"无匹配",0,1)</f>
        <v>14</v>
      </c>
      <c r="C571" s="3" t="str">
        <f>B571 &amp; "-" &amp; COUNTIF($B$2:B571, B571)</f>
        <v>14-11</v>
      </c>
      <c r="D571" s="10">
        <v>9832</v>
      </c>
      <c r="E571" s="1" t="s">
        <v>2888</v>
      </c>
      <c r="F571" s="1" t="s">
        <v>537</v>
      </c>
      <c r="G571" s="1" t="s">
        <v>1840</v>
      </c>
      <c r="H571" s="1" t="s">
        <v>1812</v>
      </c>
      <c r="I571" s="10" t="str">
        <f>IF(H571="T72",1,IF(H571="T72",3,IF(H571="T88",6,IF(H571="T88",10,IF(H571="T120",14,IF(H571="T120",18,IF(H571="T88",22,"")))))))</f>
        <v/>
      </c>
      <c r="J571" s="1" t="s">
        <v>1808</v>
      </c>
      <c r="K571" s="10">
        <v>2</v>
      </c>
      <c r="L571" s="10">
        <v>1</v>
      </c>
      <c r="O571" s="6"/>
      <c r="Q571" s="42" t="s">
        <v>2847</v>
      </c>
      <c r="R571" s="42"/>
      <c r="S571" s="1"/>
    </row>
    <row r="572" spans="1:19" ht="18.75" hidden="1" customHeight="1" x14ac:dyDescent="0.3">
      <c r="A572" s="10">
        <v>571</v>
      </c>
      <c r="B572" s="10">
        <f>_xlfn.XLOOKUP(1,(VALUE(D572)&gt;=VALUE(block!$C$3:$C$500))*(VALUE(D572)&lt;VALUE(block!$C$3:$C$500)+VALUE(block!$D$3:$D$500)),block!$A$3:$A$500,"无匹配",0,1)</f>
        <v>14</v>
      </c>
      <c r="C572" s="3" t="str">
        <f>B572 &amp; "-" &amp; COUNTIF($B$2:B572, B572)</f>
        <v>14-12</v>
      </c>
      <c r="D572" s="10">
        <v>9834</v>
      </c>
      <c r="E572" s="1" t="s">
        <v>2889</v>
      </c>
      <c r="F572" s="1" t="s">
        <v>538</v>
      </c>
      <c r="G572" s="1" t="s">
        <v>1840</v>
      </c>
      <c r="H572" s="1" t="s">
        <v>1812</v>
      </c>
      <c r="I572" s="10" t="str">
        <f>IF(H572="T73",1,IF(H572="T73",3,IF(H572="T89",6,IF(H572="T89",10,IF(H572="T121",14,IF(H572="T121",18,IF(H572="T89",22,"")))))))</f>
        <v/>
      </c>
      <c r="J572" s="1" t="s">
        <v>1808</v>
      </c>
      <c r="K572" s="10">
        <v>2</v>
      </c>
      <c r="L572" s="10">
        <v>1</v>
      </c>
      <c r="O572" s="6"/>
      <c r="Q572" s="42" t="s">
        <v>2847</v>
      </c>
      <c r="R572" s="42"/>
      <c r="S572" s="1"/>
    </row>
    <row r="573" spans="1:19" ht="18.75" hidden="1" customHeight="1" x14ac:dyDescent="0.3">
      <c r="A573" s="10">
        <v>572</v>
      </c>
      <c r="B573" s="10">
        <f>_xlfn.XLOOKUP(1,(VALUE(D573)&gt;=VALUE(block!$C$3:$C$500))*(VALUE(D573)&lt;VALUE(block!$C$3:$C$500)+VALUE(block!$D$3:$D$500)),block!$A$3:$A$500,"无匹配",0,1)</f>
        <v>14</v>
      </c>
      <c r="C573" s="3" t="str">
        <f>B573 &amp; "-" &amp; COUNTIF($B$2:B573, B573)</f>
        <v>14-13</v>
      </c>
      <c r="D573" s="10">
        <v>9836</v>
      </c>
      <c r="E573" s="1" t="s">
        <v>2890</v>
      </c>
      <c r="F573" s="1" t="s">
        <v>539</v>
      </c>
      <c r="G573" s="1" t="s">
        <v>1840</v>
      </c>
      <c r="H573" s="1" t="s">
        <v>1812</v>
      </c>
      <c r="I573" s="10" t="str">
        <f>IF(H573="T74",1,IF(H573="T74",3,IF(H573="T90",6,IF(H573="T90",10,IF(H573="T122",14,IF(H573="T122",18,IF(H573="T90",22,"")))))))</f>
        <v/>
      </c>
      <c r="J573" s="1" t="s">
        <v>1808</v>
      </c>
      <c r="K573" s="10">
        <v>2</v>
      </c>
      <c r="L573" s="10">
        <v>1</v>
      </c>
      <c r="O573" s="6"/>
      <c r="Q573" s="42" t="s">
        <v>2847</v>
      </c>
      <c r="R573" s="42"/>
      <c r="S573" s="1"/>
    </row>
    <row r="574" spans="1:19" ht="18.75" hidden="1" customHeight="1" x14ac:dyDescent="0.3">
      <c r="A574" s="10">
        <v>573</v>
      </c>
      <c r="B574" s="10">
        <f>_xlfn.XLOOKUP(1,(VALUE(D574)&gt;=VALUE(block!$C$3:$C$500))*(VALUE(D574)&lt;VALUE(block!$C$3:$C$500)+VALUE(block!$D$3:$D$500)),block!$A$3:$A$500,"无匹配",0,1)</f>
        <v>14</v>
      </c>
      <c r="C574" s="3" t="str">
        <f>B574 &amp; "-" &amp; COUNTIF($B$2:B574, B574)</f>
        <v>14-14</v>
      </c>
      <c r="D574" s="10">
        <v>9838</v>
      </c>
      <c r="E574" s="1" t="s">
        <v>2891</v>
      </c>
      <c r="F574" s="1" t="s">
        <v>540</v>
      </c>
      <c r="G574" s="1" t="s">
        <v>1840</v>
      </c>
      <c r="H574" s="1" t="s">
        <v>1812</v>
      </c>
      <c r="I574" s="10" t="str">
        <f>IF(H574="T75",1,IF(H574="T75",3,IF(H574="T91",6,IF(H574="T91",10,IF(H574="T123",14,IF(H574="T123",18,IF(H574="T91",22,"")))))))</f>
        <v/>
      </c>
      <c r="J574" s="1" t="s">
        <v>1808</v>
      </c>
      <c r="K574" s="10">
        <v>2</v>
      </c>
      <c r="L574" s="10">
        <v>1</v>
      </c>
      <c r="O574" s="6"/>
      <c r="Q574" s="42" t="s">
        <v>2847</v>
      </c>
      <c r="R574" s="42"/>
      <c r="S574" s="1"/>
    </row>
    <row r="575" spans="1:19" ht="18.75" hidden="1" customHeight="1" x14ac:dyDescent="0.3">
      <c r="A575" s="10">
        <v>574</v>
      </c>
      <c r="B575" s="10">
        <f>_xlfn.XLOOKUP(1,(VALUE(D575)&gt;=VALUE(block!$C$3:$C$500))*(VALUE(D575)&lt;VALUE(block!$C$3:$C$500)+VALUE(block!$D$3:$D$500)),block!$A$3:$A$500,"无匹配",0,1)</f>
        <v>14</v>
      </c>
      <c r="C575" s="3" t="str">
        <f>B575 &amp; "-" &amp; COUNTIF($B$2:B575, B575)</f>
        <v>14-15</v>
      </c>
      <c r="D575" s="10">
        <v>9840</v>
      </c>
      <c r="E575" s="1" t="s">
        <v>2892</v>
      </c>
      <c r="F575" s="1" t="s">
        <v>541</v>
      </c>
      <c r="G575" s="1" t="s">
        <v>1840</v>
      </c>
      <c r="H575" s="1" t="s">
        <v>1812</v>
      </c>
      <c r="I575" s="10" t="str">
        <f>IF(H575="T76",1,IF(H575="T76",3,IF(H575="T92",6,IF(H575="T92",10,IF(H575="T124",14,IF(H575="T124",18,IF(H575="T92",22,"")))))))</f>
        <v/>
      </c>
      <c r="J575" s="1" t="s">
        <v>1808</v>
      </c>
      <c r="K575" s="10">
        <v>2</v>
      </c>
      <c r="L575" s="10">
        <v>1</v>
      </c>
      <c r="O575" s="6"/>
      <c r="Q575" s="42" t="s">
        <v>2847</v>
      </c>
      <c r="R575" s="42"/>
      <c r="S575" s="1"/>
    </row>
    <row r="576" spans="1:19" ht="18.75" hidden="1" customHeight="1" x14ac:dyDescent="0.3">
      <c r="A576" s="10">
        <v>575</v>
      </c>
      <c r="B576" s="10">
        <f>_xlfn.XLOOKUP(1,(VALUE(D576)&gt;=VALUE(block!$C$3:$C$500))*(VALUE(D576)&lt;VALUE(block!$C$3:$C$500)+VALUE(block!$D$3:$D$500)),block!$A$3:$A$500,"无匹配",0,1)</f>
        <v>14</v>
      </c>
      <c r="C576" s="3" t="str">
        <f>B576 &amp; "-" &amp; COUNTIF($B$2:B576, B576)</f>
        <v>14-16</v>
      </c>
      <c r="D576" s="10">
        <v>9842</v>
      </c>
      <c r="E576" s="1" t="s">
        <v>2893</v>
      </c>
      <c r="F576" s="1" t="s">
        <v>542</v>
      </c>
      <c r="G576" s="1" t="s">
        <v>1840</v>
      </c>
      <c r="H576" s="1" t="s">
        <v>1812</v>
      </c>
      <c r="I576" s="10" t="str">
        <f>IF(H576="T77",1,IF(H576="T77",3,IF(H576="T93",6,IF(H576="T93",10,IF(H576="T125",14,IF(H576="T125",18,IF(H576="T93",22,"")))))))</f>
        <v/>
      </c>
      <c r="J576" s="1" t="s">
        <v>1808</v>
      </c>
      <c r="K576" s="10">
        <v>2</v>
      </c>
      <c r="L576" s="10">
        <v>1</v>
      </c>
      <c r="O576" s="6"/>
      <c r="Q576" s="42" t="s">
        <v>2847</v>
      </c>
      <c r="R576" s="42"/>
      <c r="S576" s="1"/>
    </row>
    <row r="577" spans="1:19" ht="18.75" hidden="1" customHeight="1" x14ac:dyDescent="0.3">
      <c r="A577" s="10">
        <v>576</v>
      </c>
      <c r="B577" s="10">
        <f>_xlfn.XLOOKUP(1,(VALUE(D577)&gt;=VALUE(block!$C$3:$C$500))*(VALUE(D577)&lt;VALUE(block!$C$3:$C$500)+VALUE(block!$D$3:$D$500)),block!$A$3:$A$500,"无匹配",0,1)</f>
        <v>14</v>
      </c>
      <c r="C577" s="3" t="str">
        <f>B577 &amp; "-" &amp; COUNTIF($B$2:B577, B577)</f>
        <v>14-17</v>
      </c>
      <c r="D577" s="10">
        <v>9844</v>
      </c>
      <c r="E577" s="1" t="s">
        <v>2894</v>
      </c>
      <c r="F577" s="1" t="s">
        <v>543</v>
      </c>
      <c r="G577" s="1" t="s">
        <v>1840</v>
      </c>
      <c r="H577" s="1" t="s">
        <v>1812</v>
      </c>
      <c r="I577" s="10" t="str">
        <f>IF(H577="T78",1,IF(H577="T78",3,IF(H577="T94",6,IF(H577="T94",10,IF(H577="T126",14,IF(H577="T126",18,IF(H577="T94",22,"")))))))</f>
        <v/>
      </c>
      <c r="J577" s="1" t="s">
        <v>1808</v>
      </c>
      <c r="K577" s="10">
        <v>2</v>
      </c>
      <c r="L577" s="10">
        <v>1</v>
      </c>
      <c r="O577" s="6"/>
      <c r="Q577" s="42" t="s">
        <v>2847</v>
      </c>
      <c r="R577" s="42"/>
      <c r="S577" s="1"/>
    </row>
    <row r="578" spans="1:19" ht="18.75" hidden="1" customHeight="1" x14ac:dyDescent="0.3">
      <c r="A578" s="10">
        <v>577</v>
      </c>
      <c r="B578" s="10">
        <f>_xlfn.XLOOKUP(1,(VALUE(D578)&gt;=VALUE(block!$C$3:$C$500))*(VALUE(D578)&lt;VALUE(block!$C$3:$C$500)+VALUE(block!$D$3:$D$500)),block!$A$3:$A$500,"无匹配",0,1)</f>
        <v>14</v>
      </c>
      <c r="C578" s="3" t="str">
        <f>B578 &amp; "-" &amp; COUNTIF($B$2:B578, B578)</f>
        <v>14-18</v>
      </c>
      <c r="D578" s="10">
        <v>9846</v>
      </c>
      <c r="E578" s="1" t="s">
        <v>2895</v>
      </c>
      <c r="F578" s="1" t="s">
        <v>544</v>
      </c>
      <c r="G578" s="1" t="s">
        <v>1840</v>
      </c>
      <c r="H578" s="1" t="s">
        <v>1812</v>
      </c>
      <c r="I578" s="10" t="str">
        <f>IF(H578="T79",1,IF(H578="T79",3,IF(H578="T95",6,IF(H578="T95",10,IF(H578="T127",14,IF(H578="T127",18,IF(H578="T95",22,"")))))))</f>
        <v/>
      </c>
      <c r="J578" s="1" t="s">
        <v>1808</v>
      </c>
      <c r="K578" s="10">
        <v>2</v>
      </c>
      <c r="L578" s="10">
        <v>1</v>
      </c>
      <c r="O578" s="6"/>
      <c r="Q578" s="42" t="s">
        <v>2847</v>
      </c>
      <c r="R578" s="42"/>
      <c r="S578" s="1"/>
    </row>
    <row r="579" spans="1:19" ht="18.75" hidden="1" customHeight="1" x14ac:dyDescent="0.3">
      <c r="A579" s="10">
        <v>578</v>
      </c>
      <c r="B579" s="10">
        <f>_xlfn.XLOOKUP(1,(VALUE(D579)&gt;=VALUE(block!$C$3:$C$500))*(VALUE(D579)&lt;VALUE(block!$C$3:$C$500)+VALUE(block!$D$3:$D$500)),block!$A$3:$A$500,"无匹配",0,1)</f>
        <v>14</v>
      </c>
      <c r="C579" s="3" t="str">
        <f>B579 &amp; "-" &amp; COUNTIF($B$2:B579, B579)</f>
        <v>14-19</v>
      </c>
      <c r="D579" s="10">
        <v>9848</v>
      </c>
      <c r="E579" s="1" t="s">
        <v>2896</v>
      </c>
      <c r="F579" s="1" t="s">
        <v>545</v>
      </c>
      <c r="G579" s="1" t="s">
        <v>1840</v>
      </c>
      <c r="H579" s="1" t="s">
        <v>1812</v>
      </c>
      <c r="I579" s="10">
        <f>IF(H579="uint16",1,IF(H579="int16",3,IF(H579="uint32",6,IF(H579="int32",10,IF(H579="uint64",14,IF(H579="int64",18,IF(H579="float32",22,"")))))))</f>
        <v>22</v>
      </c>
      <c r="J579" s="1" t="s">
        <v>1808</v>
      </c>
      <c r="K579" s="10">
        <v>2</v>
      </c>
      <c r="L579" s="10">
        <v>1</v>
      </c>
      <c r="O579" s="6"/>
      <c r="Q579" s="42" t="s">
        <v>2847</v>
      </c>
      <c r="R579" s="42"/>
      <c r="S579" s="1"/>
    </row>
    <row r="580" spans="1:19" ht="18.75" hidden="1" customHeight="1" x14ac:dyDescent="0.3">
      <c r="A580" s="10">
        <v>579</v>
      </c>
      <c r="B580" s="10">
        <f>_xlfn.XLOOKUP(1,(VALUE(D580)&gt;=VALUE(block!$C$3:$C$500))*(VALUE(D580)&lt;VALUE(block!$C$3:$C$500)+VALUE(block!$D$3:$D$500)),block!$A$3:$A$500,"无匹配",0,1)</f>
        <v>14</v>
      </c>
      <c r="C580" s="3" t="str">
        <f>B580 &amp; "-" &amp; COUNTIF($B$2:B580, B580)</f>
        <v>14-20</v>
      </c>
      <c r="D580" s="10">
        <v>9850</v>
      </c>
      <c r="E580" s="1" t="s">
        <v>2897</v>
      </c>
      <c r="F580" s="1" t="s">
        <v>546</v>
      </c>
      <c r="G580" s="1" t="s">
        <v>1840</v>
      </c>
      <c r="H580" s="1" t="s">
        <v>1812</v>
      </c>
      <c r="I580" s="10" t="str">
        <f>IF(H580="T17",1,IF(H580="T17",3,IF(H580="T33",6,IF(H580="T33",10,IF(H580="T65",14,IF(H580="T65",18,IF(H580="T33",22,"")))))))</f>
        <v/>
      </c>
      <c r="J580" s="1" t="s">
        <v>1808</v>
      </c>
      <c r="K580" s="10">
        <v>2</v>
      </c>
      <c r="L580" s="10">
        <v>1</v>
      </c>
      <c r="O580" s="6"/>
      <c r="Q580" s="42" t="s">
        <v>2847</v>
      </c>
      <c r="R580" s="42"/>
      <c r="S580" s="1"/>
    </row>
    <row r="581" spans="1:19" ht="18.75" hidden="1" customHeight="1" x14ac:dyDescent="0.3">
      <c r="A581" s="10">
        <v>580</v>
      </c>
      <c r="B581" s="10">
        <f>_xlfn.XLOOKUP(1,(VALUE(D581)&gt;=VALUE(block!$C$3:$C$500))*(VALUE(D581)&lt;VALUE(block!$C$3:$C$500)+VALUE(block!$D$3:$D$500)),block!$A$3:$A$500,"无匹配",0,1)</f>
        <v>14</v>
      </c>
      <c r="C581" s="3" t="str">
        <f>B581 &amp; "-" &amp; COUNTIF($B$2:B581, B581)</f>
        <v>14-21</v>
      </c>
      <c r="D581" s="10">
        <v>9852</v>
      </c>
      <c r="E581" s="1" t="s">
        <v>2898</v>
      </c>
      <c r="F581" s="1" t="s">
        <v>547</v>
      </c>
      <c r="G581" s="1" t="s">
        <v>1840</v>
      </c>
      <c r="H581" s="1" t="s">
        <v>1812</v>
      </c>
      <c r="I581" s="10" t="str">
        <f>IF(H581="T18",1,IF(H581="T18",3,IF(H581="T34",6,IF(H581="T34",10,IF(H581="T66",14,IF(H581="T66",18,IF(H581="T34",22,"")))))))</f>
        <v/>
      </c>
      <c r="J581" s="1" t="s">
        <v>1808</v>
      </c>
      <c r="K581" s="10">
        <v>2</v>
      </c>
      <c r="L581" s="10">
        <v>1</v>
      </c>
      <c r="O581" s="6"/>
      <c r="Q581" s="42" t="s">
        <v>2847</v>
      </c>
      <c r="R581" s="42"/>
      <c r="S581" s="1"/>
    </row>
    <row r="582" spans="1:19" ht="18.75" hidden="1" customHeight="1" x14ac:dyDescent="0.3">
      <c r="A582" s="10">
        <v>581</v>
      </c>
      <c r="B582" s="10">
        <f>_xlfn.XLOOKUP(1,(VALUE(D582)&gt;=VALUE(block!$C$3:$C$500))*(VALUE(D582)&lt;VALUE(block!$C$3:$C$500)+VALUE(block!$D$3:$D$500)),block!$A$3:$A$500,"无匹配",0,1)</f>
        <v>14</v>
      </c>
      <c r="C582" s="3" t="str">
        <f>B582 &amp; "-" &amp; COUNTIF($B$2:B582, B582)</f>
        <v>14-22</v>
      </c>
      <c r="D582" s="10">
        <v>9854</v>
      </c>
      <c r="E582" s="1" t="s">
        <v>2899</v>
      </c>
      <c r="F582" s="1" t="s">
        <v>548</v>
      </c>
      <c r="G582" s="1" t="s">
        <v>1840</v>
      </c>
      <c r="H582" s="1" t="s">
        <v>1812</v>
      </c>
      <c r="I582" s="10" t="str">
        <f>IF(H582="T19",1,IF(H582="T19",3,IF(H582="T35",6,IF(H582="T35",10,IF(H582="T67",14,IF(H582="T67",18,IF(H582="T35",22,"")))))))</f>
        <v/>
      </c>
      <c r="J582" s="1" t="s">
        <v>1808</v>
      </c>
      <c r="K582" s="10">
        <v>2</v>
      </c>
      <c r="L582" s="10">
        <v>1</v>
      </c>
      <c r="O582" s="6"/>
      <c r="Q582" s="42" t="s">
        <v>2847</v>
      </c>
      <c r="R582" s="42"/>
      <c r="S582" s="1"/>
    </row>
    <row r="583" spans="1:19" ht="18.75" hidden="1" customHeight="1" x14ac:dyDescent="0.3">
      <c r="A583" s="10">
        <v>582</v>
      </c>
      <c r="B583" s="10">
        <f>_xlfn.XLOOKUP(1,(VALUE(D583)&gt;=VALUE(block!$C$3:$C$500))*(VALUE(D583)&lt;VALUE(block!$C$3:$C$500)+VALUE(block!$D$3:$D$500)),block!$A$3:$A$500,"无匹配",0,1)</f>
        <v>14</v>
      </c>
      <c r="C583" s="3" t="str">
        <f>B583 &amp; "-" &amp; COUNTIF($B$2:B583, B583)</f>
        <v>14-23</v>
      </c>
      <c r="D583" s="10">
        <v>9856</v>
      </c>
      <c r="E583" s="1" t="s">
        <v>2900</v>
      </c>
      <c r="F583" s="1" t="s">
        <v>549</v>
      </c>
      <c r="G583" s="1" t="s">
        <v>1840</v>
      </c>
      <c r="H583" s="1" t="s">
        <v>1812</v>
      </c>
      <c r="I583" s="10" t="str">
        <f>IF(H583="T20",1,IF(H583="T20",3,IF(H583="T36",6,IF(H583="T36",10,IF(H583="T68",14,IF(H583="T68",18,IF(H583="T36",22,"")))))))</f>
        <v/>
      </c>
      <c r="J583" s="1" t="s">
        <v>1808</v>
      </c>
      <c r="K583" s="10">
        <v>2</v>
      </c>
      <c r="L583" s="10">
        <v>1</v>
      </c>
      <c r="O583" s="6"/>
      <c r="Q583" s="42" t="s">
        <v>2847</v>
      </c>
      <c r="R583" s="42"/>
      <c r="S583" s="1"/>
    </row>
    <row r="584" spans="1:19" ht="18.75" hidden="1" customHeight="1" x14ac:dyDescent="0.3">
      <c r="A584" s="10">
        <v>583</v>
      </c>
      <c r="B584" s="10">
        <f>_xlfn.XLOOKUP(1,(VALUE(D584)&gt;=VALUE(block!$C$3:$C$500))*(VALUE(D584)&lt;VALUE(block!$C$3:$C$500)+VALUE(block!$D$3:$D$500)),block!$A$3:$A$500,"无匹配",0,1)</f>
        <v>14</v>
      </c>
      <c r="C584" s="3" t="str">
        <f>B584 &amp; "-" &amp; COUNTIF($B$2:B584, B584)</f>
        <v>14-24</v>
      </c>
      <c r="D584" s="10">
        <v>9858</v>
      </c>
      <c r="E584" s="1" t="s">
        <v>2901</v>
      </c>
      <c r="F584" s="1" t="s">
        <v>550</v>
      </c>
      <c r="G584" s="1" t="s">
        <v>1840</v>
      </c>
      <c r="H584" s="1" t="s">
        <v>1812</v>
      </c>
      <c r="I584" s="10" t="str">
        <f>IF(H584="T21",1,IF(H584="T21",3,IF(H584="T37",6,IF(H584="T37",10,IF(H584="T69",14,IF(H584="T69",18,IF(H584="T37",22,"")))))))</f>
        <v/>
      </c>
      <c r="J584" s="1" t="s">
        <v>1808</v>
      </c>
      <c r="K584" s="10">
        <v>2</v>
      </c>
      <c r="L584" s="10">
        <v>1</v>
      </c>
      <c r="O584" s="6"/>
      <c r="Q584" s="42" t="s">
        <v>2847</v>
      </c>
      <c r="R584" s="42"/>
      <c r="S584" s="1"/>
    </row>
    <row r="585" spans="1:19" ht="18.75" hidden="1" customHeight="1" x14ac:dyDescent="0.3">
      <c r="A585" s="10">
        <v>584</v>
      </c>
      <c r="B585" s="10">
        <f>_xlfn.XLOOKUP(1,(VALUE(D585)&gt;=VALUE(block!$C$3:$C$500))*(VALUE(D585)&lt;VALUE(block!$C$3:$C$500)+VALUE(block!$D$3:$D$500)),block!$A$3:$A$500,"无匹配",0,1)</f>
        <v>14</v>
      </c>
      <c r="C585" s="3" t="str">
        <f>B585 &amp; "-" &amp; COUNTIF($B$2:B585, B585)</f>
        <v>14-25</v>
      </c>
      <c r="D585" s="10">
        <v>9860</v>
      </c>
      <c r="E585" s="1" t="s">
        <v>2902</v>
      </c>
      <c r="F585" s="1" t="s">
        <v>551</v>
      </c>
      <c r="G585" s="1" t="s">
        <v>1840</v>
      </c>
      <c r="H585" s="1" t="s">
        <v>1812</v>
      </c>
      <c r="I585" s="10" t="str">
        <f>IF(H585="T22",1,IF(H585="T22",3,IF(H585="T38",6,IF(H585="T38",10,IF(H585="T70",14,IF(H585="T70",18,IF(H585="T38",22,"")))))))</f>
        <v/>
      </c>
      <c r="J585" s="1" t="s">
        <v>1808</v>
      </c>
      <c r="K585" s="10">
        <v>2</v>
      </c>
      <c r="L585" s="10">
        <v>1</v>
      </c>
      <c r="O585" s="6"/>
      <c r="Q585" s="42" t="s">
        <v>2847</v>
      </c>
      <c r="R585" s="42"/>
      <c r="S585" s="1"/>
    </row>
    <row r="586" spans="1:19" ht="18.75" hidden="1" customHeight="1" x14ac:dyDescent="0.3">
      <c r="A586" s="10">
        <v>585</v>
      </c>
      <c r="B586" s="10">
        <f>_xlfn.XLOOKUP(1,(VALUE(D586)&gt;=VALUE(block!$C$3:$C$500))*(VALUE(D586)&lt;VALUE(block!$C$3:$C$500)+VALUE(block!$D$3:$D$500)),block!$A$3:$A$500,"无匹配",0,1)</f>
        <v>14</v>
      </c>
      <c r="C586" s="3" t="str">
        <f>B586 &amp; "-" &amp; COUNTIF($B$2:B586, B586)</f>
        <v>14-26</v>
      </c>
      <c r="D586" s="10">
        <v>9862</v>
      </c>
      <c r="E586" s="1" t="s">
        <v>2903</v>
      </c>
      <c r="F586" s="1" t="s">
        <v>552</v>
      </c>
      <c r="G586" s="1" t="s">
        <v>1840</v>
      </c>
      <c r="H586" s="1" t="s">
        <v>1812</v>
      </c>
      <c r="I586" s="10" t="str">
        <f>IF(H586="T23",1,IF(H586="T23",3,IF(H586="T39",6,IF(H586="T39",10,IF(H586="T71",14,IF(H586="T71",18,IF(H586="T39",22,"")))))))</f>
        <v/>
      </c>
      <c r="J586" s="1" t="s">
        <v>1808</v>
      </c>
      <c r="K586" s="10">
        <v>2</v>
      </c>
      <c r="L586" s="10">
        <v>1</v>
      </c>
      <c r="O586" s="6"/>
      <c r="Q586" s="42" t="s">
        <v>2847</v>
      </c>
      <c r="R586" s="42"/>
      <c r="S586" s="1"/>
    </row>
    <row r="587" spans="1:19" ht="18.75" hidden="1" customHeight="1" x14ac:dyDescent="0.3">
      <c r="A587" s="10">
        <v>586</v>
      </c>
      <c r="B587" s="10">
        <f>_xlfn.XLOOKUP(1,(VALUE(D587)&gt;=VALUE(block!$C$3:$C$500))*(VALUE(D587)&lt;VALUE(block!$C$3:$C$500)+VALUE(block!$D$3:$D$500)),block!$A$3:$A$500,"无匹配",0,1)</f>
        <v>14</v>
      </c>
      <c r="C587" s="3" t="str">
        <f>B587 &amp; "-" &amp; COUNTIF($B$2:B587, B587)</f>
        <v>14-27</v>
      </c>
      <c r="D587" s="10">
        <v>9864</v>
      </c>
      <c r="E587" s="1" t="s">
        <v>2904</v>
      </c>
      <c r="F587" s="1" t="s">
        <v>553</v>
      </c>
      <c r="G587" s="1" t="s">
        <v>1840</v>
      </c>
      <c r="H587" s="1" t="s">
        <v>1812</v>
      </c>
      <c r="I587" s="10" t="str">
        <f>IF(H587="T24",1,IF(H587="T24",3,IF(H587="T40",6,IF(H587="T40",10,IF(H587="T72",14,IF(H587="T72",18,IF(H587="T40",22,"")))))))</f>
        <v/>
      </c>
      <c r="J587" s="1" t="s">
        <v>1808</v>
      </c>
      <c r="K587" s="10">
        <v>2</v>
      </c>
      <c r="L587" s="10">
        <v>1</v>
      </c>
      <c r="O587" s="6"/>
      <c r="Q587" s="42" t="s">
        <v>2847</v>
      </c>
      <c r="R587" s="42"/>
      <c r="S587" s="1"/>
    </row>
    <row r="588" spans="1:19" ht="18.75" hidden="1" customHeight="1" x14ac:dyDescent="0.3">
      <c r="A588" s="10">
        <v>587</v>
      </c>
      <c r="B588" s="10">
        <f>_xlfn.XLOOKUP(1,(VALUE(D588)&gt;=VALUE(block!$C$3:$C$500))*(VALUE(D588)&lt;VALUE(block!$C$3:$C$500)+VALUE(block!$D$3:$D$500)),block!$A$3:$A$500,"无匹配",0,1)</f>
        <v>14</v>
      </c>
      <c r="C588" s="3" t="str">
        <f>B588 &amp; "-" &amp; COUNTIF($B$2:B588, B588)</f>
        <v>14-28</v>
      </c>
      <c r="D588" s="10">
        <v>9866</v>
      </c>
      <c r="E588" s="1" t="s">
        <v>2905</v>
      </c>
      <c r="F588" s="1" t="s">
        <v>554</v>
      </c>
      <c r="G588" s="1" t="s">
        <v>1840</v>
      </c>
      <c r="H588" s="1" t="s">
        <v>1812</v>
      </c>
      <c r="I588" s="10" t="str">
        <f>IF(H588="T25",1,IF(H588="T25",3,IF(H588="T41",6,IF(H588="T41",10,IF(H588="T73",14,IF(H588="T73",18,IF(H588="T41",22,"")))))))</f>
        <v/>
      </c>
      <c r="J588" s="1" t="s">
        <v>1808</v>
      </c>
      <c r="K588" s="10">
        <v>2</v>
      </c>
      <c r="L588" s="10">
        <v>1</v>
      </c>
      <c r="O588" s="6"/>
      <c r="Q588" s="42" t="s">
        <v>2847</v>
      </c>
      <c r="R588" s="42"/>
      <c r="S588" s="1"/>
    </row>
    <row r="589" spans="1:19" ht="18.75" hidden="1" customHeight="1" x14ac:dyDescent="0.3">
      <c r="A589" s="10">
        <v>588</v>
      </c>
      <c r="B589" s="10">
        <f>_xlfn.XLOOKUP(1,(VALUE(D589)&gt;=VALUE(block!$C$3:$C$500))*(VALUE(D589)&lt;VALUE(block!$C$3:$C$500)+VALUE(block!$D$3:$D$500)),block!$A$3:$A$500,"无匹配",0,1)</f>
        <v>14</v>
      </c>
      <c r="C589" s="3" t="str">
        <f>B589 &amp; "-" &amp; COUNTIF($B$2:B589, B589)</f>
        <v>14-29</v>
      </c>
      <c r="D589" s="10">
        <v>9868</v>
      </c>
      <c r="E589" s="1" t="s">
        <v>2906</v>
      </c>
      <c r="F589" s="1" t="s">
        <v>555</v>
      </c>
      <c r="G589" s="1" t="s">
        <v>1840</v>
      </c>
      <c r="H589" s="1" t="s">
        <v>1812</v>
      </c>
      <c r="I589" s="10" t="str">
        <f>IF(H589="T26",1,IF(H589="T26",3,IF(H589="T42",6,IF(H589="T42",10,IF(H589="T74",14,IF(H589="T74",18,IF(H589="T42",22,"")))))))</f>
        <v/>
      </c>
      <c r="J589" s="1" t="s">
        <v>1808</v>
      </c>
      <c r="K589" s="10">
        <v>2</v>
      </c>
      <c r="L589" s="10">
        <v>1</v>
      </c>
      <c r="O589" s="6"/>
      <c r="Q589" s="42" t="s">
        <v>2847</v>
      </c>
      <c r="R589" s="42"/>
      <c r="S589" s="1"/>
    </row>
    <row r="590" spans="1:19" ht="18.75" hidden="1" customHeight="1" x14ac:dyDescent="0.3">
      <c r="A590" s="10">
        <v>589</v>
      </c>
      <c r="B590" s="10">
        <f>_xlfn.XLOOKUP(1,(VALUE(D590)&gt;=VALUE(block!$C$3:$C$500))*(VALUE(D590)&lt;VALUE(block!$C$3:$C$500)+VALUE(block!$D$3:$D$500)),block!$A$3:$A$500,"无匹配",0,1)</f>
        <v>14</v>
      </c>
      <c r="C590" s="3" t="str">
        <f>B590 &amp; "-" &amp; COUNTIF($B$2:B590, B590)</f>
        <v>14-30</v>
      </c>
      <c r="D590" s="10">
        <v>9870</v>
      </c>
      <c r="E590" s="1" t="s">
        <v>2907</v>
      </c>
      <c r="F590" s="1" t="s">
        <v>556</v>
      </c>
      <c r="G590" s="1" t="s">
        <v>1840</v>
      </c>
      <c r="H590" s="1" t="s">
        <v>1812</v>
      </c>
      <c r="I590" s="10" t="str">
        <f>IF(H590="T27",1,IF(H590="T27",3,IF(H590="T43",6,IF(H590="T43",10,IF(H590="T75",14,IF(H590="T75",18,IF(H590="T43",22,"")))))))</f>
        <v/>
      </c>
      <c r="J590" s="1" t="s">
        <v>1808</v>
      </c>
      <c r="K590" s="10">
        <v>2</v>
      </c>
      <c r="L590" s="10">
        <v>1</v>
      </c>
      <c r="O590" s="6"/>
      <c r="Q590" s="42" t="s">
        <v>2847</v>
      </c>
      <c r="R590" s="42"/>
      <c r="S590" s="1"/>
    </row>
    <row r="591" spans="1:19" ht="18.75" hidden="1" customHeight="1" x14ac:dyDescent="0.3">
      <c r="A591" s="10">
        <v>590</v>
      </c>
      <c r="B591" s="10">
        <f>_xlfn.XLOOKUP(1,(VALUE(D591)&gt;=VALUE(block!$C$3:$C$500))*(VALUE(D591)&lt;VALUE(block!$C$3:$C$500)+VALUE(block!$D$3:$D$500)),block!$A$3:$A$500,"无匹配",0,1)</f>
        <v>14</v>
      </c>
      <c r="C591" s="3" t="str">
        <f>B591 &amp; "-" &amp; COUNTIF($B$2:B591, B591)</f>
        <v>14-31</v>
      </c>
      <c r="D591" s="10">
        <v>9872</v>
      </c>
      <c r="E591" s="1" t="s">
        <v>2908</v>
      </c>
      <c r="F591" s="1" t="s">
        <v>557</v>
      </c>
      <c r="G591" s="1" t="s">
        <v>1840</v>
      </c>
      <c r="H591" s="1" t="s">
        <v>1812</v>
      </c>
      <c r="I591" s="10" t="str">
        <f>IF(H591="T28",1,IF(H591="T28",3,IF(H591="T44",6,IF(H591="T44",10,IF(H591="T76",14,IF(H591="T76",18,IF(H591="T44",22,"")))))))</f>
        <v/>
      </c>
      <c r="J591" s="1" t="s">
        <v>1808</v>
      </c>
      <c r="K591" s="10">
        <v>2</v>
      </c>
      <c r="L591" s="10">
        <v>1</v>
      </c>
      <c r="O591" s="6"/>
      <c r="Q591" s="42" t="s">
        <v>2847</v>
      </c>
      <c r="R591" s="42"/>
      <c r="S591" s="1"/>
    </row>
    <row r="592" spans="1:19" ht="18.75" hidden="1" customHeight="1" x14ac:dyDescent="0.3">
      <c r="A592" s="10">
        <v>591</v>
      </c>
      <c r="B592" s="10">
        <f>_xlfn.XLOOKUP(1,(VALUE(D592)&gt;=VALUE(block!$C$3:$C$500))*(VALUE(D592)&lt;VALUE(block!$C$3:$C$500)+VALUE(block!$D$3:$D$500)),block!$A$3:$A$500,"无匹配",0,1)</f>
        <v>14</v>
      </c>
      <c r="C592" s="3" t="str">
        <f>B592 &amp; "-" &amp; COUNTIF($B$2:B592, B592)</f>
        <v>14-32</v>
      </c>
      <c r="D592" s="10">
        <v>9874</v>
      </c>
      <c r="E592" s="1" t="s">
        <v>2909</v>
      </c>
      <c r="F592" s="1" t="s">
        <v>558</v>
      </c>
      <c r="G592" s="1" t="s">
        <v>1840</v>
      </c>
      <c r="H592" s="1" t="s">
        <v>1812</v>
      </c>
      <c r="I592" s="10" t="str">
        <f>IF(H592="T29",1,IF(H592="T29",3,IF(H592="T45",6,IF(H592="T45",10,IF(H592="T77",14,IF(H592="T77",18,IF(H592="T45",22,"")))))))</f>
        <v/>
      </c>
      <c r="J592" s="1" t="s">
        <v>1808</v>
      </c>
      <c r="K592" s="10">
        <v>2</v>
      </c>
      <c r="L592" s="10">
        <v>1</v>
      </c>
      <c r="O592" s="6"/>
      <c r="Q592" s="42" t="s">
        <v>2847</v>
      </c>
      <c r="R592" s="42"/>
      <c r="S592" s="1"/>
    </row>
    <row r="593" spans="1:19" ht="18.75" hidden="1" customHeight="1" x14ac:dyDescent="0.3">
      <c r="A593" s="10">
        <v>592</v>
      </c>
      <c r="B593" s="10">
        <f>_xlfn.XLOOKUP(1,(VALUE(D593)&gt;=VALUE(block!$C$3:$C$500))*(VALUE(D593)&lt;VALUE(block!$C$3:$C$500)+VALUE(block!$D$3:$D$500)),block!$A$3:$A$500,"无匹配",0,1)</f>
        <v>14</v>
      </c>
      <c r="C593" s="3" t="str">
        <f>B593 &amp; "-" &amp; COUNTIF($B$2:B593, B593)</f>
        <v>14-33</v>
      </c>
      <c r="D593" s="10">
        <v>9876</v>
      </c>
      <c r="E593" s="1" t="s">
        <v>2910</v>
      </c>
      <c r="F593" s="1" t="s">
        <v>559</v>
      </c>
      <c r="G593" s="1" t="s">
        <v>1840</v>
      </c>
      <c r="H593" s="1" t="s">
        <v>1812</v>
      </c>
      <c r="I593" s="10" t="str">
        <f>IF(H593="T30",1,IF(H593="T30",3,IF(H593="T46",6,IF(H593="T46",10,IF(H593="T78",14,IF(H593="T78",18,IF(H593="T46",22,"")))))))</f>
        <v/>
      </c>
      <c r="J593" s="1" t="s">
        <v>1808</v>
      </c>
      <c r="K593" s="10">
        <v>2</v>
      </c>
      <c r="L593" s="10">
        <v>1</v>
      </c>
      <c r="O593" s="6"/>
      <c r="Q593" s="42" t="s">
        <v>2847</v>
      </c>
      <c r="R593" s="42"/>
      <c r="S593" s="1"/>
    </row>
    <row r="594" spans="1:19" ht="18.75" hidden="1" customHeight="1" x14ac:dyDescent="0.3">
      <c r="A594" s="10">
        <v>593</v>
      </c>
      <c r="B594" s="10">
        <f>_xlfn.XLOOKUP(1,(VALUE(D594)&gt;=VALUE(block!$C$3:$C$500))*(VALUE(D594)&lt;VALUE(block!$C$3:$C$500)+VALUE(block!$D$3:$D$500)),block!$A$3:$A$500,"无匹配",0,1)</f>
        <v>14</v>
      </c>
      <c r="C594" s="3" t="str">
        <f>B594 &amp; "-" &amp; COUNTIF($B$2:B594, B594)</f>
        <v>14-34</v>
      </c>
      <c r="D594" s="10">
        <v>9878</v>
      </c>
      <c r="E594" s="1" t="s">
        <v>2911</v>
      </c>
      <c r="F594" s="1" t="s">
        <v>560</v>
      </c>
      <c r="G594" s="1" t="s">
        <v>1840</v>
      </c>
      <c r="H594" s="1" t="s">
        <v>1812</v>
      </c>
      <c r="I594" s="10" t="str">
        <f>IF(H594="T31",1,IF(H594="T31",3,IF(H594="T47",6,IF(H594="T47",10,IF(H594="T79",14,IF(H594="T79",18,IF(H594="T47",22,"")))))))</f>
        <v/>
      </c>
      <c r="J594" s="1" t="s">
        <v>1808</v>
      </c>
      <c r="K594" s="10">
        <v>2</v>
      </c>
      <c r="L594" s="10">
        <v>1</v>
      </c>
      <c r="O594" s="6"/>
      <c r="Q594" s="42" t="s">
        <v>2847</v>
      </c>
      <c r="R594" s="42"/>
      <c r="S594" s="1"/>
    </row>
    <row r="595" spans="1:19" ht="18.75" hidden="1" customHeight="1" x14ac:dyDescent="0.3">
      <c r="A595" s="10">
        <v>594</v>
      </c>
      <c r="B595" s="10">
        <f>_xlfn.XLOOKUP(1,(VALUE(D595)&gt;=VALUE(block!$C$3:$C$500))*(VALUE(D595)&lt;VALUE(block!$C$3:$C$500)+VALUE(block!$D$3:$D$500)),block!$A$3:$A$500,"无匹配",0,1)</f>
        <v>14</v>
      </c>
      <c r="C595" s="3" t="str">
        <f>B595 &amp; "-" &amp; COUNTIF($B$2:B595, B595)</f>
        <v>14-35</v>
      </c>
      <c r="D595" s="10">
        <v>9880</v>
      </c>
      <c r="E595" s="1" t="s">
        <v>2912</v>
      </c>
      <c r="F595" s="1" t="s">
        <v>561</v>
      </c>
      <c r="G595" s="1" t="s">
        <v>1840</v>
      </c>
      <c r="H595" s="1" t="s">
        <v>1812</v>
      </c>
      <c r="I595" s="10" t="str">
        <f>IF(H595="T32",1,IF(H595="T32",3,IF(H595="T48",6,IF(H595="T48",10,IF(H595="T80",14,IF(H595="T80",18,IF(H595="T48",22,"")))))))</f>
        <v/>
      </c>
      <c r="J595" s="1" t="s">
        <v>1808</v>
      </c>
      <c r="K595" s="10">
        <v>2</v>
      </c>
      <c r="L595" s="10">
        <v>1</v>
      </c>
      <c r="O595" s="6"/>
      <c r="Q595" s="42" t="s">
        <v>2847</v>
      </c>
      <c r="R595" s="42"/>
      <c r="S595" s="1"/>
    </row>
    <row r="596" spans="1:19" ht="18.75" customHeight="1" x14ac:dyDescent="0.3">
      <c r="A596" s="10">
        <v>595</v>
      </c>
      <c r="B596" s="10">
        <f>_xlfn.XLOOKUP(1,(VALUE(D596)&gt;=VALUE(block!$C$3:$C$500))*(VALUE(D596)&lt;VALUE(block!$C$3:$C$500)+VALUE(block!$D$3:$D$500)),block!$A$3:$A$500,"无匹配",0,1)</f>
        <v>15</v>
      </c>
      <c r="C596" s="3" t="str">
        <f>B596 &amp; "-" &amp; COUNTIF($B$2:B596, B596)</f>
        <v>15-1</v>
      </c>
      <c r="D596" s="10">
        <v>9882</v>
      </c>
      <c r="E596" s="1" t="s">
        <v>2913</v>
      </c>
      <c r="F596" s="1" t="s">
        <v>223</v>
      </c>
      <c r="G596" s="1" t="s">
        <v>1840</v>
      </c>
      <c r="H596" s="1" t="s">
        <v>1812</v>
      </c>
      <c r="I596" s="10" t="str">
        <f>IF(H596="T33",1,IF(H596="T33",3,IF(H596="T49",6,IF(H596="T49",10,IF(H596="T81",14,IF(H596="T81",18,IF(H596="T49",22,"")))))))</f>
        <v/>
      </c>
      <c r="J596" s="1" t="s">
        <v>1808</v>
      </c>
      <c r="K596" s="10">
        <v>2</v>
      </c>
      <c r="L596" s="10">
        <v>1</v>
      </c>
      <c r="N596" s="10">
        <v>4</v>
      </c>
      <c r="O596" s="6"/>
      <c r="P596" s="45" t="s">
        <v>2826</v>
      </c>
      <c r="Q596" s="6">
        <v>13</v>
      </c>
      <c r="R596" s="6"/>
      <c r="S596" s="1" t="s">
        <v>223</v>
      </c>
    </row>
    <row r="597" spans="1:19" ht="18.75" customHeight="1" x14ac:dyDescent="0.3">
      <c r="A597" s="10">
        <v>596</v>
      </c>
      <c r="B597" s="10">
        <f>_xlfn.XLOOKUP(1,(VALUE(D597)&gt;=VALUE(block!$C$3:$C$500))*(VALUE(D597)&lt;VALUE(block!$C$3:$C$500)+VALUE(block!$D$3:$D$500)),block!$A$3:$A$500,"无匹配",0,1)</f>
        <v>15</v>
      </c>
      <c r="C597" s="3" t="str">
        <f>B597 &amp; "-" &amp; COUNTIF($B$2:B597, B597)</f>
        <v>15-2</v>
      </c>
      <c r="D597" s="10">
        <v>9884</v>
      </c>
      <c r="E597" s="1" t="s">
        <v>2914</v>
      </c>
      <c r="F597" s="1" t="s">
        <v>227</v>
      </c>
      <c r="G597" s="1" t="s">
        <v>1840</v>
      </c>
      <c r="H597" s="1" t="s">
        <v>1812</v>
      </c>
      <c r="I597" s="10" t="str">
        <f>IF(H597="T34",1,IF(H597="T34",3,IF(H597="T50",6,IF(H597="T50",10,IF(H597="T82",14,IF(H597="T82",18,IF(H597="T50",22,"")))))))</f>
        <v/>
      </c>
      <c r="J597" s="1" t="s">
        <v>1808</v>
      </c>
      <c r="K597" s="10">
        <v>2</v>
      </c>
      <c r="L597" s="10">
        <v>1</v>
      </c>
      <c r="N597" s="10">
        <v>4</v>
      </c>
      <c r="O597" s="6"/>
      <c r="P597" s="45" t="s">
        <v>2826</v>
      </c>
      <c r="Q597" s="6">
        <v>13</v>
      </c>
      <c r="R597" s="6"/>
      <c r="S597" s="1" t="s">
        <v>227</v>
      </c>
    </row>
    <row r="598" spans="1:19" ht="18.75" customHeight="1" x14ac:dyDescent="0.3">
      <c r="A598" s="10">
        <v>597</v>
      </c>
      <c r="B598" s="10">
        <f>_xlfn.XLOOKUP(1,(VALUE(D598)&gt;=VALUE(block!$C$3:$C$500))*(VALUE(D598)&lt;VALUE(block!$C$3:$C$500)+VALUE(block!$D$3:$D$500)),block!$A$3:$A$500,"无匹配",0,1)</f>
        <v>15</v>
      </c>
      <c r="C598" s="3" t="str">
        <f>B598 &amp; "-" &amp; COUNTIF($B$2:B598, B598)</f>
        <v>15-3</v>
      </c>
      <c r="D598" s="10">
        <v>9886</v>
      </c>
      <c r="E598" s="1" t="s">
        <v>2915</v>
      </c>
      <c r="F598" s="1" t="s">
        <v>231</v>
      </c>
      <c r="G598" s="1" t="s">
        <v>1840</v>
      </c>
      <c r="H598" s="1" t="s">
        <v>1812</v>
      </c>
      <c r="I598" s="10" t="str">
        <f>IF(H598="T35",1,IF(H598="T35",3,IF(H598="T51",6,IF(H598="T51",10,IF(H598="T83",14,IF(H598="T83",18,IF(H598="T51",22,"")))))))</f>
        <v/>
      </c>
      <c r="J598" s="1" t="s">
        <v>1808</v>
      </c>
      <c r="K598" s="10">
        <v>2</v>
      </c>
      <c r="L598" s="10">
        <v>1</v>
      </c>
      <c r="N598" s="10">
        <v>4</v>
      </c>
      <c r="O598" s="6"/>
      <c r="P598" s="45" t="s">
        <v>2826</v>
      </c>
      <c r="Q598" s="6">
        <v>13</v>
      </c>
      <c r="R598" s="6"/>
      <c r="S598" s="1" t="s">
        <v>231</v>
      </c>
    </row>
    <row r="599" spans="1:19" ht="18.75" customHeight="1" x14ac:dyDescent="0.3">
      <c r="A599" s="10">
        <v>598</v>
      </c>
      <c r="B599" s="10">
        <f>_xlfn.XLOOKUP(1,(VALUE(D599)&gt;=VALUE(block!$C$3:$C$500))*(VALUE(D599)&lt;VALUE(block!$C$3:$C$500)+VALUE(block!$D$3:$D$500)),block!$A$3:$A$500,"无匹配",0,1)</f>
        <v>15</v>
      </c>
      <c r="C599" s="3" t="str">
        <f>B599 &amp; "-" &amp; COUNTIF($B$2:B599, B599)</f>
        <v>15-4</v>
      </c>
      <c r="D599" s="10">
        <v>9888</v>
      </c>
      <c r="E599" s="1" t="s">
        <v>2916</v>
      </c>
      <c r="F599" s="1" t="s">
        <v>235</v>
      </c>
      <c r="G599" s="1" t="s">
        <v>1840</v>
      </c>
      <c r="H599" s="1" t="s">
        <v>1812</v>
      </c>
      <c r="I599" s="10" t="str">
        <f>IF(H599="T36",1,IF(H599="T36",3,IF(H599="T52",6,IF(H599="T52",10,IF(H599="T84",14,IF(H599="T84",18,IF(H599="T52",22,"")))))))</f>
        <v/>
      </c>
      <c r="J599" s="1" t="s">
        <v>1808</v>
      </c>
      <c r="K599" s="10">
        <v>2</v>
      </c>
      <c r="L599" s="10">
        <v>1</v>
      </c>
      <c r="N599" s="10">
        <v>4</v>
      </c>
      <c r="O599" s="6"/>
      <c r="P599" s="45" t="s">
        <v>2826</v>
      </c>
      <c r="Q599" s="6">
        <v>13</v>
      </c>
      <c r="R599" s="6"/>
      <c r="S599" s="1" t="s">
        <v>235</v>
      </c>
    </row>
    <row r="600" spans="1:19" ht="18.75" customHeight="1" x14ac:dyDescent="0.3">
      <c r="A600" s="10">
        <v>599</v>
      </c>
      <c r="B600" s="10">
        <f>_xlfn.XLOOKUP(1,(VALUE(D600)&gt;=VALUE(block!$C$3:$C$500))*(VALUE(D600)&lt;VALUE(block!$C$3:$C$500)+VALUE(block!$D$3:$D$500)),block!$A$3:$A$500,"无匹配",0,1)</f>
        <v>15</v>
      </c>
      <c r="C600" s="3" t="str">
        <f>B600 &amp; "-" &amp; COUNTIF($B$2:B600, B600)</f>
        <v>15-5</v>
      </c>
      <c r="D600" s="10">
        <v>9890</v>
      </c>
      <c r="E600" s="1" t="s">
        <v>2917</v>
      </c>
      <c r="F600" s="1" t="s">
        <v>2918</v>
      </c>
      <c r="G600" s="1" t="s">
        <v>1840</v>
      </c>
      <c r="H600" s="1" t="s">
        <v>1812</v>
      </c>
      <c r="I600" s="10" t="str">
        <f>IF(H600="T37",1,IF(H600="T37",3,IF(H600="T53",6,IF(H600="T53",10,IF(H600="T85",14,IF(H600="T85",18,IF(H600="T53",22,"")))))))</f>
        <v/>
      </c>
      <c r="J600" s="1" t="s">
        <v>1808</v>
      </c>
      <c r="K600" s="10">
        <v>2</v>
      </c>
      <c r="L600" s="10">
        <v>1</v>
      </c>
      <c r="N600" s="10">
        <v>4</v>
      </c>
      <c r="O600" s="6"/>
      <c r="P600" s="45" t="s">
        <v>2826</v>
      </c>
      <c r="Q600" s="6">
        <v>13</v>
      </c>
      <c r="R600" s="6"/>
      <c r="S600" s="1" t="s">
        <v>2918</v>
      </c>
    </row>
    <row r="601" spans="1:19" ht="18.75" hidden="1" customHeight="1" x14ac:dyDescent="0.3">
      <c r="A601" s="10">
        <v>600</v>
      </c>
      <c r="B601" s="10">
        <f>_xlfn.XLOOKUP(1,(VALUE(D601)&gt;=VALUE(block!$C$3:$C$500))*(VALUE(D601)&lt;VALUE(block!$C$3:$C$500)+VALUE(block!$D$3:$D$500)),block!$A$3:$A$500,"无匹配",0,1)</f>
        <v>15</v>
      </c>
      <c r="C601" s="3" t="str">
        <f>B601 &amp; "-" &amp; COUNTIF($B$2:B601, B601)</f>
        <v>15-6</v>
      </c>
      <c r="D601" s="10">
        <v>9892</v>
      </c>
      <c r="E601" s="1" t="s">
        <v>2919</v>
      </c>
      <c r="F601" s="1" t="s">
        <v>784</v>
      </c>
      <c r="G601" s="1" t="s">
        <v>1840</v>
      </c>
      <c r="H601" s="1" t="s">
        <v>1812</v>
      </c>
      <c r="I601" s="10" t="str">
        <f>IF(H601="T38",1,IF(H601="T38",3,IF(H601="T54",6,IF(H601="T54",10,IF(H601="T86",14,IF(H601="T86",18,IF(H601="T54",22,"")))))))</f>
        <v/>
      </c>
      <c r="J601" s="1" t="s">
        <v>1808</v>
      </c>
      <c r="K601" s="10">
        <v>2</v>
      </c>
      <c r="L601" s="10">
        <v>1</v>
      </c>
      <c r="O601" s="6"/>
      <c r="Q601" s="42" t="s">
        <v>2847</v>
      </c>
      <c r="R601" s="42"/>
      <c r="S601" s="1"/>
    </row>
    <row r="602" spans="1:19" ht="18.75" hidden="1" customHeight="1" x14ac:dyDescent="0.3">
      <c r="A602" s="10">
        <v>601</v>
      </c>
      <c r="B602" s="10">
        <f>_xlfn.XLOOKUP(1,(VALUE(D602)&gt;=VALUE(block!$C$3:$C$500))*(VALUE(D602)&lt;VALUE(block!$C$3:$C$500)+VALUE(block!$D$3:$D$500)),block!$A$3:$A$500,"无匹配",0,1)</f>
        <v>15</v>
      </c>
      <c r="C602" s="3" t="str">
        <f>B602 &amp; "-" &amp; COUNTIF($B$2:B602, B602)</f>
        <v>15-7</v>
      </c>
      <c r="D602" s="10">
        <v>9894</v>
      </c>
      <c r="E602" s="1" t="s">
        <v>2920</v>
      </c>
      <c r="F602" s="1" t="s">
        <v>785</v>
      </c>
      <c r="G602" s="1" t="s">
        <v>1840</v>
      </c>
      <c r="H602" s="1" t="s">
        <v>1812</v>
      </c>
      <c r="I602" s="10" t="str">
        <f>IF(H602="T39",1,IF(H602="T39",3,IF(H602="T55",6,IF(H602="T55",10,IF(H602="T87",14,IF(H602="T87",18,IF(H602="T55",22,"")))))))</f>
        <v/>
      </c>
      <c r="J602" s="1" t="s">
        <v>1808</v>
      </c>
      <c r="K602" s="10">
        <v>2</v>
      </c>
      <c r="L602" s="10">
        <v>1</v>
      </c>
      <c r="O602" s="6"/>
      <c r="Q602" s="42" t="s">
        <v>2847</v>
      </c>
      <c r="R602" s="42"/>
      <c r="S602" s="1"/>
    </row>
    <row r="603" spans="1:19" ht="18.75" hidden="1" customHeight="1" x14ac:dyDescent="0.3">
      <c r="A603" s="10">
        <v>602</v>
      </c>
      <c r="B603" s="10">
        <f>_xlfn.XLOOKUP(1,(VALUE(D603)&gt;=VALUE(block!$C$3:$C$500))*(VALUE(D603)&lt;VALUE(block!$C$3:$C$500)+VALUE(block!$D$3:$D$500)),block!$A$3:$A$500,"无匹配",0,1)</f>
        <v>15</v>
      </c>
      <c r="C603" s="3" t="str">
        <f>B603 &amp; "-" &amp; COUNTIF($B$2:B603, B603)</f>
        <v>15-8</v>
      </c>
      <c r="D603" s="10">
        <v>9896</v>
      </c>
      <c r="E603" s="1" t="s">
        <v>2921</v>
      </c>
      <c r="F603" s="1" t="s">
        <v>786</v>
      </c>
      <c r="G603" s="1" t="s">
        <v>1840</v>
      </c>
      <c r="H603" s="1" t="s">
        <v>1812</v>
      </c>
      <c r="I603" s="10" t="str">
        <f>IF(H603="T40",1,IF(H603="T40",3,IF(H603="T56",6,IF(H603="T56",10,IF(H603="T88",14,IF(H603="T88",18,IF(H603="T56",22,"")))))))</f>
        <v/>
      </c>
      <c r="J603" s="1" t="s">
        <v>1808</v>
      </c>
      <c r="K603" s="10">
        <v>2</v>
      </c>
      <c r="L603" s="10">
        <v>1</v>
      </c>
      <c r="O603" s="6"/>
      <c r="Q603" s="42" t="s">
        <v>2847</v>
      </c>
      <c r="R603" s="42"/>
      <c r="S603" s="1"/>
    </row>
    <row r="604" spans="1:19" ht="18.75" hidden="1" customHeight="1" x14ac:dyDescent="0.3">
      <c r="A604" s="10">
        <v>603</v>
      </c>
      <c r="B604" s="10">
        <f>_xlfn.XLOOKUP(1,(VALUE(D604)&gt;=VALUE(block!$C$3:$C$500))*(VALUE(D604)&lt;VALUE(block!$C$3:$C$500)+VALUE(block!$D$3:$D$500)),block!$A$3:$A$500,"无匹配",0,1)</f>
        <v>15</v>
      </c>
      <c r="C604" s="3" t="str">
        <f>B604 &amp; "-" &amp; COUNTIF($B$2:B604, B604)</f>
        <v>15-9</v>
      </c>
      <c r="D604" s="10">
        <v>9898</v>
      </c>
      <c r="E604" s="1" t="s">
        <v>2922</v>
      </c>
      <c r="F604" s="1" t="s">
        <v>787</v>
      </c>
      <c r="G604" s="1" t="s">
        <v>1840</v>
      </c>
      <c r="H604" s="1" t="s">
        <v>1812</v>
      </c>
      <c r="I604" s="10" t="str">
        <f>IF(H604="T41",1,IF(H604="T41",3,IF(H604="T57",6,IF(H604="T57",10,IF(H604="T89",14,IF(H604="T89",18,IF(H604="T57",22,"")))))))</f>
        <v/>
      </c>
      <c r="J604" s="1" t="s">
        <v>1808</v>
      </c>
      <c r="K604" s="10">
        <v>2</v>
      </c>
      <c r="L604" s="10">
        <v>1</v>
      </c>
      <c r="O604" s="6"/>
      <c r="Q604" s="42" t="s">
        <v>2847</v>
      </c>
      <c r="R604" s="42"/>
      <c r="S604" s="1"/>
    </row>
    <row r="605" spans="1:19" ht="18.75" hidden="1" customHeight="1" x14ac:dyDescent="0.3">
      <c r="A605" s="10">
        <v>604</v>
      </c>
      <c r="B605" s="10">
        <f>_xlfn.XLOOKUP(1,(VALUE(D605)&gt;=VALUE(block!$C$3:$C$500))*(VALUE(D605)&lt;VALUE(block!$C$3:$C$500)+VALUE(block!$D$3:$D$500)),block!$A$3:$A$500,"无匹配",0,1)</f>
        <v>15</v>
      </c>
      <c r="C605" s="3" t="str">
        <f>B605 &amp; "-" &amp; COUNTIF($B$2:B605, B605)</f>
        <v>15-10</v>
      </c>
      <c r="D605" s="10">
        <v>9900</v>
      </c>
      <c r="E605" s="1" t="s">
        <v>2923</v>
      </c>
      <c r="F605" s="1" t="s">
        <v>788</v>
      </c>
      <c r="G605" s="1" t="s">
        <v>1840</v>
      </c>
      <c r="H605" s="1" t="s">
        <v>1812</v>
      </c>
      <c r="I605" s="10" t="str">
        <f>IF(H605="T42",1,IF(H605="T42",3,IF(H605="T58",6,IF(H605="T58",10,IF(H605="T90",14,IF(H605="T90",18,IF(H605="T58",22,"")))))))</f>
        <v/>
      </c>
      <c r="J605" s="1" t="s">
        <v>1808</v>
      </c>
      <c r="K605" s="10">
        <v>2</v>
      </c>
      <c r="L605" s="10">
        <v>1</v>
      </c>
      <c r="O605" s="6"/>
      <c r="Q605" s="42" t="s">
        <v>2847</v>
      </c>
      <c r="R605" s="42"/>
      <c r="S605" s="1"/>
    </row>
    <row r="606" spans="1:19" ht="18.75" hidden="1" customHeight="1" x14ac:dyDescent="0.3">
      <c r="A606" s="10">
        <v>605</v>
      </c>
      <c r="B606" s="10">
        <f>_xlfn.XLOOKUP(1,(VALUE(D606)&gt;=VALUE(block!$C$3:$C$500))*(VALUE(D606)&lt;VALUE(block!$C$3:$C$500)+VALUE(block!$D$3:$D$500)),block!$A$3:$A$500,"无匹配",0,1)</f>
        <v>15</v>
      </c>
      <c r="C606" s="3" t="str">
        <f>B606 &amp; "-" &amp; COUNTIF($B$2:B606, B606)</f>
        <v>15-11</v>
      </c>
      <c r="D606" s="10">
        <v>9902</v>
      </c>
      <c r="E606" s="1" t="s">
        <v>2924</v>
      </c>
      <c r="F606" s="1" t="s">
        <v>789</v>
      </c>
      <c r="G606" s="1" t="s">
        <v>1840</v>
      </c>
      <c r="H606" s="1" t="s">
        <v>1812</v>
      </c>
      <c r="I606" s="10" t="str">
        <f>IF(H606="T43",1,IF(H606="T43",3,IF(H606="T59",6,IF(H606="T59",10,IF(H606="T91",14,IF(H606="T91",18,IF(H606="T59",22,"")))))))</f>
        <v/>
      </c>
      <c r="J606" s="1" t="s">
        <v>1808</v>
      </c>
      <c r="K606" s="10">
        <v>2</v>
      </c>
      <c r="L606" s="10">
        <v>1</v>
      </c>
      <c r="O606" s="6"/>
      <c r="Q606" s="42" t="s">
        <v>2847</v>
      </c>
      <c r="R606" s="42"/>
      <c r="S606" s="1"/>
    </row>
    <row r="607" spans="1:19" ht="18.75" hidden="1" customHeight="1" x14ac:dyDescent="0.3">
      <c r="A607" s="10">
        <v>606</v>
      </c>
      <c r="B607" s="10">
        <f>_xlfn.XLOOKUP(1,(VALUE(D607)&gt;=VALUE(block!$C$3:$C$500))*(VALUE(D607)&lt;VALUE(block!$C$3:$C$500)+VALUE(block!$D$3:$D$500)),block!$A$3:$A$500,"无匹配",0,1)</f>
        <v>15</v>
      </c>
      <c r="C607" s="3" t="str">
        <f>B607 &amp; "-" &amp; COUNTIF($B$2:B607, B607)</f>
        <v>15-12</v>
      </c>
      <c r="D607" s="10">
        <v>9904</v>
      </c>
      <c r="E607" s="1" t="s">
        <v>2925</v>
      </c>
      <c r="F607" s="1" t="s">
        <v>790</v>
      </c>
      <c r="G607" s="1" t="s">
        <v>1840</v>
      </c>
      <c r="H607" s="1" t="s">
        <v>1812</v>
      </c>
      <c r="I607" s="10" t="str">
        <f>IF(H607="T44",1,IF(H607="T44",3,IF(H607="T60",6,IF(H607="T60",10,IF(H607="T92",14,IF(H607="T92",18,IF(H607="T60",22,"")))))))</f>
        <v/>
      </c>
      <c r="J607" s="1" t="s">
        <v>1808</v>
      </c>
      <c r="K607" s="10">
        <v>2</v>
      </c>
      <c r="L607" s="10">
        <v>1</v>
      </c>
      <c r="O607" s="6"/>
      <c r="Q607" s="42" t="s">
        <v>2847</v>
      </c>
      <c r="R607" s="42"/>
      <c r="S607" s="1"/>
    </row>
    <row r="608" spans="1:19" ht="18.75" hidden="1" customHeight="1" x14ac:dyDescent="0.3">
      <c r="A608" s="10">
        <v>607</v>
      </c>
      <c r="B608" s="10">
        <f>_xlfn.XLOOKUP(1,(VALUE(D608)&gt;=VALUE(block!$C$3:$C$500))*(VALUE(D608)&lt;VALUE(block!$C$3:$C$500)+VALUE(block!$D$3:$D$500)),block!$A$3:$A$500,"无匹配",0,1)</f>
        <v>15</v>
      </c>
      <c r="C608" s="3" t="str">
        <f>B608 &amp; "-" &amp; COUNTIF($B$2:B608, B608)</f>
        <v>15-13</v>
      </c>
      <c r="D608" s="10">
        <v>9906</v>
      </c>
      <c r="E608" s="1" t="s">
        <v>2926</v>
      </c>
      <c r="F608" s="1" t="s">
        <v>791</v>
      </c>
      <c r="G608" s="1" t="s">
        <v>1840</v>
      </c>
      <c r="H608" s="1" t="s">
        <v>1812</v>
      </c>
      <c r="I608" s="10" t="str">
        <f>IF(H608="T45",1,IF(H608="T45",3,IF(H608="T61",6,IF(H608="T61",10,IF(H608="T93",14,IF(H608="T93",18,IF(H608="T61",22,"")))))))</f>
        <v/>
      </c>
      <c r="J608" s="1" t="s">
        <v>1808</v>
      </c>
      <c r="K608" s="10">
        <v>2</v>
      </c>
      <c r="L608" s="10">
        <v>1</v>
      </c>
      <c r="O608" s="6"/>
      <c r="Q608" s="42" t="s">
        <v>2847</v>
      </c>
      <c r="R608" s="42"/>
      <c r="S608" s="1"/>
    </row>
    <row r="609" spans="1:19" ht="18.75" hidden="1" customHeight="1" x14ac:dyDescent="0.3">
      <c r="A609" s="10">
        <v>608</v>
      </c>
      <c r="B609" s="10">
        <f>_xlfn.XLOOKUP(1,(VALUE(D609)&gt;=VALUE(block!$C$3:$C$500))*(VALUE(D609)&lt;VALUE(block!$C$3:$C$500)+VALUE(block!$D$3:$D$500)),block!$A$3:$A$500,"无匹配",0,1)</f>
        <v>15</v>
      </c>
      <c r="C609" s="3" t="str">
        <f>B609 &amp; "-" &amp; COUNTIF($B$2:B609, B609)</f>
        <v>15-14</v>
      </c>
      <c r="D609" s="10">
        <v>9908</v>
      </c>
      <c r="E609" s="1" t="s">
        <v>2927</v>
      </c>
      <c r="F609" s="1" t="s">
        <v>792</v>
      </c>
      <c r="G609" s="1" t="s">
        <v>1840</v>
      </c>
      <c r="H609" s="1" t="s">
        <v>1812</v>
      </c>
      <c r="I609" s="10" t="str">
        <f>IF(H609="T46",1,IF(H609="T46",3,IF(H609="T62",6,IF(H609="T62",10,IF(H609="T94",14,IF(H609="T94",18,IF(H609="T62",22,"")))))))</f>
        <v/>
      </c>
      <c r="J609" s="1" t="s">
        <v>1808</v>
      </c>
      <c r="K609" s="10">
        <v>2</v>
      </c>
      <c r="L609" s="10">
        <v>1</v>
      </c>
      <c r="O609" s="6"/>
      <c r="Q609" s="42" t="s">
        <v>2847</v>
      </c>
      <c r="R609" s="42"/>
      <c r="S609" s="1"/>
    </row>
    <row r="610" spans="1:19" ht="18.75" hidden="1" customHeight="1" x14ac:dyDescent="0.3">
      <c r="A610" s="10">
        <v>609</v>
      </c>
      <c r="B610" s="10">
        <f>_xlfn.XLOOKUP(1,(VALUE(D610)&gt;=VALUE(block!$C$3:$C$500))*(VALUE(D610)&lt;VALUE(block!$C$3:$C$500)+VALUE(block!$D$3:$D$500)),block!$A$3:$A$500,"无匹配",0,1)</f>
        <v>15</v>
      </c>
      <c r="C610" s="3" t="str">
        <f>B610 &amp; "-" &amp; COUNTIF($B$2:B610, B610)</f>
        <v>15-15</v>
      </c>
      <c r="D610" s="10">
        <v>9910</v>
      </c>
      <c r="E610" s="1" t="s">
        <v>2928</v>
      </c>
      <c r="F610" s="1" t="s">
        <v>793</v>
      </c>
      <c r="G610" s="1" t="s">
        <v>1840</v>
      </c>
      <c r="H610" s="1" t="s">
        <v>1812</v>
      </c>
      <c r="I610" s="10" t="str">
        <f>IF(H610="T47",1,IF(H610="T47",3,IF(H610="T63",6,IF(H610="T63",10,IF(H610="T95",14,IF(H610="T95",18,IF(H610="T63",22,"")))))))</f>
        <v/>
      </c>
      <c r="J610" s="1" t="s">
        <v>1808</v>
      </c>
      <c r="K610" s="10">
        <v>2</v>
      </c>
      <c r="L610" s="10">
        <v>1</v>
      </c>
      <c r="O610" s="6"/>
      <c r="Q610" s="42" t="s">
        <v>2847</v>
      </c>
      <c r="R610" s="42"/>
      <c r="S610" s="1"/>
    </row>
    <row r="611" spans="1:19" ht="18.75" hidden="1" customHeight="1" x14ac:dyDescent="0.3">
      <c r="A611" s="10">
        <v>610</v>
      </c>
      <c r="B611" s="10">
        <f>_xlfn.XLOOKUP(1,(VALUE(D611)&gt;=VALUE(block!$C$3:$C$500))*(VALUE(D611)&lt;VALUE(block!$C$3:$C$500)+VALUE(block!$D$3:$D$500)),block!$A$3:$A$500,"无匹配",0,1)</f>
        <v>15</v>
      </c>
      <c r="C611" s="3" t="str">
        <f>B611 &amp; "-" &amp; COUNTIF($B$2:B611, B611)</f>
        <v>15-16</v>
      </c>
      <c r="D611" s="10">
        <v>9912</v>
      </c>
      <c r="E611" s="1" t="s">
        <v>2929</v>
      </c>
      <c r="F611" s="1" t="s">
        <v>794</v>
      </c>
      <c r="G611" s="1" t="s">
        <v>1840</v>
      </c>
      <c r="H611" s="1" t="s">
        <v>1812</v>
      </c>
      <c r="I611" s="10" t="str">
        <f>IF(H611="T48",1,IF(H611="T48",3,IF(H611="T64",6,IF(H611="T64",10,IF(H611="T96",14,IF(H611="T96",18,IF(H611="T64",22,"")))))))</f>
        <v/>
      </c>
      <c r="J611" s="1" t="s">
        <v>1808</v>
      </c>
      <c r="K611" s="10">
        <v>2</v>
      </c>
      <c r="L611" s="10">
        <v>1</v>
      </c>
      <c r="O611" s="6"/>
      <c r="Q611" s="42" t="s">
        <v>2847</v>
      </c>
      <c r="R611" s="42"/>
      <c r="S611" s="1"/>
    </row>
    <row r="612" spans="1:19" ht="18.75" hidden="1" customHeight="1" x14ac:dyDescent="0.3">
      <c r="A612" s="10">
        <v>611</v>
      </c>
      <c r="B612" s="10">
        <f>_xlfn.XLOOKUP(1,(VALUE(D612)&gt;=VALUE(block!$C$3:$C$500))*(VALUE(D612)&lt;VALUE(block!$C$3:$C$500)+VALUE(block!$D$3:$D$500)),block!$A$3:$A$500,"无匹配",0,1)</f>
        <v>15</v>
      </c>
      <c r="C612" s="3" t="str">
        <f>B612 &amp; "-" &amp; COUNTIF($B$2:B612, B612)</f>
        <v>15-17</v>
      </c>
      <c r="D612" s="10">
        <v>9914</v>
      </c>
      <c r="E612" s="1" t="s">
        <v>2930</v>
      </c>
      <c r="F612" s="1" t="s">
        <v>795</v>
      </c>
      <c r="G612" s="1" t="s">
        <v>1840</v>
      </c>
      <c r="H612" s="1" t="s">
        <v>1812</v>
      </c>
      <c r="I612" s="10" t="str">
        <f>IF(H612="T49",1,IF(H612="T49",3,IF(H612="T65",6,IF(H612="T65",10,IF(H612="T97",14,IF(H612="T97",18,IF(H612="T65",22,"")))))))</f>
        <v/>
      </c>
      <c r="J612" s="1" t="s">
        <v>1808</v>
      </c>
      <c r="K612" s="10">
        <v>2</v>
      </c>
      <c r="L612" s="10">
        <v>1</v>
      </c>
      <c r="O612" s="6"/>
      <c r="Q612" s="42" t="s">
        <v>2847</v>
      </c>
      <c r="R612" s="42"/>
      <c r="S612" s="1"/>
    </row>
    <row r="613" spans="1:19" ht="18.75" hidden="1" customHeight="1" x14ac:dyDescent="0.3">
      <c r="A613" s="10">
        <v>612</v>
      </c>
      <c r="B613" s="10">
        <f>_xlfn.XLOOKUP(1,(VALUE(D613)&gt;=VALUE(block!$C$3:$C$500))*(VALUE(D613)&lt;VALUE(block!$C$3:$C$500)+VALUE(block!$D$3:$D$500)),block!$A$3:$A$500,"无匹配",0,1)</f>
        <v>15</v>
      </c>
      <c r="C613" s="3" t="str">
        <f>B613 &amp; "-" &amp; COUNTIF($B$2:B613, B613)</f>
        <v>15-18</v>
      </c>
      <c r="D613" s="10">
        <v>9916</v>
      </c>
      <c r="E613" s="1" t="s">
        <v>2931</v>
      </c>
      <c r="F613" s="1" t="s">
        <v>796</v>
      </c>
      <c r="G613" s="1" t="s">
        <v>1840</v>
      </c>
      <c r="H613" s="1" t="s">
        <v>1812</v>
      </c>
      <c r="I613" s="10" t="str">
        <f>IF(H613="T50",1,IF(H613="T50",3,IF(H613="T66",6,IF(H613="T66",10,IF(H613="T98",14,IF(H613="T98",18,IF(H613="T66",22,"")))))))</f>
        <v/>
      </c>
      <c r="J613" s="1" t="s">
        <v>1808</v>
      </c>
      <c r="K613" s="10">
        <v>2</v>
      </c>
      <c r="L613" s="10">
        <v>1</v>
      </c>
      <c r="O613" s="6"/>
      <c r="Q613" s="42" t="s">
        <v>2847</v>
      </c>
      <c r="R613" s="42"/>
      <c r="S613" s="1"/>
    </row>
    <row r="614" spans="1:19" ht="18.75" hidden="1" customHeight="1" x14ac:dyDescent="0.3">
      <c r="A614" s="10">
        <v>613</v>
      </c>
      <c r="B614" s="10">
        <f>_xlfn.XLOOKUP(1,(VALUE(D614)&gt;=VALUE(block!$C$3:$C$500))*(VALUE(D614)&lt;VALUE(block!$C$3:$C$500)+VALUE(block!$D$3:$D$500)),block!$A$3:$A$500,"无匹配",0,1)</f>
        <v>15</v>
      </c>
      <c r="C614" s="3" t="str">
        <f>B614 &amp; "-" &amp; COUNTIF($B$2:B614, B614)</f>
        <v>15-19</v>
      </c>
      <c r="D614" s="10">
        <v>9918</v>
      </c>
      <c r="E614" s="1" t="s">
        <v>2932</v>
      </c>
      <c r="F614" s="1" t="s">
        <v>797</v>
      </c>
      <c r="G614" s="1" t="s">
        <v>1840</v>
      </c>
      <c r="H614" s="1" t="s">
        <v>1812</v>
      </c>
      <c r="I614" s="10" t="str">
        <f>IF(H614="T51",1,IF(H614="T51",3,IF(H614="T67",6,IF(H614="T67",10,IF(H614="T99",14,IF(H614="T99",18,IF(H614="T67",22,"")))))))</f>
        <v/>
      </c>
      <c r="J614" s="1" t="s">
        <v>1808</v>
      </c>
      <c r="K614" s="10">
        <v>2</v>
      </c>
      <c r="L614" s="10">
        <v>1</v>
      </c>
      <c r="O614" s="6"/>
      <c r="Q614" s="42" t="s">
        <v>2847</v>
      </c>
      <c r="R614" s="42"/>
      <c r="S614" s="1"/>
    </row>
    <row r="615" spans="1:19" ht="18.75" hidden="1" customHeight="1" x14ac:dyDescent="0.3">
      <c r="A615" s="10">
        <v>614</v>
      </c>
      <c r="B615" s="10">
        <f>_xlfn.XLOOKUP(1,(VALUE(D615)&gt;=VALUE(block!$C$3:$C$500))*(VALUE(D615)&lt;VALUE(block!$C$3:$C$500)+VALUE(block!$D$3:$D$500)),block!$A$3:$A$500,"无匹配",0,1)</f>
        <v>15</v>
      </c>
      <c r="C615" s="3" t="str">
        <f>B615 &amp; "-" &amp; COUNTIF($B$2:B615, B615)</f>
        <v>15-20</v>
      </c>
      <c r="D615" s="10">
        <v>9920</v>
      </c>
      <c r="E615" s="1" t="s">
        <v>2933</v>
      </c>
      <c r="F615" s="1" t="s">
        <v>798</v>
      </c>
      <c r="G615" s="1" t="s">
        <v>1840</v>
      </c>
      <c r="H615" s="1" t="s">
        <v>1812</v>
      </c>
      <c r="I615" s="10" t="str">
        <f>IF(H615="T52",1,IF(H615="T52",3,IF(H615="T68",6,IF(H615="T68",10,IF(H615="T100",14,IF(H615="T100",18,IF(H615="T68",22,"")))))))</f>
        <v/>
      </c>
      <c r="J615" s="1" t="s">
        <v>1808</v>
      </c>
      <c r="K615" s="10">
        <v>2</v>
      </c>
      <c r="L615" s="10">
        <v>1</v>
      </c>
      <c r="O615" s="6"/>
      <c r="Q615" s="42" t="s">
        <v>2847</v>
      </c>
      <c r="R615" s="42"/>
      <c r="S615" s="1"/>
    </row>
    <row r="616" spans="1:19" ht="18.75" hidden="1" customHeight="1" x14ac:dyDescent="0.3">
      <c r="A616" s="10">
        <v>615</v>
      </c>
      <c r="B616" s="10">
        <f>_xlfn.XLOOKUP(1,(VALUE(D616)&gt;=VALUE(block!$C$3:$C$500))*(VALUE(D616)&lt;VALUE(block!$C$3:$C$500)+VALUE(block!$D$3:$D$500)),block!$A$3:$A$500,"无匹配",0,1)</f>
        <v>15</v>
      </c>
      <c r="C616" s="3" t="str">
        <f>B616 &amp; "-" &amp; COUNTIF($B$2:B616, B616)</f>
        <v>15-21</v>
      </c>
      <c r="D616" s="10">
        <v>9922</v>
      </c>
      <c r="E616" s="1" t="s">
        <v>2934</v>
      </c>
      <c r="F616" s="1" t="s">
        <v>799</v>
      </c>
      <c r="G616" s="1" t="s">
        <v>1840</v>
      </c>
      <c r="H616" s="1" t="s">
        <v>1812</v>
      </c>
      <c r="I616" s="10" t="str">
        <f>IF(H616="T53",1,IF(H616="T53",3,IF(H616="T69",6,IF(H616="T69",10,IF(H616="T101",14,IF(H616="T101",18,IF(H616="T69",22,"")))))))</f>
        <v/>
      </c>
      <c r="J616" s="1" t="s">
        <v>1808</v>
      </c>
      <c r="K616" s="10">
        <v>2</v>
      </c>
      <c r="L616" s="10">
        <v>1</v>
      </c>
      <c r="O616" s="6"/>
      <c r="Q616" s="42" t="s">
        <v>2847</v>
      </c>
      <c r="R616" s="42"/>
      <c r="S616" s="1"/>
    </row>
    <row r="617" spans="1:19" ht="18.75" hidden="1" customHeight="1" x14ac:dyDescent="0.3">
      <c r="A617" s="10">
        <v>616</v>
      </c>
      <c r="B617" s="10">
        <f>_xlfn.XLOOKUP(1,(VALUE(D617)&gt;=VALUE(block!$C$3:$C$500))*(VALUE(D617)&lt;VALUE(block!$C$3:$C$500)+VALUE(block!$D$3:$D$500)),block!$A$3:$A$500,"无匹配",0,1)</f>
        <v>15</v>
      </c>
      <c r="C617" s="3" t="str">
        <f>B617 &amp; "-" &amp; COUNTIF($B$2:B617, B617)</f>
        <v>15-22</v>
      </c>
      <c r="D617" s="10">
        <v>9924</v>
      </c>
      <c r="E617" s="1" t="s">
        <v>2935</v>
      </c>
      <c r="F617" s="1" t="s">
        <v>800</v>
      </c>
      <c r="G617" s="1" t="s">
        <v>1840</v>
      </c>
      <c r="H617" s="1" t="s">
        <v>1812</v>
      </c>
      <c r="I617" s="10" t="str">
        <f>IF(H617="T54",1,IF(H617="T54",3,IF(H617="T70",6,IF(H617="T70",10,IF(H617="T102",14,IF(H617="T102",18,IF(H617="T70",22,"")))))))</f>
        <v/>
      </c>
      <c r="J617" s="1" t="s">
        <v>1808</v>
      </c>
      <c r="K617" s="10">
        <v>2</v>
      </c>
      <c r="L617" s="10">
        <v>1</v>
      </c>
      <c r="O617" s="6"/>
      <c r="Q617" s="42" t="s">
        <v>2847</v>
      </c>
      <c r="R617" s="42"/>
      <c r="S617" s="1"/>
    </row>
    <row r="618" spans="1:19" ht="18.75" hidden="1" customHeight="1" x14ac:dyDescent="0.3">
      <c r="A618" s="10">
        <v>617</v>
      </c>
      <c r="B618" s="10">
        <f>_xlfn.XLOOKUP(1,(VALUE(D618)&gt;=VALUE(block!$C$3:$C$500))*(VALUE(D618)&lt;VALUE(block!$C$3:$C$500)+VALUE(block!$D$3:$D$500)),block!$A$3:$A$500,"无匹配",0,1)</f>
        <v>15</v>
      </c>
      <c r="C618" s="3" t="str">
        <f>B618 &amp; "-" &amp; COUNTIF($B$2:B618, B618)</f>
        <v>15-23</v>
      </c>
      <c r="D618" s="10">
        <v>9926</v>
      </c>
      <c r="E618" s="1" t="s">
        <v>2936</v>
      </c>
      <c r="F618" s="1" t="s">
        <v>801</v>
      </c>
      <c r="G618" s="1" t="s">
        <v>1840</v>
      </c>
      <c r="H618" s="1" t="s">
        <v>1812</v>
      </c>
      <c r="I618" s="10" t="str">
        <f>IF(H618="T55",1,IF(H618="T55",3,IF(H618="T71",6,IF(H618="T71",10,IF(H618="T103",14,IF(H618="T103",18,IF(H618="T71",22,"")))))))</f>
        <v/>
      </c>
      <c r="J618" s="1" t="s">
        <v>1808</v>
      </c>
      <c r="K618" s="10">
        <v>2</v>
      </c>
      <c r="L618" s="10">
        <v>1</v>
      </c>
      <c r="O618" s="6"/>
      <c r="Q618" s="42" t="s">
        <v>2847</v>
      </c>
      <c r="R618" s="42"/>
      <c r="S618" s="1"/>
    </row>
    <row r="619" spans="1:19" ht="18.75" hidden="1" customHeight="1" x14ac:dyDescent="0.3">
      <c r="A619" s="10">
        <v>618</v>
      </c>
      <c r="B619" s="10">
        <f>_xlfn.XLOOKUP(1,(VALUE(D619)&gt;=VALUE(block!$C$3:$C$500))*(VALUE(D619)&lt;VALUE(block!$C$3:$C$500)+VALUE(block!$D$3:$D$500)),block!$A$3:$A$500,"无匹配",0,1)</f>
        <v>15</v>
      </c>
      <c r="C619" s="3" t="str">
        <f>B619 &amp; "-" &amp; COUNTIF($B$2:B619, B619)</f>
        <v>15-24</v>
      </c>
      <c r="D619" s="10">
        <v>9928</v>
      </c>
      <c r="E619" s="1" t="s">
        <v>2937</v>
      </c>
      <c r="F619" s="1" t="s">
        <v>802</v>
      </c>
      <c r="G619" s="1" t="s">
        <v>1840</v>
      </c>
      <c r="H619" s="1" t="s">
        <v>1812</v>
      </c>
      <c r="I619" s="10" t="str">
        <f>IF(H619="T56",1,IF(H619="T56",3,IF(H619="T72",6,IF(H619="T72",10,IF(H619="T104",14,IF(H619="T104",18,IF(H619="T72",22,"")))))))</f>
        <v/>
      </c>
      <c r="J619" s="1" t="s">
        <v>1808</v>
      </c>
      <c r="K619" s="10">
        <v>2</v>
      </c>
      <c r="L619" s="10">
        <v>1</v>
      </c>
      <c r="O619" s="6"/>
      <c r="Q619" s="42" t="s">
        <v>2847</v>
      </c>
      <c r="R619" s="42"/>
      <c r="S619" s="1"/>
    </row>
    <row r="620" spans="1:19" ht="18.75" hidden="1" customHeight="1" x14ac:dyDescent="0.3">
      <c r="A620" s="10">
        <v>619</v>
      </c>
      <c r="B620" s="10">
        <f>_xlfn.XLOOKUP(1,(VALUE(D620)&gt;=VALUE(block!$C$3:$C$500))*(VALUE(D620)&lt;VALUE(block!$C$3:$C$500)+VALUE(block!$D$3:$D$500)),block!$A$3:$A$500,"无匹配",0,1)</f>
        <v>15</v>
      </c>
      <c r="C620" s="3" t="str">
        <f>B620 &amp; "-" &amp; COUNTIF($B$2:B620, B620)</f>
        <v>15-25</v>
      </c>
      <c r="D620" s="10">
        <v>9930</v>
      </c>
      <c r="E620" s="1" t="s">
        <v>2938</v>
      </c>
      <c r="F620" s="1" t="s">
        <v>803</v>
      </c>
      <c r="G620" s="1" t="s">
        <v>1840</v>
      </c>
      <c r="H620" s="1" t="s">
        <v>1812</v>
      </c>
      <c r="I620" s="10" t="str">
        <f>IF(H620="T57",1,IF(H620="T57",3,IF(H620="T73",6,IF(H620="T73",10,IF(H620="T105",14,IF(H620="T105",18,IF(H620="T73",22,"")))))))</f>
        <v/>
      </c>
      <c r="J620" s="1" t="s">
        <v>1808</v>
      </c>
      <c r="K620" s="10">
        <v>2</v>
      </c>
      <c r="L620" s="10">
        <v>1</v>
      </c>
      <c r="O620" s="6"/>
      <c r="Q620" s="42" t="s">
        <v>2847</v>
      </c>
      <c r="R620" s="42"/>
      <c r="S620" s="1"/>
    </row>
    <row r="621" spans="1:19" ht="18.75" hidden="1" customHeight="1" x14ac:dyDescent="0.3">
      <c r="A621" s="10">
        <v>620</v>
      </c>
      <c r="B621" s="10">
        <f>_xlfn.XLOOKUP(1,(VALUE(D621)&gt;=VALUE(block!$C$3:$C$500))*(VALUE(D621)&lt;VALUE(block!$C$3:$C$500)+VALUE(block!$D$3:$D$500)),block!$A$3:$A$500,"无匹配",0,1)</f>
        <v>15</v>
      </c>
      <c r="C621" s="3" t="str">
        <f>B621 &amp; "-" &amp; COUNTIF($B$2:B621, B621)</f>
        <v>15-26</v>
      </c>
      <c r="D621" s="10">
        <v>9932</v>
      </c>
      <c r="E621" s="1" t="s">
        <v>2939</v>
      </c>
      <c r="F621" s="1" t="s">
        <v>804</v>
      </c>
      <c r="G621" s="1" t="s">
        <v>1840</v>
      </c>
      <c r="H621" s="1" t="s">
        <v>1812</v>
      </c>
      <c r="I621" s="10" t="str">
        <f>IF(H621="T58",1,IF(H621="T58",3,IF(H621="T74",6,IF(H621="T74",10,IF(H621="T106",14,IF(H621="T106",18,IF(H621="T74",22,"")))))))</f>
        <v/>
      </c>
      <c r="J621" s="1" t="s">
        <v>1808</v>
      </c>
      <c r="K621" s="10">
        <v>2</v>
      </c>
      <c r="L621" s="10">
        <v>1</v>
      </c>
      <c r="O621" s="6"/>
      <c r="Q621" s="42" t="s">
        <v>2847</v>
      </c>
      <c r="R621" s="42"/>
      <c r="S621" s="1"/>
    </row>
    <row r="622" spans="1:19" ht="18.75" hidden="1" customHeight="1" x14ac:dyDescent="0.3">
      <c r="A622" s="10">
        <v>621</v>
      </c>
      <c r="B622" s="10">
        <f>_xlfn.XLOOKUP(1,(VALUE(D622)&gt;=VALUE(block!$C$3:$C$500))*(VALUE(D622)&lt;VALUE(block!$C$3:$C$500)+VALUE(block!$D$3:$D$500)),block!$A$3:$A$500,"无匹配",0,1)</f>
        <v>15</v>
      </c>
      <c r="C622" s="3" t="str">
        <f>B622 &amp; "-" &amp; COUNTIF($B$2:B622, B622)</f>
        <v>15-27</v>
      </c>
      <c r="D622" s="10">
        <v>9934</v>
      </c>
      <c r="E622" s="1" t="s">
        <v>2940</v>
      </c>
      <c r="F622" s="1" t="s">
        <v>805</v>
      </c>
      <c r="G622" s="1" t="s">
        <v>1840</v>
      </c>
      <c r="H622" s="1" t="s">
        <v>1812</v>
      </c>
      <c r="I622" s="10" t="str">
        <f>IF(H622="T59",1,IF(H622="T59",3,IF(H622="T75",6,IF(H622="T75",10,IF(H622="T107",14,IF(H622="T107",18,IF(H622="T75",22,"")))))))</f>
        <v/>
      </c>
      <c r="J622" s="1" t="s">
        <v>1808</v>
      </c>
      <c r="K622" s="10">
        <v>2</v>
      </c>
      <c r="L622" s="10">
        <v>1</v>
      </c>
      <c r="O622" s="6"/>
      <c r="Q622" s="42" t="s">
        <v>2847</v>
      </c>
      <c r="R622" s="42"/>
      <c r="S622" s="1"/>
    </row>
    <row r="623" spans="1:19" ht="18.75" hidden="1" customHeight="1" x14ac:dyDescent="0.3">
      <c r="A623" s="10">
        <v>622</v>
      </c>
      <c r="B623" s="10">
        <f>_xlfn.XLOOKUP(1,(VALUE(D623)&gt;=VALUE(block!$C$3:$C$500))*(VALUE(D623)&lt;VALUE(block!$C$3:$C$500)+VALUE(block!$D$3:$D$500)),block!$A$3:$A$500,"无匹配",0,1)</f>
        <v>15</v>
      </c>
      <c r="C623" s="3" t="str">
        <f>B623 &amp; "-" &amp; COUNTIF($B$2:B623, B623)</f>
        <v>15-28</v>
      </c>
      <c r="D623" s="10">
        <v>9936</v>
      </c>
      <c r="E623" s="1" t="s">
        <v>2941</v>
      </c>
      <c r="F623" s="1" t="s">
        <v>806</v>
      </c>
      <c r="G623" s="1" t="s">
        <v>1840</v>
      </c>
      <c r="H623" s="1" t="s">
        <v>1812</v>
      </c>
      <c r="I623" s="10" t="str">
        <f>IF(H623="T60",1,IF(H623="T60",3,IF(H623="T76",6,IF(H623="T76",10,IF(H623="T108",14,IF(H623="T108",18,IF(H623="T76",22,"")))))))</f>
        <v/>
      </c>
      <c r="J623" s="1" t="s">
        <v>1808</v>
      </c>
      <c r="K623" s="10">
        <v>2</v>
      </c>
      <c r="L623" s="10">
        <v>1</v>
      </c>
      <c r="O623" s="6"/>
      <c r="Q623" s="42" t="s">
        <v>2847</v>
      </c>
      <c r="R623" s="42"/>
      <c r="S623" s="1"/>
    </row>
    <row r="624" spans="1:19" ht="18.75" hidden="1" customHeight="1" x14ac:dyDescent="0.3">
      <c r="A624" s="10">
        <v>623</v>
      </c>
      <c r="B624" s="10">
        <f>_xlfn.XLOOKUP(1,(VALUE(D624)&gt;=VALUE(block!$C$3:$C$500))*(VALUE(D624)&lt;VALUE(block!$C$3:$C$500)+VALUE(block!$D$3:$D$500)),block!$A$3:$A$500,"无匹配",0,1)</f>
        <v>15</v>
      </c>
      <c r="C624" s="3" t="str">
        <f>B624 &amp; "-" &amp; COUNTIF($B$2:B624, B624)</f>
        <v>15-29</v>
      </c>
      <c r="D624" s="10">
        <v>9938</v>
      </c>
      <c r="E624" s="1" t="s">
        <v>2942</v>
      </c>
      <c r="F624" s="1" t="s">
        <v>807</v>
      </c>
      <c r="G624" s="1" t="s">
        <v>1840</v>
      </c>
      <c r="H624" s="1" t="s">
        <v>1812</v>
      </c>
      <c r="I624" s="10" t="str">
        <f>IF(H624="T61",1,IF(H624="T61",3,IF(H624="T77",6,IF(H624="T77",10,IF(H624="T109",14,IF(H624="T109",18,IF(H624="T77",22,"")))))))</f>
        <v/>
      </c>
      <c r="J624" s="1" t="s">
        <v>1808</v>
      </c>
      <c r="K624" s="10">
        <v>2</v>
      </c>
      <c r="L624" s="10">
        <v>1</v>
      </c>
      <c r="O624" s="6"/>
      <c r="Q624" s="42" t="s">
        <v>2847</v>
      </c>
      <c r="R624" s="42"/>
      <c r="S624" s="1"/>
    </row>
    <row r="625" spans="1:19" ht="18.75" hidden="1" customHeight="1" x14ac:dyDescent="0.3">
      <c r="A625" s="10">
        <v>624</v>
      </c>
      <c r="B625" s="10">
        <f>_xlfn.XLOOKUP(1,(VALUE(D625)&gt;=VALUE(block!$C$3:$C$500))*(VALUE(D625)&lt;VALUE(block!$C$3:$C$500)+VALUE(block!$D$3:$D$500)),block!$A$3:$A$500,"无匹配",0,1)</f>
        <v>15</v>
      </c>
      <c r="C625" s="3" t="str">
        <f>B625 &amp; "-" &amp; COUNTIF($B$2:B625, B625)</f>
        <v>15-30</v>
      </c>
      <c r="D625" s="10">
        <v>9940</v>
      </c>
      <c r="E625" s="1" t="s">
        <v>2943</v>
      </c>
      <c r="F625" s="1" t="s">
        <v>808</v>
      </c>
      <c r="G625" s="1" t="s">
        <v>1840</v>
      </c>
      <c r="H625" s="1" t="s">
        <v>1812</v>
      </c>
      <c r="I625" s="10" t="str">
        <f>IF(H625="T62",1,IF(H625="T62",3,IF(H625="T78",6,IF(H625="T78",10,IF(H625="T110",14,IF(H625="T110",18,IF(H625="T78",22,"")))))))</f>
        <v/>
      </c>
      <c r="J625" s="1" t="s">
        <v>1808</v>
      </c>
      <c r="K625" s="10">
        <v>2</v>
      </c>
      <c r="L625" s="10">
        <v>1</v>
      </c>
      <c r="O625" s="6"/>
      <c r="Q625" s="42" t="s">
        <v>2847</v>
      </c>
      <c r="R625" s="42"/>
      <c r="S625" s="1"/>
    </row>
    <row r="626" spans="1:19" ht="18.75" hidden="1" customHeight="1" x14ac:dyDescent="0.3">
      <c r="A626" s="10">
        <v>625</v>
      </c>
      <c r="B626" s="10">
        <f>_xlfn.XLOOKUP(1,(VALUE(D626)&gt;=VALUE(block!$C$3:$C$500))*(VALUE(D626)&lt;VALUE(block!$C$3:$C$500)+VALUE(block!$D$3:$D$500)),block!$A$3:$A$500,"无匹配",0,1)</f>
        <v>15</v>
      </c>
      <c r="C626" s="3" t="str">
        <f>B626 &amp; "-" &amp; COUNTIF($B$2:B626, B626)</f>
        <v>15-31</v>
      </c>
      <c r="D626" s="10">
        <v>9942</v>
      </c>
      <c r="E626" s="1" t="s">
        <v>2944</v>
      </c>
      <c r="F626" s="1" t="s">
        <v>809</v>
      </c>
      <c r="G626" s="1" t="s">
        <v>1840</v>
      </c>
      <c r="H626" s="1" t="s">
        <v>1812</v>
      </c>
      <c r="I626" s="10" t="str">
        <f>IF(H626="T63",1,IF(H626="T63",3,IF(H626="T79",6,IF(H626="T79",10,IF(H626="T111",14,IF(H626="T111",18,IF(H626="T79",22,"")))))))</f>
        <v/>
      </c>
      <c r="J626" s="1" t="s">
        <v>1808</v>
      </c>
      <c r="K626" s="10">
        <v>2</v>
      </c>
      <c r="L626" s="10">
        <v>1</v>
      </c>
      <c r="O626" s="6"/>
      <c r="Q626" s="42" t="s">
        <v>2847</v>
      </c>
      <c r="R626" s="42"/>
      <c r="S626" s="1"/>
    </row>
    <row r="627" spans="1:19" ht="18.75" hidden="1" customHeight="1" x14ac:dyDescent="0.3">
      <c r="A627" s="10">
        <v>626</v>
      </c>
      <c r="B627" s="10">
        <f>_xlfn.XLOOKUP(1,(VALUE(D627)&gt;=VALUE(block!$C$3:$C$500))*(VALUE(D627)&lt;VALUE(block!$C$3:$C$500)+VALUE(block!$D$3:$D$500)),block!$A$3:$A$500,"无匹配",0,1)</f>
        <v>15</v>
      </c>
      <c r="C627" s="3" t="str">
        <f>B627 &amp; "-" &amp; COUNTIF($B$2:B627, B627)</f>
        <v>15-32</v>
      </c>
      <c r="D627" s="10">
        <v>9944</v>
      </c>
      <c r="E627" s="1" t="s">
        <v>2945</v>
      </c>
      <c r="F627" s="1" t="s">
        <v>810</v>
      </c>
      <c r="G627" s="1" t="s">
        <v>1840</v>
      </c>
      <c r="H627" s="1" t="s">
        <v>1812</v>
      </c>
      <c r="I627" s="10" t="str">
        <f>IF(H627="T64",1,IF(H627="T64",3,IF(H627="T80",6,IF(H627="T80",10,IF(H627="T112",14,IF(H627="T112",18,IF(H627="T80",22,"")))))))</f>
        <v/>
      </c>
      <c r="J627" s="1" t="s">
        <v>1808</v>
      </c>
      <c r="K627" s="10">
        <v>2</v>
      </c>
      <c r="L627" s="10">
        <v>1</v>
      </c>
      <c r="O627" s="6"/>
      <c r="Q627" s="42" t="s">
        <v>2847</v>
      </c>
      <c r="R627" s="42"/>
      <c r="S627" s="1"/>
    </row>
    <row r="628" spans="1:19" ht="18.75" hidden="1" customHeight="1" x14ac:dyDescent="0.3">
      <c r="A628" s="10">
        <v>627</v>
      </c>
      <c r="B628" s="10">
        <f>_xlfn.XLOOKUP(1,(VALUE(D628)&gt;=VALUE(block!$C$3:$C$500))*(VALUE(D628)&lt;VALUE(block!$C$3:$C$500)+VALUE(block!$D$3:$D$500)),block!$A$3:$A$500,"无匹配",0,1)</f>
        <v>15</v>
      </c>
      <c r="C628" s="3" t="str">
        <f>B628 &amp; "-" &amp; COUNTIF($B$2:B628, B628)</f>
        <v>15-33</v>
      </c>
      <c r="D628" s="10">
        <v>9946</v>
      </c>
      <c r="E628" s="1" t="s">
        <v>2946</v>
      </c>
      <c r="F628" s="1" t="s">
        <v>811</v>
      </c>
      <c r="G628" s="1" t="s">
        <v>1840</v>
      </c>
      <c r="H628" s="1" t="s">
        <v>1812</v>
      </c>
      <c r="I628" s="10" t="str">
        <f>IF(H628="T65",1,IF(H628="T65",3,IF(H628="T81",6,IF(H628="T81",10,IF(H628="T113",14,IF(H628="T113",18,IF(H628="T81",22,"")))))))</f>
        <v/>
      </c>
      <c r="J628" s="1" t="s">
        <v>1808</v>
      </c>
      <c r="K628" s="10">
        <v>2</v>
      </c>
      <c r="L628" s="10">
        <v>1</v>
      </c>
      <c r="O628" s="6"/>
      <c r="Q628" s="42" t="s">
        <v>2847</v>
      </c>
      <c r="R628" s="42"/>
      <c r="S628" s="1"/>
    </row>
    <row r="629" spans="1:19" ht="18.75" hidden="1" customHeight="1" x14ac:dyDescent="0.3">
      <c r="A629" s="10">
        <v>628</v>
      </c>
      <c r="B629" s="10">
        <f>_xlfn.XLOOKUP(1,(VALUE(D629)&gt;=VALUE(block!$C$3:$C$500))*(VALUE(D629)&lt;VALUE(block!$C$3:$C$500)+VALUE(block!$D$3:$D$500)),block!$A$3:$A$500,"无匹配",0,1)</f>
        <v>15</v>
      </c>
      <c r="C629" s="3" t="str">
        <f>B629 &amp; "-" &amp; COUNTIF($B$2:B629, B629)</f>
        <v>15-34</v>
      </c>
      <c r="D629" s="10">
        <v>9948</v>
      </c>
      <c r="E629" s="1" t="s">
        <v>2947</v>
      </c>
      <c r="F629" s="1" t="s">
        <v>812</v>
      </c>
      <c r="G629" s="1" t="s">
        <v>1840</v>
      </c>
      <c r="H629" s="1" t="s">
        <v>1812</v>
      </c>
      <c r="I629" s="10" t="str">
        <f>IF(H629="T66",1,IF(H629="T66",3,IF(H629="T82",6,IF(H629="T82",10,IF(H629="T114",14,IF(H629="T114",18,IF(H629="T82",22,"")))))))</f>
        <v/>
      </c>
      <c r="J629" s="1" t="s">
        <v>1808</v>
      </c>
      <c r="K629" s="10">
        <v>2</v>
      </c>
      <c r="L629" s="10">
        <v>1</v>
      </c>
      <c r="O629" s="6"/>
      <c r="Q629" s="42" t="s">
        <v>2847</v>
      </c>
      <c r="R629" s="42"/>
      <c r="S629" s="1"/>
    </row>
    <row r="630" spans="1:19" ht="18.75" hidden="1" customHeight="1" x14ac:dyDescent="0.3">
      <c r="A630" s="10">
        <v>629</v>
      </c>
      <c r="B630" s="10">
        <f>_xlfn.XLOOKUP(1,(VALUE(D630)&gt;=VALUE(block!$C$3:$C$500))*(VALUE(D630)&lt;VALUE(block!$C$3:$C$500)+VALUE(block!$D$3:$D$500)),block!$A$3:$A$500,"无匹配",0,1)</f>
        <v>15</v>
      </c>
      <c r="C630" s="3" t="str">
        <f>B630 &amp; "-" &amp; COUNTIF($B$2:B630, B630)</f>
        <v>15-35</v>
      </c>
      <c r="D630" s="10">
        <v>9950</v>
      </c>
      <c r="E630" s="1" t="s">
        <v>2948</v>
      </c>
      <c r="F630" s="1" t="s">
        <v>813</v>
      </c>
      <c r="G630" s="1" t="s">
        <v>1840</v>
      </c>
      <c r="H630" s="1" t="s">
        <v>1812</v>
      </c>
      <c r="I630" s="10" t="str">
        <f>IF(H630="T67",1,IF(H630="T67",3,IF(H630="T83",6,IF(H630="T83",10,IF(H630="T115",14,IF(H630="T115",18,IF(H630="T83",22,"")))))))</f>
        <v/>
      </c>
      <c r="J630" s="1" t="s">
        <v>1808</v>
      </c>
      <c r="K630" s="10">
        <v>2</v>
      </c>
      <c r="L630" s="10">
        <v>1</v>
      </c>
      <c r="O630" s="6"/>
      <c r="Q630" s="42" t="s">
        <v>2847</v>
      </c>
      <c r="R630" s="42"/>
      <c r="S630" s="1"/>
    </row>
    <row r="631" spans="1:19" ht="18.75" customHeight="1" x14ac:dyDescent="0.3">
      <c r="A631" s="10">
        <v>630</v>
      </c>
      <c r="B631" s="10">
        <f>_xlfn.XLOOKUP(1,(VALUE(D631)&gt;=VALUE(block!$C$3:$C$500))*(VALUE(D631)&lt;VALUE(block!$C$3:$C$500)+VALUE(block!$D$3:$D$500)),block!$A$3:$A$500,"无匹配",0,1)</f>
        <v>16</v>
      </c>
      <c r="C631" s="3" t="str">
        <f>B631 &amp; "-" &amp; COUNTIF($B$2:B631, B631)</f>
        <v>16-1</v>
      </c>
      <c r="D631" s="10">
        <v>9952</v>
      </c>
      <c r="E631" s="1" t="s">
        <v>2949</v>
      </c>
      <c r="F631" s="1" t="s">
        <v>263</v>
      </c>
      <c r="G631" s="1" t="s">
        <v>1840</v>
      </c>
      <c r="H631" s="1" t="s">
        <v>1812</v>
      </c>
      <c r="I631" s="10" t="str">
        <f>IF(H631="T68",1,IF(H631="T68",3,IF(H631="T84",6,IF(H631="T84",10,IF(H631="T116",14,IF(H631="T116",18,IF(H631="T84",22,"")))))))</f>
        <v/>
      </c>
      <c r="J631" s="1" t="s">
        <v>1808</v>
      </c>
      <c r="K631" s="10">
        <v>2</v>
      </c>
      <c r="L631" s="10">
        <v>1</v>
      </c>
      <c r="N631" s="10">
        <v>4</v>
      </c>
      <c r="O631" s="6"/>
      <c r="P631" s="45" t="s">
        <v>2826</v>
      </c>
      <c r="Q631" s="6">
        <v>13</v>
      </c>
      <c r="R631" s="6"/>
      <c r="S631" s="1" t="s">
        <v>263</v>
      </c>
    </row>
    <row r="632" spans="1:19" ht="18.75" customHeight="1" x14ac:dyDescent="0.3">
      <c r="A632" s="10">
        <v>631</v>
      </c>
      <c r="B632" s="10">
        <f>_xlfn.XLOOKUP(1,(VALUE(D632)&gt;=VALUE(block!$C$3:$C$500))*(VALUE(D632)&lt;VALUE(block!$C$3:$C$500)+VALUE(block!$D$3:$D$500)),block!$A$3:$A$500,"无匹配",0,1)</f>
        <v>16</v>
      </c>
      <c r="C632" s="3" t="str">
        <f>B632 &amp; "-" &amp; COUNTIF($B$2:B632, B632)</f>
        <v>16-2</v>
      </c>
      <c r="D632" s="10">
        <v>9954</v>
      </c>
      <c r="E632" s="1" t="s">
        <v>2950</v>
      </c>
      <c r="F632" s="1" t="s">
        <v>267</v>
      </c>
      <c r="G632" s="1" t="s">
        <v>1840</v>
      </c>
      <c r="H632" s="1" t="s">
        <v>1812</v>
      </c>
      <c r="I632" s="10" t="str">
        <f>IF(H632="T69",1,IF(H632="T69",3,IF(H632="T85",6,IF(H632="T85",10,IF(H632="T117",14,IF(H632="T117",18,IF(H632="T85",22,"")))))))</f>
        <v/>
      </c>
      <c r="J632" s="1" t="s">
        <v>1808</v>
      </c>
      <c r="K632" s="10">
        <v>2</v>
      </c>
      <c r="L632" s="10">
        <v>1</v>
      </c>
      <c r="N632" s="10">
        <v>4</v>
      </c>
      <c r="O632" s="6"/>
      <c r="P632" s="45" t="s">
        <v>2826</v>
      </c>
      <c r="Q632" s="6">
        <v>13</v>
      </c>
      <c r="R632" s="6"/>
      <c r="S632" s="1" t="s">
        <v>267</v>
      </c>
    </row>
    <row r="633" spans="1:19" ht="18.75" customHeight="1" x14ac:dyDescent="0.3">
      <c r="A633" s="10">
        <v>632</v>
      </c>
      <c r="B633" s="10">
        <f>_xlfn.XLOOKUP(1,(VALUE(D633)&gt;=VALUE(block!$C$3:$C$500))*(VALUE(D633)&lt;VALUE(block!$C$3:$C$500)+VALUE(block!$D$3:$D$500)),block!$A$3:$A$500,"无匹配",0,1)</f>
        <v>16</v>
      </c>
      <c r="C633" s="3" t="str">
        <f>B633 &amp; "-" &amp; COUNTIF($B$2:B633, B633)</f>
        <v>16-3</v>
      </c>
      <c r="D633" s="10">
        <v>9956</v>
      </c>
      <c r="E633" s="1" t="s">
        <v>2951</v>
      </c>
      <c r="F633" s="1" t="s">
        <v>271</v>
      </c>
      <c r="G633" s="1" t="s">
        <v>1840</v>
      </c>
      <c r="H633" s="1" t="s">
        <v>1812</v>
      </c>
      <c r="I633" s="10" t="str">
        <f>IF(H633="T70",1,IF(H633="T70",3,IF(H633="T86",6,IF(H633="T86",10,IF(H633="T118",14,IF(H633="T118",18,IF(H633="T86",22,"")))))))</f>
        <v/>
      </c>
      <c r="J633" s="1" t="s">
        <v>1808</v>
      </c>
      <c r="K633" s="10">
        <v>2</v>
      </c>
      <c r="L633" s="10">
        <v>1</v>
      </c>
      <c r="N633" s="10">
        <v>4</v>
      </c>
      <c r="O633" s="6"/>
      <c r="P633" s="45" t="s">
        <v>2826</v>
      </c>
      <c r="Q633" s="6">
        <v>13</v>
      </c>
      <c r="R633" s="6"/>
      <c r="S633" s="1" t="s">
        <v>271</v>
      </c>
    </row>
    <row r="634" spans="1:19" ht="18.75" customHeight="1" x14ac:dyDescent="0.3">
      <c r="A634" s="10">
        <v>633</v>
      </c>
      <c r="B634" s="10">
        <f>_xlfn.XLOOKUP(1,(VALUE(D634)&gt;=VALUE(block!$C$3:$C$500))*(VALUE(D634)&lt;VALUE(block!$C$3:$C$500)+VALUE(block!$D$3:$D$500)),block!$A$3:$A$500,"无匹配",0,1)</f>
        <v>16</v>
      </c>
      <c r="C634" s="3" t="str">
        <f>B634 &amp; "-" &amp; COUNTIF($B$2:B634, B634)</f>
        <v>16-4</v>
      </c>
      <c r="D634" s="10">
        <v>9958</v>
      </c>
      <c r="E634" s="1" t="s">
        <v>2952</v>
      </c>
      <c r="F634" s="1" t="s">
        <v>2953</v>
      </c>
      <c r="G634" s="1" t="s">
        <v>1840</v>
      </c>
      <c r="H634" s="1" t="s">
        <v>1812</v>
      </c>
      <c r="I634" s="10" t="str">
        <f>IF(H634="T71",1,IF(H634="T71",3,IF(H634="T87",6,IF(H634="T87",10,IF(H634="T119",14,IF(H634="T119",18,IF(H634="T87",22,"")))))))</f>
        <v/>
      </c>
      <c r="J634" s="1" t="s">
        <v>1808</v>
      </c>
      <c r="K634" s="10">
        <v>2</v>
      </c>
      <c r="L634" s="10">
        <v>1</v>
      </c>
      <c r="N634" s="10">
        <v>4</v>
      </c>
      <c r="O634" s="6"/>
      <c r="P634" s="45" t="s">
        <v>2826</v>
      </c>
      <c r="Q634" s="6">
        <v>14</v>
      </c>
      <c r="R634" s="6"/>
      <c r="S634" s="1" t="s">
        <v>2953</v>
      </c>
    </row>
    <row r="635" spans="1:19" ht="18.75" customHeight="1" x14ac:dyDescent="0.3">
      <c r="A635" s="10">
        <v>634</v>
      </c>
      <c r="B635" s="10">
        <f>_xlfn.XLOOKUP(1,(VALUE(D635)&gt;=VALUE(block!$C$3:$C$500))*(VALUE(D635)&lt;VALUE(block!$C$3:$C$500)+VALUE(block!$D$3:$D$500)),block!$A$3:$A$500,"无匹配",0,1)</f>
        <v>16</v>
      </c>
      <c r="C635" s="3" t="str">
        <f>B635 &amp; "-" &amp; COUNTIF($B$2:B635, B635)</f>
        <v>16-5</v>
      </c>
      <c r="D635" s="10">
        <v>9960</v>
      </c>
      <c r="E635" s="1" t="s">
        <v>2954</v>
      </c>
      <c r="F635" s="1" t="s">
        <v>2955</v>
      </c>
      <c r="G635" s="1" t="s">
        <v>1840</v>
      </c>
      <c r="H635" s="1" t="s">
        <v>1812</v>
      </c>
      <c r="I635" s="10" t="str">
        <f>IF(H635="T72",1,IF(H635="T72",3,IF(H635="T88",6,IF(H635="T88",10,IF(H635="T120",14,IF(H635="T120",18,IF(H635="T88",22,"")))))))</f>
        <v/>
      </c>
      <c r="J635" s="1" t="s">
        <v>1808</v>
      </c>
      <c r="K635" s="10">
        <v>2</v>
      </c>
      <c r="L635" s="10">
        <v>1</v>
      </c>
      <c r="N635" s="10">
        <v>4</v>
      </c>
      <c r="O635" s="6"/>
      <c r="P635" s="45" t="s">
        <v>2826</v>
      </c>
      <c r="Q635" s="6">
        <v>14</v>
      </c>
      <c r="R635" s="6"/>
      <c r="S635" s="1" t="s">
        <v>2955</v>
      </c>
    </row>
    <row r="636" spans="1:19" ht="18.75" customHeight="1" x14ac:dyDescent="0.3">
      <c r="A636" s="10">
        <v>635</v>
      </c>
      <c r="B636" s="10">
        <f>_xlfn.XLOOKUP(1,(VALUE(D636)&gt;=VALUE(block!$C$3:$C$500))*(VALUE(D636)&lt;VALUE(block!$C$3:$C$500)+VALUE(block!$D$3:$D$500)),block!$A$3:$A$500,"无匹配",0,1)</f>
        <v>16</v>
      </c>
      <c r="C636" s="3" t="str">
        <f>B636 &amp; "-" &amp; COUNTIF($B$2:B636, B636)</f>
        <v>16-6</v>
      </c>
      <c r="D636" s="10">
        <v>9962</v>
      </c>
      <c r="E636" s="1" t="s">
        <v>2956</v>
      </c>
      <c r="F636" s="1" t="s">
        <v>2957</v>
      </c>
      <c r="G636" s="1" t="s">
        <v>1840</v>
      </c>
      <c r="H636" s="1" t="s">
        <v>1812</v>
      </c>
      <c r="I636" s="10" t="str">
        <f>IF(H636="T73",1,IF(H636="T73",3,IF(H636="T89",6,IF(H636="T89",10,IF(H636="T121",14,IF(H636="T121",18,IF(H636="T89",22,"")))))))</f>
        <v/>
      </c>
      <c r="J636" s="1" t="s">
        <v>1808</v>
      </c>
      <c r="K636" s="10">
        <v>2</v>
      </c>
      <c r="L636" s="10">
        <v>1</v>
      </c>
      <c r="N636" s="10">
        <v>4</v>
      </c>
      <c r="O636" s="6"/>
      <c r="P636" s="45" t="s">
        <v>2826</v>
      </c>
      <c r="Q636" s="6">
        <v>14</v>
      </c>
      <c r="R636" s="6"/>
      <c r="S636" s="1" t="s">
        <v>2957</v>
      </c>
    </row>
    <row r="637" spans="1:19" ht="18.75" customHeight="1" x14ac:dyDescent="0.3">
      <c r="A637" s="10">
        <v>636</v>
      </c>
      <c r="B637" s="10">
        <f>_xlfn.XLOOKUP(1,(VALUE(D637)&gt;=VALUE(block!$C$3:$C$500))*(VALUE(D637)&lt;VALUE(block!$C$3:$C$500)+VALUE(block!$D$3:$D$500)),block!$A$3:$A$500,"无匹配",0,1)</f>
        <v>16</v>
      </c>
      <c r="C637" s="3" t="str">
        <f>B637 &amp; "-" &amp; COUNTIF($B$2:B637, B637)</f>
        <v>16-7</v>
      </c>
      <c r="D637" s="10">
        <v>9964</v>
      </c>
      <c r="E637" s="1" t="s">
        <v>2958</v>
      </c>
      <c r="F637" s="1" t="s">
        <v>2959</v>
      </c>
      <c r="G637" s="1" t="s">
        <v>1840</v>
      </c>
      <c r="H637" s="1" t="s">
        <v>1812</v>
      </c>
      <c r="I637" s="10" t="str">
        <f>IF(H637="T74",1,IF(H637="T74",3,IF(H637="T90",6,IF(H637="T90",10,IF(H637="T122",14,IF(H637="T122",18,IF(H637="T90",22,"")))))))</f>
        <v/>
      </c>
      <c r="J637" s="1" t="s">
        <v>1808</v>
      </c>
      <c r="K637" s="10">
        <v>2</v>
      </c>
      <c r="L637" s="10">
        <v>1</v>
      </c>
      <c r="N637" s="10">
        <v>4</v>
      </c>
      <c r="O637" s="6"/>
      <c r="P637" s="45" t="s">
        <v>2826</v>
      </c>
      <c r="Q637" s="6">
        <v>14</v>
      </c>
      <c r="R637" s="6"/>
      <c r="S637" s="1" t="s">
        <v>2959</v>
      </c>
    </row>
    <row r="638" spans="1:19" ht="18.75" hidden="1" customHeight="1" x14ac:dyDescent="0.3">
      <c r="A638" s="10">
        <v>637</v>
      </c>
      <c r="B638" s="10">
        <f>_xlfn.XLOOKUP(1,(VALUE(D638)&gt;=VALUE(block!$C$3:$C$500))*(VALUE(D638)&lt;VALUE(block!$C$3:$C$500)+VALUE(block!$D$3:$D$500)),block!$A$3:$A$500,"无匹配",0,1)</f>
        <v>16</v>
      </c>
      <c r="C638" s="3" t="str">
        <f>B638 &amp; "-" &amp; COUNTIF($B$2:B638, B638)</f>
        <v>16-8</v>
      </c>
      <c r="D638" s="10">
        <v>9966</v>
      </c>
      <c r="E638" s="1" t="s">
        <v>2960</v>
      </c>
      <c r="F638" s="1" t="s">
        <v>2961</v>
      </c>
      <c r="G638" s="1" t="s">
        <v>1840</v>
      </c>
      <c r="H638" s="1" t="s">
        <v>1812</v>
      </c>
      <c r="I638" s="10" t="str">
        <f>IF(H638="T75",1,IF(H638="T75",3,IF(H638="T91",6,IF(H638="T91",10,IF(H638="T123",14,IF(H638="T123",18,IF(H638="T91",22,"")))))))</f>
        <v/>
      </c>
      <c r="J638" s="1" t="s">
        <v>1808</v>
      </c>
      <c r="K638" s="10">
        <v>2</v>
      </c>
      <c r="L638" s="10">
        <v>1</v>
      </c>
      <c r="O638" s="6"/>
      <c r="Q638" s="42" t="s">
        <v>2962</v>
      </c>
      <c r="R638" s="42"/>
      <c r="S638" s="1"/>
    </row>
    <row r="639" spans="1:19" ht="18.75" hidden="1" customHeight="1" x14ac:dyDescent="0.3">
      <c r="A639" s="10">
        <v>638</v>
      </c>
      <c r="B639" s="10">
        <f>_xlfn.XLOOKUP(1,(VALUE(D639)&gt;=VALUE(block!$C$3:$C$500))*(VALUE(D639)&lt;VALUE(block!$C$3:$C$500)+VALUE(block!$D$3:$D$500)),block!$A$3:$A$500,"无匹配",0,1)</f>
        <v>16</v>
      </c>
      <c r="C639" s="3" t="str">
        <f>B639 &amp; "-" &amp; COUNTIF($B$2:B639, B639)</f>
        <v>16-9</v>
      </c>
      <c r="D639" s="10">
        <v>9968</v>
      </c>
      <c r="E639" s="1" t="s">
        <v>2963</v>
      </c>
      <c r="F639" s="1" t="s">
        <v>2964</v>
      </c>
      <c r="G639" s="1" t="s">
        <v>1840</v>
      </c>
      <c r="H639" s="1" t="s">
        <v>1812</v>
      </c>
      <c r="I639" s="10" t="str">
        <f>IF(H639="T76",1,IF(H639="T76",3,IF(H639="T92",6,IF(H639="T92",10,IF(H639="T124",14,IF(H639="T124",18,IF(H639="T92",22,"")))))))</f>
        <v/>
      </c>
      <c r="J639" s="1" t="s">
        <v>1808</v>
      </c>
      <c r="K639" s="10">
        <v>2</v>
      </c>
      <c r="L639" s="10">
        <v>1</v>
      </c>
      <c r="O639" s="6"/>
      <c r="Q639" s="42" t="s">
        <v>2962</v>
      </c>
      <c r="R639" s="42"/>
      <c r="S639" s="1"/>
    </row>
    <row r="640" spans="1:19" ht="18.75" hidden="1" customHeight="1" x14ac:dyDescent="0.3">
      <c r="A640" s="10">
        <v>639</v>
      </c>
      <c r="B640" s="10">
        <f>_xlfn.XLOOKUP(1,(VALUE(D640)&gt;=VALUE(block!$C$3:$C$500))*(VALUE(D640)&lt;VALUE(block!$C$3:$C$500)+VALUE(block!$D$3:$D$500)),block!$A$3:$A$500,"无匹配",0,1)</f>
        <v>16</v>
      </c>
      <c r="C640" s="3" t="str">
        <f>B640 &amp; "-" &amp; COUNTIF($B$2:B640, B640)</f>
        <v>16-10</v>
      </c>
      <c r="D640" s="10">
        <v>9970</v>
      </c>
      <c r="E640" s="1" t="s">
        <v>2965</v>
      </c>
      <c r="F640" s="1" t="s">
        <v>2966</v>
      </c>
      <c r="G640" s="1" t="s">
        <v>1840</v>
      </c>
      <c r="H640" s="1" t="s">
        <v>1812</v>
      </c>
      <c r="I640" s="10" t="str">
        <f>IF(H640="T77",1,IF(H640="T77",3,IF(H640="T93",6,IF(H640="T93",10,IF(H640="T125",14,IF(H640="T125",18,IF(H640="T93",22,"")))))))</f>
        <v/>
      </c>
      <c r="J640" s="1" t="s">
        <v>1808</v>
      </c>
      <c r="K640" s="10">
        <v>2</v>
      </c>
      <c r="L640" s="10">
        <v>1</v>
      </c>
      <c r="O640" s="6"/>
      <c r="Q640" s="42" t="s">
        <v>2962</v>
      </c>
      <c r="R640" s="42"/>
      <c r="S640" s="1"/>
    </row>
    <row r="641" spans="1:19" ht="18.75" hidden="1" customHeight="1" x14ac:dyDescent="0.3">
      <c r="A641" s="10">
        <v>640</v>
      </c>
      <c r="B641" s="10">
        <f>_xlfn.XLOOKUP(1,(VALUE(D641)&gt;=VALUE(block!$C$3:$C$500))*(VALUE(D641)&lt;VALUE(block!$C$3:$C$500)+VALUE(block!$D$3:$D$500)),block!$A$3:$A$500,"无匹配",0,1)</f>
        <v>16</v>
      </c>
      <c r="C641" s="3" t="str">
        <f>B641 &amp; "-" &amp; COUNTIF($B$2:B641, B641)</f>
        <v>16-11</v>
      </c>
      <c r="D641" s="10">
        <v>9972</v>
      </c>
      <c r="E641" s="1" t="s">
        <v>2967</v>
      </c>
      <c r="F641" s="1" t="s">
        <v>2968</v>
      </c>
      <c r="G641" s="1" t="s">
        <v>1840</v>
      </c>
      <c r="H641" s="1" t="s">
        <v>1812</v>
      </c>
      <c r="I641" s="10" t="str">
        <f>IF(H641="T78",1,IF(H641="T78",3,IF(H641="T94",6,IF(H641="T94",10,IF(H641="T126",14,IF(H641="T126",18,IF(H641="T94",22,"")))))))</f>
        <v/>
      </c>
      <c r="J641" s="1" t="s">
        <v>1808</v>
      </c>
      <c r="K641" s="10">
        <v>2</v>
      </c>
      <c r="L641" s="10">
        <v>1</v>
      </c>
      <c r="O641" s="6"/>
      <c r="Q641" s="42" t="s">
        <v>2962</v>
      </c>
      <c r="R641" s="42"/>
      <c r="S641" s="1"/>
    </row>
    <row r="642" spans="1:19" ht="18.75" hidden="1" customHeight="1" x14ac:dyDescent="0.3">
      <c r="A642" s="10">
        <v>641</v>
      </c>
      <c r="B642" s="10">
        <f>_xlfn.XLOOKUP(1,(VALUE(D642)&gt;=VALUE(block!$C$3:$C$500))*(VALUE(D642)&lt;VALUE(block!$C$3:$C$500)+VALUE(block!$D$3:$D$500)),block!$A$3:$A$500,"无匹配",0,1)</f>
        <v>16</v>
      </c>
      <c r="C642" s="3" t="str">
        <f>B642 &amp; "-" &amp; COUNTIF($B$2:B642, B642)</f>
        <v>16-12</v>
      </c>
      <c r="D642" s="10">
        <v>9974</v>
      </c>
      <c r="E642" s="1" t="s">
        <v>2969</v>
      </c>
      <c r="F642" s="1" t="s">
        <v>2970</v>
      </c>
      <c r="G642" s="1" t="s">
        <v>1840</v>
      </c>
      <c r="H642" s="1" t="s">
        <v>1812</v>
      </c>
      <c r="I642" s="10" t="str">
        <f>IF(H642="T79",1,IF(H642="T79",3,IF(H642="T95",6,IF(H642="T95",10,IF(H642="T127",14,IF(H642="T127",18,IF(H642="T95",22,"")))))))</f>
        <v/>
      </c>
      <c r="J642" s="1" t="s">
        <v>1808</v>
      </c>
      <c r="K642" s="10">
        <v>2</v>
      </c>
      <c r="L642" s="10">
        <v>1</v>
      </c>
      <c r="O642" s="6"/>
      <c r="Q642" s="42" t="s">
        <v>2962</v>
      </c>
      <c r="R642" s="42"/>
      <c r="S642" s="1"/>
    </row>
    <row r="643" spans="1:19" ht="18.75" hidden="1" customHeight="1" x14ac:dyDescent="0.3">
      <c r="A643" s="10">
        <v>642</v>
      </c>
      <c r="B643" s="10">
        <f>_xlfn.XLOOKUP(1,(VALUE(D643)&gt;=VALUE(block!$C$3:$C$500))*(VALUE(D643)&lt;VALUE(block!$C$3:$C$500)+VALUE(block!$D$3:$D$500)),block!$A$3:$A$500,"无匹配",0,1)</f>
        <v>16</v>
      </c>
      <c r="C643" s="3" t="str">
        <f>B643 &amp; "-" &amp; COUNTIF($B$2:B643, B643)</f>
        <v>16-13</v>
      </c>
      <c r="D643" s="10">
        <v>9976</v>
      </c>
      <c r="E643" s="1" t="s">
        <v>2971</v>
      </c>
      <c r="F643" s="1" t="s">
        <v>2972</v>
      </c>
      <c r="G643" s="1" t="s">
        <v>1840</v>
      </c>
      <c r="H643" s="1" t="s">
        <v>1812</v>
      </c>
      <c r="I643" s="10">
        <f>IF(H643="uint16",1,IF(H643="int16",3,IF(H643="uint32",6,IF(H643="int32",10,IF(H643="uint64",14,IF(H643="int64",18,IF(H643="float32",22,"")))))))</f>
        <v>22</v>
      </c>
      <c r="J643" s="1" t="s">
        <v>1808</v>
      </c>
      <c r="K643" s="10">
        <v>2</v>
      </c>
      <c r="L643" s="10">
        <v>1</v>
      </c>
      <c r="O643" s="6"/>
      <c r="Q643" s="42" t="s">
        <v>2962</v>
      </c>
      <c r="R643" s="42"/>
      <c r="S643" s="1"/>
    </row>
    <row r="644" spans="1:19" ht="18.75" hidden="1" customHeight="1" x14ac:dyDescent="0.3">
      <c r="A644" s="10">
        <v>643</v>
      </c>
      <c r="B644" s="10">
        <f>_xlfn.XLOOKUP(1,(VALUE(D644)&gt;=VALUE(block!$C$3:$C$500))*(VALUE(D644)&lt;VALUE(block!$C$3:$C$500)+VALUE(block!$D$3:$D$500)),block!$A$3:$A$500,"无匹配",0,1)</f>
        <v>16</v>
      </c>
      <c r="C644" s="3" t="str">
        <f>B644 &amp; "-" &amp; COUNTIF($B$2:B644, B644)</f>
        <v>16-14</v>
      </c>
      <c r="D644" s="10">
        <v>9978</v>
      </c>
      <c r="E644" s="1" t="s">
        <v>2973</v>
      </c>
      <c r="F644" s="1" t="s">
        <v>2974</v>
      </c>
      <c r="G644" s="1" t="s">
        <v>1840</v>
      </c>
      <c r="H644" s="1" t="s">
        <v>1812</v>
      </c>
      <c r="I644" s="10" t="str">
        <f>IF(H644="T17",1,IF(H644="T17",3,IF(H644="T33",6,IF(H644="T33",10,IF(H644="T65",14,IF(H644="T65",18,IF(H644="T33",22,"")))))))</f>
        <v/>
      </c>
      <c r="J644" s="1" t="s">
        <v>1808</v>
      </c>
      <c r="K644" s="10">
        <v>2</v>
      </c>
      <c r="L644" s="10">
        <v>1</v>
      </c>
      <c r="O644" s="6"/>
      <c r="Q644" s="42" t="s">
        <v>2962</v>
      </c>
      <c r="R644" s="42"/>
      <c r="S644" s="1"/>
    </row>
    <row r="645" spans="1:19" ht="18.75" hidden="1" customHeight="1" x14ac:dyDescent="0.3">
      <c r="A645" s="10">
        <v>644</v>
      </c>
      <c r="B645" s="10">
        <f>_xlfn.XLOOKUP(1,(VALUE(D645)&gt;=VALUE(block!$C$3:$C$500))*(VALUE(D645)&lt;VALUE(block!$C$3:$C$500)+VALUE(block!$D$3:$D$500)),block!$A$3:$A$500,"无匹配",0,1)</f>
        <v>16</v>
      </c>
      <c r="C645" s="3" t="str">
        <f>B645 &amp; "-" &amp; COUNTIF($B$2:B645, B645)</f>
        <v>16-15</v>
      </c>
      <c r="D645" s="10">
        <v>9980</v>
      </c>
      <c r="E645" s="1" t="s">
        <v>2975</v>
      </c>
      <c r="F645" s="1" t="s">
        <v>2976</v>
      </c>
      <c r="G645" s="1" t="s">
        <v>1840</v>
      </c>
      <c r="H645" s="1" t="s">
        <v>1812</v>
      </c>
      <c r="I645" s="10" t="str">
        <f>IF(H645="T18",1,IF(H645="T18",3,IF(H645="T34",6,IF(H645="T34",10,IF(H645="T66",14,IF(H645="T66",18,IF(H645="T34",22,"")))))))</f>
        <v/>
      </c>
      <c r="J645" s="1" t="s">
        <v>1808</v>
      </c>
      <c r="K645" s="10">
        <v>2</v>
      </c>
      <c r="L645" s="10">
        <v>1</v>
      </c>
      <c r="O645" s="6"/>
      <c r="Q645" s="42" t="s">
        <v>2962</v>
      </c>
      <c r="R645" s="42"/>
      <c r="S645" s="1"/>
    </row>
    <row r="646" spans="1:19" ht="18.75" hidden="1" customHeight="1" x14ac:dyDescent="0.3">
      <c r="A646" s="10">
        <v>645</v>
      </c>
      <c r="B646" s="10">
        <f>_xlfn.XLOOKUP(1,(VALUE(D646)&gt;=VALUE(block!$C$3:$C$500))*(VALUE(D646)&lt;VALUE(block!$C$3:$C$500)+VALUE(block!$D$3:$D$500)),block!$A$3:$A$500,"无匹配",0,1)</f>
        <v>16</v>
      </c>
      <c r="C646" s="3" t="str">
        <f>B646 &amp; "-" &amp; COUNTIF($B$2:B646, B646)</f>
        <v>16-16</v>
      </c>
      <c r="D646" s="10">
        <v>9982</v>
      </c>
      <c r="E646" s="1" t="s">
        <v>2977</v>
      </c>
      <c r="F646" s="1" t="s">
        <v>2978</v>
      </c>
      <c r="G646" s="1" t="s">
        <v>1840</v>
      </c>
      <c r="H646" s="1" t="s">
        <v>1812</v>
      </c>
      <c r="I646" s="10" t="str">
        <f>IF(H646="T19",1,IF(H646="T19",3,IF(H646="T35",6,IF(H646="T35",10,IF(H646="T67",14,IF(H646="T67",18,IF(H646="T35",22,"")))))))</f>
        <v/>
      </c>
      <c r="J646" s="1" t="s">
        <v>1808</v>
      </c>
      <c r="K646" s="10">
        <v>2</v>
      </c>
      <c r="L646" s="10">
        <v>1</v>
      </c>
      <c r="O646" s="6"/>
      <c r="Q646" s="42" t="s">
        <v>2962</v>
      </c>
      <c r="R646" s="42"/>
      <c r="S646" s="1"/>
    </row>
    <row r="647" spans="1:19" ht="18.75" hidden="1" customHeight="1" x14ac:dyDescent="0.3">
      <c r="A647" s="10">
        <v>646</v>
      </c>
      <c r="B647" s="10">
        <f>_xlfn.XLOOKUP(1,(VALUE(D647)&gt;=VALUE(block!$C$3:$C$500))*(VALUE(D647)&lt;VALUE(block!$C$3:$C$500)+VALUE(block!$D$3:$D$500)),block!$A$3:$A$500,"无匹配",0,1)</f>
        <v>16</v>
      </c>
      <c r="C647" s="3" t="str">
        <f>B647 &amp; "-" &amp; COUNTIF($B$2:B647, B647)</f>
        <v>16-17</v>
      </c>
      <c r="D647" s="10">
        <v>9984</v>
      </c>
      <c r="E647" s="1" t="s">
        <v>2979</v>
      </c>
      <c r="F647" s="1" t="s">
        <v>2980</v>
      </c>
      <c r="G647" s="1" t="s">
        <v>1840</v>
      </c>
      <c r="H647" s="1" t="s">
        <v>1812</v>
      </c>
      <c r="I647" s="10" t="str">
        <f>IF(H647="T20",1,IF(H647="T20",3,IF(H647="T36",6,IF(H647="T36",10,IF(H647="T68",14,IF(H647="T68",18,IF(H647="T36",22,"")))))))</f>
        <v/>
      </c>
      <c r="J647" s="1" t="s">
        <v>1808</v>
      </c>
      <c r="K647" s="10">
        <v>2</v>
      </c>
      <c r="L647" s="10">
        <v>1</v>
      </c>
      <c r="O647" s="6"/>
      <c r="Q647" s="42" t="s">
        <v>2962</v>
      </c>
      <c r="R647" s="42"/>
      <c r="S647" s="1"/>
    </row>
    <row r="648" spans="1:19" ht="18.75" hidden="1" customHeight="1" x14ac:dyDescent="0.3">
      <c r="A648" s="10">
        <v>647</v>
      </c>
      <c r="B648" s="10">
        <f>_xlfn.XLOOKUP(1,(VALUE(D648)&gt;=VALUE(block!$C$3:$C$500))*(VALUE(D648)&lt;VALUE(block!$C$3:$C$500)+VALUE(block!$D$3:$D$500)),block!$A$3:$A$500,"无匹配",0,1)</f>
        <v>16</v>
      </c>
      <c r="C648" s="3" t="str">
        <f>B648 &amp; "-" &amp; COUNTIF($B$2:B648, B648)</f>
        <v>16-18</v>
      </c>
      <c r="D648" s="10">
        <v>9986</v>
      </c>
      <c r="E648" s="1" t="s">
        <v>2981</v>
      </c>
      <c r="F648" s="1" t="s">
        <v>2982</v>
      </c>
      <c r="G648" s="1" t="s">
        <v>1840</v>
      </c>
      <c r="H648" s="1" t="s">
        <v>1812</v>
      </c>
      <c r="I648" s="10" t="str">
        <f>IF(H648="T21",1,IF(H648="T21",3,IF(H648="T37",6,IF(H648="T37",10,IF(H648="T69",14,IF(H648="T69",18,IF(H648="T37",22,"")))))))</f>
        <v/>
      </c>
      <c r="J648" s="1" t="s">
        <v>1808</v>
      </c>
      <c r="K648" s="10">
        <v>2</v>
      </c>
      <c r="L648" s="10">
        <v>1</v>
      </c>
      <c r="O648" s="6"/>
      <c r="Q648" s="42" t="s">
        <v>2962</v>
      </c>
      <c r="R648" s="42"/>
      <c r="S648" s="1"/>
    </row>
    <row r="649" spans="1:19" ht="18.75" hidden="1" customHeight="1" x14ac:dyDescent="0.3">
      <c r="A649" s="10">
        <v>648</v>
      </c>
      <c r="B649" s="10">
        <f>_xlfn.XLOOKUP(1,(VALUE(D649)&gt;=VALUE(block!$C$3:$C$500))*(VALUE(D649)&lt;VALUE(block!$C$3:$C$500)+VALUE(block!$D$3:$D$500)),block!$A$3:$A$500,"无匹配",0,1)</f>
        <v>16</v>
      </c>
      <c r="C649" s="3" t="str">
        <f>B649 &amp; "-" &amp; COUNTIF($B$2:B649, B649)</f>
        <v>16-19</v>
      </c>
      <c r="D649" s="10">
        <v>9988</v>
      </c>
      <c r="E649" s="1" t="s">
        <v>2983</v>
      </c>
      <c r="F649" s="1" t="s">
        <v>2984</v>
      </c>
      <c r="G649" s="1" t="s">
        <v>1840</v>
      </c>
      <c r="H649" s="1" t="s">
        <v>1812</v>
      </c>
      <c r="I649" s="10" t="str">
        <f>IF(H649="T22",1,IF(H649="T22",3,IF(H649="T38",6,IF(H649="T38",10,IF(H649="T70",14,IF(H649="T70",18,IF(H649="T38",22,"")))))))</f>
        <v/>
      </c>
      <c r="J649" s="1" t="s">
        <v>1808</v>
      </c>
      <c r="K649" s="10">
        <v>2</v>
      </c>
      <c r="L649" s="10">
        <v>1</v>
      </c>
      <c r="O649" s="6"/>
      <c r="Q649" s="42" t="s">
        <v>2962</v>
      </c>
      <c r="R649" s="42"/>
      <c r="S649" s="1"/>
    </row>
    <row r="650" spans="1:19" ht="18.75" hidden="1" customHeight="1" x14ac:dyDescent="0.3">
      <c r="A650" s="10">
        <v>649</v>
      </c>
      <c r="B650" s="10">
        <f>_xlfn.XLOOKUP(1,(VALUE(D650)&gt;=VALUE(block!$C$3:$C$500))*(VALUE(D650)&lt;VALUE(block!$C$3:$C$500)+VALUE(block!$D$3:$D$500)),block!$A$3:$A$500,"无匹配",0,1)</f>
        <v>16</v>
      </c>
      <c r="C650" s="3" t="str">
        <f>B650 &amp; "-" &amp; COUNTIF($B$2:B650, B650)</f>
        <v>16-20</v>
      </c>
      <c r="D650" s="10">
        <v>9990</v>
      </c>
      <c r="E650" s="1" t="s">
        <v>2985</v>
      </c>
      <c r="F650" s="1" t="s">
        <v>2986</v>
      </c>
      <c r="G650" s="1" t="s">
        <v>1840</v>
      </c>
      <c r="H650" s="1" t="s">
        <v>1812</v>
      </c>
      <c r="I650" s="10" t="str">
        <f>IF(H650="T23",1,IF(H650="T23",3,IF(H650="T39",6,IF(H650="T39",10,IF(H650="T71",14,IF(H650="T71",18,IF(H650="T39",22,"")))))))</f>
        <v/>
      </c>
      <c r="J650" s="1" t="s">
        <v>1808</v>
      </c>
      <c r="K650" s="10">
        <v>2</v>
      </c>
      <c r="L650" s="10">
        <v>1</v>
      </c>
      <c r="O650" s="6"/>
      <c r="Q650" s="42" t="s">
        <v>2962</v>
      </c>
      <c r="R650" s="42"/>
      <c r="S650" s="1"/>
    </row>
    <row r="651" spans="1:19" ht="18.75" hidden="1" customHeight="1" x14ac:dyDescent="0.3">
      <c r="A651" s="10">
        <v>650</v>
      </c>
      <c r="B651" s="10">
        <f>_xlfn.XLOOKUP(1,(VALUE(D651)&gt;=VALUE(block!$C$3:$C$500))*(VALUE(D651)&lt;VALUE(block!$C$3:$C$500)+VALUE(block!$D$3:$D$500)),block!$A$3:$A$500,"无匹配",0,1)</f>
        <v>16</v>
      </c>
      <c r="C651" s="3" t="str">
        <f>B651 &amp; "-" &amp; COUNTIF($B$2:B651, B651)</f>
        <v>16-21</v>
      </c>
      <c r="D651" s="10">
        <v>9992</v>
      </c>
      <c r="E651" s="3" t="s">
        <v>2987</v>
      </c>
      <c r="F651" s="1" t="s">
        <v>2988</v>
      </c>
      <c r="G651" s="1" t="s">
        <v>1840</v>
      </c>
      <c r="H651" s="1" t="s">
        <v>1812</v>
      </c>
      <c r="I651" s="10" t="str">
        <f>IF(H651="T24",1,IF(H651="T24",3,IF(H651="T40",6,IF(H651="T40",10,IF(H651="T72",14,IF(H651="T72",18,IF(H651="T40",22,"")))))))</f>
        <v/>
      </c>
      <c r="J651" s="1" t="s">
        <v>1808</v>
      </c>
      <c r="K651" s="10">
        <v>2</v>
      </c>
      <c r="L651" s="10">
        <v>1</v>
      </c>
      <c r="O651" s="6"/>
      <c r="Q651" s="42" t="s">
        <v>2962</v>
      </c>
      <c r="R651" s="42"/>
      <c r="S651" s="1"/>
    </row>
    <row r="652" spans="1:19" ht="18.75" hidden="1" customHeight="1" x14ac:dyDescent="0.3">
      <c r="A652" s="10">
        <v>651</v>
      </c>
      <c r="B652" s="10">
        <f>_xlfn.XLOOKUP(1,(VALUE(D652)&gt;=VALUE(block!$C$3:$C$500))*(VALUE(D652)&lt;VALUE(block!$C$3:$C$500)+VALUE(block!$D$3:$D$500)),block!$A$3:$A$500,"无匹配",0,1)</f>
        <v>16</v>
      </c>
      <c r="C652" s="3" t="str">
        <f>B652 &amp; "-" &amp; COUNTIF($B$2:B652, B652)</f>
        <v>16-22</v>
      </c>
      <c r="D652" s="10">
        <v>9994</v>
      </c>
      <c r="E652" s="1" t="s">
        <v>2989</v>
      </c>
      <c r="F652" s="1" t="s">
        <v>2990</v>
      </c>
      <c r="G652" s="1" t="s">
        <v>1840</v>
      </c>
      <c r="H652" s="1" t="s">
        <v>1812</v>
      </c>
      <c r="I652" s="10" t="str">
        <f>IF(H652="T25",1,IF(H652="T25",3,IF(H652="T41",6,IF(H652="T41",10,IF(H652="T73",14,IF(H652="T73",18,IF(H652="T41",22,"")))))))</f>
        <v/>
      </c>
      <c r="J652" s="1" t="s">
        <v>1808</v>
      </c>
      <c r="K652" s="10">
        <v>2</v>
      </c>
      <c r="L652" s="10">
        <v>1</v>
      </c>
      <c r="O652" s="6"/>
      <c r="Q652" s="42" t="s">
        <v>2962</v>
      </c>
      <c r="R652" s="42"/>
      <c r="S652" s="1"/>
    </row>
    <row r="653" spans="1:19" ht="18.75" hidden="1" customHeight="1" x14ac:dyDescent="0.3">
      <c r="A653" s="10">
        <v>652</v>
      </c>
      <c r="B653" s="10">
        <f>_xlfn.XLOOKUP(1,(VALUE(D653)&gt;=VALUE(block!$C$3:$C$500))*(VALUE(D653)&lt;VALUE(block!$C$3:$C$500)+VALUE(block!$D$3:$D$500)),block!$A$3:$A$500,"无匹配",0,1)</f>
        <v>16</v>
      </c>
      <c r="C653" s="3" t="str">
        <f>B653 &amp; "-" &amp; COUNTIF($B$2:B653, B653)</f>
        <v>16-23</v>
      </c>
      <c r="D653" s="10">
        <v>9996</v>
      </c>
      <c r="E653" s="1" t="s">
        <v>2991</v>
      </c>
      <c r="F653" s="1" t="s">
        <v>2992</v>
      </c>
      <c r="G653" s="1" t="s">
        <v>1840</v>
      </c>
      <c r="H653" s="1" t="s">
        <v>1812</v>
      </c>
      <c r="I653" s="10" t="str">
        <f>IF(H653="T26",1,IF(H653="T26",3,IF(H653="T42",6,IF(H653="T42",10,IF(H653="T74",14,IF(H653="T74",18,IF(H653="T42",22,"")))))))</f>
        <v/>
      </c>
      <c r="J653" s="1" t="s">
        <v>1808</v>
      </c>
      <c r="K653" s="10">
        <v>2</v>
      </c>
      <c r="L653" s="10">
        <v>1</v>
      </c>
      <c r="O653" s="6"/>
      <c r="Q653" s="42" t="s">
        <v>2962</v>
      </c>
      <c r="R653" s="42"/>
      <c r="S653" s="1"/>
    </row>
    <row r="654" spans="1:19" ht="18.75" hidden="1" customHeight="1" x14ac:dyDescent="0.3">
      <c r="A654" s="10">
        <v>653</v>
      </c>
      <c r="B654" s="10">
        <f>_xlfn.XLOOKUP(1,(VALUE(D654)&gt;=VALUE(block!$C$3:$C$500))*(VALUE(D654)&lt;VALUE(block!$C$3:$C$500)+VALUE(block!$D$3:$D$500)),block!$A$3:$A$500,"无匹配",0,1)</f>
        <v>16</v>
      </c>
      <c r="C654" s="3" t="str">
        <f>B654 &amp; "-" &amp; COUNTIF($B$2:B654, B654)</f>
        <v>16-24</v>
      </c>
      <c r="D654" s="10">
        <v>9998</v>
      </c>
      <c r="E654" s="1" t="s">
        <v>2993</v>
      </c>
      <c r="F654" s="1" t="s">
        <v>2994</v>
      </c>
      <c r="G654" s="1" t="s">
        <v>1840</v>
      </c>
      <c r="H654" s="1" t="s">
        <v>1812</v>
      </c>
      <c r="I654" s="10" t="str">
        <f>IF(H654="T27",1,IF(H654="T27",3,IF(H654="T43",6,IF(H654="T43",10,IF(H654="T75",14,IF(H654="T75",18,IF(H654="T43",22,"")))))))</f>
        <v/>
      </c>
      <c r="J654" s="1" t="s">
        <v>1808</v>
      </c>
      <c r="K654" s="10">
        <v>2</v>
      </c>
      <c r="L654" s="10">
        <v>1</v>
      </c>
      <c r="O654" s="6"/>
      <c r="Q654" s="42" t="s">
        <v>2962</v>
      </c>
      <c r="R654" s="42"/>
      <c r="S654" s="1"/>
    </row>
    <row r="655" spans="1:19" ht="18.75" hidden="1" customHeight="1" x14ac:dyDescent="0.3">
      <c r="A655" s="10">
        <v>654</v>
      </c>
      <c r="B655" s="10">
        <f>_xlfn.XLOOKUP(1,(VALUE(D655)&gt;=VALUE(block!$C$3:$C$500))*(VALUE(D655)&lt;VALUE(block!$C$3:$C$500)+VALUE(block!$D$3:$D$500)),block!$A$3:$A$500,"无匹配",0,1)</f>
        <v>16</v>
      </c>
      <c r="C655" s="3" t="str">
        <f>B655 &amp; "-" &amp; COUNTIF($B$2:B655, B655)</f>
        <v>16-25</v>
      </c>
      <c r="D655" s="10">
        <v>10000</v>
      </c>
      <c r="E655" s="1" t="s">
        <v>2995</v>
      </c>
      <c r="F655" s="1" t="s">
        <v>2996</v>
      </c>
      <c r="G655" s="1" t="s">
        <v>1840</v>
      </c>
      <c r="H655" s="1" t="s">
        <v>1812</v>
      </c>
      <c r="I655" s="10" t="str">
        <f>IF(H655="T28",1,IF(H655="T28",3,IF(H655="T44",6,IF(H655="T44",10,IF(H655="T76",14,IF(H655="T76",18,IF(H655="T44",22,"")))))))</f>
        <v/>
      </c>
      <c r="J655" s="1" t="s">
        <v>1808</v>
      </c>
      <c r="K655" s="10">
        <v>2</v>
      </c>
      <c r="L655" s="10">
        <v>1</v>
      </c>
      <c r="O655" s="6"/>
      <c r="Q655" s="42" t="s">
        <v>2962</v>
      </c>
      <c r="R655" s="42"/>
      <c r="S655" s="1"/>
    </row>
    <row r="656" spans="1:19" ht="18.75" hidden="1" customHeight="1" x14ac:dyDescent="0.3">
      <c r="A656" s="10">
        <v>655</v>
      </c>
      <c r="B656" s="10">
        <f>_xlfn.XLOOKUP(1,(VALUE(D656)&gt;=VALUE(block!$C$3:$C$500))*(VALUE(D656)&lt;VALUE(block!$C$3:$C$500)+VALUE(block!$D$3:$D$500)),block!$A$3:$A$500,"无匹配",0,1)</f>
        <v>16</v>
      </c>
      <c r="C656" s="3" t="str">
        <f>B656 &amp; "-" &amp; COUNTIF($B$2:B656, B656)</f>
        <v>16-26</v>
      </c>
      <c r="D656" s="10">
        <v>10002</v>
      </c>
      <c r="E656" s="1" t="s">
        <v>2997</v>
      </c>
      <c r="F656" s="1" t="s">
        <v>2998</v>
      </c>
      <c r="G656" s="1" t="s">
        <v>1840</v>
      </c>
      <c r="H656" s="1" t="s">
        <v>1812</v>
      </c>
      <c r="I656" s="10" t="str">
        <f>IF(H656="T29",1,IF(H656="T29",3,IF(H656="T45",6,IF(H656="T45",10,IF(H656="T77",14,IF(H656="T77",18,IF(H656="T45",22,"")))))))</f>
        <v/>
      </c>
      <c r="J656" s="1" t="s">
        <v>1808</v>
      </c>
      <c r="K656" s="10">
        <v>2</v>
      </c>
      <c r="L656" s="10">
        <v>1</v>
      </c>
      <c r="O656" s="6"/>
      <c r="Q656" s="42" t="s">
        <v>2962</v>
      </c>
      <c r="R656" s="42"/>
      <c r="S656" s="1"/>
    </row>
    <row r="657" spans="1:19" ht="18.75" hidden="1" customHeight="1" x14ac:dyDescent="0.3">
      <c r="A657" s="10">
        <v>656</v>
      </c>
      <c r="B657" s="10">
        <f>_xlfn.XLOOKUP(1,(VALUE(D657)&gt;=VALUE(block!$C$3:$C$500))*(VALUE(D657)&lt;VALUE(block!$C$3:$C$500)+VALUE(block!$D$3:$D$500)),block!$A$3:$A$500,"无匹配",0,1)</f>
        <v>16</v>
      </c>
      <c r="C657" s="3" t="str">
        <f>B657 &amp; "-" &amp; COUNTIF($B$2:B657, B657)</f>
        <v>16-27</v>
      </c>
      <c r="D657" s="10">
        <v>10004</v>
      </c>
      <c r="E657" s="1" t="s">
        <v>2999</v>
      </c>
      <c r="F657" s="1" t="s">
        <v>3000</v>
      </c>
      <c r="G657" s="1" t="s">
        <v>1840</v>
      </c>
      <c r="H657" s="1" t="s">
        <v>1812</v>
      </c>
      <c r="I657" s="10" t="str">
        <f>IF(H657="T30",1,IF(H657="T30",3,IF(H657="T46",6,IF(H657="T46",10,IF(H657="T78",14,IF(H657="T78",18,IF(H657="T46",22,"")))))))</f>
        <v/>
      </c>
      <c r="J657" s="1" t="s">
        <v>1808</v>
      </c>
      <c r="K657" s="10">
        <v>2</v>
      </c>
      <c r="L657" s="10">
        <v>1</v>
      </c>
      <c r="O657" s="6"/>
      <c r="Q657" s="42" t="s">
        <v>2962</v>
      </c>
      <c r="R657" s="42"/>
      <c r="S657" s="1"/>
    </row>
    <row r="658" spans="1:19" ht="18.75" hidden="1" customHeight="1" x14ac:dyDescent="0.3">
      <c r="A658" s="10">
        <v>657</v>
      </c>
      <c r="B658" s="10">
        <f>_xlfn.XLOOKUP(1,(VALUE(D658)&gt;=VALUE(block!$C$3:$C$500))*(VALUE(D658)&lt;VALUE(block!$C$3:$C$500)+VALUE(block!$D$3:$D$500)),block!$A$3:$A$500,"无匹配",0,1)</f>
        <v>16</v>
      </c>
      <c r="C658" s="3" t="str">
        <f>B658 &amp; "-" &amp; COUNTIF($B$2:B658, B658)</f>
        <v>16-28</v>
      </c>
      <c r="D658" s="10">
        <v>10006</v>
      </c>
      <c r="E658" s="1" t="s">
        <v>3001</v>
      </c>
      <c r="F658" s="1" t="s">
        <v>3002</v>
      </c>
      <c r="G658" s="1" t="s">
        <v>1840</v>
      </c>
      <c r="H658" s="1" t="s">
        <v>1812</v>
      </c>
      <c r="I658" s="10" t="str">
        <f>IF(H658="T31",1,IF(H658="T31",3,IF(H658="T47",6,IF(H658="T47",10,IF(H658="T79",14,IF(H658="T79",18,IF(H658="T47",22,"")))))))</f>
        <v/>
      </c>
      <c r="J658" s="1" t="s">
        <v>1808</v>
      </c>
      <c r="K658" s="10">
        <v>2</v>
      </c>
      <c r="L658" s="10">
        <v>1</v>
      </c>
      <c r="O658" s="6"/>
      <c r="Q658" s="42" t="s">
        <v>2962</v>
      </c>
      <c r="R658" s="42"/>
      <c r="S658" s="1"/>
    </row>
    <row r="659" spans="1:19" ht="18.75" hidden="1" customHeight="1" x14ac:dyDescent="0.3">
      <c r="A659" s="10">
        <v>658</v>
      </c>
      <c r="B659" s="10">
        <f>_xlfn.XLOOKUP(1,(VALUE(D659)&gt;=VALUE(block!$C$3:$C$500))*(VALUE(D659)&lt;VALUE(block!$C$3:$C$500)+VALUE(block!$D$3:$D$500)),block!$A$3:$A$500,"无匹配",0,1)</f>
        <v>16</v>
      </c>
      <c r="C659" s="3" t="str">
        <f>B659 &amp; "-" &amp; COUNTIF($B$2:B659, B659)</f>
        <v>16-29</v>
      </c>
      <c r="D659" s="10">
        <v>10008</v>
      </c>
      <c r="E659" s="1" t="s">
        <v>3003</v>
      </c>
      <c r="F659" s="1" t="s">
        <v>3004</v>
      </c>
      <c r="G659" s="1" t="s">
        <v>1840</v>
      </c>
      <c r="H659" s="1" t="s">
        <v>1812</v>
      </c>
      <c r="I659" s="10" t="str">
        <f>IF(H659="T32",1,IF(H659="T32",3,IF(H659="T48",6,IF(H659="T48",10,IF(H659="T80",14,IF(H659="T80",18,IF(H659="T48",22,"")))))))</f>
        <v/>
      </c>
      <c r="J659" s="1" t="s">
        <v>1808</v>
      </c>
      <c r="K659" s="10">
        <v>2</v>
      </c>
      <c r="L659" s="10">
        <v>1</v>
      </c>
      <c r="O659" s="6"/>
      <c r="Q659" s="42" t="s">
        <v>2962</v>
      </c>
      <c r="R659" s="42"/>
      <c r="S659" s="1"/>
    </row>
    <row r="660" spans="1:19" ht="18.75" hidden="1" customHeight="1" x14ac:dyDescent="0.3">
      <c r="A660" s="10">
        <v>659</v>
      </c>
      <c r="B660" s="10">
        <f>_xlfn.XLOOKUP(1,(VALUE(D660)&gt;=VALUE(block!$C$3:$C$500))*(VALUE(D660)&lt;VALUE(block!$C$3:$C$500)+VALUE(block!$D$3:$D$500)),block!$A$3:$A$500,"无匹配",0,1)</f>
        <v>16</v>
      </c>
      <c r="C660" s="3" t="str">
        <f>B660 &amp; "-" &amp; COUNTIF($B$2:B660, B660)</f>
        <v>16-30</v>
      </c>
      <c r="D660" s="10">
        <v>10010</v>
      </c>
      <c r="E660" s="1" t="s">
        <v>3005</v>
      </c>
      <c r="F660" s="1" t="s">
        <v>3006</v>
      </c>
      <c r="G660" s="1" t="s">
        <v>1840</v>
      </c>
      <c r="H660" s="1" t="s">
        <v>1812</v>
      </c>
      <c r="I660" s="10" t="str">
        <f>IF(H660="T33",1,IF(H660="T33",3,IF(H660="T49",6,IF(H660="T49",10,IF(H660="T81",14,IF(H660="T81",18,IF(H660="T49",22,"")))))))</f>
        <v/>
      </c>
      <c r="J660" s="1" t="s">
        <v>1808</v>
      </c>
      <c r="K660" s="10">
        <v>2</v>
      </c>
      <c r="L660" s="10">
        <v>1</v>
      </c>
      <c r="O660" s="6"/>
      <c r="Q660" s="42" t="s">
        <v>2962</v>
      </c>
      <c r="R660" s="42"/>
      <c r="S660" s="1"/>
    </row>
    <row r="661" spans="1:19" ht="18.75" hidden="1" customHeight="1" x14ac:dyDescent="0.3">
      <c r="A661" s="10">
        <v>660</v>
      </c>
      <c r="B661" s="10">
        <f>_xlfn.XLOOKUP(1,(VALUE(D661)&gt;=VALUE(block!$C$3:$C$500))*(VALUE(D661)&lt;VALUE(block!$C$3:$C$500)+VALUE(block!$D$3:$D$500)),block!$A$3:$A$500,"无匹配",0,1)</f>
        <v>16</v>
      </c>
      <c r="C661" s="3" t="str">
        <f>B661 &amp; "-" &amp; COUNTIF($B$2:B661, B661)</f>
        <v>16-31</v>
      </c>
      <c r="D661" s="10">
        <v>10012</v>
      </c>
      <c r="E661" s="1" t="s">
        <v>3007</v>
      </c>
      <c r="F661" s="1" t="s">
        <v>3008</v>
      </c>
      <c r="G661" s="1" t="s">
        <v>1840</v>
      </c>
      <c r="H661" s="1" t="s">
        <v>1812</v>
      </c>
      <c r="I661" s="10" t="str">
        <f>IF(H661="T34",1,IF(H661="T34",3,IF(H661="T50",6,IF(H661="T50",10,IF(H661="T82",14,IF(H661="T82",18,IF(H661="T50",22,"")))))))</f>
        <v/>
      </c>
      <c r="J661" s="1" t="s">
        <v>1808</v>
      </c>
      <c r="K661" s="10">
        <v>2</v>
      </c>
      <c r="L661" s="10">
        <v>1</v>
      </c>
      <c r="O661" s="6"/>
      <c r="Q661" s="42" t="s">
        <v>2962</v>
      </c>
      <c r="R661" s="42"/>
      <c r="S661" s="1"/>
    </row>
    <row r="662" spans="1:19" ht="18.75" hidden="1" customHeight="1" x14ac:dyDescent="0.3">
      <c r="A662" s="10">
        <v>661</v>
      </c>
      <c r="B662" s="10">
        <f>_xlfn.XLOOKUP(1,(VALUE(D662)&gt;=VALUE(block!$C$3:$C$500))*(VALUE(D662)&lt;VALUE(block!$C$3:$C$500)+VALUE(block!$D$3:$D$500)),block!$A$3:$A$500,"无匹配",0,1)</f>
        <v>16</v>
      </c>
      <c r="C662" s="3" t="str">
        <f>B662 &amp; "-" &amp; COUNTIF($B$2:B662, B662)</f>
        <v>16-32</v>
      </c>
      <c r="D662" s="10">
        <v>10014</v>
      </c>
      <c r="E662" s="1" t="s">
        <v>3009</v>
      </c>
      <c r="F662" s="1" t="s">
        <v>3010</v>
      </c>
      <c r="G662" s="1" t="s">
        <v>1840</v>
      </c>
      <c r="H662" s="1" t="s">
        <v>1812</v>
      </c>
      <c r="I662" s="10" t="str">
        <f>IF(H662="T35",1,IF(H662="T35",3,IF(H662="T51",6,IF(H662="T51",10,IF(H662="T83",14,IF(H662="T83",18,IF(H662="T51",22,"")))))))</f>
        <v/>
      </c>
      <c r="J662" s="1" t="s">
        <v>1808</v>
      </c>
      <c r="K662" s="10">
        <v>2</v>
      </c>
      <c r="L662" s="10">
        <v>1</v>
      </c>
      <c r="O662" s="6"/>
      <c r="Q662" s="42" t="s">
        <v>2962</v>
      </c>
      <c r="R662" s="42"/>
      <c r="S662" s="1"/>
    </row>
    <row r="663" spans="1:19" ht="18.75" hidden="1" customHeight="1" x14ac:dyDescent="0.3">
      <c r="A663" s="10">
        <v>662</v>
      </c>
      <c r="B663" s="10">
        <f>_xlfn.XLOOKUP(1,(VALUE(D663)&gt;=VALUE(block!$C$3:$C$500))*(VALUE(D663)&lt;VALUE(block!$C$3:$C$500)+VALUE(block!$D$3:$D$500)),block!$A$3:$A$500,"无匹配",0,1)</f>
        <v>16</v>
      </c>
      <c r="C663" s="3" t="str">
        <f>B663 &amp; "-" &amp; COUNTIF($B$2:B663, B663)</f>
        <v>16-33</v>
      </c>
      <c r="D663" s="10">
        <v>10016</v>
      </c>
      <c r="E663" s="1" t="s">
        <v>3011</v>
      </c>
      <c r="F663" s="1" t="s">
        <v>3012</v>
      </c>
      <c r="G663" s="1" t="s">
        <v>1840</v>
      </c>
      <c r="H663" s="1" t="s">
        <v>1812</v>
      </c>
      <c r="I663" s="10" t="str">
        <f>IF(H663="T36",1,IF(H663="T36",3,IF(H663="T52",6,IF(H663="T52",10,IF(H663="T84",14,IF(H663="T84",18,IF(H663="T52",22,"")))))))</f>
        <v/>
      </c>
      <c r="J663" s="1" t="s">
        <v>1808</v>
      </c>
      <c r="K663" s="10">
        <v>2</v>
      </c>
      <c r="L663" s="10">
        <v>1</v>
      </c>
      <c r="O663" s="6"/>
      <c r="Q663" s="42" t="s">
        <v>2962</v>
      </c>
      <c r="R663" s="42"/>
      <c r="S663" s="1"/>
    </row>
    <row r="664" spans="1:19" ht="18.75" hidden="1" customHeight="1" x14ac:dyDescent="0.3">
      <c r="A664" s="10">
        <v>663</v>
      </c>
      <c r="B664" s="10">
        <f>_xlfn.XLOOKUP(1,(VALUE(D664)&gt;=VALUE(block!$C$3:$C$500))*(VALUE(D664)&lt;VALUE(block!$C$3:$C$500)+VALUE(block!$D$3:$D$500)),block!$A$3:$A$500,"无匹配",0,1)</f>
        <v>16</v>
      </c>
      <c r="C664" s="3" t="str">
        <f>B664 &amp; "-" &amp; COUNTIF($B$2:B664, B664)</f>
        <v>16-34</v>
      </c>
      <c r="D664" s="10">
        <v>10018</v>
      </c>
      <c r="E664" s="1" t="s">
        <v>3013</v>
      </c>
      <c r="F664" s="1" t="s">
        <v>3014</v>
      </c>
      <c r="G664" s="1" t="s">
        <v>1840</v>
      </c>
      <c r="H664" s="1" t="s">
        <v>1812</v>
      </c>
      <c r="I664" s="10" t="str">
        <f>IF(H664="T37",1,IF(H664="T37",3,IF(H664="T53",6,IF(H664="T53",10,IF(H664="T85",14,IF(H664="T85",18,IF(H664="T53",22,"")))))))</f>
        <v/>
      </c>
      <c r="J664" s="1" t="s">
        <v>1808</v>
      </c>
      <c r="K664" s="10">
        <v>2</v>
      </c>
      <c r="L664" s="10">
        <v>1</v>
      </c>
      <c r="O664" s="6"/>
      <c r="Q664" s="42" t="s">
        <v>2962</v>
      </c>
      <c r="R664" s="42"/>
      <c r="S664" s="1"/>
    </row>
    <row r="665" spans="1:19" ht="18.75" hidden="1" customHeight="1" x14ac:dyDescent="0.3">
      <c r="A665" s="10">
        <v>664</v>
      </c>
      <c r="B665" s="10">
        <f>_xlfn.XLOOKUP(1,(VALUE(D665)&gt;=VALUE(block!$C$3:$C$500))*(VALUE(D665)&lt;VALUE(block!$C$3:$C$500)+VALUE(block!$D$3:$D$500)),block!$A$3:$A$500,"无匹配",0,1)</f>
        <v>16</v>
      </c>
      <c r="C665" s="3" t="str">
        <f>B665 &amp; "-" &amp; COUNTIF($B$2:B665, B665)</f>
        <v>16-35</v>
      </c>
      <c r="D665" s="10">
        <v>10020</v>
      </c>
      <c r="E665" s="1" t="s">
        <v>3015</v>
      </c>
      <c r="F665" s="1" t="s">
        <v>3016</v>
      </c>
      <c r="G665" s="1" t="s">
        <v>1840</v>
      </c>
      <c r="H665" s="1" t="s">
        <v>1812</v>
      </c>
      <c r="I665" s="10" t="str">
        <f>IF(H665="T38",1,IF(H665="T38",3,IF(H665="T54",6,IF(H665="T54",10,IF(H665="T86",14,IF(H665="T86",18,IF(H665="T54",22,"")))))))</f>
        <v/>
      </c>
      <c r="J665" s="1" t="s">
        <v>1808</v>
      </c>
      <c r="K665" s="10">
        <v>2</v>
      </c>
      <c r="L665" s="10">
        <v>1</v>
      </c>
      <c r="O665" s="6"/>
      <c r="Q665" s="42" t="s">
        <v>2962</v>
      </c>
      <c r="R665" s="42"/>
      <c r="S665" s="1"/>
    </row>
    <row r="666" spans="1:19" ht="18.75" hidden="1" customHeight="1" x14ac:dyDescent="0.3">
      <c r="A666" s="10">
        <v>665</v>
      </c>
      <c r="B666" s="10">
        <f>_xlfn.XLOOKUP(1,(VALUE(D666)&gt;=VALUE(block!$C$3:$C$500))*(VALUE(D666)&lt;VALUE(block!$C$3:$C$500)+VALUE(block!$D$3:$D$500)),block!$A$3:$A$500,"无匹配",0,1)</f>
        <v>16</v>
      </c>
      <c r="C666" s="3" t="str">
        <f>B666 &amp; "-" &amp; COUNTIF($B$2:B666, B666)</f>
        <v>16-36</v>
      </c>
      <c r="D666" s="10">
        <v>10022</v>
      </c>
      <c r="E666" s="1" t="s">
        <v>3017</v>
      </c>
      <c r="F666" s="1" t="s">
        <v>3018</v>
      </c>
      <c r="G666" s="1" t="s">
        <v>1840</v>
      </c>
      <c r="H666" s="1" t="s">
        <v>1812</v>
      </c>
      <c r="I666" s="10" t="str">
        <f>IF(H666="T39",1,IF(H666="T39",3,IF(H666="T55",6,IF(H666="T55",10,IF(H666="T87",14,IF(H666="T87",18,IF(H666="T55",22,"")))))))</f>
        <v/>
      </c>
      <c r="J666" s="1" t="s">
        <v>1808</v>
      </c>
      <c r="K666" s="10">
        <v>2</v>
      </c>
      <c r="L666" s="10">
        <v>1</v>
      </c>
      <c r="O666" s="6"/>
      <c r="Q666" s="42" t="s">
        <v>2962</v>
      </c>
      <c r="R666" s="42"/>
      <c r="S666" s="1"/>
    </row>
    <row r="667" spans="1:19" ht="18.75" hidden="1" customHeight="1" x14ac:dyDescent="0.3">
      <c r="A667" s="10">
        <v>666</v>
      </c>
      <c r="B667" s="10">
        <f>_xlfn.XLOOKUP(1,(VALUE(D667)&gt;=VALUE(block!$C$3:$C$500))*(VALUE(D667)&lt;VALUE(block!$C$3:$C$500)+VALUE(block!$D$3:$D$500)),block!$A$3:$A$500,"无匹配",0,1)</f>
        <v>16</v>
      </c>
      <c r="C667" s="3" t="str">
        <f>B667 &amp; "-" &amp; COUNTIF($B$2:B667, B667)</f>
        <v>16-37</v>
      </c>
      <c r="D667" s="10">
        <v>10024</v>
      </c>
      <c r="E667" s="1" t="s">
        <v>3019</v>
      </c>
      <c r="F667" s="1" t="s">
        <v>3020</v>
      </c>
      <c r="G667" s="1" t="s">
        <v>1840</v>
      </c>
      <c r="H667" s="1" t="s">
        <v>1812</v>
      </c>
      <c r="I667" s="10" t="str">
        <f>IF(H667="T40",1,IF(H667="T40",3,IF(H667="T56",6,IF(H667="T56",10,IF(H667="T88",14,IF(H667="T88",18,IF(H667="T56",22,"")))))))</f>
        <v/>
      </c>
      <c r="J667" s="1" t="s">
        <v>1808</v>
      </c>
      <c r="K667" s="10">
        <v>2</v>
      </c>
      <c r="L667" s="10">
        <v>1</v>
      </c>
      <c r="O667" s="6"/>
      <c r="Q667" s="42" t="s">
        <v>2962</v>
      </c>
      <c r="R667" s="42"/>
      <c r="S667" s="1"/>
    </row>
    <row r="668" spans="1:19" ht="18.75" customHeight="1" x14ac:dyDescent="0.3">
      <c r="A668" s="10">
        <v>667</v>
      </c>
      <c r="B668" s="10">
        <f>_xlfn.XLOOKUP(1,(VALUE(D668)&gt;=VALUE(block!$C$3:$C$500))*(VALUE(D668)&lt;VALUE(block!$C$3:$C$500)+VALUE(block!$D$3:$D$500)),block!$A$3:$A$500,"无匹配",0,1)</f>
        <v>17</v>
      </c>
      <c r="C668" s="3" t="str">
        <f>B668 &amp; "-" &amp; COUNTIF($B$2:B668, B668)</f>
        <v>17-1</v>
      </c>
      <c r="D668" s="10">
        <v>10026</v>
      </c>
      <c r="E668" s="1" t="s">
        <v>3021</v>
      </c>
      <c r="F668" s="1" t="s">
        <v>3022</v>
      </c>
      <c r="G668" s="1" t="s">
        <v>1840</v>
      </c>
      <c r="H668" s="1" t="s">
        <v>1812</v>
      </c>
      <c r="I668" s="10" t="str">
        <f>IF(H668="T41",1,IF(H668="T41",3,IF(H668="T57",6,IF(H668="T57",10,IF(H668="T89",14,IF(H668="T89",18,IF(H668="T57",22,"")))))))</f>
        <v/>
      </c>
      <c r="J668" s="1" t="s">
        <v>1808</v>
      </c>
      <c r="K668" s="10">
        <v>2</v>
      </c>
      <c r="L668" s="10">
        <v>1</v>
      </c>
      <c r="N668" s="10">
        <v>4</v>
      </c>
      <c r="O668" s="6"/>
      <c r="P668" s="45" t="s">
        <v>2826</v>
      </c>
      <c r="Q668" s="6">
        <v>14</v>
      </c>
      <c r="R668" s="6"/>
      <c r="S668" s="1" t="s">
        <v>3022</v>
      </c>
    </row>
    <row r="669" spans="1:19" ht="18.75" customHeight="1" x14ac:dyDescent="0.3">
      <c r="A669" s="10">
        <v>668</v>
      </c>
      <c r="B669" s="10">
        <f>_xlfn.XLOOKUP(1,(VALUE(D669)&gt;=VALUE(block!$C$3:$C$500))*(VALUE(D669)&lt;VALUE(block!$C$3:$C$500)+VALUE(block!$D$3:$D$500)),block!$A$3:$A$500,"无匹配",0,1)</f>
        <v>17</v>
      </c>
      <c r="C669" s="3" t="str">
        <f>B669 &amp; "-" &amp; COUNTIF($B$2:B669, B669)</f>
        <v>17-2</v>
      </c>
      <c r="D669" s="10">
        <v>10028</v>
      </c>
      <c r="E669" s="1" t="s">
        <v>3023</v>
      </c>
      <c r="F669" s="1" t="s">
        <v>3024</v>
      </c>
      <c r="G669" s="1" t="s">
        <v>1840</v>
      </c>
      <c r="H669" s="1" t="s">
        <v>1812</v>
      </c>
      <c r="I669" s="10" t="str">
        <f>IF(H669="T42",1,IF(H669="T42",3,IF(H669="T58",6,IF(H669="T58",10,IF(H669="T90",14,IF(H669="T90",18,IF(H669="T58",22,"")))))))</f>
        <v/>
      </c>
      <c r="J669" s="1" t="s">
        <v>1808</v>
      </c>
      <c r="K669" s="10">
        <v>2</v>
      </c>
      <c r="L669" s="10">
        <v>1</v>
      </c>
      <c r="N669" s="10">
        <v>4</v>
      </c>
      <c r="O669" s="6"/>
      <c r="P669" s="45" t="s">
        <v>2826</v>
      </c>
      <c r="Q669" s="6">
        <v>14</v>
      </c>
      <c r="R669" s="6"/>
      <c r="S669" s="1" t="s">
        <v>3024</v>
      </c>
    </row>
    <row r="670" spans="1:19" ht="18.75" customHeight="1" x14ac:dyDescent="0.3">
      <c r="A670" s="10">
        <v>669</v>
      </c>
      <c r="B670" s="10">
        <f>_xlfn.XLOOKUP(1,(VALUE(D670)&gt;=VALUE(block!$C$3:$C$500))*(VALUE(D670)&lt;VALUE(block!$C$3:$C$500)+VALUE(block!$D$3:$D$500)),block!$A$3:$A$500,"无匹配",0,1)</f>
        <v>17</v>
      </c>
      <c r="C670" s="3" t="str">
        <f>B670 &amp; "-" &amp; COUNTIF($B$2:B670, B670)</f>
        <v>17-3</v>
      </c>
      <c r="D670" s="10">
        <v>10030</v>
      </c>
      <c r="E670" s="1" t="s">
        <v>3025</v>
      </c>
      <c r="F670" s="1" t="s">
        <v>3026</v>
      </c>
      <c r="G670" s="1" t="s">
        <v>1840</v>
      </c>
      <c r="H670" s="1" t="s">
        <v>1812</v>
      </c>
      <c r="I670" s="10" t="str">
        <f>IF(H670="T43",1,IF(H670="T43",3,IF(H670="T59",6,IF(H670="T59",10,IF(H670="T91",14,IF(H670="T91",18,IF(H670="T59",22,"")))))))</f>
        <v/>
      </c>
      <c r="J670" s="1" t="s">
        <v>1808</v>
      </c>
      <c r="K670" s="10">
        <v>2</v>
      </c>
      <c r="L670" s="10">
        <v>1</v>
      </c>
      <c r="N670" s="10">
        <v>4</v>
      </c>
      <c r="O670" s="6"/>
      <c r="P670" s="45" t="s">
        <v>2826</v>
      </c>
      <c r="Q670" s="6">
        <v>14</v>
      </c>
      <c r="R670" s="6"/>
      <c r="S670" s="1" t="s">
        <v>3026</v>
      </c>
    </row>
    <row r="671" spans="1:19" ht="18.75" customHeight="1" x14ac:dyDescent="0.3">
      <c r="A671" s="10">
        <v>670</v>
      </c>
      <c r="B671" s="10">
        <f>_xlfn.XLOOKUP(1,(VALUE(D671)&gt;=VALUE(block!$C$3:$C$500))*(VALUE(D671)&lt;VALUE(block!$C$3:$C$500)+VALUE(block!$D$3:$D$500)),block!$A$3:$A$500,"无匹配",0,1)</f>
        <v>17</v>
      </c>
      <c r="C671" s="3" t="str">
        <f>B671 &amp; "-" &amp; COUNTIF($B$2:B671, B671)</f>
        <v>17-4</v>
      </c>
      <c r="D671" s="10">
        <v>10032</v>
      </c>
      <c r="E671" s="1" t="s">
        <v>3027</v>
      </c>
      <c r="F671" s="1" t="s">
        <v>3028</v>
      </c>
      <c r="G671" s="1" t="s">
        <v>1840</v>
      </c>
      <c r="H671" s="1" t="s">
        <v>1812</v>
      </c>
      <c r="I671" s="10" t="str">
        <f>IF(H671="T44",1,IF(H671="T44",3,IF(H671="T60",6,IF(H671="T60",10,IF(H671="T92",14,IF(H671="T92",18,IF(H671="T60",22,"")))))))</f>
        <v/>
      </c>
      <c r="J671" s="1" t="s">
        <v>1808</v>
      </c>
      <c r="K671" s="10">
        <v>2</v>
      </c>
      <c r="L671" s="10">
        <v>1</v>
      </c>
      <c r="N671" s="10">
        <v>4</v>
      </c>
      <c r="O671" s="6"/>
      <c r="P671" s="45" t="s">
        <v>2826</v>
      </c>
      <c r="Q671" s="6">
        <v>14</v>
      </c>
      <c r="R671" s="6"/>
      <c r="S671" s="1" t="s">
        <v>3028</v>
      </c>
    </row>
    <row r="672" spans="1:19" ht="18.75" hidden="1" customHeight="1" x14ac:dyDescent="0.3">
      <c r="A672" s="10">
        <v>671</v>
      </c>
      <c r="B672" s="10">
        <f>_xlfn.XLOOKUP(1,(VALUE(D672)&gt;=VALUE(block!$C$3:$C$500))*(VALUE(D672)&lt;VALUE(block!$C$3:$C$500)+VALUE(block!$D$3:$D$500)),block!$A$3:$A$500,"无匹配",0,1)</f>
        <v>17</v>
      </c>
      <c r="C672" s="3" t="str">
        <f>B672 &amp; "-" &amp; COUNTIF($B$2:B672, B672)</f>
        <v>17-5</v>
      </c>
      <c r="D672" s="10">
        <v>10034</v>
      </c>
      <c r="E672" s="1" t="s">
        <v>3029</v>
      </c>
      <c r="F672" s="1" t="s">
        <v>3030</v>
      </c>
      <c r="G672" s="1" t="s">
        <v>1840</v>
      </c>
      <c r="H672" s="1" t="s">
        <v>1812</v>
      </c>
      <c r="I672" s="10" t="str">
        <f>IF(H672="T45",1,IF(H672="T45",3,IF(H672="T61",6,IF(H672="T61",10,IF(H672="T93",14,IF(H672="T93",18,IF(H672="T61",22,"")))))))</f>
        <v/>
      </c>
      <c r="J672" s="1" t="s">
        <v>1808</v>
      </c>
      <c r="K672" s="10">
        <v>2</v>
      </c>
      <c r="L672" s="10">
        <v>1</v>
      </c>
      <c r="O672" s="6"/>
      <c r="Q672" s="42" t="s">
        <v>2962</v>
      </c>
      <c r="R672" s="42"/>
      <c r="S672" s="1"/>
    </row>
    <row r="673" spans="1:19" ht="18.75" hidden="1" customHeight="1" x14ac:dyDescent="0.3">
      <c r="A673" s="10">
        <v>672</v>
      </c>
      <c r="B673" s="10">
        <f>_xlfn.XLOOKUP(1,(VALUE(D673)&gt;=VALUE(block!$C$3:$C$500))*(VALUE(D673)&lt;VALUE(block!$C$3:$C$500)+VALUE(block!$D$3:$D$500)),block!$A$3:$A$500,"无匹配",0,1)</f>
        <v>17</v>
      </c>
      <c r="C673" s="3" t="str">
        <f>B673 &amp; "-" &amp; COUNTIF($B$2:B673, B673)</f>
        <v>17-6</v>
      </c>
      <c r="D673" s="10">
        <v>10036</v>
      </c>
      <c r="E673" s="1" t="s">
        <v>3031</v>
      </c>
      <c r="F673" s="1" t="s">
        <v>3032</v>
      </c>
      <c r="G673" s="1" t="s">
        <v>1840</v>
      </c>
      <c r="H673" s="1" t="s">
        <v>1812</v>
      </c>
      <c r="I673" s="10" t="str">
        <f>IF(H673="T46",1,IF(H673="T46",3,IF(H673="T62",6,IF(H673="T62",10,IF(H673="T94",14,IF(H673="T94",18,IF(H673="T62",22,"")))))))</f>
        <v/>
      </c>
      <c r="J673" s="1" t="s">
        <v>1808</v>
      </c>
      <c r="K673" s="10">
        <v>2</v>
      </c>
      <c r="L673" s="10">
        <v>1</v>
      </c>
      <c r="O673" s="6"/>
      <c r="Q673" s="42" t="s">
        <v>2962</v>
      </c>
      <c r="R673" s="42"/>
      <c r="S673" s="1"/>
    </row>
    <row r="674" spans="1:19" ht="18.75" hidden="1" customHeight="1" x14ac:dyDescent="0.3">
      <c r="A674" s="10">
        <v>673</v>
      </c>
      <c r="B674" s="10">
        <f>_xlfn.XLOOKUP(1,(VALUE(D674)&gt;=VALUE(block!$C$3:$C$500))*(VALUE(D674)&lt;VALUE(block!$C$3:$C$500)+VALUE(block!$D$3:$D$500)),block!$A$3:$A$500,"无匹配",0,1)</f>
        <v>17</v>
      </c>
      <c r="C674" s="3" t="str">
        <f>B674 &amp; "-" &amp; COUNTIF($B$2:B674, B674)</f>
        <v>17-7</v>
      </c>
      <c r="D674" s="10">
        <v>10038</v>
      </c>
      <c r="E674" s="1" t="s">
        <v>3033</v>
      </c>
      <c r="F674" s="1" t="s">
        <v>3034</v>
      </c>
      <c r="G674" s="1" t="s">
        <v>1840</v>
      </c>
      <c r="H674" s="1" t="s">
        <v>1812</v>
      </c>
      <c r="I674" s="10" t="str">
        <f>IF(H674="T47",1,IF(H674="T47",3,IF(H674="T63",6,IF(H674="T63",10,IF(H674="T95",14,IF(H674="T95",18,IF(H674="T63",22,"")))))))</f>
        <v/>
      </c>
      <c r="J674" s="1" t="s">
        <v>1808</v>
      </c>
      <c r="K674" s="10">
        <v>2</v>
      </c>
      <c r="L674" s="10">
        <v>1</v>
      </c>
      <c r="O674" s="6"/>
      <c r="Q674" s="42" t="s">
        <v>2962</v>
      </c>
      <c r="R674" s="42"/>
      <c r="S674" s="1"/>
    </row>
    <row r="675" spans="1:19" ht="18.75" hidden="1" customHeight="1" x14ac:dyDescent="0.3">
      <c r="A675" s="10">
        <v>674</v>
      </c>
      <c r="B675" s="10">
        <f>_xlfn.XLOOKUP(1,(VALUE(D675)&gt;=VALUE(block!$C$3:$C$500))*(VALUE(D675)&lt;VALUE(block!$C$3:$C$500)+VALUE(block!$D$3:$D$500)),block!$A$3:$A$500,"无匹配",0,1)</f>
        <v>17</v>
      </c>
      <c r="C675" s="3" t="str">
        <f>B675 &amp; "-" &amp; COUNTIF($B$2:B675, B675)</f>
        <v>17-8</v>
      </c>
      <c r="D675" s="10">
        <v>10040</v>
      </c>
      <c r="E675" s="1" t="s">
        <v>3035</v>
      </c>
      <c r="F675" s="1" t="s">
        <v>3036</v>
      </c>
      <c r="G675" s="1" t="s">
        <v>1840</v>
      </c>
      <c r="H675" s="1" t="s">
        <v>1812</v>
      </c>
      <c r="I675" s="10" t="str">
        <f>IF(H675="T48",1,IF(H675="T48",3,IF(H675="T64",6,IF(H675="T64",10,IF(H675="T96",14,IF(H675="T96",18,IF(H675="T64",22,"")))))))</f>
        <v/>
      </c>
      <c r="J675" s="1" t="s">
        <v>1808</v>
      </c>
      <c r="K675" s="10">
        <v>2</v>
      </c>
      <c r="L675" s="10">
        <v>1</v>
      </c>
      <c r="O675" s="6"/>
      <c r="Q675" s="42" t="s">
        <v>2962</v>
      </c>
      <c r="R675" s="42"/>
      <c r="S675" s="1"/>
    </row>
    <row r="676" spans="1:19" ht="18.75" hidden="1" customHeight="1" x14ac:dyDescent="0.3">
      <c r="A676" s="10">
        <v>675</v>
      </c>
      <c r="B676" s="10">
        <f>_xlfn.XLOOKUP(1,(VALUE(D676)&gt;=VALUE(block!$C$3:$C$500))*(VALUE(D676)&lt;VALUE(block!$C$3:$C$500)+VALUE(block!$D$3:$D$500)),block!$A$3:$A$500,"无匹配",0,1)</f>
        <v>17</v>
      </c>
      <c r="C676" s="3" t="str">
        <f>B676 &amp; "-" &amp; COUNTIF($B$2:B676, B676)</f>
        <v>17-9</v>
      </c>
      <c r="D676" s="10">
        <v>10042</v>
      </c>
      <c r="E676" s="1" t="s">
        <v>3037</v>
      </c>
      <c r="F676" s="1" t="s">
        <v>3038</v>
      </c>
      <c r="G676" s="1" t="s">
        <v>1840</v>
      </c>
      <c r="H676" s="1" t="s">
        <v>1812</v>
      </c>
      <c r="I676" s="10" t="str">
        <f>IF(H676="T49",1,IF(H676="T49",3,IF(H676="T65",6,IF(H676="T65",10,IF(H676="T97",14,IF(H676="T97",18,IF(H676="T65",22,"")))))))</f>
        <v/>
      </c>
      <c r="J676" s="1" t="s">
        <v>1808</v>
      </c>
      <c r="K676" s="10">
        <v>2</v>
      </c>
      <c r="L676" s="10">
        <v>1</v>
      </c>
      <c r="O676" s="6"/>
      <c r="Q676" s="42" t="s">
        <v>2962</v>
      </c>
      <c r="R676" s="42"/>
      <c r="S676" s="1"/>
    </row>
    <row r="677" spans="1:19" ht="18.75" hidden="1" customHeight="1" x14ac:dyDescent="0.3">
      <c r="A677" s="10">
        <v>676</v>
      </c>
      <c r="B677" s="10">
        <f>_xlfn.XLOOKUP(1,(VALUE(D677)&gt;=VALUE(block!$C$3:$C$500))*(VALUE(D677)&lt;VALUE(block!$C$3:$C$500)+VALUE(block!$D$3:$D$500)),block!$A$3:$A$500,"无匹配",0,1)</f>
        <v>17</v>
      </c>
      <c r="C677" s="3" t="str">
        <f>B677 &amp; "-" &amp; COUNTIF($B$2:B677, B677)</f>
        <v>17-10</v>
      </c>
      <c r="D677" s="10">
        <v>10044</v>
      </c>
      <c r="E677" s="1" t="s">
        <v>3039</v>
      </c>
      <c r="F677" s="1" t="s">
        <v>3040</v>
      </c>
      <c r="G677" s="1" t="s">
        <v>1840</v>
      </c>
      <c r="H677" s="1" t="s">
        <v>1812</v>
      </c>
      <c r="I677" s="10" t="str">
        <f>IF(H677="T50",1,IF(H677="T50",3,IF(H677="T66",6,IF(H677="T66",10,IF(H677="T98",14,IF(H677="T98",18,IF(H677="T66",22,"")))))))</f>
        <v/>
      </c>
      <c r="J677" s="1" t="s">
        <v>1808</v>
      </c>
      <c r="K677" s="10">
        <v>2</v>
      </c>
      <c r="L677" s="10">
        <v>1</v>
      </c>
      <c r="O677" s="6"/>
      <c r="Q677" s="42" t="s">
        <v>2962</v>
      </c>
      <c r="R677" s="42"/>
      <c r="S677" s="1"/>
    </row>
    <row r="678" spans="1:19" ht="18.75" hidden="1" customHeight="1" x14ac:dyDescent="0.3">
      <c r="A678" s="10">
        <v>677</v>
      </c>
      <c r="B678" s="10">
        <f>_xlfn.XLOOKUP(1,(VALUE(D678)&gt;=VALUE(block!$C$3:$C$500))*(VALUE(D678)&lt;VALUE(block!$C$3:$C$500)+VALUE(block!$D$3:$D$500)),block!$A$3:$A$500,"无匹配",0,1)</f>
        <v>17</v>
      </c>
      <c r="C678" s="3" t="str">
        <f>B678 &amp; "-" &amp; COUNTIF($B$2:B678, B678)</f>
        <v>17-11</v>
      </c>
      <c r="D678" s="10">
        <v>10046</v>
      </c>
      <c r="E678" s="1" t="s">
        <v>3041</v>
      </c>
      <c r="F678" s="1" t="s">
        <v>3042</v>
      </c>
      <c r="G678" s="1" t="s">
        <v>1840</v>
      </c>
      <c r="H678" s="1" t="s">
        <v>1812</v>
      </c>
      <c r="I678" s="10" t="str">
        <f>IF(H678="T51",1,IF(H678="T51",3,IF(H678="T67",6,IF(H678="T67",10,IF(H678="T99",14,IF(H678="T99",18,IF(H678="T67",22,"")))))))</f>
        <v/>
      </c>
      <c r="J678" s="1" t="s">
        <v>1808</v>
      </c>
      <c r="K678" s="10">
        <v>2</v>
      </c>
      <c r="L678" s="10">
        <v>1</v>
      </c>
      <c r="O678" s="6"/>
      <c r="Q678" s="42" t="s">
        <v>2962</v>
      </c>
      <c r="R678" s="42"/>
      <c r="S678" s="1"/>
    </row>
    <row r="679" spans="1:19" ht="18.75" hidden="1" customHeight="1" x14ac:dyDescent="0.3">
      <c r="A679" s="10">
        <v>678</v>
      </c>
      <c r="B679" s="10">
        <f>_xlfn.XLOOKUP(1,(VALUE(D679)&gt;=VALUE(block!$C$3:$C$500))*(VALUE(D679)&lt;VALUE(block!$C$3:$C$500)+VALUE(block!$D$3:$D$500)),block!$A$3:$A$500,"无匹配",0,1)</f>
        <v>17</v>
      </c>
      <c r="C679" s="3" t="str">
        <f>B679 &amp; "-" &amp; COUNTIF($B$2:B679, B679)</f>
        <v>17-12</v>
      </c>
      <c r="D679" s="10">
        <v>10048</v>
      </c>
      <c r="E679" s="1" t="s">
        <v>3043</v>
      </c>
      <c r="F679" s="1" t="s">
        <v>3044</v>
      </c>
      <c r="G679" s="1" t="s">
        <v>1840</v>
      </c>
      <c r="H679" s="1" t="s">
        <v>1812</v>
      </c>
      <c r="I679" s="10" t="str">
        <f>IF(H679="T52",1,IF(H679="T52",3,IF(H679="T68",6,IF(H679="T68",10,IF(H679="T100",14,IF(H679="T100",18,IF(H679="T68",22,"")))))))</f>
        <v/>
      </c>
      <c r="J679" s="1" t="s">
        <v>1808</v>
      </c>
      <c r="K679" s="10">
        <v>2</v>
      </c>
      <c r="L679" s="10">
        <v>1</v>
      </c>
      <c r="O679" s="6"/>
      <c r="Q679" s="42" t="s">
        <v>2962</v>
      </c>
      <c r="R679" s="42"/>
      <c r="S679" s="1"/>
    </row>
    <row r="680" spans="1:19" ht="18.75" hidden="1" customHeight="1" x14ac:dyDescent="0.3">
      <c r="A680" s="10">
        <v>679</v>
      </c>
      <c r="B680" s="10">
        <f>_xlfn.XLOOKUP(1,(VALUE(D680)&gt;=VALUE(block!$C$3:$C$500))*(VALUE(D680)&lt;VALUE(block!$C$3:$C$500)+VALUE(block!$D$3:$D$500)),block!$A$3:$A$500,"无匹配",0,1)</f>
        <v>17</v>
      </c>
      <c r="C680" s="3" t="str">
        <f>B680 &amp; "-" &amp; COUNTIF($B$2:B680, B680)</f>
        <v>17-13</v>
      </c>
      <c r="D680" s="10">
        <v>10050</v>
      </c>
      <c r="E680" s="1" t="s">
        <v>3045</v>
      </c>
      <c r="F680" s="1" t="s">
        <v>3046</v>
      </c>
      <c r="G680" s="1" t="s">
        <v>1840</v>
      </c>
      <c r="H680" s="1" t="s">
        <v>1812</v>
      </c>
      <c r="I680" s="10" t="str">
        <f>IF(H680="T53",1,IF(H680="T53",3,IF(H680="T69",6,IF(H680="T69",10,IF(H680="T101",14,IF(H680="T101",18,IF(H680="T69",22,"")))))))</f>
        <v/>
      </c>
      <c r="J680" s="1" t="s">
        <v>1808</v>
      </c>
      <c r="K680" s="10">
        <v>2</v>
      </c>
      <c r="L680" s="10">
        <v>1</v>
      </c>
      <c r="O680" s="6"/>
      <c r="Q680" s="42" t="s">
        <v>2962</v>
      </c>
      <c r="R680" s="42"/>
      <c r="S680" s="1"/>
    </row>
    <row r="681" spans="1:19" ht="18.75" hidden="1" customHeight="1" x14ac:dyDescent="0.3">
      <c r="A681" s="10">
        <v>680</v>
      </c>
      <c r="B681" s="10">
        <f>_xlfn.XLOOKUP(1,(VALUE(D681)&gt;=VALUE(block!$C$3:$C$500))*(VALUE(D681)&lt;VALUE(block!$C$3:$C$500)+VALUE(block!$D$3:$D$500)),block!$A$3:$A$500,"无匹配",0,1)</f>
        <v>17</v>
      </c>
      <c r="C681" s="3" t="str">
        <f>B681 &amp; "-" &amp; COUNTIF($B$2:B681, B681)</f>
        <v>17-14</v>
      </c>
      <c r="D681" s="10">
        <v>10052</v>
      </c>
      <c r="E681" s="1" t="s">
        <v>3047</v>
      </c>
      <c r="F681" s="1" t="s">
        <v>3048</v>
      </c>
      <c r="G681" s="1" t="s">
        <v>1840</v>
      </c>
      <c r="H681" s="1" t="s">
        <v>1812</v>
      </c>
      <c r="I681" s="10" t="str">
        <f>IF(H681="T54",1,IF(H681="T54",3,IF(H681="T70",6,IF(H681="T70",10,IF(H681="T102",14,IF(H681="T102",18,IF(H681="T70",22,"")))))))</f>
        <v/>
      </c>
      <c r="J681" s="1" t="s">
        <v>1808</v>
      </c>
      <c r="K681" s="10">
        <v>2</v>
      </c>
      <c r="L681" s="10">
        <v>1</v>
      </c>
      <c r="O681" s="6"/>
      <c r="Q681" s="42" t="s">
        <v>2962</v>
      </c>
      <c r="R681" s="42"/>
      <c r="S681" s="1"/>
    </row>
    <row r="682" spans="1:19" ht="18.75" hidden="1" customHeight="1" x14ac:dyDescent="0.3">
      <c r="A682" s="10">
        <v>681</v>
      </c>
      <c r="B682" s="10">
        <f>_xlfn.XLOOKUP(1,(VALUE(D682)&gt;=VALUE(block!$C$3:$C$500))*(VALUE(D682)&lt;VALUE(block!$C$3:$C$500)+VALUE(block!$D$3:$D$500)),block!$A$3:$A$500,"无匹配",0,1)</f>
        <v>17</v>
      </c>
      <c r="C682" s="3" t="str">
        <f>B682 &amp; "-" &amp; COUNTIF($B$2:B682, B682)</f>
        <v>17-15</v>
      </c>
      <c r="D682" s="10">
        <v>10054</v>
      </c>
      <c r="E682" s="1" t="s">
        <v>3049</v>
      </c>
      <c r="F682" s="1" t="s">
        <v>3050</v>
      </c>
      <c r="G682" s="1" t="s">
        <v>1840</v>
      </c>
      <c r="H682" s="1" t="s">
        <v>1812</v>
      </c>
      <c r="I682" s="10" t="str">
        <f>IF(H682="T55",1,IF(H682="T55",3,IF(H682="T71",6,IF(H682="T71",10,IF(H682="T103",14,IF(H682="T103",18,IF(H682="T71",22,"")))))))</f>
        <v/>
      </c>
      <c r="J682" s="1" t="s">
        <v>1808</v>
      </c>
      <c r="K682" s="10">
        <v>2</v>
      </c>
      <c r="L682" s="10">
        <v>1</v>
      </c>
      <c r="O682" s="6"/>
      <c r="Q682" s="42" t="s">
        <v>2962</v>
      </c>
      <c r="R682" s="42"/>
      <c r="S682" s="1"/>
    </row>
    <row r="683" spans="1:19" ht="18.75" hidden="1" customHeight="1" x14ac:dyDescent="0.3">
      <c r="A683" s="10">
        <v>682</v>
      </c>
      <c r="B683" s="10">
        <f>_xlfn.XLOOKUP(1,(VALUE(D683)&gt;=VALUE(block!$C$3:$C$500))*(VALUE(D683)&lt;VALUE(block!$C$3:$C$500)+VALUE(block!$D$3:$D$500)),block!$A$3:$A$500,"无匹配",0,1)</f>
        <v>17</v>
      </c>
      <c r="C683" s="3" t="str">
        <f>B683 &amp; "-" &amp; COUNTIF($B$2:B683, B683)</f>
        <v>17-16</v>
      </c>
      <c r="D683" s="10">
        <v>10056</v>
      </c>
      <c r="E683" s="1" t="s">
        <v>3051</v>
      </c>
      <c r="F683" s="1" t="s">
        <v>3052</v>
      </c>
      <c r="G683" s="1" t="s">
        <v>1840</v>
      </c>
      <c r="H683" s="1" t="s">
        <v>1812</v>
      </c>
      <c r="I683" s="10" t="str">
        <f>IF(H683="T56",1,IF(H683="T56",3,IF(H683="T72",6,IF(H683="T72",10,IF(H683="T104",14,IF(H683="T104",18,IF(H683="T72",22,"")))))))</f>
        <v/>
      </c>
      <c r="J683" s="1" t="s">
        <v>1808</v>
      </c>
      <c r="K683" s="10">
        <v>2</v>
      </c>
      <c r="L683" s="10">
        <v>1</v>
      </c>
      <c r="O683" s="6"/>
      <c r="Q683" s="42" t="s">
        <v>2962</v>
      </c>
      <c r="R683" s="42"/>
      <c r="S683" s="1"/>
    </row>
    <row r="684" spans="1:19" ht="18.75" hidden="1" customHeight="1" x14ac:dyDescent="0.3">
      <c r="A684" s="10">
        <v>683</v>
      </c>
      <c r="B684" s="10">
        <f>_xlfn.XLOOKUP(1,(VALUE(D684)&gt;=VALUE(block!$C$3:$C$500))*(VALUE(D684)&lt;VALUE(block!$C$3:$C$500)+VALUE(block!$D$3:$D$500)),block!$A$3:$A$500,"无匹配",0,1)</f>
        <v>17</v>
      </c>
      <c r="C684" s="3" t="str">
        <f>B684 &amp; "-" &amp; COUNTIF($B$2:B684, B684)</f>
        <v>17-17</v>
      </c>
      <c r="D684" s="10">
        <v>10058</v>
      </c>
      <c r="E684" s="1" t="s">
        <v>3053</v>
      </c>
      <c r="F684" s="1" t="s">
        <v>3054</v>
      </c>
      <c r="G684" s="1" t="s">
        <v>1840</v>
      </c>
      <c r="H684" s="1" t="s">
        <v>1812</v>
      </c>
      <c r="I684" s="10" t="str">
        <f>IF(H684="T57",1,IF(H684="T57",3,IF(H684="T73",6,IF(H684="T73",10,IF(H684="T105",14,IF(H684="T105",18,IF(H684="T73",22,"")))))))</f>
        <v/>
      </c>
      <c r="J684" s="1" t="s">
        <v>1808</v>
      </c>
      <c r="K684" s="10">
        <v>2</v>
      </c>
      <c r="L684" s="10">
        <v>1</v>
      </c>
      <c r="O684" s="6"/>
      <c r="Q684" s="42" t="s">
        <v>2962</v>
      </c>
      <c r="R684" s="42"/>
      <c r="S684" s="1"/>
    </row>
    <row r="685" spans="1:19" ht="18.75" hidden="1" customHeight="1" x14ac:dyDescent="0.3">
      <c r="A685" s="10">
        <v>684</v>
      </c>
      <c r="B685" s="10">
        <f>_xlfn.XLOOKUP(1,(VALUE(D685)&gt;=VALUE(block!$C$3:$C$500))*(VALUE(D685)&lt;VALUE(block!$C$3:$C$500)+VALUE(block!$D$3:$D$500)),block!$A$3:$A$500,"无匹配",0,1)</f>
        <v>17</v>
      </c>
      <c r="C685" s="3" t="str">
        <f>B685 &amp; "-" &amp; COUNTIF($B$2:B685, B685)</f>
        <v>17-18</v>
      </c>
      <c r="D685" s="10">
        <v>10060</v>
      </c>
      <c r="E685" s="1" t="s">
        <v>3055</v>
      </c>
      <c r="F685" s="1" t="s">
        <v>3056</v>
      </c>
      <c r="G685" s="1" t="s">
        <v>1840</v>
      </c>
      <c r="H685" s="1" t="s">
        <v>1812</v>
      </c>
      <c r="I685" s="10" t="str">
        <f>IF(H685="T58",1,IF(H685="T58",3,IF(H685="T74",6,IF(H685="T74",10,IF(H685="T106",14,IF(H685="T106",18,IF(H685="T74",22,"")))))))</f>
        <v/>
      </c>
      <c r="J685" s="1" t="s">
        <v>1808</v>
      </c>
      <c r="K685" s="10">
        <v>2</v>
      </c>
      <c r="L685" s="10">
        <v>1</v>
      </c>
      <c r="O685" s="6"/>
      <c r="Q685" s="42" t="s">
        <v>2962</v>
      </c>
      <c r="R685" s="42"/>
      <c r="S685" s="1"/>
    </row>
    <row r="686" spans="1:19" ht="18.75" hidden="1" customHeight="1" x14ac:dyDescent="0.3">
      <c r="A686" s="10">
        <v>685</v>
      </c>
      <c r="B686" s="10">
        <f>_xlfn.XLOOKUP(1,(VALUE(D686)&gt;=VALUE(block!$C$3:$C$500))*(VALUE(D686)&lt;VALUE(block!$C$3:$C$500)+VALUE(block!$D$3:$D$500)),block!$A$3:$A$500,"无匹配",0,1)</f>
        <v>17</v>
      </c>
      <c r="C686" s="3" t="str">
        <f>B686 &amp; "-" &amp; COUNTIF($B$2:B686, B686)</f>
        <v>17-19</v>
      </c>
      <c r="D686" s="10">
        <v>10062</v>
      </c>
      <c r="E686" s="1" t="s">
        <v>3057</v>
      </c>
      <c r="F686" s="1" t="s">
        <v>3058</v>
      </c>
      <c r="G686" s="1" t="s">
        <v>1840</v>
      </c>
      <c r="H686" s="1" t="s">
        <v>1812</v>
      </c>
      <c r="I686" s="10" t="str">
        <f>IF(H686="T59",1,IF(H686="T59",3,IF(H686="T75",6,IF(H686="T75",10,IF(H686="T107",14,IF(H686="T107",18,IF(H686="T75",22,"")))))))</f>
        <v/>
      </c>
      <c r="J686" s="1" t="s">
        <v>1808</v>
      </c>
      <c r="K686" s="10">
        <v>2</v>
      </c>
      <c r="L686" s="10">
        <v>1</v>
      </c>
      <c r="O686" s="6"/>
      <c r="Q686" s="42" t="s">
        <v>2962</v>
      </c>
      <c r="R686" s="42"/>
      <c r="S686" s="1"/>
    </row>
    <row r="687" spans="1:19" ht="18.75" hidden="1" customHeight="1" x14ac:dyDescent="0.3">
      <c r="A687" s="10">
        <v>686</v>
      </c>
      <c r="B687" s="10">
        <f>_xlfn.XLOOKUP(1,(VALUE(D687)&gt;=VALUE(block!$C$3:$C$500))*(VALUE(D687)&lt;VALUE(block!$C$3:$C$500)+VALUE(block!$D$3:$D$500)),block!$A$3:$A$500,"无匹配",0,1)</f>
        <v>17</v>
      </c>
      <c r="C687" s="3" t="str">
        <f>B687 &amp; "-" &amp; COUNTIF($B$2:B687, B687)</f>
        <v>17-20</v>
      </c>
      <c r="D687" s="10">
        <v>10064</v>
      </c>
      <c r="E687" s="1" t="s">
        <v>3059</v>
      </c>
      <c r="F687" s="1" t="s">
        <v>3060</v>
      </c>
      <c r="G687" s="1" t="s">
        <v>1840</v>
      </c>
      <c r="H687" s="1" t="s">
        <v>1812</v>
      </c>
      <c r="I687" s="10" t="str">
        <f>IF(H687="T60",1,IF(H687="T60",3,IF(H687="T76",6,IF(H687="T76",10,IF(H687="T108",14,IF(H687="T108",18,IF(H687="T76",22,"")))))))</f>
        <v/>
      </c>
      <c r="J687" s="1" t="s">
        <v>1808</v>
      </c>
      <c r="K687" s="10">
        <v>2</v>
      </c>
      <c r="L687" s="10">
        <v>1</v>
      </c>
      <c r="O687" s="6"/>
      <c r="Q687" s="42" t="s">
        <v>2962</v>
      </c>
      <c r="R687" s="42"/>
      <c r="S687" s="1"/>
    </row>
    <row r="688" spans="1:19" ht="18.75" hidden="1" customHeight="1" x14ac:dyDescent="0.3">
      <c r="A688" s="10">
        <v>687</v>
      </c>
      <c r="B688" s="10">
        <f>_xlfn.XLOOKUP(1,(VALUE(D688)&gt;=VALUE(block!$C$3:$C$500))*(VALUE(D688)&lt;VALUE(block!$C$3:$C$500)+VALUE(block!$D$3:$D$500)),block!$A$3:$A$500,"无匹配",0,1)</f>
        <v>17</v>
      </c>
      <c r="C688" s="3" t="str">
        <f>B688 &amp; "-" &amp; COUNTIF($B$2:B688, B688)</f>
        <v>17-21</v>
      </c>
      <c r="D688" s="10">
        <v>10066</v>
      </c>
      <c r="E688" s="1" t="s">
        <v>3061</v>
      </c>
      <c r="F688" s="1" t="s">
        <v>3062</v>
      </c>
      <c r="G688" s="1" t="s">
        <v>1840</v>
      </c>
      <c r="H688" s="1" t="s">
        <v>1812</v>
      </c>
      <c r="I688" s="10" t="str">
        <f>IF(H688="T61",1,IF(H688="T61",3,IF(H688="T77",6,IF(H688="T77",10,IF(H688="T109",14,IF(H688="T109",18,IF(H688="T77",22,"")))))))</f>
        <v/>
      </c>
      <c r="J688" s="1" t="s">
        <v>1808</v>
      </c>
      <c r="K688" s="10">
        <v>2</v>
      </c>
      <c r="L688" s="10">
        <v>1</v>
      </c>
      <c r="O688" s="6"/>
      <c r="Q688" s="42" t="s">
        <v>2962</v>
      </c>
      <c r="R688" s="42"/>
      <c r="S688" s="1"/>
    </row>
    <row r="689" spans="1:19" ht="18.75" hidden="1" customHeight="1" x14ac:dyDescent="0.3">
      <c r="A689" s="10">
        <v>688</v>
      </c>
      <c r="B689" s="10">
        <f>_xlfn.XLOOKUP(1,(VALUE(D689)&gt;=VALUE(block!$C$3:$C$500))*(VALUE(D689)&lt;VALUE(block!$C$3:$C$500)+VALUE(block!$D$3:$D$500)),block!$A$3:$A$500,"无匹配",0,1)</f>
        <v>17</v>
      </c>
      <c r="C689" s="3" t="str">
        <f>B689 &amp; "-" &amp; COUNTIF($B$2:B689, B689)</f>
        <v>17-22</v>
      </c>
      <c r="D689" s="10">
        <v>10068</v>
      </c>
      <c r="E689" s="1" t="s">
        <v>3063</v>
      </c>
      <c r="F689" s="1" t="s">
        <v>3064</v>
      </c>
      <c r="G689" s="1" t="s">
        <v>1840</v>
      </c>
      <c r="H689" s="1" t="s">
        <v>1812</v>
      </c>
      <c r="I689" s="10" t="str">
        <f>IF(H689="T62",1,IF(H689="T62",3,IF(H689="T78",6,IF(H689="T78",10,IF(H689="T110",14,IF(H689="T110",18,IF(H689="T78",22,"")))))))</f>
        <v/>
      </c>
      <c r="J689" s="1" t="s">
        <v>1808</v>
      </c>
      <c r="K689" s="10">
        <v>2</v>
      </c>
      <c r="L689" s="10">
        <v>1</v>
      </c>
      <c r="O689" s="6"/>
      <c r="Q689" s="42" t="s">
        <v>2962</v>
      </c>
      <c r="R689" s="42"/>
      <c r="S689" s="1"/>
    </row>
    <row r="690" spans="1:19" ht="18.75" hidden="1" customHeight="1" x14ac:dyDescent="0.3">
      <c r="A690" s="10">
        <v>689</v>
      </c>
      <c r="B690" s="10">
        <f>_xlfn.XLOOKUP(1,(VALUE(D690)&gt;=VALUE(block!$C$3:$C$500))*(VALUE(D690)&lt;VALUE(block!$C$3:$C$500)+VALUE(block!$D$3:$D$500)),block!$A$3:$A$500,"无匹配",0,1)</f>
        <v>17</v>
      </c>
      <c r="C690" s="3" t="str">
        <f>B690 &amp; "-" &amp; COUNTIF($B$2:B690, B690)</f>
        <v>17-23</v>
      </c>
      <c r="D690" s="10">
        <v>10070</v>
      </c>
      <c r="E690" s="1" t="s">
        <v>3065</v>
      </c>
      <c r="F690" s="1" t="s">
        <v>3066</v>
      </c>
      <c r="G690" s="1" t="s">
        <v>1840</v>
      </c>
      <c r="H690" s="1" t="s">
        <v>1812</v>
      </c>
      <c r="I690" s="10" t="str">
        <f>IF(H690="T63",1,IF(H690="T63",3,IF(H690="T79",6,IF(H690="T79",10,IF(H690="T111",14,IF(H690="T111",18,IF(H690="T79",22,"")))))))</f>
        <v/>
      </c>
      <c r="J690" s="1" t="s">
        <v>1808</v>
      </c>
      <c r="K690" s="10">
        <v>2</v>
      </c>
      <c r="L690" s="10">
        <v>1</v>
      </c>
      <c r="O690" s="6"/>
      <c r="Q690" s="42" t="s">
        <v>2962</v>
      </c>
      <c r="R690" s="42"/>
      <c r="S690" s="1"/>
    </row>
    <row r="691" spans="1:19" ht="18.75" hidden="1" customHeight="1" x14ac:dyDescent="0.3">
      <c r="A691" s="10">
        <v>690</v>
      </c>
      <c r="B691" s="10">
        <f>_xlfn.XLOOKUP(1,(VALUE(D691)&gt;=VALUE(block!$C$3:$C$500))*(VALUE(D691)&lt;VALUE(block!$C$3:$C$500)+VALUE(block!$D$3:$D$500)),block!$A$3:$A$500,"无匹配",0,1)</f>
        <v>17</v>
      </c>
      <c r="C691" s="3" t="str">
        <f>B691 &amp; "-" &amp; COUNTIF($B$2:B691, B691)</f>
        <v>17-24</v>
      </c>
      <c r="D691" s="10">
        <v>10072</v>
      </c>
      <c r="E691" s="1" t="s">
        <v>3067</v>
      </c>
      <c r="F691" s="1" t="s">
        <v>3068</v>
      </c>
      <c r="G691" s="1" t="s">
        <v>1840</v>
      </c>
      <c r="H691" s="1" t="s">
        <v>1812</v>
      </c>
      <c r="I691" s="10" t="str">
        <f>IF(H691="T64",1,IF(H691="T64",3,IF(H691="T80",6,IF(H691="T80",10,IF(H691="T112",14,IF(H691="T112",18,IF(H691="T80",22,"")))))))</f>
        <v/>
      </c>
      <c r="J691" s="1" t="s">
        <v>1808</v>
      </c>
      <c r="K691" s="10">
        <v>2</v>
      </c>
      <c r="L691" s="10">
        <v>1</v>
      </c>
      <c r="O691" s="6"/>
      <c r="Q691" s="42" t="s">
        <v>2962</v>
      </c>
      <c r="R691" s="42"/>
      <c r="S691" s="1"/>
    </row>
    <row r="692" spans="1:19" ht="18.75" hidden="1" customHeight="1" x14ac:dyDescent="0.3">
      <c r="A692" s="10">
        <v>691</v>
      </c>
      <c r="B692" s="10">
        <f>_xlfn.XLOOKUP(1,(VALUE(D692)&gt;=VALUE(block!$C$3:$C$500))*(VALUE(D692)&lt;VALUE(block!$C$3:$C$500)+VALUE(block!$D$3:$D$500)),block!$A$3:$A$500,"无匹配",0,1)</f>
        <v>17</v>
      </c>
      <c r="C692" s="3" t="str">
        <f>B692 &amp; "-" &amp; COUNTIF($B$2:B692, B692)</f>
        <v>17-25</v>
      </c>
      <c r="D692" s="10">
        <v>10074</v>
      </c>
      <c r="E692" s="1" t="s">
        <v>3069</v>
      </c>
      <c r="F692" s="1" t="s">
        <v>3070</v>
      </c>
      <c r="G692" s="1" t="s">
        <v>1840</v>
      </c>
      <c r="H692" s="1" t="s">
        <v>1812</v>
      </c>
      <c r="I692" s="10" t="str">
        <f>IF(H692="T65",1,IF(H692="T65",3,IF(H692="T81",6,IF(H692="T81",10,IF(H692="T113",14,IF(H692="T113",18,IF(H692="T81",22,"")))))))</f>
        <v/>
      </c>
      <c r="J692" s="1" t="s">
        <v>1808</v>
      </c>
      <c r="K692" s="10">
        <v>2</v>
      </c>
      <c r="L692" s="10">
        <v>1</v>
      </c>
      <c r="O692" s="6"/>
      <c r="Q692" s="42" t="s">
        <v>2962</v>
      </c>
      <c r="R692" s="42"/>
      <c r="S692" s="1"/>
    </row>
    <row r="693" spans="1:19" ht="18.75" hidden="1" customHeight="1" x14ac:dyDescent="0.3">
      <c r="A693" s="10">
        <v>692</v>
      </c>
      <c r="B693" s="10">
        <f>_xlfn.XLOOKUP(1,(VALUE(D693)&gt;=VALUE(block!$C$3:$C$500))*(VALUE(D693)&lt;VALUE(block!$C$3:$C$500)+VALUE(block!$D$3:$D$500)),block!$A$3:$A$500,"无匹配",0,1)</f>
        <v>17</v>
      </c>
      <c r="C693" s="3" t="str">
        <f>B693 &amp; "-" &amp; COUNTIF($B$2:B693, B693)</f>
        <v>17-26</v>
      </c>
      <c r="D693" s="10">
        <v>10076</v>
      </c>
      <c r="E693" s="1" t="s">
        <v>3071</v>
      </c>
      <c r="F693" s="1" t="s">
        <v>3072</v>
      </c>
      <c r="G693" s="1" t="s">
        <v>1840</v>
      </c>
      <c r="H693" s="1" t="s">
        <v>1812</v>
      </c>
      <c r="I693" s="10" t="str">
        <f>IF(H693="T66",1,IF(H693="T66",3,IF(H693="T82",6,IF(H693="T82",10,IF(H693="T114",14,IF(H693="T114",18,IF(H693="T82",22,"")))))))</f>
        <v/>
      </c>
      <c r="J693" s="1" t="s">
        <v>1808</v>
      </c>
      <c r="K693" s="10">
        <v>2</v>
      </c>
      <c r="L693" s="10">
        <v>1</v>
      </c>
      <c r="O693" s="6"/>
      <c r="Q693" s="42" t="s">
        <v>2962</v>
      </c>
      <c r="R693" s="42"/>
      <c r="S693" s="1"/>
    </row>
    <row r="694" spans="1:19" ht="18.75" hidden="1" customHeight="1" x14ac:dyDescent="0.3">
      <c r="A694" s="10">
        <v>693</v>
      </c>
      <c r="B694" s="10">
        <f>_xlfn.XLOOKUP(1,(VALUE(D694)&gt;=VALUE(block!$C$3:$C$500))*(VALUE(D694)&lt;VALUE(block!$C$3:$C$500)+VALUE(block!$D$3:$D$500)),block!$A$3:$A$500,"无匹配",0,1)</f>
        <v>17</v>
      </c>
      <c r="C694" s="3" t="str">
        <f>B694 &amp; "-" &amp; COUNTIF($B$2:B694, B694)</f>
        <v>17-27</v>
      </c>
      <c r="D694" s="10">
        <v>10078</v>
      </c>
      <c r="E694" s="1" t="s">
        <v>3073</v>
      </c>
      <c r="F694" s="1" t="s">
        <v>3074</v>
      </c>
      <c r="G694" s="1" t="s">
        <v>1840</v>
      </c>
      <c r="H694" s="1" t="s">
        <v>1812</v>
      </c>
      <c r="I694" s="10" t="str">
        <f>IF(H694="T67",1,IF(H694="T67",3,IF(H694="T83",6,IF(H694="T83",10,IF(H694="T115",14,IF(H694="T115",18,IF(H694="T83",22,"")))))))</f>
        <v/>
      </c>
      <c r="J694" s="1" t="s">
        <v>1808</v>
      </c>
      <c r="K694" s="10">
        <v>2</v>
      </c>
      <c r="L694" s="10">
        <v>1</v>
      </c>
      <c r="O694" s="6"/>
      <c r="Q694" s="42" t="s">
        <v>2962</v>
      </c>
      <c r="R694" s="42"/>
      <c r="S694" s="1"/>
    </row>
    <row r="695" spans="1:19" ht="18.75" hidden="1" customHeight="1" x14ac:dyDescent="0.3">
      <c r="A695" s="10">
        <v>694</v>
      </c>
      <c r="B695" s="10">
        <f>_xlfn.XLOOKUP(1,(VALUE(D695)&gt;=VALUE(block!$C$3:$C$500))*(VALUE(D695)&lt;VALUE(block!$C$3:$C$500)+VALUE(block!$D$3:$D$500)),block!$A$3:$A$500,"无匹配",0,1)</f>
        <v>17</v>
      </c>
      <c r="C695" s="3" t="str">
        <f>B695 &amp; "-" &amp; COUNTIF($B$2:B695, B695)</f>
        <v>17-28</v>
      </c>
      <c r="D695" s="10">
        <v>10080</v>
      </c>
      <c r="E695" s="1" t="s">
        <v>3075</v>
      </c>
      <c r="F695" s="1" t="s">
        <v>3076</v>
      </c>
      <c r="G695" s="1" t="s">
        <v>1840</v>
      </c>
      <c r="H695" s="1" t="s">
        <v>1812</v>
      </c>
      <c r="I695" s="10" t="str">
        <f>IF(H695="T68",1,IF(H695="T68",3,IF(H695="T84",6,IF(H695="T84",10,IF(H695="T116",14,IF(H695="T116",18,IF(H695="T84",22,"")))))))</f>
        <v/>
      </c>
      <c r="J695" s="1" t="s">
        <v>1808</v>
      </c>
      <c r="K695" s="10">
        <v>2</v>
      </c>
      <c r="L695" s="10">
        <v>1</v>
      </c>
      <c r="O695" s="6"/>
      <c r="Q695" s="42" t="s">
        <v>2962</v>
      </c>
      <c r="R695" s="42"/>
      <c r="S695" s="1"/>
    </row>
    <row r="696" spans="1:19" ht="18.75" hidden="1" customHeight="1" x14ac:dyDescent="0.3">
      <c r="A696" s="10">
        <v>695</v>
      </c>
      <c r="B696" s="10">
        <f>_xlfn.XLOOKUP(1,(VALUE(D696)&gt;=VALUE(block!$C$3:$C$500))*(VALUE(D696)&lt;VALUE(block!$C$3:$C$500)+VALUE(block!$D$3:$D$500)),block!$A$3:$A$500,"无匹配",0,1)</f>
        <v>17</v>
      </c>
      <c r="C696" s="3" t="str">
        <f>B696 &amp; "-" &amp; COUNTIF($B$2:B696, B696)</f>
        <v>17-29</v>
      </c>
      <c r="D696" s="10">
        <v>10082</v>
      </c>
      <c r="E696" s="1" t="s">
        <v>3077</v>
      </c>
      <c r="F696" s="1" t="s">
        <v>3078</v>
      </c>
      <c r="G696" s="1" t="s">
        <v>1840</v>
      </c>
      <c r="H696" s="1" t="s">
        <v>1812</v>
      </c>
      <c r="I696" s="10" t="str">
        <f>IF(H696="T69",1,IF(H696="T69",3,IF(H696="T85",6,IF(H696="T85",10,IF(H696="T117",14,IF(H696="T117",18,IF(H696="T85",22,"")))))))</f>
        <v/>
      </c>
      <c r="J696" s="1" t="s">
        <v>1808</v>
      </c>
      <c r="K696" s="10">
        <v>2</v>
      </c>
      <c r="L696" s="10">
        <v>1</v>
      </c>
      <c r="O696" s="6"/>
      <c r="Q696" s="42" t="s">
        <v>2962</v>
      </c>
      <c r="R696" s="42"/>
      <c r="S696" s="1"/>
    </row>
    <row r="697" spans="1:19" ht="18.75" hidden="1" customHeight="1" x14ac:dyDescent="0.3">
      <c r="A697" s="10">
        <v>696</v>
      </c>
      <c r="B697" s="10">
        <f>_xlfn.XLOOKUP(1,(VALUE(D697)&gt;=VALUE(block!$C$3:$C$500))*(VALUE(D697)&lt;VALUE(block!$C$3:$C$500)+VALUE(block!$D$3:$D$500)),block!$A$3:$A$500,"无匹配",0,1)</f>
        <v>17</v>
      </c>
      <c r="C697" s="3" t="str">
        <f>B697 &amp; "-" &amp; COUNTIF($B$2:B697, B697)</f>
        <v>17-30</v>
      </c>
      <c r="D697" s="10">
        <v>10084</v>
      </c>
      <c r="E697" s="1" t="s">
        <v>3079</v>
      </c>
      <c r="F697" s="1" t="s">
        <v>3080</v>
      </c>
      <c r="G697" s="1" t="s">
        <v>1840</v>
      </c>
      <c r="H697" s="1" t="s">
        <v>1812</v>
      </c>
      <c r="I697" s="10" t="str">
        <f>IF(H697="T70",1,IF(H697="T70",3,IF(H697="T86",6,IF(H697="T86",10,IF(H697="T118",14,IF(H697="T118",18,IF(H697="T86",22,"")))))))</f>
        <v/>
      </c>
      <c r="J697" s="1" t="s">
        <v>1808</v>
      </c>
      <c r="K697" s="10">
        <v>2</v>
      </c>
      <c r="L697" s="10">
        <v>1</v>
      </c>
      <c r="O697" s="6"/>
      <c r="Q697" s="42" t="s">
        <v>2962</v>
      </c>
      <c r="R697" s="42"/>
      <c r="S697" s="1"/>
    </row>
    <row r="698" spans="1:19" ht="18.75" hidden="1" customHeight="1" x14ac:dyDescent="0.3">
      <c r="A698" s="10">
        <v>697</v>
      </c>
      <c r="B698" s="10">
        <f>_xlfn.XLOOKUP(1,(VALUE(D698)&gt;=VALUE(block!$C$3:$C$500))*(VALUE(D698)&lt;VALUE(block!$C$3:$C$500)+VALUE(block!$D$3:$D$500)),block!$A$3:$A$500,"无匹配",0,1)</f>
        <v>17</v>
      </c>
      <c r="C698" s="3" t="str">
        <f>B698 &amp; "-" &amp; COUNTIF($B$2:B698, B698)</f>
        <v>17-31</v>
      </c>
      <c r="D698" s="10">
        <v>10086</v>
      </c>
      <c r="E698" s="1" t="s">
        <v>3081</v>
      </c>
      <c r="F698" s="1" t="s">
        <v>3082</v>
      </c>
      <c r="G698" s="1" t="s">
        <v>1840</v>
      </c>
      <c r="H698" s="1" t="s">
        <v>1812</v>
      </c>
      <c r="I698" s="10" t="str">
        <f>IF(H698="T71",1,IF(H698="T71",3,IF(H698="T87",6,IF(H698="T87",10,IF(H698="T119",14,IF(H698="T119",18,IF(H698="T87",22,"")))))))</f>
        <v/>
      </c>
      <c r="J698" s="1" t="s">
        <v>1808</v>
      </c>
      <c r="K698" s="10">
        <v>2</v>
      </c>
      <c r="L698" s="10">
        <v>1</v>
      </c>
      <c r="O698" s="6"/>
      <c r="Q698" s="42" t="s">
        <v>2962</v>
      </c>
      <c r="R698" s="42"/>
      <c r="S698" s="1"/>
    </row>
    <row r="699" spans="1:19" ht="18.75" hidden="1" customHeight="1" x14ac:dyDescent="0.3">
      <c r="A699" s="10">
        <v>698</v>
      </c>
      <c r="B699" s="10">
        <f>_xlfn.XLOOKUP(1,(VALUE(D699)&gt;=VALUE(block!$C$3:$C$500))*(VALUE(D699)&lt;VALUE(block!$C$3:$C$500)+VALUE(block!$D$3:$D$500)),block!$A$3:$A$500,"无匹配",0,1)</f>
        <v>17</v>
      </c>
      <c r="C699" s="3" t="str">
        <f>B699 &amp; "-" &amp; COUNTIF($B$2:B699, B699)</f>
        <v>17-32</v>
      </c>
      <c r="D699" s="10">
        <v>10088</v>
      </c>
      <c r="E699" s="1" t="s">
        <v>3083</v>
      </c>
      <c r="F699" s="1" t="s">
        <v>3084</v>
      </c>
      <c r="G699" s="1" t="s">
        <v>1840</v>
      </c>
      <c r="H699" s="1" t="s">
        <v>1812</v>
      </c>
      <c r="I699" s="10" t="str">
        <f>IF(H699="T72",1,IF(H699="T72",3,IF(H699="T88",6,IF(H699="T88",10,IF(H699="T120",14,IF(H699="T120",18,IF(H699="T88",22,"")))))))</f>
        <v/>
      </c>
      <c r="J699" s="1" t="s">
        <v>1808</v>
      </c>
      <c r="K699" s="10">
        <v>2</v>
      </c>
      <c r="L699" s="10">
        <v>1</v>
      </c>
      <c r="O699" s="6"/>
      <c r="Q699" s="42" t="s">
        <v>2962</v>
      </c>
      <c r="R699" s="42"/>
      <c r="S699" s="1"/>
    </row>
    <row r="700" spans="1:19" ht="18.75" hidden="1" customHeight="1" x14ac:dyDescent="0.3">
      <c r="A700" s="10">
        <v>699</v>
      </c>
      <c r="B700" s="10">
        <f>_xlfn.XLOOKUP(1,(VALUE(D700)&gt;=VALUE(block!$C$3:$C$500))*(VALUE(D700)&lt;VALUE(block!$C$3:$C$500)+VALUE(block!$D$3:$D$500)),block!$A$3:$A$500,"无匹配",0,1)</f>
        <v>17</v>
      </c>
      <c r="C700" s="3" t="str">
        <f>B700 &amp; "-" &amp; COUNTIF($B$2:B700, B700)</f>
        <v>17-33</v>
      </c>
      <c r="D700" s="10">
        <v>10090</v>
      </c>
      <c r="E700" s="1" t="s">
        <v>3085</v>
      </c>
      <c r="F700" s="1" t="s">
        <v>3086</v>
      </c>
      <c r="G700" s="1" t="s">
        <v>1840</v>
      </c>
      <c r="H700" s="1" t="s">
        <v>1812</v>
      </c>
      <c r="I700" s="10" t="str">
        <f>IF(H700="T73",1,IF(H700="T73",3,IF(H700="T89",6,IF(H700="T89",10,IF(H700="T121",14,IF(H700="T121",18,IF(H700="T89",22,"")))))))</f>
        <v/>
      </c>
      <c r="J700" s="1" t="s">
        <v>1808</v>
      </c>
      <c r="K700" s="10">
        <v>2</v>
      </c>
      <c r="L700" s="10">
        <v>1</v>
      </c>
      <c r="O700" s="6"/>
      <c r="Q700" s="42" t="s">
        <v>2962</v>
      </c>
      <c r="R700" s="42"/>
      <c r="S700" s="1"/>
    </row>
    <row r="701" spans="1:19" ht="18.75" hidden="1" customHeight="1" x14ac:dyDescent="0.3">
      <c r="A701" s="10">
        <v>700</v>
      </c>
      <c r="B701" s="10">
        <f>_xlfn.XLOOKUP(1,(VALUE(D701)&gt;=VALUE(block!$C$3:$C$500))*(VALUE(D701)&lt;VALUE(block!$C$3:$C$500)+VALUE(block!$D$3:$D$500)),block!$A$3:$A$500,"无匹配",0,1)</f>
        <v>17</v>
      </c>
      <c r="C701" s="3" t="str">
        <f>B701 &amp; "-" &amp; COUNTIF($B$2:B701, B701)</f>
        <v>17-34</v>
      </c>
      <c r="D701" s="10">
        <v>10092</v>
      </c>
      <c r="E701" s="1" t="s">
        <v>3087</v>
      </c>
      <c r="F701" s="1" t="s">
        <v>3088</v>
      </c>
      <c r="G701" s="1" t="s">
        <v>1840</v>
      </c>
      <c r="H701" s="1" t="s">
        <v>1812</v>
      </c>
      <c r="I701" s="10" t="str">
        <f>IF(H701="T74",1,IF(H701="T74",3,IF(H701="T90",6,IF(H701="T90",10,IF(H701="T122",14,IF(H701="T122",18,IF(H701="T90",22,"")))))))</f>
        <v/>
      </c>
      <c r="J701" s="1" t="s">
        <v>1808</v>
      </c>
      <c r="K701" s="10">
        <v>2</v>
      </c>
      <c r="L701" s="10">
        <v>1</v>
      </c>
      <c r="O701" s="6"/>
      <c r="Q701" s="42" t="s">
        <v>2962</v>
      </c>
      <c r="R701" s="42"/>
      <c r="S701" s="1"/>
    </row>
    <row r="702" spans="1:19" ht="18.75" customHeight="1" x14ac:dyDescent="0.3">
      <c r="A702" s="10">
        <v>701</v>
      </c>
      <c r="B702" s="10">
        <f>_xlfn.XLOOKUP(1,(VALUE(D702)&gt;=VALUE(block!$C$3:$C$500))*(VALUE(D702)&lt;VALUE(block!$C$3:$C$500)+VALUE(block!$D$3:$D$500)),block!$A$3:$A$500,"无匹配",0,1)</f>
        <v>18</v>
      </c>
      <c r="C702" s="3" t="str">
        <f>B702 &amp; "-" &amp; COUNTIF($B$2:B702, B702)</f>
        <v>18-1</v>
      </c>
      <c r="D702" s="10">
        <v>10094</v>
      </c>
      <c r="E702" s="1" t="s">
        <v>3089</v>
      </c>
      <c r="F702" s="1" t="s">
        <v>3090</v>
      </c>
      <c r="G702" s="1" t="s">
        <v>1840</v>
      </c>
      <c r="H702" s="1" t="s">
        <v>1812</v>
      </c>
      <c r="I702" s="10" t="str">
        <f>IF(H702="T75",1,IF(H702="T75",3,IF(H702="T91",6,IF(H702="T91",10,IF(H702="T123",14,IF(H702="T123",18,IF(H702="T91",22,"")))))))</f>
        <v/>
      </c>
      <c r="J702" s="1" t="s">
        <v>1808</v>
      </c>
      <c r="K702" s="10">
        <v>2</v>
      </c>
      <c r="L702" s="10">
        <v>1</v>
      </c>
      <c r="N702" s="10">
        <v>4</v>
      </c>
      <c r="O702" s="6"/>
      <c r="P702" s="45" t="s">
        <v>2826</v>
      </c>
      <c r="Q702" s="6">
        <v>14</v>
      </c>
      <c r="R702" s="6"/>
      <c r="S702" s="1" t="s">
        <v>3090</v>
      </c>
    </row>
    <row r="703" spans="1:19" ht="18.75" customHeight="1" x14ac:dyDescent="0.3">
      <c r="A703" s="10">
        <v>702</v>
      </c>
      <c r="B703" s="10">
        <f>_xlfn.XLOOKUP(1,(VALUE(D703)&gt;=VALUE(block!$C$3:$C$500))*(VALUE(D703)&lt;VALUE(block!$C$3:$C$500)+VALUE(block!$D$3:$D$500)),block!$A$3:$A$500,"无匹配",0,1)</f>
        <v>18</v>
      </c>
      <c r="C703" s="3" t="str">
        <f>B703 &amp; "-" &amp; COUNTIF($B$2:B703, B703)</f>
        <v>18-2</v>
      </c>
      <c r="D703" s="10">
        <v>10096</v>
      </c>
      <c r="E703" s="1" t="s">
        <v>3091</v>
      </c>
      <c r="F703" s="1" t="s">
        <v>3092</v>
      </c>
      <c r="G703" s="1" t="s">
        <v>1840</v>
      </c>
      <c r="H703" s="1" t="s">
        <v>1812</v>
      </c>
      <c r="I703" s="10" t="str">
        <f>IF(H703="T76",1,IF(H703="T76",3,IF(H703="T92",6,IF(H703="T92",10,IF(H703="T124",14,IF(H703="T124",18,IF(H703="T92",22,"")))))))</f>
        <v/>
      </c>
      <c r="J703" s="1" t="s">
        <v>1808</v>
      </c>
      <c r="K703" s="10">
        <v>2</v>
      </c>
      <c r="L703" s="10">
        <v>1</v>
      </c>
      <c r="N703" s="10">
        <v>4</v>
      </c>
      <c r="O703" s="6"/>
      <c r="P703" s="45" t="s">
        <v>2826</v>
      </c>
      <c r="Q703" s="6">
        <v>14</v>
      </c>
      <c r="R703" s="6"/>
      <c r="S703" s="1" t="s">
        <v>3092</v>
      </c>
    </row>
    <row r="704" spans="1:19" ht="18.75" customHeight="1" x14ac:dyDescent="0.3">
      <c r="A704" s="10">
        <v>703</v>
      </c>
      <c r="B704" s="10">
        <f>_xlfn.XLOOKUP(1,(VALUE(D704)&gt;=VALUE(block!$C$3:$C$500))*(VALUE(D704)&lt;VALUE(block!$C$3:$C$500)+VALUE(block!$D$3:$D$500)),block!$A$3:$A$500,"无匹配",0,1)</f>
        <v>18</v>
      </c>
      <c r="C704" s="3" t="str">
        <f>B704 &amp; "-" &amp; COUNTIF($B$2:B704, B704)</f>
        <v>18-3</v>
      </c>
      <c r="D704" s="10">
        <v>10098</v>
      </c>
      <c r="E704" s="1" t="s">
        <v>3093</v>
      </c>
      <c r="F704" s="1" t="s">
        <v>3094</v>
      </c>
      <c r="G704" s="1" t="s">
        <v>1840</v>
      </c>
      <c r="H704" s="1" t="s">
        <v>1812</v>
      </c>
      <c r="I704" s="10" t="str">
        <f>IF(H704="T77",1,IF(H704="T77",3,IF(H704="T93",6,IF(H704="T93",10,IF(H704="T125",14,IF(H704="T125",18,IF(H704="T93",22,"")))))))</f>
        <v/>
      </c>
      <c r="J704" s="1" t="s">
        <v>1808</v>
      </c>
      <c r="K704" s="10">
        <v>2</v>
      </c>
      <c r="L704" s="10">
        <v>1</v>
      </c>
      <c r="N704" s="10">
        <v>4</v>
      </c>
      <c r="O704" s="6"/>
      <c r="P704" s="45" t="s">
        <v>2826</v>
      </c>
      <c r="Q704" s="6">
        <v>14</v>
      </c>
      <c r="R704" s="6"/>
      <c r="S704" s="1" t="s">
        <v>3094</v>
      </c>
    </row>
    <row r="705" spans="1:19" ht="18.75" customHeight="1" x14ac:dyDescent="0.3">
      <c r="A705" s="10">
        <v>704</v>
      </c>
      <c r="B705" s="10">
        <f>_xlfn.XLOOKUP(1,(VALUE(D705)&gt;=VALUE(block!$C$3:$C$500))*(VALUE(D705)&lt;VALUE(block!$C$3:$C$500)+VALUE(block!$D$3:$D$500)),block!$A$3:$A$500,"无匹配",0,1)</f>
        <v>18</v>
      </c>
      <c r="C705" s="3" t="str">
        <f>B705 &amp; "-" &amp; COUNTIF($B$2:B705, B705)</f>
        <v>18-4</v>
      </c>
      <c r="D705" s="10">
        <v>10100</v>
      </c>
      <c r="E705" s="1" t="s">
        <v>3095</v>
      </c>
      <c r="F705" s="1" t="s">
        <v>3096</v>
      </c>
      <c r="G705" s="1" t="s">
        <v>1840</v>
      </c>
      <c r="H705" s="1" t="s">
        <v>1812</v>
      </c>
      <c r="I705" s="10" t="str">
        <f>IF(H705="T78",1,IF(H705="T78",3,IF(H705="T94",6,IF(H705="T94",10,IF(H705="T126",14,IF(H705="T126",18,IF(H705="T94",22,"")))))))</f>
        <v/>
      </c>
      <c r="J705" s="1" t="s">
        <v>1808</v>
      </c>
      <c r="K705" s="10">
        <v>2</v>
      </c>
      <c r="L705" s="10">
        <v>1</v>
      </c>
      <c r="N705" s="10">
        <v>4</v>
      </c>
      <c r="O705" s="6"/>
      <c r="P705" s="45" t="s">
        <v>2826</v>
      </c>
      <c r="Q705" s="6">
        <v>14</v>
      </c>
      <c r="R705" s="6"/>
      <c r="S705" s="1" t="s">
        <v>3096</v>
      </c>
    </row>
    <row r="706" spans="1:19" ht="18.75" hidden="1" customHeight="1" x14ac:dyDescent="0.3">
      <c r="A706" s="10">
        <v>705</v>
      </c>
      <c r="B706" s="10">
        <f>_xlfn.XLOOKUP(1,(VALUE(D706)&gt;=VALUE(block!$C$3:$C$500))*(VALUE(D706)&lt;VALUE(block!$C$3:$C$500)+VALUE(block!$D$3:$D$500)),block!$A$3:$A$500,"无匹配",0,1)</f>
        <v>18</v>
      </c>
      <c r="C706" s="3" t="str">
        <f>B706 &amp; "-" &amp; COUNTIF($B$2:B706, B706)</f>
        <v>18-5</v>
      </c>
      <c r="D706" s="10">
        <v>10102</v>
      </c>
      <c r="E706" s="1" t="s">
        <v>3097</v>
      </c>
      <c r="F706" s="1" t="s">
        <v>3098</v>
      </c>
      <c r="G706" s="1" t="s">
        <v>1840</v>
      </c>
      <c r="H706" s="1" t="s">
        <v>1812</v>
      </c>
      <c r="I706" s="10" t="str">
        <f>IF(H706="T79",1,IF(H706="T79",3,IF(H706="T95",6,IF(H706="T95",10,IF(H706="T127",14,IF(H706="T127",18,IF(H706="T95",22,"")))))))</f>
        <v/>
      </c>
      <c r="J706" s="1" t="s">
        <v>1808</v>
      </c>
      <c r="K706" s="10">
        <v>2</v>
      </c>
      <c r="L706" s="10">
        <v>1</v>
      </c>
      <c r="O706" s="6"/>
      <c r="Q706" s="42" t="s">
        <v>2962</v>
      </c>
      <c r="R706" s="42"/>
      <c r="S706" s="1"/>
    </row>
    <row r="707" spans="1:19" ht="18.75" hidden="1" customHeight="1" x14ac:dyDescent="0.3">
      <c r="A707" s="10">
        <v>706</v>
      </c>
      <c r="B707" s="10">
        <f>_xlfn.XLOOKUP(1,(VALUE(D707)&gt;=VALUE(block!$C$3:$C$500))*(VALUE(D707)&lt;VALUE(block!$C$3:$C$500)+VALUE(block!$D$3:$D$500)),block!$A$3:$A$500,"无匹配",0,1)</f>
        <v>18</v>
      </c>
      <c r="C707" s="3" t="str">
        <f>B707 &amp; "-" &amp; COUNTIF($B$2:B707, B707)</f>
        <v>18-6</v>
      </c>
      <c r="D707" s="10">
        <v>10104</v>
      </c>
      <c r="E707" s="1" t="s">
        <v>3099</v>
      </c>
      <c r="F707" s="1" t="s">
        <v>3100</v>
      </c>
      <c r="G707" s="1" t="s">
        <v>1840</v>
      </c>
      <c r="H707" s="1" t="s">
        <v>1812</v>
      </c>
      <c r="I707" s="10">
        <f>IF(H707="uint16",1,IF(H707="int16",3,IF(H707="uint32",6,IF(H707="int32",10,IF(H707="uint64",14,IF(H707="int64",18,IF(H707="float32",22,"")))))))</f>
        <v>22</v>
      </c>
      <c r="J707" s="1" t="s">
        <v>1808</v>
      </c>
      <c r="K707" s="10">
        <v>2</v>
      </c>
      <c r="L707" s="10">
        <v>1</v>
      </c>
      <c r="O707" s="6"/>
      <c r="Q707" s="42" t="s">
        <v>2962</v>
      </c>
      <c r="R707" s="42"/>
      <c r="S707" s="1"/>
    </row>
    <row r="708" spans="1:19" ht="18.75" hidden="1" customHeight="1" x14ac:dyDescent="0.3">
      <c r="A708" s="10">
        <v>707</v>
      </c>
      <c r="B708" s="10">
        <f>_xlfn.XLOOKUP(1,(VALUE(D708)&gt;=VALUE(block!$C$3:$C$500))*(VALUE(D708)&lt;VALUE(block!$C$3:$C$500)+VALUE(block!$D$3:$D$500)),block!$A$3:$A$500,"无匹配",0,1)</f>
        <v>18</v>
      </c>
      <c r="C708" s="3" t="str">
        <f>B708 &amp; "-" &amp; COUNTIF($B$2:B708, B708)</f>
        <v>18-7</v>
      </c>
      <c r="D708" s="10">
        <v>10106</v>
      </c>
      <c r="E708" s="1" t="s">
        <v>3101</v>
      </c>
      <c r="F708" s="1" t="s">
        <v>3102</v>
      </c>
      <c r="G708" s="1" t="s">
        <v>1840</v>
      </c>
      <c r="H708" s="1" t="s">
        <v>1812</v>
      </c>
      <c r="I708" s="10" t="str">
        <f>IF(H708="T17",1,IF(H708="T17",3,IF(H708="T33",6,IF(H708="T33",10,IF(H708="T65",14,IF(H708="T65",18,IF(H708="T33",22,"")))))))</f>
        <v/>
      </c>
      <c r="J708" s="1" t="s">
        <v>1808</v>
      </c>
      <c r="K708" s="10">
        <v>2</v>
      </c>
      <c r="L708" s="10">
        <v>1</v>
      </c>
      <c r="O708" s="6"/>
      <c r="Q708" s="42" t="s">
        <v>2962</v>
      </c>
      <c r="R708" s="42"/>
      <c r="S708" s="1"/>
    </row>
    <row r="709" spans="1:19" ht="18.75" hidden="1" customHeight="1" x14ac:dyDescent="0.3">
      <c r="A709" s="10">
        <v>708</v>
      </c>
      <c r="B709" s="10">
        <f>_xlfn.XLOOKUP(1,(VALUE(D709)&gt;=VALUE(block!$C$3:$C$500))*(VALUE(D709)&lt;VALUE(block!$C$3:$C$500)+VALUE(block!$D$3:$D$500)),block!$A$3:$A$500,"无匹配",0,1)</f>
        <v>18</v>
      </c>
      <c r="C709" s="3" t="str">
        <f>B709 &amp; "-" &amp; COUNTIF($B$2:B709, B709)</f>
        <v>18-8</v>
      </c>
      <c r="D709" s="10">
        <v>10108</v>
      </c>
      <c r="E709" s="1" t="s">
        <v>3103</v>
      </c>
      <c r="F709" s="1" t="s">
        <v>3104</v>
      </c>
      <c r="G709" s="1" t="s">
        <v>1840</v>
      </c>
      <c r="H709" s="1" t="s">
        <v>1812</v>
      </c>
      <c r="I709" s="10" t="str">
        <f>IF(H709="T18",1,IF(H709="T18",3,IF(H709="T34",6,IF(H709="T34",10,IF(H709="T66",14,IF(H709="T66",18,IF(H709="T34",22,"")))))))</f>
        <v/>
      </c>
      <c r="J709" s="1" t="s">
        <v>1808</v>
      </c>
      <c r="K709" s="10">
        <v>2</v>
      </c>
      <c r="L709" s="10">
        <v>1</v>
      </c>
      <c r="O709" s="6"/>
      <c r="Q709" s="42" t="s">
        <v>2962</v>
      </c>
      <c r="R709" s="42"/>
      <c r="S709" s="1"/>
    </row>
    <row r="710" spans="1:19" ht="18.75" hidden="1" customHeight="1" x14ac:dyDescent="0.3">
      <c r="A710" s="10">
        <v>709</v>
      </c>
      <c r="B710" s="10">
        <f>_xlfn.XLOOKUP(1,(VALUE(D710)&gt;=VALUE(block!$C$3:$C$500))*(VALUE(D710)&lt;VALUE(block!$C$3:$C$500)+VALUE(block!$D$3:$D$500)),block!$A$3:$A$500,"无匹配",0,1)</f>
        <v>18</v>
      </c>
      <c r="C710" s="3" t="str">
        <f>B710 &amp; "-" &amp; COUNTIF($B$2:B710, B710)</f>
        <v>18-9</v>
      </c>
      <c r="D710" s="10">
        <v>10110</v>
      </c>
      <c r="E710" s="1" t="s">
        <v>3105</v>
      </c>
      <c r="F710" s="1" t="s">
        <v>3106</v>
      </c>
      <c r="G710" s="1" t="s">
        <v>1840</v>
      </c>
      <c r="H710" s="1" t="s">
        <v>1812</v>
      </c>
      <c r="I710" s="10" t="str">
        <f>IF(H710="T19",1,IF(H710="T19",3,IF(H710="T35",6,IF(H710="T35",10,IF(H710="T67",14,IF(H710="T67",18,IF(H710="T35",22,"")))))))</f>
        <v/>
      </c>
      <c r="J710" s="1" t="s">
        <v>1808</v>
      </c>
      <c r="K710" s="10">
        <v>2</v>
      </c>
      <c r="L710" s="10">
        <v>1</v>
      </c>
      <c r="O710" s="6"/>
      <c r="Q710" s="42" t="s">
        <v>2962</v>
      </c>
      <c r="R710" s="42"/>
      <c r="S710" s="1"/>
    </row>
    <row r="711" spans="1:19" ht="18.75" hidden="1" customHeight="1" x14ac:dyDescent="0.3">
      <c r="A711" s="10">
        <v>710</v>
      </c>
      <c r="B711" s="10">
        <f>_xlfn.XLOOKUP(1,(VALUE(D711)&gt;=VALUE(block!$C$3:$C$500))*(VALUE(D711)&lt;VALUE(block!$C$3:$C$500)+VALUE(block!$D$3:$D$500)),block!$A$3:$A$500,"无匹配",0,1)</f>
        <v>18</v>
      </c>
      <c r="C711" s="3" t="str">
        <f>B711 &amp; "-" &amp; COUNTIF($B$2:B711, B711)</f>
        <v>18-10</v>
      </c>
      <c r="D711" s="10">
        <v>10112</v>
      </c>
      <c r="E711" s="1" t="s">
        <v>3107</v>
      </c>
      <c r="F711" s="1" t="s">
        <v>3108</v>
      </c>
      <c r="G711" s="1" t="s">
        <v>1840</v>
      </c>
      <c r="H711" s="1" t="s">
        <v>1812</v>
      </c>
      <c r="I711" s="10" t="str">
        <f>IF(H711="T20",1,IF(H711="T20",3,IF(H711="T36",6,IF(H711="T36",10,IF(H711="T68",14,IF(H711="T68",18,IF(H711="T36",22,"")))))))</f>
        <v/>
      </c>
      <c r="J711" s="1" t="s">
        <v>1808</v>
      </c>
      <c r="K711" s="10">
        <v>2</v>
      </c>
      <c r="L711" s="10">
        <v>1</v>
      </c>
      <c r="O711" s="6"/>
      <c r="Q711" s="42" t="s">
        <v>2962</v>
      </c>
      <c r="R711" s="42"/>
      <c r="S711" s="1"/>
    </row>
    <row r="712" spans="1:19" ht="18.75" hidden="1" customHeight="1" x14ac:dyDescent="0.3">
      <c r="A712" s="10">
        <v>711</v>
      </c>
      <c r="B712" s="10">
        <f>_xlfn.XLOOKUP(1,(VALUE(D712)&gt;=VALUE(block!$C$3:$C$500))*(VALUE(D712)&lt;VALUE(block!$C$3:$C$500)+VALUE(block!$D$3:$D$500)),block!$A$3:$A$500,"无匹配",0,1)</f>
        <v>18</v>
      </c>
      <c r="C712" s="3" t="str">
        <f>B712 &amp; "-" &amp; COUNTIF($B$2:B712, B712)</f>
        <v>18-11</v>
      </c>
      <c r="D712" s="10">
        <v>10114</v>
      </c>
      <c r="E712" s="1" t="s">
        <v>3109</v>
      </c>
      <c r="F712" s="1" t="s">
        <v>3110</v>
      </c>
      <c r="G712" s="1" t="s">
        <v>1840</v>
      </c>
      <c r="H712" s="1" t="s">
        <v>1812</v>
      </c>
      <c r="I712" s="10" t="str">
        <f>IF(H712="T21",1,IF(H712="T21",3,IF(H712="T37",6,IF(H712="T37",10,IF(H712="T69",14,IF(H712="T69",18,IF(H712="T37",22,"")))))))</f>
        <v/>
      </c>
      <c r="J712" s="1" t="s">
        <v>1808</v>
      </c>
      <c r="K712" s="10">
        <v>2</v>
      </c>
      <c r="L712" s="10">
        <v>1</v>
      </c>
      <c r="O712" s="6"/>
      <c r="Q712" s="42" t="s">
        <v>2962</v>
      </c>
      <c r="R712" s="42"/>
      <c r="S712" s="1"/>
    </row>
    <row r="713" spans="1:19" ht="18.75" hidden="1" customHeight="1" x14ac:dyDescent="0.3">
      <c r="A713" s="10">
        <v>712</v>
      </c>
      <c r="B713" s="10">
        <f>_xlfn.XLOOKUP(1,(VALUE(D713)&gt;=VALUE(block!$C$3:$C$500))*(VALUE(D713)&lt;VALUE(block!$C$3:$C$500)+VALUE(block!$D$3:$D$500)),block!$A$3:$A$500,"无匹配",0,1)</f>
        <v>18</v>
      </c>
      <c r="C713" s="3" t="str">
        <f>B713 &amp; "-" &amp; COUNTIF($B$2:B713, B713)</f>
        <v>18-12</v>
      </c>
      <c r="D713" s="10">
        <v>10116</v>
      </c>
      <c r="E713" s="1" t="s">
        <v>3111</v>
      </c>
      <c r="F713" s="1" t="s">
        <v>3112</v>
      </c>
      <c r="G713" s="1" t="s">
        <v>1840</v>
      </c>
      <c r="H713" s="1" t="s">
        <v>1812</v>
      </c>
      <c r="I713" s="10" t="str">
        <f>IF(H713="T22",1,IF(H713="T22",3,IF(H713="T38",6,IF(H713="T38",10,IF(H713="T70",14,IF(H713="T70",18,IF(H713="T38",22,"")))))))</f>
        <v/>
      </c>
      <c r="J713" s="1" t="s">
        <v>1808</v>
      </c>
      <c r="K713" s="10">
        <v>2</v>
      </c>
      <c r="L713" s="10">
        <v>1</v>
      </c>
      <c r="O713" s="6"/>
      <c r="Q713" s="42" t="s">
        <v>2962</v>
      </c>
      <c r="R713" s="42"/>
      <c r="S713" s="1"/>
    </row>
    <row r="714" spans="1:19" ht="18.75" hidden="1" customHeight="1" x14ac:dyDescent="0.3">
      <c r="A714" s="10">
        <v>713</v>
      </c>
      <c r="B714" s="10">
        <f>_xlfn.XLOOKUP(1,(VALUE(D714)&gt;=VALUE(block!$C$3:$C$500))*(VALUE(D714)&lt;VALUE(block!$C$3:$C$500)+VALUE(block!$D$3:$D$500)),block!$A$3:$A$500,"无匹配",0,1)</f>
        <v>18</v>
      </c>
      <c r="C714" s="3" t="str">
        <f>B714 &amp; "-" &amp; COUNTIF($B$2:B714, B714)</f>
        <v>18-13</v>
      </c>
      <c r="D714" s="10">
        <v>10118</v>
      </c>
      <c r="E714" s="1" t="s">
        <v>3113</v>
      </c>
      <c r="F714" s="1" t="s">
        <v>3114</v>
      </c>
      <c r="G714" s="1" t="s">
        <v>1840</v>
      </c>
      <c r="H714" s="1" t="s">
        <v>1812</v>
      </c>
      <c r="I714" s="10" t="str">
        <f>IF(H714="T23",1,IF(H714="T23",3,IF(H714="T39",6,IF(H714="T39",10,IF(H714="T71",14,IF(H714="T71",18,IF(H714="T39",22,"")))))))</f>
        <v/>
      </c>
      <c r="J714" s="1" t="s">
        <v>1808</v>
      </c>
      <c r="K714" s="10">
        <v>2</v>
      </c>
      <c r="L714" s="10">
        <v>1</v>
      </c>
      <c r="O714" s="6"/>
      <c r="Q714" s="42" t="s">
        <v>2962</v>
      </c>
      <c r="R714" s="42"/>
      <c r="S714" s="1"/>
    </row>
    <row r="715" spans="1:19" ht="18.75" hidden="1" customHeight="1" x14ac:dyDescent="0.3">
      <c r="A715" s="10">
        <v>714</v>
      </c>
      <c r="B715" s="10">
        <f>_xlfn.XLOOKUP(1,(VALUE(D715)&gt;=VALUE(block!$C$3:$C$500))*(VALUE(D715)&lt;VALUE(block!$C$3:$C$500)+VALUE(block!$D$3:$D$500)),block!$A$3:$A$500,"无匹配",0,1)</f>
        <v>18</v>
      </c>
      <c r="C715" s="3" t="str">
        <f>B715 &amp; "-" &amp; COUNTIF($B$2:B715, B715)</f>
        <v>18-14</v>
      </c>
      <c r="D715" s="10">
        <v>10120</v>
      </c>
      <c r="E715" s="1" t="s">
        <v>3115</v>
      </c>
      <c r="F715" s="1" t="s">
        <v>3116</v>
      </c>
      <c r="G715" s="1" t="s">
        <v>1840</v>
      </c>
      <c r="H715" s="1" t="s">
        <v>1812</v>
      </c>
      <c r="I715" s="10" t="str">
        <f>IF(H715="T24",1,IF(H715="T24",3,IF(H715="T40",6,IF(H715="T40",10,IF(H715="T72",14,IF(H715="T72",18,IF(H715="T40",22,"")))))))</f>
        <v/>
      </c>
      <c r="J715" s="1" t="s">
        <v>1808</v>
      </c>
      <c r="K715" s="10">
        <v>2</v>
      </c>
      <c r="L715" s="10">
        <v>1</v>
      </c>
      <c r="O715" s="6"/>
      <c r="Q715" s="42" t="s">
        <v>2962</v>
      </c>
      <c r="R715" s="42"/>
      <c r="S715" s="1"/>
    </row>
    <row r="716" spans="1:19" ht="18.75" hidden="1" customHeight="1" x14ac:dyDescent="0.3">
      <c r="A716" s="10">
        <v>715</v>
      </c>
      <c r="B716" s="10">
        <f>_xlfn.XLOOKUP(1,(VALUE(D716)&gt;=VALUE(block!$C$3:$C$500))*(VALUE(D716)&lt;VALUE(block!$C$3:$C$500)+VALUE(block!$D$3:$D$500)),block!$A$3:$A$500,"无匹配",0,1)</f>
        <v>18</v>
      </c>
      <c r="C716" s="3" t="str">
        <f>B716 &amp; "-" &amp; COUNTIF($B$2:B716, B716)</f>
        <v>18-15</v>
      </c>
      <c r="D716" s="10">
        <v>10122</v>
      </c>
      <c r="E716" s="1" t="s">
        <v>3117</v>
      </c>
      <c r="F716" s="1" t="s">
        <v>3118</v>
      </c>
      <c r="G716" s="1" t="s">
        <v>1840</v>
      </c>
      <c r="H716" s="1" t="s">
        <v>1812</v>
      </c>
      <c r="I716" s="10" t="str">
        <f>IF(H716="T25",1,IF(H716="T25",3,IF(H716="T41",6,IF(H716="T41",10,IF(H716="T73",14,IF(H716="T73",18,IF(H716="T41",22,"")))))))</f>
        <v/>
      </c>
      <c r="J716" s="1" t="s">
        <v>1808</v>
      </c>
      <c r="K716" s="10">
        <v>2</v>
      </c>
      <c r="L716" s="10">
        <v>1</v>
      </c>
      <c r="O716" s="6"/>
      <c r="Q716" s="42" t="s">
        <v>2962</v>
      </c>
      <c r="R716" s="42"/>
      <c r="S716" s="1"/>
    </row>
    <row r="717" spans="1:19" ht="18.75" hidden="1" customHeight="1" x14ac:dyDescent="0.3">
      <c r="A717" s="10">
        <v>716</v>
      </c>
      <c r="B717" s="10">
        <f>_xlfn.XLOOKUP(1,(VALUE(D717)&gt;=VALUE(block!$C$3:$C$500))*(VALUE(D717)&lt;VALUE(block!$C$3:$C$500)+VALUE(block!$D$3:$D$500)),block!$A$3:$A$500,"无匹配",0,1)</f>
        <v>18</v>
      </c>
      <c r="C717" s="3" t="str">
        <f>B717 &amp; "-" &amp; COUNTIF($B$2:B717, B717)</f>
        <v>18-16</v>
      </c>
      <c r="D717" s="10">
        <v>10124</v>
      </c>
      <c r="E717" s="1" t="s">
        <v>3119</v>
      </c>
      <c r="F717" s="1" t="s">
        <v>3120</v>
      </c>
      <c r="G717" s="1" t="s">
        <v>1840</v>
      </c>
      <c r="H717" s="1" t="s">
        <v>1812</v>
      </c>
      <c r="I717" s="10" t="str">
        <f>IF(H717="T26",1,IF(H717="T26",3,IF(H717="T42",6,IF(H717="T42",10,IF(H717="T74",14,IF(H717="T74",18,IF(H717="T42",22,"")))))))</f>
        <v/>
      </c>
      <c r="J717" s="1" t="s">
        <v>1808</v>
      </c>
      <c r="K717" s="10">
        <v>2</v>
      </c>
      <c r="L717" s="10">
        <v>1</v>
      </c>
      <c r="O717" s="6"/>
      <c r="Q717" s="42" t="s">
        <v>2962</v>
      </c>
      <c r="R717" s="42"/>
      <c r="S717" s="1"/>
    </row>
    <row r="718" spans="1:19" ht="18.75" hidden="1" customHeight="1" x14ac:dyDescent="0.3">
      <c r="A718" s="10">
        <v>717</v>
      </c>
      <c r="B718" s="10">
        <f>_xlfn.XLOOKUP(1,(VALUE(D718)&gt;=VALUE(block!$C$3:$C$500))*(VALUE(D718)&lt;VALUE(block!$C$3:$C$500)+VALUE(block!$D$3:$D$500)),block!$A$3:$A$500,"无匹配",0,1)</f>
        <v>18</v>
      </c>
      <c r="C718" s="3" t="str">
        <f>B718 &amp; "-" &amp; COUNTIF($B$2:B718, B718)</f>
        <v>18-17</v>
      </c>
      <c r="D718" s="10">
        <v>10126</v>
      </c>
      <c r="E718" s="1" t="s">
        <v>3121</v>
      </c>
      <c r="F718" s="1" t="s">
        <v>3122</v>
      </c>
      <c r="G718" s="1" t="s">
        <v>1840</v>
      </c>
      <c r="H718" s="1" t="s">
        <v>1812</v>
      </c>
      <c r="I718" s="10" t="str">
        <f>IF(H718="T27",1,IF(H718="T27",3,IF(H718="T43",6,IF(H718="T43",10,IF(H718="T75",14,IF(H718="T75",18,IF(H718="T43",22,"")))))))</f>
        <v/>
      </c>
      <c r="J718" s="1" t="s">
        <v>1808</v>
      </c>
      <c r="K718" s="10">
        <v>2</v>
      </c>
      <c r="L718" s="10">
        <v>1</v>
      </c>
      <c r="O718" s="6"/>
      <c r="Q718" s="42" t="s">
        <v>2962</v>
      </c>
      <c r="R718" s="42"/>
      <c r="S718" s="1"/>
    </row>
    <row r="719" spans="1:19" ht="18.75" hidden="1" customHeight="1" x14ac:dyDescent="0.3">
      <c r="A719" s="10">
        <v>718</v>
      </c>
      <c r="B719" s="10">
        <f>_xlfn.XLOOKUP(1,(VALUE(D719)&gt;=VALUE(block!$C$3:$C$500))*(VALUE(D719)&lt;VALUE(block!$C$3:$C$500)+VALUE(block!$D$3:$D$500)),block!$A$3:$A$500,"无匹配",0,1)</f>
        <v>18</v>
      </c>
      <c r="C719" s="3" t="str">
        <f>B719 &amp; "-" &amp; COUNTIF($B$2:B719, B719)</f>
        <v>18-18</v>
      </c>
      <c r="D719" s="10">
        <v>10128</v>
      </c>
      <c r="E719" s="1" t="s">
        <v>3123</v>
      </c>
      <c r="F719" s="1" t="s">
        <v>3124</v>
      </c>
      <c r="G719" s="1" t="s">
        <v>1840</v>
      </c>
      <c r="H719" s="1" t="s">
        <v>1812</v>
      </c>
      <c r="I719" s="10" t="str">
        <f>IF(H719="T28",1,IF(H719="T28",3,IF(H719="T44",6,IF(H719="T44",10,IF(H719="T76",14,IF(H719="T76",18,IF(H719="T44",22,"")))))))</f>
        <v/>
      </c>
      <c r="J719" s="1" t="s">
        <v>1808</v>
      </c>
      <c r="K719" s="10">
        <v>2</v>
      </c>
      <c r="L719" s="10">
        <v>1</v>
      </c>
      <c r="O719" s="6"/>
      <c r="Q719" s="42" t="s">
        <v>2962</v>
      </c>
      <c r="R719" s="42"/>
      <c r="S719" s="1"/>
    </row>
    <row r="720" spans="1:19" ht="18.75" hidden="1" customHeight="1" x14ac:dyDescent="0.3">
      <c r="A720" s="10">
        <v>719</v>
      </c>
      <c r="B720" s="10">
        <f>_xlfn.XLOOKUP(1,(VALUE(D720)&gt;=VALUE(block!$C$3:$C$500))*(VALUE(D720)&lt;VALUE(block!$C$3:$C$500)+VALUE(block!$D$3:$D$500)),block!$A$3:$A$500,"无匹配",0,1)</f>
        <v>18</v>
      </c>
      <c r="C720" s="3" t="str">
        <f>B720 &amp; "-" &amp; COUNTIF($B$2:B720, B720)</f>
        <v>18-19</v>
      </c>
      <c r="D720" s="10">
        <v>10130</v>
      </c>
      <c r="E720" s="1" t="s">
        <v>3125</v>
      </c>
      <c r="F720" s="1" t="s">
        <v>3126</v>
      </c>
      <c r="G720" s="1" t="s">
        <v>1840</v>
      </c>
      <c r="H720" s="1" t="s">
        <v>1812</v>
      </c>
      <c r="I720" s="10" t="str">
        <f>IF(H720="T29",1,IF(H720="T29",3,IF(H720="T45",6,IF(H720="T45",10,IF(H720="T77",14,IF(H720="T77",18,IF(H720="T45",22,"")))))))</f>
        <v/>
      </c>
      <c r="J720" s="1" t="s">
        <v>1808</v>
      </c>
      <c r="K720" s="10">
        <v>2</v>
      </c>
      <c r="L720" s="10">
        <v>1</v>
      </c>
      <c r="O720" s="6"/>
      <c r="Q720" s="42" t="s">
        <v>2962</v>
      </c>
      <c r="R720" s="42"/>
      <c r="S720" s="1"/>
    </row>
    <row r="721" spans="1:19" ht="18.75" hidden="1" customHeight="1" x14ac:dyDescent="0.3">
      <c r="A721" s="10">
        <v>720</v>
      </c>
      <c r="B721" s="10">
        <f>_xlfn.XLOOKUP(1,(VALUE(D721)&gt;=VALUE(block!$C$3:$C$500))*(VALUE(D721)&lt;VALUE(block!$C$3:$C$500)+VALUE(block!$D$3:$D$500)),block!$A$3:$A$500,"无匹配",0,1)</f>
        <v>18</v>
      </c>
      <c r="C721" s="3" t="str">
        <f>B721 &amp; "-" &amp; COUNTIF($B$2:B721, B721)</f>
        <v>18-20</v>
      </c>
      <c r="D721" s="10">
        <v>10132</v>
      </c>
      <c r="E721" s="1" t="s">
        <v>3127</v>
      </c>
      <c r="F721" s="1" t="s">
        <v>3128</v>
      </c>
      <c r="G721" s="1" t="s">
        <v>1840</v>
      </c>
      <c r="H721" s="1" t="s">
        <v>1812</v>
      </c>
      <c r="I721" s="10" t="str">
        <f>IF(H721="T30",1,IF(H721="T30",3,IF(H721="T46",6,IF(H721="T46",10,IF(H721="T78",14,IF(H721="T78",18,IF(H721="T46",22,"")))))))</f>
        <v/>
      </c>
      <c r="J721" s="1" t="s">
        <v>1808</v>
      </c>
      <c r="K721" s="10">
        <v>2</v>
      </c>
      <c r="L721" s="10">
        <v>1</v>
      </c>
      <c r="O721" s="6"/>
      <c r="Q721" s="42" t="s">
        <v>2962</v>
      </c>
      <c r="R721" s="42"/>
      <c r="S721" s="1"/>
    </row>
    <row r="722" spans="1:19" ht="18.75" hidden="1" customHeight="1" x14ac:dyDescent="0.3">
      <c r="A722" s="10">
        <v>721</v>
      </c>
      <c r="B722" s="10">
        <f>_xlfn.XLOOKUP(1,(VALUE(D722)&gt;=VALUE(block!$C$3:$C$500))*(VALUE(D722)&lt;VALUE(block!$C$3:$C$500)+VALUE(block!$D$3:$D$500)),block!$A$3:$A$500,"无匹配",0,1)</f>
        <v>18</v>
      </c>
      <c r="C722" s="3" t="str">
        <f>B722 &amp; "-" &amp; COUNTIF($B$2:B722, B722)</f>
        <v>18-21</v>
      </c>
      <c r="D722" s="10">
        <v>10134</v>
      </c>
      <c r="E722" s="1" t="s">
        <v>3129</v>
      </c>
      <c r="F722" s="1" t="s">
        <v>3130</v>
      </c>
      <c r="G722" s="1" t="s">
        <v>1840</v>
      </c>
      <c r="H722" s="1" t="s">
        <v>1812</v>
      </c>
      <c r="I722" s="10" t="str">
        <f>IF(H722="T31",1,IF(H722="T31",3,IF(H722="T47",6,IF(H722="T47",10,IF(H722="T79",14,IF(H722="T79",18,IF(H722="T47",22,"")))))))</f>
        <v/>
      </c>
      <c r="J722" s="1" t="s">
        <v>1808</v>
      </c>
      <c r="K722" s="10">
        <v>2</v>
      </c>
      <c r="L722" s="10">
        <v>1</v>
      </c>
      <c r="O722" s="6"/>
      <c r="Q722" s="42" t="s">
        <v>2962</v>
      </c>
      <c r="R722" s="42"/>
      <c r="S722" s="1"/>
    </row>
    <row r="723" spans="1:19" ht="18.75" hidden="1" customHeight="1" x14ac:dyDescent="0.3">
      <c r="A723" s="10">
        <v>722</v>
      </c>
      <c r="B723" s="10">
        <f>_xlfn.XLOOKUP(1,(VALUE(D723)&gt;=VALUE(block!$C$3:$C$500))*(VALUE(D723)&lt;VALUE(block!$C$3:$C$500)+VALUE(block!$D$3:$D$500)),block!$A$3:$A$500,"无匹配",0,1)</f>
        <v>18</v>
      </c>
      <c r="C723" s="3" t="str">
        <f>B723 &amp; "-" &amp; COUNTIF($B$2:B723, B723)</f>
        <v>18-22</v>
      </c>
      <c r="D723" s="10">
        <v>10136</v>
      </c>
      <c r="E723" s="1" t="s">
        <v>3131</v>
      </c>
      <c r="F723" s="1" t="s">
        <v>3132</v>
      </c>
      <c r="G723" s="1" t="s">
        <v>1840</v>
      </c>
      <c r="H723" s="1" t="s">
        <v>1812</v>
      </c>
      <c r="I723" s="10" t="str">
        <f>IF(H723="T32",1,IF(H723="T32",3,IF(H723="T48",6,IF(H723="T48",10,IF(H723="T80",14,IF(H723="T80",18,IF(H723="T48",22,"")))))))</f>
        <v/>
      </c>
      <c r="J723" s="1" t="s">
        <v>1808</v>
      </c>
      <c r="K723" s="10">
        <v>2</v>
      </c>
      <c r="L723" s="10">
        <v>1</v>
      </c>
      <c r="O723" s="6"/>
      <c r="Q723" s="42" t="s">
        <v>2962</v>
      </c>
      <c r="R723" s="42"/>
      <c r="S723" s="1"/>
    </row>
    <row r="724" spans="1:19" ht="18.75" hidden="1" customHeight="1" x14ac:dyDescent="0.3">
      <c r="A724" s="10">
        <v>723</v>
      </c>
      <c r="B724" s="10">
        <f>_xlfn.XLOOKUP(1,(VALUE(D724)&gt;=VALUE(block!$C$3:$C$500))*(VALUE(D724)&lt;VALUE(block!$C$3:$C$500)+VALUE(block!$D$3:$D$500)),block!$A$3:$A$500,"无匹配",0,1)</f>
        <v>18</v>
      </c>
      <c r="C724" s="3" t="str">
        <f>B724 &amp; "-" &amp; COUNTIF($B$2:B724, B724)</f>
        <v>18-23</v>
      </c>
      <c r="D724" s="10">
        <v>10138</v>
      </c>
      <c r="E724" s="1" t="s">
        <v>3133</v>
      </c>
      <c r="F724" s="1" t="s">
        <v>3134</v>
      </c>
      <c r="G724" s="1" t="s">
        <v>1840</v>
      </c>
      <c r="H724" s="1" t="s">
        <v>1812</v>
      </c>
      <c r="I724" s="10" t="str">
        <f>IF(H724="T33",1,IF(H724="T33",3,IF(H724="T49",6,IF(H724="T49",10,IF(H724="T81",14,IF(H724="T81",18,IF(H724="T49",22,"")))))))</f>
        <v/>
      </c>
      <c r="J724" s="1" t="s">
        <v>1808</v>
      </c>
      <c r="K724" s="10">
        <v>2</v>
      </c>
      <c r="L724" s="10">
        <v>1</v>
      </c>
      <c r="O724" s="6"/>
      <c r="Q724" s="42" t="s">
        <v>2962</v>
      </c>
      <c r="R724" s="42"/>
      <c r="S724" s="1"/>
    </row>
    <row r="725" spans="1:19" ht="18.75" hidden="1" customHeight="1" x14ac:dyDescent="0.3">
      <c r="A725" s="10">
        <v>724</v>
      </c>
      <c r="B725" s="10">
        <f>_xlfn.XLOOKUP(1,(VALUE(D725)&gt;=VALUE(block!$C$3:$C$500))*(VALUE(D725)&lt;VALUE(block!$C$3:$C$500)+VALUE(block!$D$3:$D$500)),block!$A$3:$A$500,"无匹配",0,1)</f>
        <v>18</v>
      </c>
      <c r="C725" s="3" t="str">
        <f>B725 &amp; "-" &amp; COUNTIF($B$2:B725, B725)</f>
        <v>18-24</v>
      </c>
      <c r="D725" s="10">
        <v>10140</v>
      </c>
      <c r="E725" s="1" t="s">
        <v>3135</v>
      </c>
      <c r="F725" s="1" t="s">
        <v>3136</v>
      </c>
      <c r="G725" s="1" t="s">
        <v>1840</v>
      </c>
      <c r="H725" s="1" t="s">
        <v>1812</v>
      </c>
      <c r="I725" s="10" t="str">
        <f>IF(H725="T34",1,IF(H725="T34",3,IF(H725="T50",6,IF(H725="T50",10,IF(H725="T82",14,IF(H725="T82",18,IF(H725="T50",22,"")))))))</f>
        <v/>
      </c>
      <c r="J725" s="1" t="s">
        <v>1808</v>
      </c>
      <c r="K725" s="10">
        <v>2</v>
      </c>
      <c r="L725" s="10">
        <v>1</v>
      </c>
      <c r="O725" s="6"/>
      <c r="Q725" s="42" t="s">
        <v>2962</v>
      </c>
      <c r="R725" s="42"/>
      <c r="S725" s="1"/>
    </row>
    <row r="726" spans="1:19" ht="18.75" hidden="1" customHeight="1" x14ac:dyDescent="0.3">
      <c r="A726" s="10">
        <v>725</v>
      </c>
      <c r="B726" s="10">
        <f>_xlfn.XLOOKUP(1,(VALUE(D726)&gt;=VALUE(block!$C$3:$C$500))*(VALUE(D726)&lt;VALUE(block!$C$3:$C$500)+VALUE(block!$D$3:$D$500)),block!$A$3:$A$500,"无匹配",0,1)</f>
        <v>18</v>
      </c>
      <c r="C726" s="3" t="str">
        <f>B726 &amp; "-" &amp; COUNTIF($B$2:B726, B726)</f>
        <v>18-25</v>
      </c>
      <c r="D726" s="10">
        <v>10142</v>
      </c>
      <c r="E726" s="1" t="s">
        <v>3137</v>
      </c>
      <c r="F726" s="1" t="s">
        <v>3138</v>
      </c>
      <c r="G726" s="1" t="s">
        <v>1840</v>
      </c>
      <c r="H726" s="1" t="s">
        <v>1812</v>
      </c>
      <c r="I726" s="10" t="str">
        <f>IF(H726="T35",1,IF(H726="T35",3,IF(H726="T51",6,IF(H726="T51",10,IF(H726="T83",14,IF(H726="T83",18,IF(H726="T51",22,"")))))))</f>
        <v/>
      </c>
      <c r="J726" s="1" t="s">
        <v>1808</v>
      </c>
      <c r="K726" s="10">
        <v>2</v>
      </c>
      <c r="L726" s="10">
        <v>1</v>
      </c>
      <c r="O726" s="6"/>
      <c r="Q726" s="42" t="s">
        <v>2962</v>
      </c>
      <c r="R726" s="42"/>
      <c r="S726" s="1"/>
    </row>
    <row r="727" spans="1:19" ht="18.75" hidden="1" customHeight="1" x14ac:dyDescent="0.3">
      <c r="A727" s="10">
        <v>726</v>
      </c>
      <c r="B727" s="10">
        <f>_xlfn.XLOOKUP(1,(VALUE(D727)&gt;=VALUE(block!$C$3:$C$500))*(VALUE(D727)&lt;VALUE(block!$C$3:$C$500)+VALUE(block!$D$3:$D$500)),block!$A$3:$A$500,"无匹配",0,1)</f>
        <v>18</v>
      </c>
      <c r="C727" s="3" t="str">
        <f>B727 &amp; "-" &amp; COUNTIF($B$2:B727, B727)</f>
        <v>18-26</v>
      </c>
      <c r="D727" s="10">
        <v>10144</v>
      </c>
      <c r="E727" s="1" t="s">
        <v>3139</v>
      </c>
      <c r="F727" s="1" t="s">
        <v>3140</v>
      </c>
      <c r="G727" s="1" t="s">
        <v>1840</v>
      </c>
      <c r="H727" s="1" t="s">
        <v>1812</v>
      </c>
      <c r="I727" s="10" t="str">
        <f>IF(H727="T36",1,IF(H727="T36",3,IF(H727="T52",6,IF(H727="T52",10,IF(H727="T84",14,IF(H727="T84",18,IF(H727="T52",22,"")))))))</f>
        <v/>
      </c>
      <c r="J727" s="1" t="s">
        <v>1808</v>
      </c>
      <c r="K727" s="10">
        <v>2</v>
      </c>
      <c r="L727" s="10">
        <v>1</v>
      </c>
      <c r="O727" s="6"/>
      <c r="Q727" s="42" t="s">
        <v>2962</v>
      </c>
      <c r="R727" s="42"/>
      <c r="S727" s="1"/>
    </row>
    <row r="728" spans="1:19" ht="18.75" hidden="1" customHeight="1" x14ac:dyDescent="0.3">
      <c r="A728" s="10">
        <v>727</v>
      </c>
      <c r="B728" s="10">
        <f>_xlfn.XLOOKUP(1,(VALUE(D728)&gt;=VALUE(block!$C$3:$C$500))*(VALUE(D728)&lt;VALUE(block!$C$3:$C$500)+VALUE(block!$D$3:$D$500)),block!$A$3:$A$500,"无匹配",0,1)</f>
        <v>18</v>
      </c>
      <c r="C728" s="3" t="str">
        <f>B728 &amp; "-" &amp; COUNTIF($B$2:B728, B728)</f>
        <v>18-27</v>
      </c>
      <c r="D728" s="10">
        <v>10146</v>
      </c>
      <c r="E728" s="1" t="s">
        <v>3141</v>
      </c>
      <c r="F728" s="1" t="s">
        <v>3142</v>
      </c>
      <c r="G728" s="1" t="s">
        <v>1840</v>
      </c>
      <c r="H728" s="1" t="s">
        <v>1812</v>
      </c>
      <c r="I728" s="10" t="str">
        <f>IF(H728="T37",1,IF(H728="T37",3,IF(H728="T53",6,IF(H728="T53",10,IF(H728="T85",14,IF(H728="T85",18,IF(H728="T53",22,"")))))))</f>
        <v/>
      </c>
      <c r="J728" s="1" t="s">
        <v>1808</v>
      </c>
      <c r="K728" s="10">
        <v>2</v>
      </c>
      <c r="L728" s="10">
        <v>1</v>
      </c>
      <c r="O728" s="6"/>
      <c r="Q728" s="42" t="s">
        <v>2962</v>
      </c>
      <c r="R728" s="42"/>
      <c r="S728" s="1"/>
    </row>
    <row r="729" spans="1:19" ht="18.75" hidden="1" customHeight="1" x14ac:dyDescent="0.3">
      <c r="A729" s="10">
        <v>728</v>
      </c>
      <c r="B729" s="10">
        <f>_xlfn.XLOOKUP(1,(VALUE(D729)&gt;=VALUE(block!$C$3:$C$500))*(VALUE(D729)&lt;VALUE(block!$C$3:$C$500)+VALUE(block!$D$3:$D$500)),block!$A$3:$A$500,"无匹配",0,1)</f>
        <v>18</v>
      </c>
      <c r="C729" s="3" t="str">
        <f>B729 &amp; "-" &amp; COUNTIF($B$2:B729, B729)</f>
        <v>18-28</v>
      </c>
      <c r="D729" s="10">
        <v>10148</v>
      </c>
      <c r="E729" s="1" t="s">
        <v>3143</v>
      </c>
      <c r="F729" s="1" t="s">
        <v>3144</v>
      </c>
      <c r="G729" s="1" t="s">
        <v>1840</v>
      </c>
      <c r="H729" s="1" t="s">
        <v>1812</v>
      </c>
      <c r="I729" s="10" t="str">
        <f>IF(H729="T38",1,IF(H729="T38",3,IF(H729="T54",6,IF(H729="T54",10,IF(H729="T86",14,IF(H729="T86",18,IF(H729="T54",22,"")))))))</f>
        <v/>
      </c>
      <c r="J729" s="1" t="s">
        <v>1808</v>
      </c>
      <c r="K729" s="10">
        <v>2</v>
      </c>
      <c r="L729" s="10">
        <v>1</v>
      </c>
      <c r="O729" s="6"/>
      <c r="Q729" s="42" t="s">
        <v>2962</v>
      </c>
      <c r="R729" s="42"/>
      <c r="S729" s="1"/>
    </row>
    <row r="730" spans="1:19" ht="18.75" hidden="1" customHeight="1" x14ac:dyDescent="0.3">
      <c r="A730" s="10">
        <v>729</v>
      </c>
      <c r="B730" s="10">
        <f>_xlfn.XLOOKUP(1,(VALUE(D730)&gt;=VALUE(block!$C$3:$C$500))*(VALUE(D730)&lt;VALUE(block!$C$3:$C$500)+VALUE(block!$D$3:$D$500)),block!$A$3:$A$500,"无匹配",0,1)</f>
        <v>18</v>
      </c>
      <c r="C730" s="3" t="str">
        <f>B730 &amp; "-" &amp; COUNTIF($B$2:B730, B730)</f>
        <v>18-29</v>
      </c>
      <c r="D730" s="10">
        <v>10150</v>
      </c>
      <c r="E730" s="1" t="s">
        <v>3145</v>
      </c>
      <c r="F730" s="3" t="s">
        <v>3146</v>
      </c>
      <c r="G730" s="1" t="s">
        <v>1840</v>
      </c>
      <c r="H730" s="1" t="s">
        <v>1812</v>
      </c>
      <c r="I730" s="10" t="str">
        <f>IF(H730="T39",1,IF(H730="T39",3,IF(H730="T55",6,IF(H730="T55",10,IF(H730="T87",14,IF(H730="T87",18,IF(H730="T55",22,"")))))))</f>
        <v/>
      </c>
      <c r="J730" s="1" t="s">
        <v>1808</v>
      </c>
      <c r="K730" s="10">
        <v>2</v>
      </c>
      <c r="L730" s="10">
        <v>1</v>
      </c>
      <c r="O730" s="6"/>
      <c r="Q730" s="42" t="s">
        <v>2962</v>
      </c>
      <c r="R730" s="42"/>
      <c r="S730" s="3"/>
    </row>
    <row r="731" spans="1:19" ht="18.75" hidden="1" customHeight="1" x14ac:dyDescent="0.3">
      <c r="A731" s="10">
        <v>730</v>
      </c>
      <c r="B731" s="10">
        <f>_xlfn.XLOOKUP(1,(VALUE(D731)&gt;=VALUE(block!$C$3:$C$500))*(VALUE(D731)&lt;VALUE(block!$C$3:$C$500)+VALUE(block!$D$3:$D$500)),block!$A$3:$A$500,"无匹配",0,1)</f>
        <v>18</v>
      </c>
      <c r="C731" s="3" t="str">
        <f>B731 &amp; "-" &amp; COUNTIF($B$2:B731, B731)</f>
        <v>18-30</v>
      </c>
      <c r="D731" s="10">
        <v>10152</v>
      </c>
      <c r="E731" s="1" t="s">
        <v>3147</v>
      </c>
      <c r="F731" s="3" t="s">
        <v>3148</v>
      </c>
      <c r="G731" s="1" t="s">
        <v>1840</v>
      </c>
      <c r="H731" s="1" t="s">
        <v>1812</v>
      </c>
      <c r="I731" s="10" t="str">
        <f>IF(H731="T40",1,IF(H731="T40",3,IF(H731="T56",6,IF(H731="T56",10,IF(H731="T88",14,IF(H731="T88",18,IF(H731="T56",22,"")))))))</f>
        <v/>
      </c>
      <c r="J731" s="1" t="s">
        <v>1808</v>
      </c>
      <c r="K731" s="10">
        <v>2</v>
      </c>
      <c r="L731" s="10">
        <v>1</v>
      </c>
      <c r="O731" s="6"/>
      <c r="Q731" s="42" t="s">
        <v>2962</v>
      </c>
      <c r="R731" s="42"/>
      <c r="S731" s="3"/>
    </row>
    <row r="732" spans="1:19" ht="18.75" hidden="1" customHeight="1" x14ac:dyDescent="0.3">
      <c r="A732" s="10">
        <v>731</v>
      </c>
      <c r="B732" s="10">
        <f>_xlfn.XLOOKUP(1,(VALUE(D732)&gt;=VALUE(block!$C$3:$C$500))*(VALUE(D732)&lt;VALUE(block!$C$3:$C$500)+VALUE(block!$D$3:$D$500)),block!$A$3:$A$500,"无匹配",0,1)</f>
        <v>18</v>
      </c>
      <c r="C732" s="3" t="str">
        <f>B732 &amp; "-" &amp; COUNTIF($B$2:B732, B732)</f>
        <v>18-31</v>
      </c>
      <c r="D732" s="10">
        <v>10154</v>
      </c>
      <c r="E732" s="1" t="s">
        <v>3149</v>
      </c>
      <c r="F732" s="3" t="s">
        <v>3150</v>
      </c>
      <c r="G732" s="1" t="s">
        <v>1840</v>
      </c>
      <c r="H732" s="1" t="s">
        <v>1812</v>
      </c>
      <c r="I732" s="10" t="str">
        <f>IF(H732="T41",1,IF(H732="T41",3,IF(H732="T57",6,IF(H732="T57",10,IF(H732="T89",14,IF(H732="T89",18,IF(H732="T57",22,"")))))))</f>
        <v/>
      </c>
      <c r="J732" s="1" t="s">
        <v>1808</v>
      </c>
      <c r="K732" s="10">
        <v>2</v>
      </c>
      <c r="L732" s="10">
        <v>1</v>
      </c>
      <c r="O732" s="6"/>
      <c r="Q732" s="42" t="s">
        <v>2962</v>
      </c>
      <c r="R732" s="42"/>
      <c r="S732" s="3"/>
    </row>
    <row r="733" spans="1:19" ht="18.75" hidden="1" customHeight="1" x14ac:dyDescent="0.3">
      <c r="A733" s="10">
        <v>732</v>
      </c>
      <c r="B733" s="10">
        <f>_xlfn.XLOOKUP(1,(VALUE(D733)&gt;=VALUE(block!$C$3:$C$500))*(VALUE(D733)&lt;VALUE(block!$C$3:$C$500)+VALUE(block!$D$3:$D$500)),block!$A$3:$A$500,"无匹配",0,1)</f>
        <v>18</v>
      </c>
      <c r="C733" s="3" t="str">
        <f>B733 &amp; "-" &amp; COUNTIF($B$2:B733, B733)</f>
        <v>18-32</v>
      </c>
      <c r="D733" s="10">
        <v>10156</v>
      </c>
      <c r="E733" s="1" t="s">
        <v>3151</v>
      </c>
      <c r="F733" s="3" t="s">
        <v>3152</v>
      </c>
      <c r="G733" s="1" t="s">
        <v>1840</v>
      </c>
      <c r="H733" s="1" t="s">
        <v>1812</v>
      </c>
      <c r="I733" s="10" t="str">
        <f>IF(H733="T42",1,IF(H733="T42",3,IF(H733="T58",6,IF(H733="T58",10,IF(H733="T90",14,IF(H733="T90",18,IF(H733="T58",22,"")))))))</f>
        <v/>
      </c>
      <c r="J733" s="1" t="s">
        <v>1808</v>
      </c>
      <c r="K733" s="10">
        <v>2</v>
      </c>
      <c r="L733" s="10">
        <v>1</v>
      </c>
      <c r="O733" s="6"/>
      <c r="Q733" s="42" t="s">
        <v>2962</v>
      </c>
      <c r="R733" s="42"/>
      <c r="S733" s="3"/>
    </row>
    <row r="734" spans="1:19" ht="18.75" hidden="1" customHeight="1" x14ac:dyDescent="0.3">
      <c r="A734" s="10">
        <v>733</v>
      </c>
      <c r="B734" s="10">
        <f>_xlfn.XLOOKUP(1,(VALUE(D734)&gt;=VALUE(block!$C$3:$C$500))*(VALUE(D734)&lt;VALUE(block!$C$3:$C$500)+VALUE(block!$D$3:$D$500)),block!$A$3:$A$500,"无匹配",0,1)</f>
        <v>18</v>
      </c>
      <c r="C734" s="3" t="str">
        <f>B734 &amp; "-" &amp; COUNTIF($B$2:B734, B734)</f>
        <v>18-33</v>
      </c>
      <c r="D734" s="10">
        <v>10158</v>
      </c>
      <c r="E734" s="1" t="s">
        <v>3153</v>
      </c>
      <c r="F734" s="3" t="s">
        <v>3154</v>
      </c>
      <c r="G734" s="1" t="s">
        <v>1840</v>
      </c>
      <c r="H734" s="1" t="s">
        <v>1812</v>
      </c>
      <c r="I734" s="10" t="str">
        <f>IF(H734="T43",1,IF(H734="T43",3,IF(H734="T59",6,IF(H734="T59",10,IF(H734="T91",14,IF(H734="T91",18,IF(H734="T59",22,"")))))))</f>
        <v/>
      </c>
      <c r="J734" s="1" t="s">
        <v>1808</v>
      </c>
      <c r="K734" s="10">
        <v>2</v>
      </c>
      <c r="L734" s="10">
        <v>1</v>
      </c>
      <c r="O734" s="6"/>
      <c r="Q734" s="42" t="s">
        <v>2962</v>
      </c>
      <c r="R734" s="42"/>
      <c r="S734" s="3"/>
    </row>
    <row r="735" spans="1:19" ht="18.75" hidden="1" customHeight="1" x14ac:dyDescent="0.3">
      <c r="A735" s="10">
        <v>734</v>
      </c>
      <c r="B735" s="10">
        <f>_xlfn.XLOOKUP(1,(VALUE(D735)&gt;=VALUE(block!$C$3:$C$500))*(VALUE(D735)&lt;VALUE(block!$C$3:$C$500)+VALUE(block!$D$3:$D$500)),block!$A$3:$A$500,"无匹配",0,1)</f>
        <v>18</v>
      </c>
      <c r="C735" s="3" t="str">
        <f>B735 &amp; "-" &amp; COUNTIF($B$2:B735, B735)</f>
        <v>18-34</v>
      </c>
      <c r="D735" s="10">
        <v>10160</v>
      </c>
      <c r="E735" s="1" t="s">
        <v>3155</v>
      </c>
      <c r="F735" s="3" t="s">
        <v>3156</v>
      </c>
      <c r="G735" s="1" t="s">
        <v>1840</v>
      </c>
      <c r="H735" s="1" t="s">
        <v>1812</v>
      </c>
      <c r="I735" s="10" t="str">
        <f>IF(H735="T44",1,IF(H735="T44",3,IF(H735="T60",6,IF(H735="T60",10,IF(H735="T92",14,IF(H735="T92",18,IF(H735="T60",22,"")))))))</f>
        <v/>
      </c>
      <c r="J735" s="1" t="s">
        <v>1808</v>
      </c>
      <c r="K735" s="10">
        <v>2</v>
      </c>
      <c r="L735" s="10">
        <v>1</v>
      </c>
      <c r="O735" s="6"/>
      <c r="Q735" s="42" t="s">
        <v>2962</v>
      </c>
      <c r="R735" s="42"/>
      <c r="S735" s="3"/>
    </row>
    <row r="736" spans="1:19" ht="18.75" customHeight="1" x14ac:dyDescent="0.3">
      <c r="A736" s="10">
        <v>735</v>
      </c>
      <c r="B736" s="10">
        <f>_xlfn.XLOOKUP(1,(VALUE(D736)&gt;=VALUE(block!$C$3:$C$500))*(VALUE(D736)&lt;VALUE(block!$C$3:$C$500)+VALUE(block!$D$3:$D$500)),block!$A$3:$A$500,"无匹配",0,1)</f>
        <v>19</v>
      </c>
      <c r="C736" s="3" t="str">
        <f>B736 &amp; "-" &amp; COUNTIF($B$2:B736, B736)</f>
        <v>19-1</v>
      </c>
      <c r="D736" s="10">
        <v>10162</v>
      </c>
      <c r="E736" s="1" t="s">
        <v>3157</v>
      </c>
      <c r="F736" s="1" t="s">
        <v>3158</v>
      </c>
      <c r="G736" s="1" t="s">
        <v>1840</v>
      </c>
      <c r="H736" s="1" t="s">
        <v>1812</v>
      </c>
      <c r="I736" s="10" t="str">
        <f>IF(H736="T45",1,IF(H736="T45",3,IF(H736="T61",6,IF(H736="T61",10,IF(H736="T93",14,IF(H736="T93",18,IF(H736="T61",22,"")))))))</f>
        <v/>
      </c>
      <c r="J736" s="1" t="s">
        <v>1808</v>
      </c>
      <c r="K736" s="10">
        <v>2</v>
      </c>
      <c r="L736" s="10">
        <v>1</v>
      </c>
      <c r="N736" s="10">
        <v>4</v>
      </c>
      <c r="O736" s="6"/>
      <c r="P736" s="45" t="s">
        <v>2826</v>
      </c>
      <c r="Q736" s="6">
        <v>14</v>
      </c>
      <c r="R736" s="6"/>
      <c r="S736" s="1" t="s">
        <v>3158</v>
      </c>
    </row>
    <row r="737" spans="1:19" ht="18.75" customHeight="1" x14ac:dyDescent="0.3">
      <c r="A737" s="10">
        <v>736</v>
      </c>
      <c r="B737" s="10">
        <f>_xlfn.XLOOKUP(1,(VALUE(D737)&gt;=VALUE(block!$C$3:$C$500))*(VALUE(D737)&lt;VALUE(block!$C$3:$C$500)+VALUE(block!$D$3:$D$500)),block!$A$3:$A$500,"无匹配",0,1)</f>
        <v>19</v>
      </c>
      <c r="C737" s="3" t="str">
        <f>B737 &amp; "-" &amp; COUNTIF($B$2:B737, B737)</f>
        <v>19-2</v>
      </c>
      <c r="D737" s="10">
        <v>10164</v>
      </c>
      <c r="E737" s="1" t="s">
        <v>3159</v>
      </c>
      <c r="F737" s="1" t="s">
        <v>3160</v>
      </c>
      <c r="G737" s="1" t="s">
        <v>1840</v>
      </c>
      <c r="H737" s="1" t="s">
        <v>1812</v>
      </c>
      <c r="I737" s="10" t="str">
        <f>IF(H737="T46",1,IF(H737="T46",3,IF(H737="T62",6,IF(H737="T62",10,IF(H737="T94",14,IF(H737="T94",18,IF(H737="T62",22,"")))))))</f>
        <v/>
      </c>
      <c r="J737" s="1" t="s">
        <v>1808</v>
      </c>
      <c r="K737" s="10">
        <v>2</v>
      </c>
      <c r="L737" s="10">
        <v>1</v>
      </c>
      <c r="N737" s="10">
        <v>4</v>
      </c>
      <c r="O737" s="6"/>
      <c r="P737" s="45" t="s">
        <v>2826</v>
      </c>
      <c r="Q737" s="6">
        <v>14</v>
      </c>
      <c r="R737" s="6"/>
      <c r="S737" s="1" t="s">
        <v>3160</v>
      </c>
    </row>
    <row r="738" spans="1:19" ht="18.75" customHeight="1" x14ac:dyDescent="0.3">
      <c r="A738" s="10">
        <v>737</v>
      </c>
      <c r="B738" s="10">
        <f>_xlfn.XLOOKUP(1,(VALUE(D738)&gt;=VALUE(block!$C$3:$C$500))*(VALUE(D738)&lt;VALUE(block!$C$3:$C$500)+VALUE(block!$D$3:$D$500)),block!$A$3:$A$500,"无匹配",0,1)</f>
        <v>19</v>
      </c>
      <c r="C738" s="3" t="str">
        <f>B738 &amp; "-" &amp; COUNTIF($B$2:B738, B738)</f>
        <v>19-3</v>
      </c>
      <c r="D738" s="10">
        <v>10166</v>
      </c>
      <c r="E738" s="1" t="s">
        <v>3161</v>
      </c>
      <c r="F738" s="1" t="s">
        <v>3162</v>
      </c>
      <c r="G738" s="1" t="s">
        <v>1840</v>
      </c>
      <c r="H738" s="1" t="s">
        <v>1812</v>
      </c>
      <c r="I738" s="10" t="str">
        <f>IF(H738="T47",1,IF(H738="T47",3,IF(H738="T63",6,IF(H738="T63",10,IF(H738="T95",14,IF(H738="T95",18,IF(H738="T63",22,"")))))))</f>
        <v/>
      </c>
      <c r="J738" s="1" t="s">
        <v>1808</v>
      </c>
      <c r="K738" s="10">
        <v>2</v>
      </c>
      <c r="L738" s="10">
        <v>1</v>
      </c>
      <c r="N738" s="10">
        <v>4</v>
      </c>
      <c r="O738" s="6"/>
      <c r="P738" s="45" t="s">
        <v>2826</v>
      </c>
      <c r="Q738" s="6">
        <v>14</v>
      </c>
      <c r="R738" s="6"/>
      <c r="S738" s="1" t="s">
        <v>3162</v>
      </c>
    </row>
    <row r="739" spans="1:19" ht="18.75" customHeight="1" x14ac:dyDescent="0.3">
      <c r="A739" s="10">
        <v>738</v>
      </c>
      <c r="B739" s="10">
        <f>_xlfn.XLOOKUP(1,(VALUE(D739)&gt;=VALUE(block!$C$3:$C$500))*(VALUE(D739)&lt;VALUE(block!$C$3:$C$500)+VALUE(block!$D$3:$D$500)),block!$A$3:$A$500,"无匹配",0,1)</f>
        <v>19</v>
      </c>
      <c r="C739" s="3" t="str">
        <f>B739 &amp; "-" &amp; COUNTIF($B$2:B739, B739)</f>
        <v>19-4</v>
      </c>
      <c r="D739" s="10">
        <v>10168</v>
      </c>
      <c r="E739" s="1" t="s">
        <v>3163</v>
      </c>
      <c r="F739" s="1" t="s">
        <v>3164</v>
      </c>
      <c r="G739" s="1" t="s">
        <v>1840</v>
      </c>
      <c r="H739" s="1" t="s">
        <v>1812</v>
      </c>
      <c r="I739" s="10" t="str">
        <f>IF(H739="T48",1,IF(H739="T48",3,IF(H739="T64",6,IF(H739="T64",10,IF(H739="T96",14,IF(H739="T96",18,IF(H739="T64",22,"")))))))</f>
        <v/>
      </c>
      <c r="J739" s="1" t="s">
        <v>1808</v>
      </c>
      <c r="K739" s="10">
        <v>2</v>
      </c>
      <c r="L739" s="10">
        <v>1</v>
      </c>
      <c r="N739" s="10">
        <v>4</v>
      </c>
      <c r="O739" s="6"/>
      <c r="P739" s="45" t="s">
        <v>2826</v>
      </c>
      <c r="Q739" s="6">
        <v>14</v>
      </c>
      <c r="R739" s="6"/>
      <c r="S739" s="1" t="s">
        <v>3164</v>
      </c>
    </row>
    <row r="740" spans="1:19" ht="18.75" hidden="1" customHeight="1" x14ac:dyDescent="0.3">
      <c r="A740" s="10">
        <v>739</v>
      </c>
      <c r="B740" s="10">
        <f>_xlfn.XLOOKUP(1,(VALUE(D740)&gt;=VALUE(block!$C$3:$C$500))*(VALUE(D740)&lt;VALUE(block!$C$3:$C$500)+VALUE(block!$D$3:$D$500)),block!$A$3:$A$500,"无匹配",0,1)</f>
        <v>19</v>
      </c>
      <c r="C740" s="3" t="str">
        <f>B740 &amp; "-" &amp; COUNTIF($B$2:B740, B740)</f>
        <v>19-5</v>
      </c>
      <c r="D740" s="10">
        <v>10170</v>
      </c>
      <c r="E740" s="1" t="s">
        <v>3165</v>
      </c>
      <c r="F740" s="1" t="s">
        <v>3166</v>
      </c>
      <c r="G740" s="1" t="s">
        <v>1840</v>
      </c>
      <c r="H740" s="1" t="s">
        <v>1812</v>
      </c>
      <c r="I740" s="10" t="str">
        <f>IF(H740="T49",1,IF(H740="T49",3,IF(H740="T65",6,IF(H740="T65",10,IF(H740="T97",14,IF(H740="T97",18,IF(H740="T65",22,"")))))))</f>
        <v/>
      </c>
      <c r="J740" s="1" t="s">
        <v>1808</v>
      </c>
      <c r="K740" s="10">
        <v>2</v>
      </c>
      <c r="L740" s="10">
        <v>1</v>
      </c>
      <c r="O740" s="6"/>
      <c r="Q740" s="42" t="s">
        <v>2962</v>
      </c>
      <c r="R740" s="42"/>
      <c r="S740" s="1"/>
    </row>
    <row r="741" spans="1:19" ht="18.75" hidden="1" customHeight="1" x14ac:dyDescent="0.3">
      <c r="A741" s="10">
        <v>740</v>
      </c>
      <c r="B741" s="10">
        <f>_xlfn.XLOOKUP(1,(VALUE(D741)&gt;=VALUE(block!$C$3:$C$500))*(VALUE(D741)&lt;VALUE(block!$C$3:$C$500)+VALUE(block!$D$3:$D$500)),block!$A$3:$A$500,"无匹配",0,1)</f>
        <v>19</v>
      </c>
      <c r="C741" s="3" t="str">
        <f>B741 &amp; "-" &amp; COUNTIF($B$2:B741, B741)</f>
        <v>19-6</v>
      </c>
      <c r="D741" s="10">
        <v>10172</v>
      </c>
      <c r="E741" s="1" t="s">
        <v>3167</v>
      </c>
      <c r="F741" s="1" t="s">
        <v>3168</v>
      </c>
      <c r="G741" s="1" t="s">
        <v>1840</v>
      </c>
      <c r="H741" s="1" t="s">
        <v>1812</v>
      </c>
      <c r="I741" s="10" t="str">
        <f>IF(H741="T50",1,IF(H741="T50",3,IF(H741="T66",6,IF(H741="T66",10,IF(H741="T98",14,IF(H741="T98",18,IF(H741="T66",22,"")))))))</f>
        <v/>
      </c>
      <c r="J741" s="1" t="s">
        <v>1808</v>
      </c>
      <c r="K741" s="10">
        <v>2</v>
      </c>
      <c r="L741" s="10">
        <v>1</v>
      </c>
      <c r="O741" s="6"/>
      <c r="Q741" s="42" t="s">
        <v>2962</v>
      </c>
      <c r="R741" s="42"/>
      <c r="S741" s="1"/>
    </row>
    <row r="742" spans="1:19" ht="18.75" hidden="1" customHeight="1" x14ac:dyDescent="0.3">
      <c r="A742" s="10">
        <v>741</v>
      </c>
      <c r="B742" s="10">
        <f>_xlfn.XLOOKUP(1,(VALUE(D742)&gt;=VALUE(block!$C$3:$C$500))*(VALUE(D742)&lt;VALUE(block!$C$3:$C$500)+VALUE(block!$D$3:$D$500)),block!$A$3:$A$500,"无匹配",0,1)</f>
        <v>19</v>
      </c>
      <c r="C742" s="3" t="str">
        <f>B742 &amp; "-" &amp; COUNTIF($B$2:B742, B742)</f>
        <v>19-7</v>
      </c>
      <c r="D742" s="10">
        <v>10174</v>
      </c>
      <c r="E742" s="1" t="s">
        <v>3169</v>
      </c>
      <c r="F742" s="1" t="s">
        <v>3170</v>
      </c>
      <c r="G742" s="1" t="s">
        <v>1840</v>
      </c>
      <c r="H742" s="1" t="s">
        <v>1812</v>
      </c>
      <c r="I742" s="10" t="str">
        <f>IF(H742="T51",1,IF(H742="T51",3,IF(H742="T67",6,IF(H742="T67",10,IF(H742="T99",14,IF(H742="T99",18,IF(H742="T67",22,"")))))))</f>
        <v/>
      </c>
      <c r="J742" s="1" t="s">
        <v>1808</v>
      </c>
      <c r="K742" s="10">
        <v>2</v>
      </c>
      <c r="L742" s="10">
        <v>1</v>
      </c>
      <c r="O742" s="6"/>
      <c r="Q742" s="42" t="s">
        <v>2962</v>
      </c>
      <c r="R742" s="42"/>
      <c r="S742" s="1"/>
    </row>
    <row r="743" spans="1:19" ht="18.75" hidden="1" customHeight="1" x14ac:dyDescent="0.3">
      <c r="A743" s="10">
        <v>742</v>
      </c>
      <c r="B743" s="10">
        <f>_xlfn.XLOOKUP(1,(VALUE(D743)&gt;=VALUE(block!$C$3:$C$500))*(VALUE(D743)&lt;VALUE(block!$C$3:$C$500)+VALUE(block!$D$3:$D$500)),block!$A$3:$A$500,"无匹配",0,1)</f>
        <v>19</v>
      </c>
      <c r="C743" s="3" t="str">
        <f>B743 &amp; "-" &amp; COUNTIF($B$2:B743, B743)</f>
        <v>19-8</v>
      </c>
      <c r="D743" s="10">
        <v>10176</v>
      </c>
      <c r="E743" s="1" t="s">
        <v>3171</v>
      </c>
      <c r="F743" s="1" t="s">
        <v>3172</v>
      </c>
      <c r="G743" s="1" t="s">
        <v>1840</v>
      </c>
      <c r="H743" s="1" t="s">
        <v>1812</v>
      </c>
      <c r="I743" s="10" t="str">
        <f>IF(H743="T52",1,IF(H743="T52",3,IF(H743="T68",6,IF(H743="T68",10,IF(H743="T100",14,IF(H743="T100",18,IF(H743="T68",22,"")))))))</f>
        <v/>
      </c>
      <c r="J743" s="1" t="s">
        <v>1808</v>
      </c>
      <c r="K743" s="10">
        <v>2</v>
      </c>
      <c r="L743" s="10">
        <v>1</v>
      </c>
      <c r="O743" s="6"/>
      <c r="Q743" s="42" t="s">
        <v>2962</v>
      </c>
      <c r="R743" s="42"/>
      <c r="S743" s="1"/>
    </row>
    <row r="744" spans="1:19" ht="18.75" hidden="1" customHeight="1" x14ac:dyDescent="0.3">
      <c r="A744" s="10">
        <v>743</v>
      </c>
      <c r="B744" s="10">
        <f>_xlfn.XLOOKUP(1,(VALUE(D744)&gt;=VALUE(block!$C$3:$C$500))*(VALUE(D744)&lt;VALUE(block!$C$3:$C$500)+VALUE(block!$D$3:$D$500)),block!$A$3:$A$500,"无匹配",0,1)</f>
        <v>19</v>
      </c>
      <c r="C744" s="3" t="str">
        <f>B744 &amp; "-" &amp; COUNTIF($B$2:B744, B744)</f>
        <v>19-9</v>
      </c>
      <c r="D744" s="10">
        <v>10178</v>
      </c>
      <c r="E744" s="1" t="s">
        <v>3173</v>
      </c>
      <c r="F744" s="1" t="s">
        <v>3174</v>
      </c>
      <c r="G744" s="1" t="s">
        <v>1840</v>
      </c>
      <c r="H744" s="1" t="s">
        <v>1812</v>
      </c>
      <c r="I744" s="10" t="str">
        <f>IF(H744="T53",1,IF(H744="T53",3,IF(H744="T69",6,IF(H744="T69",10,IF(H744="T101",14,IF(H744="T101",18,IF(H744="T69",22,"")))))))</f>
        <v/>
      </c>
      <c r="J744" s="1" t="s">
        <v>1808</v>
      </c>
      <c r="K744" s="10">
        <v>2</v>
      </c>
      <c r="L744" s="10">
        <v>1</v>
      </c>
      <c r="O744" s="6"/>
      <c r="Q744" s="42" t="s">
        <v>2962</v>
      </c>
      <c r="R744" s="42"/>
      <c r="S744" s="1"/>
    </row>
    <row r="745" spans="1:19" ht="18.75" hidden="1" customHeight="1" x14ac:dyDescent="0.3">
      <c r="A745" s="10">
        <v>744</v>
      </c>
      <c r="B745" s="10">
        <f>_xlfn.XLOOKUP(1,(VALUE(D745)&gt;=VALUE(block!$C$3:$C$500))*(VALUE(D745)&lt;VALUE(block!$C$3:$C$500)+VALUE(block!$D$3:$D$500)),block!$A$3:$A$500,"无匹配",0,1)</f>
        <v>19</v>
      </c>
      <c r="C745" s="3" t="str">
        <f>B745 &amp; "-" &amp; COUNTIF($B$2:B745, B745)</f>
        <v>19-10</v>
      </c>
      <c r="D745" s="10">
        <v>10180</v>
      </c>
      <c r="E745" s="1" t="s">
        <v>3175</v>
      </c>
      <c r="F745" s="1" t="s">
        <v>3176</v>
      </c>
      <c r="G745" s="1" t="s">
        <v>1840</v>
      </c>
      <c r="H745" s="1" t="s">
        <v>1812</v>
      </c>
      <c r="I745" s="10" t="str">
        <f>IF(H745="T54",1,IF(H745="T54",3,IF(H745="T70",6,IF(H745="T70",10,IF(H745="T102",14,IF(H745="T102",18,IF(H745="T70",22,"")))))))</f>
        <v/>
      </c>
      <c r="J745" s="1" t="s">
        <v>1808</v>
      </c>
      <c r="K745" s="10">
        <v>2</v>
      </c>
      <c r="L745" s="10">
        <v>1</v>
      </c>
      <c r="O745" s="6"/>
      <c r="Q745" s="42" t="s">
        <v>2962</v>
      </c>
      <c r="R745" s="42"/>
      <c r="S745" s="1"/>
    </row>
    <row r="746" spans="1:19" ht="18.75" hidden="1" customHeight="1" x14ac:dyDescent="0.3">
      <c r="A746" s="10">
        <v>745</v>
      </c>
      <c r="B746" s="10">
        <f>_xlfn.XLOOKUP(1,(VALUE(D746)&gt;=VALUE(block!$C$3:$C$500))*(VALUE(D746)&lt;VALUE(block!$C$3:$C$500)+VALUE(block!$D$3:$D$500)),block!$A$3:$A$500,"无匹配",0,1)</f>
        <v>19</v>
      </c>
      <c r="C746" s="3" t="str">
        <f>B746 &amp; "-" &amp; COUNTIF($B$2:B746, B746)</f>
        <v>19-11</v>
      </c>
      <c r="D746" s="10">
        <v>10182</v>
      </c>
      <c r="E746" s="1" t="s">
        <v>3177</v>
      </c>
      <c r="F746" s="1" t="s">
        <v>3178</v>
      </c>
      <c r="G746" s="1" t="s">
        <v>1840</v>
      </c>
      <c r="H746" s="1" t="s">
        <v>1812</v>
      </c>
      <c r="I746" s="10" t="str">
        <f>IF(H746="T55",1,IF(H746="T55",3,IF(H746="T71",6,IF(H746="T71",10,IF(H746="T103",14,IF(H746="T103",18,IF(H746="T71",22,"")))))))</f>
        <v/>
      </c>
      <c r="J746" s="1" t="s">
        <v>1808</v>
      </c>
      <c r="K746" s="10">
        <v>2</v>
      </c>
      <c r="L746" s="10">
        <v>1</v>
      </c>
      <c r="O746" s="6"/>
      <c r="Q746" s="42" t="s">
        <v>2962</v>
      </c>
      <c r="R746" s="42"/>
      <c r="S746" s="1"/>
    </row>
    <row r="747" spans="1:19" ht="18.75" hidden="1" customHeight="1" x14ac:dyDescent="0.3">
      <c r="A747" s="10">
        <v>746</v>
      </c>
      <c r="B747" s="10">
        <f>_xlfn.XLOOKUP(1,(VALUE(D747)&gt;=VALUE(block!$C$3:$C$500))*(VALUE(D747)&lt;VALUE(block!$C$3:$C$500)+VALUE(block!$D$3:$D$500)),block!$A$3:$A$500,"无匹配",0,1)</f>
        <v>19</v>
      </c>
      <c r="C747" s="3" t="str">
        <f>B747 &amp; "-" &amp; COUNTIF($B$2:B747, B747)</f>
        <v>19-12</v>
      </c>
      <c r="D747" s="10">
        <v>10184</v>
      </c>
      <c r="E747" s="1" t="s">
        <v>3179</v>
      </c>
      <c r="F747" s="1" t="s">
        <v>3180</v>
      </c>
      <c r="G747" s="1" t="s">
        <v>1840</v>
      </c>
      <c r="H747" s="1" t="s">
        <v>1812</v>
      </c>
      <c r="I747" s="10" t="str">
        <f>IF(H747="T56",1,IF(H747="T56",3,IF(H747="T72",6,IF(H747="T72",10,IF(H747="T104",14,IF(H747="T104",18,IF(H747="T72",22,"")))))))</f>
        <v/>
      </c>
      <c r="J747" s="1" t="s">
        <v>1808</v>
      </c>
      <c r="K747" s="10">
        <v>2</v>
      </c>
      <c r="L747" s="10">
        <v>1</v>
      </c>
      <c r="O747" s="6"/>
      <c r="Q747" s="42" t="s">
        <v>2962</v>
      </c>
      <c r="R747" s="42"/>
      <c r="S747" s="1"/>
    </row>
    <row r="748" spans="1:19" ht="18.75" hidden="1" customHeight="1" x14ac:dyDescent="0.3">
      <c r="A748" s="10">
        <v>747</v>
      </c>
      <c r="B748" s="10">
        <f>_xlfn.XLOOKUP(1,(VALUE(D748)&gt;=VALUE(block!$C$3:$C$500))*(VALUE(D748)&lt;VALUE(block!$C$3:$C$500)+VALUE(block!$D$3:$D$500)),block!$A$3:$A$500,"无匹配",0,1)</f>
        <v>19</v>
      </c>
      <c r="C748" s="3" t="str">
        <f>B748 &amp; "-" &amp; COUNTIF($B$2:B748, B748)</f>
        <v>19-13</v>
      </c>
      <c r="D748" s="10">
        <v>10186</v>
      </c>
      <c r="E748" s="1" t="s">
        <v>3181</v>
      </c>
      <c r="F748" s="1" t="s">
        <v>3182</v>
      </c>
      <c r="G748" s="1" t="s">
        <v>1840</v>
      </c>
      <c r="H748" s="1" t="s">
        <v>1812</v>
      </c>
      <c r="I748" s="10" t="str">
        <f>IF(H748="T57",1,IF(H748="T57",3,IF(H748="T73",6,IF(H748="T73",10,IF(H748="T105",14,IF(H748="T105",18,IF(H748="T73",22,"")))))))</f>
        <v/>
      </c>
      <c r="J748" s="1" t="s">
        <v>1808</v>
      </c>
      <c r="K748" s="10">
        <v>2</v>
      </c>
      <c r="L748" s="10">
        <v>1</v>
      </c>
      <c r="O748" s="6"/>
      <c r="Q748" s="42" t="s">
        <v>2962</v>
      </c>
      <c r="R748" s="42"/>
      <c r="S748" s="1"/>
    </row>
    <row r="749" spans="1:19" ht="18.75" hidden="1" customHeight="1" x14ac:dyDescent="0.3">
      <c r="A749" s="10">
        <v>748</v>
      </c>
      <c r="B749" s="10">
        <f>_xlfn.XLOOKUP(1,(VALUE(D749)&gt;=VALUE(block!$C$3:$C$500))*(VALUE(D749)&lt;VALUE(block!$C$3:$C$500)+VALUE(block!$D$3:$D$500)),block!$A$3:$A$500,"无匹配",0,1)</f>
        <v>19</v>
      </c>
      <c r="C749" s="3" t="str">
        <f>B749 &amp; "-" &amp; COUNTIF($B$2:B749, B749)</f>
        <v>19-14</v>
      </c>
      <c r="D749" s="10">
        <v>10188</v>
      </c>
      <c r="E749" s="1" t="s">
        <v>3183</v>
      </c>
      <c r="F749" s="1" t="s">
        <v>3184</v>
      </c>
      <c r="G749" s="1" t="s">
        <v>1840</v>
      </c>
      <c r="H749" s="1" t="s">
        <v>1812</v>
      </c>
      <c r="I749" s="10" t="str">
        <f>IF(H749="T58",1,IF(H749="T58",3,IF(H749="T74",6,IF(H749="T74",10,IF(H749="T106",14,IF(H749="T106",18,IF(H749="T74",22,"")))))))</f>
        <v/>
      </c>
      <c r="J749" s="1" t="s">
        <v>1808</v>
      </c>
      <c r="K749" s="10">
        <v>2</v>
      </c>
      <c r="L749" s="10">
        <v>1</v>
      </c>
      <c r="O749" s="6"/>
      <c r="Q749" s="42" t="s">
        <v>2962</v>
      </c>
      <c r="R749" s="42"/>
      <c r="S749" s="1"/>
    </row>
    <row r="750" spans="1:19" ht="18.75" hidden="1" customHeight="1" x14ac:dyDescent="0.3">
      <c r="A750" s="10">
        <v>749</v>
      </c>
      <c r="B750" s="10">
        <f>_xlfn.XLOOKUP(1,(VALUE(D750)&gt;=VALUE(block!$C$3:$C$500))*(VALUE(D750)&lt;VALUE(block!$C$3:$C$500)+VALUE(block!$D$3:$D$500)),block!$A$3:$A$500,"无匹配",0,1)</f>
        <v>19</v>
      </c>
      <c r="C750" s="3" t="str">
        <f>B750 &amp; "-" &amp; COUNTIF($B$2:B750, B750)</f>
        <v>19-15</v>
      </c>
      <c r="D750" s="10">
        <v>10190</v>
      </c>
      <c r="E750" s="1" t="s">
        <v>3185</v>
      </c>
      <c r="F750" s="1" t="s">
        <v>3186</v>
      </c>
      <c r="G750" s="1" t="s">
        <v>1840</v>
      </c>
      <c r="H750" s="1" t="s">
        <v>1812</v>
      </c>
      <c r="I750" s="10" t="str">
        <f>IF(H750="T59",1,IF(H750="T59",3,IF(H750="T75",6,IF(H750="T75",10,IF(H750="T107",14,IF(H750="T107",18,IF(H750="T75",22,"")))))))</f>
        <v/>
      </c>
      <c r="J750" s="1" t="s">
        <v>1808</v>
      </c>
      <c r="K750" s="10">
        <v>2</v>
      </c>
      <c r="L750" s="10">
        <v>1</v>
      </c>
      <c r="O750" s="6"/>
      <c r="Q750" s="42" t="s">
        <v>2962</v>
      </c>
      <c r="R750" s="42"/>
      <c r="S750" s="1"/>
    </row>
    <row r="751" spans="1:19" ht="18.75" hidden="1" customHeight="1" x14ac:dyDescent="0.3">
      <c r="A751" s="10">
        <v>750</v>
      </c>
      <c r="B751" s="10">
        <f>_xlfn.XLOOKUP(1,(VALUE(D751)&gt;=VALUE(block!$C$3:$C$500))*(VALUE(D751)&lt;VALUE(block!$C$3:$C$500)+VALUE(block!$D$3:$D$500)),block!$A$3:$A$500,"无匹配",0,1)</f>
        <v>19</v>
      </c>
      <c r="C751" s="3" t="str">
        <f>B751 &amp; "-" &amp; COUNTIF($B$2:B751, B751)</f>
        <v>19-16</v>
      </c>
      <c r="D751" s="10">
        <v>10192</v>
      </c>
      <c r="E751" s="1" t="s">
        <v>3187</v>
      </c>
      <c r="F751" s="1" t="s">
        <v>3188</v>
      </c>
      <c r="G751" s="1" t="s">
        <v>1840</v>
      </c>
      <c r="H751" s="1" t="s">
        <v>1812</v>
      </c>
      <c r="I751" s="10" t="str">
        <f>IF(H751="T60",1,IF(H751="T60",3,IF(H751="T76",6,IF(H751="T76",10,IF(H751="T108",14,IF(H751="T108",18,IF(H751="T76",22,"")))))))</f>
        <v/>
      </c>
      <c r="J751" s="1" t="s">
        <v>1808</v>
      </c>
      <c r="K751" s="10">
        <v>2</v>
      </c>
      <c r="L751" s="10">
        <v>1</v>
      </c>
      <c r="O751" s="6"/>
      <c r="Q751" s="42" t="s">
        <v>2962</v>
      </c>
      <c r="R751" s="42"/>
      <c r="S751" s="1"/>
    </row>
    <row r="752" spans="1:19" ht="18.75" hidden="1" customHeight="1" x14ac:dyDescent="0.3">
      <c r="A752" s="10">
        <v>751</v>
      </c>
      <c r="B752" s="10">
        <f>_xlfn.XLOOKUP(1,(VALUE(D752)&gt;=VALUE(block!$C$3:$C$500))*(VALUE(D752)&lt;VALUE(block!$C$3:$C$500)+VALUE(block!$D$3:$D$500)),block!$A$3:$A$500,"无匹配",0,1)</f>
        <v>19</v>
      </c>
      <c r="C752" s="3" t="str">
        <f>B752 &amp; "-" &amp; COUNTIF($B$2:B752, B752)</f>
        <v>19-17</v>
      </c>
      <c r="D752" s="10">
        <v>10194</v>
      </c>
      <c r="E752" s="1" t="s">
        <v>3189</v>
      </c>
      <c r="F752" s="1" t="s">
        <v>3190</v>
      </c>
      <c r="G752" s="1" t="s">
        <v>1840</v>
      </c>
      <c r="H752" s="1" t="s">
        <v>1812</v>
      </c>
      <c r="I752" s="10" t="str">
        <f>IF(H752="T61",1,IF(H752="T61",3,IF(H752="T77",6,IF(H752="T77",10,IF(H752="T109",14,IF(H752="T109",18,IF(H752="T77",22,"")))))))</f>
        <v/>
      </c>
      <c r="J752" s="1" t="s">
        <v>1808</v>
      </c>
      <c r="K752" s="10">
        <v>2</v>
      </c>
      <c r="L752" s="10">
        <v>1</v>
      </c>
      <c r="O752" s="6"/>
      <c r="Q752" s="42" t="s">
        <v>2962</v>
      </c>
      <c r="R752" s="42"/>
      <c r="S752" s="1"/>
    </row>
    <row r="753" spans="1:19" ht="18.75" hidden="1" customHeight="1" x14ac:dyDescent="0.3">
      <c r="A753" s="10">
        <v>752</v>
      </c>
      <c r="B753" s="10">
        <f>_xlfn.XLOOKUP(1,(VALUE(D753)&gt;=VALUE(block!$C$3:$C$500))*(VALUE(D753)&lt;VALUE(block!$C$3:$C$500)+VALUE(block!$D$3:$D$500)),block!$A$3:$A$500,"无匹配",0,1)</f>
        <v>19</v>
      </c>
      <c r="C753" s="3" t="str">
        <f>B753 &amp; "-" &amp; COUNTIF($B$2:B753, B753)</f>
        <v>19-18</v>
      </c>
      <c r="D753" s="10">
        <v>10196</v>
      </c>
      <c r="E753" s="1" t="s">
        <v>3191</v>
      </c>
      <c r="F753" s="1" t="s">
        <v>3192</v>
      </c>
      <c r="G753" s="1" t="s">
        <v>1840</v>
      </c>
      <c r="H753" s="1" t="s">
        <v>1812</v>
      </c>
      <c r="I753" s="10" t="str">
        <f>IF(H753="T62",1,IF(H753="T62",3,IF(H753="T78",6,IF(H753="T78",10,IF(H753="T110",14,IF(H753="T110",18,IF(H753="T78",22,"")))))))</f>
        <v/>
      </c>
      <c r="J753" s="1" t="s">
        <v>1808</v>
      </c>
      <c r="K753" s="10">
        <v>2</v>
      </c>
      <c r="L753" s="10">
        <v>1</v>
      </c>
      <c r="O753" s="6"/>
      <c r="Q753" s="42" t="s">
        <v>2962</v>
      </c>
      <c r="R753" s="42"/>
      <c r="S753" s="1"/>
    </row>
    <row r="754" spans="1:19" ht="18.75" hidden="1" customHeight="1" x14ac:dyDescent="0.3">
      <c r="A754" s="10">
        <v>753</v>
      </c>
      <c r="B754" s="10">
        <f>_xlfn.XLOOKUP(1,(VALUE(D754)&gt;=VALUE(block!$C$3:$C$500))*(VALUE(D754)&lt;VALUE(block!$C$3:$C$500)+VALUE(block!$D$3:$D$500)),block!$A$3:$A$500,"无匹配",0,1)</f>
        <v>19</v>
      </c>
      <c r="C754" s="3" t="str">
        <f>B754 &amp; "-" &amp; COUNTIF($B$2:B754, B754)</f>
        <v>19-19</v>
      </c>
      <c r="D754" s="10">
        <v>10198</v>
      </c>
      <c r="E754" s="1" t="s">
        <v>3193</v>
      </c>
      <c r="F754" s="1" t="s">
        <v>3194</v>
      </c>
      <c r="G754" s="1" t="s">
        <v>1840</v>
      </c>
      <c r="H754" s="1" t="s">
        <v>1812</v>
      </c>
      <c r="I754" s="10" t="str">
        <f>IF(H754="T63",1,IF(H754="T63",3,IF(H754="T79",6,IF(H754="T79",10,IF(H754="T111",14,IF(H754="T111",18,IF(H754="T79",22,"")))))))</f>
        <v/>
      </c>
      <c r="J754" s="1" t="s">
        <v>1808</v>
      </c>
      <c r="K754" s="10">
        <v>2</v>
      </c>
      <c r="L754" s="10">
        <v>1</v>
      </c>
      <c r="O754" s="6"/>
      <c r="Q754" s="42" t="s">
        <v>2962</v>
      </c>
      <c r="R754" s="42"/>
      <c r="S754" s="1"/>
    </row>
    <row r="755" spans="1:19" ht="18.75" hidden="1" customHeight="1" x14ac:dyDescent="0.3">
      <c r="A755" s="10">
        <v>754</v>
      </c>
      <c r="B755" s="10">
        <f>_xlfn.XLOOKUP(1,(VALUE(D755)&gt;=VALUE(block!$C$3:$C$500))*(VALUE(D755)&lt;VALUE(block!$C$3:$C$500)+VALUE(block!$D$3:$D$500)),block!$A$3:$A$500,"无匹配",0,1)</f>
        <v>19</v>
      </c>
      <c r="C755" s="3" t="str">
        <f>B755 &amp; "-" &amp; COUNTIF($B$2:B755, B755)</f>
        <v>19-20</v>
      </c>
      <c r="D755" s="10">
        <v>10200</v>
      </c>
      <c r="E755" s="1" t="s">
        <v>3195</v>
      </c>
      <c r="F755" s="1" t="s">
        <v>3196</v>
      </c>
      <c r="G755" s="1" t="s">
        <v>1840</v>
      </c>
      <c r="H755" s="1" t="s">
        <v>1812</v>
      </c>
      <c r="I755" s="10" t="str">
        <f>IF(H755="T64",1,IF(H755="T64",3,IF(H755="T80",6,IF(H755="T80",10,IF(H755="T112",14,IF(H755="T112",18,IF(H755="T80",22,"")))))))</f>
        <v/>
      </c>
      <c r="J755" s="1" t="s">
        <v>1808</v>
      </c>
      <c r="K755" s="10">
        <v>2</v>
      </c>
      <c r="L755" s="10">
        <v>1</v>
      </c>
      <c r="O755" s="6"/>
      <c r="Q755" s="42" t="s">
        <v>2962</v>
      </c>
      <c r="R755" s="42"/>
      <c r="S755" s="1"/>
    </row>
    <row r="756" spans="1:19" ht="18.75" hidden="1" customHeight="1" x14ac:dyDescent="0.3">
      <c r="A756" s="10">
        <v>755</v>
      </c>
      <c r="B756" s="10">
        <f>_xlfn.XLOOKUP(1,(VALUE(D756)&gt;=VALUE(block!$C$3:$C$500))*(VALUE(D756)&lt;VALUE(block!$C$3:$C$500)+VALUE(block!$D$3:$D$500)),block!$A$3:$A$500,"无匹配",0,1)</f>
        <v>19</v>
      </c>
      <c r="C756" s="3" t="str">
        <f>B756 &amp; "-" &amp; COUNTIF($B$2:B756, B756)</f>
        <v>19-21</v>
      </c>
      <c r="D756" s="10">
        <v>10202</v>
      </c>
      <c r="E756" s="1" t="s">
        <v>3197</v>
      </c>
      <c r="F756" s="1" t="s">
        <v>3198</v>
      </c>
      <c r="G756" s="1" t="s">
        <v>1840</v>
      </c>
      <c r="H756" s="1" t="s">
        <v>1812</v>
      </c>
      <c r="I756" s="10" t="str">
        <f>IF(H756="T65",1,IF(H756="T65",3,IF(H756="T81",6,IF(H756="T81",10,IF(H756="T113",14,IF(H756="T113",18,IF(H756="T81",22,"")))))))</f>
        <v/>
      </c>
      <c r="J756" s="1" t="s">
        <v>1808</v>
      </c>
      <c r="K756" s="10">
        <v>2</v>
      </c>
      <c r="L756" s="10">
        <v>1</v>
      </c>
      <c r="O756" s="6"/>
      <c r="Q756" s="42" t="s">
        <v>2962</v>
      </c>
      <c r="R756" s="42"/>
      <c r="S756" s="1"/>
    </row>
    <row r="757" spans="1:19" ht="18.75" hidden="1" customHeight="1" x14ac:dyDescent="0.3">
      <c r="A757" s="10">
        <v>756</v>
      </c>
      <c r="B757" s="10">
        <f>_xlfn.XLOOKUP(1,(VALUE(D757)&gt;=VALUE(block!$C$3:$C$500))*(VALUE(D757)&lt;VALUE(block!$C$3:$C$500)+VALUE(block!$D$3:$D$500)),block!$A$3:$A$500,"无匹配",0,1)</f>
        <v>19</v>
      </c>
      <c r="C757" s="3" t="str">
        <f>B757 &amp; "-" &amp; COUNTIF($B$2:B757, B757)</f>
        <v>19-22</v>
      </c>
      <c r="D757" s="10">
        <v>10204</v>
      </c>
      <c r="E757" s="1" t="s">
        <v>3199</v>
      </c>
      <c r="F757" s="1" t="s">
        <v>3200</v>
      </c>
      <c r="G757" s="1" t="s">
        <v>1840</v>
      </c>
      <c r="H757" s="1" t="s">
        <v>1812</v>
      </c>
      <c r="I757" s="10" t="str">
        <f>IF(H757="T66",1,IF(H757="T66",3,IF(H757="T82",6,IF(H757="T82",10,IF(H757="T114",14,IF(H757="T114",18,IF(H757="T82",22,"")))))))</f>
        <v/>
      </c>
      <c r="J757" s="1" t="s">
        <v>1808</v>
      </c>
      <c r="K757" s="10">
        <v>2</v>
      </c>
      <c r="L757" s="10">
        <v>1</v>
      </c>
      <c r="O757" s="6"/>
      <c r="Q757" s="42" t="s">
        <v>2962</v>
      </c>
      <c r="R757" s="42"/>
      <c r="S757" s="1"/>
    </row>
    <row r="758" spans="1:19" ht="18.75" hidden="1" customHeight="1" x14ac:dyDescent="0.3">
      <c r="A758" s="10">
        <v>757</v>
      </c>
      <c r="B758" s="10">
        <f>_xlfn.XLOOKUP(1,(VALUE(D758)&gt;=VALUE(block!$C$3:$C$500))*(VALUE(D758)&lt;VALUE(block!$C$3:$C$500)+VALUE(block!$D$3:$D$500)),block!$A$3:$A$500,"无匹配",0,1)</f>
        <v>19</v>
      </c>
      <c r="C758" s="3" t="str">
        <f>B758 &amp; "-" &amp; COUNTIF($B$2:B758, B758)</f>
        <v>19-23</v>
      </c>
      <c r="D758" s="10">
        <v>10206</v>
      </c>
      <c r="E758" s="1" t="s">
        <v>3201</v>
      </c>
      <c r="F758" s="1" t="s">
        <v>3202</v>
      </c>
      <c r="G758" s="1" t="s">
        <v>1840</v>
      </c>
      <c r="H758" s="1" t="s">
        <v>1812</v>
      </c>
      <c r="I758" s="10" t="str">
        <f>IF(H758="T67",1,IF(H758="T67",3,IF(H758="T83",6,IF(H758="T83",10,IF(H758="T115",14,IF(H758="T115",18,IF(H758="T83",22,"")))))))</f>
        <v/>
      </c>
      <c r="J758" s="1" t="s">
        <v>1808</v>
      </c>
      <c r="K758" s="10">
        <v>2</v>
      </c>
      <c r="L758" s="10">
        <v>1</v>
      </c>
      <c r="O758" s="6"/>
      <c r="Q758" s="42" t="s">
        <v>2962</v>
      </c>
      <c r="R758" s="42"/>
      <c r="S758" s="1"/>
    </row>
    <row r="759" spans="1:19" ht="18.75" hidden="1" customHeight="1" x14ac:dyDescent="0.3">
      <c r="A759" s="10">
        <v>758</v>
      </c>
      <c r="B759" s="10">
        <f>_xlfn.XLOOKUP(1,(VALUE(D759)&gt;=VALUE(block!$C$3:$C$500))*(VALUE(D759)&lt;VALUE(block!$C$3:$C$500)+VALUE(block!$D$3:$D$500)),block!$A$3:$A$500,"无匹配",0,1)</f>
        <v>19</v>
      </c>
      <c r="C759" s="3" t="str">
        <f>B759 &amp; "-" &amp; COUNTIF($B$2:B759, B759)</f>
        <v>19-24</v>
      </c>
      <c r="D759" s="10">
        <v>10208</v>
      </c>
      <c r="E759" s="1" t="s">
        <v>3203</v>
      </c>
      <c r="F759" s="1" t="s">
        <v>3204</v>
      </c>
      <c r="G759" s="1" t="s">
        <v>1840</v>
      </c>
      <c r="H759" s="1" t="s">
        <v>1812</v>
      </c>
      <c r="I759" s="10" t="str">
        <f>IF(H759="T68",1,IF(H759="T68",3,IF(H759="T84",6,IF(H759="T84",10,IF(H759="T116",14,IF(H759="T116",18,IF(H759="T84",22,"")))))))</f>
        <v/>
      </c>
      <c r="J759" s="1" t="s">
        <v>1808</v>
      </c>
      <c r="K759" s="10">
        <v>2</v>
      </c>
      <c r="L759" s="10">
        <v>1</v>
      </c>
      <c r="O759" s="6"/>
      <c r="Q759" s="42" t="s">
        <v>2962</v>
      </c>
      <c r="R759" s="42"/>
      <c r="S759" s="1"/>
    </row>
    <row r="760" spans="1:19" ht="18.75" hidden="1" customHeight="1" x14ac:dyDescent="0.3">
      <c r="A760" s="10">
        <v>759</v>
      </c>
      <c r="B760" s="10">
        <f>_xlfn.XLOOKUP(1,(VALUE(D760)&gt;=VALUE(block!$C$3:$C$500))*(VALUE(D760)&lt;VALUE(block!$C$3:$C$500)+VALUE(block!$D$3:$D$500)),block!$A$3:$A$500,"无匹配",0,1)</f>
        <v>19</v>
      </c>
      <c r="C760" s="3" t="str">
        <f>B760 &amp; "-" &amp; COUNTIF($B$2:B760, B760)</f>
        <v>19-25</v>
      </c>
      <c r="D760" s="10">
        <v>10210</v>
      </c>
      <c r="E760" s="1" t="s">
        <v>3205</v>
      </c>
      <c r="F760" s="1" t="s">
        <v>3206</v>
      </c>
      <c r="G760" s="1" t="s">
        <v>1840</v>
      </c>
      <c r="H760" s="1" t="s">
        <v>1812</v>
      </c>
      <c r="I760" s="10" t="str">
        <f>IF(H760="T69",1,IF(H760="T69",3,IF(H760="T85",6,IF(H760="T85",10,IF(H760="T117",14,IF(H760="T117",18,IF(H760="T85",22,"")))))))</f>
        <v/>
      </c>
      <c r="J760" s="1" t="s">
        <v>1808</v>
      </c>
      <c r="K760" s="10">
        <v>2</v>
      </c>
      <c r="L760" s="10">
        <v>1</v>
      </c>
      <c r="O760" s="6"/>
      <c r="Q760" s="42" t="s">
        <v>2962</v>
      </c>
      <c r="R760" s="42"/>
      <c r="S760" s="1"/>
    </row>
    <row r="761" spans="1:19" ht="18.75" hidden="1" customHeight="1" x14ac:dyDescent="0.3">
      <c r="A761" s="10">
        <v>760</v>
      </c>
      <c r="B761" s="10">
        <f>_xlfn.XLOOKUP(1,(VALUE(D761)&gt;=VALUE(block!$C$3:$C$500))*(VALUE(D761)&lt;VALUE(block!$C$3:$C$500)+VALUE(block!$D$3:$D$500)),block!$A$3:$A$500,"无匹配",0,1)</f>
        <v>19</v>
      </c>
      <c r="C761" s="3" t="str">
        <f>B761 &amp; "-" &amp; COUNTIF($B$2:B761, B761)</f>
        <v>19-26</v>
      </c>
      <c r="D761" s="10">
        <v>10212</v>
      </c>
      <c r="E761" s="1" t="s">
        <v>3207</v>
      </c>
      <c r="F761" s="1" t="s">
        <v>3208</v>
      </c>
      <c r="G761" s="1" t="s">
        <v>1840</v>
      </c>
      <c r="H761" s="1" t="s">
        <v>1812</v>
      </c>
      <c r="I761" s="10" t="str">
        <f>IF(H761="T70",1,IF(H761="T70",3,IF(H761="T86",6,IF(H761="T86",10,IF(H761="T118",14,IF(H761="T118",18,IF(H761="T86",22,"")))))))</f>
        <v/>
      </c>
      <c r="J761" s="1" t="s">
        <v>1808</v>
      </c>
      <c r="K761" s="10">
        <v>2</v>
      </c>
      <c r="L761" s="10">
        <v>1</v>
      </c>
      <c r="O761" s="6"/>
      <c r="Q761" s="42" t="s">
        <v>2962</v>
      </c>
      <c r="R761" s="42"/>
      <c r="S761" s="1"/>
    </row>
    <row r="762" spans="1:19" ht="18.75" hidden="1" customHeight="1" x14ac:dyDescent="0.3">
      <c r="A762" s="10">
        <v>761</v>
      </c>
      <c r="B762" s="10">
        <f>_xlfn.XLOOKUP(1,(VALUE(D762)&gt;=VALUE(block!$C$3:$C$500))*(VALUE(D762)&lt;VALUE(block!$C$3:$C$500)+VALUE(block!$D$3:$D$500)),block!$A$3:$A$500,"无匹配",0,1)</f>
        <v>19</v>
      </c>
      <c r="C762" s="3" t="str">
        <f>B762 &amp; "-" &amp; COUNTIF($B$2:B762, B762)</f>
        <v>19-27</v>
      </c>
      <c r="D762" s="10">
        <v>10214</v>
      </c>
      <c r="E762" s="1" t="s">
        <v>3209</v>
      </c>
      <c r="F762" s="1" t="s">
        <v>3210</v>
      </c>
      <c r="G762" s="1" t="s">
        <v>1840</v>
      </c>
      <c r="H762" s="1" t="s">
        <v>1812</v>
      </c>
      <c r="I762" s="10" t="str">
        <f>IF(H762="T71",1,IF(H762="T71",3,IF(H762="T87",6,IF(H762="T87",10,IF(H762="T119",14,IF(H762="T119",18,IF(H762="T87",22,"")))))))</f>
        <v/>
      </c>
      <c r="J762" s="1" t="s">
        <v>1808</v>
      </c>
      <c r="K762" s="10">
        <v>2</v>
      </c>
      <c r="L762" s="10">
        <v>1</v>
      </c>
      <c r="O762" s="6"/>
      <c r="Q762" s="42" t="s">
        <v>2962</v>
      </c>
      <c r="R762" s="42"/>
      <c r="S762" s="1"/>
    </row>
    <row r="763" spans="1:19" ht="18.75" hidden="1" customHeight="1" x14ac:dyDescent="0.3">
      <c r="A763" s="10">
        <v>762</v>
      </c>
      <c r="B763" s="10">
        <f>_xlfn.XLOOKUP(1,(VALUE(D763)&gt;=VALUE(block!$C$3:$C$500))*(VALUE(D763)&lt;VALUE(block!$C$3:$C$500)+VALUE(block!$D$3:$D$500)),block!$A$3:$A$500,"无匹配",0,1)</f>
        <v>19</v>
      </c>
      <c r="C763" s="3" t="str">
        <f>B763 &amp; "-" &amp; COUNTIF($B$2:B763, B763)</f>
        <v>19-28</v>
      </c>
      <c r="D763" s="10">
        <v>10216</v>
      </c>
      <c r="E763" s="1" t="s">
        <v>3211</v>
      </c>
      <c r="F763" s="1" t="s">
        <v>3212</v>
      </c>
      <c r="G763" s="1" t="s">
        <v>1840</v>
      </c>
      <c r="H763" s="1" t="s">
        <v>1812</v>
      </c>
      <c r="I763" s="10" t="str">
        <f>IF(H763="T72",1,IF(H763="T72",3,IF(H763="T88",6,IF(H763="T88",10,IF(H763="T120",14,IF(H763="T120",18,IF(H763="T88",22,"")))))))</f>
        <v/>
      </c>
      <c r="J763" s="1" t="s">
        <v>1808</v>
      </c>
      <c r="K763" s="10">
        <v>2</v>
      </c>
      <c r="L763" s="10">
        <v>1</v>
      </c>
      <c r="O763" s="6"/>
      <c r="Q763" s="42" t="s">
        <v>2962</v>
      </c>
      <c r="R763" s="42"/>
      <c r="S763" s="1"/>
    </row>
    <row r="764" spans="1:19" ht="18.75" hidden="1" customHeight="1" x14ac:dyDescent="0.3">
      <c r="A764" s="10">
        <v>763</v>
      </c>
      <c r="B764" s="10">
        <f>_xlfn.XLOOKUP(1,(VALUE(D764)&gt;=VALUE(block!$C$3:$C$500))*(VALUE(D764)&lt;VALUE(block!$C$3:$C$500)+VALUE(block!$D$3:$D$500)),block!$A$3:$A$500,"无匹配",0,1)</f>
        <v>19</v>
      </c>
      <c r="C764" s="3" t="str">
        <f>B764 &amp; "-" &amp; COUNTIF($B$2:B764, B764)</f>
        <v>19-29</v>
      </c>
      <c r="D764" s="10">
        <v>10218</v>
      </c>
      <c r="E764" s="1" t="s">
        <v>3213</v>
      </c>
      <c r="F764" s="1" t="s">
        <v>3214</v>
      </c>
      <c r="G764" s="1" t="s">
        <v>1840</v>
      </c>
      <c r="H764" s="1" t="s">
        <v>1812</v>
      </c>
      <c r="I764" s="10" t="str">
        <f>IF(H764="T73",1,IF(H764="T73",3,IF(H764="T89",6,IF(H764="T89",10,IF(H764="T121",14,IF(H764="T121",18,IF(H764="T89",22,"")))))))</f>
        <v/>
      </c>
      <c r="J764" s="1" t="s">
        <v>1808</v>
      </c>
      <c r="K764" s="10">
        <v>2</v>
      </c>
      <c r="L764" s="10">
        <v>1</v>
      </c>
      <c r="O764" s="6"/>
      <c r="Q764" s="42" t="s">
        <v>2962</v>
      </c>
      <c r="R764" s="42"/>
      <c r="S764" s="1"/>
    </row>
    <row r="765" spans="1:19" ht="18.75" hidden="1" customHeight="1" x14ac:dyDescent="0.3">
      <c r="A765" s="10">
        <v>764</v>
      </c>
      <c r="B765" s="10">
        <f>_xlfn.XLOOKUP(1,(VALUE(D765)&gt;=VALUE(block!$C$3:$C$500))*(VALUE(D765)&lt;VALUE(block!$C$3:$C$500)+VALUE(block!$D$3:$D$500)),block!$A$3:$A$500,"无匹配",0,1)</f>
        <v>19</v>
      </c>
      <c r="C765" s="3" t="str">
        <f>B765 &amp; "-" &amp; COUNTIF($B$2:B765, B765)</f>
        <v>19-30</v>
      </c>
      <c r="D765" s="10">
        <v>10220</v>
      </c>
      <c r="E765" s="1" t="s">
        <v>3215</v>
      </c>
      <c r="F765" s="1" t="s">
        <v>3216</v>
      </c>
      <c r="G765" s="1" t="s">
        <v>1840</v>
      </c>
      <c r="H765" s="1" t="s">
        <v>1812</v>
      </c>
      <c r="I765" s="10" t="str">
        <f>IF(H765="T74",1,IF(H765="T74",3,IF(H765="T90",6,IF(H765="T90",10,IF(H765="T122",14,IF(H765="T122",18,IF(H765="T90",22,"")))))))</f>
        <v/>
      </c>
      <c r="J765" s="1" t="s">
        <v>1808</v>
      </c>
      <c r="K765" s="10">
        <v>2</v>
      </c>
      <c r="L765" s="10">
        <v>1</v>
      </c>
      <c r="O765" s="6"/>
      <c r="Q765" s="42" t="s">
        <v>2962</v>
      </c>
      <c r="R765" s="42"/>
      <c r="S765" s="1"/>
    </row>
    <row r="766" spans="1:19" ht="18.75" hidden="1" customHeight="1" x14ac:dyDescent="0.3">
      <c r="A766" s="10">
        <v>765</v>
      </c>
      <c r="B766" s="10">
        <f>_xlfn.XLOOKUP(1,(VALUE(D766)&gt;=VALUE(block!$C$3:$C$500))*(VALUE(D766)&lt;VALUE(block!$C$3:$C$500)+VALUE(block!$D$3:$D$500)),block!$A$3:$A$500,"无匹配",0,1)</f>
        <v>19</v>
      </c>
      <c r="C766" s="3" t="str">
        <f>B766 &amp; "-" &amp; COUNTIF($B$2:B766, B766)</f>
        <v>19-31</v>
      </c>
      <c r="D766" s="10">
        <v>10222</v>
      </c>
      <c r="E766" s="1" t="s">
        <v>3217</v>
      </c>
      <c r="F766" s="1" t="s">
        <v>3218</v>
      </c>
      <c r="G766" s="1" t="s">
        <v>1840</v>
      </c>
      <c r="H766" s="1" t="s">
        <v>1812</v>
      </c>
      <c r="I766" s="10" t="str">
        <f>IF(H766="T75",1,IF(H766="T75",3,IF(H766="T91",6,IF(H766="T91",10,IF(H766="T123",14,IF(H766="T123",18,IF(H766="T91",22,"")))))))</f>
        <v/>
      </c>
      <c r="J766" s="1" t="s">
        <v>1808</v>
      </c>
      <c r="K766" s="10">
        <v>2</v>
      </c>
      <c r="L766" s="10">
        <v>1</v>
      </c>
      <c r="O766" s="6"/>
      <c r="Q766" s="42" t="s">
        <v>2962</v>
      </c>
      <c r="R766" s="42"/>
      <c r="S766" s="1"/>
    </row>
    <row r="767" spans="1:19" ht="18.75" hidden="1" customHeight="1" x14ac:dyDescent="0.3">
      <c r="A767" s="10">
        <v>766</v>
      </c>
      <c r="B767" s="10">
        <f>_xlfn.XLOOKUP(1,(VALUE(D767)&gt;=VALUE(block!$C$3:$C$500))*(VALUE(D767)&lt;VALUE(block!$C$3:$C$500)+VALUE(block!$D$3:$D$500)),block!$A$3:$A$500,"无匹配",0,1)</f>
        <v>19</v>
      </c>
      <c r="C767" s="3" t="str">
        <f>B767 &amp; "-" &amp; COUNTIF($B$2:B767, B767)</f>
        <v>19-32</v>
      </c>
      <c r="D767" s="10">
        <v>10224</v>
      </c>
      <c r="E767" s="1" t="s">
        <v>3219</v>
      </c>
      <c r="F767" s="1" t="s">
        <v>3220</v>
      </c>
      <c r="G767" s="1" t="s">
        <v>1840</v>
      </c>
      <c r="H767" s="1" t="s">
        <v>1812</v>
      </c>
      <c r="I767" s="10" t="str">
        <f>IF(H767="T76",1,IF(H767="T76",3,IF(H767="T92",6,IF(H767="T92",10,IF(H767="T124",14,IF(H767="T124",18,IF(H767="T92",22,"")))))))</f>
        <v/>
      </c>
      <c r="J767" s="1" t="s">
        <v>1808</v>
      </c>
      <c r="K767" s="10">
        <v>2</v>
      </c>
      <c r="L767" s="10">
        <v>1</v>
      </c>
      <c r="O767" s="6"/>
      <c r="Q767" s="42" t="s">
        <v>2962</v>
      </c>
      <c r="R767" s="42"/>
      <c r="S767" s="1"/>
    </row>
    <row r="768" spans="1:19" ht="18.75" hidden="1" customHeight="1" x14ac:dyDescent="0.3">
      <c r="A768" s="10">
        <v>767</v>
      </c>
      <c r="B768" s="10">
        <f>_xlfn.XLOOKUP(1,(VALUE(D768)&gt;=VALUE(block!$C$3:$C$500))*(VALUE(D768)&lt;VALUE(block!$C$3:$C$500)+VALUE(block!$D$3:$D$500)),block!$A$3:$A$500,"无匹配",0,1)</f>
        <v>19</v>
      </c>
      <c r="C768" s="3" t="str">
        <f>B768 &amp; "-" &amp; COUNTIF($B$2:B768, B768)</f>
        <v>19-33</v>
      </c>
      <c r="D768" s="10">
        <v>10226</v>
      </c>
      <c r="E768" s="1" t="s">
        <v>3221</v>
      </c>
      <c r="F768" s="1" t="s">
        <v>3222</v>
      </c>
      <c r="G768" s="1" t="s">
        <v>1840</v>
      </c>
      <c r="H768" s="1" t="s">
        <v>1812</v>
      </c>
      <c r="I768" s="10" t="str">
        <f>IF(H768="T77",1,IF(H768="T77",3,IF(H768="T93",6,IF(H768="T93",10,IF(H768="T125",14,IF(H768="T125",18,IF(H768="T93",22,"")))))))</f>
        <v/>
      </c>
      <c r="J768" s="1" t="s">
        <v>1808</v>
      </c>
      <c r="K768" s="10">
        <v>2</v>
      </c>
      <c r="L768" s="10">
        <v>1</v>
      </c>
      <c r="O768" s="6"/>
      <c r="Q768" s="42" t="s">
        <v>2962</v>
      </c>
      <c r="R768" s="42"/>
      <c r="S768" s="1"/>
    </row>
    <row r="769" spans="1:19" ht="18.75" hidden="1" customHeight="1" x14ac:dyDescent="0.3">
      <c r="A769" s="10">
        <v>768</v>
      </c>
      <c r="B769" s="10">
        <f>_xlfn.XLOOKUP(1,(VALUE(D769)&gt;=VALUE(block!$C$3:$C$500))*(VALUE(D769)&lt;VALUE(block!$C$3:$C$500)+VALUE(block!$D$3:$D$500)),block!$A$3:$A$500,"无匹配",0,1)</f>
        <v>19</v>
      </c>
      <c r="C769" s="3" t="str">
        <f>B769 &amp; "-" &amp; COUNTIF($B$2:B769, B769)</f>
        <v>19-34</v>
      </c>
      <c r="D769" s="10">
        <v>10228</v>
      </c>
      <c r="E769" s="1" t="s">
        <v>3223</v>
      </c>
      <c r="F769" s="1" t="s">
        <v>3224</v>
      </c>
      <c r="G769" s="1" t="s">
        <v>1840</v>
      </c>
      <c r="H769" s="1" t="s">
        <v>1812</v>
      </c>
      <c r="I769" s="10" t="str">
        <f>IF(H769="T78",1,IF(H769="T78",3,IF(H769="T94",6,IF(H769="T94",10,IF(H769="T126",14,IF(H769="T126",18,IF(H769="T94",22,"")))))))</f>
        <v/>
      </c>
      <c r="J769" s="1" t="s">
        <v>1808</v>
      </c>
      <c r="K769" s="10">
        <v>2</v>
      </c>
      <c r="L769" s="10">
        <v>1</v>
      </c>
      <c r="O769" s="6"/>
      <c r="Q769" s="42" t="s">
        <v>2962</v>
      </c>
      <c r="R769" s="42"/>
      <c r="S769" s="1"/>
    </row>
    <row r="770" spans="1:19" ht="18.75" customHeight="1" x14ac:dyDescent="0.3">
      <c r="A770" s="10">
        <v>769</v>
      </c>
      <c r="B770" s="10">
        <f>_xlfn.XLOOKUP(1,(VALUE(D770)&gt;=VALUE(block!$C$3:$C$500))*(VALUE(D770)&lt;VALUE(block!$C$3:$C$500)+VALUE(block!$D$3:$D$500)),block!$A$3:$A$500,"无匹配",0,1)</f>
        <v>20</v>
      </c>
      <c r="C770" s="3" t="str">
        <f>B770 &amp; "-" &amp; COUNTIF($B$2:B770, B770)</f>
        <v>20-1</v>
      </c>
      <c r="D770" s="10">
        <v>10230</v>
      </c>
      <c r="E770" s="1" t="s">
        <v>3225</v>
      </c>
      <c r="F770" s="1" t="s">
        <v>3226</v>
      </c>
      <c r="G770" s="1" t="s">
        <v>1840</v>
      </c>
      <c r="H770" s="1" t="s">
        <v>1812</v>
      </c>
      <c r="I770" s="10" t="str">
        <f>IF(H770="T79",1,IF(H770="T79",3,IF(H770="T95",6,IF(H770="T95",10,IF(H770="T127",14,IF(H770="T127",18,IF(H770="T95",22,"")))))))</f>
        <v/>
      </c>
      <c r="J770" s="1" t="s">
        <v>1808</v>
      </c>
      <c r="K770" s="10">
        <v>2</v>
      </c>
      <c r="L770" s="10">
        <v>1</v>
      </c>
      <c r="N770" s="10">
        <v>4</v>
      </c>
      <c r="O770" s="6"/>
      <c r="P770" s="45" t="s">
        <v>2826</v>
      </c>
      <c r="Q770" s="6">
        <v>14</v>
      </c>
      <c r="R770" s="6"/>
      <c r="S770" s="1" t="s">
        <v>3226</v>
      </c>
    </row>
    <row r="771" spans="1:19" ht="18.75" customHeight="1" x14ac:dyDescent="0.3">
      <c r="A771" s="10">
        <v>770</v>
      </c>
      <c r="B771" s="10">
        <f>_xlfn.XLOOKUP(1,(VALUE(D771)&gt;=VALUE(block!$C$3:$C$500))*(VALUE(D771)&lt;VALUE(block!$C$3:$C$500)+VALUE(block!$D$3:$D$500)),block!$A$3:$A$500,"无匹配",0,1)</f>
        <v>20</v>
      </c>
      <c r="C771" s="3" t="str">
        <f>B771 &amp; "-" &amp; COUNTIF($B$2:B771, B771)</f>
        <v>20-2</v>
      </c>
      <c r="D771" s="10">
        <v>10232</v>
      </c>
      <c r="E771" s="1" t="s">
        <v>3227</v>
      </c>
      <c r="F771" s="1" t="s">
        <v>3228</v>
      </c>
      <c r="G771" s="1" t="s">
        <v>1840</v>
      </c>
      <c r="H771" s="1" t="s">
        <v>1812</v>
      </c>
      <c r="I771" s="10">
        <f>IF(H771="uint16",1,IF(H771="int16",3,IF(H771="uint32",6,IF(H771="int32",10,IF(H771="uint64",14,IF(H771="int64",18,IF(H771="float32",22,"")))))))</f>
        <v>22</v>
      </c>
      <c r="J771" s="1" t="s">
        <v>1808</v>
      </c>
      <c r="K771" s="10">
        <v>2</v>
      </c>
      <c r="L771" s="10">
        <v>1</v>
      </c>
      <c r="N771" s="10">
        <v>4</v>
      </c>
      <c r="O771" s="6"/>
      <c r="P771" s="45" t="s">
        <v>2826</v>
      </c>
      <c r="Q771" s="6">
        <v>14</v>
      </c>
      <c r="R771" s="6"/>
      <c r="S771" s="1" t="s">
        <v>3228</v>
      </c>
    </row>
    <row r="772" spans="1:19" ht="18.75" customHeight="1" x14ac:dyDescent="0.3">
      <c r="A772" s="10">
        <v>771</v>
      </c>
      <c r="B772" s="10">
        <f>_xlfn.XLOOKUP(1,(VALUE(D772)&gt;=VALUE(block!$C$3:$C$500))*(VALUE(D772)&lt;VALUE(block!$C$3:$C$500)+VALUE(block!$D$3:$D$500)),block!$A$3:$A$500,"无匹配",0,1)</f>
        <v>20</v>
      </c>
      <c r="C772" s="3" t="str">
        <f>B772 &amp; "-" &amp; COUNTIF($B$2:B772, B772)</f>
        <v>20-3</v>
      </c>
      <c r="D772" s="10">
        <v>10234</v>
      </c>
      <c r="E772" s="1" t="s">
        <v>3229</v>
      </c>
      <c r="F772" s="1" t="s">
        <v>3230</v>
      </c>
      <c r="G772" s="1" t="s">
        <v>1840</v>
      </c>
      <c r="H772" s="1" t="s">
        <v>1812</v>
      </c>
      <c r="I772" s="10" t="str">
        <f>IF(H772="T17",1,IF(H772="T17",3,IF(H772="T33",6,IF(H772="T33",10,IF(H772="T65",14,IF(H772="T65",18,IF(H772="T33",22,"")))))))</f>
        <v/>
      </c>
      <c r="J772" s="1" t="s">
        <v>1808</v>
      </c>
      <c r="K772" s="10">
        <v>2</v>
      </c>
      <c r="L772" s="10">
        <v>1</v>
      </c>
      <c r="N772" s="10">
        <v>4</v>
      </c>
      <c r="O772" s="6"/>
      <c r="P772" s="45" t="s">
        <v>2826</v>
      </c>
      <c r="Q772" s="6">
        <v>14</v>
      </c>
      <c r="R772" s="6"/>
      <c r="S772" s="1" t="s">
        <v>3230</v>
      </c>
    </row>
    <row r="773" spans="1:19" ht="18.75" customHeight="1" x14ac:dyDescent="0.3">
      <c r="A773" s="10">
        <v>772</v>
      </c>
      <c r="B773" s="10">
        <f>_xlfn.XLOOKUP(1,(VALUE(D773)&gt;=VALUE(block!$C$3:$C$500))*(VALUE(D773)&lt;VALUE(block!$C$3:$C$500)+VALUE(block!$D$3:$D$500)),block!$A$3:$A$500,"无匹配",0,1)</f>
        <v>20</v>
      </c>
      <c r="C773" s="3" t="str">
        <f>B773 &amp; "-" &amp; COUNTIF($B$2:B773, B773)</f>
        <v>20-4</v>
      </c>
      <c r="D773" s="10">
        <v>10236</v>
      </c>
      <c r="E773" s="1" t="s">
        <v>3231</v>
      </c>
      <c r="F773" s="1" t="s">
        <v>3232</v>
      </c>
      <c r="G773" s="1" t="s">
        <v>1840</v>
      </c>
      <c r="H773" s="1" t="s">
        <v>1812</v>
      </c>
      <c r="I773" s="10" t="str">
        <f>IF(H773="T18",1,IF(H773="T18",3,IF(H773="T34",6,IF(H773="T34",10,IF(H773="T66",14,IF(H773="T66",18,IF(H773="T34",22,"")))))))</f>
        <v/>
      </c>
      <c r="J773" s="1" t="s">
        <v>1808</v>
      </c>
      <c r="K773" s="10">
        <v>2</v>
      </c>
      <c r="L773" s="10">
        <v>1</v>
      </c>
      <c r="N773" s="10">
        <v>4</v>
      </c>
      <c r="O773" s="6"/>
      <c r="P773" s="45" t="s">
        <v>2826</v>
      </c>
      <c r="Q773" s="6">
        <v>14</v>
      </c>
      <c r="R773" s="6"/>
      <c r="S773" s="1" t="s">
        <v>3232</v>
      </c>
    </row>
    <row r="774" spans="1:19" ht="18.75" hidden="1" customHeight="1" x14ac:dyDescent="0.3">
      <c r="A774" s="10">
        <v>773</v>
      </c>
      <c r="B774" s="10">
        <f>_xlfn.XLOOKUP(1,(VALUE(D774)&gt;=VALUE(block!$C$3:$C$500))*(VALUE(D774)&lt;VALUE(block!$C$3:$C$500)+VALUE(block!$D$3:$D$500)),block!$A$3:$A$500,"无匹配",0,1)</f>
        <v>20</v>
      </c>
      <c r="C774" s="3" t="str">
        <f>B774 &amp; "-" &amp; COUNTIF($B$2:B774, B774)</f>
        <v>20-5</v>
      </c>
      <c r="D774" s="10">
        <v>10238</v>
      </c>
      <c r="E774" s="1" t="s">
        <v>3233</v>
      </c>
      <c r="F774" s="1" t="s">
        <v>3234</v>
      </c>
      <c r="G774" s="1" t="s">
        <v>1840</v>
      </c>
      <c r="H774" s="1" t="s">
        <v>1812</v>
      </c>
      <c r="I774" s="10" t="str">
        <f>IF(H774="T19",1,IF(H774="T19",3,IF(H774="T35",6,IF(H774="T35",10,IF(H774="T67",14,IF(H774="T67",18,IF(H774="T35",22,"")))))))</f>
        <v/>
      </c>
      <c r="J774" s="1" t="s">
        <v>1808</v>
      </c>
      <c r="K774" s="10">
        <v>2</v>
      </c>
      <c r="L774" s="10">
        <v>1</v>
      </c>
      <c r="O774" s="6"/>
      <c r="Q774" s="42" t="s">
        <v>2962</v>
      </c>
      <c r="R774" s="42"/>
      <c r="S774" s="1"/>
    </row>
    <row r="775" spans="1:19" ht="18.75" hidden="1" customHeight="1" x14ac:dyDescent="0.3">
      <c r="A775" s="10">
        <v>774</v>
      </c>
      <c r="B775" s="10">
        <f>_xlfn.XLOOKUP(1,(VALUE(D775)&gt;=VALUE(block!$C$3:$C$500))*(VALUE(D775)&lt;VALUE(block!$C$3:$C$500)+VALUE(block!$D$3:$D$500)),block!$A$3:$A$500,"无匹配",0,1)</f>
        <v>20</v>
      </c>
      <c r="C775" s="3" t="str">
        <f>B775 &amp; "-" &amp; COUNTIF($B$2:B775, B775)</f>
        <v>20-6</v>
      </c>
      <c r="D775" s="10">
        <v>10240</v>
      </c>
      <c r="E775" s="1" t="s">
        <v>3235</v>
      </c>
      <c r="F775" s="1" t="s">
        <v>3236</v>
      </c>
      <c r="G775" s="1" t="s">
        <v>1840</v>
      </c>
      <c r="H775" s="1" t="s">
        <v>1812</v>
      </c>
      <c r="I775" s="10" t="str">
        <f>IF(H775="T20",1,IF(H775="T20",3,IF(H775="T36",6,IF(H775="T36",10,IF(H775="T68",14,IF(H775="T68",18,IF(H775="T36",22,"")))))))</f>
        <v/>
      </c>
      <c r="J775" s="1" t="s">
        <v>1808</v>
      </c>
      <c r="K775" s="10">
        <v>2</v>
      </c>
      <c r="L775" s="10">
        <v>1</v>
      </c>
      <c r="O775" s="6"/>
      <c r="Q775" s="42" t="s">
        <v>2962</v>
      </c>
      <c r="R775" s="42"/>
      <c r="S775" s="1"/>
    </row>
    <row r="776" spans="1:19" ht="18.75" hidden="1" customHeight="1" x14ac:dyDescent="0.3">
      <c r="A776" s="10">
        <v>775</v>
      </c>
      <c r="B776" s="10">
        <f>_xlfn.XLOOKUP(1,(VALUE(D776)&gt;=VALUE(block!$C$3:$C$500))*(VALUE(D776)&lt;VALUE(block!$C$3:$C$500)+VALUE(block!$D$3:$D$500)),block!$A$3:$A$500,"无匹配",0,1)</f>
        <v>20</v>
      </c>
      <c r="C776" s="3" t="str">
        <f>B776 &amp; "-" &amp; COUNTIF($B$2:B776, B776)</f>
        <v>20-7</v>
      </c>
      <c r="D776" s="10">
        <v>10242</v>
      </c>
      <c r="E776" s="1" t="s">
        <v>3237</v>
      </c>
      <c r="F776" s="1" t="s">
        <v>3238</v>
      </c>
      <c r="G776" s="1" t="s">
        <v>1840</v>
      </c>
      <c r="H776" s="1" t="s">
        <v>1812</v>
      </c>
      <c r="I776" s="10" t="str">
        <f>IF(H776="T21",1,IF(H776="T21",3,IF(H776="T37",6,IF(H776="T37",10,IF(H776="T69",14,IF(H776="T69",18,IF(H776="T37",22,"")))))))</f>
        <v/>
      </c>
      <c r="J776" s="1" t="s">
        <v>1808</v>
      </c>
      <c r="K776" s="10">
        <v>2</v>
      </c>
      <c r="L776" s="10">
        <v>1</v>
      </c>
      <c r="O776" s="6"/>
      <c r="Q776" s="42" t="s">
        <v>2962</v>
      </c>
      <c r="R776" s="42"/>
      <c r="S776" s="1"/>
    </row>
    <row r="777" spans="1:19" ht="18.75" hidden="1" customHeight="1" x14ac:dyDescent="0.3">
      <c r="A777" s="10">
        <v>776</v>
      </c>
      <c r="B777" s="10">
        <f>_xlfn.XLOOKUP(1,(VALUE(D777)&gt;=VALUE(block!$C$3:$C$500))*(VALUE(D777)&lt;VALUE(block!$C$3:$C$500)+VALUE(block!$D$3:$D$500)),block!$A$3:$A$500,"无匹配",0,1)</f>
        <v>20</v>
      </c>
      <c r="C777" s="3" t="str">
        <f>B777 &amp; "-" &amp; COUNTIF($B$2:B777, B777)</f>
        <v>20-8</v>
      </c>
      <c r="D777" s="10">
        <v>10244</v>
      </c>
      <c r="E777" s="1" t="s">
        <v>3239</v>
      </c>
      <c r="F777" s="1" t="s">
        <v>3240</v>
      </c>
      <c r="G777" s="1" t="s">
        <v>1840</v>
      </c>
      <c r="H777" s="1" t="s">
        <v>1812</v>
      </c>
      <c r="I777" s="10" t="str">
        <f>IF(H777="T22",1,IF(H777="T22",3,IF(H777="T38",6,IF(H777="T38",10,IF(H777="T70",14,IF(H777="T70",18,IF(H777="T38",22,"")))))))</f>
        <v/>
      </c>
      <c r="J777" s="1" t="s">
        <v>1808</v>
      </c>
      <c r="K777" s="10">
        <v>2</v>
      </c>
      <c r="L777" s="10">
        <v>1</v>
      </c>
      <c r="O777" s="6"/>
      <c r="Q777" s="42" t="s">
        <v>2962</v>
      </c>
      <c r="R777" s="42"/>
      <c r="S777" s="1"/>
    </row>
    <row r="778" spans="1:19" ht="18.75" hidden="1" customHeight="1" x14ac:dyDescent="0.3">
      <c r="A778" s="10">
        <v>777</v>
      </c>
      <c r="B778" s="10">
        <f>_xlfn.XLOOKUP(1,(VALUE(D778)&gt;=VALUE(block!$C$3:$C$500))*(VALUE(D778)&lt;VALUE(block!$C$3:$C$500)+VALUE(block!$D$3:$D$500)),block!$A$3:$A$500,"无匹配",0,1)</f>
        <v>20</v>
      </c>
      <c r="C778" s="3" t="str">
        <f>B778 &amp; "-" &amp; COUNTIF($B$2:B778, B778)</f>
        <v>20-9</v>
      </c>
      <c r="D778" s="10">
        <v>10246</v>
      </c>
      <c r="E778" s="1" t="s">
        <v>3241</v>
      </c>
      <c r="F778" s="1" t="s">
        <v>3242</v>
      </c>
      <c r="G778" s="1" t="s">
        <v>1840</v>
      </c>
      <c r="H778" s="1" t="s">
        <v>1812</v>
      </c>
      <c r="I778" s="10" t="str">
        <f>IF(H778="T23",1,IF(H778="T23",3,IF(H778="T39",6,IF(H778="T39",10,IF(H778="T71",14,IF(H778="T71",18,IF(H778="T39",22,"")))))))</f>
        <v/>
      </c>
      <c r="J778" s="1" t="s">
        <v>1808</v>
      </c>
      <c r="K778" s="10">
        <v>2</v>
      </c>
      <c r="L778" s="10">
        <v>1</v>
      </c>
      <c r="O778" s="6"/>
      <c r="Q778" s="42" t="s">
        <v>2962</v>
      </c>
      <c r="R778" s="42"/>
      <c r="S778" s="1"/>
    </row>
    <row r="779" spans="1:19" ht="18.75" hidden="1" customHeight="1" x14ac:dyDescent="0.3">
      <c r="A779" s="10">
        <v>778</v>
      </c>
      <c r="B779" s="10">
        <f>_xlfn.XLOOKUP(1,(VALUE(D779)&gt;=VALUE(block!$C$3:$C$500))*(VALUE(D779)&lt;VALUE(block!$C$3:$C$500)+VALUE(block!$D$3:$D$500)),block!$A$3:$A$500,"无匹配",0,1)</f>
        <v>20</v>
      </c>
      <c r="C779" s="3" t="str">
        <f>B779 &amp; "-" &amp; COUNTIF($B$2:B779, B779)</f>
        <v>20-10</v>
      </c>
      <c r="D779" s="10">
        <v>10248</v>
      </c>
      <c r="E779" s="1" t="s">
        <v>3243</v>
      </c>
      <c r="F779" s="1" t="s">
        <v>3244</v>
      </c>
      <c r="G779" s="1" t="s">
        <v>1840</v>
      </c>
      <c r="H779" s="1" t="s">
        <v>1812</v>
      </c>
      <c r="I779" s="10" t="str">
        <f>IF(H779="T24",1,IF(H779="T24",3,IF(H779="T40",6,IF(H779="T40",10,IF(H779="T72",14,IF(H779="T72",18,IF(H779="T40",22,"")))))))</f>
        <v/>
      </c>
      <c r="J779" s="1" t="s">
        <v>1808</v>
      </c>
      <c r="K779" s="10">
        <v>2</v>
      </c>
      <c r="L779" s="10">
        <v>1</v>
      </c>
      <c r="O779" s="6"/>
      <c r="Q779" s="42" t="s">
        <v>2962</v>
      </c>
      <c r="R779" s="42"/>
      <c r="S779" s="1"/>
    </row>
    <row r="780" spans="1:19" ht="18.75" hidden="1" customHeight="1" x14ac:dyDescent="0.3">
      <c r="A780" s="10">
        <v>779</v>
      </c>
      <c r="B780" s="10">
        <f>_xlfn.XLOOKUP(1,(VALUE(D780)&gt;=VALUE(block!$C$3:$C$500))*(VALUE(D780)&lt;VALUE(block!$C$3:$C$500)+VALUE(block!$D$3:$D$500)),block!$A$3:$A$500,"无匹配",0,1)</f>
        <v>20</v>
      </c>
      <c r="C780" s="3" t="str">
        <f>B780 &amp; "-" &amp; COUNTIF($B$2:B780, B780)</f>
        <v>20-11</v>
      </c>
      <c r="D780" s="10">
        <v>10250</v>
      </c>
      <c r="E780" s="1" t="s">
        <v>3245</v>
      </c>
      <c r="F780" s="1" t="s">
        <v>3246</v>
      </c>
      <c r="G780" s="1" t="s">
        <v>1840</v>
      </c>
      <c r="H780" s="1" t="s">
        <v>1812</v>
      </c>
      <c r="I780" s="10" t="str">
        <f>IF(H780="T25",1,IF(H780="T25",3,IF(H780="T41",6,IF(H780="T41",10,IF(H780="T73",14,IF(H780="T73",18,IF(H780="T41",22,"")))))))</f>
        <v/>
      </c>
      <c r="J780" s="1" t="s">
        <v>1808</v>
      </c>
      <c r="K780" s="10">
        <v>2</v>
      </c>
      <c r="L780" s="10">
        <v>1</v>
      </c>
      <c r="O780" s="6"/>
      <c r="Q780" s="42" t="s">
        <v>2962</v>
      </c>
      <c r="R780" s="42"/>
      <c r="S780" s="1"/>
    </row>
    <row r="781" spans="1:19" ht="18.75" hidden="1" customHeight="1" x14ac:dyDescent="0.3">
      <c r="A781" s="10">
        <v>780</v>
      </c>
      <c r="B781" s="10">
        <f>_xlfn.XLOOKUP(1,(VALUE(D781)&gt;=VALUE(block!$C$3:$C$500))*(VALUE(D781)&lt;VALUE(block!$C$3:$C$500)+VALUE(block!$D$3:$D$500)),block!$A$3:$A$500,"无匹配",0,1)</f>
        <v>20</v>
      </c>
      <c r="C781" s="3" t="str">
        <f>B781 &amp; "-" &amp; COUNTIF($B$2:B781, B781)</f>
        <v>20-12</v>
      </c>
      <c r="D781" s="10">
        <v>10252</v>
      </c>
      <c r="E781" s="1" t="s">
        <v>3247</v>
      </c>
      <c r="F781" s="1" t="s">
        <v>3248</v>
      </c>
      <c r="G781" s="1" t="s">
        <v>1840</v>
      </c>
      <c r="H781" s="1" t="s">
        <v>1812</v>
      </c>
      <c r="I781" s="10" t="str">
        <f>IF(H781="T26",1,IF(H781="T26",3,IF(H781="T42",6,IF(H781="T42",10,IF(H781="T74",14,IF(H781="T74",18,IF(H781="T42",22,"")))))))</f>
        <v/>
      </c>
      <c r="J781" s="1" t="s">
        <v>1808</v>
      </c>
      <c r="K781" s="10">
        <v>2</v>
      </c>
      <c r="L781" s="10">
        <v>1</v>
      </c>
      <c r="O781" s="6"/>
      <c r="Q781" s="42" t="s">
        <v>2962</v>
      </c>
      <c r="R781" s="42"/>
      <c r="S781" s="1"/>
    </row>
    <row r="782" spans="1:19" ht="18.75" hidden="1" customHeight="1" x14ac:dyDescent="0.3">
      <c r="A782" s="10">
        <v>781</v>
      </c>
      <c r="B782" s="10">
        <f>_xlfn.XLOOKUP(1,(VALUE(D782)&gt;=VALUE(block!$C$3:$C$500))*(VALUE(D782)&lt;VALUE(block!$C$3:$C$500)+VALUE(block!$D$3:$D$500)),block!$A$3:$A$500,"无匹配",0,1)</f>
        <v>20</v>
      </c>
      <c r="C782" s="3" t="str">
        <f>B782 &amp; "-" &amp; COUNTIF($B$2:B782, B782)</f>
        <v>20-13</v>
      </c>
      <c r="D782" s="10">
        <v>10254</v>
      </c>
      <c r="E782" s="1" t="s">
        <v>3249</v>
      </c>
      <c r="F782" s="1" t="s">
        <v>3250</v>
      </c>
      <c r="G782" s="1" t="s">
        <v>1840</v>
      </c>
      <c r="H782" s="1" t="s">
        <v>1812</v>
      </c>
      <c r="I782" s="10" t="str">
        <f>IF(H782="T27",1,IF(H782="T27",3,IF(H782="T43",6,IF(H782="T43",10,IF(H782="T75",14,IF(H782="T75",18,IF(H782="T43",22,"")))))))</f>
        <v/>
      </c>
      <c r="J782" s="1" t="s">
        <v>1808</v>
      </c>
      <c r="K782" s="10">
        <v>2</v>
      </c>
      <c r="L782" s="10">
        <v>1</v>
      </c>
      <c r="O782" s="6"/>
      <c r="Q782" s="42" t="s">
        <v>2962</v>
      </c>
      <c r="R782" s="42"/>
      <c r="S782" s="1"/>
    </row>
    <row r="783" spans="1:19" ht="18.75" hidden="1" customHeight="1" x14ac:dyDescent="0.3">
      <c r="A783" s="10">
        <v>782</v>
      </c>
      <c r="B783" s="10">
        <f>_xlfn.XLOOKUP(1,(VALUE(D783)&gt;=VALUE(block!$C$3:$C$500))*(VALUE(D783)&lt;VALUE(block!$C$3:$C$500)+VALUE(block!$D$3:$D$500)),block!$A$3:$A$500,"无匹配",0,1)</f>
        <v>20</v>
      </c>
      <c r="C783" s="3" t="str">
        <f>B783 &amp; "-" &amp; COUNTIF($B$2:B783, B783)</f>
        <v>20-14</v>
      </c>
      <c r="D783" s="10">
        <v>10256</v>
      </c>
      <c r="E783" s="1" t="s">
        <v>3251</v>
      </c>
      <c r="F783" s="1" t="s">
        <v>3252</v>
      </c>
      <c r="G783" s="1" t="s">
        <v>1840</v>
      </c>
      <c r="H783" s="1" t="s">
        <v>1812</v>
      </c>
      <c r="I783" s="10" t="str">
        <f>IF(H783="T28",1,IF(H783="T28",3,IF(H783="T44",6,IF(H783="T44",10,IF(H783="T76",14,IF(H783="T76",18,IF(H783="T44",22,"")))))))</f>
        <v/>
      </c>
      <c r="J783" s="1" t="s">
        <v>1808</v>
      </c>
      <c r="K783" s="10">
        <v>2</v>
      </c>
      <c r="L783" s="10">
        <v>1</v>
      </c>
      <c r="O783" s="6"/>
      <c r="Q783" s="42" t="s">
        <v>2962</v>
      </c>
      <c r="R783" s="42"/>
      <c r="S783" s="1"/>
    </row>
    <row r="784" spans="1:19" ht="18.75" hidden="1" customHeight="1" x14ac:dyDescent="0.3">
      <c r="A784" s="10">
        <v>783</v>
      </c>
      <c r="B784" s="10">
        <f>_xlfn.XLOOKUP(1,(VALUE(D784)&gt;=VALUE(block!$C$3:$C$500))*(VALUE(D784)&lt;VALUE(block!$C$3:$C$500)+VALUE(block!$D$3:$D$500)),block!$A$3:$A$500,"无匹配",0,1)</f>
        <v>20</v>
      </c>
      <c r="C784" s="3" t="str">
        <f>B784 &amp; "-" &amp; COUNTIF($B$2:B784, B784)</f>
        <v>20-15</v>
      </c>
      <c r="D784" s="10">
        <v>10258</v>
      </c>
      <c r="E784" s="1" t="s">
        <v>3253</v>
      </c>
      <c r="F784" s="1" t="s">
        <v>3254</v>
      </c>
      <c r="G784" s="1" t="s">
        <v>1840</v>
      </c>
      <c r="H784" s="1" t="s">
        <v>1812</v>
      </c>
      <c r="I784" s="10" t="str">
        <f>IF(H784="T29",1,IF(H784="T29",3,IF(H784="T45",6,IF(H784="T45",10,IF(H784="T77",14,IF(H784="T77",18,IF(H784="T45",22,"")))))))</f>
        <v/>
      </c>
      <c r="J784" s="1" t="s">
        <v>1808</v>
      </c>
      <c r="K784" s="10">
        <v>2</v>
      </c>
      <c r="L784" s="10">
        <v>1</v>
      </c>
      <c r="O784" s="6"/>
      <c r="Q784" s="42" t="s">
        <v>2962</v>
      </c>
      <c r="R784" s="42"/>
      <c r="S784" s="1"/>
    </row>
    <row r="785" spans="1:19" ht="18.75" hidden="1" customHeight="1" x14ac:dyDescent="0.3">
      <c r="A785" s="10">
        <v>784</v>
      </c>
      <c r="B785" s="10">
        <f>_xlfn.XLOOKUP(1,(VALUE(D785)&gt;=VALUE(block!$C$3:$C$500))*(VALUE(D785)&lt;VALUE(block!$C$3:$C$500)+VALUE(block!$D$3:$D$500)),block!$A$3:$A$500,"无匹配",0,1)</f>
        <v>20</v>
      </c>
      <c r="C785" s="3" t="str">
        <f>B785 &amp; "-" &amp; COUNTIF($B$2:B785, B785)</f>
        <v>20-16</v>
      </c>
      <c r="D785" s="10">
        <v>10260</v>
      </c>
      <c r="E785" s="1" t="s">
        <v>3255</v>
      </c>
      <c r="F785" s="1" t="s">
        <v>3256</v>
      </c>
      <c r="G785" s="1" t="s">
        <v>1840</v>
      </c>
      <c r="H785" s="1" t="s">
        <v>1812</v>
      </c>
      <c r="I785" s="10" t="str">
        <f>IF(H785="T30",1,IF(H785="T30",3,IF(H785="T46",6,IF(H785="T46",10,IF(H785="T78",14,IF(H785="T78",18,IF(H785="T46",22,"")))))))</f>
        <v/>
      </c>
      <c r="J785" s="1" t="s">
        <v>1808</v>
      </c>
      <c r="K785" s="10">
        <v>2</v>
      </c>
      <c r="L785" s="10">
        <v>1</v>
      </c>
      <c r="O785" s="6"/>
      <c r="Q785" s="42" t="s">
        <v>2962</v>
      </c>
      <c r="R785" s="42"/>
      <c r="S785" s="1"/>
    </row>
    <row r="786" spans="1:19" ht="18.75" hidden="1" customHeight="1" x14ac:dyDescent="0.3">
      <c r="A786" s="10">
        <v>785</v>
      </c>
      <c r="B786" s="10">
        <f>_xlfn.XLOOKUP(1,(VALUE(D786)&gt;=VALUE(block!$C$3:$C$500))*(VALUE(D786)&lt;VALUE(block!$C$3:$C$500)+VALUE(block!$D$3:$D$500)),block!$A$3:$A$500,"无匹配",0,1)</f>
        <v>20</v>
      </c>
      <c r="C786" s="3" t="str">
        <f>B786 &amp; "-" &amp; COUNTIF($B$2:B786, B786)</f>
        <v>20-17</v>
      </c>
      <c r="D786" s="10">
        <v>10262</v>
      </c>
      <c r="E786" s="1" t="s">
        <v>3257</v>
      </c>
      <c r="F786" s="1" t="s">
        <v>3258</v>
      </c>
      <c r="G786" s="1" t="s">
        <v>1840</v>
      </c>
      <c r="H786" s="1" t="s">
        <v>1812</v>
      </c>
      <c r="I786" s="10" t="str">
        <f>IF(H786="T31",1,IF(H786="T31",3,IF(H786="T47",6,IF(H786="T47",10,IF(H786="T79",14,IF(H786="T79",18,IF(H786="T47",22,"")))))))</f>
        <v/>
      </c>
      <c r="J786" s="1" t="s">
        <v>1808</v>
      </c>
      <c r="K786" s="10">
        <v>2</v>
      </c>
      <c r="L786" s="10">
        <v>1</v>
      </c>
      <c r="O786" s="6"/>
      <c r="Q786" s="42" t="s">
        <v>2962</v>
      </c>
      <c r="R786" s="42"/>
      <c r="S786" s="1"/>
    </row>
    <row r="787" spans="1:19" ht="18.75" hidden="1" customHeight="1" x14ac:dyDescent="0.3">
      <c r="A787" s="10">
        <v>786</v>
      </c>
      <c r="B787" s="10">
        <f>_xlfn.XLOOKUP(1,(VALUE(D787)&gt;=VALUE(block!$C$3:$C$500))*(VALUE(D787)&lt;VALUE(block!$C$3:$C$500)+VALUE(block!$D$3:$D$500)),block!$A$3:$A$500,"无匹配",0,1)</f>
        <v>20</v>
      </c>
      <c r="C787" s="3" t="str">
        <f>B787 &amp; "-" &amp; COUNTIF($B$2:B787, B787)</f>
        <v>20-18</v>
      </c>
      <c r="D787" s="10">
        <v>10264</v>
      </c>
      <c r="E787" s="1" t="s">
        <v>3259</v>
      </c>
      <c r="F787" s="1" t="s">
        <v>3260</v>
      </c>
      <c r="G787" s="1" t="s">
        <v>1840</v>
      </c>
      <c r="H787" s="1" t="s">
        <v>1812</v>
      </c>
      <c r="I787" s="10" t="str">
        <f>IF(H787="T32",1,IF(H787="T32",3,IF(H787="T48",6,IF(H787="T48",10,IF(H787="T80",14,IF(H787="T80",18,IF(H787="T48",22,"")))))))</f>
        <v/>
      </c>
      <c r="J787" s="1" t="s">
        <v>1808</v>
      </c>
      <c r="K787" s="10">
        <v>2</v>
      </c>
      <c r="L787" s="10">
        <v>1</v>
      </c>
      <c r="O787" s="6"/>
      <c r="Q787" s="42" t="s">
        <v>2962</v>
      </c>
      <c r="R787" s="42"/>
      <c r="S787" s="1"/>
    </row>
    <row r="788" spans="1:19" ht="18.75" hidden="1" customHeight="1" x14ac:dyDescent="0.3">
      <c r="A788" s="10">
        <v>787</v>
      </c>
      <c r="B788" s="10">
        <f>_xlfn.XLOOKUP(1,(VALUE(D788)&gt;=VALUE(block!$C$3:$C$500))*(VALUE(D788)&lt;VALUE(block!$C$3:$C$500)+VALUE(block!$D$3:$D$500)),block!$A$3:$A$500,"无匹配",0,1)</f>
        <v>20</v>
      </c>
      <c r="C788" s="3" t="str">
        <f>B788 &amp; "-" &amp; COUNTIF($B$2:B788, B788)</f>
        <v>20-19</v>
      </c>
      <c r="D788" s="10">
        <v>10266</v>
      </c>
      <c r="E788" s="1" t="s">
        <v>3261</v>
      </c>
      <c r="F788" s="1" t="s">
        <v>3262</v>
      </c>
      <c r="G788" s="1" t="s">
        <v>1840</v>
      </c>
      <c r="H788" s="1" t="s">
        <v>1812</v>
      </c>
      <c r="I788" s="10" t="str">
        <f>IF(H788="T33",1,IF(H788="T33",3,IF(H788="T49",6,IF(H788="T49",10,IF(H788="T81",14,IF(H788="T81",18,IF(H788="T49",22,"")))))))</f>
        <v/>
      </c>
      <c r="J788" s="1" t="s">
        <v>1808</v>
      </c>
      <c r="K788" s="10">
        <v>2</v>
      </c>
      <c r="L788" s="10">
        <v>1</v>
      </c>
      <c r="O788" s="6"/>
      <c r="Q788" s="42" t="s">
        <v>2962</v>
      </c>
      <c r="R788" s="42"/>
      <c r="S788" s="1"/>
    </row>
    <row r="789" spans="1:19" ht="18.75" hidden="1" customHeight="1" x14ac:dyDescent="0.3">
      <c r="A789" s="10">
        <v>788</v>
      </c>
      <c r="B789" s="10">
        <f>_xlfn.XLOOKUP(1,(VALUE(D789)&gt;=VALUE(block!$C$3:$C$500))*(VALUE(D789)&lt;VALUE(block!$C$3:$C$500)+VALUE(block!$D$3:$D$500)),block!$A$3:$A$500,"无匹配",0,1)</f>
        <v>20</v>
      </c>
      <c r="C789" s="3" t="str">
        <f>B789 &amp; "-" &amp; COUNTIF($B$2:B789, B789)</f>
        <v>20-20</v>
      </c>
      <c r="D789" s="10">
        <v>10268</v>
      </c>
      <c r="E789" s="1" t="s">
        <v>3263</v>
      </c>
      <c r="F789" s="1" t="s">
        <v>3264</v>
      </c>
      <c r="G789" s="1" t="s">
        <v>1840</v>
      </c>
      <c r="H789" s="1" t="s">
        <v>1812</v>
      </c>
      <c r="I789" s="10" t="str">
        <f>IF(H789="T34",1,IF(H789="T34",3,IF(H789="T50",6,IF(H789="T50",10,IF(H789="T82",14,IF(H789="T82",18,IF(H789="T50",22,"")))))))</f>
        <v/>
      </c>
      <c r="J789" s="1" t="s">
        <v>1808</v>
      </c>
      <c r="K789" s="10">
        <v>2</v>
      </c>
      <c r="L789" s="10">
        <v>1</v>
      </c>
      <c r="O789" s="6"/>
      <c r="Q789" s="42" t="s">
        <v>2962</v>
      </c>
      <c r="R789" s="42"/>
      <c r="S789" s="1"/>
    </row>
    <row r="790" spans="1:19" ht="18.75" hidden="1" customHeight="1" x14ac:dyDescent="0.3">
      <c r="A790" s="10">
        <v>789</v>
      </c>
      <c r="B790" s="10">
        <f>_xlfn.XLOOKUP(1,(VALUE(D790)&gt;=VALUE(block!$C$3:$C$500))*(VALUE(D790)&lt;VALUE(block!$C$3:$C$500)+VALUE(block!$D$3:$D$500)),block!$A$3:$A$500,"无匹配",0,1)</f>
        <v>20</v>
      </c>
      <c r="C790" s="3" t="str">
        <f>B790 &amp; "-" &amp; COUNTIF($B$2:B790, B790)</f>
        <v>20-21</v>
      </c>
      <c r="D790" s="10">
        <v>10270</v>
      </c>
      <c r="E790" s="1" t="s">
        <v>3265</v>
      </c>
      <c r="F790" s="1" t="s">
        <v>3266</v>
      </c>
      <c r="G790" s="1" t="s">
        <v>1840</v>
      </c>
      <c r="H790" s="1" t="s">
        <v>1812</v>
      </c>
      <c r="I790" s="10" t="str">
        <f>IF(H790="T35",1,IF(H790="T35",3,IF(H790="T51",6,IF(H790="T51",10,IF(H790="T83",14,IF(H790="T83",18,IF(H790="T51",22,"")))))))</f>
        <v/>
      </c>
      <c r="J790" s="1" t="s">
        <v>1808</v>
      </c>
      <c r="K790" s="10">
        <v>2</v>
      </c>
      <c r="L790" s="10">
        <v>1</v>
      </c>
      <c r="O790" s="6"/>
      <c r="Q790" s="42" t="s">
        <v>2962</v>
      </c>
      <c r="R790" s="42"/>
      <c r="S790" s="1"/>
    </row>
    <row r="791" spans="1:19" ht="18.75" hidden="1" customHeight="1" x14ac:dyDescent="0.3">
      <c r="A791" s="10">
        <v>790</v>
      </c>
      <c r="B791" s="10">
        <f>_xlfn.XLOOKUP(1,(VALUE(D791)&gt;=VALUE(block!$C$3:$C$500))*(VALUE(D791)&lt;VALUE(block!$C$3:$C$500)+VALUE(block!$D$3:$D$500)),block!$A$3:$A$500,"无匹配",0,1)</f>
        <v>20</v>
      </c>
      <c r="C791" s="3" t="str">
        <f>B791 &amp; "-" &amp; COUNTIF($B$2:B791, B791)</f>
        <v>20-22</v>
      </c>
      <c r="D791" s="10">
        <v>10272</v>
      </c>
      <c r="E791" s="1" t="s">
        <v>3267</v>
      </c>
      <c r="F791" s="1" t="s">
        <v>3268</v>
      </c>
      <c r="G791" s="1" t="s">
        <v>1840</v>
      </c>
      <c r="H791" s="1" t="s">
        <v>1812</v>
      </c>
      <c r="I791" s="10" t="str">
        <f>IF(H791="T36",1,IF(H791="T36",3,IF(H791="T52",6,IF(H791="T52",10,IF(H791="T84",14,IF(H791="T84",18,IF(H791="T52",22,"")))))))</f>
        <v/>
      </c>
      <c r="J791" s="1" t="s">
        <v>1808</v>
      </c>
      <c r="K791" s="10">
        <v>2</v>
      </c>
      <c r="L791" s="10">
        <v>1</v>
      </c>
      <c r="O791" s="6"/>
      <c r="Q791" s="42" t="s">
        <v>2962</v>
      </c>
      <c r="R791" s="42"/>
      <c r="S791" s="1"/>
    </row>
    <row r="792" spans="1:19" ht="18.75" hidden="1" customHeight="1" x14ac:dyDescent="0.3">
      <c r="A792" s="10">
        <v>791</v>
      </c>
      <c r="B792" s="10">
        <f>_xlfn.XLOOKUP(1,(VALUE(D792)&gt;=VALUE(block!$C$3:$C$500))*(VALUE(D792)&lt;VALUE(block!$C$3:$C$500)+VALUE(block!$D$3:$D$500)),block!$A$3:$A$500,"无匹配",0,1)</f>
        <v>20</v>
      </c>
      <c r="C792" s="3" t="str">
        <f>B792 &amp; "-" &amp; COUNTIF($B$2:B792, B792)</f>
        <v>20-23</v>
      </c>
      <c r="D792" s="10">
        <v>10274</v>
      </c>
      <c r="E792" s="1" t="s">
        <v>3269</v>
      </c>
      <c r="F792" s="1" t="s">
        <v>3270</v>
      </c>
      <c r="G792" s="1" t="s">
        <v>1840</v>
      </c>
      <c r="H792" s="1" t="s">
        <v>1812</v>
      </c>
      <c r="I792" s="10" t="str">
        <f>IF(H792="T37",1,IF(H792="T37",3,IF(H792="T53",6,IF(H792="T53",10,IF(H792="T85",14,IF(H792="T85",18,IF(H792="T53",22,"")))))))</f>
        <v/>
      </c>
      <c r="J792" s="1" t="s">
        <v>1808</v>
      </c>
      <c r="K792" s="10">
        <v>2</v>
      </c>
      <c r="L792" s="10">
        <v>1</v>
      </c>
      <c r="O792" s="6"/>
      <c r="Q792" s="42" t="s">
        <v>2962</v>
      </c>
      <c r="R792" s="42"/>
      <c r="S792" s="1"/>
    </row>
    <row r="793" spans="1:19" ht="18.75" hidden="1" customHeight="1" x14ac:dyDescent="0.3">
      <c r="A793" s="10">
        <v>792</v>
      </c>
      <c r="B793" s="10">
        <f>_xlfn.XLOOKUP(1,(VALUE(D793)&gt;=VALUE(block!$C$3:$C$500))*(VALUE(D793)&lt;VALUE(block!$C$3:$C$500)+VALUE(block!$D$3:$D$500)),block!$A$3:$A$500,"无匹配",0,1)</f>
        <v>20</v>
      </c>
      <c r="C793" s="3" t="str">
        <f>B793 &amp; "-" &amp; COUNTIF($B$2:B793, B793)</f>
        <v>20-24</v>
      </c>
      <c r="D793" s="10">
        <v>10276</v>
      </c>
      <c r="E793" s="1" t="s">
        <v>3271</v>
      </c>
      <c r="F793" s="1" t="s">
        <v>3272</v>
      </c>
      <c r="G793" s="1" t="s">
        <v>1840</v>
      </c>
      <c r="H793" s="1" t="s">
        <v>1812</v>
      </c>
      <c r="I793" s="10" t="str">
        <f>IF(H793="T38",1,IF(H793="T38",3,IF(H793="T54",6,IF(H793="T54",10,IF(H793="T86",14,IF(H793="T86",18,IF(H793="T54",22,"")))))))</f>
        <v/>
      </c>
      <c r="J793" s="1" t="s">
        <v>1808</v>
      </c>
      <c r="K793" s="10">
        <v>2</v>
      </c>
      <c r="L793" s="10">
        <v>1</v>
      </c>
      <c r="O793" s="6"/>
      <c r="Q793" s="42" t="s">
        <v>2962</v>
      </c>
      <c r="R793" s="42"/>
      <c r="S793" s="1"/>
    </row>
    <row r="794" spans="1:19" ht="18.75" hidden="1" customHeight="1" x14ac:dyDescent="0.3">
      <c r="A794" s="10">
        <v>793</v>
      </c>
      <c r="B794" s="10">
        <f>_xlfn.XLOOKUP(1,(VALUE(D794)&gt;=VALUE(block!$C$3:$C$500))*(VALUE(D794)&lt;VALUE(block!$C$3:$C$500)+VALUE(block!$D$3:$D$500)),block!$A$3:$A$500,"无匹配",0,1)</f>
        <v>20</v>
      </c>
      <c r="C794" s="3" t="str">
        <f>B794 &amp; "-" &amp; COUNTIF($B$2:B794, B794)</f>
        <v>20-25</v>
      </c>
      <c r="D794" s="10">
        <v>10278</v>
      </c>
      <c r="E794" s="1" t="s">
        <v>3273</v>
      </c>
      <c r="F794" s="1" t="s">
        <v>3274</v>
      </c>
      <c r="G794" s="1" t="s">
        <v>1840</v>
      </c>
      <c r="H794" s="1" t="s">
        <v>1812</v>
      </c>
      <c r="I794" s="10" t="str">
        <f>IF(H794="T39",1,IF(H794="T39",3,IF(H794="T55",6,IF(H794="T55",10,IF(H794="T87",14,IF(H794="T87",18,IF(H794="T55",22,"")))))))</f>
        <v/>
      </c>
      <c r="J794" s="1" t="s">
        <v>1808</v>
      </c>
      <c r="K794" s="10">
        <v>2</v>
      </c>
      <c r="L794" s="10">
        <v>1</v>
      </c>
      <c r="O794" s="6"/>
      <c r="Q794" s="42" t="s">
        <v>2962</v>
      </c>
      <c r="R794" s="42"/>
      <c r="S794" s="1"/>
    </row>
    <row r="795" spans="1:19" ht="18.75" hidden="1" customHeight="1" x14ac:dyDescent="0.3">
      <c r="A795" s="10">
        <v>794</v>
      </c>
      <c r="B795" s="10">
        <f>_xlfn.XLOOKUP(1,(VALUE(D795)&gt;=VALUE(block!$C$3:$C$500))*(VALUE(D795)&lt;VALUE(block!$C$3:$C$500)+VALUE(block!$D$3:$D$500)),block!$A$3:$A$500,"无匹配",0,1)</f>
        <v>20</v>
      </c>
      <c r="C795" s="3" t="str">
        <f>B795 &amp; "-" &amp; COUNTIF($B$2:B795, B795)</f>
        <v>20-26</v>
      </c>
      <c r="D795" s="10">
        <v>10280</v>
      </c>
      <c r="E795" s="1" t="s">
        <v>3275</v>
      </c>
      <c r="F795" s="1" t="s">
        <v>3276</v>
      </c>
      <c r="G795" s="1" t="s">
        <v>1840</v>
      </c>
      <c r="H795" s="1" t="s">
        <v>1812</v>
      </c>
      <c r="I795" s="10" t="str">
        <f>IF(H795="T40",1,IF(H795="T40",3,IF(H795="T56",6,IF(H795="T56",10,IF(H795="T88",14,IF(H795="T88",18,IF(H795="T56",22,"")))))))</f>
        <v/>
      </c>
      <c r="J795" s="1" t="s">
        <v>1808</v>
      </c>
      <c r="K795" s="10">
        <v>2</v>
      </c>
      <c r="L795" s="10">
        <v>1</v>
      </c>
      <c r="O795" s="6"/>
      <c r="Q795" s="42" t="s">
        <v>2962</v>
      </c>
      <c r="R795" s="42"/>
      <c r="S795" s="1"/>
    </row>
    <row r="796" spans="1:19" ht="18.75" hidden="1" customHeight="1" x14ac:dyDescent="0.3">
      <c r="A796" s="10">
        <v>795</v>
      </c>
      <c r="B796" s="10">
        <f>_xlfn.XLOOKUP(1,(VALUE(D796)&gt;=VALUE(block!$C$3:$C$500))*(VALUE(D796)&lt;VALUE(block!$C$3:$C$500)+VALUE(block!$D$3:$D$500)),block!$A$3:$A$500,"无匹配",0,1)</f>
        <v>20</v>
      </c>
      <c r="C796" s="3" t="str">
        <f>B796 &amp; "-" &amp; COUNTIF($B$2:B796, B796)</f>
        <v>20-27</v>
      </c>
      <c r="D796" s="10">
        <v>10282</v>
      </c>
      <c r="E796" s="1" t="s">
        <v>3277</v>
      </c>
      <c r="F796" s="1" t="s">
        <v>3278</v>
      </c>
      <c r="G796" s="1" t="s">
        <v>1840</v>
      </c>
      <c r="H796" s="1" t="s">
        <v>1812</v>
      </c>
      <c r="I796" s="10" t="str">
        <f>IF(H796="T41",1,IF(H796="T41",3,IF(H796="T57",6,IF(H796="T57",10,IF(H796="T89",14,IF(H796="T89",18,IF(H796="T57",22,"")))))))</f>
        <v/>
      </c>
      <c r="J796" s="1" t="s">
        <v>1808</v>
      </c>
      <c r="K796" s="10">
        <v>2</v>
      </c>
      <c r="L796" s="10">
        <v>1</v>
      </c>
      <c r="O796" s="6"/>
      <c r="Q796" s="42" t="s">
        <v>2962</v>
      </c>
      <c r="R796" s="42"/>
      <c r="S796" s="1"/>
    </row>
    <row r="797" spans="1:19" ht="18.75" hidden="1" customHeight="1" x14ac:dyDescent="0.3">
      <c r="A797" s="10">
        <v>796</v>
      </c>
      <c r="B797" s="10">
        <f>_xlfn.XLOOKUP(1,(VALUE(D797)&gt;=VALUE(block!$C$3:$C$500))*(VALUE(D797)&lt;VALUE(block!$C$3:$C$500)+VALUE(block!$D$3:$D$500)),block!$A$3:$A$500,"无匹配",0,1)</f>
        <v>20</v>
      </c>
      <c r="C797" s="3" t="str">
        <f>B797 &amp; "-" &amp; COUNTIF($B$2:B797, B797)</f>
        <v>20-28</v>
      </c>
      <c r="D797" s="10">
        <v>10284</v>
      </c>
      <c r="E797" s="1" t="s">
        <v>3279</v>
      </c>
      <c r="F797" s="1" t="s">
        <v>3280</v>
      </c>
      <c r="G797" s="1" t="s">
        <v>1840</v>
      </c>
      <c r="H797" s="1" t="s">
        <v>1812</v>
      </c>
      <c r="I797" s="10" t="str">
        <f>IF(H797="T42",1,IF(H797="T42",3,IF(H797="T58",6,IF(H797="T58",10,IF(H797="T90",14,IF(H797="T90",18,IF(H797="T58",22,"")))))))</f>
        <v/>
      </c>
      <c r="J797" s="1" t="s">
        <v>1808</v>
      </c>
      <c r="K797" s="10">
        <v>2</v>
      </c>
      <c r="L797" s="10">
        <v>1</v>
      </c>
      <c r="O797" s="6"/>
      <c r="Q797" s="42" t="s">
        <v>2962</v>
      </c>
      <c r="R797" s="42"/>
      <c r="S797" s="1"/>
    </row>
    <row r="798" spans="1:19" ht="18.75" hidden="1" customHeight="1" x14ac:dyDescent="0.3">
      <c r="A798" s="10">
        <v>797</v>
      </c>
      <c r="B798" s="10">
        <f>_xlfn.XLOOKUP(1,(VALUE(D798)&gt;=VALUE(block!$C$3:$C$500))*(VALUE(D798)&lt;VALUE(block!$C$3:$C$500)+VALUE(block!$D$3:$D$500)),block!$A$3:$A$500,"无匹配",0,1)</f>
        <v>20</v>
      </c>
      <c r="C798" s="3" t="str">
        <f>B798 &amp; "-" &amp; COUNTIF($B$2:B798, B798)</f>
        <v>20-29</v>
      </c>
      <c r="D798" s="10">
        <v>10286</v>
      </c>
      <c r="E798" s="1" t="s">
        <v>3281</v>
      </c>
      <c r="F798" s="1" t="s">
        <v>3282</v>
      </c>
      <c r="G798" s="1" t="s">
        <v>1840</v>
      </c>
      <c r="H798" s="1" t="s">
        <v>1812</v>
      </c>
      <c r="I798" s="10" t="str">
        <f>IF(H798="T43",1,IF(H798="T43",3,IF(H798="T59",6,IF(H798="T59",10,IF(H798="T91",14,IF(H798="T91",18,IF(H798="T59",22,"")))))))</f>
        <v/>
      </c>
      <c r="J798" s="1" t="s">
        <v>1808</v>
      </c>
      <c r="K798" s="10">
        <v>2</v>
      </c>
      <c r="L798" s="10">
        <v>1</v>
      </c>
      <c r="O798" s="6"/>
      <c r="Q798" s="42" t="s">
        <v>2962</v>
      </c>
      <c r="R798" s="42"/>
      <c r="S798" s="1"/>
    </row>
    <row r="799" spans="1:19" ht="18.75" hidden="1" customHeight="1" x14ac:dyDescent="0.3">
      <c r="A799" s="10">
        <v>798</v>
      </c>
      <c r="B799" s="10">
        <f>_xlfn.XLOOKUP(1,(VALUE(D799)&gt;=VALUE(block!$C$3:$C$500))*(VALUE(D799)&lt;VALUE(block!$C$3:$C$500)+VALUE(block!$D$3:$D$500)),block!$A$3:$A$500,"无匹配",0,1)</f>
        <v>20</v>
      </c>
      <c r="C799" s="3" t="str">
        <f>B799 &amp; "-" &amp; COUNTIF($B$2:B799, B799)</f>
        <v>20-30</v>
      </c>
      <c r="D799" s="10">
        <v>10288</v>
      </c>
      <c r="E799" s="1" t="s">
        <v>3283</v>
      </c>
      <c r="F799" s="1" t="s">
        <v>3284</v>
      </c>
      <c r="G799" s="1" t="s">
        <v>1840</v>
      </c>
      <c r="H799" s="1" t="s">
        <v>1812</v>
      </c>
      <c r="I799" s="10" t="str">
        <f>IF(H799="T44",1,IF(H799="T44",3,IF(H799="T60",6,IF(H799="T60",10,IF(H799="T92",14,IF(H799="T92",18,IF(H799="T60",22,"")))))))</f>
        <v/>
      </c>
      <c r="J799" s="1" t="s">
        <v>1808</v>
      </c>
      <c r="K799" s="10">
        <v>2</v>
      </c>
      <c r="L799" s="10">
        <v>1</v>
      </c>
      <c r="O799" s="6"/>
      <c r="Q799" s="42" t="s">
        <v>2962</v>
      </c>
      <c r="R799" s="42"/>
      <c r="S799" s="1"/>
    </row>
    <row r="800" spans="1:19" ht="18.75" hidden="1" customHeight="1" x14ac:dyDescent="0.3">
      <c r="A800" s="10">
        <v>799</v>
      </c>
      <c r="B800" s="10">
        <f>_xlfn.XLOOKUP(1,(VALUE(D800)&gt;=VALUE(block!$C$3:$C$500))*(VALUE(D800)&lt;VALUE(block!$C$3:$C$500)+VALUE(block!$D$3:$D$500)),block!$A$3:$A$500,"无匹配",0,1)</f>
        <v>20</v>
      </c>
      <c r="C800" s="3" t="str">
        <f>B800 &amp; "-" &amp; COUNTIF($B$2:B800, B800)</f>
        <v>20-31</v>
      </c>
      <c r="D800" s="10">
        <v>10290</v>
      </c>
      <c r="E800" s="1" t="s">
        <v>3285</v>
      </c>
      <c r="F800" s="1" t="s">
        <v>3286</v>
      </c>
      <c r="G800" s="1" t="s">
        <v>1840</v>
      </c>
      <c r="H800" s="1" t="s">
        <v>1812</v>
      </c>
      <c r="I800" s="10" t="str">
        <f>IF(H800="T45",1,IF(H800="T45",3,IF(H800="T61",6,IF(H800="T61",10,IF(H800="T93",14,IF(H800="T93",18,IF(H800="T61",22,"")))))))</f>
        <v/>
      </c>
      <c r="J800" s="1" t="s">
        <v>1808</v>
      </c>
      <c r="K800" s="10">
        <v>2</v>
      </c>
      <c r="L800" s="10">
        <v>1</v>
      </c>
      <c r="O800" s="6"/>
      <c r="Q800" s="42" t="s">
        <v>2962</v>
      </c>
      <c r="R800" s="42"/>
      <c r="S800" s="1"/>
    </row>
    <row r="801" spans="1:19" ht="18.75" hidden="1" customHeight="1" x14ac:dyDescent="0.3">
      <c r="A801" s="10">
        <v>800</v>
      </c>
      <c r="B801" s="10">
        <f>_xlfn.XLOOKUP(1,(VALUE(D801)&gt;=VALUE(block!$C$3:$C$500))*(VALUE(D801)&lt;VALUE(block!$C$3:$C$500)+VALUE(block!$D$3:$D$500)),block!$A$3:$A$500,"无匹配",0,1)</f>
        <v>20</v>
      </c>
      <c r="C801" s="3" t="str">
        <f>B801 &amp; "-" &amp; COUNTIF($B$2:B801, B801)</f>
        <v>20-32</v>
      </c>
      <c r="D801" s="10">
        <v>10292</v>
      </c>
      <c r="E801" s="1" t="s">
        <v>3287</v>
      </c>
      <c r="F801" s="1" t="s">
        <v>3288</v>
      </c>
      <c r="G801" s="1" t="s">
        <v>1840</v>
      </c>
      <c r="H801" s="1" t="s">
        <v>1812</v>
      </c>
      <c r="I801" s="10" t="str">
        <f>IF(H801="T46",1,IF(H801="T46",3,IF(H801="T62",6,IF(H801="T62",10,IF(H801="T94",14,IF(H801="T94",18,IF(H801="T62",22,"")))))))</f>
        <v/>
      </c>
      <c r="J801" s="1" t="s">
        <v>1808</v>
      </c>
      <c r="K801" s="10">
        <v>2</v>
      </c>
      <c r="L801" s="10">
        <v>1</v>
      </c>
      <c r="O801" s="6"/>
      <c r="Q801" s="42" t="s">
        <v>2962</v>
      </c>
      <c r="R801" s="42"/>
      <c r="S801" s="1"/>
    </row>
    <row r="802" spans="1:19" ht="18.75" hidden="1" customHeight="1" x14ac:dyDescent="0.3">
      <c r="A802" s="10">
        <v>801</v>
      </c>
      <c r="B802" s="10">
        <f>_xlfn.XLOOKUP(1,(VALUE(D802)&gt;=VALUE(block!$C$3:$C$500))*(VALUE(D802)&lt;VALUE(block!$C$3:$C$500)+VALUE(block!$D$3:$D$500)),block!$A$3:$A$500,"无匹配",0,1)</f>
        <v>20</v>
      </c>
      <c r="C802" s="3" t="str">
        <f>B802 &amp; "-" &amp; COUNTIF($B$2:B802, B802)</f>
        <v>20-33</v>
      </c>
      <c r="D802" s="10">
        <v>10294</v>
      </c>
      <c r="E802" s="1" t="s">
        <v>3289</v>
      </c>
      <c r="F802" s="1" t="s">
        <v>3290</v>
      </c>
      <c r="G802" s="1" t="s">
        <v>1840</v>
      </c>
      <c r="H802" s="1" t="s">
        <v>1812</v>
      </c>
      <c r="I802" s="10" t="str">
        <f>IF(H802="T47",1,IF(H802="T47",3,IF(H802="T63",6,IF(H802="T63",10,IF(H802="T95",14,IF(H802="T95",18,IF(H802="T63",22,"")))))))</f>
        <v/>
      </c>
      <c r="J802" s="1" t="s">
        <v>1808</v>
      </c>
      <c r="K802" s="10">
        <v>2</v>
      </c>
      <c r="L802" s="10">
        <v>1</v>
      </c>
      <c r="O802" s="6"/>
      <c r="Q802" s="42" t="s">
        <v>2962</v>
      </c>
      <c r="R802" s="42"/>
      <c r="S802" s="1"/>
    </row>
    <row r="803" spans="1:19" ht="18.75" hidden="1" customHeight="1" x14ac:dyDescent="0.3">
      <c r="A803" s="10">
        <v>802</v>
      </c>
      <c r="B803" s="10">
        <f>_xlfn.XLOOKUP(1,(VALUE(D803)&gt;=VALUE(block!$C$3:$C$500))*(VALUE(D803)&lt;VALUE(block!$C$3:$C$500)+VALUE(block!$D$3:$D$500)),block!$A$3:$A$500,"无匹配",0,1)</f>
        <v>20</v>
      </c>
      <c r="C803" s="3" t="str">
        <f>B803 &amp; "-" &amp; COUNTIF($B$2:B803, B803)</f>
        <v>20-34</v>
      </c>
      <c r="D803" s="10">
        <v>10296</v>
      </c>
      <c r="E803" s="1" t="s">
        <v>3291</v>
      </c>
      <c r="F803" s="1" t="s">
        <v>3292</v>
      </c>
      <c r="G803" s="1" t="s">
        <v>1840</v>
      </c>
      <c r="H803" s="1" t="s">
        <v>1812</v>
      </c>
      <c r="I803" s="10" t="str">
        <f>IF(H803="T48",1,IF(H803="T48",3,IF(H803="T64",6,IF(H803="T64",10,IF(H803="T96",14,IF(H803="T96",18,IF(H803="T64",22,"")))))))</f>
        <v/>
      </c>
      <c r="J803" s="1" t="s">
        <v>1808</v>
      </c>
      <c r="K803" s="10">
        <v>2</v>
      </c>
      <c r="L803" s="10">
        <v>1</v>
      </c>
      <c r="O803" s="6"/>
      <c r="Q803" s="42" t="s">
        <v>2962</v>
      </c>
      <c r="R803" s="42"/>
      <c r="S803" s="1"/>
    </row>
    <row r="804" spans="1:19" ht="18.75" customHeight="1" x14ac:dyDescent="0.3">
      <c r="A804" s="10">
        <v>803</v>
      </c>
      <c r="B804" s="10">
        <f>_xlfn.XLOOKUP(1,(VALUE(D804)&gt;=VALUE(block!$C$3:$C$500))*(VALUE(D804)&lt;VALUE(block!$C$3:$C$500)+VALUE(block!$D$3:$D$500)),block!$A$3:$A$500,"无匹配",0,1)</f>
        <v>21</v>
      </c>
      <c r="C804" s="3" t="str">
        <f>B804 &amp; "-" &amp; COUNTIF($B$2:B804, B804)</f>
        <v>21-1</v>
      </c>
      <c r="D804" s="10">
        <v>10298</v>
      </c>
      <c r="E804" s="1" t="s">
        <v>3293</v>
      </c>
      <c r="F804" s="1" t="s">
        <v>3294</v>
      </c>
      <c r="G804" s="1" t="s">
        <v>1840</v>
      </c>
      <c r="H804" s="1" t="s">
        <v>1812</v>
      </c>
      <c r="I804" s="10" t="str">
        <f>IF(H804="T49",1,IF(H804="T49",3,IF(H804="T65",6,IF(H804="T65",10,IF(H804="T97",14,IF(H804="T97",18,IF(H804="T65",22,"")))))))</f>
        <v/>
      </c>
      <c r="J804" s="1" t="s">
        <v>1808</v>
      </c>
      <c r="K804" s="10">
        <v>2</v>
      </c>
      <c r="L804" s="10">
        <v>1</v>
      </c>
      <c r="N804" s="10">
        <v>4</v>
      </c>
      <c r="O804" s="6"/>
      <c r="P804" s="45" t="s">
        <v>2826</v>
      </c>
      <c r="Q804" s="6">
        <v>14</v>
      </c>
      <c r="R804" s="6"/>
      <c r="S804" s="1" t="s">
        <v>3294</v>
      </c>
    </row>
    <row r="805" spans="1:19" ht="18.75" customHeight="1" x14ac:dyDescent="0.3">
      <c r="A805" s="10">
        <v>804</v>
      </c>
      <c r="B805" s="10">
        <f>_xlfn.XLOOKUP(1,(VALUE(D805)&gt;=VALUE(block!$C$3:$C$500))*(VALUE(D805)&lt;VALUE(block!$C$3:$C$500)+VALUE(block!$D$3:$D$500)),block!$A$3:$A$500,"无匹配",0,1)</f>
        <v>21</v>
      </c>
      <c r="C805" s="3" t="str">
        <f>B805 &amp; "-" &amp; COUNTIF($B$2:B805, B805)</f>
        <v>21-2</v>
      </c>
      <c r="D805" s="10">
        <v>10300</v>
      </c>
      <c r="E805" s="1" t="s">
        <v>3295</v>
      </c>
      <c r="F805" s="1" t="s">
        <v>3296</v>
      </c>
      <c r="G805" s="1" t="s">
        <v>1840</v>
      </c>
      <c r="H805" s="1" t="s">
        <v>1812</v>
      </c>
      <c r="I805" s="10" t="str">
        <f>IF(H805="T50",1,IF(H805="T50",3,IF(H805="T66",6,IF(H805="T66",10,IF(H805="T98",14,IF(H805="T98",18,IF(H805="T66",22,"")))))))</f>
        <v/>
      </c>
      <c r="J805" s="1" t="s">
        <v>1808</v>
      </c>
      <c r="K805" s="10">
        <v>2</v>
      </c>
      <c r="L805" s="10">
        <v>1</v>
      </c>
      <c r="N805" s="10">
        <v>4</v>
      </c>
      <c r="O805" s="6"/>
      <c r="P805" s="45" t="s">
        <v>2826</v>
      </c>
      <c r="Q805" s="6">
        <v>14</v>
      </c>
      <c r="R805" s="6"/>
      <c r="S805" s="1" t="s">
        <v>3296</v>
      </c>
    </row>
    <row r="806" spans="1:19" ht="18.75" customHeight="1" x14ac:dyDescent="0.3">
      <c r="A806" s="10">
        <v>805</v>
      </c>
      <c r="B806" s="10">
        <f>_xlfn.XLOOKUP(1,(VALUE(D806)&gt;=VALUE(block!$C$3:$C$500))*(VALUE(D806)&lt;VALUE(block!$C$3:$C$500)+VALUE(block!$D$3:$D$500)),block!$A$3:$A$500,"无匹配",0,1)</f>
        <v>21</v>
      </c>
      <c r="C806" s="3" t="str">
        <f>B806 &amp; "-" &amp; COUNTIF($B$2:B806, B806)</f>
        <v>21-3</v>
      </c>
      <c r="D806" s="10">
        <v>10302</v>
      </c>
      <c r="E806" s="1" t="s">
        <v>3297</v>
      </c>
      <c r="F806" s="1" t="s">
        <v>3298</v>
      </c>
      <c r="G806" s="1" t="s">
        <v>1840</v>
      </c>
      <c r="H806" s="1" t="s">
        <v>1812</v>
      </c>
      <c r="I806" s="10" t="str">
        <f>IF(H806="T51",1,IF(H806="T51",3,IF(H806="T67",6,IF(H806="T67",10,IF(H806="T99",14,IF(H806="T99",18,IF(H806="T67",22,"")))))))</f>
        <v/>
      </c>
      <c r="J806" s="1" t="s">
        <v>1808</v>
      </c>
      <c r="K806" s="10">
        <v>2</v>
      </c>
      <c r="L806" s="10">
        <v>1</v>
      </c>
      <c r="N806" s="10">
        <v>4</v>
      </c>
      <c r="O806" s="6"/>
      <c r="P806" s="45" t="s">
        <v>2826</v>
      </c>
      <c r="Q806" s="6">
        <v>14</v>
      </c>
      <c r="R806" s="6"/>
      <c r="S806" s="1" t="s">
        <v>3298</v>
      </c>
    </row>
    <row r="807" spans="1:19" ht="18.75" customHeight="1" x14ac:dyDescent="0.3">
      <c r="A807" s="10">
        <v>806</v>
      </c>
      <c r="B807" s="10">
        <f>_xlfn.XLOOKUP(1,(VALUE(D807)&gt;=VALUE(block!$C$3:$C$500))*(VALUE(D807)&lt;VALUE(block!$C$3:$C$500)+VALUE(block!$D$3:$D$500)),block!$A$3:$A$500,"无匹配",0,1)</f>
        <v>21</v>
      </c>
      <c r="C807" s="3" t="str">
        <f>B807 &amp; "-" &amp; COUNTIF($B$2:B807, B807)</f>
        <v>21-4</v>
      </c>
      <c r="D807" s="10">
        <v>10304</v>
      </c>
      <c r="E807" s="1" t="s">
        <v>3299</v>
      </c>
      <c r="F807" s="1" t="s">
        <v>3300</v>
      </c>
      <c r="G807" s="1" t="s">
        <v>1840</v>
      </c>
      <c r="H807" s="1" t="s">
        <v>1812</v>
      </c>
      <c r="I807" s="10" t="str">
        <f>IF(H807="T52",1,IF(H807="T52",3,IF(H807="T68",6,IF(H807="T68",10,IF(H807="T100",14,IF(H807="T100",18,IF(H807="T68",22,"")))))))</f>
        <v/>
      </c>
      <c r="J807" s="1" t="s">
        <v>1808</v>
      </c>
      <c r="K807" s="10">
        <v>2</v>
      </c>
      <c r="L807" s="10">
        <v>1</v>
      </c>
      <c r="N807" s="10">
        <v>4</v>
      </c>
      <c r="O807" s="6"/>
      <c r="P807" s="45" t="s">
        <v>2826</v>
      </c>
      <c r="Q807" s="6">
        <v>14</v>
      </c>
      <c r="R807" s="6"/>
      <c r="S807" s="1" t="s">
        <v>3300</v>
      </c>
    </row>
    <row r="808" spans="1:19" ht="18.75" hidden="1" customHeight="1" x14ac:dyDescent="0.3">
      <c r="A808" s="10">
        <v>807</v>
      </c>
      <c r="B808" s="10">
        <f>_xlfn.XLOOKUP(1,(VALUE(D808)&gt;=VALUE(block!$C$3:$C$500))*(VALUE(D808)&lt;VALUE(block!$C$3:$C$500)+VALUE(block!$D$3:$D$500)),block!$A$3:$A$500,"无匹配",0,1)</f>
        <v>21</v>
      </c>
      <c r="C808" s="3" t="str">
        <f>B808 &amp; "-" &amp; COUNTIF($B$2:B808, B808)</f>
        <v>21-5</v>
      </c>
      <c r="D808" s="10">
        <v>10306</v>
      </c>
      <c r="E808" s="1" t="s">
        <v>3301</v>
      </c>
      <c r="F808" s="1" t="s">
        <v>3302</v>
      </c>
      <c r="G808" s="1" t="s">
        <v>1840</v>
      </c>
      <c r="H808" s="1" t="s">
        <v>1812</v>
      </c>
      <c r="I808" s="10" t="str">
        <f>IF(H808="T53",1,IF(H808="T53",3,IF(H808="T69",6,IF(H808="T69",10,IF(H808="T101",14,IF(H808="T101",18,IF(H808="T69",22,"")))))))</f>
        <v/>
      </c>
      <c r="J808" s="1" t="s">
        <v>1808</v>
      </c>
      <c r="K808" s="10">
        <v>2</v>
      </c>
      <c r="L808" s="10">
        <v>1</v>
      </c>
      <c r="O808" s="6"/>
      <c r="Q808" s="42" t="s">
        <v>2962</v>
      </c>
      <c r="R808" s="42"/>
      <c r="S808" s="1"/>
    </row>
    <row r="809" spans="1:19" ht="18.75" hidden="1" customHeight="1" x14ac:dyDescent="0.3">
      <c r="A809" s="10">
        <v>808</v>
      </c>
      <c r="B809" s="10">
        <f>_xlfn.XLOOKUP(1,(VALUE(D809)&gt;=VALUE(block!$C$3:$C$500))*(VALUE(D809)&lt;VALUE(block!$C$3:$C$500)+VALUE(block!$D$3:$D$500)),block!$A$3:$A$500,"无匹配",0,1)</f>
        <v>21</v>
      </c>
      <c r="C809" s="3" t="str">
        <f>B809 &amp; "-" &amp; COUNTIF($B$2:B809, B809)</f>
        <v>21-6</v>
      </c>
      <c r="D809" s="10">
        <v>10308</v>
      </c>
      <c r="E809" s="1" t="s">
        <v>3303</v>
      </c>
      <c r="F809" s="1" t="s">
        <v>3304</v>
      </c>
      <c r="G809" s="1" t="s">
        <v>1840</v>
      </c>
      <c r="H809" s="1" t="s">
        <v>1812</v>
      </c>
      <c r="I809" s="10" t="str">
        <f>IF(H809="T54",1,IF(H809="T54",3,IF(H809="T70",6,IF(H809="T70",10,IF(H809="T102",14,IF(H809="T102",18,IF(H809="T70",22,"")))))))</f>
        <v/>
      </c>
      <c r="J809" s="1" t="s">
        <v>1808</v>
      </c>
      <c r="K809" s="10">
        <v>2</v>
      </c>
      <c r="L809" s="10">
        <v>1</v>
      </c>
      <c r="O809" s="6"/>
      <c r="Q809" s="42" t="s">
        <v>2962</v>
      </c>
      <c r="R809" s="42"/>
      <c r="S809" s="1"/>
    </row>
    <row r="810" spans="1:19" ht="18.75" hidden="1" customHeight="1" x14ac:dyDescent="0.3">
      <c r="A810" s="10">
        <v>809</v>
      </c>
      <c r="B810" s="10">
        <f>_xlfn.XLOOKUP(1,(VALUE(D810)&gt;=VALUE(block!$C$3:$C$500))*(VALUE(D810)&lt;VALUE(block!$C$3:$C$500)+VALUE(block!$D$3:$D$500)),block!$A$3:$A$500,"无匹配",0,1)</f>
        <v>21</v>
      </c>
      <c r="C810" s="3" t="str">
        <f>B810 &amp; "-" &amp; COUNTIF($B$2:B810, B810)</f>
        <v>21-7</v>
      </c>
      <c r="D810" s="10">
        <v>10310</v>
      </c>
      <c r="E810" s="1" t="s">
        <v>3305</v>
      </c>
      <c r="F810" s="1" t="s">
        <v>3306</v>
      </c>
      <c r="G810" s="1" t="s">
        <v>1840</v>
      </c>
      <c r="H810" s="1" t="s">
        <v>1812</v>
      </c>
      <c r="I810" s="10" t="str">
        <f>IF(H810="T55",1,IF(H810="T55",3,IF(H810="T71",6,IF(H810="T71",10,IF(H810="T103",14,IF(H810="T103",18,IF(H810="T71",22,"")))))))</f>
        <v/>
      </c>
      <c r="J810" s="1" t="s">
        <v>1808</v>
      </c>
      <c r="K810" s="10">
        <v>2</v>
      </c>
      <c r="L810" s="10">
        <v>1</v>
      </c>
      <c r="O810" s="6"/>
      <c r="Q810" s="42" t="s">
        <v>2962</v>
      </c>
      <c r="R810" s="42"/>
      <c r="S810" s="1"/>
    </row>
    <row r="811" spans="1:19" ht="18.75" hidden="1" customHeight="1" x14ac:dyDescent="0.3">
      <c r="A811" s="10">
        <v>810</v>
      </c>
      <c r="B811" s="10">
        <f>_xlfn.XLOOKUP(1,(VALUE(D811)&gt;=VALUE(block!$C$3:$C$500))*(VALUE(D811)&lt;VALUE(block!$C$3:$C$500)+VALUE(block!$D$3:$D$500)),block!$A$3:$A$500,"无匹配",0,1)</f>
        <v>21</v>
      </c>
      <c r="C811" s="3" t="str">
        <f>B811 &amp; "-" &amp; COUNTIF($B$2:B811, B811)</f>
        <v>21-8</v>
      </c>
      <c r="D811" s="10">
        <v>10312</v>
      </c>
      <c r="E811" s="1" t="s">
        <v>3307</v>
      </c>
      <c r="F811" s="1" t="s">
        <v>3308</v>
      </c>
      <c r="G811" s="1" t="s">
        <v>1840</v>
      </c>
      <c r="H811" s="1" t="s">
        <v>1812</v>
      </c>
      <c r="I811" s="10" t="str">
        <f>IF(H811="T56",1,IF(H811="T56",3,IF(H811="T72",6,IF(H811="T72",10,IF(H811="T104",14,IF(H811="T104",18,IF(H811="T72",22,"")))))))</f>
        <v/>
      </c>
      <c r="J811" s="1" t="s">
        <v>1808</v>
      </c>
      <c r="K811" s="10">
        <v>2</v>
      </c>
      <c r="L811" s="10">
        <v>1</v>
      </c>
      <c r="O811" s="6"/>
      <c r="Q811" s="42" t="s">
        <v>2962</v>
      </c>
      <c r="R811" s="42"/>
      <c r="S811" s="1"/>
    </row>
    <row r="812" spans="1:19" ht="18.75" hidden="1" customHeight="1" x14ac:dyDescent="0.3">
      <c r="A812" s="10">
        <v>811</v>
      </c>
      <c r="B812" s="10">
        <f>_xlfn.XLOOKUP(1,(VALUE(D812)&gt;=VALUE(block!$C$3:$C$500))*(VALUE(D812)&lt;VALUE(block!$C$3:$C$500)+VALUE(block!$D$3:$D$500)),block!$A$3:$A$500,"无匹配",0,1)</f>
        <v>21</v>
      </c>
      <c r="C812" s="3" t="str">
        <f>B812 &amp; "-" &amp; COUNTIF($B$2:B812, B812)</f>
        <v>21-9</v>
      </c>
      <c r="D812" s="10">
        <v>10314</v>
      </c>
      <c r="E812" s="1" t="s">
        <v>3309</v>
      </c>
      <c r="F812" s="1" t="s">
        <v>3310</v>
      </c>
      <c r="G812" s="1" t="s">
        <v>1840</v>
      </c>
      <c r="H812" s="1" t="s">
        <v>1812</v>
      </c>
      <c r="I812" s="10" t="str">
        <f>IF(H812="T57",1,IF(H812="T57",3,IF(H812="T73",6,IF(H812="T73",10,IF(H812="T105",14,IF(H812="T105",18,IF(H812="T73",22,"")))))))</f>
        <v/>
      </c>
      <c r="J812" s="1" t="s">
        <v>1808</v>
      </c>
      <c r="K812" s="10">
        <v>2</v>
      </c>
      <c r="L812" s="10">
        <v>1</v>
      </c>
      <c r="O812" s="6"/>
      <c r="Q812" s="42" t="s">
        <v>2962</v>
      </c>
      <c r="R812" s="42"/>
      <c r="S812" s="1"/>
    </row>
    <row r="813" spans="1:19" ht="18.75" hidden="1" customHeight="1" x14ac:dyDescent="0.3">
      <c r="A813" s="10">
        <v>812</v>
      </c>
      <c r="B813" s="10">
        <f>_xlfn.XLOOKUP(1,(VALUE(D813)&gt;=VALUE(block!$C$3:$C$500))*(VALUE(D813)&lt;VALUE(block!$C$3:$C$500)+VALUE(block!$D$3:$D$500)),block!$A$3:$A$500,"无匹配",0,1)</f>
        <v>21</v>
      </c>
      <c r="C813" s="3" t="str">
        <f>B813 &amp; "-" &amp; COUNTIF($B$2:B813, B813)</f>
        <v>21-10</v>
      </c>
      <c r="D813" s="10">
        <v>10316</v>
      </c>
      <c r="E813" s="1" t="s">
        <v>3311</v>
      </c>
      <c r="F813" s="1" t="s">
        <v>3312</v>
      </c>
      <c r="G813" s="1" t="s">
        <v>1840</v>
      </c>
      <c r="H813" s="1" t="s">
        <v>1812</v>
      </c>
      <c r="I813" s="10" t="str">
        <f>IF(H813="T58",1,IF(H813="T58",3,IF(H813="T74",6,IF(H813="T74",10,IF(H813="T106",14,IF(H813="T106",18,IF(H813="T74",22,"")))))))</f>
        <v/>
      </c>
      <c r="J813" s="1" t="s">
        <v>1808</v>
      </c>
      <c r="K813" s="10">
        <v>2</v>
      </c>
      <c r="L813" s="10">
        <v>1</v>
      </c>
      <c r="O813" s="6"/>
      <c r="Q813" s="42" t="s">
        <v>2962</v>
      </c>
      <c r="R813" s="42"/>
      <c r="S813" s="1"/>
    </row>
    <row r="814" spans="1:19" ht="18.75" hidden="1" customHeight="1" x14ac:dyDescent="0.3">
      <c r="A814" s="10">
        <v>813</v>
      </c>
      <c r="B814" s="10">
        <f>_xlfn.XLOOKUP(1,(VALUE(D814)&gt;=VALUE(block!$C$3:$C$500))*(VALUE(D814)&lt;VALUE(block!$C$3:$C$500)+VALUE(block!$D$3:$D$500)),block!$A$3:$A$500,"无匹配",0,1)</f>
        <v>21</v>
      </c>
      <c r="C814" s="3" t="str">
        <f>B814 &amp; "-" &amp; COUNTIF($B$2:B814, B814)</f>
        <v>21-11</v>
      </c>
      <c r="D814" s="10">
        <v>10318</v>
      </c>
      <c r="E814" s="1" t="s">
        <v>3313</v>
      </c>
      <c r="F814" s="1" t="s">
        <v>3314</v>
      </c>
      <c r="G814" s="1" t="s">
        <v>1840</v>
      </c>
      <c r="H814" s="1" t="s">
        <v>1812</v>
      </c>
      <c r="I814" s="10" t="str">
        <f>IF(H814="T59",1,IF(H814="T59",3,IF(H814="T75",6,IF(H814="T75",10,IF(H814="T107",14,IF(H814="T107",18,IF(H814="T75",22,"")))))))</f>
        <v/>
      </c>
      <c r="J814" s="1" t="s">
        <v>1808</v>
      </c>
      <c r="K814" s="10">
        <v>2</v>
      </c>
      <c r="L814" s="10">
        <v>1</v>
      </c>
      <c r="O814" s="6"/>
      <c r="Q814" s="42" t="s">
        <v>2962</v>
      </c>
      <c r="R814" s="42"/>
      <c r="S814" s="1"/>
    </row>
    <row r="815" spans="1:19" ht="18.75" hidden="1" customHeight="1" x14ac:dyDescent="0.3">
      <c r="A815" s="10">
        <v>814</v>
      </c>
      <c r="B815" s="10">
        <f>_xlfn.XLOOKUP(1,(VALUE(D815)&gt;=VALUE(block!$C$3:$C$500))*(VALUE(D815)&lt;VALUE(block!$C$3:$C$500)+VALUE(block!$D$3:$D$500)),block!$A$3:$A$500,"无匹配",0,1)</f>
        <v>21</v>
      </c>
      <c r="C815" s="3" t="str">
        <f>B815 &amp; "-" &amp; COUNTIF($B$2:B815, B815)</f>
        <v>21-12</v>
      </c>
      <c r="D815" s="10">
        <v>10320</v>
      </c>
      <c r="E815" s="1" t="s">
        <v>3315</v>
      </c>
      <c r="F815" s="1" t="s">
        <v>3316</v>
      </c>
      <c r="G815" s="1" t="s">
        <v>1840</v>
      </c>
      <c r="H815" s="1" t="s">
        <v>1812</v>
      </c>
      <c r="I815" s="10" t="str">
        <f>IF(H815="T60",1,IF(H815="T60",3,IF(H815="T76",6,IF(H815="T76",10,IF(H815="T108",14,IF(H815="T108",18,IF(H815="T76",22,"")))))))</f>
        <v/>
      </c>
      <c r="J815" s="1" t="s">
        <v>1808</v>
      </c>
      <c r="K815" s="10">
        <v>2</v>
      </c>
      <c r="L815" s="10">
        <v>1</v>
      </c>
      <c r="O815" s="6"/>
      <c r="Q815" s="42" t="s">
        <v>2962</v>
      </c>
      <c r="R815" s="42"/>
      <c r="S815" s="1"/>
    </row>
    <row r="816" spans="1:19" ht="18.75" hidden="1" customHeight="1" x14ac:dyDescent="0.3">
      <c r="A816" s="10">
        <v>815</v>
      </c>
      <c r="B816" s="10">
        <f>_xlfn.XLOOKUP(1,(VALUE(D816)&gt;=VALUE(block!$C$3:$C$500))*(VALUE(D816)&lt;VALUE(block!$C$3:$C$500)+VALUE(block!$D$3:$D$500)),block!$A$3:$A$500,"无匹配",0,1)</f>
        <v>21</v>
      </c>
      <c r="C816" s="3" t="str">
        <f>B816 &amp; "-" &amp; COUNTIF($B$2:B816, B816)</f>
        <v>21-13</v>
      </c>
      <c r="D816" s="10">
        <v>10322</v>
      </c>
      <c r="E816" s="1" t="s">
        <v>3317</v>
      </c>
      <c r="F816" s="1" t="s">
        <v>3318</v>
      </c>
      <c r="G816" s="1" t="s">
        <v>1840</v>
      </c>
      <c r="H816" s="1" t="s">
        <v>1812</v>
      </c>
      <c r="I816" s="10" t="str">
        <f>IF(H816="T61",1,IF(H816="T61",3,IF(H816="T77",6,IF(H816="T77",10,IF(H816="T109",14,IF(H816="T109",18,IF(H816="T77",22,"")))))))</f>
        <v/>
      </c>
      <c r="J816" s="1" t="s">
        <v>1808</v>
      </c>
      <c r="K816" s="10">
        <v>2</v>
      </c>
      <c r="L816" s="10">
        <v>1</v>
      </c>
      <c r="O816" s="6"/>
      <c r="Q816" s="42" t="s">
        <v>2962</v>
      </c>
      <c r="R816" s="42"/>
      <c r="S816" s="1"/>
    </row>
    <row r="817" spans="1:19" ht="18.75" hidden="1" customHeight="1" x14ac:dyDescent="0.3">
      <c r="A817" s="10">
        <v>816</v>
      </c>
      <c r="B817" s="10">
        <f>_xlfn.XLOOKUP(1,(VALUE(D817)&gt;=VALUE(block!$C$3:$C$500))*(VALUE(D817)&lt;VALUE(block!$C$3:$C$500)+VALUE(block!$D$3:$D$500)),block!$A$3:$A$500,"无匹配",0,1)</f>
        <v>21</v>
      </c>
      <c r="C817" s="3" t="str">
        <f>B817 &amp; "-" &amp; COUNTIF($B$2:B817, B817)</f>
        <v>21-14</v>
      </c>
      <c r="D817" s="10">
        <v>10324</v>
      </c>
      <c r="E817" s="1" t="s">
        <v>3319</v>
      </c>
      <c r="F817" s="1" t="s">
        <v>3320</v>
      </c>
      <c r="G817" s="1" t="s">
        <v>1840</v>
      </c>
      <c r="H817" s="1" t="s">
        <v>1812</v>
      </c>
      <c r="I817" s="10" t="str">
        <f>IF(H817="T62",1,IF(H817="T62",3,IF(H817="T78",6,IF(H817="T78",10,IF(H817="T110",14,IF(H817="T110",18,IF(H817="T78",22,"")))))))</f>
        <v/>
      </c>
      <c r="J817" s="1" t="s">
        <v>1808</v>
      </c>
      <c r="K817" s="10">
        <v>2</v>
      </c>
      <c r="L817" s="10">
        <v>1</v>
      </c>
      <c r="O817" s="6"/>
      <c r="Q817" s="42" t="s">
        <v>2962</v>
      </c>
      <c r="R817" s="42"/>
      <c r="S817" s="1"/>
    </row>
    <row r="818" spans="1:19" ht="18.75" hidden="1" customHeight="1" x14ac:dyDescent="0.3">
      <c r="A818" s="10">
        <v>817</v>
      </c>
      <c r="B818" s="10">
        <f>_xlfn.XLOOKUP(1,(VALUE(D818)&gt;=VALUE(block!$C$3:$C$500))*(VALUE(D818)&lt;VALUE(block!$C$3:$C$500)+VALUE(block!$D$3:$D$500)),block!$A$3:$A$500,"无匹配",0,1)</f>
        <v>21</v>
      </c>
      <c r="C818" s="3" t="str">
        <f>B818 &amp; "-" &amp; COUNTIF($B$2:B818, B818)</f>
        <v>21-15</v>
      </c>
      <c r="D818" s="10">
        <v>10326</v>
      </c>
      <c r="E818" s="1" t="s">
        <v>3321</v>
      </c>
      <c r="F818" s="1" t="s">
        <v>3322</v>
      </c>
      <c r="G818" s="1" t="s">
        <v>1840</v>
      </c>
      <c r="H818" s="1" t="s">
        <v>1812</v>
      </c>
      <c r="I818" s="10" t="str">
        <f>IF(H818="T63",1,IF(H818="T63",3,IF(H818="T79",6,IF(H818="T79",10,IF(H818="T111",14,IF(H818="T111",18,IF(H818="T79",22,"")))))))</f>
        <v/>
      </c>
      <c r="J818" s="1" t="s">
        <v>1808</v>
      </c>
      <c r="K818" s="10">
        <v>2</v>
      </c>
      <c r="L818" s="10">
        <v>1</v>
      </c>
      <c r="O818" s="6"/>
      <c r="Q818" s="42" t="s">
        <v>2962</v>
      </c>
      <c r="R818" s="42"/>
      <c r="S818" s="1"/>
    </row>
    <row r="819" spans="1:19" ht="18.75" hidden="1" customHeight="1" x14ac:dyDescent="0.3">
      <c r="A819" s="10">
        <v>818</v>
      </c>
      <c r="B819" s="10">
        <f>_xlfn.XLOOKUP(1,(VALUE(D819)&gt;=VALUE(block!$C$3:$C$500))*(VALUE(D819)&lt;VALUE(block!$C$3:$C$500)+VALUE(block!$D$3:$D$500)),block!$A$3:$A$500,"无匹配",0,1)</f>
        <v>21</v>
      </c>
      <c r="C819" s="3" t="str">
        <f>B819 &amp; "-" &amp; COUNTIF($B$2:B819, B819)</f>
        <v>21-16</v>
      </c>
      <c r="D819" s="10">
        <v>10328</v>
      </c>
      <c r="E819" s="1" t="s">
        <v>3323</v>
      </c>
      <c r="F819" s="1" t="s">
        <v>3324</v>
      </c>
      <c r="G819" s="1" t="s">
        <v>1840</v>
      </c>
      <c r="H819" s="1" t="s">
        <v>1812</v>
      </c>
      <c r="I819" s="10" t="str">
        <f>IF(H819="T64",1,IF(H819="T64",3,IF(H819="T80",6,IF(H819="T80",10,IF(H819="T112",14,IF(H819="T112",18,IF(H819="T80",22,"")))))))</f>
        <v/>
      </c>
      <c r="J819" s="1" t="s">
        <v>1808</v>
      </c>
      <c r="K819" s="10">
        <v>2</v>
      </c>
      <c r="L819" s="10">
        <v>1</v>
      </c>
      <c r="O819" s="6"/>
      <c r="Q819" s="42" t="s">
        <v>2962</v>
      </c>
      <c r="R819" s="42"/>
      <c r="S819" s="1"/>
    </row>
    <row r="820" spans="1:19" ht="18.75" hidden="1" customHeight="1" x14ac:dyDescent="0.3">
      <c r="A820" s="10">
        <v>819</v>
      </c>
      <c r="B820" s="10">
        <f>_xlfn.XLOOKUP(1,(VALUE(D820)&gt;=VALUE(block!$C$3:$C$500))*(VALUE(D820)&lt;VALUE(block!$C$3:$C$500)+VALUE(block!$D$3:$D$500)),block!$A$3:$A$500,"无匹配",0,1)</f>
        <v>21</v>
      </c>
      <c r="C820" s="3" t="str">
        <f>B820 &amp; "-" &amp; COUNTIF($B$2:B820, B820)</f>
        <v>21-17</v>
      </c>
      <c r="D820" s="10">
        <v>10330</v>
      </c>
      <c r="E820" s="1" t="s">
        <v>3325</v>
      </c>
      <c r="F820" s="1" t="s">
        <v>3326</v>
      </c>
      <c r="G820" s="1" t="s">
        <v>1840</v>
      </c>
      <c r="H820" s="1" t="s">
        <v>1812</v>
      </c>
      <c r="I820" s="10" t="str">
        <f>IF(H820="T65",1,IF(H820="T65",3,IF(H820="T81",6,IF(H820="T81",10,IF(H820="T113",14,IF(H820="T113",18,IF(H820="T81",22,"")))))))</f>
        <v/>
      </c>
      <c r="J820" s="1" t="s">
        <v>1808</v>
      </c>
      <c r="K820" s="10">
        <v>2</v>
      </c>
      <c r="L820" s="10">
        <v>1</v>
      </c>
      <c r="O820" s="6"/>
      <c r="Q820" s="42" t="s">
        <v>2962</v>
      </c>
      <c r="R820" s="42"/>
      <c r="S820" s="1"/>
    </row>
    <row r="821" spans="1:19" ht="18.75" hidden="1" customHeight="1" x14ac:dyDescent="0.3">
      <c r="A821" s="10">
        <v>820</v>
      </c>
      <c r="B821" s="10">
        <f>_xlfn.XLOOKUP(1,(VALUE(D821)&gt;=VALUE(block!$C$3:$C$500))*(VALUE(D821)&lt;VALUE(block!$C$3:$C$500)+VALUE(block!$D$3:$D$500)),block!$A$3:$A$500,"无匹配",0,1)</f>
        <v>21</v>
      </c>
      <c r="C821" s="3" t="str">
        <f>B821 &amp; "-" &amp; COUNTIF($B$2:B821, B821)</f>
        <v>21-18</v>
      </c>
      <c r="D821" s="10">
        <v>10332</v>
      </c>
      <c r="E821" s="1" t="s">
        <v>3327</v>
      </c>
      <c r="F821" s="1" t="s">
        <v>3328</v>
      </c>
      <c r="G821" s="1" t="s">
        <v>1840</v>
      </c>
      <c r="H821" s="1" t="s">
        <v>1812</v>
      </c>
      <c r="I821" s="10" t="str">
        <f>IF(H821="T66",1,IF(H821="T66",3,IF(H821="T82",6,IF(H821="T82",10,IF(H821="T114",14,IF(H821="T114",18,IF(H821="T82",22,"")))))))</f>
        <v/>
      </c>
      <c r="J821" s="1" t="s">
        <v>1808</v>
      </c>
      <c r="K821" s="10">
        <v>2</v>
      </c>
      <c r="L821" s="10">
        <v>1</v>
      </c>
      <c r="O821" s="6"/>
      <c r="Q821" s="42" t="s">
        <v>2962</v>
      </c>
      <c r="R821" s="42"/>
      <c r="S821" s="1"/>
    </row>
    <row r="822" spans="1:19" ht="18.75" hidden="1" customHeight="1" x14ac:dyDescent="0.3">
      <c r="A822" s="10">
        <v>821</v>
      </c>
      <c r="B822" s="10">
        <f>_xlfn.XLOOKUP(1,(VALUE(D822)&gt;=VALUE(block!$C$3:$C$500))*(VALUE(D822)&lt;VALUE(block!$C$3:$C$500)+VALUE(block!$D$3:$D$500)),block!$A$3:$A$500,"无匹配",0,1)</f>
        <v>21</v>
      </c>
      <c r="C822" s="3" t="str">
        <f>B822 &amp; "-" &amp; COUNTIF($B$2:B822, B822)</f>
        <v>21-19</v>
      </c>
      <c r="D822" s="10">
        <v>10334</v>
      </c>
      <c r="E822" s="1" t="s">
        <v>3329</v>
      </c>
      <c r="F822" s="1" t="s">
        <v>3330</v>
      </c>
      <c r="G822" s="1" t="s">
        <v>1840</v>
      </c>
      <c r="H822" s="1" t="s">
        <v>1812</v>
      </c>
      <c r="I822" s="10" t="str">
        <f>IF(H822="T67",1,IF(H822="T67",3,IF(H822="T83",6,IF(H822="T83",10,IF(H822="T115",14,IF(H822="T115",18,IF(H822="T83",22,"")))))))</f>
        <v/>
      </c>
      <c r="J822" s="1" t="s">
        <v>1808</v>
      </c>
      <c r="K822" s="10">
        <v>2</v>
      </c>
      <c r="L822" s="10">
        <v>1</v>
      </c>
      <c r="O822" s="6"/>
      <c r="Q822" s="42" t="s">
        <v>2962</v>
      </c>
      <c r="R822" s="42"/>
      <c r="S822" s="1"/>
    </row>
    <row r="823" spans="1:19" ht="18.75" hidden="1" customHeight="1" x14ac:dyDescent="0.3">
      <c r="A823" s="10">
        <v>822</v>
      </c>
      <c r="B823" s="10">
        <f>_xlfn.XLOOKUP(1,(VALUE(D823)&gt;=VALUE(block!$C$3:$C$500))*(VALUE(D823)&lt;VALUE(block!$C$3:$C$500)+VALUE(block!$D$3:$D$500)),block!$A$3:$A$500,"无匹配",0,1)</f>
        <v>21</v>
      </c>
      <c r="C823" s="3" t="str">
        <f>B823 &amp; "-" &amp; COUNTIF($B$2:B823, B823)</f>
        <v>21-20</v>
      </c>
      <c r="D823" s="10">
        <v>10336</v>
      </c>
      <c r="E823" s="1" t="s">
        <v>3331</v>
      </c>
      <c r="F823" s="1" t="s">
        <v>3332</v>
      </c>
      <c r="G823" s="1" t="s">
        <v>1840</v>
      </c>
      <c r="H823" s="1" t="s">
        <v>1812</v>
      </c>
      <c r="I823" s="10" t="str">
        <f>IF(H823="T68",1,IF(H823="T68",3,IF(H823="T84",6,IF(H823="T84",10,IF(H823="T116",14,IF(H823="T116",18,IF(H823="T84",22,"")))))))</f>
        <v/>
      </c>
      <c r="J823" s="1" t="s">
        <v>1808</v>
      </c>
      <c r="K823" s="10">
        <v>2</v>
      </c>
      <c r="L823" s="10">
        <v>1</v>
      </c>
      <c r="O823" s="6"/>
      <c r="Q823" s="42" t="s">
        <v>2962</v>
      </c>
      <c r="R823" s="42"/>
      <c r="S823" s="1"/>
    </row>
    <row r="824" spans="1:19" ht="18.75" hidden="1" customHeight="1" x14ac:dyDescent="0.3">
      <c r="A824" s="10">
        <v>823</v>
      </c>
      <c r="B824" s="10">
        <f>_xlfn.XLOOKUP(1,(VALUE(D824)&gt;=VALUE(block!$C$3:$C$500))*(VALUE(D824)&lt;VALUE(block!$C$3:$C$500)+VALUE(block!$D$3:$D$500)),block!$A$3:$A$500,"无匹配",0,1)</f>
        <v>21</v>
      </c>
      <c r="C824" s="3" t="str">
        <f>B824 &amp; "-" &amp; COUNTIF($B$2:B824, B824)</f>
        <v>21-21</v>
      </c>
      <c r="D824" s="10">
        <v>10338</v>
      </c>
      <c r="E824" s="1" t="s">
        <v>3333</v>
      </c>
      <c r="F824" s="1" t="s">
        <v>3334</v>
      </c>
      <c r="G824" s="1" t="s">
        <v>1840</v>
      </c>
      <c r="H824" s="1" t="s">
        <v>1812</v>
      </c>
      <c r="I824" s="10" t="str">
        <f>IF(H824="T69",1,IF(H824="T69",3,IF(H824="T85",6,IF(H824="T85",10,IF(H824="T117",14,IF(H824="T117",18,IF(H824="T85",22,"")))))))</f>
        <v/>
      </c>
      <c r="J824" s="1" t="s">
        <v>1808</v>
      </c>
      <c r="K824" s="10">
        <v>2</v>
      </c>
      <c r="L824" s="10">
        <v>1</v>
      </c>
      <c r="O824" s="6"/>
      <c r="Q824" s="42" t="s">
        <v>2962</v>
      </c>
      <c r="R824" s="42"/>
      <c r="S824" s="1"/>
    </row>
    <row r="825" spans="1:19" ht="18.75" hidden="1" customHeight="1" x14ac:dyDescent="0.3">
      <c r="A825" s="10">
        <v>824</v>
      </c>
      <c r="B825" s="10">
        <f>_xlfn.XLOOKUP(1,(VALUE(D825)&gt;=VALUE(block!$C$3:$C$500))*(VALUE(D825)&lt;VALUE(block!$C$3:$C$500)+VALUE(block!$D$3:$D$500)),block!$A$3:$A$500,"无匹配",0,1)</f>
        <v>21</v>
      </c>
      <c r="C825" s="3" t="str">
        <f>B825 &amp; "-" &amp; COUNTIF($B$2:B825, B825)</f>
        <v>21-22</v>
      </c>
      <c r="D825" s="10">
        <v>10340</v>
      </c>
      <c r="E825" s="1" t="s">
        <v>3335</v>
      </c>
      <c r="F825" s="1" t="s">
        <v>3336</v>
      </c>
      <c r="G825" s="1" t="s">
        <v>1840</v>
      </c>
      <c r="H825" s="1" t="s">
        <v>1812</v>
      </c>
      <c r="I825" s="10" t="str">
        <f>IF(H825="T70",1,IF(H825="T70",3,IF(H825="T86",6,IF(H825="T86",10,IF(H825="T118",14,IF(H825="T118",18,IF(H825="T86",22,"")))))))</f>
        <v/>
      </c>
      <c r="J825" s="1" t="s">
        <v>1808</v>
      </c>
      <c r="K825" s="10">
        <v>2</v>
      </c>
      <c r="L825" s="10">
        <v>1</v>
      </c>
      <c r="O825" s="6"/>
      <c r="Q825" s="42" t="s">
        <v>2962</v>
      </c>
      <c r="R825" s="42"/>
      <c r="S825" s="1"/>
    </row>
    <row r="826" spans="1:19" ht="18.75" hidden="1" customHeight="1" x14ac:dyDescent="0.3">
      <c r="A826" s="10">
        <v>825</v>
      </c>
      <c r="B826" s="10">
        <f>_xlfn.XLOOKUP(1,(VALUE(D826)&gt;=VALUE(block!$C$3:$C$500))*(VALUE(D826)&lt;VALUE(block!$C$3:$C$500)+VALUE(block!$D$3:$D$500)),block!$A$3:$A$500,"无匹配",0,1)</f>
        <v>21</v>
      </c>
      <c r="C826" s="3" t="str">
        <f>B826 &amp; "-" &amp; COUNTIF($B$2:B826, B826)</f>
        <v>21-23</v>
      </c>
      <c r="D826" s="10">
        <v>10342</v>
      </c>
      <c r="E826" s="1" t="s">
        <v>3337</v>
      </c>
      <c r="F826" s="1" t="s">
        <v>3338</v>
      </c>
      <c r="G826" s="1" t="s">
        <v>1840</v>
      </c>
      <c r="H826" s="1" t="s">
        <v>1812</v>
      </c>
      <c r="I826" s="10" t="str">
        <f>IF(H826="T71",1,IF(H826="T71",3,IF(H826="T87",6,IF(H826="T87",10,IF(H826="T119",14,IF(H826="T119",18,IF(H826="T87",22,"")))))))</f>
        <v/>
      </c>
      <c r="J826" s="1" t="s">
        <v>1808</v>
      </c>
      <c r="K826" s="10">
        <v>2</v>
      </c>
      <c r="L826" s="10">
        <v>1</v>
      </c>
      <c r="O826" s="6"/>
      <c r="Q826" s="42" t="s">
        <v>2962</v>
      </c>
      <c r="R826" s="42"/>
      <c r="S826" s="1"/>
    </row>
    <row r="827" spans="1:19" ht="18.75" hidden="1" customHeight="1" x14ac:dyDescent="0.3">
      <c r="A827" s="10">
        <v>826</v>
      </c>
      <c r="B827" s="10">
        <f>_xlfn.XLOOKUP(1,(VALUE(D827)&gt;=VALUE(block!$C$3:$C$500))*(VALUE(D827)&lt;VALUE(block!$C$3:$C$500)+VALUE(block!$D$3:$D$500)),block!$A$3:$A$500,"无匹配",0,1)</f>
        <v>21</v>
      </c>
      <c r="C827" s="3" t="str">
        <f>B827 &amp; "-" &amp; COUNTIF($B$2:B827, B827)</f>
        <v>21-24</v>
      </c>
      <c r="D827" s="10">
        <v>10344</v>
      </c>
      <c r="E827" s="1" t="s">
        <v>3339</v>
      </c>
      <c r="F827" s="1" t="s">
        <v>3340</v>
      </c>
      <c r="G827" s="1" t="s">
        <v>1840</v>
      </c>
      <c r="H827" s="1" t="s">
        <v>1812</v>
      </c>
      <c r="I827" s="10" t="str">
        <f>IF(H827="T72",1,IF(H827="T72",3,IF(H827="T88",6,IF(H827="T88",10,IF(H827="T120",14,IF(H827="T120",18,IF(H827="T88",22,"")))))))</f>
        <v/>
      </c>
      <c r="J827" s="1" t="s">
        <v>1808</v>
      </c>
      <c r="K827" s="10">
        <v>2</v>
      </c>
      <c r="L827" s="10">
        <v>1</v>
      </c>
      <c r="O827" s="6"/>
      <c r="Q827" s="42" t="s">
        <v>2962</v>
      </c>
      <c r="R827" s="42"/>
      <c r="S827" s="1"/>
    </row>
    <row r="828" spans="1:19" ht="18.75" hidden="1" customHeight="1" x14ac:dyDescent="0.3">
      <c r="A828" s="10">
        <v>827</v>
      </c>
      <c r="B828" s="10">
        <f>_xlfn.XLOOKUP(1,(VALUE(D828)&gt;=VALUE(block!$C$3:$C$500))*(VALUE(D828)&lt;VALUE(block!$C$3:$C$500)+VALUE(block!$D$3:$D$500)),block!$A$3:$A$500,"无匹配",0,1)</f>
        <v>21</v>
      </c>
      <c r="C828" s="3" t="str">
        <f>B828 &amp; "-" &amp; COUNTIF($B$2:B828, B828)</f>
        <v>21-25</v>
      </c>
      <c r="D828" s="10">
        <v>10346</v>
      </c>
      <c r="E828" s="1" t="s">
        <v>3341</v>
      </c>
      <c r="F828" s="1" t="s">
        <v>3342</v>
      </c>
      <c r="G828" s="1" t="s">
        <v>1840</v>
      </c>
      <c r="H828" s="1" t="s">
        <v>1812</v>
      </c>
      <c r="I828" s="10" t="str">
        <f>IF(H828="T73",1,IF(H828="T73",3,IF(H828="T89",6,IF(H828="T89",10,IF(H828="T121",14,IF(H828="T121",18,IF(H828="T89",22,"")))))))</f>
        <v/>
      </c>
      <c r="J828" s="1" t="s">
        <v>1808</v>
      </c>
      <c r="K828" s="10">
        <v>2</v>
      </c>
      <c r="L828" s="10">
        <v>1</v>
      </c>
      <c r="O828" s="6"/>
      <c r="Q828" s="42" t="s">
        <v>2962</v>
      </c>
      <c r="R828" s="42"/>
      <c r="S828" s="1"/>
    </row>
    <row r="829" spans="1:19" ht="18.75" hidden="1" customHeight="1" x14ac:dyDescent="0.3">
      <c r="A829" s="10">
        <v>828</v>
      </c>
      <c r="B829" s="10">
        <f>_xlfn.XLOOKUP(1,(VALUE(D829)&gt;=VALUE(block!$C$3:$C$500))*(VALUE(D829)&lt;VALUE(block!$C$3:$C$500)+VALUE(block!$D$3:$D$500)),block!$A$3:$A$500,"无匹配",0,1)</f>
        <v>21</v>
      </c>
      <c r="C829" s="3" t="str">
        <f>B829 &amp; "-" &amp; COUNTIF($B$2:B829, B829)</f>
        <v>21-26</v>
      </c>
      <c r="D829" s="10">
        <v>10348</v>
      </c>
      <c r="E829" s="1" t="s">
        <v>3343</v>
      </c>
      <c r="F829" s="1" t="s">
        <v>3344</v>
      </c>
      <c r="G829" s="1" t="s">
        <v>1840</v>
      </c>
      <c r="H829" s="1" t="s">
        <v>1812</v>
      </c>
      <c r="I829" s="10" t="str">
        <f>IF(H829="T74",1,IF(H829="T74",3,IF(H829="T90",6,IF(H829="T90",10,IF(H829="T122",14,IF(H829="T122",18,IF(H829="T90",22,"")))))))</f>
        <v/>
      </c>
      <c r="J829" s="1" t="s">
        <v>1808</v>
      </c>
      <c r="K829" s="10">
        <v>2</v>
      </c>
      <c r="L829" s="10">
        <v>1</v>
      </c>
      <c r="O829" s="6"/>
      <c r="Q829" s="42" t="s">
        <v>2962</v>
      </c>
      <c r="R829" s="42"/>
      <c r="S829" s="1"/>
    </row>
    <row r="830" spans="1:19" ht="18.75" hidden="1" customHeight="1" x14ac:dyDescent="0.3">
      <c r="A830" s="10">
        <v>829</v>
      </c>
      <c r="B830" s="10">
        <f>_xlfn.XLOOKUP(1,(VALUE(D830)&gt;=VALUE(block!$C$3:$C$500))*(VALUE(D830)&lt;VALUE(block!$C$3:$C$500)+VALUE(block!$D$3:$D$500)),block!$A$3:$A$500,"无匹配",0,1)</f>
        <v>21</v>
      </c>
      <c r="C830" s="3" t="str">
        <f>B830 &amp; "-" &amp; COUNTIF($B$2:B830, B830)</f>
        <v>21-27</v>
      </c>
      <c r="D830" s="10">
        <v>10350</v>
      </c>
      <c r="E830" s="1" t="s">
        <v>3345</v>
      </c>
      <c r="F830" s="1" t="s">
        <v>3346</v>
      </c>
      <c r="G830" s="1" t="s">
        <v>1840</v>
      </c>
      <c r="H830" s="1" t="s">
        <v>1812</v>
      </c>
      <c r="I830" s="10" t="str">
        <f>IF(H830="T75",1,IF(H830="T75",3,IF(H830="T91",6,IF(H830="T91",10,IF(H830="T123",14,IF(H830="T123",18,IF(H830="T91",22,"")))))))</f>
        <v/>
      </c>
      <c r="J830" s="1" t="s">
        <v>1808</v>
      </c>
      <c r="K830" s="10">
        <v>2</v>
      </c>
      <c r="L830" s="10">
        <v>1</v>
      </c>
      <c r="O830" s="6"/>
      <c r="Q830" s="42" t="s">
        <v>2962</v>
      </c>
      <c r="R830" s="42"/>
      <c r="S830" s="1"/>
    </row>
    <row r="831" spans="1:19" ht="18.75" hidden="1" customHeight="1" x14ac:dyDescent="0.3">
      <c r="A831" s="10">
        <v>830</v>
      </c>
      <c r="B831" s="10">
        <f>_xlfn.XLOOKUP(1,(VALUE(D831)&gt;=VALUE(block!$C$3:$C$500))*(VALUE(D831)&lt;VALUE(block!$C$3:$C$500)+VALUE(block!$D$3:$D$500)),block!$A$3:$A$500,"无匹配",0,1)</f>
        <v>21</v>
      </c>
      <c r="C831" s="3" t="str">
        <f>B831 &amp; "-" &amp; COUNTIF($B$2:B831, B831)</f>
        <v>21-28</v>
      </c>
      <c r="D831" s="10">
        <v>10352</v>
      </c>
      <c r="E831" s="1" t="s">
        <v>3347</v>
      </c>
      <c r="F831" s="1" t="s">
        <v>3348</v>
      </c>
      <c r="G831" s="1" t="s">
        <v>1840</v>
      </c>
      <c r="H831" s="1" t="s">
        <v>1812</v>
      </c>
      <c r="I831" s="10" t="str">
        <f>IF(H831="T76",1,IF(H831="T76",3,IF(H831="T92",6,IF(H831="T92",10,IF(H831="T124",14,IF(H831="T124",18,IF(H831="T92",22,"")))))))</f>
        <v/>
      </c>
      <c r="J831" s="1" t="s">
        <v>1808</v>
      </c>
      <c r="K831" s="10">
        <v>2</v>
      </c>
      <c r="L831" s="10">
        <v>1</v>
      </c>
      <c r="O831" s="6"/>
      <c r="Q831" s="42" t="s">
        <v>2962</v>
      </c>
      <c r="R831" s="42"/>
      <c r="S831" s="1"/>
    </row>
    <row r="832" spans="1:19" ht="18.75" hidden="1" customHeight="1" x14ac:dyDescent="0.3">
      <c r="A832" s="10">
        <v>831</v>
      </c>
      <c r="B832" s="10">
        <f>_xlfn.XLOOKUP(1,(VALUE(D832)&gt;=VALUE(block!$C$3:$C$500))*(VALUE(D832)&lt;VALUE(block!$C$3:$C$500)+VALUE(block!$D$3:$D$500)),block!$A$3:$A$500,"无匹配",0,1)</f>
        <v>21</v>
      </c>
      <c r="C832" s="3" t="str">
        <f>B832 &amp; "-" &amp; COUNTIF($B$2:B832, B832)</f>
        <v>21-29</v>
      </c>
      <c r="D832" s="10">
        <v>10354</v>
      </c>
      <c r="E832" s="1" t="s">
        <v>3349</v>
      </c>
      <c r="F832" s="1" t="s">
        <v>3350</v>
      </c>
      <c r="G832" s="1" t="s">
        <v>1840</v>
      </c>
      <c r="H832" s="1" t="s">
        <v>1812</v>
      </c>
      <c r="I832" s="10" t="str">
        <f>IF(H832="T77",1,IF(H832="T77",3,IF(H832="T93",6,IF(H832="T93",10,IF(H832="T125",14,IF(H832="T125",18,IF(H832="T93",22,"")))))))</f>
        <v/>
      </c>
      <c r="J832" s="1" t="s">
        <v>1808</v>
      </c>
      <c r="K832" s="10">
        <v>2</v>
      </c>
      <c r="L832" s="10">
        <v>1</v>
      </c>
      <c r="O832" s="6"/>
      <c r="Q832" s="42" t="s">
        <v>2962</v>
      </c>
      <c r="R832" s="42"/>
      <c r="S832" s="1"/>
    </row>
    <row r="833" spans="1:19" ht="18.75" hidden="1" customHeight="1" x14ac:dyDescent="0.3">
      <c r="A833" s="10">
        <v>832</v>
      </c>
      <c r="B833" s="10">
        <f>_xlfn.XLOOKUP(1,(VALUE(D833)&gt;=VALUE(block!$C$3:$C$500))*(VALUE(D833)&lt;VALUE(block!$C$3:$C$500)+VALUE(block!$D$3:$D$500)),block!$A$3:$A$500,"无匹配",0,1)</f>
        <v>21</v>
      </c>
      <c r="C833" s="3" t="str">
        <f>B833 &amp; "-" &amp; COUNTIF($B$2:B833, B833)</f>
        <v>21-30</v>
      </c>
      <c r="D833" s="10">
        <v>10356</v>
      </c>
      <c r="E833" s="1" t="s">
        <v>3351</v>
      </c>
      <c r="F833" s="1" t="s">
        <v>3352</v>
      </c>
      <c r="G833" s="1" t="s">
        <v>1840</v>
      </c>
      <c r="H833" s="1" t="s">
        <v>1812</v>
      </c>
      <c r="I833" s="10" t="str">
        <f>IF(H833="T78",1,IF(H833="T78",3,IF(H833="T94",6,IF(H833="T94",10,IF(H833="T126",14,IF(H833="T126",18,IF(H833="T94",22,"")))))))</f>
        <v/>
      </c>
      <c r="J833" s="1" t="s">
        <v>1808</v>
      </c>
      <c r="K833" s="10">
        <v>2</v>
      </c>
      <c r="L833" s="10">
        <v>1</v>
      </c>
      <c r="O833" s="6"/>
      <c r="Q833" s="42" t="s">
        <v>2962</v>
      </c>
      <c r="R833" s="42"/>
      <c r="S833" s="1"/>
    </row>
    <row r="834" spans="1:19" ht="18.75" hidden="1" customHeight="1" x14ac:dyDescent="0.3">
      <c r="A834" s="10">
        <v>833</v>
      </c>
      <c r="B834" s="10">
        <f>_xlfn.XLOOKUP(1,(VALUE(D834)&gt;=VALUE(block!$C$3:$C$500))*(VALUE(D834)&lt;VALUE(block!$C$3:$C$500)+VALUE(block!$D$3:$D$500)),block!$A$3:$A$500,"无匹配",0,1)</f>
        <v>21</v>
      </c>
      <c r="C834" s="3" t="str">
        <f>B834 &amp; "-" &amp; COUNTIF($B$2:B834, B834)</f>
        <v>21-31</v>
      </c>
      <c r="D834" s="10">
        <v>10358</v>
      </c>
      <c r="E834" s="1" t="s">
        <v>3353</v>
      </c>
      <c r="F834" s="1" t="s">
        <v>3354</v>
      </c>
      <c r="G834" s="1" t="s">
        <v>1840</v>
      </c>
      <c r="H834" s="1" t="s">
        <v>1812</v>
      </c>
      <c r="I834" s="10" t="str">
        <f>IF(H834="T79",1,IF(H834="T79",3,IF(H834="T95",6,IF(H834="T95",10,IF(H834="T127",14,IF(H834="T127",18,IF(H834="T95",22,"")))))))</f>
        <v/>
      </c>
      <c r="J834" s="1" t="s">
        <v>1808</v>
      </c>
      <c r="K834" s="10">
        <v>2</v>
      </c>
      <c r="L834" s="10">
        <v>1</v>
      </c>
      <c r="O834" s="6"/>
      <c r="Q834" s="42" t="s">
        <v>2962</v>
      </c>
      <c r="R834" s="42"/>
      <c r="S834" s="1"/>
    </row>
    <row r="835" spans="1:19" ht="18.75" hidden="1" customHeight="1" x14ac:dyDescent="0.3">
      <c r="A835" s="10">
        <v>834</v>
      </c>
      <c r="B835" s="10">
        <f>_xlfn.XLOOKUP(1,(VALUE(D835)&gt;=VALUE(block!$C$3:$C$500))*(VALUE(D835)&lt;VALUE(block!$C$3:$C$500)+VALUE(block!$D$3:$D$500)),block!$A$3:$A$500,"无匹配",0,1)</f>
        <v>21</v>
      </c>
      <c r="C835" s="3" t="str">
        <f>B835 &amp; "-" &amp; COUNTIF($B$2:B835, B835)</f>
        <v>21-32</v>
      </c>
      <c r="D835" s="10">
        <v>10360</v>
      </c>
      <c r="E835" s="1" t="s">
        <v>3355</v>
      </c>
      <c r="F835" s="1" t="s">
        <v>3356</v>
      </c>
      <c r="G835" s="1" t="s">
        <v>1840</v>
      </c>
      <c r="H835" s="1" t="s">
        <v>1812</v>
      </c>
      <c r="I835" s="10">
        <f>IF(H835="uint16",1,IF(H835="int16",3,IF(H835="uint32",6,IF(H835="int32",10,IF(H835="uint64",14,IF(H835="int64",18,IF(H835="float32",22,"")))))))</f>
        <v>22</v>
      </c>
      <c r="J835" s="1" t="s">
        <v>1808</v>
      </c>
      <c r="K835" s="10">
        <v>2</v>
      </c>
      <c r="L835" s="10">
        <v>1</v>
      </c>
      <c r="O835" s="6"/>
      <c r="Q835" s="42" t="s">
        <v>2962</v>
      </c>
      <c r="R835" s="42"/>
      <c r="S835" s="1"/>
    </row>
    <row r="836" spans="1:19" ht="18.75" hidden="1" customHeight="1" x14ac:dyDescent="0.3">
      <c r="A836" s="10">
        <v>835</v>
      </c>
      <c r="B836" s="10">
        <f>_xlfn.XLOOKUP(1,(VALUE(D836)&gt;=VALUE(block!$C$3:$C$500))*(VALUE(D836)&lt;VALUE(block!$C$3:$C$500)+VALUE(block!$D$3:$D$500)),block!$A$3:$A$500,"无匹配",0,1)</f>
        <v>21</v>
      </c>
      <c r="C836" s="3" t="str">
        <f>B836 &amp; "-" &amp; COUNTIF($B$2:B836, B836)</f>
        <v>21-33</v>
      </c>
      <c r="D836" s="10">
        <v>10362</v>
      </c>
      <c r="E836" s="1" t="s">
        <v>3357</v>
      </c>
      <c r="F836" s="1" t="s">
        <v>3358</v>
      </c>
      <c r="G836" s="1" t="s">
        <v>1840</v>
      </c>
      <c r="H836" s="1" t="s">
        <v>1812</v>
      </c>
      <c r="I836" s="10" t="str">
        <f>IF(H836="T17",1,IF(H836="T17",3,IF(H836="T33",6,IF(H836="T33",10,IF(H836="T65",14,IF(H836="T65",18,IF(H836="T33",22,"")))))))</f>
        <v/>
      </c>
      <c r="J836" s="1" t="s">
        <v>1808</v>
      </c>
      <c r="K836" s="10">
        <v>2</v>
      </c>
      <c r="L836" s="10">
        <v>1</v>
      </c>
      <c r="O836" s="6"/>
      <c r="Q836" s="42" t="s">
        <v>2962</v>
      </c>
      <c r="R836" s="42"/>
      <c r="S836" s="1"/>
    </row>
    <row r="837" spans="1:19" ht="18.75" hidden="1" customHeight="1" x14ac:dyDescent="0.3">
      <c r="A837" s="10">
        <v>836</v>
      </c>
      <c r="B837" s="10">
        <f>_xlfn.XLOOKUP(1,(VALUE(D837)&gt;=VALUE(block!$C$3:$C$500))*(VALUE(D837)&lt;VALUE(block!$C$3:$C$500)+VALUE(block!$D$3:$D$500)),block!$A$3:$A$500,"无匹配",0,1)</f>
        <v>21</v>
      </c>
      <c r="C837" s="3" t="str">
        <f>B837 &amp; "-" &amp; COUNTIF($B$2:B837, B837)</f>
        <v>21-34</v>
      </c>
      <c r="D837" s="10">
        <v>10364</v>
      </c>
      <c r="E837" s="1" t="s">
        <v>3359</v>
      </c>
      <c r="F837" s="1" t="s">
        <v>3360</v>
      </c>
      <c r="G837" s="1" t="s">
        <v>1840</v>
      </c>
      <c r="H837" s="1" t="s">
        <v>1812</v>
      </c>
      <c r="I837" s="10" t="str">
        <f>IF(H837="T18",1,IF(H837="T18",3,IF(H837="T34",6,IF(H837="T34",10,IF(H837="T66",14,IF(H837="T66",18,IF(H837="T34",22,"")))))))</f>
        <v/>
      </c>
      <c r="J837" s="1" t="s">
        <v>1808</v>
      </c>
      <c r="K837" s="10">
        <v>2</v>
      </c>
      <c r="L837" s="10">
        <v>1</v>
      </c>
      <c r="O837" s="6"/>
      <c r="Q837" s="42" t="s">
        <v>2962</v>
      </c>
      <c r="R837" s="42"/>
      <c r="S837" s="1"/>
    </row>
    <row r="838" spans="1:19" ht="18.75" customHeight="1" x14ac:dyDescent="0.3">
      <c r="A838" s="10">
        <v>837</v>
      </c>
      <c r="B838" s="10">
        <f>_xlfn.XLOOKUP(1,(VALUE(D838)&gt;=VALUE(block!$C$3:$C$500))*(VALUE(D838)&lt;VALUE(block!$C$3:$C$500)+VALUE(block!$D$3:$D$500)),block!$A$3:$A$500,"无匹配",0,1)</f>
        <v>22</v>
      </c>
      <c r="C838" s="3" t="str">
        <f>B838 &amp; "-" &amp; COUNTIF($B$2:B838, B838)</f>
        <v>22-1</v>
      </c>
      <c r="D838" s="10">
        <v>10366</v>
      </c>
      <c r="E838" s="1" t="s">
        <v>3361</v>
      </c>
      <c r="F838" s="1" t="s">
        <v>3362</v>
      </c>
      <c r="G838" s="1" t="s">
        <v>1840</v>
      </c>
      <c r="H838" s="1" t="s">
        <v>1812</v>
      </c>
      <c r="I838" s="10" t="str">
        <f>IF(H838="T19",1,IF(H838="T19",3,IF(H838="T35",6,IF(H838="T35",10,IF(H838="T67",14,IF(H838="T67",18,IF(H838="T35",22,"")))))))</f>
        <v/>
      </c>
      <c r="J838" s="1" t="s">
        <v>1808</v>
      </c>
      <c r="K838" s="10">
        <v>2</v>
      </c>
      <c r="L838" s="10">
        <v>1</v>
      </c>
      <c r="N838" s="10">
        <v>4</v>
      </c>
      <c r="O838" s="6"/>
      <c r="P838" s="45" t="s">
        <v>2826</v>
      </c>
      <c r="Q838" s="6">
        <v>14</v>
      </c>
      <c r="R838" s="6"/>
      <c r="S838" s="1" t="s">
        <v>3362</v>
      </c>
    </row>
    <row r="839" spans="1:19" ht="18.75" customHeight="1" x14ac:dyDescent="0.3">
      <c r="A839" s="10">
        <v>838</v>
      </c>
      <c r="B839" s="10">
        <f>_xlfn.XLOOKUP(1,(VALUE(D839)&gt;=VALUE(block!$C$3:$C$500))*(VALUE(D839)&lt;VALUE(block!$C$3:$C$500)+VALUE(block!$D$3:$D$500)),block!$A$3:$A$500,"无匹配",0,1)</f>
        <v>22</v>
      </c>
      <c r="C839" s="3" t="str">
        <f>B839 &amp; "-" &amp; COUNTIF($B$2:B839, B839)</f>
        <v>22-2</v>
      </c>
      <c r="D839" s="10">
        <v>10368</v>
      </c>
      <c r="E839" s="1" t="s">
        <v>3363</v>
      </c>
      <c r="F839" s="1" t="s">
        <v>3364</v>
      </c>
      <c r="G839" s="1" t="s">
        <v>1840</v>
      </c>
      <c r="H839" s="1" t="s">
        <v>1812</v>
      </c>
      <c r="I839" s="10" t="str">
        <f>IF(H839="T20",1,IF(H839="T20",3,IF(H839="T36",6,IF(H839="T36",10,IF(H839="T68",14,IF(H839="T68",18,IF(H839="T36",22,"")))))))</f>
        <v/>
      </c>
      <c r="J839" s="1" t="s">
        <v>1808</v>
      </c>
      <c r="K839" s="10">
        <v>2</v>
      </c>
      <c r="L839" s="10">
        <v>1</v>
      </c>
      <c r="N839" s="10">
        <v>4</v>
      </c>
      <c r="O839" s="6"/>
      <c r="P839" s="45" t="s">
        <v>2826</v>
      </c>
      <c r="Q839" s="6">
        <v>14</v>
      </c>
      <c r="R839" s="6"/>
      <c r="S839" s="1" t="s">
        <v>3364</v>
      </c>
    </row>
    <row r="840" spans="1:19" ht="18.75" customHeight="1" x14ac:dyDescent="0.3">
      <c r="A840" s="10">
        <v>839</v>
      </c>
      <c r="B840" s="10">
        <f>_xlfn.XLOOKUP(1,(VALUE(D840)&gt;=VALUE(block!$C$3:$C$500))*(VALUE(D840)&lt;VALUE(block!$C$3:$C$500)+VALUE(block!$D$3:$D$500)),block!$A$3:$A$500,"无匹配",0,1)</f>
        <v>22</v>
      </c>
      <c r="C840" s="3" t="str">
        <f>B840 &amp; "-" &amp; COUNTIF($B$2:B840, B840)</f>
        <v>22-3</v>
      </c>
      <c r="D840" s="10">
        <v>10370</v>
      </c>
      <c r="E840" s="1" t="s">
        <v>3365</v>
      </c>
      <c r="F840" s="1" t="s">
        <v>3366</v>
      </c>
      <c r="G840" s="1" t="s">
        <v>1840</v>
      </c>
      <c r="H840" s="1" t="s">
        <v>1812</v>
      </c>
      <c r="I840" s="10" t="str">
        <f>IF(H840="T21",1,IF(H840="T21",3,IF(H840="T37",6,IF(H840="T37",10,IF(H840="T69",14,IF(H840="T69",18,IF(H840="T37",22,"")))))))</f>
        <v/>
      </c>
      <c r="J840" s="1" t="s">
        <v>1808</v>
      </c>
      <c r="K840" s="10">
        <v>2</v>
      </c>
      <c r="L840" s="10">
        <v>1</v>
      </c>
      <c r="N840" s="10">
        <v>4</v>
      </c>
      <c r="O840" s="6"/>
      <c r="P840" s="45" t="s">
        <v>2826</v>
      </c>
      <c r="Q840" s="6">
        <v>14</v>
      </c>
      <c r="R840" s="6"/>
      <c r="S840" s="1" t="s">
        <v>3366</v>
      </c>
    </row>
    <row r="841" spans="1:19" ht="18.75" customHeight="1" x14ac:dyDescent="0.3">
      <c r="A841" s="10">
        <v>840</v>
      </c>
      <c r="B841" s="10">
        <f>_xlfn.XLOOKUP(1,(VALUE(D841)&gt;=VALUE(block!$C$3:$C$500))*(VALUE(D841)&lt;VALUE(block!$C$3:$C$500)+VALUE(block!$D$3:$D$500)),block!$A$3:$A$500,"无匹配",0,1)</f>
        <v>22</v>
      </c>
      <c r="C841" s="3" t="str">
        <f>B841 &amp; "-" &amp; COUNTIF($B$2:B841, B841)</f>
        <v>22-4</v>
      </c>
      <c r="D841" s="10">
        <v>10372</v>
      </c>
      <c r="E841" s="1" t="s">
        <v>3367</v>
      </c>
      <c r="F841" s="1" t="s">
        <v>3368</v>
      </c>
      <c r="G841" s="1" t="s">
        <v>1840</v>
      </c>
      <c r="H841" s="1" t="s">
        <v>1812</v>
      </c>
      <c r="I841" s="10" t="str">
        <f>IF(H841="T22",1,IF(H841="T22",3,IF(H841="T38",6,IF(H841="T38",10,IF(H841="T70",14,IF(H841="T70",18,IF(H841="T38",22,"")))))))</f>
        <v/>
      </c>
      <c r="J841" s="1" t="s">
        <v>1808</v>
      </c>
      <c r="K841" s="10">
        <v>2</v>
      </c>
      <c r="L841" s="10">
        <v>1</v>
      </c>
      <c r="N841" s="10">
        <v>4</v>
      </c>
      <c r="O841" s="6"/>
      <c r="P841" s="45" t="s">
        <v>2826</v>
      </c>
      <c r="Q841" s="6">
        <v>14</v>
      </c>
      <c r="R841" s="6"/>
      <c r="S841" s="1" t="s">
        <v>3368</v>
      </c>
    </row>
    <row r="842" spans="1:19" ht="18.75" hidden="1" customHeight="1" x14ac:dyDescent="0.3">
      <c r="A842" s="10">
        <v>841</v>
      </c>
      <c r="B842" s="10">
        <f>_xlfn.XLOOKUP(1,(VALUE(D842)&gt;=VALUE(block!$C$3:$C$500))*(VALUE(D842)&lt;VALUE(block!$C$3:$C$500)+VALUE(block!$D$3:$D$500)),block!$A$3:$A$500,"无匹配",0,1)</f>
        <v>22</v>
      </c>
      <c r="C842" s="3" t="str">
        <f>B842 &amp; "-" &amp; COUNTIF($B$2:B842, B842)</f>
        <v>22-5</v>
      </c>
      <c r="D842" s="10">
        <v>10374</v>
      </c>
      <c r="E842" s="1" t="s">
        <v>3369</v>
      </c>
      <c r="F842" s="1" t="s">
        <v>3370</v>
      </c>
      <c r="G842" s="1" t="s">
        <v>1840</v>
      </c>
      <c r="H842" s="1" t="s">
        <v>1812</v>
      </c>
      <c r="I842" s="10" t="str">
        <f>IF(H842="T23",1,IF(H842="T23",3,IF(H842="T39",6,IF(H842="T39",10,IF(H842="T71",14,IF(H842="T71",18,IF(H842="T39",22,"")))))))</f>
        <v/>
      </c>
      <c r="J842" s="1" t="s">
        <v>1808</v>
      </c>
      <c r="K842" s="10">
        <v>2</v>
      </c>
      <c r="L842" s="10">
        <v>1</v>
      </c>
      <c r="O842" s="6"/>
      <c r="Q842" s="42" t="s">
        <v>2962</v>
      </c>
      <c r="R842" s="42"/>
      <c r="S842" s="1"/>
    </row>
    <row r="843" spans="1:19" ht="18.75" hidden="1" customHeight="1" x14ac:dyDescent="0.3">
      <c r="A843" s="10">
        <v>842</v>
      </c>
      <c r="B843" s="10">
        <f>_xlfn.XLOOKUP(1,(VALUE(D843)&gt;=VALUE(block!$C$3:$C$500))*(VALUE(D843)&lt;VALUE(block!$C$3:$C$500)+VALUE(block!$D$3:$D$500)),block!$A$3:$A$500,"无匹配",0,1)</f>
        <v>22</v>
      </c>
      <c r="C843" s="3" t="str">
        <f>B843 &amp; "-" &amp; COUNTIF($B$2:B843, B843)</f>
        <v>22-6</v>
      </c>
      <c r="D843" s="10">
        <v>10376</v>
      </c>
      <c r="E843" s="1" t="s">
        <v>3371</v>
      </c>
      <c r="F843" s="1" t="s">
        <v>3372</v>
      </c>
      <c r="G843" s="1" t="s">
        <v>1840</v>
      </c>
      <c r="H843" s="1" t="s">
        <v>1812</v>
      </c>
      <c r="I843" s="10" t="str">
        <f>IF(H843="T24",1,IF(H843="T24",3,IF(H843="T40",6,IF(H843="T40",10,IF(H843="T72",14,IF(H843="T72",18,IF(H843="T40",22,"")))))))</f>
        <v/>
      </c>
      <c r="J843" s="1" t="s">
        <v>1808</v>
      </c>
      <c r="K843" s="10">
        <v>2</v>
      </c>
      <c r="L843" s="10">
        <v>1</v>
      </c>
      <c r="O843" s="6"/>
      <c r="Q843" s="42" t="s">
        <v>2962</v>
      </c>
      <c r="R843" s="42"/>
      <c r="S843" s="1"/>
    </row>
    <row r="844" spans="1:19" ht="18.75" hidden="1" customHeight="1" x14ac:dyDescent="0.3">
      <c r="A844" s="10">
        <v>843</v>
      </c>
      <c r="B844" s="10">
        <f>_xlfn.XLOOKUP(1,(VALUE(D844)&gt;=VALUE(block!$C$3:$C$500))*(VALUE(D844)&lt;VALUE(block!$C$3:$C$500)+VALUE(block!$D$3:$D$500)),block!$A$3:$A$500,"无匹配",0,1)</f>
        <v>22</v>
      </c>
      <c r="C844" s="3" t="str">
        <f>B844 &amp; "-" &amp; COUNTIF($B$2:B844, B844)</f>
        <v>22-7</v>
      </c>
      <c r="D844" s="10">
        <v>10378</v>
      </c>
      <c r="E844" s="1" t="s">
        <v>3373</v>
      </c>
      <c r="F844" s="1" t="s">
        <v>3374</v>
      </c>
      <c r="G844" s="1" t="s">
        <v>1840</v>
      </c>
      <c r="H844" s="1" t="s">
        <v>1812</v>
      </c>
      <c r="I844" s="10" t="str">
        <f>IF(H844="T25",1,IF(H844="T25",3,IF(H844="T41",6,IF(H844="T41",10,IF(H844="T73",14,IF(H844="T73",18,IF(H844="T41",22,"")))))))</f>
        <v/>
      </c>
      <c r="J844" s="1" t="s">
        <v>1808</v>
      </c>
      <c r="K844" s="10">
        <v>2</v>
      </c>
      <c r="L844" s="10">
        <v>1</v>
      </c>
      <c r="O844" s="6"/>
      <c r="Q844" s="42" t="s">
        <v>2962</v>
      </c>
      <c r="R844" s="42"/>
      <c r="S844" s="1"/>
    </row>
    <row r="845" spans="1:19" ht="18.75" hidden="1" customHeight="1" x14ac:dyDescent="0.3">
      <c r="A845" s="10">
        <v>844</v>
      </c>
      <c r="B845" s="10">
        <f>_xlfn.XLOOKUP(1,(VALUE(D845)&gt;=VALUE(block!$C$3:$C$500))*(VALUE(D845)&lt;VALUE(block!$C$3:$C$500)+VALUE(block!$D$3:$D$500)),block!$A$3:$A$500,"无匹配",0,1)</f>
        <v>22</v>
      </c>
      <c r="C845" s="3" t="str">
        <f>B845 &amp; "-" &amp; COUNTIF($B$2:B845, B845)</f>
        <v>22-8</v>
      </c>
      <c r="D845" s="10">
        <v>10380</v>
      </c>
      <c r="E845" s="1" t="s">
        <v>3375</v>
      </c>
      <c r="F845" s="1" t="s">
        <v>3376</v>
      </c>
      <c r="G845" s="1" t="s">
        <v>1840</v>
      </c>
      <c r="H845" s="1" t="s">
        <v>1812</v>
      </c>
      <c r="I845" s="10" t="str">
        <f>IF(H845="T26",1,IF(H845="T26",3,IF(H845="T42",6,IF(H845="T42",10,IF(H845="T74",14,IF(H845="T74",18,IF(H845="T42",22,"")))))))</f>
        <v/>
      </c>
      <c r="J845" s="1" t="s">
        <v>1808</v>
      </c>
      <c r="K845" s="10">
        <v>2</v>
      </c>
      <c r="L845" s="10">
        <v>1</v>
      </c>
      <c r="O845" s="6"/>
      <c r="Q845" s="42" t="s">
        <v>2962</v>
      </c>
      <c r="R845" s="42"/>
      <c r="S845" s="1"/>
    </row>
    <row r="846" spans="1:19" ht="18.75" hidden="1" customHeight="1" x14ac:dyDescent="0.3">
      <c r="A846" s="10">
        <v>845</v>
      </c>
      <c r="B846" s="10">
        <f>_xlfn.XLOOKUP(1,(VALUE(D846)&gt;=VALUE(block!$C$3:$C$500))*(VALUE(D846)&lt;VALUE(block!$C$3:$C$500)+VALUE(block!$D$3:$D$500)),block!$A$3:$A$500,"无匹配",0,1)</f>
        <v>22</v>
      </c>
      <c r="C846" s="3" t="str">
        <f>B846 &amp; "-" &amp; COUNTIF($B$2:B846, B846)</f>
        <v>22-9</v>
      </c>
      <c r="D846" s="10">
        <v>10382</v>
      </c>
      <c r="E846" s="1" t="s">
        <v>3377</v>
      </c>
      <c r="F846" s="1" t="s">
        <v>3378</v>
      </c>
      <c r="G846" s="1" t="s">
        <v>1840</v>
      </c>
      <c r="H846" s="1" t="s">
        <v>1812</v>
      </c>
      <c r="I846" s="10" t="str">
        <f>IF(H846="T27",1,IF(H846="T27",3,IF(H846="T43",6,IF(H846="T43",10,IF(H846="T75",14,IF(H846="T75",18,IF(H846="T43",22,"")))))))</f>
        <v/>
      </c>
      <c r="J846" s="1" t="s">
        <v>1808</v>
      </c>
      <c r="K846" s="10">
        <v>2</v>
      </c>
      <c r="L846" s="10">
        <v>1</v>
      </c>
      <c r="O846" s="6"/>
      <c r="Q846" s="42" t="s">
        <v>2962</v>
      </c>
      <c r="R846" s="42"/>
      <c r="S846" s="1"/>
    </row>
    <row r="847" spans="1:19" ht="18.75" hidden="1" customHeight="1" x14ac:dyDescent="0.3">
      <c r="A847" s="10">
        <v>846</v>
      </c>
      <c r="B847" s="10">
        <f>_xlfn.XLOOKUP(1,(VALUE(D847)&gt;=VALUE(block!$C$3:$C$500))*(VALUE(D847)&lt;VALUE(block!$C$3:$C$500)+VALUE(block!$D$3:$D$500)),block!$A$3:$A$500,"无匹配",0,1)</f>
        <v>22</v>
      </c>
      <c r="C847" s="3" t="str">
        <f>B847 &amp; "-" &amp; COUNTIF($B$2:B847, B847)</f>
        <v>22-10</v>
      </c>
      <c r="D847" s="10">
        <v>10384</v>
      </c>
      <c r="E847" s="1" t="s">
        <v>3379</v>
      </c>
      <c r="F847" s="1" t="s">
        <v>3380</v>
      </c>
      <c r="G847" s="1" t="s">
        <v>1840</v>
      </c>
      <c r="H847" s="1" t="s">
        <v>1812</v>
      </c>
      <c r="I847" s="10" t="str">
        <f>IF(H847="T28",1,IF(H847="T28",3,IF(H847="T44",6,IF(H847="T44",10,IF(H847="T76",14,IF(H847="T76",18,IF(H847="T44",22,"")))))))</f>
        <v/>
      </c>
      <c r="J847" s="1" t="s">
        <v>1808</v>
      </c>
      <c r="K847" s="10">
        <v>2</v>
      </c>
      <c r="L847" s="10">
        <v>1</v>
      </c>
      <c r="O847" s="6"/>
      <c r="Q847" s="42" t="s">
        <v>2962</v>
      </c>
      <c r="R847" s="42"/>
      <c r="S847" s="1"/>
    </row>
    <row r="848" spans="1:19" ht="18.75" hidden="1" customHeight="1" x14ac:dyDescent="0.3">
      <c r="A848" s="10">
        <v>847</v>
      </c>
      <c r="B848" s="10">
        <f>_xlfn.XLOOKUP(1,(VALUE(D848)&gt;=VALUE(block!$C$3:$C$500))*(VALUE(D848)&lt;VALUE(block!$C$3:$C$500)+VALUE(block!$D$3:$D$500)),block!$A$3:$A$500,"无匹配",0,1)</f>
        <v>22</v>
      </c>
      <c r="C848" s="3" t="str">
        <f>B848 &amp; "-" &amp; COUNTIF($B$2:B848, B848)</f>
        <v>22-11</v>
      </c>
      <c r="D848" s="10">
        <v>10386</v>
      </c>
      <c r="E848" s="1" t="s">
        <v>3381</v>
      </c>
      <c r="F848" s="1" t="s">
        <v>3382</v>
      </c>
      <c r="G848" s="1" t="s">
        <v>1840</v>
      </c>
      <c r="H848" s="1" t="s">
        <v>1812</v>
      </c>
      <c r="I848" s="10" t="str">
        <f>IF(H848="T29",1,IF(H848="T29",3,IF(H848="T45",6,IF(H848="T45",10,IF(H848="T77",14,IF(H848="T77",18,IF(H848="T45",22,"")))))))</f>
        <v/>
      </c>
      <c r="J848" s="1" t="s">
        <v>1808</v>
      </c>
      <c r="K848" s="10">
        <v>2</v>
      </c>
      <c r="L848" s="10">
        <v>1</v>
      </c>
      <c r="O848" s="6"/>
      <c r="Q848" s="42" t="s">
        <v>2962</v>
      </c>
      <c r="R848" s="42"/>
      <c r="S848" s="1"/>
    </row>
    <row r="849" spans="1:19" ht="18.75" hidden="1" customHeight="1" x14ac:dyDescent="0.3">
      <c r="A849" s="10">
        <v>848</v>
      </c>
      <c r="B849" s="10">
        <f>_xlfn.XLOOKUP(1,(VALUE(D849)&gt;=VALUE(block!$C$3:$C$500))*(VALUE(D849)&lt;VALUE(block!$C$3:$C$500)+VALUE(block!$D$3:$D$500)),block!$A$3:$A$500,"无匹配",0,1)</f>
        <v>22</v>
      </c>
      <c r="C849" s="3" t="str">
        <f>B849 &amp; "-" &amp; COUNTIF($B$2:B849, B849)</f>
        <v>22-12</v>
      </c>
      <c r="D849" s="10">
        <v>10388</v>
      </c>
      <c r="E849" s="1" t="s">
        <v>3383</v>
      </c>
      <c r="F849" s="1" t="s">
        <v>3384</v>
      </c>
      <c r="G849" s="1" t="s">
        <v>1840</v>
      </c>
      <c r="H849" s="1" t="s">
        <v>1812</v>
      </c>
      <c r="I849" s="10" t="str">
        <f>IF(H849="T30",1,IF(H849="T30",3,IF(H849="T46",6,IF(H849="T46",10,IF(H849="T78",14,IF(H849="T78",18,IF(H849="T46",22,"")))))))</f>
        <v/>
      </c>
      <c r="J849" s="1" t="s">
        <v>1808</v>
      </c>
      <c r="K849" s="10">
        <v>2</v>
      </c>
      <c r="L849" s="10">
        <v>1</v>
      </c>
      <c r="O849" s="6"/>
      <c r="Q849" s="42" t="s">
        <v>2962</v>
      </c>
      <c r="R849" s="42"/>
      <c r="S849" s="1"/>
    </row>
    <row r="850" spans="1:19" ht="18.75" hidden="1" customHeight="1" x14ac:dyDescent="0.3">
      <c r="A850" s="10">
        <v>849</v>
      </c>
      <c r="B850" s="10">
        <f>_xlfn.XLOOKUP(1,(VALUE(D850)&gt;=VALUE(block!$C$3:$C$500))*(VALUE(D850)&lt;VALUE(block!$C$3:$C$500)+VALUE(block!$D$3:$D$500)),block!$A$3:$A$500,"无匹配",0,1)</f>
        <v>22</v>
      </c>
      <c r="C850" s="3" t="str">
        <f>B850 &amp; "-" &amp; COUNTIF($B$2:B850, B850)</f>
        <v>22-13</v>
      </c>
      <c r="D850" s="10">
        <v>10390</v>
      </c>
      <c r="E850" s="1" t="s">
        <v>3385</v>
      </c>
      <c r="F850" s="1" t="s">
        <v>3386</v>
      </c>
      <c r="G850" s="1" t="s">
        <v>1840</v>
      </c>
      <c r="H850" s="1" t="s">
        <v>1812</v>
      </c>
      <c r="I850" s="10" t="str">
        <f>IF(H850="T31",1,IF(H850="T31",3,IF(H850="T47",6,IF(H850="T47",10,IF(H850="T79",14,IF(H850="T79",18,IF(H850="T47",22,"")))))))</f>
        <v/>
      </c>
      <c r="J850" s="1" t="s">
        <v>1808</v>
      </c>
      <c r="K850" s="10">
        <v>2</v>
      </c>
      <c r="L850" s="10">
        <v>1</v>
      </c>
      <c r="O850" s="6"/>
      <c r="Q850" s="42" t="s">
        <v>2962</v>
      </c>
      <c r="R850" s="42"/>
      <c r="S850" s="1"/>
    </row>
    <row r="851" spans="1:19" ht="18.75" hidden="1" customHeight="1" x14ac:dyDescent="0.3">
      <c r="A851" s="10">
        <v>850</v>
      </c>
      <c r="B851" s="10">
        <f>_xlfn.XLOOKUP(1,(VALUE(D851)&gt;=VALUE(block!$C$3:$C$500))*(VALUE(D851)&lt;VALUE(block!$C$3:$C$500)+VALUE(block!$D$3:$D$500)),block!$A$3:$A$500,"无匹配",0,1)</f>
        <v>22</v>
      </c>
      <c r="C851" s="3" t="str">
        <f>B851 &amp; "-" &amp; COUNTIF($B$2:B851, B851)</f>
        <v>22-14</v>
      </c>
      <c r="D851" s="10">
        <v>10392</v>
      </c>
      <c r="E851" s="1" t="s">
        <v>3387</v>
      </c>
      <c r="F851" s="1" t="s">
        <v>3388</v>
      </c>
      <c r="G851" s="1" t="s">
        <v>1840</v>
      </c>
      <c r="H851" s="1" t="s">
        <v>1812</v>
      </c>
      <c r="I851" s="10" t="str">
        <f>IF(H851="T32",1,IF(H851="T32",3,IF(H851="T48",6,IF(H851="T48",10,IF(H851="T80",14,IF(H851="T80",18,IF(H851="T48",22,"")))))))</f>
        <v/>
      </c>
      <c r="J851" s="1" t="s">
        <v>1808</v>
      </c>
      <c r="K851" s="10">
        <v>2</v>
      </c>
      <c r="L851" s="10">
        <v>1</v>
      </c>
      <c r="O851" s="6"/>
      <c r="Q851" s="42" t="s">
        <v>2962</v>
      </c>
      <c r="R851" s="42"/>
      <c r="S851" s="1"/>
    </row>
    <row r="852" spans="1:19" ht="18.75" hidden="1" customHeight="1" x14ac:dyDescent="0.3">
      <c r="A852" s="10">
        <v>851</v>
      </c>
      <c r="B852" s="10">
        <f>_xlfn.XLOOKUP(1,(VALUE(D852)&gt;=VALUE(block!$C$3:$C$500))*(VALUE(D852)&lt;VALUE(block!$C$3:$C$500)+VALUE(block!$D$3:$D$500)),block!$A$3:$A$500,"无匹配",0,1)</f>
        <v>22</v>
      </c>
      <c r="C852" s="3" t="str">
        <f>B852 &amp; "-" &amp; COUNTIF($B$2:B852, B852)</f>
        <v>22-15</v>
      </c>
      <c r="D852" s="10">
        <v>10394</v>
      </c>
      <c r="E852" s="1" t="s">
        <v>3389</v>
      </c>
      <c r="F852" s="1" t="s">
        <v>3390</v>
      </c>
      <c r="G852" s="1" t="s">
        <v>1840</v>
      </c>
      <c r="H852" s="1" t="s">
        <v>1812</v>
      </c>
      <c r="I852" s="10" t="str">
        <f>IF(H852="T33",1,IF(H852="T33",3,IF(H852="T49",6,IF(H852="T49",10,IF(H852="T81",14,IF(H852="T81",18,IF(H852="T49",22,"")))))))</f>
        <v/>
      </c>
      <c r="J852" s="1" t="s">
        <v>1808</v>
      </c>
      <c r="K852" s="10">
        <v>2</v>
      </c>
      <c r="L852" s="10">
        <v>1</v>
      </c>
      <c r="O852" s="6"/>
      <c r="Q852" s="42" t="s">
        <v>2962</v>
      </c>
      <c r="R852" s="42"/>
      <c r="S852" s="1"/>
    </row>
    <row r="853" spans="1:19" ht="18.75" hidden="1" customHeight="1" x14ac:dyDescent="0.3">
      <c r="A853" s="10">
        <v>852</v>
      </c>
      <c r="B853" s="10">
        <f>_xlfn.XLOOKUP(1,(VALUE(D853)&gt;=VALUE(block!$C$3:$C$500))*(VALUE(D853)&lt;VALUE(block!$C$3:$C$500)+VALUE(block!$D$3:$D$500)),block!$A$3:$A$500,"无匹配",0,1)</f>
        <v>22</v>
      </c>
      <c r="C853" s="3" t="str">
        <f>B853 &amp; "-" &amp; COUNTIF($B$2:B853, B853)</f>
        <v>22-16</v>
      </c>
      <c r="D853" s="10">
        <v>10396</v>
      </c>
      <c r="E853" s="1" t="s">
        <v>3391</v>
      </c>
      <c r="F853" s="1" t="s">
        <v>3392</v>
      </c>
      <c r="G853" s="1" t="s">
        <v>1840</v>
      </c>
      <c r="H853" s="1" t="s">
        <v>1812</v>
      </c>
      <c r="I853" s="10" t="str">
        <f>IF(H853="T34",1,IF(H853="T34",3,IF(H853="T50",6,IF(H853="T50",10,IF(H853="T82",14,IF(H853="T82",18,IF(H853="T50",22,"")))))))</f>
        <v/>
      </c>
      <c r="J853" s="1" t="s">
        <v>1808</v>
      </c>
      <c r="K853" s="10">
        <v>2</v>
      </c>
      <c r="L853" s="10">
        <v>1</v>
      </c>
      <c r="O853" s="6"/>
      <c r="Q853" s="42" t="s">
        <v>2962</v>
      </c>
      <c r="R853" s="42"/>
      <c r="S853" s="1"/>
    </row>
    <row r="854" spans="1:19" ht="18.75" hidden="1" customHeight="1" x14ac:dyDescent="0.3">
      <c r="A854" s="10">
        <v>853</v>
      </c>
      <c r="B854" s="10">
        <f>_xlfn.XLOOKUP(1,(VALUE(D854)&gt;=VALUE(block!$C$3:$C$500))*(VALUE(D854)&lt;VALUE(block!$C$3:$C$500)+VALUE(block!$D$3:$D$500)),block!$A$3:$A$500,"无匹配",0,1)</f>
        <v>22</v>
      </c>
      <c r="C854" s="3" t="str">
        <f>B854 &amp; "-" &amp; COUNTIF($B$2:B854, B854)</f>
        <v>22-17</v>
      </c>
      <c r="D854" s="10">
        <v>10398</v>
      </c>
      <c r="E854" s="1" t="s">
        <v>3393</v>
      </c>
      <c r="F854" s="1" t="s">
        <v>3394</v>
      </c>
      <c r="G854" s="1" t="s">
        <v>1840</v>
      </c>
      <c r="H854" s="1" t="s">
        <v>1812</v>
      </c>
      <c r="I854" s="10" t="str">
        <f>IF(H854="T35",1,IF(H854="T35",3,IF(H854="T51",6,IF(H854="T51",10,IF(H854="T83",14,IF(H854="T83",18,IF(H854="T51",22,"")))))))</f>
        <v/>
      </c>
      <c r="J854" s="1" t="s">
        <v>1808</v>
      </c>
      <c r="K854" s="10">
        <v>2</v>
      </c>
      <c r="L854" s="10">
        <v>1</v>
      </c>
      <c r="O854" s="6"/>
      <c r="Q854" s="42" t="s">
        <v>2962</v>
      </c>
      <c r="R854" s="42"/>
      <c r="S854" s="1"/>
    </row>
    <row r="855" spans="1:19" ht="18.75" hidden="1" customHeight="1" x14ac:dyDescent="0.3">
      <c r="A855" s="10">
        <v>854</v>
      </c>
      <c r="B855" s="10">
        <f>_xlfn.XLOOKUP(1,(VALUE(D855)&gt;=VALUE(block!$C$3:$C$500))*(VALUE(D855)&lt;VALUE(block!$C$3:$C$500)+VALUE(block!$D$3:$D$500)),block!$A$3:$A$500,"无匹配",0,1)</f>
        <v>22</v>
      </c>
      <c r="C855" s="3" t="str">
        <f>B855 &amp; "-" &amp; COUNTIF($B$2:B855, B855)</f>
        <v>22-18</v>
      </c>
      <c r="D855" s="10">
        <v>10400</v>
      </c>
      <c r="E855" s="1" t="s">
        <v>3395</v>
      </c>
      <c r="F855" s="1" t="s">
        <v>3396</v>
      </c>
      <c r="G855" s="1" t="s">
        <v>1840</v>
      </c>
      <c r="H855" s="1" t="s">
        <v>1812</v>
      </c>
      <c r="I855" s="10" t="str">
        <f>IF(H855="T36",1,IF(H855="T36",3,IF(H855="T52",6,IF(H855="T52",10,IF(H855="T84",14,IF(H855="T84",18,IF(H855="T52",22,"")))))))</f>
        <v/>
      </c>
      <c r="J855" s="1" t="s">
        <v>1808</v>
      </c>
      <c r="K855" s="10">
        <v>2</v>
      </c>
      <c r="L855" s="10">
        <v>1</v>
      </c>
      <c r="O855" s="6"/>
      <c r="Q855" s="42" t="s">
        <v>2962</v>
      </c>
      <c r="R855" s="42"/>
      <c r="S855" s="1"/>
    </row>
    <row r="856" spans="1:19" ht="18.75" hidden="1" customHeight="1" x14ac:dyDescent="0.3">
      <c r="A856" s="10">
        <v>855</v>
      </c>
      <c r="B856" s="10">
        <f>_xlfn.XLOOKUP(1,(VALUE(D856)&gt;=VALUE(block!$C$3:$C$500))*(VALUE(D856)&lt;VALUE(block!$C$3:$C$500)+VALUE(block!$D$3:$D$500)),block!$A$3:$A$500,"无匹配",0,1)</f>
        <v>22</v>
      </c>
      <c r="C856" s="3" t="str">
        <f>B856 &amp; "-" &amp; COUNTIF($B$2:B856, B856)</f>
        <v>22-19</v>
      </c>
      <c r="D856" s="10">
        <v>10402</v>
      </c>
      <c r="E856" s="1" t="s">
        <v>3397</v>
      </c>
      <c r="F856" s="1" t="s">
        <v>3398</v>
      </c>
      <c r="G856" s="1" t="s">
        <v>1840</v>
      </c>
      <c r="H856" s="1" t="s">
        <v>1812</v>
      </c>
      <c r="I856" s="10" t="str">
        <f>IF(H856="T37",1,IF(H856="T37",3,IF(H856="T53",6,IF(H856="T53",10,IF(H856="T85",14,IF(H856="T85",18,IF(H856="T53",22,"")))))))</f>
        <v/>
      </c>
      <c r="J856" s="1" t="s">
        <v>1808</v>
      </c>
      <c r="K856" s="10">
        <v>2</v>
      </c>
      <c r="L856" s="10">
        <v>1</v>
      </c>
      <c r="O856" s="6"/>
      <c r="Q856" s="42" t="s">
        <v>2962</v>
      </c>
      <c r="R856" s="42"/>
      <c r="S856" s="1"/>
    </row>
    <row r="857" spans="1:19" ht="18.75" hidden="1" customHeight="1" x14ac:dyDescent="0.3">
      <c r="A857" s="10">
        <v>856</v>
      </c>
      <c r="B857" s="10">
        <f>_xlfn.XLOOKUP(1,(VALUE(D857)&gt;=VALUE(block!$C$3:$C$500))*(VALUE(D857)&lt;VALUE(block!$C$3:$C$500)+VALUE(block!$D$3:$D$500)),block!$A$3:$A$500,"无匹配",0,1)</f>
        <v>22</v>
      </c>
      <c r="C857" s="3" t="str">
        <f>B857 &amp; "-" &amp; COUNTIF($B$2:B857, B857)</f>
        <v>22-20</v>
      </c>
      <c r="D857" s="10">
        <v>10404</v>
      </c>
      <c r="E857" s="1" t="s">
        <v>3399</v>
      </c>
      <c r="F857" s="1" t="s">
        <v>3400</v>
      </c>
      <c r="G857" s="1" t="s">
        <v>1840</v>
      </c>
      <c r="H857" s="1" t="s">
        <v>1812</v>
      </c>
      <c r="I857" s="10" t="str">
        <f>IF(H857="T38",1,IF(H857="T38",3,IF(H857="T54",6,IF(H857="T54",10,IF(H857="T86",14,IF(H857="T86",18,IF(H857="T54",22,"")))))))</f>
        <v/>
      </c>
      <c r="J857" s="1" t="s">
        <v>1808</v>
      </c>
      <c r="K857" s="10">
        <v>2</v>
      </c>
      <c r="L857" s="10">
        <v>1</v>
      </c>
      <c r="O857" s="6"/>
      <c r="Q857" s="42" t="s">
        <v>2962</v>
      </c>
      <c r="R857" s="42"/>
      <c r="S857" s="1"/>
    </row>
    <row r="858" spans="1:19" ht="18.75" hidden="1" customHeight="1" x14ac:dyDescent="0.3">
      <c r="A858" s="10">
        <v>857</v>
      </c>
      <c r="B858" s="10">
        <f>_xlfn.XLOOKUP(1,(VALUE(D858)&gt;=VALUE(block!$C$3:$C$500))*(VALUE(D858)&lt;VALUE(block!$C$3:$C$500)+VALUE(block!$D$3:$D$500)),block!$A$3:$A$500,"无匹配",0,1)</f>
        <v>22</v>
      </c>
      <c r="C858" s="3" t="str">
        <f>B858 &amp; "-" &amp; COUNTIF($B$2:B858, B858)</f>
        <v>22-21</v>
      </c>
      <c r="D858" s="10">
        <v>10406</v>
      </c>
      <c r="E858" s="1" t="s">
        <v>3401</v>
      </c>
      <c r="F858" s="1" t="s">
        <v>3402</v>
      </c>
      <c r="G858" s="1" t="s">
        <v>1840</v>
      </c>
      <c r="H858" s="1" t="s">
        <v>1812</v>
      </c>
      <c r="I858" s="10" t="str">
        <f>IF(H858="T39",1,IF(H858="T39",3,IF(H858="T55",6,IF(H858="T55",10,IF(H858="T87",14,IF(H858="T87",18,IF(H858="T55",22,"")))))))</f>
        <v/>
      </c>
      <c r="J858" s="1" t="s">
        <v>1808</v>
      </c>
      <c r="K858" s="10">
        <v>2</v>
      </c>
      <c r="L858" s="10">
        <v>1</v>
      </c>
      <c r="O858" s="6"/>
      <c r="Q858" s="42" t="s">
        <v>2962</v>
      </c>
      <c r="R858" s="42"/>
      <c r="S858" s="1"/>
    </row>
    <row r="859" spans="1:19" ht="18.75" hidden="1" customHeight="1" x14ac:dyDescent="0.3">
      <c r="A859" s="10">
        <v>858</v>
      </c>
      <c r="B859" s="10">
        <f>_xlfn.XLOOKUP(1,(VALUE(D859)&gt;=VALUE(block!$C$3:$C$500))*(VALUE(D859)&lt;VALUE(block!$C$3:$C$500)+VALUE(block!$D$3:$D$500)),block!$A$3:$A$500,"无匹配",0,1)</f>
        <v>22</v>
      </c>
      <c r="C859" s="3" t="str">
        <f>B859 &amp; "-" &amp; COUNTIF($B$2:B859, B859)</f>
        <v>22-22</v>
      </c>
      <c r="D859" s="10">
        <v>10408</v>
      </c>
      <c r="E859" s="1" t="s">
        <v>3403</v>
      </c>
      <c r="F859" s="1" t="s">
        <v>3404</v>
      </c>
      <c r="G859" s="1" t="s">
        <v>1840</v>
      </c>
      <c r="H859" s="1" t="s">
        <v>1812</v>
      </c>
      <c r="I859" s="10" t="str">
        <f>IF(H859="T40",1,IF(H859="T40",3,IF(H859="T56",6,IF(H859="T56",10,IF(H859="T88",14,IF(H859="T88",18,IF(H859="T56",22,"")))))))</f>
        <v/>
      </c>
      <c r="J859" s="1" t="s">
        <v>1808</v>
      </c>
      <c r="K859" s="10">
        <v>2</v>
      </c>
      <c r="L859" s="10">
        <v>1</v>
      </c>
      <c r="O859" s="6"/>
      <c r="Q859" s="42" t="s">
        <v>2962</v>
      </c>
      <c r="R859" s="42"/>
      <c r="S859" s="1"/>
    </row>
    <row r="860" spans="1:19" ht="18.75" hidden="1" customHeight="1" x14ac:dyDescent="0.3">
      <c r="A860" s="10">
        <v>859</v>
      </c>
      <c r="B860" s="10">
        <f>_xlfn.XLOOKUP(1,(VALUE(D860)&gt;=VALUE(block!$C$3:$C$500))*(VALUE(D860)&lt;VALUE(block!$C$3:$C$500)+VALUE(block!$D$3:$D$500)),block!$A$3:$A$500,"无匹配",0,1)</f>
        <v>22</v>
      </c>
      <c r="C860" s="3" t="str">
        <f>B860 &amp; "-" &amp; COUNTIF($B$2:B860, B860)</f>
        <v>22-23</v>
      </c>
      <c r="D860" s="10">
        <v>10410</v>
      </c>
      <c r="E860" s="1" t="s">
        <v>3405</v>
      </c>
      <c r="F860" s="1" t="s">
        <v>3406</v>
      </c>
      <c r="G860" s="1" t="s">
        <v>1840</v>
      </c>
      <c r="H860" s="1" t="s">
        <v>1812</v>
      </c>
      <c r="I860" s="10" t="str">
        <f>IF(H860="T41",1,IF(H860="T41",3,IF(H860="T57",6,IF(H860="T57",10,IF(H860="T89",14,IF(H860="T89",18,IF(H860="T57",22,"")))))))</f>
        <v/>
      </c>
      <c r="J860" s="1" t="s">
        <v>1808</v>
      </c>
      <c r="K860" s="10">
        <v>2</v>
      </c>
      <c r="L860" s="10">
        <v>1</v>
      </c>
      <c r="O860" s="6"/>
      <c r="Q860" s="42" t="s">
        <v>2962</v>
      </c>
      <c r="R860" s="42"/>
      <c r="S860" s="1"/>
    </row>
    <row r="861" spans="1:19" ht="18.75" hidden="1" customHeight="1" x14ac:dyDescent="0.3">
      <c r="A861" s="10">
        <v>860</v>
      </c>
      <c r="B861" s="10">
        <f>_xlfn.XLOOKUP(1,(VALUE(D861)&gt;=VALUE(block!$C$3:$C$500))*(VALUE(D861)&lt;VALUE(block!$C$3:$C$500)+VALUE(block!$D$3:$D$500)),block!$A$3:$A$500,"无匹配",0,1)</f>
        <v>22</v>
      </c>
      <c r="C861" s="3" t="str">
        <f>B861 &amp; "-" &amp; COUNTIF($B$2:B861, B861)</f>
        <v>22-24</v>
      </c>
      <c r="D861" s="10">
        <v>10412</v>
      </c>
      <c r="E861" s="1" t="s">
        <v>3407</v>
      </c>
      <c r="F861" s="1" t="s">
        <v>3408</v>
      </c>
      <c r="G861" s="1" t="s">
        <v>1840</v>
      </c>
      <c r="H861" s="1" t="s">
        <v>1812</v>
      </c>
      <c r="I861" s="10" t="str">
        <f>IF(H861="T42",1,IF(H861="T42",3,IF(H861="T58",6,IF(H861="T58",10,IF(H861="T90",14,IF(H861="T90",18,IF(H861="T58",22,"")))))))</f>
        <v/>
      </c>
      <c r="J861" s="1" t="s">
        <v>1808</v>
      </c>
      <c r="K861" s="10">
        <v>2</v>
      </c>
      <c r="L861" s="10">
        <v>1</v>
      </c>
      <c r="O861" s="6"/>
      <c r="Q861" s="42" t="s">
        <v>2962</v>
      </c>
      <c r="R861" s="42"/>
      <c r="S861" s="1"/>
    </row>
    <row r="862" spans="1:19" ht="18.75" hidden="1" customHeight="1" x14ac:dyDescent="0.3">
      <c r="A862" s="10">
        <v>861</v>
      </c>
      <c r="B862" s="10">
        <f>_xlfn.XLOOKUP(1,(VALUE(D862)&gt;=VALUE(block!$C$3:$C$500))*(VALUE(D862)&lt;VALUE(block!$C$3:$C$500)+VALUE(block!$D$3:$D$500)),block!$A$3:$A$500,"无匹配",0,1)</f>
        <v>22</v>
      </c>
      <c r="C862" s="3" t="str">
        <f>B862 &amp; "-" &amp; COUNTIF($B$2:B862, B862)</f>
        <v>22-25</v>
      </c>
      <c r="D862" s="10">
        <v>10414</v>
      </c>
      <c r="E862" s="1" t="s">
        <v>3409</v>
      </c>
      <c r="F862" s="1" t="s">
        <v>3410</v>
      </c>
      <c r="G862" s="1" t="s">
        <v>1840</v>
      </c>
      <c r="H862" s="1" t="s">
        <v>1812</v>
      </c>
      <c r="I862" s="10" t="str">
        <f>IF(H862="T43",1,IF(H862="T43",3,IF(H862="T59",6,IF(H862="T59",10,IF(H862="T91",14,IF(H862="T91",18,IF(H862="T59",22,"")))))))</f>
        <v/>
      </c>
      <c r="J862" s="1" t="s">
        <v>1808</v>
      </c>
      <c r="K862" s="10">
        <v>2</v>
      </c>
      <c r="L862" s="10">
        <v>1</v>
      </c>
      <c r="O862" s="6"/>
      <c r="Q862" s="42" t="s">
        <v>2962</v>
      </c>
      <c r="R862" s="42"/>
      <c r="S862" s="1"/>
    </row>
    <row r="863" spans="1:19" ht="18.75" hidden="1" customHeight="1" x14ac:dyDescent="0.3">
      <c r="A863" s="10">
        <v>862</v>
      </c>
      <c r="B863" s="10">
        <f>_xlfn.XLOOKUP(1,(VALUE(D863)&gt;=VALUE(block!$C$3:$C$500))*(VALUE(D863)&lt;VALUE(block!$C$3:$C$500)+VALUE(block!$D$3:$D$500)),block!$A$3:$A$500,"无匹配",0,1)</f>
        <v>22</v>
      </c>
      <c r="C863" s="3" t="str">
        <f>B863 &amp; "-" &amp; COUNTIF($B$2:B863, B863)</f>
        <v>22-26</v>
      </c>
      <c r="D863" s="10">
        <v>10416</v>
      </c>
      <c r="E863" s="1" t="s">
        <v>3411</v>
      </c>
      <c r="F863" s="1" t="s">
        <v>3412</v>
      </c>
      <c r="G863" s="1" t="s">
        <v>1840</v>
      </c>
      <c r="H863" s="1" t="s">
        <v>1812</v>
      </c>
      <c r="I863" s="10" t="str">
        <f>IF(H863="T44",1,IF(H863="T44",3,IF(H863="T60",6,IF(H863="T60",10,IF(H863="T92",14,IF(H863="T92",18,IF(H863="T60",22,"")))))))</f>
        <v/>
      </c>
      <c r="J863" s="1" t="s">
        <v>1808</v>
      </c>
      <c r="K863" s="10">
        <v>2</v>
      </c>
      <c r="L863" s="10">
        <v>1</v>
      </c>
      <c r="O863" s="6"/>
      <c r="Q863" s="42" t="s">
        <v>2962</v>
      </c>
      <c r="R863" s="42"/>
      <c r="S863" s="1"/>
    </row>
    <row r="864" spans="1:19" ht="18.75" hidden="1" customHeight="1" x14ac:dyDescent="0.3">
      <c r="A864" s="10">
        <v>863</v>
      </c>
      <c r="B864" s="10">
        <f>_xlfn.XLOOKUP(1,(VALUE(D864)&gt;=VALUE(block!$C$3:$C$500))*(VALUE(D864)&lt;VALUE(block!$C$3:$C$500)+VALUE(block!$D$3:$D$500)),block!$A$3:$A$500,"无匹配",0,1)</f>
        <v>22</v>
      </c>
      <c r="C864" s="3" t="str">
        <f>B864 &amp; "-" &amp; COUNTIF($B$2:B864, B864)</f>
        <v>22-27</v>
      </c>
      <c r="D864" s="10">
        <v>10418</v>
      </c>
      <c r="E864" s="1" t="s">
        <v>3413</v>
      </c>
      <c r="F864" s="1" t="s">
        <v>3414</v>
      </c>
      <c r="G864" s="1" t="s">
        <v>1840</v>
      </c>
      <c r="H864" s="1" t="s">
        <v>1812</v>
      </c>
      <c r="I864" s="10" t="str">
        <f>IF(H864="T45",1,IF(H864="T45",3,IF(H864="T61",6,IF(H864="T61",10,IF(H864="T93",14,IF(H864="T93",18,IF(H864="T61",22,"")))))))</f>
        <v/>
      </c>
      <c r="J864" s="1" t="s">
        <v>1808</v>
      </c>
      <c r="K864" s="10">
        <v>2</v>
      </c>
      <c r="L864" s="10">
        <v>1</v>
      </c>
      <c r="O864" s="6"/>
      <c r="Q864" s="42" t="s">
        <v>2962</v>
      </c>
      <c r="R864" s="42"/>
      <c r="S864" s="1"/>
    </row>
    <row r="865" spans="1:19" ht="18.75" hidden="1" customHeight="1" x14ac:dyDescent="0.3">
      <c r="A865" s="10">
        <v>864</v>
      </c>
      <c r="B865" s="10">
        <f>_xlfn.XLOOKUP(1,(VALUE(D865)&gt;=VALUE(block!$C$3:$C$500))*(VALUE(D865)&lt;VALUE(block!$C$3:$C$500)+VALUE(block!$D$3:$D$500)),block!$A$3:$A$500,"无匹配",0,1)</f>
        <v>22</v>
      </c>
      <c r="C865" s="3" t="str">
        <f>B865 &amp; "-" &amp; COUNTIF($B$2:B865, B865)</f>
        <v>22-28</v>
      </c>
      <c r="D865" s="10">
        <v>10420</v>
      </c>
      <c r="E865" s="1" t="s">
        <v>3415</v>
      </c>
      <c r="F865" s="1" t="s">
        <v>3416</v>
      </c>
      <c r="G865" s="1" t="s">
        <v>1840</v>
      </c>
      <c r="H865" s="1" t="s">
        <v>1812</v>
      </c>
      <c r="I865" s="10" t="str">
        <f>IF(H865="T46",1,IF(H865="T46",3,IF(H865="T62",6,IF(H865="T62",10,IF(H865="T94",14,IF(H865="T94",18,IF(H865="T62",22,"")))))))</f>
        <v/>
      </c>
      <c r="J865" s="1" t="s">
        <v>1808</v>
      </c>
      <c r="K865" s="10">
        <v>2</v>
      </c>
      <c r="L865" s="10">
        <v>1</v>
      </c>
      <c r="O865" s="6"/>
      <c r="Q865" s="42" t="s">
        <v>2962</v>
      </c>
      <c r="R865" s="42"/>
      <c r="S865" s="1"/>
    </row>
    <row r="866" spans="1:19" ht="18.75" hidden="1" customHeight="1" x14ac:dyDescent="0.3">
      <c r="A866" s="10">
        <v>865</v>
      </c>
      <c r="B866" s="10">
        <f>_xlfn.XLOOKUP(1,(VALUE(D866)&gt;=VALUE(block!$C$3:$C$500))*(VALUE(D866)&lt;VALUE(block!$C$3:$C$500)+VALUE(block!$D$3:$D$500)),block!$A$3:$A$500,"无匹配",0,1)</f>
        <v>22</v>
      </c>
      <c r="C866" s="3" t="str">
        <f>B866 &amp; "-" &amp; COUNTIF($B$2:B866, B866)</f>
        <v>22-29</v>
      </c>
      <c r="D866" s="10">
        <v>10422</v>
      </c>
      <c r="E866" s="1" t="s">
        <v>3417</v>
      </c>
      <c r="F866" s="1" t="s">
        <v>3418</v>
      </c>
      <c r="G866" s="1" t="s">
        <v>1840</v>
      </c>
      <c r="H866" s="1" t="s">
        <v>1812</v>
      </c>
      <c r="I866" s="10" t="str">
        <f>IF(H866="T47",1,IF(H866="T47",3,IF(H866="T63",6,IF(H866="T63",10,IF(H866="T95",14,IF(H866="T95",18,IF(H866="T63",22,"")))))))</f>
        <v/>
      </c>
      <c r="J866" s="1" t="s">
        <v>1808</v>
      </c>
      <c r="K866" s="10">
        <v>2</v>
      </c>
      <c r="L866" s="10">
        <v>1</v>
      </c>
      <c r="O866" s="6"/>
      <c r="Q866" s="42" t="s">
        <v>2962</v>
      </c>
      <c r="R866" s="42"/>
      <c r="S866" s="1"/>
    </row>
    <row r="867" spans="1:19" ht="18.75" hidden="1" customHeight="1" x14ac:dyDescent="0.3">
      <c r="A867" s="10">
        <v>866</v>
      </c>
      <c r="B867" s="10">
        <f>_xlfn.XLOOKUP(1,(VALUE(D867)&gt;=VALUE(block!$C$3:$C$500))*(VALUE(D867)&lt;VALUE(block!$C$3:$C$500)+VALUE(block!$D$3:$D$500)),block!$A$3:$A$500,"无匹配",0,1)</f>
        <v>22</v>
      </c>
      <c r="C867" s="3" t="str">
        <f>B867 &amp; "-" &amp; COUNTIF($B$2:B867, B867)</f>
        <v>22-30</v>
      </c>
      <c r="D867" s="10">
        <v>10424</v>
      </c>
      <c r="E867" s="1" t="s">
        <v>3419</v>
      </c>
      <c r="F867" s="1" t="s">
        <v>3420</v>
      </c>
      <c r="G867" s="1" t="s">
        <v>1840</v>
      </c>
      <c r="H867" s="1" t="s">
        <v>1812</v>
      </c>
      <c r="I867" s="10" t="str">
        <f>IF(H867="T48",1,IF(H867="T48",3,IF(H867="T64",6,IF(H867="T64",10,IF(H867="T96",14,IF(H867="T96",18,IF(H867="T64",22,"")))))))</f>
        <v/>
      </c>
      <c r="J867" s="1" t="s">
        <v>1808</v>
      </c>
      <c r="K867" s="10">
        <v>2</v>
      </c>
      <c r="L867" s="10">
        <v>1</v>
      </c>
      <c r="O867" s="6"/>
      <c r="Q867" s="42" t="s">
        <v>2962</v>
      </c>
      <c r="R867" s="42"/>
      <c r="S867" s="1"/>
    </row>
    <row r="868" spans="1:19" ht="18.75" hidden="1" customHeight="1" x14ac:dyDescent="0.3">
      <c r="A868" s="10">
        <v>867</v>
      </c>
      <c r="B868" s="10">
        <f>_xlfn.XLOOKUP(1,(VALUE(D868)&gt;=VALUE(block!$C$3:$C$500))*(VALUE(D868)&lt;VALUE(block!$C$3:$C$500)+VALUE(block!$D$3:$D$500)),block!$A$3:$A$500,"无匹配",0,1)</f>
        <v>22</v>
      </c>
      <c r="C868" s="3" t="str">
        <f>B868 &amp; "-" &amp; COUNTIF($B$2:B868, B868)</f>
        <v>22-31</v>
      </c>
      <c r="D868" s="10">
        <v>10426</v>
      </c>
      <c r="E868" s="1" t="s">
        <v>3421</v>
      </c>
      <c r="F868" s="1" t="s">
        <v>3422</v>
      </c>
      <c r="G868" s="1" t="s">
        <v>1840</v>
      </c>
      <c r="H868" s="1" t="s">
        <v>1812</v>
      </c>
      <c r="I868" s="10" t="str">
        <f>IF(H868="T49",1,IF(H868="T49",3,IF(H868="T65",6,IF(H868="T65",10,IF(H868="T97",14,IF(H868="T97",18,IF(H868="T65",22,"")))))))</f>
        <v/>
      </c>
      <c r="J868" s="1" t="s">
        <v>1808</v>
      </c>
      <c r="K868" s="10">
        <v>2</v>
      </c>
      <c r="L868" s="10">
        <v>1</v>
      </c>
      <c r="O868" s="6"/>
      <c r="Q868" s="42" t="s">
        <v>2962</v>
      </c>
      <c r="R868" s="42"/>
      <c r="S868" s="1"/>
    </row>
    <row r="869" spans="1:19" ht="18.75" hidden="1" customHeight="1" x14ac:dyDescent="0.3">
      <c r="A869" s="10">
        <v>868</v>
      </c>
      <c r="B869" s="10">
        <f>_xlfn.XLOOKUP(1,(VALUE(D869)&gt;=VALUE(block!$C$3:$C$500))*(VALUE(D869)&lt;VALUE(block!$C$3:$C$500)+VALUE(block!$D$3:$D$500)),block!$A$3:$A$500,"无匹配",0,1)</f>
        <v>22</v>
      </c>
      <c r="C869" s="3" t="str">
        <f>B869 &amp; "-" &amp; COUNTIF($B$2:B869, B869)</f>
        <v>22-32</v>
      </c>
      <c r="D869" s="10">
        <v>10428</v>
      </c>
      <c r="E869" s="1" t="s">
        <v>3423</v>
      </c>
      <c r="F869" s="1" t="s">
        <v>3424</v>
      </c>
      <c r="G869" s="1" t="s">
        <v>1840</v>
      </c>
      <c r="H869" s="1" t="s">
        <v>1812</v>
      </c>
      <c r="I869" s="10" t="str">
        <f>IF(H869="T50",1,IF(H869="T50",3,IF(H869="T66",6,IF(H869="T66",10,IF(H869="T98",14,IF(H869="T98",18,IF(H869="T66",22,"")))))))</f>
        <v/>
      </c>
      <c r="J869" s="1" t="s">
        <v>1808</v>
      </c>
      <c r="K869" s="10">
        <v>2</v>
      </c>
      <c r="L869" s="10">
        <v>1</v>
      </c>
      <c r="O869" s="6"/>
      <c r="Q869" s="42" t="s">
        <v>2962</v>
      </c>
      <c r="R869" s="42"/>
      <c r="S869" s="1"/>
    </row>
    <row r="870" spans="1:19" ht="18.75" hidden="1" customHeight="1" x14ac:dyDescent="0.3">
      <c r="A870" s="10">
        <v>869</v>
      </c>
      <c r="B870" s="10">
        <f>_xlfn.XLOOKUP(1,(VALUE(D870)&gt;=VALUE(block!$C$3:$C$500))*(VALUE(D870)&lt;VALUE(block!$C$3:$C$500)+VALUE(block!$D$3:$D$500)),block!$A$3:$A$500,"无匹配",0,1)</f>
        <v>22</v>
      </c>
      <c r="C870" s="3" t="str">
        <f>B870 &amp; "-" &amp; COUNTIF($B$2:B870, B870)</f>
        <v>22-33</v>
      </c>
      <c r="D870" s="10">
        <v>10430</v>
      </c>
      <c r="E870" s="1" t="s">
        <v>3425</v>
      </c>
      <c r="F870" s="1" t="s">
        <v>3426</v>
      </c>
      <c r="G870" s="1" t="s">
        <v>1840</v>
      </c>
      <c r="H870" s="1" t="s">
        <v>1812</v>
      </c>
      <c r="I870" s="10" t="str">
        <f>IF(H870="T51",1,IF(H870="T51",3,IF(H870="T67",6,IF(H870="T67",10,IF(H870="T99",14,IF(H870="T99",18,IF(H870="T67",22,"")))))))</f>
        <v/>
      </c>
      <c r="J870" s="1" t="s">
        <v>1808</v>
      </c>
      <c r="K870" s="10">
        <v>2</v>
      </c>
      <c r="L870" s="10">
        <v>1</v>
      </c>
      <c r="O870" s="6"/>
      <c r="Q870" s="42" t="s">
        <v>2962</v>
      </c>
      <c r="R870" s="42"/>
      <c r="S870" s="1"/>
    </row>
    <row r="871" spans="1:19" ht="18.75" hidden="1" customHeight="1" x14ac:dyDescent="0.3">
      <c r="A871" s="10">
        <v>870</v>
      </c>
      <c r="B871" s="10">
        <f>_xlfn.XLOOKUP(1,(VALUE(D871)&gt;=VALUE(block!$C$3:$C$500))*(VALUE(D871)&lt;VALUE(block!$C$3:$C$500)+VALUE(block!$D$3:$D$500)),block!$A$3:$A$500,"无匹配",0,1)</f>
        <v>22</v>
      </c>
      <c r="C871" s="3" t="str">
        <f>B871 &amp; "-" &amp; COUNTIF($B$2:B871, B871)</f>
        <v>22-34</v>
      </c>
      <c r="D871" s="10">
        <v>10432</v>
      </c>
      <c r="E871" s="1" t="s">
        <v>3427</v>
      </c>
      <c r="F871" s="1" t="s">
        <v>3428</v>
      </c>
      <c r="G871" s="1" t="s">
        <v>1840</v>
      </c>
      <c r="H871" s="1" t="s">
        <v>1812</v>
      </c>
      <c r="I871" s="10" t="str">
        <f>IF(H871="T52",1,IF(H871="T52",3,IF(H871="T68",6,IF(H871="T68",10,IF(H871="T100",14,IF(H871="T100",18,IF(H871="T68",22,"")))))))</f>
        <v/>
      </c>
      <c r="J871" s="1" t="s">
        <v>1808</v>
      </c>
      <c r="K871" s="10">
        <v>2</v>
      </c>
      <c r="L871" s="10">
        <v>1</v>
      </c>
      <c r="O871" s="6"/>
      <c r="Q871" s="42" t="s">
        <v>2962</v>
      </c>
      <c r="R871" s="42"/>
      <c r="S871" s="1"/>
    </row>
    <row r="872" spans="1:19" ht="18.75" customHeight="1" x14ac:dyDescent="0.3">
      <c r="A872" s="10">
        <v>871</v>
      </c>
      <c r="B872" s="10">
        <f>_xlfn.XLOOKUP(1,(VALUE(D872)&gt;=VALUE(block!$C$3:$C$500))*(VALUE(D872)&lt;VALUE(block!$C$3:$C$500)+VALUE(block!$D$3:$D$500)),block!$A$3:$A$500,"无匹配",0,1)</f>
        <v>23</v>
      </c>
      <c r="C872" s="3" t="str">
        <f>B872 &amp; "-" &amp; COUNTIF($B$2:B872, B872)</f>
        <v>23-1</v>
      </c>
      <c r="D872" s="10">
        <v>10434</v>
      </c>
      <c r="E872" s="1" t="s">
        <v>3429</v>
      </c>
      <c r="F872" s="1" t="s">
        <v>3430</v>
      </c>
      <c r="G872" s="1" t="s">
        <v>1840</v>
      </c>
      <c r="H872" s="1" t="s">
        <v>1812</v>
      </c>
      <c r="I872" s="10" t="str">
        <f>IF(H872="T53",1,IF(H872="T53",3,IF(H872="T69",6,IF(H872="T69",10,IF(H872="T101",14,IF(H872="T101",18,IF(H872="T69",22,"")))))))</f>
        <v/>
      </c>
      <c r="J872" s="1" t="s">
        <v>1808</v>
      </c>
      <c r="K872" s="10">
        <v>2</v>
      </c>
      <c r="L872" s="10">
        <v>1</v>
      </c>
      <c r="N872" s="10">
        <v>4</v>
      </c>
      <c r="O872" s="6"/>
      <c r="P872" s="45" t="s">
        <v>2826</v>
      </c>
      <c r="Q872" s="6">
        <v>14</v>
      </c>
      <c r="R872" s="6"/>
      <c r="S872" s="1" t="s">
        <v>3430</v>
      </c>
    </row>
    <row r="873" spans="1:19" ht="18.75" customHeight="1" x14ac:dyDescent="0.3">
      <c r="A873" s="10">
        <v>872</v>
      </c>
      <c r="B873" s="10">
        <f>_xlfn.XLOOKUP(1,(VALUE(D873)&gt;=VALUE(block!$C$3:$C$500))*(VALUE(D873)&lt;VALUE(block!$C$3:$C$500)+VALUE(block!$D$3:$D$500)),block!$A$3:$A$500,"无匹配",0,1)</f>
        <v>23</v>
      </c>
      <c r="C873" s="3" t="str">
        <f>B873 &amp; "-" &amp; COUNTIF($B$2:B873, B873)</f>
        <v>23-2</v>
      </c>
      <c r="D873" s="10">
        <v>10436</v>
      </c>
      <c r="E873" s="1" t="s">
        <v>3431</v>
      </c>
      <c r="F873" s="1" t="s">
        <v>3432</v>
      </c>
      <c r="G873" s="1" t="s">
        <v>1840</v>
      </c>
      <c r="H873" s="1" t="s">
        <v>1812</v>
      </c>
      <c r="I873" s="10" t="str">
        <f>IF(H873="T54",1,IF(H873="T54",3,IF(H873="T70",6,IF(H873="T70",10,IF(H873="T102",14,IF(H873="T102",18,IF(H873="T70",22,"")))))))</f>
        <v/>
      </c>
      <c r="J873" s="1" t="s">
        <v>1808</v>
      </c>
      <c r="K873" s="10">
        <v>2</v>
      </c>
      <c r="L873" s="10">
        <v>1</v>
      </c>
      <c r="N873" s="10">
        <v>4</v>
      </c>
      <c r="O873" s="6"/>
      <c r="P873" s="45" t="s">
        <v>2826</v>
      </c>
      <c r="Q873" s="6">
        <v>14</v>
      </c>
      <c r="R873" s="6"/>
      <c r="S873" s="1" t="s">
        <v>3432</v>
      </c>
    </row>
    <row r="874" spans="1:19" ht="18.75" customHeight="1" x14ac:dyDescent="0.3">
      <c r="A874" s="10">
        <v>873</v>
      </c>
      <c r="B874" s="10">
        <f>_xlfn.XLOOKUP(1,(VALUE(D874)&gt;=VALUE(block!$C$3:$C$500))*(VALUE(D874)&lt;VALUE(block!$C$3:$C$500)+VALUE(block!$D$3:$D$500)),block!$A$3:$A$500,"无匹配",0,1)</f>
        <v>23</v>
      </c>
      <c r="C874" s="3" t="str">
        <f>B874 &amp; "-" &amp; COUNTIF($B$2:B874, B874)</f>
        <v>23-3</v>
      </c>
      <c r="D874" s="10">
        <v>10438</v>
      </c>
      <c r="E874" s="1" t="s">
        <v>3433</v>
      </c>
      <c r="F874" s="1" t="s">
        <v>3434</v>
      </c>
      <c r="G874" s="1" t="s">
        <v>1840</v>
      </c>
      <c r="H874" s="1" t="s">
        <v>1812</v>
      </c>
      <c r="I874" s="10" t="str">
        <f>IF(H874="T55",1,IF(H874="T55",3,IF(H874="T71",6,IF(H874="T71",10,IF(H874="T103",14,IF(H874="T103",18,IF(H874="T71",22,"")))))))</f>
        <v/>
      </c>
      <c r="J874" s="1" t="s">
        <v>1808</v>
      </c>
      <c r="K874" s="10">
        <v>2</v>
      </c>
      <c r="L874" s="10">
        <v>1</v>
      </c>
      <c r="N874" s="10">
        <v>4</v>
      </c>
      <c r="O874" s="6"/>
      <c r="P874" s="45" t="s">
        <v>2826</v>
      </c>
      <c r="Q874" s="6">
        <v>14</v>
      </c>
      <c r="R874" s="6"/>
      <c r="S874" s="1" t="s">
        <v>3434</v>
      </c>
    </row>
    <row r="875" spans="1:19" ht="18.75" customHeight="1" x14ac:dyDescent="0.3">
      <c r="A875" s="10">
        <v>874</v>
      </c>
      <c r="B875" s="10">
        <f>_xlfn.XLOOKUP(1,(VALUE(D875)&gt;=VALUE(block!$C$3:$C$500))*(VALUE(D875)&lt;VALUE(block!$C$3:$C$500)+VALUE(block!$D$3:$D$500)),block!$A$3:$A$500,"无匹配",0,1)</f>
        <v>23</v>
      </c>
      <c r="C875" s="3" t="str">
        <f>B875 &amp; "-" &amp; COUNTIF($B$2:B875, B875)</f>
        <v>23-4</v>
      </c>
      <c r="D875" s="10">
        <v>10440</v>
      </c>
      <c r="E875" s="1" t="s">
        <v>3435</v>
      </c>
      <c r="F875" s="1" t="s">
        <v>3436</v>
      </c>
      <c r="G875" s="1" t="s">
        <v>1840</v>
      </c>
      <c r="H875" s="1" t="s">
        <v>1812</v>
      </c>
      <c r="I875" s="10" t="str">
        <f>IF(H875="T56",1,IF(H875="T56",3,IF(H875="T72",6,IF(H875="T72",10,IF(H875="T104",14,IF(H875="T104",18,IF(H875="T72",22,"")))))))</f>
        <v/>
      </c>
      <c r="J875" s="1" t="s">
        <v>1808</v>
      </c>
      <c r="K875" s="10">
        <v>2</v>
      </c>
      <c r="L875" s="10">
        <v>1</v>
      </c>
      <c r="N875" s="10">
        <v>4</v>
      </c>
      <c r="O875" s="6"/>
      <c r="P875" s="45" t="s">
        <v>2826</v>
      </c>
      <c r="Q875" s="6">
        <v>14</v>
      </c>
      <c r="R875" s="6"/>
      <c r="S875" s="1" t="s">
        <v>3436</v>
      </c>
    </row>
    <row r="876" spans="1:19" ht="18.75" hidden="1" customHeight="1" x14ac:dyDescent="0.3">
      <c r="A876" s="10">
        <v>875</v>
      </c>
      <c r="B876" s="10">
        <f>_xlfn.XLOOKUP(1,(VALUE(D876)&gt;=VALUE(block!$C$3:$C$500))*(VALUE(D876)&lt;VALUE(block!$C$3:$C$500)+VALUE(block!$D$3:$D$500)),block!$A$3:$A$500,"无匹配",0,1)</f>
        <v>23</v>
      </c>
      <c r="C876" s="3" t="str">
        <f>B876 &amp; "-" &amp; COUNTIF($B$2:B876, B876)</f>
        <v>23-5</v>
      </c>
      <c r="D876" s="10">
        <v>10442</v>
      </c>
      <c r="E876" s="1" t="s">
        <v>3437</v>
      </c>
      <c r="F876" s="1" t="s">
        <v>3438</v>
      </c>
      <c r="G876" s="1" t="s">
        <v>1840</v>
      </c>
      <c r="H876" s="1" t="s">
        <v>1812</v>
      </c>
      <c r="I876" s="10" t="str">
        <f>IF(H876="T57",1,IF(H876="T57",3,IF(H876="T73",6,IF(H876="T73",10,IF(H876="T105",14,IF(H876="T105",18,IF(H876="T73",22,"")))))))</f>
        <v/>
      </c>
      <c r="J876" s="1" t="s">
        <v>1808</v>
      </c>
      <c r="K876" s="10">
        <v>2</v>
      </c>
      <c r="L876" s="10">
        <v>1</v>
      </c>
      <c r="O876" s="6"/>
      <c r="Q876" s="42" t="s">
        <v>2962</v>
      </c>
      <c r="R876" s="42"/>
      <c r="S876" s="1"/>
    </row>
    <row r="877" spans="1:19" ht="18.75" hidden="1" customHeight="1" x14ac:dyDescent="0.3">
      <c r="A877" s="10">
        <v>876</v>
      </c>
      <c r="B877" s="10">
        <f>_xlfn.XLOOKUP(1,(VALUE(D877)&gt;=VALUE(block!$C$3:$C$500))*(VALUE(D877)&lt;VALUE(block!$C$3:$C$500)+VALUE(block!$D$3:$D$500)),block!$A$3:$A$500,"无匹配",0,1)</f>
        <v>23</v>
      </c>
      <c r="C877" s="3" t="str">
        <f>B877 &amp; "-" &amp; COUNTIF($B$2:B877, B877)</f>
        <v>23-6</v>
      </c>
      <c r="D877" s="10">
        <v>10444</v>
      </c>
      <c r="E877" s="1" t="s">
        <v>3439</v>
      </c>
      <c r="F877" s="1" t="s">
        <v>3440</v>
      </c>
      <c r="G877" s="1" t="s">
        <v>1840</v>
      </c>
      <c r="H877" s="1" t="s">
        <v>1812</v>
      </c>
      <c r="I877" s="10" t="str">
        <f>IF(H877="T58",1,IF(H877="T58",3,IF(H877="T74",6,IF(H877="T74",10,IF(H877="T106",14,IF(H877="T106",18,IF(H877="T74",22,"")))))))</f>
        <v/>
      </c>
      <c r="J877" s="1" t="s">
        <v>1808</v>
      </c>
      <c r="K877" s="10">
        <v>2</v>
      </c>
      <c r="L877" s="10">
        <v>1</v>
      </c>
      <c r="O877" s="6"/>
      <c r="Q877" s="42" t="s">
        <v>2962</v>
      </c>
      <c r="R877" s="42"/>
      <c r="S877" s="1"/>
    </row>
    <row r="878" spans="1:19" ht="18.75" hidden="1" customHeight="1" x14ac:dyDescent="0.3">
      <c r="A878" s="10">
        <v>877</v>
      </c>
      <c r="B878" s="10">
        <f>_xlfn.XLOOKUP(1,(VALUE(D878)&gt;=VALUE(block!$C$3:$C$500))*(VALUE(D878)&lt;VALUE(block!$C$3:$C$500)+VALUE(block!$D$3:$D$500)),block!$A$3:$A$500,"无匹配",0,1)</f>
        <v>23</v>
      </c>
      <c r="C878" s="3" t="str">
        <f>B878 &amp; "-" &amp; COUNTIF($B$2:B878, B878)</f>
        <v>23-7</v>
      </c>
      <c r="D878" s="10">
        <v>10446</v>
      </c>
      <c r="E878" s="1" t="s">
        <v>3441</v>
      </c>
      <c r="F878" s="1" t="s">
        <v>3442</v>
      </c>
      <c r="G878" s="1" t="s">
        <v>1840</v>
      </c>
      <c r="H878" s="1" t="s">
        <v>1812</v>
      </c>
      <c r="I878" s="10" t="str">
        <f>IF(H878="T59",1,IF(H878="T59",3,IF(H878="T75",6,IF(H878="T75",10,IF(H878="T107",14,IF(H878="T107",18,IF(H878="T75",22,"")))))))</f>
        <v/>
      </c>
      <c r="J878" s="1" t="s">
        <v>1808</v>
      </c>
      <c r="K878" s="10">
        <v>2</v>
      </c>
      <c r="L878" s="10">
        <v>1</v>
      </c>
      <c r="O878" s="6"/>
      <c r="Q878" s="42" t="s">
        <v>2962</v>
      </c>
      <c r="R878" s="42"/>
      <c r="S878" s="1"/>
    </row>
    <row r="879" spans="1:19" ht="18.75" hidden="1" customHeight="1" x14ac:dyDescent="0.3">
      <c r="A879" s="10">
        <v>878</v>
      </c>
      <c r="B879" s="10">
        <f>_xlfn.XLOOKUP(1,(VALUE(D879)&gt;=VALUE(block!$C$3:$C$500))*(VALUE(D879)&lt;VALUE(block!$C$3:$C$500)+VALUE(block!$D$3:$D$500)),block!$A$3:$A$500,"无匹配",0,1)</f>
        <v>23</v>
      </c>
      <c r="C879" s="3" t="str">
        <f>B879 &amp; "-" &amp; COUNTIF($B$2:B879, B879)</f>
        <v>23-8</v>
      </c>
      <c r="D879" s="10">
        <v>10448</v>
      </c>
      <c r="E879" s="1" t="s">
        <v>3443</v>
      </c>
      <c r="F879" s="1" t="s">
        <v>3444</v>
      </c>
      <c r="G879" s="1" t="s">
        <v>1840</v>
      </c>
      <c r="H879" s="1" t="s">
        <v>1812</v>
      </c>
      <c r="I879" s="10" t="str">
        <f>IF(H879="T60",1,IF(H879="T60",3,IF(H879="T76",6,IF(H879="T76",10,IF(H879="T108",14,IF(H879="T108",18,IF(H879="T76",22,"")))))))</f>
        <v/>
      </c>
      <c r="J879" s="1" t="s">
        <v>1808</v>
      </c>
      <c r="K879" s="10">
        <v>2</v>
      </c>
      <c r="L879" s="10">
        <v>1</v>
      </c>
      <c r="O879" s="6"/>
      <c r="Q879" s="42" t="s">
        <v>2962</v>
      </c>
      <c r="R879" s="42"/>
      <c r="S879" s="1"/>
    </row>
    <row r="880" spans="1:19" ht="18.75" hidden="1" customHeight="1" x14ac:dyDescent="0.3">
      <c r="A880" s="10">
        <v>879</v>
      </c>
      <c r="B880" s="10">
        <f>_xlfn.XLOOKUP(1,(VALUE(D880)&gt;=VALUE(block!$C$3:$C$500))*(VALUE(D880)&lt;VALUE(block!$C$3:$C$500)+VALUE(block!$D$3:$D$500)),block!$A$3:$A$500,"无匹配",0,1)</f>
        <v>23</v>
      </c>
      <c r="C880" s="3" t="str">
        <f>B880 &amp; "-" &amp; COUNTIF($B$2:B880, B880)</f>
        <v>23-9</v>
      </c>
      <c r="D880" s="10">
        <v>10450</v>
      </c>
      <c r="E880" s="1" t="s">
        <v>3445</v>
      </c>
      <c r="F880" s="1" t="s">
        <v>3446</v>
      </c>
      <c r="G880" s="1" t="s">
        <v>1840</v>
      </c>
      <c r="H880" s="1" t="s">
        <v>1812</v>
      </c>
      <c r="I880" s="10" t="str">
        <f>IF(H880="T61",1,IF(H880="T61",3,IF(H880="T77",6,IF(H880="T77",10,IF(H880="T109",14,IF(H880="T109",18,IF(H880="T77",22,"")))))))</f>
        <v/>
      </c>
      <c r="J880" s="1" t="s">
        <v>1808</v>
      </c>
      <c r="K880" s="10">
        <v>2</v>
      </c>
      <c r="L880" s="10">
        <v>1</v>
      </c>
      <c r="O880" s="6"/>
      <c r="Q880" s="42" t="s">
        <v>2962</v>
      </c>
      <c r="R880" s="42"/>
      <c r="S880" s="1"/>
    </row>
    <row r="881" spans="1:19" ht="18.75" hidden="1" customHeight="1" x14ac:dyDescent="0.3">
      <c r="A881" s="10">
        <v>880</v>
      </c>
      <c r="B881" s="10">
        <f>_xlfn.XLOOKUP(1,(VALUE(D881)&gt;=VALUE(block!$C$3:$C$500))*(VALUE(D881)&lt;VALUE(block!$C$3:$C$500)+VALUE(block!$D$3:$D$500)),block!$A$3:$A$500,"无匹配",0,1)</f>
        <v>23</v>
      </c>
      <c r="C881" s="3" t="str">
        <f>B881 &amp; "-" &amp; COUNTIF($B$2:B881, B881)</f>
        <v>23-10</v>
      </c>
      <c r="D881" s="10">
        <v>10452</v>
      </c>
      <c r="E881" s="1" t="s">
        <v>3447</v>
      </c>
      <c r="F881" s="1" t="s">
        <v>3448</v>
      </c>
      <c r="G881" s="1" t="s">
        <v>1840</v>
      </c>
      <c r="H881" s="1" t="s">
        <v>1812</v>
      </c>
      <c r="I881" s="10" t="str">
        <f>IF(H881="T62",1,IF(H881="T62",3,IF(H881="T78",6,IF(H881="T78",10,IF(H881="T110",14,IF(H881="T110",18,IF(H881="T78",22,"")))))))</f>
        <v/>
      </c>
      <c r="J881" s="1" t="s">
        <v>1808</v>
      </c>
      <c r="K881" s="10">
        <v>2</v>
      </c>
      <c r="L881" s="10">
        <v>1</v>
      </c>
      <c r="O881" s="6"/>
      <c r="Q881" s="42" t="s">
        <v>2962</v>
      </c>
      <c r="R881" s="42"/>
      <c r="S881" s="1"/>
    </row>
    <row r="882" spans="1:19" ht="18.75" hidden="1" customHeight="1" x14ac:dyDescent="0.3">
      <c r="A882" s="10">
        <v>881</v>
      </c>
      <c r="B882" s="10">
        <f>_xlfn.XLOOKUP(1,(VALUE(D882)&gt;=VALUE(block!$C$3:$C$500))*(VALUE(D882)&lt;VALUE(block!$C$3:$C$500)+VALUE(block!$D$3:$D$500)),block!$A$3:$A$500,"无匹配",0,1)</f>
        <v>23</v>
      </c>
      <c r="C882" s="3" t="str">
        <f>B882 &amp; "-" &amp; COUNTIF($B$2:B882, B882)</f>
        <v>23-11</v>
      </c>
      <c r="D882" s="10">
        <v>10454</v>
      </c>
      <c r="E882" s="1" t="s">
        <v>3449</v>
      </c>
      <c r="F882" s="1" t="s">
        <v>3450</v>
      </c>
      <c r="G882" s="1" t="s">
        <v>1840</v>
      </c>
      <c r="H882" s="1" t="s">
        <v>1812</v>
      </c>
      <c r="I882" s="10" t="str">
        <f>IF(H882="T63",1,IF(H882="T63",3,IF(H882="T79",6,IF(H882="T79",10,IF(H882="T111",14,IF(H882="T111",18,IF(H882="T79",22,"")))))))</f>
        <v/>
      </c>
      <c r="J882" s="1" t="s">
        <v>1808</v>
      </c>
      <c r="K882" s="10">
        <v>2</v>
      </c>
      <c r="L882" s="10">
        <v>1</v>
      </c>
      <c r="O882" s="6"/>
      <c r="Q882" s="42" t="s">
        <v>2962</v>
      </c>
      <c r="R882" s="42"/>
      <c r="S882" s="1"/>
    </row>
    <row r="883" spans="1:19" ht="18.75" hidden="1" customHeight="1" x14ac:dyDescent="0.3">
      <c r="A883" s="10">
        <v>882</v>
      </c>
      <c r="B883" s="10">
        <f>_xlfn.XLOOKUP(1,(VALUE(D883)&gt;=VALUE(block!$C$3:$C$500))*(VALUE(D883)&lt;VALUE(block!$C$3:$C$500)+VALUE(block!$D$3:$D$500)),block!$A$3:$A$500,"无匹配",0,1)</f>
        <v>23</v>
      </c>
      <c r="C883" s="3" t="str">
        <f>B883 &amp; "-" &amp; COUNTIF($B$2:B883, B883)</f>
        <v>23-12</v>
      </c>
      <c r="D883" s="10">
        <v>10456</v>
      </c>
      <c r="E883" s="1" t="s">
        <v>3451</v>
      </c>
      <c r="F883" s="1" t="s">
        <v>3452</v>
      </c>
      <c r="G883" s="1" t="s">
        <v>1840</v>
      </c>
      <c r="H883" s="1" t="s">
        <v>1812</v>
      </c>
      <c r="I883" s="10" t="str">
        <f>IF(H883="T64",1,IF(H883="T64",3,IF(H883="T80",6,IF(H883="T80",10,IF(H883="T112",14,IF(H883="T112",18,IF(H883="T80",22,"")))))))</f>
        <v/>
      </c>
      <c r="J883" s="1" t="s">
        <v>1808</v>
      </c>
      <c r="K883" s="10">
        <v>2</v>
      </c>
      <c r="L883" s="10">
        <v>1</v>
      </c>
      <c r="O883" s="6"/>
      <c r="Q883" s="42" t="s">
        <v>2962</v>
      </c>
      <c r="R883" s="42"/>
      <c r="S883" s="1"/>
    </row>
    <row r="884" spans="1:19" ht="18.75" hidden="1" customHeight="1" x14ac:dyDescent="0.3">
      <c r="A884" s="10">
        <v>883</v>
      </c>
      <c r="B884" s="10">
        <f>_xlfn.XLOOKUP(1,(VALUE(D884)&gt;=VALUE(block!$C$3:$C$500))*(VALUE(D884)&lt;VALUE(block!$C$3:$C$500)+VALUE(block!$D$3:$D$500)),block!$A$3:$A$500,"无匹配",0,1)</f>
        <v>23</v>
      </c>
      <c r="C884" s="3" t="str">
        <f>B884 &amp; "-" &amp; COUNTIF($B$2:B884, B884)</f>
        <v>23-13</v>
      </c>
      <c r="D884" s="10">
        <v>10458</v>
      </c>
      <c r="E884" s="1" t="s">
        <v>3453</v>
      </c>
      <c r="F884" s="1" t="s">
        <v>3454</v>
      </c>
      <c r="G884" s="1" t="s">
        <v>1840</v>
      </c>
      <c r="H884" s="1" t="s">
        <v>1812</v>
      </c>
      <c r="I884" s="10" t="str">
        <f>IF(H884="T65",1,IF(H884="T65",3,IF(H884="T81",6,IF(H884="T81",10,IF(H884="T113",14,IF(H884="T113",18,IF(H884="T81",22,"")))))))</f>
        <v/>
      </c>
      <c r="J884" s="1" t="s">
        <v>1808</v>
      </c>
      <c r="K884" s="10">
        <v>2</v>
      </c>
      <c r="L884" s="10">
        <v>1</v>
      </c>
      <c r="O884" s="6"/>
      <c r="Q884" s="42" t="s">
        <v>2962</v>
      </c>
      <c r="R884" s="42"/>
      <c r="S884" s="1"/>
    </row>
    <row r="885" spans="1:19" ht="18.75" hidden="1" customHeight="1" x14ac:dyDescent="0.3">
      <c r="A885" s="10">
        <v>884</v>
      </c>
      <c r="B885" s="10">
        <f>_xlfn.XLOOKUP(1,(VALUE(D885)&gt;=VALUE(block!$C$3:$C$500))*(VALUE(D885)&lt;VALUE(block!$C$3:$C$500)+VALUE(block!$D$3:$D$500)),block!$A$3:$A$500,"无匹配",0,1)</f>
        <v>23</v>
      </c>
      <c r="C885" s="3" t="str">
        <f>B885 &amp; "-" &amp; COUNTIF($B$2:B885, B885)</f>
        <v>23-14</v>
      </c>
      <c r="D885" s="10">
        <v>10460</v>
      </c>
      <c r="E885" s="1" t="s">
        <v>3455</v>
      </c>
      <c r="F885" s="1" t="s">
        <v>3456</v>
      </c>
      <c r="G885" s="1" t="s">
        <v>1840</v>
      </c>
      <c r="H885" s="1" t="s">
        <v>1812</v>
      </c>
      <c r="I885" s="10" t="str">
        <f>IF(H885="T66",1,IF(H885="T66",3,IF(H885="T82",6,IF(H885="T82",10,IF(H885="T114",14,IF(H885="T114",18,IF(H885="T82",22,"")))))))</f>
        <v/>
      </c>
      <c r="J885" s="1" t="s">
        <v>1808</v>
      </c>
      <c r="K885" s="10">
        <v>2</v>
      </c>
      <c r="L885" s="10">
        <v>1</v>
      </c>
      <c r="O885" s="6"/>
      <c r="Q885" s="42" t="s">
        <v>2962</v>
      </c>
      <c r="R885" s="42"/>
      <c r="S885" s="1"/>
    </row>
    <row r="886" spans="1:19" ht="18.75" hidden="1" customHeight="1" x14ac:dyDescent="0.3">
      <c r="A886" s="10">
        <v>885</v>
      </c>
      <c r="B886" s="10">
        <f>_xlfn.XLOOKUP(1,(VALUE(D886)&gt;=VALUE(block!$C$3:$C$500))*(VALUE(D886)&lt;VALUE(block!$C$3:$C$500)+VALUE(block!$D$3:$D$500)),block!$A$3:$A$500,"无匹配",0,1)</f>
        <v>23</v>
      </c>
      <c r="C886" s="3" t="str">
        <f>B886 &amp; "-" &amp; COUNTIF($B$2:B886, B886)</f>
        <v>23-15</v>
      </c>
      <c r="D886" s="10">
        <v>10462</v>
      </c>
      <c r="E886" s="1" t="s">
        <v>3457</v>
      </c>
      <c r="F886" s="1" t="s">
        <v>3458</v>
      </c>
      <c r="G886" s="1" t="s">
        <v>1840</v>
      </c>
      <c r="H886" s="1" t="s">
        <v>1812</v>
      </c>
      <c r="I886" s="10" t="str">
        <f>IF(H886="T67",1,IF(H886="T67",3,IF(H886="T83",6,IF(H886="T83",10,IF(H886="T115",14,IF(H886="T115",18,IF(H886="T83",22,"")))))))</f>
        <v/>
      </c>
      <c r="J886" s="1" t="s">
        <v>1808</v>
      </c>
      <c r="K886" s="10">
        <v>2</v>
      </c>
      <c r="L886" s="10">
        <v>1</v>
      </c>
      <c r="O886" s="6"/>
      <c r="Q886" s="42" t="s">
        <v>2962</v>
      </c>
      <c r="R886" s="42"/>
      <c r="S886" s="1"/>
    </row>
    <row r="887" spans="1:19" ht="18.75" hidden="1" customHeight="1" x14ac:dyDescent="0.3">
      <c r="A887" s="10">
        <v>886</v>
      </c>
      <c r="B887" s="10">
        <f>_xlfn.XLOOKUP(1,(VALUE(D887)&gt;=VALUE(block!$C$3:$C$500))*(VALUE(D887)&lt;VALUE(block!$C$3:$C$500)+VALUE(block!$D$3:$D$500)),block!$A$3:$A$500,"无匹配",0,1)</f>
        <v>23</v>
      </c>
      <c r="C887" s="3" t="str">
        <f>B887 &amp; "-" &amp; COUNTIF($B$2:B887, B887)</f>
        <v>23-16</v>
      </c>
      <c r="D887" s="10">
        <v>10464</v>
      </c>
      <c r="E887" s="1" t="s">
        <v>3459</v>
      </c>
      <c r="F887" s="1" t="s">
        <v>3460</v>
      </c>
      <c r="G887" s="1" t="s">
        <v>1840</v>
      </c>
      <c r="H887" s="1" t="s">
        <v>1812</v>
      </c>
      <c r="I887" s="10" t="str">
        <f>IF(H887="T68",1,IF(H887="T68",3,IF(H887="T84",6,IF(H887="T84",10,IF(H887="T116",14,IF(H887="T116",18,IF(H887="T84",22,"")))))))</f>
        <v/>
      </c>
      <c r="J887" s="1" t="s">
        <v>1808</v>
      </c>
      <c r="K887" s="10">
        <v>2</v>
      </c>
      <c r="L887" s="10">
        <v>1</v>
      </c>
      <c r="O887" s="6"/>
      <c r="Q887" s="42" t="s">
        <v>2962</v>
      </c>
      <c r="R887" s="42"/>
      <c r="S887" s="1"/>
    </row>
    <row r="888" spans="1:19" ht="18.75" hidden="1" customHeight="1" x14ac:dyDescent="0.3">
      <c r="A888" s="10">
        <v>887</v>
      </c>
      <c r="B888" s="10">
        <f>_xlfn.XLOOKUP(1,(VALUE(D888)&gt;=VALUE(block!$C$3:$C$500))*(VALUE(D888)&lt;VALUE(block!$C$3:$C$500)+VALUE(block!$D$3:$D$500)),block!$A$3:$A$500,"无匹配",0,1)</f>
        <v>23</v>
      </c>
      <c r="C888" s="3" t="str">
        <f>B888 &amp; "-" &amp; COUNTIF($B$2:B888, B888)</f>
        <v>23-17</v>
      </c>
      <c r="D888" s="10">
        <v>10466</v>
      </c>
      <c r="E888" s="1" t="s">
        <v>3461</v>
      </c>
      <c r="F888" s="1" t="s">
        <v>3462</v>
      </c>
      <c r="G888" s="1" t="s">
        <v>1840</v>
      </c>
      <c r="H888" s="1" t="s">
        <v>1812</v>
      </c>
      <c r="I888" s="10" t="str">
        <f>IF(H888="T69",1,IF(H888="T69",3,IF(H888="T85",6,IF(H888="T85",10,IF(H888="T117",14,IF(H888="T117",18,IF(H888="T85",22,"")))))))</f>
        <v/>
      </c>
      <c r="J888" s="1" t="s">
        <v>1808</v>
      </c>
      <c r="K888" s="10">
        <v>2</v>
      </c>
      <c r="L888" s="10">
        <v>1</v>
      </c>
      <c r="O888" s="6"/>
      <c r="Q888" s="42" t="s">
        <v>2962</v>
      </c>
      <c r="R888" s="42"/>
      <c r="S888" s="1"/>
    </row>
    <row r="889" spans="1:19" ht="18.75" hidden="1" customHeight="1" x14ac:dyDescent="0.3">
      <c r="A889" s="10">
        <v>888</v>
      </c>
      <c r="B889" s="10">
        <f>_xlfn.XLOOKUP(1,(VALUE(D889)&gt;=VALUE(block!$C$3:$C$500))*(VALUE(D889)&lt;VALUE(block!$C$3:$C$500)+VALUE(block!$D$3:$D$500)),block!$A$3:$A$500,"无匹配",0,1)</f>
        <v>23</v>
      </c>
      <c r="C889" s="3" t="str">
        <f>B889 &amp; "-" &amp; COUNTIF($B$2:B889, B889)</f>
        <v>23-18</v>
      </c>
      <c r="D889" s="10">
        <v>10468</v>
      </c>
      <c r="E889" s="1" t="s">
        <v>3463</v>
      </c>
      <c r="F889" s="1" t="s">
        <v>3464</v>
      </c>
      <c r="G889" s="1" t="s">
        <v>1840</v>
      </c>
      <c r="H889" s="1" t="s">
        <v>1812</v>
      </c>
      <c r="I889" s="10" t="str">
        <f>IF(H889="T70",1,IF(H889="T70",3,IF(H889="T86",6,IF(H889="T86",10,IF(H889="T118",14,IF(H889="T118",18,IF(H889="T86",22,"")))))))</f>
        <v/>
      </c>
      <c r="J889" s="1" t="s">
        <v>1808</v>
      </c>
      <c r="K889" s="10">
        <v>2</v>
      </c>
      <c r="L889" s="10">
        <v>1</v>
      </c>
      <c r="O889" s="6"/>
      <c r="Q889" s="42" t="s">
        <v>2962</v>
      </c>
      <c r="R889" s="42"/>
      <c r="S889" s="1"/>
    </row>
    <row r="890" spans="1:19" ht="18.75" hidden="1" customHeight="1" x14ac:dyDescent="0.3">
      <c r="A890" s="10">
        <v>889</v>
      </c>
      <c r="B890" s="10">
        <f>_xlfn.XLOOKUP(1,(VALUE(D890)&gt;=VALUE(block!$C$3:$C$500))*(VALUE(D890)&lt;VALUE(block!$C$3:$C$500)+VALUE(block!$D$3:$D$500)),block!$A$3:$A$500,"无匹配",0,1)</f>
        <v>23</v>
      </c>
      <c r="C890" s="3" t="str">
        <f>B890 &amp; "-" &amp; COUNTIF($B$2:B890, B890)</f>
        <v>23-19</v>
      </c>
      <c r="D890" s="10">
        <v>10470</v>
      </c>
      <c r="E890" s="1" t="s">
        <v>3465</v>
      </c>
      <c r="F890" s="1" t="s">
        <v>3466</v>
      </c>
      <c r="G890" s="1" t="s">
        <v>1840</v>
      </c>
      <c r="H890" s="1" t="s">
        <v>1812</v>
      </c>
      <c r="I890" s="10" t="str">
        <f>IF(H890="T71",1,IF(H890="T71",3,IF(H890="T87",6,IF(H890="T87",10,IF(H890="T119",14,IF(H890="T119",18,IF(H890="T87",22,"")))))))</f>
        <v/>
      </c>
      <c r="J890" s="1" t="s">
        <v>1808</v>
      </c>
      <c r="K890" s="10">
        <v>2</v>
      </c>
      <c r="L890" s="10">
        <v>1</v>
      </c>
      <c r="O890" s="6"/>
      <c r="Q890" s="42" t="s">
        <v>2962</v>
      </c>
      <c r="R890" s="42"/>
      <c r="S890" s="1"/>
    </row>
    <row r="891" spans="1:19" ht="18.75" hidden="1" customHeight="1" x14ac:dyDescent="0.3">
      <c r="A891" s="10">
        <v>890</v>
      </c>
      <c r="B891" s="10">
        <f>_xlfn.XLOOKUP(1,(VALUE(D891)&gt;=VALUE(block!$C$3:$C$500))*(VALUE(D891)&lt;VALUE(block!$C$3:$C$500)+VALUE(block!$D$3:$D$500)),block!$A$3:$A$500,"无匹配",0,1)</f>
        <v>23</v>
      </c>
      <c r="C891" s="3" t="str">
        <f>B891 &amp; "-" &amp; COUNTIF($B$2:B891, B891)</f>
        <v>23-20</v>
      </c>
      <c r="D891" s="10">
        <v>10472</v>
      </c>
      <c r="E891" s="1" t="s">
        <v>3467</v>
      </c>
      <c r="F891" s="1" t="s">
        <v>3468</v>
      </c>
      <c r="G891" s="1" t="s">
        <v>1840</v>
      </c>
      <c r="H891" s="1" t="s">
        <v>1812</v>
      </c>
      <c r="I891" s="10" t="str">
        <f>IF(H891="T72",1,IF(H891="T72",3,IF(H891="T88",6,IF(H891="T88",10,IF(H891="T120",14,IF(H891="T120",18,IF(H891="T88",22,"")))))))</f>
        <v/>
      </c>
      <c r="J891" s="1" t="s">
        <v>1808</v>
      </c>
      <c r="K891" s="10">
        <v>2</v>
      </c>
      <c r="L891" s="10">
        <v>1</v>
      </c>
      <c r="O891" s="6"/>
      <c r="Q891" s="42" t="s">
        <v>2962</v>
      </c>
      <c r="R891" s="42"/>
      <c r="S891" s="1"/>
    </row>
    <row r="892" spans="1:19" ht="18.75" hidden="1" customHeight="1" x14ac:dyDescent="0.3">
      <c r="A892" s="10">
        <v>891</v>
      </c>
      <c r="B892" s="10">
        <f>_xlfn.XLOOKUP(1,(VALUE(D892)&gt;=VALUE(block!$C$3:$C$500))*(VALUE(D892)&lt;VALUE(block!$C$3:$C$500)+VALUE(block!$D$3:$D$500)),block!$A$3:$A$500,"无匹配",0,1)</f>
        <v>23</v>
      </c>
      <c r="C892" s="3" t="str">
        <f>B892 &amp; "-" &amp; COUNTIF($B$2:B892, B892)</f>
        <v>23-21</v>
      </c>
      <c r="D892" s="10">
        <v>10474</v>
      </c>
      <c r="E892" s="1" t="s">
        <v>3469</v>
      </c>
      <c r="F892" s="1" t="s">
        <v>3470</v>
      </c>
      <c r="G892" s="1" t="s">
        <v>1840</v>
      </c>
      <c r="H892" s="1" t="s">
        <v>1812</v>
      </c>
      <c r="I892" s="10" t="str">
        <f>IF(H892="T73",1,IF(H892="T73",3,IF(H892="T89",6,IF(H892="T89",10,IF(H892="T121",14,IF(H892="T121",18,IF(H892="T89",22,"")))))))</f>
        <v/>
      </c>
      <c r="J892" s="1" t="s">
        <v>1808</v>
      </c>
      <c r="K892" s="10">
        <v>2</v>
      </c>
      <c r="L892" s="10">
        <v>1</v>
      </c>
      <c r="O892" s="6"/>
      <c r="Q892" s="42" t="s">
        <v>2962</v>
      </c>
      <c r="R892" s="42"/>
      <c r="S892" s="1"/>
    </row>
    <row r="893" spans="1:19" ht="18.75" hidden="1" customHeight="1" x14ac:dyDescent="0.3">
      <c r="A893" s="10">
        <v>892</v>
      </c>
      <c r="B893" s="10">
        <f>_xlfn.XLOOKUP(1,(VALUE(D893)&gt;=VALUE(block!$C$3:$C$500))*(VALUE(D893)&lt;VALUE(block!$C$3:$C$500)+VALUE(block!$D$3:$D$500)),block!$A$3:$A$500,"无匹配",0,1)</f>
        <v>23</v>
      </c>
      <c r="C893" s="3" t="str">
        <f>B893 &amp; "-" &amp; COUNTIF($B$2:B893, B893)</f>
        <v>23-22</v>
      </c>
      <c r="D893" s="10">
        <v>10476</v>
      </c>
      <c r="E893" s="1" t="s">
        <v>3471</v>
      </c>
      <c r="F893" s="1" t="s">
        <v>3472</v>
      </c>
      <c r="G893" s="1" t="s">
        <v>1840</v>
      </c>
      <c r="H893" s="1" t="s">
        <v>1812</v>
      </c>
      <c r="I893" s="10" t="str">
        <f>IF(H893="T74",1,IF(H893="T74",3,IF(H893="T90",6,IF(H893="T90",10,IF(H893="T122",14,IF(H893="T122",18,IF(H893="T90",22,"")))))))</f>
        <v/>
      </c>
      <c r="J893" s="1" t="s">
        <v>1808</v>
      </c>
      <c r="K893" s="10">
        <v>2</v>
      </c>
      <c r="L893" s="10">
        <v>1</v>
      </c>
      <c r="O893" s="6"/>
      <c r="Q893" s="42" t="s">
        <v>2962</v>
      </c>
      <c r="R893" s="42"/>
      <c r="S893" s="1"/>
    </row>
    <row r="894" spans="1:19" ht="18.75" hidden="1" customHeight="1" x14ac:dyDescent="0.3">
      <c r="A894" s="10">
        <v>893</v>
      </c>
      <c r="B894" s="10">
        <f>_xlfn.XLOOKUP(1,(VALUE(D894)&gt;=VALUE(block!$C$3:$C$500))*(VALUE(D894)&lt;VALUE(block!$C$3:$C$500)+VALUE(block!$D$3:$D$500)),block!$A$3:$A$500,"无匹配",0,1)</f>
        <v>23</v>
      </c>
      <c r="C894" s="3" t="str">
        <f>B894 &amp; "-" &amp; COUNTIF($B$2:B894, B894)</f>
        <v>23-23</v>
      </c>
      <c r="D894" s="10">
        <v>10478</v>
      </c>
      <c r="E894" s="1" t="s">
        <v>3473</v>
      </c>
      <c r="F894" s="1" t="s">
        <v>3474</v>
      </c>
      <c r="G894" s="1" t="s">
        <v>1840</v>
      </c>
      <c r="H894" s="1" t="s">
        <v>1812</v>
      </c>
      <c r="I894" s="10" t="str">
        <f>IF(H894="T75",1,IF(H894="T75",3,IF(H894="T91",6,IF(H894="T91",10,IF(H894="T123",14,IF(H894="T123",18,IF(H894="T91",22,"")))))))</f>
        <v/>
      </c>
      <c r="J894" s="1" t="s">
        <v>1808</v>
      </c>
      <c r="K894" s="10">
        <v>2</v>
      </c>
      <c r="L894" s="10">
        <v>1</v>
      </c>
      <c r="O894" s="6"/>
      <c r="Q894" s="42" t="s">
        <v>2962</v>
      </c>
      <c r="R894" s="42"/>
      <c r="S894" s="1"/>
    </row>
    <row r="895" spans="1:19" ht="18.75" hidden="1" customHeight="1" x14ac:dyDescent="0.3">
      <c r="A895" s="10">
        <v>894</v>
      </c>
      <c r="B895" s="10">
        <f>_xlfn.XLOOKUP(1,(VALUE(D895)&gt;=VALUE(block!$C$3:$C$500))*(VALUE(D895)&lt;VALUE(block!$C$3:$C$500)+VALUE(block!$D$3:$D$500)),block!$A$3:$A$500,"无匹配",0,1)</f>
        <v>23</v>
      </c>
      <c r="C895" s="3" t="str">
        <f>B895 &amp; "-" &amp; COUNTIF($B$2:B895, B895)</f>
        <v>23-24</v>
      </c>
      <c r="D895" s="10">
        <v>10480</v>
      </c>
      <c r="E895" s="1" t="s">
        <v>3475</v>
      </c>
      <c r="F895" s="1" t="s">
        <v>3476</v>
      </c>
      <c r="G895" s="1" t="s">
        <v>1840</v>
      </c>
      <c r="H895" s="1" t="s">
        <v>1812</v>
      </c>
      <c r="I895" s="10" t="str">
        <f>IF(H895="T76",1,IF(H895="T76",3,IF(H895="T92",6,IF(H895="T92",10,IF(H895="T124",14,IF(H895="T124",18,IF(H895="T92",22,"")))))))</f>
        <v/>
      </c>
      <c r="J895" s="1" t="s">
        <v>1808</v>
      </c>
      <c r="K895" s="10">
        <v>2</v>
      </c>
      <c r="L895" s="10">
        <v>1</v>
      </c>
      <c r="O895" s="6"/>
      <c r="Q895" s="42" t="s">
        <v>2962</v>
      </c>
      <c r="R895" s="42"/>
      <c r="S895" s="1"/>
    </row>
    <row r="896" spans="1:19" ht="18.75" hidden="1" customHeight="1" x14ac:dyDescent="0.3">
      <c r="A896" s="10">
        <v>895</v>
      </c>
      <c r="B896" s="10">
        <f>_xlfn.XLOOKUP(1,(VALUE(D896)&gt;=VALUE(block!$C$3:$C$500))*(VALUE(D896)&lt;VALUE(block!$C$3:$C$500)+VALUE(block!$D$3:$D$500)),block!$A$3:$A$500,"无匹配",0,1)</f>
        <v>23</v>
      </c>
      <c r="C896" s="3" t="str">
        <f>B896 &amp; "-" &amp; COUNTIF($B$2:B896, B896)</f>
        <v>23-25</v>
      </c>
      <c r="D896" s="10">
        <v>10482</v>
      </c>
      <c r="E896" s="1" t="s">
        <v>3477</v>
      </c>
      <c r="F896" s="1" t="s">
        <v>3478</v>
      </c>
      <c r="G896" s="1" t="s">
        <v>1840</v>
      </c>
      <c r="H896" s="1" t="s">
        <v>1812</v>
      </c>
      <c r="I896" s="10" t="str">
        <f>IF(H896="T77",1,IF(H896="T77",3,IF(H896="T93",6,IF(H896="T93",10,IF(H896="T125",14,IF(H896="T125",18,IF(H896="T93",22,"")))))))</f>
        <v/>
      </c>
      <c r="J896" s="1" t="s">
        <v>1808</v>
      </c>
      <c r="K896" s="10">
        <v>2</v>
      </c>
      <c r="L896" s="10">
        <v>1</v>
      </c>
      <c r="O896" s="6"/>
      <c r="Q896" s="42" t="s">
        <v>2962</v>
      </c>
      <c r="R896" s="42"/>
      <c r="S896" s="1"/>
    </row>
    <row r="897" spans="1:19" ht="18.75" hidden="1" customHeight="1" x14ac:dyDescent="0.3">
      <c r="A897" s="10">
        <v>896</v>
      </c>
      <c r="B897" s="10">
        <f>_xlfn.XLOOKUP(1,(VALUE(D897)&gt;=VALUE(block!$C$3:$C$500))*(VALUE(D897)&lt;VALUE(block!$C$3:$C$500)+VALUE(block!$D$3:$D$500)),block!$A$3:$A$500,"无匹配",0,1)</f>
        <v>23</v>
      </c>
      <c r="C897" s="3" t="str">
        <f>B897 &amp; "-" &amp; COUNTIF($B$2:B897, B897)</f>
        <v>23-26</v>
      </c>
      <c r="D897" s="10">
        <v>10484</v>
      </c>
      <c r="E897" s="1" t="s">
        <v>3479</v>
      </c>
      <c r="F897" s="1" t="s">
        <v>3480</v>
      </c>
      <c r="G897" s="1" t="s">
        <v>1840</v>
      </c>
      <c r="H897" s="1" t="s">
        <v>1812</v>
      </c>
      <c r="I897" s="10" t="str">
        <f>IF(H897="T78",1,IF(H897="T78",3,IF(H897="T94",6,IF(H897="T94",10,IF(H897="T126",14,IF(H897="T126",18,IF(H897="T94",22,"")))))))</f>
        <v/>
      </c>
      <c r="J897" s="1" t="s">
        <v>1808</v>
      </c>
      <c r="K897" s="10">
        <v>2</v>
      </c>
      <c r="L897" s="10">
        <v>1</v>
      </c>
      <c r="O897" s="6"/>
      <c r="Q897" s="42" t="s">
        <v>2962</v>
      </c>
      <c r="R897" s="42"/>
      <c r="S897" s="1"/>
    </row>
    <row r="898" spans="1:19" ht="18.75" hidden="1" customHeight="1" x14ac:dyDescent="0.3">
      <c r="A898" s="10">
        <v>897</v>
      </c>
      <c r="B898" s="10">
        <f>_xlfn.XLOOKUP(1,(VALUE(D898)&gt;=VALUE(block!$C$3:$C$500))*(VALUE(D898)&lt;VALUE(block!$C$3:$C$500)+VALUE(block!$D$3:$D$500)),block!$A$3:$A$500,"无匹配",0,1)</f>
        <v>23</v>
      </c>
      <c r="C898" s="3" t="str">
        <f>B898 &amp; "-" &amp; COUNTIF($B$2:B898, B898)</f>
        <v>23-27</v>
      </c>
      <c r="D898" s="10">
        <v>10486</v>
      </c>
      <c r="E898" s="1" t="s">
        <v>3481</v>
      </c>
      <c r="F898" s="1" t="s">
        <v>3482</v>
      </c>
      <c r="G898" s="1" t="s">
        <v>1840</v>
      </c>
      <c r="H898" s="1" t="s">
        <v>1812</v>
      </c>
      <c r="I898" s="10" t="str">
        <f>IF(H898="T79",1,IF(H898="T79",3,IF(H898="T95",6,IF(H898="T95",10,IF(H898="T127",14,IF(H898="T127",18,IF(H898="T95",22,"")))))))</f>
        <v/>
      </c>
      <c r="J898" s="1" t="s">
        <v>1808</v>
      </c>
      <c r="K898" s="10">
        <v>2</v>
      </c>
      <c r="L898" s="10">
        <v>1</v>
      </c>
      <c r="O898" s="6"/>
      <c r="Q898" s="42" t="s">
        <v>2962</v>
      </c>
      <c r="R898" s="42"/>
      <c r="S898" s="1"/>
    </row>
    <row r="899" spans="1:19" ht="18.75" hidden="1" customHeight="1" x14ac:dyDescent="0.3">
      <c r="A899" s="10">
        <v>898</v>
      </c>
      <c r="B899" s="10">
        <f>_xlfn.XLOOKUP(1,(VALUE(D899)&gt;=VALUE(block!$C$3:$C$500))*(VALUE(D899)&lt;VALUE(block!$C$3:$C$500)+VALUE(block!$D$3:$D$500)),block!$A$3:$A$500,"无匹配",0,1)</f>
        <v>23</v>
      </c>
      <c r="C899" s="3" t="str">
        <f>B899 &amp; "-" &amp; COUNTIF($B$2:B899, B899)</f>
        <v>23-28</v>
      </c>
      <c r="D899" s="10">
        <v>10488</v>
      </c>
      <c r="E899" s="1" t="s">
        <v>3483</v>
      </c>
      <c r="F899" s="1" t="s">
        <v>3484</v>
      </c>
      <c r="G899" s="1" t="s">
        <v>1840</v>
      </c>
      <c r="H899" s="1" t="s">
        <v>1812</v>
      </c>
      <c r="I899" s="10">
        <f>IF(H899="uint16",1,IF(H899="int16",3,IF(H899="uint32",6,IF(H899="int32",10,IF(H899="uint64",14,IF(H899="int64",18,IF(H899="float32",22,"")))))))</f>
        <v>22</v>
      </c>
      <c r="J899" s="1" t="s">
        <v>1808</v>
      </c>
      <c r="K899" s="10">
        <v>2</v>
      </c>
      <c r="L899" s="10">
        <v>1</v>
      </c>
      <c r="O899" s="6"/>
      <c r="Q899" s="42" t="s">
        <v>2962</v>
      </c>
      <c r="R899" s="42"/>
      <c r="S899" s="1"/>
    </row>
    <row r="900" spans="1:19" ht="18.75" hidden="1" customHeight="1" x14ac:dyDescent="0.3">
      <c r="A900" s="10">
        <v>899</v>
      </c>
      <c r="B900" s="10">
        <f>_xlfn.XLOOKUP(1,(VALUE(D900)&gt;=VALUE(block!$C$3:$C$500))*(VALUE(D900)&lt;VALUE(block!$C$3:$C$500)+VALUE(block!$D$3:$D$500)),block!$A$3:$A$500,"无匹配",0,1)</f>
        <v>23</v>
      </c>
      <c r="C900" s="3" t="str">
        <f>B900 &amp; "-" &amp; COUNTIF($B$2:B900, B900)</f>
        <v>23-29</v>
      </c>
      <c r="D900" s="10">
        <v>10490</v>
      </c>
      <c r="E900" s="1" t="s">
        <v>3485</v>
      </c>
      <c r="F900" s="1" t="s">
        <v>3486</v>
      </c>
      <c r="G900" s="1" t="s">
        <v>1840</v>
      </c>
      <c r="H900" s="1" t="s">
        <v>1812</v>
      </c>
      <c r="I900" s="10" t="str">
        <f>IF(H900="T17",1,IF(H900="T17",3,IF(H900="T33",6,IF(H900="T33",10,IF(H900="T65",14,IF(H900="T65",18,IF(H900="T33",22,"")))))))</f>
        <v/>
      </c>
      <c r="J900" s="1" t="s">
        <v>1808</v>
      </c>
      <c r="K900" s="10">
        <v>2</v>
      </c>
      <c r="L900" s="10">
        <v>1</v>
      </c>
      <c r="O900" s="6"/>
      <c r="Q900" s="42" t="s">
        <v>2962</v>
      </c>
      <c r="R900" s="42"/>
      <c r="S900" s="1"/>
    </row>
    <row r="901" spans="1:19" ht="18.75" hidden="1" customHeight="1" x14ac:dyDescent="0.3">
      <c r="A901" s="10">
        <v>900</v>
      </c>
      <c r="B901" s="10">
        <f>_xlfn.XLOOKUP(1,(VALUE(D901)&gt;=VALUE(block!$C$3:$C$500))*(VALUE(D901)&lt;VALUE(block!$C$3:$C$500)+VALUE(block!$D$3:$D$500)),block!$A$3:$A$500,"无匹配",0,1)</f>
        <v>23</v>
      </c>
      <c r="C901" s="3" t="str">
        <f>B901 &amp; "-" &amp; COUNTIF($B$2:B901, B901)</f>
        <v>23-30</v>
      </c>
      <c r="D901" s="10">
        <v>10492</v>
      </c>
      <c r="E901" s="1" t="s">
        <v>3487</v>
      </c>
      <c r="F901" s="1" t="s">
        <v>3488</v>
      </c>
      <c r="G901" s="1" t="s">
        <v>1840</v>
      </c>
      <c r="H901" s="1" t="s">
        <v>1812</v>
      </c>
      <c r="I901" s="10" t="str">
        <f>IF(H901="T18",1,IF(H901="T18",3,IF(H901="T34",6,IF(H901="T34",10,IF(H901="T66",14,IF(H901="T66",18,IF(H901="T34",22,"")))))))</f>
        <v/>
      </c>
      <c r="J901" s="1" t="s">
        <v>1808</v>
      </c>
      <c r="K901" s="10">
        <v>2</v>
      </c>
      <c r="L901" s="10">
        <v>1</v>
      </c>
      <c r="O901" s="6"/>
      <c r="Q901" s="42" t="s">
        <v>2962</v>
      </c>
      <c r="R901" s="42"/>
      <c r="S901" s="1"/>
    </row>
    <row r="902" spans="1:19" ht="18.75" hidden="1" customHeight="1" x14ac:dyDescent="0.3">
      <c r="A902" s="10">
        <v>901</v>
      </c>
      <c r="B902" s="10">
        <f>_xlfn.XLOOKUP(1,(VALUE(D902)&gt;=VALUE(block!$C$3:$C$500))*(VALUE(D902)&lt;VALUE(block!$C$3:$C$500)+VALUE(block!$D$3:$D$500)),block!$A$3:$A$500,"无匹配",0,1)</f>
        <v>23</v>
      </c>
      <c r="C902" s="3" t="str">
        <f>B902 &amp; "-" &amp; COUNTIF($B$2:B902, B902)</f>
        <v>23-31</v>
      </c>
      <c r="D902" s="10">
        <v>10494</v>
      </c>
      <c r="E902" s="1" t="s">
        <v>3489</v>
      </c>
      <c r="F902" s="1" t="s">
        <v>3490</v>
      </c>
      <c r="G902" s="1" t="s">
        <v>1840</v>
      </c>
      <c r="H902" s="1" t="s">
        <v>1812</v>
      </c>
      <c r="I902" s="10" t="str">
        <f>IF(H902="T19",1,IF(H902="T19",3,IF(H902="T35",6,IF(H902="T35",10,IF(H902="T67",14,IF(H902="T67",18,IF(H902="T35",22,"")))))))</f>
        <v/>
      </c>
      <c r="J902" s="1" t="s">
        <v>1808</v>
      </c>
      <c r="K902" s="10">
        <v>2</v>
      </c>
      <c r="L902" s="10">
        <v>1</v>
      </c>
      <c r="O902" s="6"/>
      <c r="Q902" s="42" t="s">
        <v>2962</v>
      </c>
      <c r="R902" s="42"/>
      <c r="S902" s="1"/>
    </row>
    <row r="903" spans="1:19" ht="18.75" hidden="1" customHeight="1" x14ac:dyDescent="0.3">
      <c r="A903" s="10">
        <v>902</v>
      </c>
      <c r="B903" s="10">
        <f>_xlfn.XLOOKUP(1,(VALUE(D903)&gt;=VALUE(block!$C$3:$C$500))*(VALUE(D903)&lt;VALUE(block!$C$3:$C$500)+VALUE(block!$D$3:$D$500)),block!$A$3:$A$500,"无匹配",0,1)</f>
        <v>23</v>
      </c>
      <c r="C903" s="3" t="str">
        <f>B903 &amp; "-" &amp; COUNTIF($B$2:B903, B903)</f>
        <v>23-32</v>
      </c>
      <c r="D903" s="10">
        <v>10496</v>
      </c>
      <c r="E903" s="1" t="s">
        <v>3491</v>
      </c>
      <c r="F903" s="1" t="s">
        <v>3492</v>
      </c>
      <c r="G903" s="1" t="s">
        <v>1840</v>
      </c>
      <c r="H903" s="1" t="s">
        <v>1812</v>
      </c>
      <c r="I903" s="10" t="str">
        <f>IF(H903="T20",1,IF(H903="T20",3,IF(H903="T36",6,IF(H903="T36",10,IF(H903="T68",14,IF(H903="T68",18,IF(H903="T36",22,"")))))))</f>
        <v/>
      </c>
      <c r="J903" s="1" t="s">
        <v>1808</v>
      </c>
      <c r="K903" s="10">
        <v>2</v>
      </c>
      <c r="L903" s="10">
        <v>1</v>
      </c>
      <c r="O903" s="6"/>
      <c r="Q903" s="42" t="s">
        <v>2962</v>
      </c>
      <c r="R903" s="42"/>
      <c r="S903" s="1"/>
    </row>
    <row r="904" spans="1:19" ht="18.75" hidden="1" customHeight="1" x14ac:dyDescent="0.3">
      <c r="A904" s="10">
        <v>903</v>
      </c>
      <c r="B904" s="10">
        <f>_xlfn.XLOOKUP(1,(VALUE(D904)&gt;=VALUE(block!$C$3:$C$500))*(VALUE(D904)&lt;VALUE(block!$C$3:$C$500)+VALUE(block!$D$3:$D$500)),block!$A$3:$A$500,"无匹配",0,1)</f>
        <v>23</v>
      </c>
      <c r="C904" s="3" t="str">
        <f>B904 &amp; "-" &amp; COUNTIF($B$2:B904, B904)</f>
        <v>23-33</v>
      </c>
      <c r="D904" s="10">
        <v>10498</v>
      </c>
      <c r="E904" s="1" t="s">
        <v>3493</v>
      </c>
      <c r="F904" s="1" t="s">
        <v>3494</v>
      </c>
      <c r="G904" s="1" t="s">
        <v>1840</v>
      </c>
      <c r="H904" s="1" t="s">
        <v>1812</v>
      </c>
      <c r="I904" s="10" t="str">
        <f>IF(H904="T21",1,IF(H904="T21",3,IF(H904="T37",6,IF(H904="T37",10,IF(H904="T69",14,IF(H904="T69",18,IF(H904="T37",22,"")))))))</f>
        <v/>
      </c>
      <c r="J904" s="1" t="s">
        <v>1808</v>
      </c>
      <c r="K904" s="10">
        <v>2</v>
      </c>
      <c r="L904" s="10">
        <v>1</v>
      </c>
      <c r="O904" s="6"/>
      <c r="Q904" s="42" t="s">
        <v>2962</v>
      </c>
      <c r="R904" s="42"/>
      <c r="S904" s="1"/>
    </row>
    <row r="905" spans="1:19" ht="18.75" hidden="1" customHeight="1" x14ac:dyDescent="0.3">
      <c r="A905" s="10">
        <v>904</v>
      </c>
      <c r="B905" s="10">
        <f>_xlfn.XLOOKUP(1,(VALUE(D905)&gt;=VALUE(block!$C$3:$C$500))*(VALUE(D905)&lt;VALUE(block!$C$3:$C$500)+VALUE(block!$D$3:$D$500)),block!$A$3:$A$500,"无匹配",0,1)</f>
        <v>23</v>
      </c>
      <c r="C905" s="3" t="str">
        <f>B905 &amp; "-" &amp; COUNTIF($B$2:B905, B905)</f>
        <v>23-34</v>
      </c>
      <c r="D905" s="10">
        <v>10500</v>
      </c>
      <c r="E905" s="1" t="s">
        <v>3495</v>
      </c>
      <c r="F905" s="1" t="s">
        <v>3496</v>
      </c>
      <c r="G905" s="1" t="s">
        <v>1840</v>
      </c>
      <c r="H905" s="1" t="s">
        <v>1812</v>
      </c>
      <c r="I905" s="10" t="str">
        <f>IF(H905="T22",1,IF(H905="T22",3,IF(H905="T38",6,IF(H905="T38",10,IF(H905="T70",14,IF(H905="T70",18,IF(H905="T38",22,"")))))))</f>
        <v/>
      </c>
      <c r="J905" s="1" t="s">
        <v>1808</v>
      </c>
      <c r="K905" s="10">
        <v>2</v>
      </c>
      <c r="L905" s="10">
        <v>1</v>
      </c>
      <c r="O905" s="6"/>
      <c r="Q905" s="42" t="s">
        <v>2962</v>
      </c>
      <c r="R905" s="42"/>
      <c r="S905" s="1"/>
    </row>
    <row r="906" spans="1:19" ht="18.75" customHeight="1" x14ac:dyDescent="0.3">
      <c r="A906" s="10">
        <v>905</v>
      </c>
      <c r="B906" s="10">
        <f>_xlfn.XLOOKUP(1,(VALUE(D906)&gt;=VALUE(block!$C$3:$C$500))*(VALUE(D906)&lt;VALUE(block!$C$3:$C$500)+VALUE(block!$D$3:$D$500)),block!$A$3:$A$500,"无匹配",0,1)</f>
        <v>24</v>
      </c>
      <c r="C906" s="3" t="str">
        <f>B906 &amp; "-" &amp; COUNTIF($B$2:B906, B906)</f>
        <v>24-1</v>
      </c>
      <c r="D906" s="10">
        <v>10502</v>
      </c>
      <c r="E906" s="1" t="s">
        <v>3497</v>
      </c>
      <c r="F906" s="1" t="s">
        <v>3498</v>
      </c>
      <c r="G906" s="1" t="s">
        <v>1840</v>
      </c>
      <c r="H906" s="1" t="s">
        <v>1812</v>
      </c>
      <c r="I906" s="10" t="str">
        <f>IF(H906="T23",1,IF(H906="T23",3,IF(H906="T39",6,IF(H906="T39",10,IF(H906="T71",14,IF(H906="T71",18,IF(H906="T39",22,"")))))))</f>
        <v/>
      </c>
      <c r="J906" s="1" t="s">
        <v>1808</v>
      </c>
      <c r="K906" s="10">
        <v>2</v>
      </c>
      <c r="L906" s="10">
        <v>1</v>
      </c>
      <c r="N906" s="10">
        <v>4</v>
      </c>
      <c r="O906" s="6"/>
      <c r="P906" s="45" t="s">
        <v>2826</v>
      </c>
      <c r="Q906" s="6">
        <v>14</v>
      </c>
      <c r="R906" s="6"/>
      <c r="S906" s="1" t="s">
        <v>3498</v>
      </c>
    </row>
    <row r="907" spans="1:19" ht="18.75" customHeight="1" x14ac:dyDescent="0.3">
      <c r="A907" s="10">
        <v>906</v>
      </c>
      <c r="B907" s="10">
        <f>_xlfn.XLOOKUP(1,(VALUE(D907)&gt;=VALUE(block!$C$3:$C$500))*(VALUE(D907)&lt;VALUE(block!$C$3:$C$500)+VALUE(block!$D$3:$D$500)),block!$A$3:$A$500,"无匹配",0,1)</f>
        <v>24</v>
      </c>
      <c r="C907" s="3" t="str">
        <f>B907 &amp; "-" &amp; COUNTIF($B$2:B907, B907)</f>
        <v>24-2</v>
      </c>
      <c r="D907" s="10">
        <v>10504</v>
      </c>
      <c r="E907" s="1" t="s">
        <v>3499</v>
      </c>
      <c r="F907" s="1" t="s">
        <v>3500</v>
      </c>
      <c r="G907" s="1" t="s">
        <v>1840</v>
      </c>
      <c r="H907" s="1" t="s">
        <v>1812</v>
      </c>
      <c r="I907" s="10" t="str">
        <f>IF(H907="T24",1,IF(H907="T24",3,IF(H907="T40",6,IF(H907="T40",10,IF(H907="T72",14,IF(H907="T72",18,IF(H907="T40",22,"")))))))</f>
        <v/>
      </c>
      <c r="J907" s="1" t="s">
        <v>1808</v>
      </c>
      <c r="K907" s="10">
        <v>2</v>
      </c>
      <c r="L907" s="10">
        <v>1</v>
      </c>
      <c r="N907" s="10">
        <v>4</v>
      </c>
      <c r="O907" s="6"/>
      <c r="P907" s="45" t="s">
        <v>2826</v>
      </c>
      <c r="Q907" s="6">
        <v>14</v>
      </c>
      <c r="R907" s="6"/>
      <c r="S907" s="1" t="s">
        <v>3500</v>
      </c>
    </row>
    <row r="908" spans="1:19" ht="18.75" customHeight="1" x14ac:dyDescent="0.3">
      <c r="A908" s="10">
        <v>907</v>
      </c>
      <c r="B908" s="10">
        <f>_xlfn.XLOOKUP(1,(VALUE(D908)&gt;=VALUE(block!$C$3:$C$500))*(VALUE(D908)&lt;VALUE(block!$C$3:$C$500)+VALUE(block!$D$3:$D$500)),block!$A$3:$A$500,"无匹配",0,1)</f>
        <v>24</v>
      </c>
      <c r="C908" s="3" t="str">
        <f>B908 &amp; "-" &amp; COUNTIF($B$2:B908, B908)</f>
        <v>24-3</v>
      </c>
      <c r="D908" s="10">
        <v>10506</v>
      </c>
      <c r="E908" s="1" t="s">
        <v>3501</v>
      </c>
      <c r="F908" s="1" t="s">
        <v>3502</v>
      </c>
      <c r="G908" s="1" t="s">
        <v>1840</v>
      </c>
      <c r="H908" s="1" t="s">
        <v>1812</v>
      </c>
      <c r="I908" s="10" t="str">
        <f>IF(H908="T25",1,IF(H908="T25",3,IF(H908="T41",6,IF(H908="T41",10,IF(H908="T73",14,IF(H908="T73",18,IF(H908="T41",22,"")))))))</f>
        <v/>
      </c>
      <c r="J908" s="1" t="s">
        <v>1808</v>
      </c>
      <c r="K908" s="10">
        <v>2</v>
      </c>
      <c r="L908" s="10">
        <v>1</v>
      </c>
      <c r="N908" s="10">
        <v>4</v>
      </c>
      <c r="O908" s="6"/>
      <c r="P908" s="45" t="s">
        <v>2826</v>
      </c>
      <c r="Q908" s="6">
        <v>14</v>
      </c>
      <c r="R908" s="6"/>
      <c r="S908" s="1" t="s">
        <v>3502</v>
      </c>
    </row>
    <row r="909" spans="1:19" ht="18.75" customHeight="1" x14ac:dyDescent="0.3">
      <c r="A909" s="10">
        <v>908</v>
      </c>
      <c r="B909" s="10">
        <f>_xlfn.XLOOKUP(1,(VALUE(D909)&gt;=VALUE(block!$C$3:$C$500))*(VALUE(D909)&lt;VALUE(block!$C$3:$C$500)+VALUE(block!$D$3:$D$500)),block!$A$3:$A$500,"无匹配",0,1)</f>
        <v>24</v>
      </c>
      <c r="C909" s="3" t="str">
        <f>B909 &amp; "-" &amp; COUNTIF($B$2:B909, B909)</f>
        <v>24-4</v>
      </c>
      <c r="D909" s="10">
        <v>10508</v>
      </c>
      <c r="E909" s="1" t="s">
        <v>3503</v>
      </c>
      <c r="F909" s="1" t="s">
        <v>3504</v>
      </c>
      <c r="G909" s="1" t="s">
        <v>1840</v>
      </c>
      <c r="H909" s="1" t="s">
        <v>1812</v>
      </c>
      <c r="I909" s="10" t="str">
        <f>IF(H909="T26",1,IF(H909="T26",3,IF(H909="T42",6,IF(H909="T42",10,IF(H909="T74",14,IF(H909="T74",18,IF(H909="T42",22,"")))))))</f>
        <v/>
      </c>
      <c r="J909" s="1" t="s">
        <v>1808</v>
      </c>
      <c r="K909" s="10">
        <v>2</v>
      </c>
      <c r="L909" s="10">
        <v>1</v>
      </c>
      <c r="N909" s="10">
        <v>4</v>
      </c>
      <c r="O909" s="6"/>
      <c r="P909" s="45" t="s">
        <v>2826</v>
      </c>
      <c r="Q909" s="6">
        <v>14</v>
      </c>
      <c r="R909" s="6"/>
      <c r="S909" s="1" t="s">
        <v>3504</v>
      </c>
    </row>
    <row r="910" spans="1:19" ht="18.75" hidden="1" customHeight="1" x14ac:dyDescent="0.3">
      <c r="A910" s="10">
        <v>909</v>
      </c>
      <c r="B910" s="10">
        <f>_xlfn.XLOOKUP(1,(VALUE(D910)&gt;=VALUE(block!$C$3:$C$500))*(VALUE(D910)&lt;VALUE(block!$C$3:$C$500)+VALUE(block!$D$3:$D$500)),block!$A$3:$A$500,"无匹配",0,1)</f>
        <v>24</v>
      </c>
      <c r="C910" s="3" t="str">
        <f>B910 &amp; "-" &amp; COUNTIF($B$2:B910, B910)</f>
        <v>24-5</v>
      </c>
      <c r="D910" s="10">
        <v>10510</v>
      </c>
      <c r="E910" s="1" t="s">
        <v>3505</v>
      </c>
      <c r="F910" s="1" t="s">
        <v>3506</v>
      </c>
      <c r="G910" s="1" t="s">
        <v>1840</v>
      </c>
      <c r="H910" s="1" t="s">
        <v>1812</v>
      </c>
      <c r="I910" s="10" t="str">
        <f>IF(H910="T27",1,IF(H910="T27",3,IF(H910="T43",6,IF(H910="T43",10,IF(H910="T75",14,IF(H910="T75",18,IF(H910="T43",22,"")))))))</f>
        <v/>
      </c>
      <c r="J910" s="1" t="s">
        <v>1808</v>
      </c>
      <c r="K910" s="10">
        <v>2</v>
      </c>
      <c r="L910" s="10">
        <v>1</v>
      </c>
      <c r="O910" s="6"/>
      <c r="Q910" s="42" t="s">
        <v>2962</v>
      </c>
      <c r="R910" s="42"/>
      <c r="S910" s="1"/>
    </row>
    <row r="911" spans="1:19" ht="18.75" hidden="1" customHeight="1" x14ac:dyDescent="0.3">
      <c r="A911" s="10">
        <v>910</v>
      </c>
      <c r="B911" s="10">
        <f>_xlfn.XLOOKUP(1,(VALUE(D911)&gt;=VALUE(block!$C$3:$C$500))*(VALUE(D911)&lt;VALUE(block!$C$3:$C$500)+VALUE(block!$D$3:$D$500)),block!$A$3:$A$500,"无匹配",0,1)</f>
        <v>24</v>
      </c>
      <c r="C911" s="3" t="str">
        <f>B911 &amp; "-" &amp; COUNTIF($B$2:B911, B911)</f>
        <v>24-6</v>
      </c>
      <c r="D911" s="10">
        <v>10512</v>
      </c>
      <c r="E911" s="1" t="s">
        <v>3507</v>
      </c>
      <c r="F911" s="1" t="s">
        <v>3508</v>
      </c>
      <c r="G911" s="1" t="s">
        <v>1840</v>
      </c>
      <c r="H911" s="1" t="s">
        <v>1812</v>
      </c>
      <c r="I911" s="10" t="str">
        <f>IF(H911="T28",1,IF(H911="T28",3,IF(H911="T44",6,IF(H911="T44",10,IF(H911="T76",14,IF(H911="T76",18,IF(H911="T44",22,"")))))))</f>
        <v/>
      </c>
      <c r="J911" s="1" t="s">
        <v>1808</v>
      </c>
      <c r="K911" s="10">
        <v>2</v>
      </c>
      <c r="L911" s="10">
        <v>1</v>
      </c>
      <c r="O911" s="6"/>
      <c r="Q911" s="42" t="s">
        <v>2962</v>
      </c>
      <c r="R911" s="42"/>
      <c r="S911" s="1"/>
    </row>
    <row r="912" spans="1:19" ht="18.75" hidden="1" customHeight="1" x14ac:dyDescent="0.3">
      <c r="A912" s="10">
        <v>911</v>
      </c>
      <c r="B912" s="10">
        <f>_xlfn.XLOOKUP(1,(VALUE(D912)&gt;=VALUE(block!$C$3:$C$500))*(VALUE(D912)&lt;VALUE(block!$C$3:$C$500)+VALUE(block!$D$3:$D$500)),block!$A$3:$A$500,"无匹配",0,1)</f>
        <v>24</v>
      </c>
      <c r="C912" s="3" t="str">
        <f>B912 &amp; "-" &amp; COUNTIF($B$2:B912, B912)</f>
        <v>24-7</v>
      </c>
      <c r="D912" s="10">
        <v>10514</v>
      </c>
      <c r="E912" s="1" t="s">
        <v>3509</v>
      </c>
      <c r="F912" s="1" t="s">
        <v>3510</v>
      </c>
      <c r="G912" s="1" t="s">
        <v>1840</v>
      </c>
      <c r="H912" s="1" t="s">
        <v>1812</v>
      </c>
      <c r="I912" s="10" t="str">
        <f>IF(H912="T29",1,IF(H912="T29",3,IF(H912="T45",6,IF(H912="T45",10,IF(H912="T77",14,IF(H912="T77",18,IF(H912="T45",22,"")))))))</f>
        <v/>
      </c>
      <c r="J912" s="1" t="s">
        <v>1808</v>
      </c>
      <c r="K912" s="10">
        <v>2</v>
      </c>
      <c r="L912" s="10">
        <v>1</v>
      </c>
      <c r="O912" s="6"/>
      <c r="Q912" s="42" t="s">
        <v>2962</v>
      </c>
      <c r="R912" s="42"/>
      <c r="S912" s="1"/>
    </row>
    <row r="913" spans="1:19" ht="18.75" hidden="1" customHeight="1" x14ac:dyDescent="0.3">
      <c r="A913" s="10">
        <v>912</v>
      </c>
      <c r="B913" s="10">
        <f>_xlfn.XLOOKUP(1,(VALUE(D913)&gt;=VALUE(block!$C$3:$C$500))*(VALUE(D913)&lt;VALUE(block!$C$3:$C$500)+VALUE(block!$D$3:$D$500)),block!$A$3:$A$500,"无匹配",0,1)</f>
        <v>24</v>
      </c>
      <c r="C913" s="3" t="str">
        <f>B913 &amp; "-" &amp; COUNTIF($B$2:B913, B913)</f>
        <v>24-8</v>
      </c>
      <c r="D913" s="10">
        <v>10516</v>
      </c>
      <c r="E913" s="1" t="s">
        <v>3511</v>
      </c>
      <c r="F913" s="1" t="s">
        <v>3512</v>
      </c>
      <c r="G913" s="1" t="s">
        <v>1840</v>
      </c>
      <c r="H913" s="1" t="s">
        <v>1812</v>
      </c>
      <c r="I913" s="10" t="str">
        <f>IF(H913="T30",1,IF(H913="T30",3,IF(H913="T46",6,IF(H913="T46",10,IF(H913="T78",14,IF(H913="T78",18,IF(H913="T46",22,"")))))))</f>
        <v/>
      </c>
      <c r="J913" s="1" t="s">
        <v>1808</v>
      </c>
      <c r="K913" s="10">
        <v>2</v>
      </c>
      <c r="L913" s="10">
        <v>1</v>
      </c>
      <c r="O913" s="6"/>
      <c r="Q913" s="42" t="s">
        <v>2962</v>
      </c>
      <c r="R913" s="42"/>
      <c r="S913" s="1"/>
    </row>
    <row r="914" spans="1:19" ht="18.75" hidden="1" customHeight="1" x14ac:dyDescent="0.3">
      <c r="A914" s="10">
        <v>913</v>
      </c>
      <c r="B914" s="10">
        <f>_xlfn.XLOOKUP(1,(VALUE(D914)&gt;=VALUE(block!$C$3:$C$500))*(VALUE(D914)&lt;VALUE(block!$C$3:$C$500)+VALUE(block!$D$3:$D$500)),block!$A$3:$A$500,"无匹配",0,1)</f>
        <v>24</v>
      </c>
      <c r="C914" s="3" t="str">
        <f>B914 &amp; "-" &amp; COUNTIF($B$2:B914, B914)</f>
        <v>24-9</v>
      </c>
      <c r="D914" s="10">
        <v>10518</v>
      </c>
      <c r="E914" s="1" t="s">
        <v>3513</v>
      </c>
      <c r="F914" s="1" t="s">
        <v>3514</v>
      </c>
      <c r="G914" s="1" t="s">
        <v>1840</v>
      </c>
      <c r="H914" s="1" t="s">
        <v>1812</v>
      </c>
      <c r="I914" s="10" t="str">
        <f>IF(H914="T31",1,IF(H914="T31",3,IF(H914="T47",6,IF(H914="T47",10,IF(H914="T79",14,IF(H914="T79",18,IF(H914="T47",22,"")))))))</f>
        <v/>
      </c>
      <c r="J914" s="1" t="s">
        <v>1808</v>
      </c>
      <c r="K914" s="10">
        <v>2</v>
      </c>
      <c r="L914" s="10">
        <v>1</v>
      </c>
      <c r="O914" s="6"/>
      <c r="Q914" s="42" t="s">
        <v>2962</v>
      </c>
      <c r="R914" s="42"/>
      <c r="S914" s="1"/>
    </row>
    <row r="915" spans="1:19" ht="18.75" hidden="1" customHeight="1" x14ac:dyDescent="0.3">
      <c r="A915" s="10">
        <v>914</v>
      </c>
      <c r="B915" s="10">
        <f>_xlfn.XLOOKUP(1,(VALUE(D915)&gt;=VALUE(block!$C$3:$C$500))*(VALUE(D915)&lt;VALUE(block!$C$3:$C$500)+VALUE(block!$D$3:$D$500)),block!$A$3:$A$500,"无匹配",0,1)</f>
        <v>24</v>
      </c>
      <c r="C915" s="3" t="str">
        <f>B915 &amp; "-" &amp; COUNTIF($B$2:B915, B915)</f>
        <v>24-10</v>
      </c>
      <c r="D915" s="10">
        <v>10520</v>
      </c>
      <c r="E915" s="1" t="s">
        <v>3515</v>
      </c>
      <c r="F915" s="1" t="s">
        <v>3516</v>
      </c>
      <c r="G915" s="1" t="s">
        <v>1840</v>
      </c>
      <c r="H915" s="1" t="s">
        <v>1812</v>
      </c>
      <c r="I915" s="10" t="str">
        <f>IF(H915="T32",1,IF(H915="T32",3,IF(H915="T48",6,IF(H915="T48",10,IF(H915="T80",14,IF(H915="T80",18,IF(H915="T48",22,"")))))))</f>
        <v/>
      </c>
      <c r="J915" s="1" t="s">
        <v>1808</v>
      </c>
      <c r="K915" s="10">
        <v>2</v>
      </c>
      <c r="L915" s="10">
        <v>1</v>
      </c>
      <c r="O915" s="6"/>
      <c r="Q915" s="42" t="s">
        <v>2962</v>
      </c>
      <c r="R915" s="42"/>
      <c r="S915" s="1"/>
    </row>
    <row r="916" spans="1:19" ht="18.75" hidden="1" customHeight="1" x14ac:dyDescent="0.3">
      <c r="A916" s="10">
        <v>915</v>
      </c>
      <c r="B916" s="10">
        <f>_xlfn.XLOOKUP(1,(VALUE(D916)&gt;=VALUE(block!$C$3:$C$500))*(VALUE(D916)&lt;VALUE(block!$C$3:$C$500)+VALUE(block!$D$3:$D$500)),block!$A$3:$A$500,"无匹配",0,1)</f>
        <v>24</v>
      </c>
      <c r="C916" s="3" t="str">
        <f>B916 &amp; "-" &amp; COUNTIF($B$2:B916, B916)</f>
        <v>24-11</v>
      </c>
      <c r="D916" s="10">
        <v>10522</v>
      </c>
      <c r="E916" s="1" t="s">
        <v>3517</v>
      </c>
      <c r="F916" s="1" t="s">
        <v>3518</v>
      </c>
      <c r="G916" s="1" t="s">
        <v>1840</v>
      </c>
      <c r="H916" s="1" t="s">
        <v>1812</v>
      </c>
      <c r="I916" s="10" t="str">
        <f>IF(H916="T33",1,IF(H916="T33",3,IF(H916="T49",6,IF(H916="T49",10,IF(H916="T81",14,IF(H916="T81",18,IF(H916="T49",22,"")))))))</f>
        <v/>
      </c>
      <c r="J916" s="1" t="s">
        <v>1808</v>
      </c>
      <c r="K916" s="10">
        <v>2</v>
      </c>
      <c r="L916" s="10">
        <v>1</v>
      </c>
      <c r="O916" s="6"/>
      <c r="Q916" s="42" t="s">
        <v>2962</v>
      </c>
      <c r="R916" s="42"/>
      <c r="S916" s="1"/>
    </row>
    <row r="917" spans="1:19" ht="18.75" hidden="1" customHeight="1" x14ac:dyDescent="0.3">
      <c r="A917" s="10">
        <v>916</v>
      </c>
      <c r="B917" s="10">
        <f>_xlfn.XLOOKUP(1,(VALUE(D917)&gt;=VALUE(block!$C$3:$C$500))*(VALUE(D917)&lt;VALUE(block!$C$3:$C$500)+VALUE(block!$D$3:$D$500)),block!$A$3:$A$500,"无匹配",0,1)</f>
        <v>24</v>
      </c>
      <c r="C917" s="3" t="str">
        <f>B917 &amp; "-" &amp; COUNTIF($B$2:B917, B917)</f>
        <v>24-12</v>
      </c>
      <c r="D917" s="10">
        <v>10524</v>
      </c>
      <c r="E917" s="1" t="s">
        <v>3519</v>
      </c>
      <c r="F917" s="1" t="s">
        <v>3520</v>
      </c>
      <c r="G917" s="1" t="s">
        <v>1840</v>
      </c>
      <c r="H917" s="1" t="s">
        <v>1812</v>
      </c>
      <c r="I917" s="10" t="str">
        <f>IF(H917="T34",1,IF(H917="T34",3,IF(H917="T50",6,IF(H917="T50",10,IF(H917="T82",14,IF(H917="T82",18,IF(H917="T50",22,"")))))))</f>
        <v/>
      </c>
      <c r="J917" s="1" t="s">
        <v>1808</v>
      </c>
      <c r="K917" s="10">
        <v>2</v>
      </c>
      <c r="L917" s="10">
        <v>1</v>
      </c>
      <c r="O917" s="6"/>
      <c r="Q917" s="42" t="s">
        <v>2962</v>
      </c>
      <c r="R917" s="42"/>
      <c r="S917" s="1"/>
    </row>
    <row r="918" spans="1:19" ht="18.75" hidden="1" customHeight="1" x14ac:dyDescent="0.3">
      <c r="A918" s="10">
        <v>917</v>
      </c>
      <c r="B918" s="10">
        <f>_xlfn.XLOOKUP(1,(VALUE(D918)&gt;=VALUE(block!$C$3:$C$500))*(VALUE(D918)&lt;VALUE(block!$C$3:$C$500)+VALUE(block!$D$3:$D$500)),block!$A$3:$A$500,"无匹配",0,1)</f>
        <v>24</v>
      </c>
      <c r="C918" s="3" t="str">
        <f>B918 &amp; "-" &amp; COUNTIF($B$2:B918, B918)</f>
        <v>24-13</v>
      </c>
      <c r="D918" s="10">
        <v>10526</v>
      </c>
      <c r="E918" s="1" t="s">
        <v>3521</v>
      </c>
      <c r="F918" s="1" t="s">
        <v>3522</v>
      </c>
      <c r="G918" s="1" t="s">
        <v>1840</v>
      </c>
      <c r="H918" s="1" t="s">
        <v>1812</v>
      </c>
      <c r="I918" s="10" t="str">
        <f>IF(H918="T35",1,IF(H918="T35",3,IF(H918="T51",6,IF(H918="T51",10,IF(H918="T83",14,IF(H918="T83",18,IF(H918="T51",22,"")))))))</f>
        <v/>
      </c>
      <c r="J918" s="1" t="s">
        <v>1808</v>
      </c>
      <c r="K918" s="10">
        <v>2</v>
      </c>
      <c r="L918" s="10">
        <v>1</v>
      </c>
      <c r="O918" s="6"/>
      <c r="Q918" s="42" t="s">
        <v>2962</v>
      </c>
      <c r="R918" s="42"/>
      <c r="S918" s="1"/>
    </row>
    <row r="919" spans="1:19" ht="18.75" hidden="1" customHeight="1" x14ac:dyDescent="0.3">
      <c r="A919" s="10">
        <v>918</v>
      </c>
      <c r="B919" s="10">
        <f>_xlfn.XLOOKUP(1,(VALUE(D919)&gt;=VALUE(block!$C$3:$C$500))*(VALUE(D919)&lt;VALUE(block!$C$3:$C$500)+VALUE(block!$D$3:$D$500)),block!$A$3:$A$500,"无匹配",0,1)</f>
        <v>24</v>
      </c>
      <c r="C919" s="3" t="str">
        <f>B919 &amp; "-" &amp; COUNTIF($B$2:B919, B919)</f>
        <v>24-14</v>
      </c>
      <c r="D919" s="10">
        <v>10528</v>
      </c>
      <c r="E919" s="1" t="s">
        <v>3523</v>
      </c>
      <c r="F919" s="1" t="s">
        <v>3524</v>
      </c>
      <c r="G919" s="1" t="s">
        <v>1840</v>
      </c>
      <c r="H919" s="1" t="s">
        <v>1812</v>
      </c>
      <c r="I919" s="10" t="str">
        <f>IF(H919="T36",1,IF(H919="T36",3,IF(H919="T52",6,IF(H919="T52",10,IF(H919="T84",14,IF(H919="T84",18,IF(H919="T52",22,"")))))))</f>
        <v/>
      </c>
      <c r="J919" s="1" t="s">
        <v>1808</v>
      </c>
      <c r="K919" s="10">
        <v>2</v>
      </c>
      <c r="L919" s="10">
        <v>1</v>
      </c>
      <c r="O919" s="6"/>
      <c r="Q919" s="42" t="s">
        <v>2962</v>
      </c>
      <c r="R919" s="42"/>
      <c r="S919" s="1"/>
    </row>
    <row r="920" spans="1:19" ht="18.75" hidden="1" customHeight="1" x14ac:dyDescent="0.3">
      <c r="A920" s="10">
        <v>919</v>
      </c>
      <c r="B920" s="10">
        <f>_xlfn.XLOOKUP(1,(VALUE(D920)&gt;=VALUE(block!$C$3:$C$500))*(VALUE(D920)&lt;VALUE(block!$C$3:$C$500)+VALUE(block!$D$3:$D$500)),block!$A$3:$A$500,"无匹配",0,1)</f>
        <v>24</v>
      </c>
      <c r="C920" s="3" t="str">
        <f>B920 &amp; "-" &amp; COUNTIF($B$2:B920, B920)</f>
        <v>24-15</v>
      </c>
      <c r="D920" s="10">
        <v>10530</v>
      </c>
      <c r="E920" s="1" t="s">
        <v>3525</v>
      </c>
      <c r="F920" s="1" t="s">
        <v>3526</v>
      </c>
      <c r="G920" s="1" t="s">
        <v>1840</v>
      </c>
      <c r="H920" s="1" t="s">
        <v>1812</v>
      </c>
      <c r="I920" s="10" t="str">
        <f>IF(H920="T37",1,IF(H920="T37",3,IF(H920="T53",6,IF(H920="T53",10,IF(H920="T85",14,IF(H920="T85",18,IF(H920="T53",22,"")))))))</f>
        <v/>
      </c>
      <c r="J920" s="1" t="s">
        <v>1808</v>
      </c>
      <c r="K920" s="10">
        <v>2</v>
      </c>
      <c r="L920" s="10">
        <v>1</v>
      </c>
      <c r="O920" s="6"/>
      <c r="Q920" s="42" t="s">
        <v>2962</v>
      </c>
      <c r="R920" s="42"/>
      <c r="S920" s="1"/>
    </row>
    <row r="921" spans="1:19" ht="18.75" hidden="1" customHeight="1" x14ac:dyDescent="0.3">
      <c r="A921" s="10">
        <v>920</v>
      </c>
      <c r="B921" s="10">
        <f>_xlfn.XLOOKUP(1,(VALUE(D921)&gt;=VALUE(block!$C$3:$C$500))*(VALUE(D921)&lt;VALUE(block!$C$3:$C$500)+VALUE(block!$D$3:$D$500)),block!$A$3:$A$500,"无匹配",0,1)</f>
        <v>24</v>
      </c>
      <c r="C921" s="3" t="str">
        <f>B921 &amp; "-" &amp; COUNTIF($B$2:B921, B921)</f>
        <v>24-16</v>
      </c>
      <c r="D921" s="10">
        <v>10532</v>
      </c>
      <c r="E921" s="1" t="s">
        <v>3527</v>
      </c>
      <c r="F921" s="1" t="s">
        <v>3528</v>
      </c>
      <c r="G921" s="1" t="s">
        <v>1840</v>
      </c>
      <c r="H921" s="1" t="s">
        <v>1812</v>
      </c>
      <c r="I921" s="10" t="str">
        <f>IF(H921="T38",1,IF(H921="T38",3,IF(H921="T54",6,IF(H921="T54",10,IF(H921="T86",14,IF(H921="T86",18,IF(H921="T54",22,"")))))))</f>
        <v/>
      </c>
      <c r="J921" s="1" t="s">
        <v>1808</v>
      </c>
      <c r="K921" s="10">
        <v>2</v>
      </c>
      <c r="L921" s="10">
        <v>1</v>
      </c>
      <c r="O921" s="6"/>
      <c r="Q921" s="42" t="s">
        <v>2962</v>
      </c>
      <c r="R921" s="42"/>
      <c r="S921" s="1"/>
    </row>
    <row r="922" spans="1:19" ht="18.75" hidden="1" customHeight="1" x14ac:dyDescent="0.3">
      <c r="A922" s="10">
        <v>921</v>
      </c>
      <c r="B922" s="10">
        <f>_xlfn.XLOOKUP(1,(VALUE(D922)&gt;=VALUE(block!$C$3:$C$500))*(VALUE(D922)&lt;VALUE(block!$C$3:$C$500)+VALUE(block!$D$3:$D$500)),block!$A$3:$A$500,"无匹配",0,1)</f>
        <v>24</v>
      </c>
      <c r="C922" s="3" t="str">
        <f>B922 &amp; "-" &amp; COUNTIF($B$2:B922, B922)</f>
        <v>24-17</v>
      </c>
      <c r="D922" s="10">
        <v>10534</v>
      </c>
      <c r="E922" s="1" t="s">
        <v>3529</v>
      </c>
      <c r="F922" s="1" t="s">
        <v>3530</v>
      </c>
      <c r="G922" s="1" t="s">
        <v>1840</v>
      </c>
      <c r="H922" s="1" t="s">
        <v>1812</v>
      </c>
      <c r="I922" s="10" t="str">
        <f>IF(H922="T39",1,IF(H922="T39",3,IF(H922="T55",6,IF(H922="T55",10,IF(H922="T87",14,IF(H922="T87",18,IF(H922="T55",22,"")))))))</f>
        <v/>
      </c>
      <c r="J922" s="1" t="s">
        <v>1808</v>
      </c>
      <c r="K922" s="10">
        <v>2</v>
      </c>
      <c r="L922" s="10">
        <v>1</v>
      </c>
      <c r="O922" s="6"/>
      <c r="Q922" s="42" t="s">
        <v>2962</v>
      </c>
      <c r="R922" s="42"/>
      <c r="S922" s="1"/>
    </row>
    <row r="923" spans="1:19" ht="18.75" hidden="1" customHeight="1" x14ac:dyDescent="0.3">
      <c r="A923" s="10">
        <v>922</v>
      </c>
      <c r="B923" s="10">
        <f>_xlfn.XLOOKUP(1,(VALUE(D923)&gt;=VALUE(block!$C$3:$C$500))*(VALUE(D923)&lt;VALUE(block!$C$3:$C$500)+VALUE(block!$D$3:$D$500)),block!$A$3:$A$500,"无匹配",0,1)</f>
        <v>24</v>
      </c>
      <c r="C923" s="3" t="str">
        <f>B923 &amp; "-" &amp; COUNTIF($B$2:B923, B923)</f>
        <v>24-18</v>
      </c>
      <c r="D923" s="10">
        <v>10536</v>
      </c>
      <c r="E923" s="1" t="s">
        <v>3531</v>
      </c>
      <c r="F923" s="1" t="s">
        <v>3532</v>
      </c>
      <c r="G923" s="1" t="s">
        <v>1840</v>
      </c>
      <c r="H923" s="1" t="s">
        <v>1812</v>
      </c>
      <c r="I923" s="10" t="str">
        <f>IF(H923="T40",1,IF(H923="T40",3,IF(H923="T56",6,IF(H923="T56",10,IF(H923="T88",14,IF(H923="T88",18,IF(H923="T56",22,"")))))))</f>
        <v/>
      </c>
      <c r="J923" s="1" t="s">
        <v>1808</v>
      </c>
      <c r="K923" s="10">
        <v>2</v>
      </c>
      <c r="L923" s="10">
        <v>1</v>
      </c>
      <c r="O923" s="6"/>
      <c r="Q923" s="42" t="s">
        <v>2962</v>
      </c>
      <c r="R923" s="42"/>
      <c r="S923" s="1"/>
    </row>
    <row r="924" spans="1:19" ht="18.75" hidden="1" customHeight="1" x14ac:dyDescent="0.3">
      <c r="A924" s="10">
        <v>923</v>
      </c>
      <c r="B924" s="10">
        <f>_xlfn.XLOOKUP(1,(VALUE(D924)&gt;=VALUE(block!$C$3:$C$500))*(VALUE(D924)&lt;VALUE(block!$C$3:$C$500)+VALUE(block!$D$3:$D$500)),block!$A$3:$A$500,"无匹配",0,1)</f>
        <v>24</v>
      </c>
      <c r="C924" s="3" t="str">
        <f>B924 &amp; "-" &amp; COUNTIF($B$2:B924, B924)</f>
        <v>24-19</v>
      </c>
      <c r="D924" s="10">
        <v>10538</v>
      </c>
      <c r="E924" s="1" t="s">
        <v>3533</v>
      </c>
      <c r="F924" s="1" t="s">
        <v>3534</v>
      </c>
      <c r="G924" s="1" t="s">
        <v>1840</v>
      </c>
      <c r="H924" s="1" t="s">
        <v>1812</v>
      </c>
      <c r="I924" s="10" t="str">
        <f>IF(H924="T41",1,IF(H924="T41",3,IF(H924="T57",6,IF(H924="T57",10,IF(H924="T89",14,IF(H924="T89",18,IF(H924="T57",22,"")))))))</f>
        <v/>
      </c>
      <c r="J924" s="1" t="s">
        <v>1808</v>
      </c>
      <c r="K924" s="10">
        <v>2</v>
      </c>
      <c r="L924" s="10">
        <v>1</v>
      </c>
      <c r="O924" s="6"/>
      <c r="Q924" s="42" t="s">
        <v>2962</v>
      </c>
      <c r="R924" s="42"/>
      <c r="S924" s="1"/>
    </row>
    <row r="925" spans="1:19" ht="18.75" hidden="1" customHeight="1" x14ac:dyDescent="0.3">
      <c r="A925" s="10">
        <v>924</v>
      </c>
      <c r="B925" s="10">
        <f>_xlfn.XLOOKUP(1,(VALUE(D925)&gt;=VALUE(block!$C$3:$C$500))*(VALUE(D925)&lt;VALUE(block!$C$3:$C$500)+VALUE(block!$D$3:$D$500)),block!$A$3:$A$500,"无匹配",0,1)</f>
        <v>24</v>
      </c>
      <c r="C925" s="3" t="str">
        <f>B925 &amp; "-" &amp; COUNTIF($B$2:B925, B925)</f>
        <v>24-20</v>
      </c>
      <c r="D925" s="10">
        <v>10540</v>
      </c>
      <c r="E925" s="1" t="s">
        <v>3535</v>
      </c>
      <c r="F925" s="1" t="s">
        <v>3536</v>
      </c>
      <c r="G925" s="1" t="s">
        <v>1840</v>
      </c>
      <c r="H925" s="1" t="s">
        <v>1812</v>
      </c>
      <c r="I925" s="10" t="str">
        <f>IF(H925="T42",1,IF(H925="T42",3,IF(H925="T58",6,IF(H925="T58",10,IF(H925="T90",14,IF(H925="T90",18,IF(H925="T58",22,"")))))))</f>
        <v/>
      </c>
      <c r="J925" s="1" t="s">
        <v>1808</v>
      </c>
      <c r="K925" s="10">
        <v>2</v>
      </c>
      <c r="L925" s="10">
        <v>1</v>
      </c>
      <c r="O925" s="6"/>
      <c r="Q925" s="42" t="s">
        <v>2962</v>
      </c>
      <c r="R925" s="42"/>
      <c r="S925" s="1"/>
    </row>
    <row r="926" spans="1:19" ht="18.75" hidden="1" customHeight="1" x14ac:dyDescent="0.3">
      <c r="A926" s="10">
        <v>925</v>
      </c>
      <c r="B926" s="10">
        <f>_xlfn.XLOOKUP(1,(VALUE(D926)&gt;=VALUE(block!$C$3:$C$500))*(VALUE(D926)&lt;VALUE(block!$C$3:$C$500)+VALUE(block!$D$3:$D$500)),block!$A$3:$A$500,"无匹配",0,1)</f>
        <v>24</v>
      </c>
      <c r="C926" s="3" t="str">
        <f>B926 &amp; "-" &amp; COUNTIF($B$2:B926, B926)</f>
        <v>24-21</v>
      </c>
      <c r="D926" s="10">
        <v>10542</v>
      </c>
      <c r="E926" s="1" t="s">
        <v>3537</v>
      </c>
      <c r="F926" s="1" t="s">
        <v>3538</v>
      </c>
      <c r="G926" s="1" t="s">
        <v>1840</v>
      </c>
      <c r="H926" s="1" t="s">
        <v>1812</v>
      </c>
      <c r="I926" s="10" t="str">
        <f>IF(H926="T43",1,IF(H926="T43",3,IF(H926="T59",6,IF(H926="T59",10,IF(H926="T91",14,IF(H926="T91",18,IF(H926="T59",22,"")))))))</f>
        <v/>
      </c>
      <c r="J926" s="1" t="s">
        <v>1808</v>
      </c>
      <c r="K926" s="10">
        <v>2</v>
      </c>
      <c r="L926" s="10">
        <v>1</v>
      </c>
      <c r="O926" s="6"/>
      <c r="Q926" s="42" t="s">
        <v>2962</v>
      </c>
      <c r="R926" s="42"/>
      <c r="S926" s="1"/>
    </row>
    <row r="927" spans="1:19" ht="18.75" hidden="1" customHeight="1" x14ac:dyDescent="0.3">
      <c r="A927" s="10">
        <v>926</v>
      </c>
      <c r="B927" s="10">
        <f>_xlfn.XLOOKUP(1,(VALUE(D927)&gt;=VALUE(block!$C$3:$C$500))*(VALUE(D927)&lt;VALUE(block!$C$3:$C$500)+VALUE(block!$D$3:$D$500)),block!$A$3:$A$500,"无匹配",0,1)</f>
        <v>24</v>
      </c>
      <c r="C927" s="3" t="str">
        <f>B927 &amp; "-" &amp; COUNTIF($B$2:B927, B927)</f>
        <v>24-22</v>
      </c>
      <c r="D927" s="10">
        <v>10544</v>
      </c>
      <c r="E927" s="1" t="s">
        <v>3539</v>
      </c>
      <c r="F927" s="1" t="s">
        <v>3540</v>
      </c>
      <c r="G927" s="1" t="s">
        <v>1840</v>
      </c>
      <c r="H927" s="1" t="s">
        <v>1812</v>
      </c>
      <c r="I927" s="10" t="str">
        <f>IF(H927="T44",1,IF(H927="T44",3,IF(H927="T60",6,IF(H927="T60",10,IF(H927="T92",14,IF(H927="T92",18,IF(H927="T60",22,"")))))))</f>
        <v/>
      </c>
      <c r="J927" s="1" t="s">
        <v>1808</v>
      </c>
      <c r="K927" s="10">
        <v>2</v>
      </c>
      <c r="L927" s="10">
        <v>1</v>
      </c>
      <c r="O927" s="6"/>
      <c r="Q927" s="42" t="s">
        <v>2962</v>
      </c>
      <c r="R927" s="42"/>
      <c r="S927" s="1"/>
    </row>
    <row r="928" spans="1:19" ht="18.75" hidden="1" customHeight="1" x14ac:dyDescent="0.3">
      <c r="A928" s="10">
        <v>927</v>
      </c>
      <c r="B928" s="10">
        <f>_xlfn.XLOOKUP(1,(VALUE(D928)&gt;=VALUE(block!$C$3:$C$500))*(VALUE(D928)&lt;VALUE(block!$C$3:$C$500)+VALUE(block!$D$3:$D$500)),block!$A$3:$A$500,"无匹配",0,1)</f>
        <v>24</v>
      </c>
      <c r="C928" s="3" t="str">
        <f>B928 &amp; "-" &amp; COUNTIF($B$2:B928, B928)</f>
        <v>24-23</v>
      </c>
      <c r="D928" s="10">
        <v>10546</v>
      </c>
      <c r="E928" s="1" t="s">
        <v>3541</v>
      </c>
      <c r="F928" s="1" t="s">
        <v>3542</v>
      </c>
      <c r="G928" s="1" t="s">
        <v>1840</v>
      </c>
      <c r="H928" s="1" t="s">
        <v>1812</v>
      </c>
      <c r="I928" s="10" t="str">
        <f>IF(H928="T45",1,IF(H928="T45",3,IF(H928="T61",6,IF(H928="T61",10,IF(H928="T93",14,IF(H928="T93",18,IF(H928="T61",22,"")))))))</f>
        <v/>
      </c>
      <c r="J928" s="1" t="s">
        <v>1808</v>
      </c>
      <c r="K928" s="10">
        <v>2</v>
      </c>
      <c r="L928" s="10">
        <v>1</v>
      </c>
      <c r="O928" s="6"/>
      <c r="Q928" s="42" t="s">
        <v>2962</v>
      </c>
      <c r="R928" s="42"/>
      <c r="S928" s="1"/>
    </row>
    <row r="929" spans="1:19" ht="18.75" hidden="1" customHeight="1" x14ac:dyDescent="0.3">
      <c r="A929" s="10">
        <v>928</v>
      </c>
      <c r="B929" s="10">
        <f>_xlfn.XLOOKUP(1,(VALUE(D929)&gt;=VALUE(block!$C$3:$C$500))*(VALUE(D929)&lt;VALUE(block!$C$3:$C$500)+VALUE(block!$D$3:$D$500)),block!$A$3:$A$500,"无匹配",0,1)</f>
        <v>24</v>
      </c>
      <c r="C929" s="3" t="str">
        <f>B929 &amp; "-" &amp; COUNTIF($B$2:B929, B929)</f>
        <v>24-24</v>
      </c>
      <c r="D929" s="10">
        <v>10548</v>
      </c>
      <c r="E929" s="1" t="s">
        <v>3543</v>
      </c>
      <c r="F929" s="1" t="s">
        <v>3544</v>
      </c>
      <c r="G929" s="1" t="s">
        <v>1840</v>
      </c>
      <c r="H929" s="1" t="s">
        <v>1812</v>
      </c>
      <c r="I929" s="10" t="str">
        <f>IF(H929="T46",1,IF(H929="T46",3,IF(H929="T62",6,IF(H929="T62",10,IF(H929="T94",14,IF(H929="T94",18,IF(H929="T62",22,"")))))))</f>
        <v/>
      </c>
      <c r="J929" s="1" t="s">
        <v>1808</v>
      </c>
      <c r="K929" s="10">
        <v>2</v>
      </c>
      <c r="L929" s="10">
        <v>1</v>
      </c>
      <c r="O929" s="6"/>
      <c r="Q929" s="42" t="s">
        <v>2962</v>
      </c>
      <c r="R929" s="42"/>
      <c r="S929" s="1"/>
    </row>
    <row r="930" spans="1:19" ht="18.75" hidden="1" customHeight="1" x14ac:dyDescent="0.3">
      <c r="A930" s="10">
        <v>929</v>
      </c>
      <c r="B930" s="10">
        <f>_xlfn.XLOOKUP(1,(VALUE(D930)&gt;=VALUE(block!$C$3:$C$500))*(VALUE(D930)&lt;VALUE(block!$C$3:$C$500)+VALUE(block!$D$3:$D$500)),block!$A$3:$A$500,"无匹配",0,1)</f>
        <v>24</v>
      </c>
      <c r="C930" s="3" t="str">
        <f>B930 &amp; "-" &amp; COUNTIF($B$2:B930, B930)</f>
        <v>24-25</v>
      </c>
      <c r="D930" s="10">
        <v>10550</v>
      </c>
      <c r="E930" s="1" t="s">
        <v>3545</v>
      </c>
      <c r="F930" s="1" t="s">
        <v>3546</v>
      </c>
      <c r="G930" s="1" t="s">
        <v>1840</v>
      </c>
      <c r="H930" s="1" t="s">
        <v>1812</v>
      </c>
      <c r="I930" s="10" t="str">
        <f>IF(H930="T47",1,IF(H930="T47",3,IF(H930="T63",6,IF(H930="T63",10,IF(H930="T95",14,IF(H930="T95",18,IF(H930="T63",22,"")))))))</f>
        <v/>
      </c>
      <c r="J930" s="1" t="s">
        <v>1808</v>
      </c>
      <c r="K930" s="10">
        <v>2</v>
      </c>
      <c r="L930" s="10">
        <v>1</v>
      </c>
      <c r="O930" s="6"/>
      <c r="Q930" s="42" t="s">
        <v>2962</v>
      </c>
      <c r="R930" s="42"/>
      <c r="S930" s="1"/>
    </row>
    <row r="931" spans="1:19" ht="18.75" hidden="1" customHeight="1" x14ac:dyDescent="0.3">
      <c r="A931" s="10">
        <v>930</v>
      </c>
      <c r="B931" s="10">
        <f>_xlfn.XLOOKUP(1,(VALUE(D931)&gt;=VALUE(block!$C$3:$C$500))*(VALUE(D931)&lt;VALUE(block!$C$3:$C$500)+VALUE(block!$D$3:$D$500)),block!$A$3:$A$500,"无匹配",0,1)</f>
        <v>24</v>
      </c>
      <c r="C931" s="3" t="str">
        <f>B931 &amp; "-" &amp; COUNTIF($B$2:B931, B931)</f>
        <v>24-26</v>
      </c>
      <c r="D931" s="10">
        <v>10552</v>
      </c>
      <c r="E931" s="1" t="s">
        <v>3547</v>
      </c>
      <c r="F931" s="1" t="s">
        <v>3548</v>
      </c>
      <c r="G931" s="1" t="s">
        <v>1840</v>
      </c>
      <c r="H931" s="1" t="s">
        <v>1812</v>
      </c>
      <c r="I931" s="10" t="str">
        <f>IF(H931="T48",1,IF(H931="T48",3,IF(H931="T64",6,IF(H931="T64",10,IF(H931="T96",14,IF(H931="T96",18,IF(H931="T64",22,"")))))))</f>
        <v/>
      </c>
      <c r="J931" s="1" t="s">
        <v>1808</v>
      </c>
      <c r="K931" s="10">
        <v>2</v>
      </c>
      <c r="L931" s="10">
        <v>1</v>
      </c>
      <c r="O931" s="6"/>
      <c r="Q931" s="42" t="s">
        <v>2962</v>
      </c>
      <c r="R931" s="42"/>
      <c r="S931" s="1"/>
    </row>
    <row r="932" spans="1:19" ht="18.75" hidden="1" customHeight="1" x14ac:dyDescent="0.3">
      <c r="A932" s="10">
        <v>931</v>
      </c>
      <c r="B932" s="10">
        <f>_xlfn.XLOOKUP(1,(VALUE(D932)&gt;=VALUE(block!$C$3:$C$500))*(VALUE(D932)&lt;VALUE(block!$C$3:$C$500)+VALUE(block!$D$3:$D$500)),block!$A$3:$A$500,"无匹配",0,1)</f>
        <v>24</v>
      </c>
      <c r="C932" s="3" t="str">
        <f>B932 &amp; "-" &amp; COUNTIF($B$2:B932, B932)</f>
        <v>24-27</v>
      </c>
      <c r="D932" s="10">
        <v>10554</v>
      </c>
      <c r="E932" s="1" t="s">
        <v>3549</v>
      </c>
      <c r="F932" s="1" t="s">
        <v>3550</v>
      </c>
      <c r="G932" s="1" t="s">
        <v>1840</v>
      </c>
      <c r="H932" s="1" t="s">
        <v>1812</v>
      </c>
      <c r="I932" s="10" t="str">
        <f>IF(H932="T49",1,IF(H932="T49",3,IF(H932="T65",6,IF(H932="T65",10,IF(H932="T97",14,IF(H932="T97",18,IF(H932="T65",22,"")))))))</f>
        <v/>
      </c>
      <c r="J932" s="1" t="s">
        <v>1808</v>
      </c>
      <c r="K932" s="10">
        <v>2</v>
      </c>
      <c r="L932" s="10">
        <v>1</v>
      </c>
      <c r="O932" s="6"/>
      <c r="Q932" s="42" t="s">
        <v>2962</v>
      </c>
      <c r="R932" s="42"/>
      <c r="S932" s="1"/>
    </row>
    <row r="933" spans="1:19" ht="18.75" hidden="1" customHeight="1" x14ac:dyDescent="0.3">
      <c r="A933" s="10">
        <v>932</v>
      </c>
      <c r="B933" s="10">
        <f>_xlfn.XLOOKUP(1,(VALUE(D933)&gt;=VALUE(block!$C$3:$C$500))*(VALUE(D933)&lt;VALUE(block!$C$3:$C$500)+VALUE(block!$D$3:$D$500)),block!$A$3:$A$500,"无匹配",0,1)</f>
        <v>24</v>
      </c>
      <c r="C933" s="3" t="str">
        <f>B933 &amp; "-" &amp; COUNTIF($B$2:B933, B933)</f>
        <v>24-28</v>
      </c>
      <c r="D933" s="10">
        <v>10556</v>
      </c>
      <c r="E933" s="1" t="s">
        <v>3551</v>
      </c>
      <c r="F933" s="1" t="s">
        <v>3552</v>
      </c>
      <c r="G933" s="1" t="s">
        <v>1840</v>
      </c>
      <c r="H933" s="1" t="s">
        <v>1812</v>
      </c>
      <c r="I933" s="10" t="str">
        <f>IF(H933="T50",1,IF(H933="T50",3,IF(H933="T66",6,IF(H933="T66",10,IF(H933="T98",14,IF(H933="T98",18,IF(H933="T66",22,"")))))))</f>
        <v/>
      </c>
      <c r="J933" s="1" t="s">
        <v>1808</v>
      </c>
      <c r="K933" s="10">
        <v>2</v>
      </c>
      <c r="L933" s="10">
        <v>1</v>
      </c>
      <c r="O933" s="6"/>
      <c r="Q933" s="42" t="s">
        <v>2962</v>
      </c>
      <c r="R933" s="42"/>
      <c r="S933" s="1"/>
    </row>
    <row r="934" spans="1:19" ht="18.75" hidden="1" customHeight="1" x14ac:dyDescent="0.3">
      <c r="A934" s="10">
        <v>933</v>
      </c>
      <c r="B934" s="10">
        <f>_xlfn.XLOOKUP(1,(VALUE(D934)&gt;=VALUE(block!$C$3:$C$500))*(VALUE(D934)&lt;VALUE(block!$C$3:$C$500)+VALUE(block!$D$3:$D$500)),block!$A$3:$A$500,"无匹配",0,1)</f>
        <v>24</v>
      </c>
      <c r="C934" s="3" t="str">
        <f>B934 &amp; "-" &amp; COUNTIF($B$2:B934, B934)</f>
        <v>24-29</v>
      </c>
      <c r="D934" s="10">
        <v>10558</v>
      </c>
      <c r="E934" s="1" t="s">
        <v>3553</v>
      </c>
      <c r="F934" s="1" t="s">
        <v>3554</v>
      </c>
      <c r="G934" s="1" t="s">
        <v>1840</v>
      </c>
      <c r="H934" s="1" t="s">
        <v>1812</v>
      </c>
      <c r="I934" s="10" t="str">
        <f>IF(H934="T51",1,IF(H934="T51",3,IF(H934="T67",6,IF(H934="T67",10,IF(H934="T99",14,IF(H934="T99",18,IF(H934="T67",22,"")))))))</f>
        <v/>
      </c>
      <c r="J934" s="1" t="s">
        <v>1808</v>
      </c>
      <c r="K934" s="10">
        <v>2</v>
      </c>
      <c r="L934" s="10">
        <v>1</v>
      </c>
      <c r="O934" s="6"/>
      <c r="Q934" s="42" t="s">
        <v>2962</v>
      </c>
      <c r="R934" s="42"/>
      <c r="S934" s="1"/>
    </row>
    <row r="935" spans="1:19" ht="18.75" hidden="1" customHeight="1" x14ac:dyDescent="0.3">
      <c r="A935" s="10">
        <v>934</v>
      </c>
      <c r="B935" s="10">
        <f>_xlfn.XLOOKUP(1,(VALUE(D935)&gt;=VALUE(block!$C$3:$C$500))*(VALUE(D935)&lt;VALUE(block!$C$3:$C$500)+VALUE(block!$D$3:$D$500)),block!$A$3:$A$500,"无匹配",0,1)</f>
        <v>24</v>
      </c>
      <c r="C935" s="3" t="str">
        <f>B935 &amp; "-" &amp; COUNTIF($B$2:B935, B935)</f>
        <v>24-30</v>
      </c>
      <c r="D935" s="10">
        <v>10560</v>
      </c>
      <c r="E935" s="1" t="s">
        <v>3555</v>
      </c>
      <c r="F935" s="1" t="s">
        <v>3556</v>
      </c>
      <c r="G935" s="1" t="s">
        <v>1840</v>
      </c>
      <c r="H935" s="1" t="s">
        <v>1812</v>
      </c>
      <c r="I935" s="10" t="str">
        <f>IF(H935="T52",1,IF(H935="T52",3,IF(H935="T68",6,IF(H935="T68",10,IF(H935="T100",14,IF(H935="T100",18,IF(H935="T68",22,"")))))))</f>
        <v/>
      </c>
      <c r="J935" s="1" t="s">
        <v>1808</v>
      </c>
      <c r="K935" s="10">
        <v>2</v>
      </c>
      <c r="L935" s="10">
        <v>1</v>
      </c>
      <c r="O935" s="6"/>
      <c r="Q935" s="42" t="s">
        <v>2962</v>
      </c>
      <c r="R935" s="42"/>
      <c r="S935" s="1"/>
    </row>
    <row r="936" spans="1:19" ht="18.75" hidden="1" customHeight="1" x14ac:dyDescent="0.3">
      <c r="A936" s="10">
        <v>935</v>
      </c>
      <c r="B936" s="10">
        <f>_xlfn.XLOOKUP(1,(VALUE(D936)&gt;=VALUE(block!$C$3:$C$500))*(VALUE(D936)&lt;VALUE(block!$C$3:$C$500)+VALUE(block!$D$3:$D$500)),block!$A$3:$A$500,"无匹配",0,1)</f>
        <v>24</v>
      </c>
      <c r="C936" s="3" t="str">
        <f>B936 &amp; "-" &amp; COUNTIF($B$2:B936, B936)</f>
        <v>24-31</v>
      </c>
      <c r="D936" s="10">
        <v>10562</v>
      </c>
      <c r="E936" s="1" t="s">
        <v>3557</v>
      </c>
      <c r="F936" s="1" t="s">
        <v>3558</v>
      </c>
      <c r="G936" s="1" t="s">
        <v>1840</v>
      </c>
      <c r="H936" s="1" t="s">
        <v>1812</v>
      </c>
      <c r="I936" s="10" t="str">
        <f>IF(H936="T53",1,IF(H936="T53",3,IF(H936="T69",6,IF(H936="T69",10,IF(H936="T101",14,IF(H936="T101",18,IF(H936="T69",22,"")))))))</f>
        <v/>
      </c>
      <c r="J936" s="1" t="s">
        <v>1808</v>
      </c>
      <c r="K936" s="10">
        <v>2</v>
      </c>
      <c r="L936" s="10">
        <v>1</v>
      </c>
      <c r="O936" s="6"/>
      <c r="Q936" s="42" t="s">
        <v>2962</v>
      </c>
      <c r="R936" s="42"/>
      <c r="S936" s="1"/>
    </row>
    <row r="937" spans="1:19" ht="18.75" hidden="1" customHeight="1" x14ac:dyDescent="0.3">
      <c r="A937" s="10">
        <v>936</v>
      </c>
      <c r="B937" s="10">
        <f>_xlfn.XLOOKUP(1,(VALUE(D937)&gt;=VALUE(block!$C$3:$C$500))*(VALUE(D937)&lt;VALUE(block!$C$3:$C$500)+VALUE(block!$D$3:$D$500)),block!$A$3:$A$500,"无匹配",0,1)</f>
        <v>24</v>
      </c>
      <c r="C937" s="3" t="str">
        <f>B937 &amp; "-" &amp; COUNTIF($B$2:B937, B937)</f>
        <v>24-32</v>
      </c>
      <c r="D937" s="10">
        <v>10564</v>
      </c>
      <c r="E937" s="1" t="s">
        <v>3559</v>
      </c>
      <c r="F937" s="1" t="s">
        <v>3560</v>
      </c>
      <c r="G937" s="1" t="s">
        <v>1840</v>
      </c>
      <c r="H937" s="1" t="s">
        <v>1812</v>
      </c>
      <c r="I937" s="10" t="str">
        <f>IF(H937="T54",1,IF(H937="T54",3,IF(H937="T70",6,IF(H937="T70",10,IF(H937="T102",14,IF(H937="T102",18,IF(H937="T70",22,"")))))))</f>
        <v/>
      </c>
      <c r="J937" s="1" t="s">
        <v>1808</v>
      </c>
      <c r="K937" s="10">
        <v>2</v>
      </c>
      <c r="L937" s="10">
        <v>1</v>
      </c>
      <c r="O937" s="6"/>
      <c r="Q937" s="42" t="s">
        <v>2962</v>
      </c>
      <c r="R937" s="42"/>
      <c r="S937" s="1"/>
    </row>
    <row r="938" spans="1:19" ht="18.75" hidden="1" customHeight="1" x14ac:dyDescent="0.3">
      <c r="A938" s="10">
        <v>937</v>
      </c>
      <c r="B938" s="10">
        <f>_xlfn.XLOOKUP(1,(VALUE(D938)&gt;=VALUE(block!$C$3:$C$500))*(VALUE(D938)&lt;VALUE(block!$C$3:$C$500)+VALUE(block!$D$3:$D$500)),block!$A$3:$A$500,"无匹配",0,1)</f>
        <v>24</v>
      </c>
      <c r="C938" s="3" t="str">
        <f>B938 &amp; "-" &amp; COUNTIF($B$2:B938, B938)</f>
        <v>24-33</v>
      </c>
      <c r="D938" s="10">
        <v>10566</v>
      </c>
      <c r="E938" s="1" t="s">
        <v>3561</v>
      </c>
      <c r="F938" s="1" t="s">
        <v>3562</v>
      </c>
      <c r="G938" s="1" t="s">
        <v>1840</v>
      </c>
      <c r="H938" s="1" t="s">
        <v>1812</v>
      </c>
      <c r="I938" s="10" t="str">
        <f>IF(H938="T55",1,IF(H938="T55",3,IF(H938="T71",6,IF(H938="T71",10,IF(H938="T103",14,IF(H938="T103",18,IF(H938="T71",22,"")))))))</f>
        <v/>
      </c>
      <c r="J938" s="1" t="s">
        <v>1808</v>
      </c>
      <c r="K938" s="10">
        <v>2</v>
      </c>
      <c r="L938" s="10">
        <v>1</v>
      </c>
      <c r="O938" s="6"/>
      <c r="Q938" s="42" t="s">
        <v>2962</v>
      </c>
      <c r="R938" s="42"/>
      <c r="S938" s="1"/>
    </row>
    <row r="939" spans="1:19" ht="18.75" hidden="1" customHeight="1" x14ac:dyDescent="0.3">
      <c r="A939" s="10">
        <v>938</v>
      </c>
      <c r="B939" s="10">
        <f>_xlfn.XLOOKUP(1,(VALUE(D939)&gt;=VALUE(block!$C$3:$C$500))*(VALUE(D939)&lt;VALUE(block!$C$3:$C$500)+VALUE(block!$D$3:$D$500)),block!$A$3:$A$500,"无匹配",0,1)</f>
        <v>24</v>
      </c>
      <c r="C939" s="3" t="str">
        <f>B939 &amp; "-" &amp; COUNTIF($B$2:B939, B939)</f>
        <v>24-34</v>
      </c>
      <c r="D939" s="10">
        <v>10568</v>
      </c>
      <c r="E939" s="1" t="s">
        <v>3563</v>
      </c>
      <c r="F939" s="1" t="s">
        <v>3564</v>
      </c>
      <c r="G939" s="1" t="s">
        <v>1840</v>
      </c>
      <c r="H939" s="1" t="s">
        <v>1812</v>
      </c>
      <c r="I939" s="10" t="str">
        <f>IF(H939="T56",1,IF(H939="T56",3,IF(H939="T72",6,IF(H939="T72",10,IF(H939="T104",14,IF(H939="T104",18,IF(H939="T72",22,"")))))))</f>
        <v/>
      </c>
      <c r="J939" s="1" t="s">
        <v>1808</v>
      </c>
      <c r="K939" s="10">
        <v>2</v>
      </c>
      <c r="L939" s="10">
        <v>1</v>
      </c>
      <c r="O939" s="6"/>
      <c r="Q939" s="42" t="s">
        <v>2962</v>
      </c>
      <c r="R939" s="42"/>
      <c r="S939" s="1"/>
    </row>
    <row r="940" spans="1:19" ht="18.75" customHeight="1" x14ac:dyDescent="0.3">
      <c r="A940" s="10">
        <v>939</v>
      </c>
      <c r="B940" s="10">
        <f>_xlfn.XLOOKUP(1,(VALUE(D940)&gt;=VALUE(block!$C$3:$C$500))*(VALUE(D940)&lt;VALUE(block!$C$3:$C$500)+VALUE(block!$D$3:$D$500)),block!$A$3:$A$500,"无匹配",0,1)</f>
        <v>25</v>
      </c>
      <c r="C940" s="3" t="str">
        <f>B940 &amp; "-" &amp; COUNTIF($B$2:B940, B940)</f>
        <v>25-1</v>
      </c>
      <c r="D940" s="10">
        <v>10570</v>
      </c>
      <c r="E940" s="1" t="s">
        <v>3565</v>
      </c>
      <c r="F940" s="1" t="s">
        <v>3566</v>
      </c>
      <c r="G940" s="1" t="s">
        <v>1840</v>
      </c>
      <c r="H940" s="1" t="s">
        <v>1812</v>
      </c>
      <c r="I940" s="10" t="str">
        <f>IF(H940="T57",1,IF(H940="T57",3,IF(H940="T73",6,IF(H940="T73",10,IF(H940="T105",14,IF(H940="T105",18,IF(H940="T73",22,"")))))))</f>
        <v/>
      </c>
      <c r="J940" s="1" t="s">
        <v>1808</v>
      </c>
      <c r="K940" s="10">
        <v>2</v>
      </c>
      <c r="L940" s="10">
        <v>1</v>
      </c>
      <c r="N940" s="10">
        <v>4</v>
      </c>
      <c r="O940" s="6"/>
      <c r="P940" s="45" t="s">
        <v>2826</v>
      </c>
      <c r="Q940" s="6">
        <v>14</v>
      </c>
      <c r="R940" s="6"/>
      <c r="S940" s="1" t="s">
        <v>3566</v>
      </c>
    </row>
    <row r="941" spans="1:19" ht="18.75" customHeight="1" x14ac:dyDescent="0.3">
      <c r="A941" s="10">
        <v>940</v>
      </c>
      <c r="B941" s="10">
        <f>_xlfn.XLOOKUP(1,(VALUE(D941)&gt;=VALUE(block!$C$3:$C$500))*(VALUE(D941)&lt;VALUE(block!$C$3:$C$500)+VALUE(block!$D$3:$D$500)),block!$A$3:$A$500,"无匹配",0,1)</f>
        <v>25</v>
      </c>
      <c r="C941" s="3" t="str">
        <f>B941 &amp; "-" &amp; COUNTIF($B$2:B941, B941)</f>
        <v>25-2</v>
      </c>
      <c r="D941" s="10">
        <v>10572</v>
      </c>
      <c r="E941" s="1" t="s">
        <v>3567</v>
      </c>
      <c r="F941" s="1" t="s">
        <v>3568</v>
      </c>
      <c r="G941" s="1" t="s">
        <v>1840</v>
      </c>
      <c r="H941" s="1" t="s">
        <v>1812</v>
      </c>
      <c r="I941" s="10" t="str">
        <f>IF(H941="T58",1,IF(H941="T58",3,IF(H941="T74",6,IF(H941="T74",10,IF(H941="T106",14,IF(H941="T106",18,IF(H941="T74",22,"")))))))</f>
        <v/>
      </c>
      <c r="J941" s="1" t="s">
        <v>1808</v>
      </c>
      <c r="K941" s="10">
        <v>2</v>
      </c>
      <c r="L941" s="10">
        <v>1</v>
      </c>
      <c r="N941" s="10">
        <v>4</v>
      </c>
      <c r="O941" s="6"/>
      <c r="P941" s="45" t="s">
        <v>2826</v>
      </c>
      <c r="Q941" s="6">
        <v>14</v>
      </c>
      <c r="R941" s="6"/>
      <c r="S941" s="1" t="s">
        <v>3568</v>
      </c>
    </row>
    <row r="942" spans="1:19" ht="18.75" customHeight="1" x14ac:dyDescent="0.3">
      <c r="A942" s="10">
        <v>941</v>
      </c>
      <c r="B942" s="10">
        <f>_xlfn.XLOOKUP(1,(VALUE(D942)&gt;=VALUE(block!$C$3:$C$500))*(VALUE(D942)&lt;VALUE(block!$C$3:$C$500)+VALUE(block!$D$3:$D$500)),block!$A$3:$A$500,"无匹配",0,1)</f>
        <v>25</v>
      </c>
      <c r="C942" s="3" t="str">
        <f>B942 &amp; "-" &amp; COUNTIF($B$2:B942, B942)</f>
        <v>25-3</v>
      </c>
      <c r="D942" s="10">
        <v>10574</v>
      </c>
      <c r="E942" s="1" t="s">
        <v>3569</v>
      </c>
      <c r="F942" s="1" t="s">
        <v>3570</v>
      </c>
      <c r="G942" s="1" t="s">
        <v>1840</v>
      </c>
      <c r="H942" s="1" t="s">
        <v>1812</v>
      </c>
      <c r="I942" s="10" t="str">
        <f>IF(H942="T59",1,IF(H942="T59",3,IF(H942="T75",6,IF(H942="T75",10,IF(H942="T107",14,IF(H942="T107",18,IF(H942="T75",22,"")))))))</f>
        <v/>
      </c>
      <c r="J942" s="1" t="s">
        <v>1808</v>
      </c>
      <c r="K942" s="10">
        <v>2</v>
      </c>
      <c r="L942" s="10">
        <v>1</v>
      </c>
      <c r="N942" s="10">
        <v>4</v>
      </c>
      <c r="O942" s="6"/>
      <c r="P942" s="45" t="s">
        <v>2826</v>
      </c>
      <c r="Q942" s="6">
        <v>14</v>
      </c>
      <c r="R942" s="6"/>
      <c r="S942" s="1" t="s">
        <v>3570</v>
      </c>
    </row>
    <row r="943" spans="1:19" ht="18.75" customHeight="1" x14ac:dyDescent="0.3">
      <c r="A943" s="10">
        <v>942</v>
      </c>
      <c r="B943" s="10">
        <f>_xlfn.XLOOKUP(1,(VALUE(D943)&gt;=VALUE(block!$C$3:$C$500))*(VALUE(D943)&lt;VALUE(block!$C$3:$C$500)+VALUE(block!$D$3:$D$500)),block!$A$3:$A$500,"无匹配",0,1)</f>
        <v>25</v>
      </c>
      <c r="C943" s="3" t="str">
        <f>B943 &amp; "-" &amp; COUNTIF($B$2:B943, B943)</f>
        <v>25-4</v>
      </c>
      <c r="D943" s="10">
        <v>10576</v>
      </c>
      <c r="E943" s="1" t="s">
        <v>3571</v>
      </c>
      <c r="F943" s="1" t="s">
        <v>3572</v>
      </c>
      <c r="G943" s="1" t="s">
        <v>1840</v>
      </c>
      <c r="H943" s="1" t="s">
        <v>1812</v>
      </c>
      <c r="I943" s="10" t="str">
        <f>IF(H943="T60",1,IF(H943="T60",3,IF(H943="T76",6,IF(H943="T76",10,IF(H943="T108",14,IF(H943="T108",18,IF(H943="T76",22,"")))))))</f>
        <v/>
      </c>
      <c r="J943" s="1" t="s">
        <v>1808</v>
      </c>
      <c r="K943" s="10">
        <v>2</v>
      </c>
      <c r="L943" s="10">
        <v>1</v>
      </c>
      <c r="N943" s="10">
        <v>4</v>
      </c>
      <c r="O943" s="6"/>
      <c r="P943" s="45" t="s">
        <v>2826</v>
      </c>
      <c r="Q943" s="6">
        <v>14</v>
      </c>
      <c r="R943" s="6"/>
      <c r="S943" s="1" t="s">
        <v>3572</v>
      </c>
    </row>
    <row r="944" spans="1:19" ht="18.75" hidden="1" customHeight="1" x14ac:dyDescent="0.3">
      <c r="A944" s="10">
        <v>943</v>
      </c>
      <c r="B944" s="10">
        <f>_xlfn.XLOOKUP(1,(VALUE(D944)&gt;=VALUE(block!$C$3:$C$500))*(VALUE(D944)&lt;VALUE(block!$C$3:$C$500)+VALUE(block!$D$3:$D$500)),block!$A$3:$A$500,"无匹配",0,1)</f>
        <v>25</v>
      </c>
      <c r="C944" s="3" t="str">
        <f>B944 &amp; "-" &amp; COUNTIF($B$2:B944, B944)</f>
        <v>25-5</v>
      </c>
      <c r="D944" s="10">
        <v>10578</v>
      </c>
      <c r="E944" s="1" t="s">
        <v>3573</v>
      </c>
      <c r="F944" s="1" t="s">
        <v>3574</v>
      </c>
      <c r="G944" s="1" t="s">
        <v>1840</v>
      </c>
      <c r="H944" s="1" t="s">
        <v>1812</v>
      </c>
      <c r="I944" s="10" t="str">
        <f>IF(H944="T61",1,IF(H944="T61",3,IF(H944="T77",6,IF(H944="T77",10,IF(H944="T109",14,IF(H944="T109",18,IF(H944="T77",22,"")))))))</f>
        <v/>
      </c>
      <c r="J944" s="1" t="s">
        <v>1808</v>
      </c>
      <c r="K944" s="10">
        <v>2</v>
      </c>
      <c r="L944" s="10">
        <v>1</v>
      </c>
      <c r="O944" s="6"/>
      <c r="Q944" s="42" t="s">
        <v>2962</v>
      </c>
      <c r="R944" s="42"/>
      <c r="S944" s="1"/>
    </row>
    <row r="945" spans="1:19" ht="18.75" hidden="1" customHeight="1" x14ac:dyDescent="0.3">
      <c r="A945" s="10">
        <v>944</v>
      </c>
      <c r="B945" s="10">
        <f>_xlfn.XLOOKUP(1,(VALUE(D945)&gt;=VALUE(block!$C$3:$C$500))*(VALUE(D945)&lt;VALUE(block!$C$3:$C$500)+VALUE(block!$D$3:$D$500)),block!$A$3:$A$500,"无匹配",0,1)</f>
        <v>25</v>
      </c>
      <c r="C945" s="3" t="str">
        <f>B945 &amp; "-" &amp; COUNTIF($B$2:B945, B945)</f>
        <v>25-6</v>
      </c>
      <c r="D945" s="10">
        <v>10580</v>
      </c>
      <c r="E945" s="1" t="s">
        <v>3575</v>
      </c>
      <c r="F945" s="1" t="s">
        <v>3576</v>
      </c>
      <c r="G945" s="1" t="s">
        <v>1840</v>
      </c>
      <c r="H945" s="1" t="s">
        <v>1812</v>
      </c>
      <c r="I945" s="10" t="str">
        <f>IF(H945="T62",1,IF(H945="T62",3,IF(H945="T78",6,IF(H945="T78",10,IF(H945="T110",14,IF(H945="T110",18,IF(H945="T78",22,"")))))))</f>
        <v/>
      </c>
      <c r="J945" s="1" t="s">
        <v>1808</v>
      </c>
      <c r="K945" s="10">
        <v>2</v>
      </c>
      <c r="L945" s="10">
        <v>1</v>
      </c>
      <c r="O945" s="6"/>
      <c r="Q945" s="42" t="s">
        <v>2962</v>
      </c>
      <c r="R945" s="42"/>
      <c r="S945" s="1"/>
    </row>
    <row r="946" spans="1:19" ht="18.75" hidden="1" customHeight="1" x14ac:dyDescent="0.3">
      <c r="A946" s="10">
        <v>945</v>
      </c>
      <c r="B946" s="10">
        <f>_xlfn.XLOOKUP(1,(VALUE(D946)&gt;=VALUE(block!$C$3:$C$500))*(VALUE(D946)&lt;VALUE(block!$C$3:$C$500)+VALUE(block!$D$3:$D$500)),block!$A$3:$A$500,"无匹配",0,1)</f>
        <v>25</v>
      </c>
      <c r="C946" s="3" t="str">
        <f>B946 &amp; "-" &amp; COUNTIF($B$2:B946, B946)</f>
        <v>25-7</v>
      </c>
      <c r="D946" s="10">
        <v>10582</v>
      </c>
      <c r="E946" s="1" t="s">
        <v>3577</v>
      </c>
      <c r="F946" s="1" t="s">
        <v>3578</v>
      </c>
      <c r="G946" s="1" t="s">
        <v>1840</v>
      </c>
      <c r="H946" s="1" t="s">
        <v>1812</v>
      </c>
      <c r="I946" s="10" t="str">
        <f>IF(H946="T63",1,IF(H946="T63",3,IF(H946="T79",6,IF(H946="T79",10,IF(H946="T111",14,IF(H946="T111",18,IF(H946="T79",22,"")))))))</f>
        <v/>
      </c>
      <c r="J946" s="1" t="s">
        <v>1808</v>
      </c>
      <c r="K946" s="10">
        <v>2</v>
      </c>
      <c r="L946" s="10">
        <v>1</v>
      </c>
      <c r="O946" s="6"/>
      <c r="Q946" s="42" t="s">
        <v>2962</v>
      </c>
      <c r="R946" s="42"/>
      <c r="S946" s="1"/>
    </row>
    <row r="947" spans="1:19" ht="18.75" hidden="1" customHeight="1" x14ac:dyDescent="0.3">
      <c r="A947" s="10">
        <v>946</v>
      </c>
      <c r="B947" s="10">
        <f>_xlfn.XLOOKUP(1,(VALUE(D947)&gt;=VALUE(block!$C$3:$C$500))*(VALUE(D947)&lt;VALUE(block!$C$3:$C$500)+VALUE(block!$D$3:$D$500)),block!$A$3:$A$500,"无匹配",0,1)</f>
        <v>25</v>
      </c>
      <c r="C947" s="3" t="str">
        <f>B947 &amp; "-" &amp; COUNTIF($B$2:B947, B947)</f>
        <v>25-8</v>
      </c>
      <c r="D947" s="10">
        <v>10584</v>
      </c>
      <c r="E947" s="1" t="s">
        <v>3579</v>
      </c>
      <c r="F947" s="1" t="s">
        <v>3580</v>
      </c>
      <c r="G947" s="1" t="s">
        <v>1840</v>
      </c>
      <c r="H947" s="1" t="s">
        <v>1812</v>
      </c>
      <c r="I947" s="10" t="str">
        <f>IF(H947="T64",1,IF(H947="T64",3,IF(H947="T80",6,IF(H947="T80",10,IF(H947="T112",14,IF(H947="T112",18,IF(H947="T80",22,"")))))))</f>
        <v/>
      </c>
      <c r="J947" s="1" t="s">
        <v>1808</v>
      </c>
      <c r="K947" s="10">
        <v>2</v>
      </c>
      <c r="L947" s="10">
        <v>1</v>
      </c>
      <c r="O947" s="6"/>
      <c r="Q947" s="42" t="s">
        <v>2962</v>
      </c>
      <c r="R947" s="42"/>
      <c r="S947" s="1"/>
    </row>
    <row r="948" spans="1:19" ht="18.75" hidden="1" customHeight="1" x14ac:dyDescent="0.3">
      <c r="A948" s="10">
        <v>947</v>
      </c>
      <c r="B948" s="10">
        <f>_xlfn.XLOOKUP(1,(VALUE(D948)&gt;=VALUE(block!$C$3:$C$500))*(VALUE(D948)&lt;VALUE(block!$C$3:$C$500)+VALUE(block!$D$3:$D$500)),block!$A$3:$A$500,"无匹配",0,1)</f>
        <v>25</v>
      </c>
      <c r="C948" s="3" t="str">
        <f>B948 &amp; "-" &amp; COUNTIF($B$2:B948, B948)</f>
        <v>25-9</v>
      </c>
      <c r="D948" s="10">
        <v>10586</v>
      </c>
      <c r="E948" s="1" t="s">
        <v>3581</v>
      </c>
      <c r="F948" s="1" t="s">
        <v>3582</v>
      </c>
      <c r="G948" s="1" t="s">
        <v>1840</v>
      </c>
      <c r="H948" s="1" t="s">
        <v>1812</v>
      </c>
      <c r="I948" s="10" t="str">
        <f>IF(H948="T65",1,IF(H948="T65",3,IF(H948="T81",6,IF(H948="T81",10,IF(H948="T113",14,IF(H948="T113",18,IF(H948="T81",22,"")))))))</f>
        <v/>
      </c>
      <c r="J948" s="1" t="s">
        <v>1808</v>
      </c>
      <c r="K948" s="10">
        <v>2</v>
      </c>
      <c r="L948" s="10">
        <v>1</v>
      </c>
      <c r="O948" s="6"/>
      <c r="Q948" s="42" t="s">
        <v>2962</v>
      </c>
      <c r="R948" s="42"/>
      <c r="S948" s="1"/>
    </row>
    <row r="949" spans="1:19" ht="18.75" hidden="1" customHeight="1" x14ac:dyDescent="0.3">
      <c r="A949" s="10">
        <v>948</v>
      </c>
      <c r="B949" s="10">
        <f>_xlfn.XLOOKUP(1,(VALUE(D949)&gt;=VALUE(block!$C$3:$C$500))*(VALUE(D949)&lt;VALUE(block!$C$3:$C$500)+VALUE(block!$D$3:$D$500)),block!$A$3:$A$500,"无匹配",0,1)</f>
        <v>25</v>
      </c>
      <c r="C949" s="3" t="str">
        <f>B949 &amp; "-" &amp; COUNTIF($B$2:B949, B949)</f>
        <v>25-10</v>
      </c>
      <c r="D949" s="10">
        <v>10588</v>
      </c>
      <c r="E949" s="1" t="s">
        <v>3583</v>
      </c>
      <c r="F949" s="1" t="s">
        <v>3584</v>
      </c>
      <c r="G949" s="1" t="s">
        <v>1840</v>
      </c>
      <c r="H949" s="1" t="s">
        <v>1812</v>
      </c>
      <c r="I949" s="10" t="str">
        <f>IF(H949="T66",1,IF(H949="T66",3,IF(H949="T82",6,IF(H949="T82",10,IF(H949="T114",14,IF(H949="T114",18,IF(H949="T82",22,"")))))))</f>
        <v/>
      </c>
      <c r="J949" s="1" t="s">
        <v>1808</v>
      </c>
      <c r="K949" s="10">
        <v>2</v>
      </c>
      <c r="L949" s="10">
        <v>1</v>
      </c>
      <c r="O949" s="6"/>
      <c r="Q949" s="42" t="s">
        <v>2962</v>
      </c>
      <c r="R949" s="42"/>
      <c r="S949" s="1"/>
    </row>
    <row r="950" spans="1:19" ht="18.75" hidden="1" customHeight="1" x14ac:dyDescent="0.3">
      <c r="A950" s="10">
        <v>949</v>
      </c>
      <c r="B950" s="10">
        <f>_xlfn.XLOOKUP(1,(VALUE(D950)&gt;=VALUE(block!$C$3:$C$500))*(VALUE(D950)&lt;VALUE(block!$C$3:$C$500)+VALUE(block!$D$3:$D$500)),block!$A$3:$A$500,"无匹配",0,1)</f>
        <v>25</v>
      </c>
      <c r="C950" s="3" t="str">
        <f>B950 &amp; "-" &amp; COUNTIF($B$2:B950, B950)</f>
        <v>25-11</v>
      </c>
      <c r="D950" s="10">
        <v>10590</v>
      </c>
      <c r="E950" s="1" t="s">
        <v>3585</v>
      </c>
      <c r="F950" s="1" t="s">
        <v>3586</v>
      </c>
      <c r="G950" s="1" t="s">
        <v>1840</v>
      </c>
      <c r="H950" s="1" t="s">
        <v>1812</v>
      </c>
      <c r="I950" s="10" t="str">
        <f>IF(H950="T67",1,IF(H950="T67",3,IF(H950="T83",6,IF(H950="T83",10,IF(H950="T115",14,IF(H950="T115",18,IF(H950="T83",22,"")))))))</f>
        <v/>
      </c>
      <c r="J950" s="1" t="s">
        <v>1808</v>
      </c>
      <c r="K950" s="10">
        <v>2</v>
      </c>
      <c r="L950" s="10">
        <v>1</v>
      </c>
      <c r="O950" s="6"/>
      <c r="Q950" s="42" t="s">
        <v>2962</v>
      </c>
      <c r="R950" s="42"/>
      <c r="S950" s="1"/>
    </row>
    <row r="951" spans="1:19" ht="18.75" hidden="1" customHeight="1" x14ac:dyDescent="0.3">
      <c r="A951" s="10">
        <v>950</v>
      </c>
      <c r="B951" s="10">
        <f>_xlfn.XLOOKUP(1,(VALUE(D951)&gt;=VALUE(block!$C$3:$C$500))*(VALUE(D951)&lt;VALUE(block!$C$3:$C$500)+VALUE(block!$D$3:$D$500)),block!$A$3:$A$500,"无匹配",0,1)</f>
        <v>25</v>
      </c>
      <c r="C951" s="3" t="str">
        <f>B951 &amp; "-" &amp; COUNTIF($B$2:B951, B951)</f>
        <v>25-12</v>
      </c>
      <c r="D951" s="10">
        <v>10592</v>
      </c>
      <c r="E951" s="1" t="s">
        <v>3587</v>
      </c>
      <c r="F951" s="1" t="s">
        <v>3588</v>
      </c>
      <c r="G951" s="1" t="s">
        <v>1840</v>
      </c>
      <c r="H951" s="1" t="s">
        <v>1812</v>
      </c>
      <c r="I951" s="10" t="str">
        <f>IF(H951="T68",1,IF(H951="T68",3,IF(H951="T84",6,IF(H951="T84",10,IF(H951="T116",14,IF(H951="T116",18,IF(H951="T84",22,"")))))))</f>
        <v/>
      </c>
      <c r="J951" s="1" t="s">
        <v>1808</v>
      </c>
      <c r="K951" s="10">
        <v>2</v>
      </c>
      <c r="L951" s="10">
        <v>1</v>
      </c>
      <c r="O951" s="6"/>
      <c r="Q951" s="42" t="s">
        <v>2962</v>
      </c>
      <c r="R951" s="42"/>
      <c r="S951" s="1"/>
    </row>
    <row r="952" spans="1:19" ht="18.75" hidden="1" customHeight="1" x14ac:dyDescent="0.3">
      <c r="A952" s="10">
        <v>951</v>
      </c>
      <c r="B952" s="10">
        <f>_xlfn.XLOOKUP(1,(VALUE(D952)&gt;=VALUE(block!$C$3:$C$500))*(VALUE(D952)&lt;VALUE(block!$C$3:$C$500)+VALUE(block!$D$3:$D$500)),block!$A$3:$A$500,"无匹配",0,1)</f>
        <v>25</v>
      </c>
      <c r="C952" s="3" t="str">
        <f>B952 &amp; "-" &amp; COUNTIF($B$2:B952, B952)</f>
        <v>25-13</v>
      </c>
      <c r="D952" s="10">
        <v>10594</v>
      </c>
      <c r="E952" s="1" t="s">
        <v>3589</v>
      </c>
      <c r="F952" s="1" t="s">
        <v>3590</v>
      </c>
      <c r="G952" s="1" t="s">
        <v>1840</v>
      </c>
      <c r="H952" s="1" t="s">
        <v>1812</v>
      </c>
      <c r="I952" s="10" t="str">
        <f>IF(H952="T69",1,IF(H952="T69",3,IF(H952="T85",6,IF(H952="T85",10,IF(H952="T117",14,IF(H952="T117",18,IF(H952="T85",22,"")))))))</f>
        <v/>
      </c>
      <c r="J952" s="1" t="s">
        <v>1808</v>
      </c>
      <c r="K952" s="10">
        <v>2</v>
      </c>
      <c r="L952" s="10">
        <v>1</v>
      </c>
      <c r="O952" s="6"/>
      <c r="Q952" s="42" t="s">
        <v>2962</v>
      </c>
      <c r="R952" s="42"/>
      <c r="S952" s="1"/>
    </row>
    <row r="953" spans="1:19" ht="18.75" hidden="1" customHeight="1" x14ac:dyDescent="0.3">
      <c r="A953" s="10">
        <v>952</v>
      </c>
      <c r="B953" s="10">
        <f>_xlfn.XLOOKUP(1,(VALUE(D953)&gt;=VALUE(block!$C$3:$C$500))*(VALUE(D953)&lt;VALUE(block!$C$3:$C$500)+VALUE(block!$D$3:$D$500)),block!$A$3:$A$500,"无匹配",0,1)</f>
        <v>25</v>
      </c>
      <c r="C953" s="3" t="str">
        <f>B953 &amp; "-" &amp; COUNTIF($B$2:B953, B953)</f>
        <v>25-14</v>
      </c>
      <c r="D953" s="10">
        <v>10596</v>
      </c>
      <c r="E953" s="1" t="s">
        <v>3591</v>
      </c>
      <c r="F953" s="1" t="s">
        <v>3592</v>
      </c>
      <c r="G953" s="1" t="s">
        <v>1840</v>
      </c>
      <c r="H953" s="1" t="s">
        <v>1812</v>
      </c>
      <c r="I953" s="10" t="str">
        <f>IF(H953="T70",1,IF(H953="T70",3,IF(H953="T86",6,IF(H953="T86",10,IF(H953="T118",14,IF(H953="T118",18,IF(H953="T86",22,"")))))))</f>
        <v/>
      </c>
      <c r="J953" s="1" t="s">
        <v>1808</v>
      </c>
      <c r="K953" s="10">
        <v>2</v>
      </c>
      <c r="L953" s="10">
        <v>1</v>
      </c>
      <c r="O953" s="6"/>
      <c r="Q953" s="42" t="s">
        <v>2962</v>
      </c>
      <c r="R953" s="42"/>
      <c r="S953" s="1"/>
    </row>
    <row r="954" spans="1:19" ht="18.75" hidden="1" customHeight="1" x14ac:dyDescent="0.3">
      <c r="A954" s="10">
        <v>953</v>
      </c>
      <c r="B954" s="10">
        <f>_xlfn.XLOOKUP(1,(VALUE(D954)&gt;=VALUE(block!$C$3:$C$500))*(VALUE(D954)&lt;VALUE(block!$C$3:$C$500)+VALUE(block!$D$3:$D$500)),block!$A$3:$A$500,"无匹配",0,1)</f>
        <v>25</v>
      </c>
      <c r="C954" s="3" t="str">
        <f>B954 &amp; "-" &amp; COUNTIF($B$2:B954, B954)</f>
        <v>25-15</v>
      </c>
      <c r="D954" s="10">
        <v>10598</v>
      </c>
      <c r="E954" s="1" t="s">
        <v>3593</v>
      </c>
      <c r="F954" s="1" t="s">
        <v>3594</v>
      </c>
      <c r="G954" s="1" t="s">
        <v>1840</v>
      </c>
      <c r="H954" s="1" t="s">
        <v>1812</v>
      </c>
      <c r="I954" s="10" t="str">
        <f>IF(H954="T71",1,IF(H954="T71",3,IF(H954="T87",6,IF(H954="T87",10,IF(H954="T119",14,IF(H954="T119",18,IF(H954="T87",22,"")))))))</f>
        <v/>
      </c>
      <c r="J954" s="1" t="s">
        <v>1808</v>
      </c>
      <c r="K954" s="10">
        <v>2</v>
      </c>
      <c r="L954" s="10">
        <v>1</v>
      </c>
      <c r="O954" s="6"/>
      <c r="Q954" s="42" t="s">
        <v>2962</v>
      </c>
      <c r="R954" s="42"/>
      <c r="S954" s="1"/>
    </row>
    <row r="955" spans="1:19" ht="18.75" hidden="1" customHeight="1" x14ac:dyDescent="0.3">
      <c r="A955" s="10">
        <v>954</v>
      </c>
      <c r="B955" s="10">
        <f>_xlfn.XLOOKUP(1,(VALUE(D955)&gt;=VALUE(block!$C$3:$C$500))*(VALUE(D955)&lt;VALUE(block!$C$3:$C$500)+VALUE(block!$D$3:$D$500)),block!$A$3:$A$500,"无匹配",0,1)</f>
        <v>25</v>
      </c>
      <c r="C955" s="3" t="str">
        <f>B955 &amp; "-" &amp; COUNTIF($B$2:B955, B955)</f>
        <v>25-16</v>
      </c>
      <c r="D955" s="10">
        <v>10600</v>
      </c>
      <c r="E955" s="1" t="s">
        <v>3595</v>
      </c>
      <c r="F955" s="1" t="s">
        <v>3596</v>
      </c>
      <c r="G955" s="1" t="s">
        <v>1840</v>
      </c>
      <c r="H955" s="1" t="s">
        <v>1812</v>
      </c>
      <c r="I955" s="10" t="str">
        <f>IF(H955="T72",1,IF(H955="T72",3,IF(H955="T88",6,IF(H955="T88",10,IF(H955="T120",14,IF(H955="T120",18,IF(H955="T88",22,"")))))))</f>
        <v/>
      </c>
      <c r="J955" s="1" t="s">
        <v>1808</v>
      </c>
      <c r="K955" s="10">
        <v>2</v>
      </c>
      <c r="L955" s="10">
        <v>1</v>
      </c>
      <c r="O955" s="6"/>
      <c r="Q955" s="42" t="s">
        <v>2962</v>
      </c>
      <c r="R955" s="42"/>
      <c r="S955" s="1"/>
    </row>
    <row r="956" spans="1:19" ht="18.75" hidden="1" customHeight="1" x14ac:dyDescent="0.3">
      <c r="A956" s="10">
        <v>955</v>
      </c>
      <c r="B956" s="10">
        <f>_xlfn.XLOOKUP(1,(VALUE(D956)&gt;=VALUE(block!$C$3:$C$500))*(VALUE(D956)&lt;VALUE(block!$C$3:$C$500)+VALUE(block!$D$3:$D$500)),block!$A$3:$A$500,"无匹配",0,1)</f>
        <v>25</v>
      </c>
      <c r="C956" s="3" t="str">
        <f>B956 &amp; "-" &amp; COUNTIF($B$2:B956, B956)</f>
        <v>25-17</v>
      </c>
      <c r="D956" s="10">
        <v>10602</v>
      </c>
      <c r="E956" s="1" t="s">
        <v>3597</v>
      </c>
      <c r="F956" s="1" t="s">
        <v>3598</v>
      </c>
      <c r="G956" s="1" t="s">
        <v>1840</v>
      </c>
      <c r="H956" s="1" t="s">
        <v>1812</v>
      </c>
      <c r="I956" s="10" t="str">
        <f>IF(H956="T73",1,IF(H956="T73",3,IF(H956="T89",6,IF(H956="T89",10,IF(H956="T121",14,IF(H956="T121",18,IF(H956="T89",22,"")))))))</f>
        <v/>
      </c>
      <c r="J956" s="1" t="s">
        <v>1808</v>
      </c>
      <c r="K956" s="10">
        <v>2</v>
      </c>
      <c r="L956" s="10">
        <v>1</v>
      </c>
      <c r="O956" s="6"/>
      <c r="Q956" s="42" t="s">
        <v>2962</v>
      </c>
      <c r="R956" s="42"/>
      <c r="S956" s="1"/>
    </row>
    <row r="957" spans="1:19" ht="18.75" hidden="1" customHeight="1" x14ac:dyDescent="0.3">
      <c r="A957" s="10">
        <v>956</v>
      </c>
      <c r="B957" s="10">
        <f>_xlfn.XLOOKUP(1,(VALUE(D957)&gt;=VALUE(block!$C$3:$C$500))*(VALUE(D957)&lt;VALUE(block!$C$3:$C$500)+VALUE(block!$D$3:$D$500)),block!$A$3:$A$500,"无匹配",0,1)</f>
        <v>25</v>
      </c>
      <c r="C957" s="3" t="str">
        <f>B957 &amp; "-" &amp; COUNTIF($B$2:B957, B957)</f>
        <v>25-18</v>
      </c>
      <c r="D957" s="10">
        <v>10604</v>
      </c>
      <c r="E957" s="1" t="s">
        <v>3599</v>
      </c>
      <c r="F957" s="1" t="s">
        <v>3600</v>
      </c>
      <c r="G957" s="1" t="s">
        <v>1840</v>
      </c>
      <c r="H957" s="1" t="s">
        <v>1812</v>
      </c>
      <c r="I957" s="10" t="str">
        <f>IF(H957="T74",1,IF(H957="T74",3,IF(H957="T90",6,IF(H957="T90",10,IF(H957="T122",14,IF(H957="T122",18,IF(H957="T90",22,"")))))))</f>
        <v/>
      </c>
      <c r="J957" s="1" t="s">
        <v>1808</v>
      </c>
      <c r="K957" s="10">
        <v>2</v>
      </c>
      <c r="L957" s="10">
        <v>1</v>
      </c>
      <c r="O957" s="6"/>
      <c r="Q957" s="42" t="s">
        <v>2962</v>
      </c>
      <c r="R957" s="42"/>
      <c r="S957" s="1"/>
    </row>
    <row r="958" spans="1:19" ht="18.75" hidden="1" customHeight="1" x14ac:dyDescent="0.3">
      <c r="A958" s="10">
        <v>957</v>
      </c>
      <c r="B958" s="10">
        <f>_xlfn.XLOOKUP(1,(VALUE(D958)&gt;=VALUE(block!$C$3:$C$500))*(VALUE(D958)&lt;VALUE(block!$C$3:$C$500)+VALUE(block!$D$3:$D$500)),block!$A$3:$A$500,"无匹配",0,1)</f>
        <v>25</v>
      </c>
      <c r="C958" s="3" t="str">
        <f>B958 &amp; "-" &amp; COUNTIF($B$2:B958, B958)</f>
        <v>25-19</v>
      </c>
      <c r="D958" s="10">
        <v>10606</v>
      </c>
      <c r="E958" s="1" t="s">
        <v>3601</v>
      </c>
      <c r="F958" s="1" t="s">
        <v>3602</v>
      </c>
      <c r="G958" s="1" t="s">
        <v>1840</v>
      </c>
      <c r="H958" s="1" t="s">
        <v>1812</v>
      </c>
      <c r="I958" s="10" t="str">
        <f>IF(H958="T75",1,IF(H958="T75",3,IF(H958="T91",6,IF(H958="T91",10,IF(H958="T123",14,IF(H958="T123",18,IF(H958="T91",22,"")))))))</f>
        <v/>
      </c>
      <c r="J958" s="1" t="s">
        <v>1808</v>
      </c>
      <c r="K958" s="10">
        <v>2</v>
      </c>
      <c r="L958" s="10">
        <v>1</v>
      </c>
      <c r="O958" s="6"/>
      <c r="Q958" s="42" t="s">
        <v>2962</v>
      </c>
      <c r="R958" s="42"/>
      <c r="S958" s="1"/>
    </row>
    <row r="959" spans="1:19" ht="18.75" hidden="1" customHeight="1" x14ac:dyDescent="0.3">
      <c r="A959" s="10">
        <v>958</v>
      </c>
      <c r="B959" s="10">
        <f>_xlfn.XLOOKUP(1,(VALUE(D959)&gt;=VALUE(block!$C$3:$C$500))*(VALUE(D959)&lt;VALUE(block!$C$3:$C$500)+VALUE(block!$D$3:$D$500)),block!$A$3:$A$500,"无匹配",0,1)</f>
        <v>25</v>
      </c>
      <c r="C959" s="3" t="str">
        <f>B959 &amp; "-" &amp; COUNTIF($B$2:B959, B959)</f>
        <v>25-20</v>
      </c>
      <c r="D959" s="10">
        <v>10608</v>
      </c>
      <c r="E959" s="1" t="s">
        <v>3603</v>
      </c>
      <c r="F959" s="1" t="s">
        <v>3604</v>
      </c>
      <c r="G959" s="1" t="s">
        <v>1840</v>
      </c>
      <c r="H959" s="1" t="s">
        <v>1812</v>
      </c>
      <c r="I959" s="10" t="str">
        <f>IF(H959="T76",1,IF(H959="T76",3,IF(H959="T92",6,IF(H959="T92",10,IF(H959="T124",14,IF(H959="T124",18,IF(H959="T92",22,"")))))))</f>
        <v/>
      </c>
      <c r="J959" s="1" t="s">
        <v>1808</v>
      </c>
      <c r="K959" s="10">
        <v>2</v>
      </c>
      <c r="L959" s="10">
        <v>1</v>
      </c>
      <c r="O959" s="6"/>
      <c r="Q959" s="42" t="s">
        <v>2962</v>
      </c>
      <c r="R959" s="42"/>
      <c r="S959" s="1"/>
    </row>
    <row r="960" spans="1:19" ht="18.75" hidden="1" customHeight="1" x14ac:dyDescent="0.3">
      <c r="A960" s="10">
        <v>959</v>
      </c>
      <c r="B960" s="10">
        <f>_xlfn.XLOOKUP(1,(VALUE(D960)&gt;=VALUE(block!$C$3:$C$500))*(VALUE(D960)&lt;VALUE(block!$C$3:$C$500)+VALUE(block!$D$3:$D$500)),block!$A$3:$A$500,"无匹配",0,1)</f>
        <v>25</v>
      </c>
      <c r="C960" s="3" t="str">
        <f>B960 &amp; "-" &amp; COUNTIF($B$2:B960, B960)</f>
        <v>25-21</v>
      </c>
      <c r="D960" s="10">
        <v>10610</v>
      </c>
      <c r="E960" s="1" t="s">
        <v>3605</v>
      </c>
      <c r="F960" s="1" t="s">
        <v>3606</v>
      </c>
      <c r="G960" s="1" t="s">
        <v>1840</v>
      </c>
      <c r="H960" s="1" t="s">
        <v>1812</v>
      </c>
      <c r="I960" s="10" t="str">
        <f>IF(H960="T77",1,IF(H960="T77",3,IF(H960="T93",6,IF(H960="T93",10,IF(H960="T125",14,IF(H960="T125",18,IF(H960="T93",22,"")))))))</f>
        <v/>
      </c>
      <c r="J960" s="1" t="s">
        <v>1808</v>
      </c>
      <c r="K960" s="10">
        <v>2</v>
      </c>
      <c r="L960" s="10">
        <v>1</v>
      </c>
      <c r="O960" s="6"/>
      <c r="Q960" s="42" t="s">
        <v>2962</v>
      </c>
      <c r="R960" s="42"/>
      <c r="S960" s="1"/>
    </row>
    <row r="961" spans="1:19" ht="18.75" hidden="1" customHeight="1" x14ac:dyDescent="0.3">
      <c r="A961" s="10">
        <v>960</v>
      </c>
      <c r="B961" s="10">
        <f>_xlfn.XLOOKUP(1,(VALUE(D961)&gt;=VALUE(block!$C$3:$C$500))*(VALUE(D961)&lt;VALUE(block!$C$3:$C$500)+VALUE(block!$D$3:$D$500)),block!$A$3:$A$500,"无匹配",0,1)</f>
        <v>25</v>
      </c>
      <c r="C961" s="3" t="str">
        <f>B961 &amp; "-" &amp; COUNTIF($B$2:B961, B961)</f>
        <v>25-22</v>
      </c>
      <c r="D961" s="10">
        <v>10612</v>
      </c>
      <c r="E961" s="1" t="s">
        <v>3607</v>
      </c>
      <c r="F961" s="1" t="s">
        <v>3608</v>
      </c>
      <c r="G961" s="1" t="s">
        <v>1840</v>
      </c>
      <c r="H961" s="1" t="s">
        <v>1812</v>
      </c>
      <c r="I961" s="10" t="str">
        <f>IF(H961="T78",1,IF(H961="T78",3,IF(H961="T94",6,IF(H961="T94",10,IF(H961="T126",14,IF(H961="T126",18,IF(H961="T94",22,"")))))))</f>
        <v/>
      </c>
      <c r="J961" s="1" t="s">
        <v>1808</v>
      </c>
      <c r="K961" s="10">
        <v>2</v>
      </c>
      <c r="L961" s="10">
        <v>1</v>
      </c>
      <c r="O961" s="6"/>
      <c r="Q961" s="42" t="s">
        <v>2962</v>
      </c>
      <c r="R961" s="42"/>
      <c r="S961" s="1"/>
    </row>
    <row r="962" spans="1:19" ht="18.75" hidden="1" customHeight="1" x14ac:dyDescent="0.3">
      <c r="A962" s="10">
        <v>961</v>
      </c>
      <c r="B962" s="10">
        <f>_xlfn.XLOOKUP(1,(VALUE(D962)&gt;=VALUE(block!$C$3:$C$500))*(VALUE(D962)&lt;VALUE(block!$C$3:$C$500)+VALUE(block!$D$3:$D$500)),block!$A$3:$A$500,"无匹配",0,1)</f>
        <v>25</v>
      </c>
      <c r="C962" s="3" t="str">
        <f>B962 &amp; "-" &amp; COUNTIF($B$2:B962, B962)</f>
        <v>25-23</v>
      </c>
      <c r="D962" s="10">
        <v>10614</v>
      </c>
      <c r="E962" s="1" t="s">
        <v>3609</v>
      </c>
      <c r="F962" s="1" t="s">
        <v>3610</v>
      </c>
      <c r="G962" s="1" t="s">
        <v>1840</v>
      </c>
      <c r="H962" s="1" t="s">
        <v>1812</v>
      </c>
      <c r="I962" s="10" t="str">
        <f>IF(H962="T79",1,IF(H962="T79",3,IF(H962="T95",6,IF(H962="T95",10,IF(H962="T127",14,IF(H962="T127",18,IF(H962="T95",22,"")))))))</f>
        <v/>
      </c>
      <c r="J962" s="1" t="s">
        <v>1808</v>
      </c>
      <c r="K962" s="10">
        <v>2</v>
      </c>
      <c r="L962" s="10">
        <v>1</v>
      </c>
      <c r="O962" s="6"/>
      <c r="Q962" s="42" t="s">
        <v>2962</v>
      </c>
      <c r="R962" s="42"/>
      <c r="S962" s="1"/>
    </row>
    <row r="963" spans="1:19" ht="18.75" hidden="1" customHeight="1" x14ac:dyDescent="0.3">
      <c r="A963" s="10">
        <v>962</v>
      </c>
      <c r="B963" s="10">
        <f>_xlfn.XLOOKUP(1,(VALUE(D963)&gt;=VALUE(block!$C$3:$C$500))*(VALUE(D963)&lt;VALUE(block!$C$3:$C$500)+VALUE(block!$D$3:$D$500)),block!$A$3:$A$500,"无匹配",0,1)</f>
        <v>25</v>
      </c>
      <c r="C963" s="3" t="str">
        <f>B963 &amp; "-" &amp; COUNTIF($B$2:B963, B963)</f>
        <v>25-24</v>
      </c>
      <c r="D963" s="10">
        <v>10616</v>
      </c>
      <c r="E963" s="1" t="s">
        <v>3611</v>
      </c>
      <c r="F963" s="1" t="s">
        <v>3612</v>
      </c>
      <c r="G963" s="1" t="s">
        <v>1840</v>
      </c>
      <c r="H963" s="1" t="s">
        <v>1812</v>
      </c>
      <c r="I963" s="10">
        <f>IF(H963="uint16",1,IF(H963="int16",3,IF(H963="uint32",6,IF(H963="int32",10,IF(H963="uint64",14,IF(H963="int64",18,IF(H963="float32",22,"")))))))</f>
        <v>22</v>
      </c>
      <c r="J963" s="1" t="s">
        <v>1808</v>
      </c>
      <c r="K963" s="10">
        <v>2</v>
      </c>
      <c r="L963" s="10">
        <v>1</v>
      </c>
      <c r="O963" s="6"/>
      <c r="Q963" s="42" t="s">
        <v>2962</v>
      </c>
      <c r="R963" s="42"/>
      <c r="S963" s="1"/>
    </row>
    <row r="964" spans="1:19" ht="18.75" hidden="1" customHeight="1" x14ac:dyDescent="0.3">
      <c r="A964" s="10">
        <v>963</v>
      </c>
      <c r="B964" s="10">
        <f>_xlfn.XLOOKUP(1,(VALUE(D964)&gt;=VALUE(block!$C$3:$C$500))*(VALUE(D964)&lt;VALUE(block!$C$3:$C$500)+VALUE(block!$D$3:$D$500)),block!$A$3:$A$500,"无匹配",0,1)</f>
        <v>25</v>
      </c>
      <c r="C964" s="3" t="str">
        <f>B964 &amp; "-" &amp; COUNTIF($B$2:B964, B964)</f>
        <v>25-25</v>
      </c>
      <c r="D964" s="10">
        <v>10618</v>
      </c>
      <c r="E964" s="1" t="s">
        <v>3613</v>
      </c>
      <c r="F964" s="1" t="s">
        <v>3614</v>
      </c>
      <c r="G964" s="1" t="s">
        <v>1840</v>
      </c>
      <c r="H964" s="1" t="s">
        <v>1812</v>
      </c>
      <c r="I964" s="10" t="str">
        <f>IF(H964="T17",1,IF(H964="T17",3,IF(H964="T33",6,IF(H964="T33",10,IF(H964="T65",14,IF(H964="T65",18,IF(H964="T33",22,"")))))))</f>
        <v/>
      </c>
      <c r="J964" s="1" t="s">
        <v>1808</v>
      </c>
      <c r="K964" s="10">
        <v>2</v>
      </c>
      <c r="L964" s="10">
        <v>1</v>
      </c>
      <c r="O964" s="6"/>
      <c r="Q964" s="42" t="s">
        <v>2962</v>
      </c>
      <c r="R964" s="42"/>
      <c r="S964" s="1"/>
    </row>
    <row r="965" spans="1:19" ht="18.75" hidden="1" customHeight="1" x14ac:dyDescent="0.3">
      <c r="A965" s="10">
        <v>964</v>
      </c>
      <c r="B965" s="10">
        <f>_xlfn.XLOOKUP(1,(VALUE(D965)&gt;=VALUE(block!$C$3:$C$500))*(VALUE(D965)&lt;VALUE(block!$C$3:$C$500)+VALUE(block!$D$3:$D$500)),block!$A$3:$A$500,"无匹配",0,1)</f>
        <v>25</v>
      </c>
      <c r="C965" s="3" t="str">
        <f>B965 &amp; "-" &amp; COUNTIF($B$2:B965, B965)</f>
        <v>25-26</v>
      </c>
      <c r="D965" s="10">
        <v>10620</v>
      </c>
      <c r="E965" s="1" t="s">
        <v>3615</v>
      </c>
      <c r="F965" s="1" t="s">
        <v>3616</v>
      </c>
      <c r="G965" s="1" t="s">
        <v>1840</v>
      </c>
      <c r="H965" s="1" t="s">
        <v>1812</v>
      </c>
      <c r="I965" s="10" t="str">
        <f>IF(H965="T18",1,IF(H965="T18",3,IF(H965="T34",6,IF(H965="T34",10,IF(H965="T66",14,IF(H965="T66",18,IF(H965="T34",22,"")))))))</f>
        <v/>
      </c>
      <c r="J965" s="1" t="s">
        <v>1808</v>
      </c>
      <c r="K965" s="10">
        <v>2</v>
      </c>
      <c r="L965" s="10">
        <v>1</v>
      </c>
      <c r="O965" s="6"/>
      <c r="Q965" s="42" t="s">
        <v>2962</v>
      </c>
      <c r="R965" s="42"/>
      <c r="S965" s="1"/>
    </row>
    <row r="966" spans="1:19" ht="18.75" hidden="1" customHeight="1" x14ac:dyDescent="0.3">
      <c r="A966" s="10">
        <v>965</v>
      </c>
      <c r="B966" s="10">
        <f>_xlfn.XLOOKUP(1,(VALUE(D966)&gt;=VALUE(block!$C$3:$C$500))*(VALUE(D966)&lt;VALUE(block!$C$3:$C$500)+VALUE(block!$D$3:$D$500)),block!$A$3:$A$500,"无匹配",0,1)</f>
        <v>25</v>
      </c>
      <c r="C966" s="3" t="str">
        <f>B966 &amp; "-" &amp; COUNTIF($B$2:B966, B966)</f>
        <v>25-27</v>
      </c>
      <c r="D966" s="10">
        <v>10622</v>
      </c>
      <c r="E966" s="1" t="s">
        <v>3617</v>
      </c>
      <c r="F966" s="1" t="s">
        <v>3618</v>
      </c>
      <c r="G966" s="1" t="s">
        <v>1840</v>
      </c>
      <c r="H966" s="1" t="s">
        <v>1812</v>
      </c>
      <c r="I966" s="10" t="str">
        <f>IF(H966="T19",1,IF(H966="T19",3,IF(H966="T35",6,IF(H966="T35",10,IF(H966="T67",14,IF(H966="T67",18,IF(H966="T35",22,"")))))))</f>
        <v/>
      </c>
      <c r="J966" s="1" t="s">
        <v>1808</v>
      </c>
      <c r="K966" s="10">
        <v>2</v>
      </c>
      <c r="L966" s="10">
        <v>1</v>
      </c>
      <c r="O966" s="6"/>
      <c r="Q966" s="42" t="s">
        <v>2962</v>
      </c>
      <c r="R966" s="42"/>
      <c r="S966" s="1"/>
    </row>
    <row r="967" spans="1:19" ht="18.75" hidden="1" customHeight="1" x14ac:dyDescent="0.3">
      <c r="A967" s="10">
        <v>966</v>
      </c>
      <c r="B967" s="10">
        <f>_xlfn.XLOOKUP(1,(VALUE(D967)&gt;=VALUE(block!$C$3:$C$500))*(VALUE(D967)&lt;VALUE(block!$C$3:$C$500)+VALUE(block!$D$3:$D$500)),block!$A$3:$A$500,"无匹配",0,1)</f>
        <v>25</v>
      </c>
      <c r="C967" s="3" t="str">
        <f>B967 &amp; "-" &amp; COUNTIF($B$2:B967, B967)</f>
        <v>25-28</v>
      </c>
      <c r="D967" s="10">
        <v>10624</v>
      </c>
      <c r="E967" s="1" t="s">
        <v>3619</v>
      </c>
      <c r="F967" s="1" t="s">
        <v>3620</v>
      </c>
      <c r="G967" s="1" t="s">
        <v>1840</v>
      </c>
      <c r="H967" s="1" t="s">
        <v>1812</v>
      </c>
      <c r="I967" s="10" t="str">
        <f>IF(H967="T20",1,IF(H967="T20",3,IF(H967="T36",6,IF(H967="T36",10,IF(H967="T68",14,IF(H967="T68",18,IF(H967="T36",22,"")))))))</f>
        <v/>
      </c>
      <c r="J967" s="1" t="s">
        <v>1808</v>
      </c>
      <c r="K967" s="10">
        <v>2</v>
      </c>
      <c r="L967" s="10">
        <v>1</v>
      </c>
      <c r="O967" s="6"/>
      <c r="Q967" s="42" t="s">
        <v>2962</v>
      </c>
      <c r="R967" s="42"/>
      <c r="S967" s="1"/>
    </row>
    <row r="968" spans="1:19" ht="18.75" hidden="1" customHeight="1" x14ac:dyDescent="0.3">
      <c r="A968" s="10">
        <v>967</v>
      </c>
      <c r="B968" s="10">
        <f>_xlfn.XLOOKUP(1,(VALUE(D968)&gt;=VALUE(block!$C$3:$C$500))*(VALUE(D968)&lt;VALUE(block!$C$3:$C$500)+VALUE(block!$D$3:$D$500)),block!$A$3:$A$500,"无匹配",0,1)</f>
        <v>25</v>
      </c>
      <c r="C968" s="3" t="str">
        <f>B968 &amp; "-" &amp; COUNTIF($B$2:B968, B968)</f>
        <v>25-29</v>
      </c>
      <c r="D968" s="10">
        <v>10626</v>
      </c>
      <c r="E968" s="1" t="s">
        <v>3621</v>
      </c>
      <c r="F968" s="1" t="s">
        <v>3622</v>
      </c>
      <c r="G968" s="1" t="s">
        <v>1840</v>
      </c>
      <c r="H968" s="1" t="s">
        <v>1812</v>
      </c>
      <c r="I968" s="10" t="str">
        <f>IF(H968="T21",1,IF(H968="T21",3,IF(H968="T37",6,IF(H968="T37",10,IF(H968="T69",14,IF(H968="T69",18,IF(H968="T37",22,"")))))))</f>
        <v/>
      </c>
      <c r="J968" s="1" t="s">
        <v>1808</v>
      </c>
      <c r="K968" s="10">
        <v>2</v>
      </c>
      <c r="L968" s="10">
        <v>1</v>
      </c>
      <c r="O968" s="6"/>
      <c r="Q968" s="42" t="s">
        <v>2962</v>
      </c>
      <c r="R968" s="42"/>
      <c r="S968" s="1"/>
    </row>
    <row r="969" spans="1:19" ht="18.75" hidden="1" customHeight="1" x14ac:dyDescent="0.3">
      <c r="A969" s="10">
        <v>968</v>
      </c>
      <c r="B969" s="10">
        <f>_xlfn.XLOOKUP(1,(VALUE(D969)&gt;=VALUE(block!$C$3:$C$500))*(VALUE(D969)&lt;VALUE(block!$C$3:$C$500)+VALUE(block!$D$3:$D$500)),block!$A$3:$A$500,"无匹配",0,1)</f>
        <v>25</v>
      </c>
      <c r="C969" s="3" t="str">
        <f>B969 &amp; "-" &amp; COUNTIF($B$2:B969, B969)</f>
        <v>25-30</v>
      </c>
      <c r="D969" s="10">
        <v>10628</v>
      </c>
      <c r="E969" s="1" t="s">
        <v>3623</v>
      </c>
      <c r="F969" s="1" t="s">
        <v>3624</v>
      </c>
      <c r="G969" s="1" t="s">
        <v>1840</v>
      </c>
      <c r="H969" s="1" t="s">
        <v>1812</v>
      </c>
      <c r="I969" s="10" t="str">
        <f>IF(H969="T22",1,IF(H969="T22",3,IF(H969="T38",6,IF(H969="T38",10,IF(H969="T70",14,IF(H969="T70",18,IF(H969="T38",22,"")))))))</f>
        <v/>
      </c>
      <c r="J969" s="1" t="s">
        <v>1808</v>
      </c>
      <c r="K969" s="10">
        <v>2</v>
      </c>
      <c r="L969" s="10">
        <v>1</v>
      </c>
      <c r="O969" s="6"/>
      <c r="Q969" s="42" t="s">
        <v>2962</v>
      </c>
      <c r="R969" s="42"/>
      <c r="S969" s="1"/>
    </row>
    <row r="970" spans="1:19" ht="18.75" hidden="1" customHeight="1" x14ac:dyDescent="0.3">
      <c r="A970" s="10">
        <v>969</v>
      </c>
      <c r="B970" s="10">
        <f>_xlfn.XLOOKUP(1,(VALUE(D970)&gt;=VALUE(block!$C$3:$C$500))*(VALUE(D970)&lt;VALUE(block!$C$3:$C$500)+VALUE(block!$D$3:$D$500)),block!$A$3:$A$500,"无匹配",0,1)</f>
        <v>25</v>
      </c>
      <c r="C970" s="3" t="str">
        <f>B970 &amp; "-" &amp; COUNTIF($B$2:B970, B970)</f>
        <v>25-31</v>
      </c>
      <c r="D970" s="10">
        <v>10630</v>
      </c>
      <c r="E970" s="1" t="s">
        <v>3625</v>
      </c>
      <c r="F970" s="1" t="s">
        <v>3626</v>
      </c>
      <c r="G970" s="1" t="s">
        <v>1840</v>
      </c>
      <c r="H970" s="1" t="s">
        <v>1812</v>
      </c>
      <c r="I970" s="10" t="str">
        <f>IF(H970="T23",1,IF(H970="T23",3,IF(H970="T39",6,IF(H970="T39",10,IF(H970="T71",14,IF(H970="T71",18,IF(H970="T39",22,"")))))))</f>
        <v/>
      </c>
      <c r="J970" s="1" t="s">
        <v>1808</v>
      </c>
      <c r="K970" s="10">
        <v>2</v>
      </c>
      <c r="L970" s="10">
        <v>1</v>
      </c>
      <c r="O970" s="6"/>
      <c r="Q970" s="42" t="s">
        <v>2962</v>
      </c>
      <c r="R970" s="42"/>
      <c r="S970" s="1"/>
    </row>
    <row r="971" spans="1:19" ht="18.75" hidden="1" customHeight="1" x14ac:dyDescent="0.3">
      <c r="A971" s="10">
        <v>970</v>
      </c>
      <c r="B971" s="10">
        <f>_xlfn.XLOOKUP(1,(VALUE(D971)&gt;=VALUE(block!$C$3:$C$500))*(VALUE(D971)&lt;VALUE(block!$C$3:$C$500)+VALUE(block!$D$3:$D$500)),block!$A$3:$A$500,"无匹配",0,1)</f>
        <v>25</v>
      </c>
      <c r="C971" s="3" t="str">
        <f>B971 &amp; "-" &amp; COUNTIF($B$2:B971, B971)</f>
        <v>25-32</v>
      </c>
      <c r="D971" s="10">
        <v>10632</v>
      </c>
      <c r="E971" s="1" t="s">
        <v>3627</v>
      </c>
      <c r="F971" s="1" t="s">
        <v>3628</v>
      </c>
      <c r="G971" s="1" t="s">
        <v>1840</v>
      </c>
      <c r="H971" s="1" t="s">
        <v>1812</v>
      </c>
      <c r="I971" s="10" t="str">
        <f>IF(H971="T24",1,IF(H971="T24",3,IF(H971="T40",6,IF(H971="T40",10,IF(H971="T72",14,IF(H971="T72",18,IF(H971="T40",22,"")))))))</f>
        <v/>
      </c>
      <c r="J971" s="1" t="s">
        <v>1808</v>
      </c>
      <c r="K971" s="10">
        <v>2</v>
      </c>
      <c r="L971" s="10">
        <v>1</v>
      </c>
      <c r="O971" s="6"/>
      <c r="Q971" s="42" t="s">
        <v>2962</v>
      </c>
      <c r="R971" s="42"/>
      <c r="S971" s="1"/>
    </row>
    <row r="972" spans="1:19" ht="18.75" hidden="1" customHeight="1" x14ac:dyDescent="0.3">
      <c r="A972" s="10">
        <v>971</v>
      </c>
      <c r="B972" s="10">
        <f>_xlfn.XLOOKUP(1,(VALUE(D972)&gt;=VALUE(block!$C$3:$C$500))*(VALUE(D972)&lt;VALUE(block!$C$3:$C$500)+VALUE(block!$D$3:$D$500)),block!$A$3:$A$500,"无匹配",0,1)</f>
        <v>25</v>
      </c>
      <c r="C972" s="3" t="str">
        <f>B972 &amp; "-" &amp; COUNTIF($B$2:B972, B972)</f>
        <v>25-33</v>
      </c>
      <c r="D972" s="10">
        <v>10634</v>
      </c>
      <c r="E972" s="1" t="s">
        <v>3629</v>
      </c>
      <c r="F972" s="1" t="s">
        <v>3630</v>
      </c>
      <c r="G972" s="1" t="s">
        <v>1840</v>
      </c>
      <c r="H972" s="1" t="s">
        <v>1812</v>
      </c>
      <c r="I972" s="10" t="str">
        <f>IF(H972="T25",1,IF(H972="T25",3,IF(H972="T41",6,IF(H972="T41",10,IF(H972="T73",14,IF(H972="T73",18,IF(H972="T41",22,"")))))))</f>
        <v/>
      </c>
      <c r="J972" s="1" t="s">
        <v>1808</v>
      </c>
      <c r="K972" s="10">
        <v>2</v>
      </c>
      <c r="L972" s="10">
        <v>1</v>
      </c>
      <c r="O972" s="6"/>
      <c r="Q972" s="42" t="s">
        <v>2962</v>
      </c>
      <c r="R972" s="42"/>
      <c r="S972" s="1"/>
    </row>
    <row r="973" spans="1:19" ht="18.75" hidden="1" customHeight="1" x14ac:dyDescent="0.3">
      <c r="A973" s="10">
        <v>972</v>
      </c>
      <c r="B973" s="10">
        <f>_xlfn.XLOOKUP(1,(VALUE(D973)&gt;=VALUE(block!$C$3:$C$500))*(VALUE(D973)&lt;VALUE(block!$C$3:$C$500)+VALUE(block!$D$3:$D$500)),block!$A$3:$A$500,"无匹配",0,1)</f>
        <v>25</v>
      </c>
      <c r="C973" s="3" t="str">
        <f>B973 &amp; "-" &amp; COUNTIF($B$2:B973, B973)</f>
        <v>25-34</v>
      </c>
      <c r="D973" s="10">
        <v>10636</v>
      </c>
      <c r="E973" s="1" t="s">
        <v>3631</v>
      </c>
      <c r="F973" s="1" t="s">
        <v>3632</v>
      </c>
      <c r="G973" s="1" t="s">
        <v>1840</v>
      </c>
      <c r="H973" s="1" t="s">
        <v>1812</v>
      </c>
      <c r="I973" s="10" t="str">
        <f>IF(H973="T26",1,IF(H973="T26",3,IF(H973="T42",6,IF(H973="T42",10,IF(H973="T74",14,IF(H973="T74",18,IF(H973="T42",22,"")))))))</f>
        <v/>
      </c>
      <c r="J973" s="1" t="s">
        <v>1808</v>
      </c>
      <c r="K973" s="10">
        <v>2</v>
      </c>
      <c r="L973" s="10">
        <v>1</v>
      </c>
      <c r="O973" s="6"/>
      <c r="Q973" s="42" t="s">
        <v>2962</v>
      </c>
      <c r="R973" s="42"/>
      <c r="S973" s="1"/>
    </row>
    <row r="974" spans="1:19" ht="18.75" customHeight="1" x14ac:dyDescent="0.3">
      <c r="A974" s="10">
        <v>973</v>
      </c>
      <c r="B974" s="10">
        <f>_xlfn.XLOOKUP(1,(VALUE(D974)&gt;=VALUE(block!$C$3:$C$500))*(VALUE(D974)&lt;VALUE(block!$C$3:$C$500)+VALUE(block!$D$3:$D$500)),block!$A$3:$A$500,"无匹配",0,1)</f>
        <v>26</v>
      </c>
      <c r="C974" s="3" t="str">
        <f>B974 &amp; "-" &amp; COUNTIF($B$2:B974, B974)</f>
        <v>26-1</v>
      </c>
      <c r="D974" s="10">
        <v>10638</v>
      </c>
      <c r="E974" s="1" t="s">
        <v>3633</v>
      </c>
      <c r="F974" s="1" t="s">
        <v>3634</v>
      </c>
      <c r="G974" s="1" t="s">
        <v>1840</v>
      </c>
      <c r="H974" s="1" t="s">
        <v>1812</v>
      </c>
      <c r="I974" s="10" t="str">
        <f>IF(H974="T27",1,IF(H974="T27",3,IF(H974="T43",6,IF(H974="T43",10,IF(H974="T75",14,IF(H974="T75",18,IF(H974="T43",22,"")))))))</f>
        <v/>
      </c>
      <c r="J974" s="1" t="s">
        <v>1808</v>
      </c>
      <c r="K974" s="10">
        <v>2</v>
      </c>
      <c r="L974" s="10">
        <v>1</v>
      </c>
      <c r="N974" s="10">
        <v>4</v>
      </c>
      <c r="O974" s="6"/>
      <c r="P974" s="45" t="s">
        <v>2826</v>
      </c>
      <c r="Q974" s="6">
        <v>14</v>
      </c>
      <c r="R974" s="6"/>
      <c r="S974" s="1" t="s">
        <v>3634</v>
      </c>
    </row>
    <row r="975" spans="1:19" ht="18.75" customHeight="1" x14ac:dyDescent="0.3">
      <c r="A975" s="10">
        <v>974</v>
      </c>
      <c r="B975" s="10">
        <f>_xlfn.XLOOKUP(1,(VALUE(D975)&gt;=VALUE(block!$C$3:$C$500))*(VALUE(D975)&lt;VALUE(block!$C$3:$C$500)+VALUE(block!$D$3:$D$500)),block!$A$3:$A$500,"无匹配",0,1)</f>
        <v>26</v>
      </c>
      <c r="C975" s="3" t="str">
        <f>B975 &amp; "-" &amp; COUNTIF($B$2:B975, B975)</f>
        <v>26-2</v>
      </c>
      <c r="D975" s="10">
        <v>10640</v>
      </c>
      <c r="E975" s="1" t="s">
        <v>3635</v>
      </c>
      <c r="F975" s="1" t="s">
        <v>3636</v>
      </c>
      <c r="G975" s="1" t="s">
        <v>1840</v>
      </c>
      <c r="H975" s="1" t="s">
        <v>1812</v>
      </c>
      <c r="I975" s="10" t="str">
        <f>IF(H975="T28",1,IF(H975="T28",3,IF(H975="T44",6,IF(H975="T44",10,IF(H975="T76",14,IF(H975="T76",18,IF(H975="T44",22,"")))))))</f>
        <v/>
      </c>
      <c r="J975" s="1" t="s">
        <v>1808</v>
      </c>
      <c r="K975" s="10">
        <v>2</v>
      </c>
      <c r="L975" s="10">
        <v>1</v>
      </c>
      <c r="N975" s="10">
        <v>4</v>
      </c>
      <c r="O975" s="6"/>
      <c r="P975" s="45" t="s">
        <v>2826</v>
      </c>
      <c r="Q975" s="6">
        <v>14</v>
      </c>
      <c r="R975" s="6"/>
      <c r="S975" s="1" t="s">
        <v>3636</v>
      </c>
    </row>
    <row r="976" spans="1:19" ht="18.75" customHeight="1" x14ac:dyDescent="0.3">
      <c r="A976" s="10">
        <v>975</v>
      </c>
      <c r="B976" s="10">
        <f>_xlfn.XLOOKUP(1,(VALUE(D976)&gt;=VALUE(block!$C$3:$C$500))*(VALUE(D976)&lt;VALUE(block!$C$3:$C$500)+VALUE(block!$D$3:$D$500)),block!$A$3:$A$500,"无匹配",0,1)</f>
        <v>26</v>
      </c>
      <c r="C976" s="3" t="str">
        <f>B976 &amp; "-" &amp; COUNTIF($B$2:B976, B976)</f>
        <v>26-3</v>
      </c>
      <c r="D976" s="10">
        <v>10642</v>
      </c>
      <c r="E976" s="1" t="s">
        <v>3637</v>
      </c>
      <c r="F976" s="1" t="s">
        <v>3638</v>
      </c>
      <c r="G976" s="1" t="s">
        <v>1840</v>
      </c>
      <c r="H976" s="1" t="s">
        <v>1812</v>
      </c>
      <c r="I976" s="10" t="str">
        <f>IF(H976="T29",1,IF(H976="T29",3,IF(H976="T45",6,IF(H976="T45",10,IF(H976="T77",14,IF(H976="T77",18,IF(H976="T45",22,"")))))))</f>
        <v/>
      </c>
      <c r="J976" s="1" t="s">
        <v>1808</v>
      </c>
      <c r="K976" s="10">
        <v>2</v>
      </c>
      <c r="L976" s="10">
        <v>1</v>
      </c>
      <c r="N976" s="10">
        <v>4</v>
      </c>
      <c r="O976" s="6"/>
      <c r="P976" s="45" t="s">
        <v>2826</v>
      </c>
      <c r="Q976" s="6">
        <v>14</v>
      </c>
      <c r="R976" s="6"/>
      <c r="S976" s="1" t="s">
        <v>3638</v>
      </c>
    </row>
    <row r="977" spans="1:19" ht="18.75" customHeight="1" x14ac:dyDescent="0.3">
      <c r="A977" s="10">
        <v>976</v>
      </c>
      <c r="B977" s="10">
        <f>_xlfn.XLOOKUP(1,(VALUE(D977)&gt;=VALUE(block!$C$3:$C$500))*(VALUE(D977)&lt;VALUE(block!$C$3:$C$500)+VALUE(block!$D$3:$D$500)),block!$A$3:$A$500,"无匹配",0,1)</f>
        <v>26</v>
      </c>
      <c r="C977" s="3" t="str">
        <f>B977 &amp; "-" &amp; COUNTIF($B$2:B977, B977)</f>
        <v>26-4</v>
      </c>
      <c r="D977" s="10">
        <v>10644</v>
      </c>
      <c r="E977" s="1" t="s">
        <v>3639</v>
      </c>
      <c r="F977" s="1" t="s">
        <v>3640</v>
      </c>
      <c r="G977" s="1" t="s">
        <v>1840</v>
      </c>
      <c r="H977" s="1" t="s">
        <v>1812</v>
      </c>
      <c r="I977" s="10" t="str">
        <f>IF(H977="T30",1,IF(H977="T30",3,IF(H977="T46",6,IF(H977="T46",10,IF(H977="T78",14,IF(H977="T78",18,IF(H977="T46",22,"")))))))</f>
        <v/>
      </c>
      <c r="J977" s="1" t="s">
        <v>1808</v>
      </c>
      <c r="K977" s="10">
        <v>2</v>
      </c>
      <c r="L977" s="10">
        <v>1</v>
      </c>
      <c r="N977" s="10">
        <v>4</v>
      </c>
      <c r="O977" s="6"/>
      <c r="P977" s="45" t="s">
        <v>2826</v>
      </c>
      <c r="Q977" s="6">
        <v>14</v>
      </c>
      <c r="R977" s="6"/>
      <c r="S977" s="1" t="s">
        <v>3640</v>
      </c>
    </row>
    <row r="978" spans="1:19" ht="18.75" hidden="1" customHeight="1" x14ac:dyDescent="0.3">
      <c r="A978" s="10">
        <v>977</v>
      </c>
      <c r="B978" s="10">
        <f>_xlfn.XLOOKUP(1,(VALUE(D978)&gt;=VALUE(block!$C$3:$C$500))*(VALUE(D978)&lt;VALUE(block!$C$3:$C$500)+VALUE(block!$D$3:$D$500)),block!$A$3:$A$500,"无匹配",0,1)</f>
        <v>26</v>
      </c>
      <c r="C978" s="3" t="str">
        <f>B978 &amp; "-" &amp; COUNTIF($B$2:B978, B978)</f>
        <v>26-5</v>
      </c>
      <c r="D978" s="10">
        <v>10646</v>
      </c>
      <c r="E978" s="1" t="s">
        <v>3641</v>
      </c>
      <c r="F978" s="1" t="s">
        <v>3642</v>
      </c>
      <c r="G978" s="1" t="s">
        <v>1840</v>
      </c>
      <c r="H978" s="1" t="s">
        <v>1812</v>
      </c>
      <c r="I978" s="10" t="str">
        <f>IF(H978="T31",1,IF(H978="T31",3,IF(H978="T47",6,IF(H978="T47",10,IF(H978="T79",14,IF(H978="T79",18,IF(H978="T47",22,"")))))))</f>
        <v/>
      </c>
      <c r="J978" s="1" t="s">
        <v>1808</v>
      </c>
      <c r="K978" s="10">
        <v>2</v>
      </c>
      <c r="L978" s="10">
        <v>1</v>
      </c>
      <c r="O978" s="6"/>
      <c r="Q978" s="42" t="s">
        <v>2962</v>
      </c>
      <c r="R978" s="42"/>
      <c r="S978" s="1"/>
    </row>
    <row r="979" spans="1:19" ht="18.75" hidden="1" customHeight="1" x14ac:dyDescent="0.3">
      <c r="A979" s="10">
        <v>978</v>
      </c>
      <c r="B979" s="10">
        <f>_xlfn.XLOOKUP(1,(VALUE(D979)&gt;=VALUE(block!$C$3:$C$500))*(VALUE(D979)&lt;VALUE(block!$C$3:$C$500)+VALUE(block!$D$3:$D$500)),block!$A$3:$A$500,"无匹配",0,1)</f>
        <v>26</v>
      </c>
      <c r="C979" s="3" t="str">
        <f>B979 &amp; "-" &amp; COUNTIF($B$2:B979, B979)</f>
        <v>26-6</v>
      </c>
      <c r="D979" s="10">
        <v>10648</v>
      </c>
      <c r="E979" s="1" t="s">
        <v>3643</v>
      </c>
      <c r="F979" s="1" t="s">
        <v>3644</v>
      </c>
      <c r="G979" s="1" t="s">
        <v>1840</v>
      </c>
      <c r="H979" s="1" t="s">
        <v>1812</v>
      </c>
      <c r="I979" s="10" t="str">
        <f>IF(H979="T32",1,IF(H979="T32",3,IF(H979="T48",6,IF(H979="T48",10,IF(H979="T80",14,IF(H979="T80",18,IF(H979="T48",22,"")))))))</f>
        <v/>
      </c>
      <c r="J979" s="1" t="s">
        <v>1808</v>
      </c>
      <c r="K979" s="10">
        <v>2</v>
      </c>
      <c r="L979" s="10">
        <v>1</v>
      </c>
      <c r="O979" s="6"/>
      <c r="Q979" s="42" t="s">
        <v>2962</v>
      </c>
      <c r="R979" s="42"/>
      <c r="S979" s="1"/>
    </row>
    <row r="980" spans="1:19" ht="18.75" hidden="1" customHeight="1" x14ac:dyDescent="0.3">
      <c r="A980" s="10">
        <v>979</v>
      </c>
      <c r="B980" s="10">
        <f>_xlfn.XLOOKUP(1,(VALUE(D980)&gt;=VALUE(block!$C$3:$C$500))*(VALUE(D980)&lt;VALUE(block!$C$3:$C$500)+VALUE(block!$D$3:$D$500)),block!$A$3:$A$500,"无匹配",0,1)</f>
        <v>26</v>
      </c>
      <c r="C980" s="3" t="str">
        <f>B980 &amp; "-" &amp; COUNTIF($B$2:B980, B980)</f>
        <v>26-7</v>
      </c>
      <c r="D980" s="10">
        <v>10650</v>
      </c>
      <c r="E980" s="1" t="s">
        <v>3645</v>
      </c>
      <c r="F980" s="1" t="s">
        <v>3646</v>
      </c>
      <c r="G980" s="1" t="s">
        <v>1840</v>
      </c>
      <c r="H980" s="1" t="s">
        <v>1812</v>
      </c>
      <c r="I980" s="10" t="str">
        <f>IF(H980="T33",1,IF(H980="T33",3,IF(H980="T49",6,IF(H980="T49",10,IF(H980="T81",14,IF(H980="T81",18,IF(H980="T49",22,"")))))))</f>
        <v/>
      </c>
      <c r="J980" s="1" t="s">
        <v>1808</v>
      </c>
      <c r="K980" s="10">
        <v>2</v>
      </c>
      <c r="L980" s="10">
        <v>1</v>
      </c>
      <c r="O980" s="6"/>
      <c r="Q980" s="42" t="s">
        <v>2962</v>
      </c>
      <c r="R980" s="42"/>
      <c r="S980" s="1"/>
    </row>
    <row r="981" spans="1:19" ht="18.75" hidden="1" customHeight="1" x14ac:dyDescent="0.3">
      <c r="A981" s="10">
        <v>980</v>
      </c>
      <c r="B981" s="10">
        <f>_xlfn.XLOOKUP(1,(VALUE(D981)&gt;=VALUE(block!$C$3:$C$500))*(VALUE(D981)&lt;VALUE(block!$C$3:$C$500)+VALUE(block!$D$3:$D$500)),block!$A$3:$A$500,"无匹配",0,1)</f>
        <v>26</v>
      </c>
      <c r="C981" s="3" t="str">
        <f>B981 &amp; "-" &amp; COUNTIF($B$2:B981, B981)</f>
        <v>26-8</v>
      </c>
      <c r="D981" s="10">
        <v>10652</v>
      </c>
      <c r="E981" s="1" t="s">
        <v>3647</v>
      </c>
      <c r="F981" s="1" t="s">
        <v>3648</v>
      </c>
      <c r="G981" s="1" t="s">
        <v>1840</v>
      </c>
      <c r="H981" s="1" t="s">
        <v>1812</v>
      </c>
      <c r="I981" s="10" t="str">
        <f>IF(H981="T34",1,IF(H981="T34",3,IF(H981="T50",6,IF(H981="T50",10,IF(H981="T82",14,IF(H981="T82",18,IF(H981="T50",22,"")))))))</f>
        <v/>
      </c>
      <c r="J981" s="1" t="s">
        <v>1808</v>
      </c>
      <c r="K981" s="10">
        <v>2</v>
      </c>
      <c r="L981" s="10">
        <v>1</v>
      </c>
      <c r="O981" s="6"/>
      <c r="Q981" s="42" t="s">
        <v>2962</v>
      </c>
      <c r="R981" s="42"/>
      <c r="S981" s="1"/>
    </row>
    <row r="982" spans="1:19" ht="18.75" hidden="1" customHeight="1" x14ac:dyDescent="0.3">
      <c r="A982" s="10">
        <v>981</v>
      </c>
      <c r="B982" s="10">
        <f>_xlfn.XLOOKUP(1,(VALUE(D982)&gt;=VALUE(block!$C$3:$C$500))*(VALUE(D982)&lt;VALUE(block!$C$3:$C$500)+VALUE(block!$D$3:$D$500)),block!$A$3:$A$500,"无匹配",0,1)</f>
        <v>26</v>
      </c>
      <c r="C982" s="3" t="str">
        <f>B982 &amp; "-" &amp; COUNTIF($B$2:B982, B982)</f>
        <v>26-9</v>
      </c>
      <c r="D982" s="10">
        <v>10654</v>
      </c>
      <c r="E982" s="1" t="s">
        <v>3649</v>
      </c>
      <c r="F982" s="1" t="s">
        <v>3650</v>
      </c>
      <c r="G982" s="1" t="s">
        <v>1840</v>
      </c>
      <c r="H982" s="1" t="s">
        <v>1812</v>
      </c>
      <c r="I982" s="10" t="str">
        <f>IF(H982="T35",1,IF(H982="T35",3,IF(H982="T51",6,IF(H982="T51",10,IF(H982="T83",14,IF(H982="T83",18,IF(H982="T51",22,"")))))))</f>
        <v/>
      </c>
      <c r="J982" s="1" t="s">
        <v>1808</v>
      </c>
      <c r="K982" s="10">
        <v>2</v>
      </c>
      <c r="L982" s="10">
        <v>1</v>
      </c>
      <c r="O982" s="6"/>
      <c r="Q982" s="42" t="s">
        <v>2962</v>
      </c>
      <c r="R982" s="42"/>
      <c r="S982" s="1"/>
    </row>
    <row r="983" spans="1:19" ht="18.75" hidden="1" customHeight="1" x14ac:dyDescent="0.3">
      <c r="A983" s="10">
        <v>982</v>
      </c>
      <c r="B983" s="10">
        <f>_xlfn.XLOOKUP(1,(VALUE(D983)&gt;=VALUE(block!$C$3:$C$500))*(VALUE(D983)&lt;VALUE(block!$C$3:$C$500)+VALUE(block!$D$3:$D$500)),block!$A$3:$A$500,"无匹配",0,1)</f>
        <v>26</v>
      </c>
      <c r="C983" s="3" t="str">
        <f>B983 &amp; "-" &amp; COUNTIF($B$2:B983, B983)</f>
        <v>26-10</v>
      </c>
      <c r="D983" s="10">
        <v>10656</v>
      </c>
      <c r="E983" s="1" t="s">
        <v>3651</v>
      </c>
      <c r="F983" s="1" t="s">
        <v>3652</v>
      </c>
      <c r="G983" s="1" t="s">
        <v>1840</v>
      </c>
      <c r="H983" s="1" t="s">
        <v>1812</v>
      </c>
      <c r="I983" s="10" t="str">
        <f>IF(H983="T36",1,IF(H983="T36",3,IF(H983="T52",6,IF(H983="T52",10,IF(H983="T84",14,IF(H983="T84",18,IF(H983="T52",22,"")))))))</f>
        <v/>
      </c>
      <c r="J983" s="1" t="s">
        <v>1808</v>
      </c>
      <c r="K983" s="10">
        <v>2</v>
      </c>
      <c r="L983" s="10">
        <v>1</v>
      </c>
      <c r="O983" s="6"/>
      <c r="Q983" s="42" t="s">
        <v>2962</v>
      </c>
      <c r="R983" s="42"/>
      <c r="S983" s="1"/>
    </row>
    <row r="984" spans="1:19" ht="18.75" hidden="1" customHeight="1" x14ac:dyDescent="0.3">
      <c r="A984" s="10">
        <v>983</v>
      </c>
      <c r="B984" s="10">
        <f>_xlfn.XLOOKUP(1,(VALUE(D984)&gt;=VALUE(block!$C$3:$C$500))*(VALUE(D984)&lt;VALUE(block!$C$3:$C$500)+VALUE(block!$D$3:$D$500)),block!$A$3:$A$500,"无匹配",0,1)</f>
        <v>26</v>
      </c>
      <c r="C984" s="3" t="str">
        <f>B984 &amp; "-" &amp; COUNTIF($B$2:B984, B984)</f>
        <v>26-11</v>
      </c>
      <c r="D984" s="10">
        <v>10658</v>
      </c>
      <c r="E984" s="1" t="s">
        <v>3653</v>
      </c>
      <c r="F984" s="1" t="s">
        <v>3654</v>
      </c>
      <c r="G984" s="1" t="s">
        <v>1840</v>
      </c>
      <c r="H984" s="1" t="s">
        <v>1812</v>
      </c>
      <c r="I984" s="10" t="str">
        <f>IF(H984="T37",1,IF(H984="T37",3,IF(H984="T53",6,IF(H984="T53",10,IF(H984="T85",14,IF(H984="T85",18,IF(H984="T53",22,"")))))))</f>
        <v/>
      </c>
      <c r="J984" s="1" t="s">
        <v>1808</v>
      </c>
      <c r="K984" s="10">
        <v>2</v>
      </c>
      <c r="L984" s="10">
        <v>1</v>
      </c>
      <c r="O984" s="6"/>
      <c r="Q984" s="42" t="s">
        <v>2962</v>
      </c>
      <c r="R984" s="42"/>
      <c r="S984" s="1"/>
    </row>
    <row r="985" spans="1:19" ht="18.75" hidden="1" customHeight="1" x14ac:dyDescent="0.3">
      <c r="A985" s="10">
        <v>984</v>
      </c>
      <c r="B985" s="10">
        <f>_xlfn.XLOOKUP(1,(VALUE(D985)&gt;=VALUE(block!$C$3:$C$500))*(VALUE(D985)&lt;VALUE(block!$C$3:$C$500)+VALUE(block!$D$3:$D$500)),block!$A$3:$A$500,"无匹配",0,1)</f>
        <v>26</v>
      </c>
      <c r="C985" s="3" t="str">
        <f>B985 &amp; "-" &amp; COUNTIF($B$2:B985, B985)</f>
        <v>26-12</v>
      </c>
      <c r="D985" s="10">
        <v>10660</v>
      </c>
      <c r="E985" s="1" t="s">
        <v>3655</v>
      </c>
      <c r="F985" s="1" t="s">
        <v>3656</v>
      </c>
      <c r="G985" s="1" t="s">
        <v>1840</v>
      </c>
      <c r="H985" s="1" t="s">
        <v>1812</v>
      </c>
      <c r="I985" s="10" t="str">
        <f>IF(H985="T38",1,IF(H985="T38",3,IF(H985="T54",6,IF(H985="T54",10,IF(H985="T86",14,IF(H985="T86",18,IF(H985="T54",22,"")))))))</f>
        <v/>
      </c>
      <c r="J985" s="1" t="s">
        <v>1808</v>
      </c>
      <c r="K985" s="10">
        <v>2</v>
      </c>
      <c r="L985" s="10">
        <v>1</v>
      </c>
      <c r="O985" s="6"/>
      <c r="Q985" s="42" t="s">
        <v>2962</v>
      </c>
      <c r="R985" s="42"/>
      <c r="S985" s="1"/>
    </row>
    <row r="986" spans="1:19" ht="18.75" hidden="1" customHeight="1" x14ac:dyDescent="0.3">
      <c r="A986" s="10">
        <v>985</v>
      </c>
      <c r="B986" s="10">
        <f>_xlfn.XLOOKUP(1,(VALUE(D986)&gt;=VALUE(block!$C$3:$C$500))*(VALUE(D986)&lt;VALUE(block!$C$3:$C$500)+VALUE(block!$D$3:$D$500)),block!$A$3:$A$500,"无匹配",0,1)</f>
        <v>26</v>
      </c>
      <c r="C986" s="3" t="str">
        <f>B986 &amp; "-" &amp; COUNTIF($B$2:B986, B986)</f>
        <v>26-13</v>
      </c>
      <c r="D986" s="10">
        <v>10662</v>
      </c>
      <c r="E986" s="1" t="s">
        <v>3657</v>
      </c>
      <c r="F986" s="1" t="s">
        <v>3658</v>
      </c>
      <c r="G986" s="1" t="s">
        <v>1840</v>
      </c>
      <c r="H986" s="1" t="s">
        <v>1812</v>
      </c>
      <c r="I986" s="10" t="str">
        <f>IF(H986="T39",1,IF(H986="T39",3,IF(H986="T55",6,IF(H986="T55",10,IF(H986="T87",14,IF(H986="T87",18,IF(H986="T55",22,"")))))))</f>
        <v/>
      </c>
      <c r="J986" s="1" t="s">
        <v>1808</v>
      </c>
      <c r="K986" s="10">
        <v>2</v>
      </c>
      <c r="L986" s="10">
        <v>1</v>
      </c>
      <c r="O986" s="6"/>
      <c r="Q986" s="42" t="s">
        <v>2962</v>
      </c>
      <c r="R986" s="42"/>
      <c r="S986" s="1"/>
    </row>
    <row r="987" spans="1:19" ht="18.75" hidden="1" customHeight="1" x14ac:dyDescent="0.3">
      <c r="A987" s="10">
        <v>986</v>
      </c>
      <c r="B987" s="10">
        <f>_xlfn.XLOOKUP(1,(VALUE(D987)&gt;=VALUE(block!$C$3:$C$500))*(VALUE(D987)&lt;VALUE(block!$C$3:$C$500)+VALUE(block!$D$3:$D$500)),block!$A$3:$A$500,"无匹配",0,1)</f>
        <v>26</v>
      </c>
      <c r="C987" s="3" t="str">
        <f>B987 &amp; "-" &amp; COUNTIF($B$2:B987, B987)</f>
        <v>26-14</v>
      </c>
      <c r="D987" s="10">
        <v>10664</v>
      </c>
      <c r="E987" s="1" t="s">
        <v>3659</v>
      </c>
      <c r="F987" s="1" t="s">
        <v>3660</v>
      </c>
      <c r="G987" s="1" t="s">
        <v>1840</v>
      </c>
      <c r="H987" s="1" t="s">
        <v>1812</v>
      </c>
      <c r="I987" s="10" t="str">
        <f>IF(H987="T40",1,IF(H987="T40",3,IF(H987="T56",6,IF(H987="T56",10,IF(H987="T88",14,IF(H987="T88",18,IF(H987="T56",22,"")))))))</f>
        <v/>
      </c>
      <c r="J987" s="1" t="s">
        <v>1808</v>
      </c>
      <c r="K987" s="10">
        <v>2</v>
      </c>
      <c r="L987" s="10">
        <v>1</v>
      </c>
      <c r="O987" s="6"/>
      <c r="Q987" s="42" t="s">
        <v>2962</v>
      </c>
      <c r="R987" s="42"/>
      <c r="S987" s="1"/>
    </row>
    <row r="988" spans="1:19" ht="18.75" hidden="1" customHeight="1" x14ac:dyDescent="0.3">
      <c r="A988" s="10">
        <v>987</v>
      </c>
      <c r="B988" s="10">
        <f>_xlfn.XLOOKUP(1,(VALUE(D988)&gt;=VALUE(block!$C$3:$C$500))*(VALUE(D988)&lt;VALUE(block!$C$3:$C$500)+VALUE(block!$D$3:$D$500)),block!$A$3:$A$500,"无匹配",0,1)</f>
        <v>26</v>
      </c>
      <c r="C988" s="3" t="str">
        <f>B988 &amp; "-" &amp; COUNTIF($B$2:B988, B988)</f>
        <v>26-15</v>
      </c>
      <c r="D988" s="10">
        <v>10666</v>
      </c>
      <c r="E988" s="1" t="s">
        <v>3661</v>
      </c>
      <c r="F988" s="1" t="s">
        <v>3662</v>
      </c>
      <c r="G988" s="1" t="s">
        <v>1840</v>
      </c>
      <c r="H988" s="1" t="s">
        <v>1812</v>
      </c>
      <c r="I988" s="10" t="str">
        <f>IF(H988="T41",1,IF(H988="T41",3,IF(H988="T57",6,IF(H988="T57",10,IF(H988="T89",14,IF(H988="T89",18,IF(H988="T57",22,"")))))))</f>
        <v/>
      </c>
      <c r="J988" s="1" t="s">
        <v>1808</v>
      </c>
      <c r="K988" s="10">
        <v>2</v>
      </c>
      <c r="L988" s="10">
        <v>1</v>
      </c>
      <c r="O988" s="6"/>
      <c r="Q988" s="42" t="s">
        <v>2962</v>
      </c>
      <c r="R988" s="42"/>
      <c r="S988" s="1"/>
    </row>
    <row r="989" spans="1:19" ht="18.75" hidden="1" customHeight="1" x14ac:dyDescent="0.3">
      <c r="A989" s="10">
        <v>988</v>
      </c>
      <c r="B989" s="10">
        <f>_xlfn.XLOOKUP(1,(VALUE(D989)&gt;=VALUE(block!$C$3:$C$500))*(VALUE(D989)&lt;VALUE(block!$C$3:$C$500)+VALUE(block!$D$3:$D$500)),block!$A$3:$A$500,"无匹配",0,1)</f>
        <v>26</v>
      </c>
      <c r="C989" s="3" t="str">
        <f>B989 &amp; "-" &amp; COUNTIF($B$2:B989, B989)</f>
        <v>26-16</v>
      </c>
      <c r="D989" s="10">
        <v>10668</v>
      </c>
      <c r="E989" s="1" t="s">
        <v>3663</v>
      </c>
      <c r="F989" s="1" t="s">
        <v>3664</v>
      </c>
      <c r="G989" s="1" t="s">
        <v>1840</v>
      </c>
      <c r="H989" s="1" t="s">
        <v>1812</v>
      </c>
      <c r="I989" s="10" t="str">
        <f>IF(H989="T42",1,IF(H989="T42",3,IF(H989="T58",6,IF(H989="T58",10,IF(H989="T90",14,IF(H989="T90",18,IF(H989="T58",22,"")))))))</f>
        <v/>
      </c>
      <c r="J989" s="1" t="s">
        <v>1808</v>
      </c>
      <c r="K989" s="10">
        <v>2</v>
      </c>
      <c r="L989" s="10">
        <v>1</v>
      </c>
      <c r="O989" s="6"/>
      <c r="Q989" s="42" t="s">
        <v>2962</v>
      </c>
      <c r="R989" s="42"/>
      <c r="S989" s="1"/>
    </row>
    <row r="990" spans="1:19" ht="18.75" hidden="1" customHeight="1" x14ac:dyDescent="0.3">
      <c r="A990" s="10">
        <v>989</v>
      </c>
      <c r="B990" s="10">
        <f>_xlfn.XLOOKUP(1,(VALUE(D990)&gt;=VALUE(block!$C$3:$C$500))*(VALUE(D990)&lt;VALUE(block!$C$3:$C$500)+VALUE(block!$D$3:$D$500)),block!$A$3:$A$500,"无匹配",0,1)</f>
        <v>26</v>
      </c>
      <c r="C990" s="3" t="str">
        <f>B990 &amp; "-" &amp; COUNTIF($B$2:B990, B990)</f>
        <v>26-17</v>
      </c>
      <c r="D990" s="10">
        <v>10670</v>
      </c>
      <c r="E990" s="1" t="s">
        <v>3665</v>
      </c>
      <c r="F990" s="1" t="s">
        <v>3666</v>
      </c>
      <c r="G990" s="1" t="s">
        <v>1840</v>
      </c>
      <c r="H990" s="1" t="s">
        <v>1812</v>
      </c>
      <c r="I990" s="10" t="str">
        <f>IF(H990="T43",1,IF(H990="T43",3,IF(H990="T59",6,IF(H990="T59",10,IF(H990="T91",14,IF(H990="T91",18,IF(H990="T59",22,"")))))))</f>
        <v/>
      </c>
      <c r="J990" s="1" t="s">
        <v>1808</v>
      </c>
      <c r="K990" s="10">
        <v>2</v>
      </c>
      <c r="L990" s="10">
        <v>1</v>
      </c>
      <c r="O990" s="6"/>
      <c r="Q990" s="42" t="s">
        <v>2962</v>
      </c>
      <c r="R990" s="42"/>
      <c r="S990" s="1"/>
    </row>
    <row r="991" spans="1:19" ht="18.75" hidden="1" customHeight="1" x14ac:dyDescent="0.3">
      <c r="A991" s="10">
        <v>990</v>
      </c>
      <c r="B991" s="10">
        <f>_xlfn.XLOOKUP(1,(VALUE(D991)&gt;=VALUE(block!$C$3:$C$500))*(VALUE(D991)&lt;VALUE(block!$C$3:$C$500)+VALUE(block!$D$3:$D$500)),block!$A$3:$A$500,"无匹配",0,1)</f>
        <v>26</v>
      </c>
      <c r="C991" s="3" t="str">
        <f>B991 &amp; "-" &amp; COUNTIF($B$2:B991, B991)</f>
        <v>26-18</v>
      </c>
      <c r="D991" s="10">
        <v>10672</v>
      </c>
      <c r="E991" s="1" t="s">
        <v>3667</v>
      </c>
      <c r="F991" s="1" t="s">
        <v>3668</v>
      </c>
      <c r="G991" s="1" t="s">
        <v>1840</v>
      </c>
      <c r="H991" s="1" t="s">
        <v>1812</v>
      </c>
      <c r="I991" s="10" t="str">
        <f>IF(H991="T44",1,IF(H991="T44",3,IF(H991="T60",6,IF(H991="T60",10,IF(H991="T92",14,IF(H991="T92",18,IF(H991="T60",22,"")))))))</f>
        <v/>
      </c>
      <c r="J991" s="1" t="s">
        <v>1808</v>
      </c>
      <c r="K991" s="10">
        <v>2</v>
      </c>
      <c r="L991" s="10">
        <v>1</v>
      </c>
      <c r="O991" s="6"/>
      <c r="Q991" s="42" t="s">
        <v>2962</v>
      </c>
      <c r="R991" s="42"/>
      <c r="S991" s="1"/>
    </row>
    <row r="992" spans="1:19" ht="18.75" hidden="1" customHeight="1" x14ac:dyDescent="0.3">
      <c r="A992" s="10">
        <v>991</v>
      </c>
      <c r="B992" s="10">
        <f>_xlfn.XLOOKUP(1,(VALUE(D992)&gt;=VALUE(block!$C$3:$C$500))*(VALUE(D992)&lt;VALUE(block!$C$3:$C$500)+VALUE(block!$D$3:$D$500)),block!$A$3:$A$500,"无匹配",0,1)</f>
        <v>26</v>
      </c>
      <c r="C992" s="3" t="str">
        <f>B992 &amp; "-" &amp; COUNTIF($B$2:B992, B992)</f>
        <v>26-19</v>
      </c>
      <c r="D992" s="10">
        <v>10674</v>
      </c>
      <c r="E992" s="1" t="s">
        <v>3669</v>
      </c>
      <c r="F992" s="1" t="s">
        <v>3670</v>
      </c>
      <c r="G992" s="1" t="s">
        <v>1840</v>
      </c>
      <c r="H992" s="1" t="s">
        <v>1812</v>
      </c>
      <c r="I992" s="10" t="str">
        <f>IF(H992="T45",1,IF(H992="T45",3,IF(H992="T61",6,IF(H992="T61",10,IF(H992="T93",14,IF(H992="T93",18,IF(H992="T61",22,"")))))))</f>
        <v/>
      </c>
      <c r="J992" s="1" t="s">
        <v>1808</v>
      </c>
      <c r="K992" s="10">
        <v>2</v>
      </c>
      <c r="L992" s="10">
        <v>1</v>
      </c>
      <c r="O992" s="6"/>
      <c r="Q992" s="42" t="s">
        <v>2962</v>
      </c>
      <c r="R992" s="42"/>
      <c r="S992" s="1"/>
    </row>
    <row r="993" spans="1:19" ht="18.75" hidden="1" customHeight="1" x14ac:dyDescent="0.3">
      <c r="A993" s="10">
        <v>992</v>
      </c>
      <c r="B993" s="10">
        <f>_xlfn.XLOOKUP(1,(VALUE(D993)&gt;=VALUE(block!$C$3:$C$500))*(VALUE(D993)&lt;VALUE(block!$C$3:$C$500)+VALUE(block!$D$3:$D$500)),block!$A$3:$A$500,"无匹配",0,1)</f>
        <v>26</v>
      </c>
      <c r="C993" s="3" t="str">
        <f>B993 &amp; "-" &amp; COUNTIF($B$2:B993, B993)</f>
        <v>26-20</v>
      </c>
      <c r="D993" s="10">
        <v>10676</v>
      </c>
      <c r="E993" s="1" t="s">
        <v>3671</v>
      </c>
      <c r="F993" s="1" t="s">
        <v>3672</v>
      </c>
      <c r="G993" s="1" t="s">
        <v>1840</v>
      </c>
      <c r="H993" s="1" t="s">
        <v>1812</v>
      </c>
      <c r="I993" s="10" t="str">
        <f>IF(H993="T46",1,IF(H993="T46",3,IF(H993="T62",6,IF(H993="T62",10,IF(H993="T94",14,IF(H993="T94",18,IF(H993="T62",22,"")))))))</f>
        <v/>
      </c>
      <c r="J993" s="1" t="s">
        <v>1808</v>
      </c>
      <c r="K993" s="10">
        <v>2</v>
      </c>
      <c r="L993" s="10">
        <v>1</v>
      </c>
      <c r="O993" s="6"/>
      <c r="Q993" s="42" t="s">
        <v>2962</v>
      </c>
      <c r="R993" s="42"/>
      <c r="S993" s="1"/>
    </row>
    <row r="994" spans="1:19" ht="18.75" hidden="1" customHeight="1" x14ac:dyDescent="0.3">
      <c r="A994" s="10">
        <v>993</v>
      </c>
      <c r="B994" s="10">
        <f>_xlfn.XLOOKUP(1,(VALUE(D994)&gt;=VALUE(block!$C$3:$C$500))*(VALUE(D994)&lt;VALUE(block!$C$3:$C$500)+VALUE(block!$D$3:$D$500)),block!$A$3:$A$500,"无匹配",0,1)</f>
        <v>26</v>
      </c>
      <c r="C994" s="3" t="str">
        <f>B994 &amp; "-" &amp; COUNTIF($B$2:B994, B994)</f>
        <v>26-21</v>
      </c>
      <c r="D994" s="10">
        <v>10678</v>
      </c>
      <c r="E994" s="1" t="s">
        <v>3673</v>
      </c>
      <c r="F994" s="1" t="s">
        <v>3674</v>
      </c>
      <c r="G994" s="1" t="s">
        <v>1840</v>
      </c>
      <c r="H994" s="1" t="s">
        <v>1812</v>
      </c>
      <c r="I994" s="10" t="str">
        <f>IF(H994="T47",1,IF(H994="T47",3,IF(H994="T63",6,IF(H994="T63",10,IF(H994="T95",14,IF(H994="T95",18,IF(H994="T63",22,"")))))))</f>
        <v/>
      </c>
      <c r="J994" s="1" t="s">
        <v>1808</v>
      </c>
      <c r="K994" s="10">
        <v>2</v>
      </c>
      <c r="L994" s="10">
        <v>1</v>
      </c>
      <c r="O994" s="6"/>
      <c r="Q994" s="42" t="s">
        <v>2962</v>
      </c>
      <c r="R994" s="42"/>
      <c r="S994" s="1"/>
    </row>
    <row r="995" spans="1:19" ht="18.75" hidden="1" customHeight="1" x14ac:dyDescent="0.3">
      <c r="A995" s="10">
        <v>994</v>
      </c>
      <c r="B995" s="10">
        <f>_xlfn.XLOOKUP(1,(VALUE(D995)&gt;=VALUE(block!$C$3:$C$500))*(VALUE(D995)&lt;VALUE(block!$C$3:$C$500)+VALUE(block!$D$3:$D$500)),block!$A$3:$A$500,"无匹配",0,1)</f>
        <v>26</v>
      </c>
      <c r="C995" s="3" t="str">
        <f>B995 &amp; "-" &amp; COUNTIF($B$2:B995, B995)</f>
        <v>26-22</v>
      </c>
      <c r="D995" s="10">
        <v>10680</v>
      </c>
      <c r="E995" s="1" t="s">
        <v>3675</v>
      </c>
      <c r="F995" s="1" t="s">
        <v>3676</v>
      </c>
      <c r="G995" s="1" t="s">
        <v>1840</v>
      </c>
      <c r="H995" s="1" t="s">
        <v>1812</v>
      </c>
      <c r="I995" s="10" t="str">
        <f>IF(H995="T48",1,IF(H995="T48",3,IF(H995="T64",6,IF(H995="T64",10,IF(H995="T96",14,IF(H995="T96",18,IF(H995="T64",22,"")))))))</f>
        <v/>
      </c>
      <c r="J995" s="1" t="s">
        <v>1808</v>
      </c>
      <c r="K995" s="10">
        <v>2</v>
      </c>
      <c r="L995" s="10">
        <v>1</v>
      </c>
      <c r="O995" s="6"/>
      <c r="Q995" s="42" t="s">
        <v>2962</v>
      </c>
      <c r="R995" s="42"/>
      <c r="S995" s="1"/>
    </row>
    <row r="996" spans="1:19" ht="18.75" hidden="1" customHeight="1" x14ac:dyDescent="0.3">
      <c r="A996" s="10">
        <v>995</v>
      </c>
      <c r="B996" s="10">
        <f>_xlfn.XLOOKUP(1,(VALUE(D996)&gt;=VALUE(block!$C$3:$C$500))*(VALUE(D996)&lt;VALUE(block!$C$3:$C$500)+VALUE(block!$D$3:$D$500)),block!$A$3:$A$500,"无匹配",0,1)</f>
        <v>26</v>
      </c>
      <c r="C996" s="3" t="str">
        <f>B996 &amp; "-" &amp; COUNTIF($B$2:B996, B996)</f>
        <v>26-23</v>
      </c>
      <c r="D996" s="10">
        <v>10682</v>
      </c>
      <c r="E996" s="1" t="s">
        <v>3677</v>
      </c>
      <c r="F996" s="1" t="s">
        <v>3678</v>
      </c>
      <c r="G996" s="1" t="s">
        <v>1840</v>
      </c>
      <c r="H996" s="1" t="s">
        <v>1812</v>
      </c>
      <c r="I996" s="10" t="str">
        <f>IF(H996="T49",1,IF(H996="T49",3,IF(H996="T65",6,IF(H996="T65",10,IF(H996="T97",14,IF(H996="T97",18,IF(H996="T65",22,"")))))))</f>
        <v/>
      </c>
      <c r="J996" s="1" t="s">
        <v>1808</v>
      </c>
      <c r="K996" s="10">
        <v>2</v>
      </c>
      <c r="L996" s="10">
        <v>1</v>
      </c>
      <c r="O996" s="6"/>
      <c r="Q996" s="42" t="s">
        <v>2962</v>
      </c>
      <c r="R996" s="42"/>
      <c r="S996" s="1"/>
    </row>
    <row r="997" spans="1:19" ht="18.75" hidden="1" customHeight="1" x14ac:dyDescent="0.3">
      <c r="A997" s="10">
        <v>996</v>
      </c>
      <c r="B997" s="10">
        <f>_xlfn.XLOOKUP(1,(VALUE(D997)&gt;=VALUE(block!$C$3:$C$500))*(VALUE(D997)&lt;VALUE(block!$C$3:$C$500)+VALUE(block!$D$3:$D$500)),block!$A$3:$A$500,"无匹配",0,1)</f>
        <v>26</v>
      </c>
      <c r="C997" s="3" t="str">
        <f>B997 &amp; "-" &amp; COUNTIF($B$2:B997, B997)</f>
        <v>26-24</v>
      </c>
      <c r="D997" s="10">
        <v>10684</v>
      </c>
      <c r="E997" s="1" t="s">
        <v>3679</v>
      </c>
      <c r="F997" s="1" t="s">
        <v>3680</v>
      </c>
      <c r="G997" s="1" t="s">
        <v>1840</v>
      </c>
      <c r="H997" s="1" t="s">
        <v>1812</v>
      </c>
      <c r="I997" s="10" t="str">
        <f>IF(H997="T50",1,IF(H997="T50",3,IF(H997="T66",6,IF(H997="T66",10,IF(H997="T98",14,IF(H997="T98",18,IF(H997="T66",22,"")))))))</f>
        <v/>
      </c>
      <c r="J997" s="1" t="s">
        <v>1808</v>
      </c>
      <c r="K997" s="10">
        <v>2</v>
      </c>
      <c r="L997" s="10">
        <v>1</v>
      </c>
      <c r="O997" s="6"/>
      <c r="Q997" s="42" t="s">
        <v>2962</v>
      </c>
      <c r="R997" s="42"/>
      <c r="S997" s="1"/>
    </row>
    <row r="998" spans="1:19" ht="18.75" hidden="1" customHeight="1" x14ac:dyDescent="0.3">
      <c r="A998" s="10">
        <v>997</v>
      </c>
      <c r="B998" s="10">
        <f>_xlfn.XLOOKUP(1,(VALUE(D998)&gt;=VALUE(block!$C$3:$C$500))*(VALUE(D998)&lt;VALUE(block!$C$3:$C$500)+VALUE(block!$D$3:$D$500)),block!$A$3:$A$500,"无匹配",0,1)</f>
        <v>26</v>
      </c>
      <c r="C998" s="3" t="str">
        <f>B998 &amp; "-" &amp; COUNTIF($B$2:B998, B998)</f>
        <v>26-25</v>
      </c>
      <c r="D998" s="10">
        <v>10686</v>
      </c>
      <c r="E998" s="1" t="s">
        <v>3681</v>
      </c>
      <c r="F998" s="1" t="s">
        <v>3682</v>
      </c>
      <c r="G998" s="1" t="s">
        <v>1840</v>
      </c>
      <c r="H998" s="1" t="s">
        <v>1812</v>
      </c>
      <c r="I998" s="10" t="str">
        <f>IF(H998="T51",1,IF(H998="T51",3,IF(H998="T67",6,IF(H998="T67",10,IF(H998="T99",14,IF(H998="T99",18,IF(H998="T67",22,"")))))))</f>
        <v/>
      </c>
      <c r="J998" s="1" t="s">
        <v>1808</v>
      </c>
      <c r="K998" s="10">
        <v>2</v>
      </c>
      <c r="L998" s="10">
        <v>1</v>
      </c>
      <c r="O998" s="6"/>
      <c r="Q998" s="42" t="s">
        <v>2962</v>
      </c>
      <c r="R998" s="42"/>
      <c r="S998" s="1"/>
    </row>
    <row r="999" spans="1:19" ht="18.75" hidden="1" customHeight="1" x14ac:dyDescent="0.3">
      <c r="A999" s="10">
        <v>998</v>
      </c>
      <c r="B999" s="10">
        <f>_xlfn.XLOOKUP(1,(VALUE(D999)&gt;=VALUE(block!$C$3:$C$500))*(VALUE(D999)&lt;VALUE(block!$C$3:$C$500)+VALUE(block!$D$3:$D$500)),block!$A$3:$A$500,"无匹配",0,1)</f>
        <v>26</v>
      </c>
      <c r="C999" s="3" t="str">
        <f>B999 &amp; "-" &amp; COUNTIF($B$2:B999, B999)</f>
        <v>26-26</v>
      </c>
      <c r="D999" s="10">
        <v>10688</v>
      </c>
      <c r="E999" s="1" t="s">
        <v>3683</v>
      </c>
      <c r="F999" s="1" t="s">
        <v>3684</v>
      </c>
      <c r="G999" s="1" t="s">
        <v>1840</v>
      </c>
      <c r="H999" s="1" t="s">
        <v>1812</v>
      </c>
      <c r="I999" s="10" t="str">
        <f>IF(H999="T52",1,IF(H999="T52",3,IF(H999="T68",6,IF(H999="T68",10,IF(H999="T100",14,IF(H999="T100",18,IF(H999="T68",22,"")))))))</f>
        <v/>
      </c>
      <c r="J999" s="1" t="s">
        <v>1808</v>
      </c>
      <c r="K999" s="10">
        <v>2</v>
      </c>
      <c r="L999" s="10">
        <v>1</v>
      </c>
      <c r="O999" s="6"/>
      <c r="Q999" s="42" t="s">
        <v>2962</v>
      </c>
      <c r="R999" s="42"/>
      <c r="S999" s="1"/>
    </row>
    <row r="1000" spans="1:19" ht="18.75" hidden="1" customHeight="1" x14ac:dyDescent="0.3">
      <c r="A1000" s="10">
        <v>999</v>
      </c>
      <c r="B1000" s="10">
        <f>_xlfn.XLOOKUP(1,(VALUE(D1000)&gt;=VALUE(block!$C$3:$C$500))*(VALUE(D1000)&lt;VALUE(block!$C$3:$C$500)+VALUE(block!$D$3:$D$500)),block!$A$3:$A$500,"无匹配",0,1)</f>
        <v>26</v>
      </c>
      <c r="C1000" s="3" t="str">
        <f>B1000 &amp; "-" &amp; COUNTIF($B$2:B1000, B1000)</f>
        <v>26-27</v>
      </c>
      <c r="D1000" s="10">
        <v>10690</v>
      </c>
      <c r="E1000" s="1" t="s">
        <v>3685</v>
      </c>
      <c r="F1000" s="1" t="s">
        <v>3686</v>
      </c>
      <c r="G1000" s="1" t="s">
        <v>1840</v>
      </c>
      <c r="H1000" s="1" t="s">
        <v>1812</v>
      </c>
      <c r="I1000" s="10" t="str">
        <f>IF(H1000="T53",1,IF(H1000="T53",3,IF(H1000="T69",6,IF(H1000="T69",10,IF(H1000="T101",14,IF(H1000="T101",18,IF(H1000="T69",22,"")))))))</f>
        <v/>
      </c>
      <c r="J1000" s="1" t="s">
        <v>1808</v>
      </c>
      <c r="K1000" s="10">
        <v>2</v>
      </c>
      <c r="L1000" s="10">
        <v>1</v>
      </c>
      <c r="O1000" s="6"/>
      <c r="Q1000" s="42" t="s">
        <v>2962</v>
      </c>
      <c r="R1000" s="42"/>
      <c r="S1000" s="1"/>
    </row>
    <row r="1001" spans="1:19" ht="18.75" hidden="1" customHeight="1" x14ac:dyDescent="0.3">
      <c r="A1001" s="10">
        <v>1000</v>
      </c>
      <c r="B1001" s="10">
        <f>_xlfn.XLOOKUP(1,(VALUE(D1001)&gt;=VALUE(block!$C$3:$C$500))*(VALUE(D1001)&lt;VALUE(block!$C$3:$C$500)+VALUE(block!$D$3:$D$500)),block!$A$3:$A$500,"无匹配",0,1)</f>
        <v>26</v>
      </c>
      <c r="C1001" s="3" t="str">
        <f>B1001 &amp; "-" &amp; COUNTIF($B$2:B1001, B1001)</f>
        <v>26-28</v>
      </c>
      <c r="D1001" s="10">
        <v>10692</v>
      </c>
      <c r="E1001" s="1" t="s">
        <v>3687</v>
      </c>
      <c r="F1001" s="1" t="s">
        <v>3688</v>
      </c>
      <c r="G1001" s="1" t="s">
        <v>1840</v>
      </c>
      <c r="H1001" s="1" t="s">
        <v>1812</v>
      </c>
      <c r="I1001" s="10" t="str">
        <f>IF(H1001="T54",1,IF(H1001="T54",3,IF(H1001="T70",6,IF(H1001="T70",10,IF(H1001="T102",14,IF(H1001="T102",18,IF(H1001="T70",22,"")))))))</f>
        <v/>
      </c>
      <c r="J1001" s="1" t="s">
        <v>1808</v>
      </c>
      <c r="K1001" s="10">
        <v>2</v>
      </c>
      <c r="L1001" s="10">
        <v>1</v>
      </c>
      <c r="O1001" s="6"/>
      <c r="Q1001" s="42" t="s">
        <v>2962</v>
      </c>
      <c r="R1001" s="42"/>
      <c r="S1001" s="1"/>
    </row>
    <row r="1002" spans="1:19" ht="18.75" hidden="1" customHeight="1" x14ac:dyDescent="0.3">
      <c r="A1002" s="10">
        <v>1001</v>
      </c>
      <c r="B1002" s="10">
        <f>_xlfn.XLOOKUP(1,(VALUE(D1002)&gt;=VALUE(block!$C$3:$C$500))*(VALUE(D1002)&lt;VALUE(block!$C$3:$C$500)+VALUE(block!$D$3:$D$500)),block!$A$3:$A$500,"无匹配",0,1)</f>
        <v>26</v>
      </c>
      <c r="C1002" s="3" t="str">
        <f>B1002 &amp; "-" &amp; COUNTIF($B$2:B1002, B1002)</f>
        <v>26-29</v>
      </c>
      <c r="D1002" s="10">
        <v>10694</v>
      </c>
      <c r="E1002" s="1" t="s">
        <v>3689</v>
      </c>
      <c r="F1002" s="1" t="s">
        <v>3690</v>
      </c>
      <c r="G1002" s="1" t="s">
        <v>1840</v>
      </c>
      <c r="H1002" s="1" t="s">
        <v>1812</v>
      </c>
      <c r="I1002" s="10" t="str">
        <f>IF(H1002="T55",1,IF(H1002="T55",3,IF(H1002="T71",6,IF(H1002="T71",10,IF(H1002="T103",14,IF(H1002="T103",18,IF(H1002="T71",22,"")))))))</f>
        <v/>
      </c>
      <c r="J1002" s="1" t="s">
        <v>1808</v>
      </c>
      <c r="K1002" s="10">
        <v>2</v>
      </c>
      <c r="L1002" s="10">
        <v>1</v>
      </c>
      <c r="O1002" s="6"/>
      <c r="Q1002" s="42" t="s">
        <v>2962</v>
      </c>
      <c r="R1002" s="42"/>
      <c r="S1002" s="1"/>
    </row>
    <row r="1003" spans="1:19" ht="18.75" hidden="1" customHeight="1" x14ac:dyDescent="0.3">
      <c r="A1003" s="10">
        <v>1002</v>
      </c>
      <c r="B1003" s="10">
        <f>_xlfn.XLOOKUP(1,(VALUE(D1003)&gt;=VALUE(block!$C$3:$C$500))*(VALUE(D1003)&lt;VALUE(block!$C$3:$C$500)+VALUE(block!$D$3:$D$500)),block!$A$3:$A$500,"无匹配",0,1)</f>
        <v>26</v>
      </c>
      <c r="C1003" s="3" t="str">
        <f>B1003 &amp; "-" &amp; COUNTIF($B$2:B1003, B1003)</f>
        <v>26-30</v>
      </c>
      <c r="D1003" s="10">
        <v>10696</v>
      </c>
      <c r="E1003" s="1" t="s">
        <v>3691</v>
      </c>
      <c r="F1003" s="1" t="s">
        <v>3692</v>
      </c>
      <c r="G1003" s="1" t="s">
        <v>1840</v>
      </c>
      <c r="H1003" s="1" t="s">
        <v>1812</v>
      </c>
      <c r="I1003" s="10" t="str">
        <f>IF(H1003="T56",1,IF(H1003="T56",3,IF(H1003="T72",6,IF(H1003="T72",10,IF(H1003="T104",14,IF(H1003="T104",18,IF(H1003="T72",22,"")))))))</f>
        <v/>
      </c>
      <c r="J1003" s="1" t="s">
        <v>1808</v>
      </c>
      <c r="K1003" s="10">
        <v>2</v>
      </c>
      <c r="L1003" s="10">
        <v>1</v>
      </c>
      <c r="O1003" s="6"/>
      <c r="Q1003" s="42" t="s">
        <v>2962</v>
      </c>
      <c r="R1003" s="42"/>
      <c r="S1003" s="1"/>
    </row>
    <row r="1004" spans="1:19" ht="18.75" hidden="1" customHeight="1" x14ac:dyDescent="0.3">
      <c r="A1004" s="10">
        <v>1003</v>
      </c>
      <c r="B1004" s="10">
        <f>_xlfn.XLOOKUP(1,(VALUE(D1004)&gt;=VALUE(block!$C$3:$C$500))*(VALUE(D1004)&lt;VALUE(block!$C$3:$C$500)+VALUE(block!$D$3:$D$500)),block!$A$3:$A$500,"无匹配",0,1)</f>
        <v>26</v>
      </c>
      <c r="C1004" s="3" t="str">
        <f>B1004 &amp; "-" &amp; COUNTIF($B$2:B1004, B1004)</f>
        <v>26-31</v>
      </c>
      <c r="D1004" s="10">
        <v>10698</v>
      </c>
      <c r="E1004" s="1" t="s">
        <v>3693</v>
      </c>
      <c r="F1004" s="1" t="s">
        <v>3694</v>
      </c>
      <c r="G1004" s="1" t="s">
        <v>1840</v>
      </c>
      <c r="H1004" s="1" t="s">
        <v>1812</v>
      </c>
      <c r="I1004" s="10" t="str">
        <f>IF(H1004="T57",1,IF(H1004="T57",3,IF(H1004="T73",6,IF(H1004="T73",10,IF(H1004="T105",14,IF(H1004="T105",18,IF(H1004="T73",22,"")))))))</f>
        <v/>
      </c>
      <c r="J1004" s="1" t="s">
        <v>1808</v>
      </c>
      <c r="K1004" s="10">
        <v>2</v>
      </c>
      <c r="L1004" s="10">
        <v>1</v>
      </c>
      <c r="O1004" s="6"/>
      <c r="Q1004" s="42" t="s">
        <v>2962</v>
      </c>
      <c r="R1004" s="42"/>
      <c r="S1004" s="1"/>
    </row>
    <row r="1005" spans="1:19" ht="18.75" hidden="1" customHeight="1" x14ac:dyDescent="0.3">
      <c r="A1005" s="10">
        <v>1004</v>
      </c>
      <c r="B1005" s="10">
        <f>_xlfn.XLOOKUP(1,(VALUE(D1005)&gt;=VALUE(block!$C$3:$C$500))*(VALUE(D1005)&lt;VALUE(block!$C$3:$C$500)+VALUE(block!$D$3:$D$500)),block!$A$3:$A$500,"无匹配",0,1)</f>
        <v>26</v>
      </c>
      <c r="C1005" s="3" t="str">
        <f>B1005 &amp; "-" &amp; COUNTIF($B$2:B1005, B1005)</f>
        <v>26-32</v>
      </c>
      <c r="D1005" s="10">
        <v>10700</v>
      </c>
      <c r="E1005" s="1" t="s">
        <v>3695</v>
      </c>
      <c r="F1005" s="1" t="s">
        <v>3696</v>
      </c>
      <c r="G1005" s="1" t="s">
        <v>1840</v>
      </c>
      <c r="H1005" s="1" t="s">
        <v>1812</v>
      </c>
      <c r="I1005" s="10" t="str">
        <f>IF(H1005="T58",1,IF(H1005="T58",3,IF(H1005="T74",6,IF(H1005="T74",10,IF(H1005="T106",14,IF(H1005="T106",18,IF(H1005="T74",22,"")))))))</f>
        <v/>
      </c>
      <c r="J1005" s="1" t="s">
        <v>1808</v>
      </c>
      <c r="K1005" s="10">
        <v>2</v>
      </c>
      <c r="L1005" s="10">
        <v>1</v>
      </c>
      <c r="O1005" s="6"/>
      <c r="Q1005" s="42" t="s">
        <v>2962</v>
      </c>
      <c r="R1005" s="42"/>
      <c r="S1005" s="1"/>
    </row>
    <row r="1006" spans="1:19" ht="18.75" hidden="1" customHeight="1" x14ac:dyDescent="0.3">
      <c r="A1006" s="10">
        <v>1005</v>
      </c>
      <c r="B1006" s="10">
        <f>_xlfn.XLOOKUP(1,(VALUE(D1006)&gt;=VALUE(block!$C$3:$C$500))*(VALUE(D1006)&lt;VALUE(block!$C$3:$C$500)+VALUE(block!$D$3:$D$500)),block!$A$3:$A$500,"无匹配",0,1)</f>
        <v>26</v>
      </c>
      <c r="C1006" s="3" t="str">
        <f>B1006 &amp; "-" &amp; COUNTIF($B$2:B1006, B1006)</f>
        <v>26-33</v>
      </c>
      <c r="D1006" s="10">
        <v>10702</v>
      </c>
      <c r="E1006" s="1" t="s">
        <v>3697</v>
      </c>
      <c r="F1006" s="1" t="s">
        <v>3698</v>
      </c>
      <c r="G1006" s="1" t="s">
        <v>1840</v>
      </c>
      <c r="H1006" s="1" t="s">
        <v>1812</v>
      </c>
      <c r="I1006" s="10" t="str">
        <f>IF(H1006="T59",1,IF(H1006="T59",3,IF(H1006="T75",6,IF(H1006="T75",10,IF(H1006="T107",14,IF(H1006="T107",18,IF(H1006="T75",22,"")))))))</f>
        <v/>
      </c>
      <c r="J1006" s="1" t="s">
        <v>1808</v>
      </c>
      <c r="K1006" s="10">
        <v>2</v>
      </c>
      <c r="L1006" s="10">
        <v>1</v>
      </c>
      <c r="O1006" s="6"/>
      <c r="Q1006" s="42" t="s">
        <v>2962</v>
      </c>
      <c r="R1006" s="42"/>
      <c r="S1006" s="1"/>
    </row>
    <row r="1007" spans="1:19" ht="18.75" hidden="1" customHeight="1" x14ac:dyDescent="0.3">
      <c r="A1007" s="10">
        <v>1006</v>
      </c>
      <c r="B1007" s="10">
        <f>_xlfn.XLOOKUP(1,(VALUE(D1007)&gt;=VALUE(block!$C$3:$C$500))*(VALUE(D1007)&lt;VALUE(block!$C$3:$C$500)+VALUE(block!$D$3:$D$500)),block!$A$3:$A$500,"无匹配",0,1)</f>
        <v>26</v>
      </c>
      <c r="C1007" s="3" t="str">
        <f>B1007 &amp; "-" &amp; COUNTIF($B$2:B1007, B1007)</f>
        <v>26-34</v>
      </c>
      <c r="D1007" s="10">
        <v>10704</v>
      </c>
      <c r="E1007" s="1" t="s">
        <v>3699</v>
      </c>
      <c r="F1007" s="1" t="s">
        <v>3700</v>
      </c>
      <c r="G1007" s="1" t="s">
        <v>1840</v>
      </c>
      <c r="H1007" s="1" t="s">
        <v>1812</v>
      </c>
      <c r="I1007" s="10" t="str">
        <f>IF(H1007="T60",1,IF(H1007="T60",3,IF(H1007="T76",6,IF(H1007="T76",10,IF(H1007="T108",14,IF(H1007="T108",18,IF(H1007="T76",22,"")))))))</f>
        <v/>
      </c>
      <c r="J1007" s="1" t="s">
        <v>1808</v>
      </c>
      <c r="K1007" s="10">
        <v>2</v>
      </c>
      <c r="L1007" s="10">
        <v>1</v>
      </c>
      <c r="O1007" s="6"/>
      <c r="Q1007" s="42" t="s">
        <v>2962</v>
      </c>
      <c r="R1007" s="42"/>
      <c r="S1007" s="1"/>
    </row>
    <row r="1008" spans="1:19" ht="18.75" customHeight="1" x14ac:dyDescent="0.3">
      <c r="A1008" s="10">
        <v>1007</v>
      </c>
      <c r="B1008" s="10">
        <f>_xlfn.XLOOKUP(1,(VALUE(D1008)&gt;=VALUE(block!$C$3:$C$500))*(VALUE(D1008)&lt;VALUE(block!$C$3:$C$500)+VALUE(block!$D$3:$D$500)),block!$A$3:$A$500,"无匹配",0,1)</f>
        <v>27</v>
      </c>
      <c r="C1008" s="3" t="str">
        <f>B1008 &amp; "-" &amp; COUNTIF($B$2:B1008, B1008)</f>
        <v>27-1</v>
      </c>
      <c r="D1008" s="10">
        <v>10706</v>
      </c>
      <c r="E1008" s="3" t="s">
        <v>3701</v>
      </c>
      <c r="F1008" s="3" t="s">
        <v>3702</v>
      </c>
      <c r="G1008" s="1" t="s">
        <v>1840</v>
      </c>
      <c r="H1008" s="1" t="s">
        <v>1812</v>
      </c>
      <c r="I1008" s="10" t="str">
        <f>IF(H1008="T61",1,IF(H1008="T61",3,IF(H1008="T77",6,IF(H1008="T77",10,IF(H1008="T109",14,IF(H1008="T109",18,IF(H1008="T77",22,"")))))))</f>
        <v/>
      </c>
      <c r="J1008" s="1" t="s">
        <v>1808</v>
      </c>
      <c r="K1008" s="10">
        <v>2</v>
      </c>
      <c r="L1008" s="10">
        <v>1</v>
      </c>
      <c r="N1008" s="10">
        <v>4</v>
      </c>
      <c r="O1008" s="6"/>
      <c r="P1008" s="45" t="s">
        <v>2826</v>
      </c>
      <c r="Q1008" s="6">
        <v>14</v>
      </c>
      <c r="R1008" s="6"/>
      <c r="S1008" s="3" t="s">
        <v>3702</v>
      </c>
    </row>
    <row r="1009" spans="1:19" ht="18.75" customHeight="1" x14ac:dyDescent="0.3">
      <c r="A1009" s="10">
        <v>1008</v>
      </c>
      <c r="B1009" s="10">
        <f>_xlfn.XLOOKUP(1,(VALUE(D1009)&gt;=VALUE(block!$C$3:$C$500))*(VALUE(D1009)&lt;VALUE(block!$C$3:$C$500)+VALUE(block!$D$3:$D$500)),block!$A$3:$A$500,"无匹配",0,1)</f>
        <v>27</v>
      </c>
      <c r="C1009" s="3" t="str">
        <f>B1009 &amp; "-" &amp; COUNTIF($B$2:B1009, B1009)</f>
        <v>27-2</v>
      </c>
      <c r="D1009" s="10">
        <v>10708</v>
      </c>
      <c r="E1009" s="3" t="s">
        <v>3703</v>
      </c>
      <c r="F1009" s="3" t="s">
        <v>3704</v>
      </c>
      <c r="G1009" s="1" t="s">
        <v>1840</v>
      </c>
      <c r="H1009" s="1" t="s">
        <v>1812</v>
      </c>
      <c r="I1009" s="10" t="str">
        <f>IF(H1009="T62",1,IF(H1009="T62",3,IF(H1009="T78",6,IF(H1009="T78",10,IF(H1009="T110",14,IF(H1009="T110",18,IF(H1009="T78",22,"")))))))</f>
        <v/>
      </c>
      <c r="J1009" s="1" t="s">
        <v>1808</v>
      </c>
      <c r="K1009" s="10">
        <v>2</v>
      </c>
      <c r="L1009" s="10">
        <v>1</v>
      </c>
      <c r="N1009" s="10">
        <v>4</v>
      </c>
      <c r="O1009" s="6"/>
      <c r="P1009" s="45" t="s">
        <v>2826</v>
      </c>
      <c r="Q1009" s="6">
        <v>14</v>
      </c>
      <c r="R1009" s="6"/>
      <c r="S1009" s="3" t="s">
        <v>3704</v>
      </c>
    </row>
    <row r="1010" spans="1:19" ht="18.75" customHeight="1" x14ac:dyDescent="0.3">
      <c r="A1010" s="10">
        <v>1009</v>
      </c>
      <c r="B1010" s="10">
        <f>_xlfn.XLOOKUP(1,(VALUE(D1010)&gt;=VALUE(block!$C$3:$C$500))*(VALUE(D1010)&lt;VALUE(block!$C$3:$C$500)+VALUE(block!$D$3:$D$500)),block!$A$3:$A$500,"无匹配",0,1)</f>
        <v>27</v>
      </c>
      <c r="C1010" s="3" t="str">
        <f>B1010 &amp; "-" &amp; COUNTIF($B$2:B1010, B1010)</f>
        <v>27-3</v>
      </c>
      <c r="D1010" s="10">
        <v>10710</v>
      </c>
      <c r="E1010" s="1" t="s">
        <v>3705</v>
      </c>
      <c r="F1010" s="3" t="s">
        <v>3706</v>
      </c>
      <c r="G1010" s="1" t="s">
        <v>1840</v>
      </c>
      <c r="H1010" s="1" t="s">
        <v>1812</v>
      </c>
      <c r="I1010" s="10" t="str">
        <f>IF(H1010="T63",1,IF(H1010="T63",3,IF(H1010="T79",6,IF(H1010="T79",10,IF(H1010="T111",14,IF(H1010="T111",18,IF(H1010="T79",22,"")))))))</f>
        <v/>
      </c>
      <c r="J1010" s="1" t="s">
        <v>1808</v>
      </c>
      <c r="K1010" s="10">
        <v>2</v>
      </c>
      <c r="L1010" s="10">
        <v>1</v>
      </c>
      <c r="N1010" s="10">
        <v>4</v>
      </c>
      <c r="O1010" s="6"/>
      <c r="P1010" s="45" t="s">
        <v>2826</v>
      </c>
      <c r="Q1010" s="6">
        <v>14</v>
      </c>
      <c r="R1010" s="6"/>
      <c r="S1010" s="3" t="s">
        <v>3706</v>
      </c>
    </row>
    <row r="1011" spans="1:19" ht="18.75" customHeight="1" x14ac:dyDescent="0.3">
      <c r="A1011" s="10">
        <v>1010</v>
      </c>
      <c r="B1011" s="10">
        <f>_xlfn.XLOOKUP(1,(VALUE(D1011)&gt;=VALUE(block!$C$3:$C$500))*(VALUE(D1011)&lt;VALUE(block!$C$3:$C$500)+VALUE(block!$D$3:$D$500)),block!$A$3:$A$500,"无匹配",0,1)</f>
        <v>27</v>
      </c>
      <c r="C1011" s="3" t="str">
        <f>B1011 &amp; "-" &amp; COUNTIF($B$2:B1011, B1011)</f>
        <v>27-4</v>
      </c>
      <c r="D1011" s="10">
        <v>10712</v>
      </c>
      <c r="E1011" s="1" t="s">
        <v>3707</v>
      </c>
      <c r="F1011" s="1" t="s">
        <v>3708</v>
      </c>
      <c r="G1011" s="1" t="s">
        <v>1840</v>
      </c>
      <c r="H1011" s="1" t="s">
        <v>1812</v>
      </c>
      <c r="I1011" s="10" t="str">
        <f>IF(H1011="T64",1,IF(H1011="T64",3,IF(H1011="T80",6,IF(H1011="T80",10,IF(H1011="T112",14,IF(H1011="T112",18,IF(H1011="T80",22,"")))))))</f>
        <v/>
      </c>
      <c r="J1011" s="1" t="s">
        <v>1808</v>
      </c>
      <c r="K1011" s="10">
        <v>2</v>
      </c>
      <c r="L1011" s="10">
        <v>1</v>
      </c>
      <c r="N1011" s="10">
        <v>4</v>
      </c>
      <c r="O1011" s="6"/>
      <c r="P1011" s="45" t="s">
        <v>2826</v>
      </c>
      <c r="Q1011" s="6">
        <v>14</v>
      </c>
      <c r="R1011" s="6"/>
      <c r="S1011" s="1" t="s">
        <v>3708</v>
      </c>
    </row>
    <row r="1012" spans="1:19" ht="18.75" hidden="1" customHeight="1" x14ac:dyDescent="0.3">
      <c r="A1012" s="10">
        <v>1011</v>
      </c>
      <c r="B1012" s="10">
        <f>_xlfn.XLOOKUP(1,(VALUE(D1012)&gt;=VALUE(block!$C$3:$C$500))*(VALUE(D1012)&lt;VALUE(block!$C$3:$C$500)+VALUE(block!$D$3:$D$500)),block!$A$3:$A$500,"无匹配",0,1)</f>
        <v>27</v>
      </c>
      <c r="C1012" s="3" t="str">
        <f>B1012 &amp; "-" &amp; COUNTIF($B$2:B1012, B1012)</f>
        <v>27-5</v>
      </c>
      <c r="D1012" s="10">
        <v>10714</v>
      </c>
      <c r="E1012" s="1" t="s">
        <v>3709</v>
      </c>
      <c r="F1012" s="1" t="s">
        <v>3710</v>
      </c>
      <c r="G1012" s="1" t="s">
        <v>1840</v>
      </c>
      <c r="H1012" s="1" t="s">
        <v>1812</v>
      </c>
      <c r="I1012" s="10" t="str">
        <f>IF(H1012="T65",1,IF(H1012="T65",3,IF(H1012="T81",6,IF(H1012="T81",10,IF(H1012="T113",14,IF(H1012="T113",18,IF(H1012="T81",22,"")))))))</f>
        <v/>
      </c>
      <c r="J1012" s="1" t="s">
        <v>1808</v>
      </c>
      <c r="K1012" s="10">
        <v>2</v>
      </c>
      <c r="L1012" s="10">
        <v>1</v>
      </c>
      <c r="O1012" s="6"/>
      <c r="Q1012" s="42" t="s">
        <v>2962</v>
      </c>
      <c r="R1012" s="42"/>
      <c r="S1012" s="1"/>
    </row>
    <row r="1013" spans="1:19" ht="18.75" hidden="1" customHeight="1" x14ac:dyDescent="0.3">
      <c r="A1013" s="10">
        <v>1012</v>
      </c>
      <c r="B1013" s="10">
        <f>_xlfn.XLOOKUP(1,(VALUE(D1013)&gt;=VALUE(block!$C$3:$C$500))*(VALUE(D1013)&lt;VALUE(block!$C$3:$C$500)+VALUE(block!$D$3:$D$500)),block!$A$3:$A$500,"无匹配",0,1)</f>
        <v>27</v>
      </c>
      <c r="C1013" s="3" t="str">
        <f>B1013 &amp; "-" &amp; COUNTIF($B$2:B1013, B1013)</f>
        <v>27-6</v>
      </c>
      <c r="D1013" s="10">
        <v>10716</v>
      </c>
      <c r="E1013" s="1" t="s">
        <v>3711</v>
      </c>
      <c r="F1013" s="1" t="s">
        <v>3712</v>
      </c>
      <c r="G1013" s="1" t="s">
        <v>1840</v>
      </c>
      <c r="H1013" s="1" t="s">
        <v>1812</v>
      </c>
      <c r="I1013" s="10" t="str">
        <f>IF(H1013="T66",1,IF(H1013="T66",3,IF(H1013="T82",6,IF(H1013="T82",10,IF(H1013="T114",14,IF(H1013="T114",18,IF(H1013="T82",22,"")))))))</f>
        <v/>
      </c>
      <c r="J1013" s="1" t="s">
        <v>1808</v>
      </c>
      <c r="K1013" s="10">
        <v>2</v>
      </c>
      <c r="L1013" s="10">
        <v>1</v>
      </c>
      <c r="O1013" s="6"/>
      <c r="Q1013" s="42" t="s">
        <v>2962</v>
      </c>
      <c r="R1013" s="42"/>
      <c r="S1013" s="1"/>
    </row>
    <row r="1014" spans="1:19" ht="18.75" hidden="1" customHeight="1" x14ac:dyDescent="0.3">
      <c r="A1014" s="10">
        <v>1013</v>
      </c>
      <c r="B1014" s="10">
        <f>_xlfn.XLOOKUP(1,(VALUE(D1014)&gt;=VALUE(block!$C$3:$C$500))*(VALUE(D1014)&lt;VALUE(block!$C$3:$C$500)+VALUE(block!$D$3:$D$500)),block!$A$3:$A$500,"无匹配",0,1)</f>
        <v>27</v>
      </c>
      <c r="C1014" s="3" t="str">
        <f>B1014 &amp; "-" &amp; COUNTIF($B$2:B1014, B1014)</f>
        <v>27-7</v>
      </c>
      <c r="D1014" s="10">
        <v>10718</v>
      </c>
      <c r="E1014" s="1" t="s">
        <v>3713</v>
      </c>
      <c r="F1014" s="1" t="s">
        <v>3714</v>
      </c>
      <c r="G1014" s="1" t="s">
        <v>1840</v>
      </c>
      <c r="H1014" s="1" t="s">
        <v>1812</v>
      </c>
      <c r="I1014" s="10" t="str">
        <f>IF(H1014="T67",1,IF(H1014="T67",3,IF(H1014="T83",6,IF(H1014="T83",10,IF(H1014="T115",14,IF(H1014="T115",18,IF(H1014="T83",22,"")))))))</f>
        <v/>
      </c>
      <c r="J1014" s="1" t="s">
        <v>1808</v>
      </c>
      <c r="K1014" s="10">
        <v>2</v>
      </c>
      <c r="L1014" s="10">
        <v>1</v>
      </c>
      <c r="O1014" s="6"/>
      <c r="Q1014" s="42" t="s">
        <v>2962</v>
      </c>
      <c r="R1014" s="42"/>
      <c r="S1014" s="1"/>
    </row>
    <row r="1015" spans="1:19" ht="18.75" hidden="1" customHeight="1" x14ac:dyDescent="0.3">
      <c r="A1015" s="10">
        <v>1014</v>
      </c>
      <c r="B1015" s="10">
        <f>_xlfn.XLOOKUP(1,(VALUE(D1015)&gt;=VALUE(block!$C$3:$C$500))*(VALUE(D1015)&lt;VALUE(block!$C$3:$C$500)+VALUE(block!$D$3:$D$500)),block!$A$3:$A$500,"无匹配",0,1)</f>
        <v>27</v>
      </c>
      <c r="C1015" s="3" t="str">
        <f>B1015 &amp; "-" &amp; COUNTIF($B$2:B1015, B1015)</f>
        <v>27-8</v>
      </c>
      <c r="D1015" s="10">
        <v>10720</v>
      </c>
      <c r="E1015" s="1" t="s">
        <v>3715</v>
      </c>
      <c r="F1015" s="1" t="s">
        <v>3716</v>
      </c>
      <c r="G1015" s="1" t="s">
        <v>1840</v>
      </c>
      <c r="H1015" s="1" t="s">
        <v>1812</v>
      </c>
      <c r="I1015" s="10" t="str">
        <f>IF(H1015="T68",1,IF(H1015="T68",3,IF(H1015="T84",6,IF(H1015="T84",10,IF(H1015="T116",14,IF(H1015="T116",18,IF(H1015="T84",22,"")))))))</f>
        <v/>
      </c>
      <c r="J1015" s="1" t="s">
        <v>1808</v>
      </c>
      <c r="K1015" s="10">
        <v>2</v>
      </c>
      <c r="L1015" s="10">
        <v>1</v>
      </c>
      <c r="O1015" s="6"/>
      <c r="Q1015" s="42" t="s">
        <v>2962</v>
      </c>
      <c r="R1015" s="42"/>
      <c r="S1015" s="1"/>
    </row>
    <row r="1016" spans="1:19" ht="18.75" hidden="1" customHeight="1" x14ac:dyDescent="0.3">
      <c r="A1016" s="10">
        <v>1015</v>
      </c>
      <c r="B1016" s="10">
        <f>_xlfn.XLOOKUP(1,(VALUE(D1016)&gt;=VALUE(block!$C$3:$C$500))*(VALUE(D1016)&lt;VALUE(block!$C$3:$C$500)+VALUE(block!$D$3:$D$500)),block!$A$3:$A$500,"无匹配",0,1)</f>
        <v>27</v>
      </c>
      <c r="C1016" s="3" t="str">
        <f>B1016 &amp; "-" &amp; COUNTIF($B$2:B1016, B1016)</f>
        <v>27-9</v>
      </c>
      <c r="D1016" s="10">
        <v>10722</v>
      </c>
      <c r="E1016" s="1" t="s">
        <v>3717</v>
      </c>
      <c r="F1016" s="1" t="s">
        <v>3718</v>
      </c>
      <c r="G1016" s="1" t="s">
        <v>1840</v>
      </c>
      <c r="H1016" s="1" t="s">
        <v>1812</v>
      </c>
      <c r="I1016" s="10" t="str">
        <f>IF(H1016="T69",1,IF(H1016="T69",3,IF(H1016="T85",6,IF(H1016="T85",10,IF(H1016="T117",14,IF(H1016="T117",18,IF(H1016="T85",22,"")))))))</f>
        <v/>
      </c>
      <c r="J1016" s="1" t="s">
        <v>1808</v>
      </c>
      <c r="K1016" s="10">
        <v>2</v>
      </c>
      <c r="L1016" s="10">
        <v>1</v>
      </c>
      <c r="O1016" s="6"/>
      <c r="Q1016" s="42" t="s">
        <v>2962</v>
      </c>
      <c r="R1016" s="42"/>
      <c r="S1016" s="1"/>
    </row>
    <row r="1017" spans="1:19" ht="18.75" hidden="1" customHeight="1" x14ac:dyDescent="0.3">
      <c r="A1017" s="10">
        <v>1016</v>
      </c>
      <c r="B1017" s="10">
        <f>_xlfn.XLOOKUP(1,(VALUE(D1017)&gt;=VALUE(block!$C$3:$C$500))*(VALUE(D1017)&lt;VALUE(block!$C$3:$C$500)+VALUE(block!$D$3:$D$500)),block!$A$3:$A$500,"无匹配",0,1)</f>
        <v>27</v>
      </c>
      <c r="C1017" s="3" t="str">
        <f>B1017 &amp; "-" &amp; COUNTIF($B$2:B1017, B1017)</f>
        <v>27-10</v>
      </c>
      <c r="D1017" s="10">
        <v>10724</v>
      </c>
      <c r="E1017" s="1" t="s">
        <v>3719</v>
      </c>
      <c r="F1017" s="1" t="s">
        <v>3720</v>
      </c>
      <c r="G1017" s="1" t="s">
        <v>1840</v>
      </c>
      <c r="H1017" s="1" t="s">
        <v>1812</v>
      </c>
      <c r="I1017" s="10" t="str">
        <f>IF(H1017="T70",1,IF(H1017="T70",3,IF(H1017="T86",6,IF(H1017="T86",10,IF(H1017="T118",14,IF(H1017="T118",18,IF(H1017="T86",22,"")))))))</f>
        <v/>
      </c>
      <c r="J1017" s="1" t="s">
        <v>1808</v>
      </c>
      <c r="K1017" s="10">
        <v>2</v>
      </c>
      <c r="L1017" s="10">
        <v>1</v>
      </c>
      <c r="O1017" s="6"/>
      <c r="Q1017" s="42" t="s">
        <v>2962</v>
      </c>
      <c r="R1017" s="42"/>
      <c r="S1017" s="1"/>
    </row>
    <row r="1018" spans="1:19" ht="18.75" hidden="1" customHeight="1" x14ac:dyDescent="0.3">
      <c r="A1018" s="10">
        <v>1017</v>
      </c>
      <c r="B1018" s="10">
        <f>_xlfn.XLOOKUP(1,(VALUE(D1018)&gt;=VALUE(block!$C$3:$C$500))*(VALUE(D1018)&lt;VALUE(block!$C$3:$C$500)+VALUE(block!$D$3:$D$500)),block!$A$3:$A$500,"无匹配",0,1)</f>
        <v>27</v>
      </c>
      <c r="C1018" s="3" t="str">
        <f>B1018 &amp; "-" &amp; COUNTIF($B$2:B1018, B1018)</f>
        <v>27-11</v>
      </c>
      <c r="D1018" s="10">
        <v>10726</v>
      </c>
      <c r="E1018" s="1" t="s">
        <v>3721</v>
      </c>
      <c r="F1018" s="1" t="s">
        <v>3722</v>
      </c>
      <c r="G1018" s="1" t="s">
        <v>1840</v>
      </c>
      <c r="H1018" s="1" t="s">
        <v>1812</v>
      </c>
      <c r="I1018" s="10" t="str">
        <f>IF(H1018="T71",1,IF(H1018="T71",3,IF(H1018="T87",6,IF(H1018="T87",10,IF(H1018="T119",14,IF(H1018="T119",18,IF(H1018="T87",22,"")))))))</f>
        <v/>
      </c>
      <c r="J1018" s="1" t="s">
        <v>1808</v>
      </c>
      <c r="K1018" s="10">
        <v>2</v>
      </c>
      <c r="L1018" s="10">
        <v>1</v>
      </c>
      <c r="O1018" s="6"/>
      <c r="Q1018" s="42" t="s">
        <v>2962</v>
      </c>
      <c r="R1018" s="42"/>
      <c r="S1018" s="1"/>
    </row>
    <row r="1019" spans="1:19" ht="18.75" hidden="1" customHeight="1" x14ac:dyDescent="0.3">
      <c r="A1019" s="10">
        <v>1018</v>
      </c>
      <c r="B1019" s="10">
        <f>_xlfn.XLOOKUP(1,(VALUE(D1019)&gt;=VALUE(block!$C$3:$C$500))*(VALUE(D1019)&lt;VALUE(block!$C$3:$C$500)+VALUE(block!$D$3:$D$500)),block!$A$3:$A$500,"无匹配",0,1)</f>
        <v>27</v>
      </c>
      <c r="C1019" s="3" t="str">
        <f>B1019 &amp; "-" &amp; COUNTIF($B$2:B1019, B1019)</f>
        <v>27-12</v>
      </c>
      <c r="D1019" s="10">
        <v>10728</v>
      </c>
      <c r="E1019" s="1" t="s">
        <v>3723</v>
      </c>
      <c r="F1019" s="1" t="s">
        <v>3724</v>
      </c>
      <c r="G1019" s="1" t="s">
        <v>1840</v>
      </c>
      <c r="H1019" s="1" t="s">
        <v>1812</v>
      </c>
      <c r="I1019" s="10" t="str">
        <f>IF(H1019="T72",1,IF(H1019="T72",3,IF(H1019="T88",6,IF(H1019="T88",10,IF(H1019="T120",14,IF(H1019="T120",18,IF(H1019="T88",22,"")))))))</f>
        <v/>
      </c>
      <c r="J1019" s="1" t="s">
        <v>1808</v>
      </c>
      <c r="K1019" s="10">
        <v>2</v>
      </c>
      <c r="L1019" s="10">
        <v>1</v>
      </c>
      <c r="O1019" s="6"/>
      <c r="Q1019" s="42" t="s">
        <v>2962</v>
      </c>
      <c r="R1019" s="42"/>
      <c r="S1019" s="1"/>
    </row>
    <row r="1020" spans="1:19" ht="18.75" hidden="1" customHeight="1" x14ac:dyDescent="0.3">
      <c r="A1020" s="10">
        <v>1019</v>
      </c>
      <c r="B1020" s="10">
        <f>_xlfn.XLOOKUP(1,(VALUE(D1020)&gt;=VALUE(block!$C$3:$C$500))*(VALUE(D1020)&lt;VALUE(block!$C$3:$C$500)+VALUE(block!$D$3:$D$500)),block!$A$3:$A$500,"无匹配",0,1)</f>
        <v>27</v>
      </c>
      <c r="C1020" s="3" t="str">
        <f>B1020 &amp; "-" &amp; COUNTIF($B$2:B1020, B1020)</f>
        <v>27-13</v>
      </c>
      <c r="D1020" s="10">
        <v>10730</v>
      </c>
      <c r="E1020" s="1" t="s">
        <v>3725</v>
      </c>
      <c r="F1020" s="1" t="s">
        <v>3726</v>
      </c>
      <c r="G1020" s="1" t="s">
        <v>1840</v>
      </c>
      <c r="H1020" s="1" t="s">
        <v>1812</v>
      </c>
      <c r="I1020" s="10" t="str">
        <f>IF(H1020="T73",1,IF(H1020="T73",3,IF(H1020="T89",6,IF(H1020="T89",10,IF(H1020="T121",14,IF(H1020="T121",18,IF(H1020="T89",22,"")))))))</f>
        <v/>
      </c>
      <c r="J1020" s="1" t="s">
        <v>1808</v>
      </c>
      <c r="K1020" s="10">
        <v>2</v>
      </c>
      <c r="L1020" s="10">
        <v>1</v>
      </c>
      <c r="O1020" s="6"/>
      <c r="Q1020" s="42" t="s">
        <v>2962</v>
      </c>
      <c r="R1020" s="42"/>
      <c r="S1020" s="1"/>
    </row>
    <row r="1021" spans="1:19" ht="18.75" hidden="1" customHeight="1" x14ac:dyDescent="0.3">
      <c r="A1021" s="10">
        <v>1020</v>
      </c>
      <c r="B1021" s="10">
        <f>_xlfn.XLOOKUP(1,(VALUE(D1021)&gt;=VALUE(block!$C$3:$C$500))*(VALUE(D1021)&lt;VALUE(block!$C$3:$C$500)+VALUE(block!$D$3:$D$500)),block!$A$3:$A$500,"无匹配",0,1)</f>
        <v>27</v>
      </c>
      <c r="C1021" s="3" t="str">
        <f>B1021 &amp; "-" &amp; COUNTIF($B$2:B1021, B1021)</f>
        <v>27-14</v>
      </c>
      <c r="D1021" s="10">
        <v>10732</v>
      </c>
      <c r="E1021" s="1" t="s">
        <v>3727</v>
      </c>
      <c r="F1021" s="1" t="s">
        <v>3728</v>
      </c>
      <c r="G1021" s="1" t="s">
        <v>1840</v>
      </c>
      <c r="H1021" s="1" t="s">
        <v>1812</v>
      </c>
      <c r="I1021" s="10" t="str">
        <f>IF(H1021="T74",1,IF(H1021="T74",3,IF(H1021="T90",6,IF(H1021="T90",10,IF(H1021="T122",14,IF(H1021="T122",18,IF(H1021="T90",22,"")))))))</f>
        <v/>
      </c>
      <c r="J1021" s="1" t="s">
        <v>1808</v>
      </c>
      <c r="K1021" s="10">
        <v>2</v>
      </c>
      <c r="L1021" s="10">
        <v>1</v>
      </c>
      <c r="O1021" s="6"/>
      <c r="Q1021" s="42" t="s">
        <v>2962</v>
      </c>
      <c r="R1021" s="42"/>
      <c r="S1021" s="1"/>
    </row>
    <row r="1022" spans="1:19" ht="18.75" hidden="1" customHeight="1" x14ac:dyDescent="0.3">
      <c r="A1022" s="10">
        <v>1021</v>
      </c>
      <c r="B1022" s="10">
        <f>_xlfn.XLOOKUP(1,(VALUE(D1022)&gt;=VALUE(block!$C$3:$C$500))*(VALUE(D1022)&lt;VALUE(block!$C$3:$C$500)+VALUE(block!$D$3:$D$500)),block!$A$3:$A$500,"无匹配",0,1)</f>
        <v>27</v>
      </c>
      <c r="C1022" s="3" t="str">
        <f>B1022 &amp; "-" &amp; COUNTIF($B$2:B1022, B1022)</f>
        <v>27-15</v>
      </c>
      <c r="D1022" s="10">
        <v>10734</v>
      </c>
      <c r="E1022" s="1" t="s">
        <v>3729</v>
      </c>
      <c r="F1022" s="1" t="s">
        <v>3730</v>
      </c>
      <c r="G1022" s="1" t="s">
        <v>1840</v>
      </c>
      <c r="H1022" s="1" t="s">
        <v>1812</v>
      </c>
      <c r="I1022" s="10" t="str">
        <f>IF(H1022="T75",1,IF(H1022="T75",3,IF(H1022="T91",6,IF(H1022="T91",10,IF(H1022="T123",14,IF(H1022="T123",18,IF(H1022="T91",22,"")))))))</f>
        <v/>
      </c>
      <c r="J1022" s="1" t="s">
        <v>1808</v>
      </c>
      <c r="K1022" s="10">
        <v>2</v>
      </c>
      <c r="L1022" s="10">
        <v>1</v>
      </c>
      <c r="O1022" s="6"/>
      <c r="Q1022" s="42" t="s">
        <v>2962</v>
      </c>
      <c r="R1022" s="42"/>
      <c r="S1022" s="1"/>
    </row>
    <row r="1023" spans="1:19" ht="18.75" hidden="1" customHeight="1" x14ac:dyDescent="0.3">
      <c r="A1023" s="10">
        <v>1022</v>
      </c>
      <c r="B1023" s="10">
        <f>_xlfn.XLOOKUP(1,(VALUE(D1023)&gt;=VALUE(block!$C$3:$C$500))*(VALUE(D1023)&lt;VALUE(block!$C$3:$C$500)+VALUE(block!$D$3:$D$500)),block!$A$3:$A$500,"无匹配",0,1)</f>
        <v>27</v>
      </c>
      <c r="C1023" s="3" t="str">
        <f>B1023 &amp; "-" &amp; COUNTIF($B$2:B1023, B1023)</f>
        <v>27-16</v>
      </c>
      <c r="D1023" s="10">
        <v>10736</v>
      </c>
      <c r="E1023" s="1" t="s">
        <v>3731</v>
      </c>
      <c r="F1023" s="1" t="s">
        <v>3732</v>
      </c>
      <c r="G1023" s="1" t="s">
        <v>1840</v>
      </c>
      <c r="H1023" s="1" t="s">
        <v>1812</v>
      </c>
      <c r="I1023" s="10" t="str">
        <f>IF(H1023="T76",1,IF(H1023="T76",3,IF(H1023="T92",6,IF(H1023="T92",10,IF(H1023="T124",14,IF(H1023="T124",18,IF(H1023="T92",22,"")))))))</f>
        <v/>
      </c>
      <c r="J1023" s="1" t="s">
        <v>1808</v>
      </c>
      <c r="K1023" s="10">
        <v>2</v>
      </c>
      <c r="L1023" s="10">
        <v>1</v>
      </c>
      <c r="O1023" s="6"/>
      <c r="Q1023" s="42" t="s">
        <v>2962</v>
      </c>
      <c r="R1023" s="42"/>
      <c r="S1023" s="1"/>
    </row>
    <row r="1024" spans="1:19" ht="18.75" hidden="1" customHeight="1" x14ac:dyDescent="0.3">
      <c r="A1024" s="10">
        <v>1023</v>
      </c>
      <c r="B1024" s="10">
        <f>_xlfn.XLOOKUP(1,(VALUE(D1024)&gt;=VALUE(block!$C$3:$C$500))*(VALUE(D1024)&lt;VALUE(block!$C$3:$C$500)+VALUE(block!$D$3:$D$500)),block!$A$3:$A$500,"无匹配",0,1)</f>
        <v>27</v>
      </c>
      <c r="C1024" s="3" t="str">
        <f>B1024 &amp; "-" &amp; COUNTIF($B$2:B1024, B1024)</f>
        <v>27-17</v>
      </c>
      <c r="D1024" s="10">
        <v>10738</v>
      </c>
      <c r="E1024" s="1" t="s">
        <v>3733</v>
      </c>
      <c r="F1024" s="1" t="s">
        <v>3734</v>
      </c>
      <c r="G1024" s="1" t="s">
        <v>1840</v>
      </c>
      <c r="H1024" s="1" t="s">
        <v>1812</v>
      </c>
      <c r="I1024" s="10" t="str">
        <f>IF(H1024="T77",1,IF(H1024="T77",3,IF(H1024="T93",6,IF(H1024="T93",10,IF(H1024="T125",14,IF(H1024="T125",18,IF(H1024="T93",22,"")))))))</f>
        <v/>
      </c>
      <c r="J1024" s="1" t="s">
        <v>1808</v>
      </c>
      <c r="K1024" s="10">
        <v>2</v>
      </c>
      <c r="L1024" s="10">
        <v>1</v>
      </c>
      <c r="O1024" s="6"/>
      <c r="Q1024" s="42" t="s">
        <v>2962</v>
      </c>
      <c r="R1024" s="42"/>
      <c r="S1024" s="1"/>
    </row>
    <row r="1025" spans="1:19" ht="18.75" hidden="1" customHeight="1" x14ac:dyDescent="0.3">
      <c r="A1025" s="10">
        <v>1024</v>
      </c>
      <c r="B1025" s="10">
        <f>_xlfn.XLOOKUP(1,(VALUE(D1025)&gt;=VALUE(block!$C$3:$C$500))*(VALUE(D1025)&lt;VALUE(block!$C$3:$C$500)+VALUE(block!$D$3:$D$500)),block!$A$3:$A$500,"无匹配",0,1)</f>
        <v>27</v>
      </c>
      <c r="C1025" s="3" t="str">
        <f>B1025 &amp; "-" &amp; COUNTIF($B$2:B1025, B1025)</f>
        <v>27-18</v>
      </c>
      <c r="D1025" s="10">
        <v>10740</v>
      </c>
      <c r="E1025" s="1" t="s">
        <v>3735</v>
      </c>
      <c r="F1025" s="1" t="s">
        <v>3736</v>
      </c>
      <c r="G1025" s="1" t="s">
        <v>1840</v>
      </c>
      <c r="H1025" s="1" t="s">
        <v>1812</v>
      </c>
      <c r="I1025" s="10" t="str">
        <f>IF(H1025="T78",1,IF(H1025="T78",3,IF(H1025="T94",6,IF(H1025="T94",10,IF(H1025="T126",14,IF(H1025="T126",18,IF(H1025="T94",22,"")))))))</f>
        <v/>
      </c>
      <c r="J1025" s="1" t="s">
        <v>1808</v>
      </c>
      <c r="K1025" s="10">
        <v>2</v>
      </c>
      <c r="L1025" s="10">
        <v>1</v>
      </c>
      <c r="O1025" s="6"/>
      <c r="Q1025" s="42" t="s">
        <v>2962</v>
      </c>
      <c r="R1025" s="42"/>
      <c r="S1025" s="1"/>
    </row>
    <row r="1026" spans="1:19" ht="18.75" hidden="1" customHeight="1" x14ac:dyDescent="0.3">
      <c r="A1026" s="10">
        <v>1025</v>
      </c>
      <c r="B1026" s="10">
        <f>_xlfn.XLOOKUP(1,(VALUE(D1026)&gt;=VALUE(block!$C$3:$C$500))*(VALUE(D1026)&lt;VALUE(block!$C$3:$C$500)+VALUE(block!$D$3:$D$500)),block!$A$3:$A$500,"无匹配",0,1)</f>
        <v>27</v>
      </c>
      <c r="C1026" s="3" t="str">
        <f>B1026 &amp; "-" &amp; COUNTIF($B$2:B1026, B1026)</f>
        <v>27-19</v>
      </c>
      <c r="D1026" s="10">
        <v>10742</v>
      </c>
      <c r="E1026" s="1" t="s">
        <v>3737</v>
      </c>
      <c r="F1026" s="1" t="s">
        <v>3738</v>
      </c>
      <c r="G1026" s="1" t="s">
        <v>1840</v>
      </c>
      <c r="H1026" s="1" t="s">
        <v>1812</v>
      </c>
      <c r="I1026" s="10" t="str">
        <f>IF(H1026="T79",1,IF(H1026="T79",3,IF(H1026="T95",6,IF(H1026="T95",10,IF(H1026="T127",14,IF(H1026="T127",18,IF(H1026="T95",22,"")))))))</f>
        <v/>
      </c>
      <c r="J1026" s="1" t="s">
        <v>1808</v>
      </c>
      <c r="K1026" s="10">
        <v>2</v>
      </c>
      <c r="L1026" s="10">
        <v>1</v>
      </c>
      <c r="O1026" s="6"/>
      <c r="Q1026" s="42" t="s">
        <v>2962</v>
      </c>
      <c r="R1026" s="42"/>
      <c r="S1026" s="1"/>
    </row>
    <row r="1027" spans="1:19" ht="18.75" hidden="1" customHeight="1" x14ac:dyDescent="0.3">
      <c r="A1027" s="10">
        <v>1026</v>
      </c>
      <c r="B1027" s="10">
        <f>_xlfn.XLOOKUP(1,(VALUE(D1027)&gt;=VALUE(block!$C$3:$C$500))*(VALUE(D1027)&lt;VALUE(block!$C$3:$C$500)+VALUE(block!$D$3:$D$500)),block!$A$3:$A$500,"无匹配",0,1)</f>
        <v>27</v>
      </c>
      <c r="C1027" s="3" t="str">
        <f>B1027 &amp; "-" &amp; COUNTIF($B$2:B1027, B1027)</f>
        <v>27-20</v>
      </c>
      <c r="D1027" s="10">
        <v>10744</v>
      </c>
      <c r="E1027" s="1" t="s">
        <v>3739</v>
      </c>
      <c r="F1027" s="1" t="s">
        <v>3740</v>
      </c>
      <c r="G1027" s="1" t="s">
        <v>1840</v>
      </c>
      <c r="H1027" s="1" t="s">
        <v>1812</v>
      </c>
      <c r="I1027" s="10">
        <f>IF(H1027="uint16",1,IF(H1027="int16",3,IF(H1027="uint32",6,IF(H1027="int32",10,IF(H1027="uint64",14,IF(H1027="int64",18,IF(H1027="float32",22,"")))))))</f>
        <v>22</v>
      </c>
      <c r="J1027" s="1" t="s">
        <v>1808</v>
      </c>
      <c r="K1027" s="10">
        <v>2</v>
      </c>
      <c r="L1027" s="10">
        <v>1</v>
      </c>
      <c r="O1027" s="6"/>
      <c r="Q1027" s="42" t="s">
        <v>2962</v>
      </c>
      <c r="R1027" s="42"/>
      <c r="S1027" s="1"/>
    </row>
    <row r="1028" spans="1:19" ht="18.75" hidden="1" customHeight="1" x14ac:dyDescent="0.3">
      <c r="A1028" s="10">
        <v>1027</v>
      </c>
      <c r="B1028" s="10">
        <f>_xlfn.XLOOKUP(1,(VALUE(D1028)&gt;=VALUE(block!$C$3:$C$500))*(VALUE(D1028)&lt;VALUE(block!$C$3:$C$500)+VALUE(block!$D$3:$D$500)),block!$A$3:$A$500,"无匹配",0,1)</f>
        <v>27</v>
      </c>
      <c r="C1028" s="3" t="str">
        <f>B1028 &amp; "-" &amp; COUNTIF($B$2:B1028, B1028)</f>
        <v>27-21</v>
      </c>
      <c r="D1028" s="10">
        <v>10746</v>
      </c>
      <c r="E1028" s="1" t="s">
        <v>3741</v>
      </c>
      <c r="F1028" s="1" t="s">
        <v>3742</v>
      </c>
      <c r="G1028" s="1" t="s">
        <v>1840</v>
      </c>
      <c r="H1028" s="1" t="s">
        <v>1812</v>
      </c>
      <c r="I1028" s="10" t="str">
        <f>IF(H1028="T17",1,IF(H1028="T17",3,IF(H1028="T33",6,IF(H1028="T33",10,IF(H1028="T65",14,IF(H1028="T65",18,IF(H1028="T33",22,"")))))))</f>
        <v/>
      </c>
      <c r="J1028" s="1" t="s">
        <v>1808</v>
      </c>
      <c r="K1028" s="10">
        <v>2</v>
      </c>
      <c r="L1028" s="10">
        <v>1</v>
      </c>
      <c r="O1028" s="6"/>
      <c r="Q1028" s="42" t="s">
        <v>2962</v>
      </c>
      <c r="R1028" s="42"/>
      <c r="S1028" s="1"/>
    </row>
    <row r="1029" spans="1:19" ht="18.75" hidden="1" customHeight="1" x14ac:dyDescent="0.3">
      <c r="A1029" s="10">
        <v>1028</v>
      </c>
      <c r="B1029" s="10">
        <f>_xlfn.XLOOKUP(1,(VALUE(D1029)&gt;=VALUE(block!$C$3:$C$500))*(VALUE(D1029)&lt;VALUE(block!$C$3:$C$500)+VALUE(block!$D$3:$D$500)),block!$A$3:$A$500,"无匹配",0,1)</f>
        <v>27</v>
      </c>
      <c r="C1029" s="3" t="str">
        <f>B1029 &amp; "-" &amp; COUNTIF($B$2:B1029, B1029)</f>
        <v>27-22</v>
      </c>
      <c r="D1029" s="10">
        <v>10748</v>
      </c>
      <c r="E1029" s="1" t="s">
        <v>3743</v>
      </c>
      <c r="F1029" s="1" t="s">
        <v>3744</v>
      </c>
      <c r="G1029" s="1" t="s">
        <v>1840</v>
      </c>
      <c r="H1029" s="1" t="s">
        <v>1812</v>
      </c>
      <c r="I1029" s="10" t="str">
        <f>IF(H1029="T18",1,IF(H1029="T18",3,IF(H1029="T34",6,IF(H1029="T34",10,IF(H1029="T66",14,IF(H1029="T66",18,IF(H1029="T34",22,"")))))))</f>
        <v/>
      </c>
      <c r="J1029" s="1" t="s">
        <v>1808</v>
      </c>
      <c r="K1029" s="10">
        <v>2</v>
      </c>
      <c r="L1029" s="10">
        <v>1</v>
      </c>
      <c r="O1029" s="6"/>
      <c r="Q1029" s="42" t="s">
        <v>2962</v>
      </c>
      <c r="R1029" s="42"/>
      <c r="S1029" s="1"/>
    </row>
    <row r="1030" spans="1:19" ht="18.75" hidden="1" customHeight="1" x14ac:dyDescent="0.3">
      <c r="A1030" s="10">
        <v>1029</v>
      </c>
      <c r="B1030" s="10">
        <f>_xlfn.XLOOKUP(1,(VALUE(D1030)&gt;=VALUE(block!$C$3:$C$500))*(VALUE(D1030)&lt;VALUE(block!$C$3:$C$500)+VALUE(block!$D$3:$D$500)),block!$A$3:$A$500,"无匹配",0,1)</f>
        <v>27</v>
      </c>
      <c r="C1030" s="3" t="str">
        <f>B1030 &amp; "-" &amp; COUNTIF($B$2:B1030, B1030)</f>
        <v>27-23</v>
      </c>
      <c r="D1030" s="10">
        <v>10750</v>
      </c>
      <c r="E1030" s="1" t="s">
        <v>3745</v>
      </c>
      <c r="F1030" s="1" t="s">
        <v>3746</v>
      </c>
      <c r="G1030" s="1" t="s">
        <v>1840</v>
      </c>
      <c r="H1030" s="1" t="s">
        <v>1812</v>
      </c>
      <c r="I1030" s="10" t="str">
        <f>IF(H1030="T19",1,IF(H1030="T19",3,IF(H1030="T35",6,IF(H1030="T35",10,IF(H1030="T67",14,IF(H1030="T67",18,IF(H1030="T35",22,"")))))))</f>
        <v/>
      </c>
      <c r="J1030" s="1" t="s">
        <v>1808</v>
      </c>
      <c r="K1030" s="10">
        <v>2</v>
      </c>
      <c r="L1030" s="10">
        <v>1</v>
      </c>
      <c r="O1030" s="6"/>
      <c r="Q1030" s="42" t="s">
        <v>2962</v>
      </c>
      <c r="R1030" s="42"/>
      <c r="S1030" s="1"/>
    </row>
    <row r="1031" spans="1:19" ht="18.75" hidden="1" customHeight="1" x14ac:dyDescent="0.3">
      <c r="A1031" s="10">
        <v>1030</v>
      </c>
      <c r="B1031" s="10">
        <f>_xlfn.XLOOKUP(1,(VALUE(D1031)&gt;=VALUE(block!$C$3:$C$500))*(VALUE(D1031)&lt;VALUE(block!$C$3:$C$500)+VALUE(block!$D$3:$D$500)),block!$A$3:$A$500,"无匹配",0,1)</f>
        <v>27</v>
      </c>
      <c r="C1031" s="3" t="str">
        <f>B1031 &amp; "-" &amp; COUNTIF($B$2:B1031, B1031)</f>
        <v>27-24</v>
      </c>
      <c r="D1031" s="10">
        <v>10752</v>
      </c>
      <c r="E1031" s="1" t="s">
        <v>3747</v>
      </c>
      <c r="F1031" s="1" t="s">
        <v>3748</v>
      </c>
      <c r="G1031" s="1" t="s">
        <v>1840</v>
      </c>
      <c r="H1031" s="1" t="s">
        <v>1812</v>
      </c>
      <c r="I1031" s="10" t="str">
        <f>IF(H1031="T20",1,IF(H1031="T20",3,IF(H1031="T36",6,IF(H1031="T36",10,IF(H1031="T68",14,IF(H1031="T68",18,IF(H1031="T36",22,"")))))))</f>
        <v/>
      </c>
      <c r="J1031" s="1" t="s">
        <v>1808</v>
      </c>
      <c r="K1031" s="10">
        <v>2</v>
      </c>
      <c r="L1031" s="10">
        <v>1</v>
      </c>
      <c r="O1031" s="6"/>
      <c r="Q1031" s="42" t="s">
        <v>2962</v>
      </c>
      <c r="R1031" s="42"/>
      <c r="S1031" s="1"/>
    </row>
    <row r="1032" spans="1:19" ht="18.75" hidden="1" customHeight="1" x14ac:dyDescent="0.3">
      <c r="A1032" s="10">
        <v>1031</v>
      </c>
      <c r="B1032" s="10">
        <f>_xlfn.XLOOKUP(1,(VALUE(D1032)&gt;=VALUE(block!$C$3:$C$500))*(VALUE(D1032)&lt;VALUE(block!$C$3:$C$500)+VALUE(block!$D$3:$D$500)),block!$A$3:$A$500,"无匹配",0,1)</f>
        <v>27</v>
      </c>
      <c r="C1032" s="3" t="str">
        <f>B1032 &amp; "-" &amp; COUNTIF($B$2:B1032, B1032)</f>
        <v>27-25</v>
      </c>
      <c r="D1032" s="10">
        <v>10754</v>
      </c>
      <c r="E1032" s="1" t="s">
        <v>3749</v>
      </c>
      <c r="F1032" s="1" t="s">
        <v>3750</v>
      </c>
      <c r="G1032" s="1" t="s">
        <v>1840</v>
      </c>
      <c r="H1032" s="1" t="s">
        <v>1812</v>
      </c>
      <c r="I1032" s="10" t="str">
        <f>IF(H1032="T21",1,IF(H1032="T21",3,IF(H1032="T37",6,IF(H1032="T37",10,IF(H1032="T69",14,IF(H1032="T69",18,IF(H1032="T37",22,"")))))))</f>
        <v/>
      </c>
      <c r="J1032" s="1" t="s">
        <v>1808</v>
      </c>
      <c r="K1032" s="10">
        <v>2</v>
      </c>
      <c r="L1032" s="10">
        <v>1</v>
      </c>
      <c r="O1032" s="6"/>
      <c r="Q1032" s="42" t="s">
        <v>2962</v>
      </c>
      <c r="R1032" s="42"/>
      <c r="S1032" s="1"/>
    </row>
    <row r="1033" spans="1:19" ht="18.75" hidden="1" customHeight="1" x14ac:dyDescent="0.3">
      <c r="A1033" s="10">
        <v>1032</v>
      </c>
      <c r="B1033" s="10">
        <f>_xlfn.XLOOKUP(1,(VALUE(D1033)&gt;=VALUE(block!$C$3:$C$500))*(VALUE(D1033)&lt;VALUE(block!$C$3:$C$500)+VALUE(block!$D$3:$D$500)),block!$A$3:$A$500,"无匹配",0,1)</f>
        <v>27</v>
      </c>
      <c r="C1033" s="3" t="str">
        <f>B1033 &amp; "-" &amp; COUNTIF($B$2:B1033, B1033)</f>
        <v>27-26</v>
      </c>
      <c r="D1033" s="10">
        <v>10756</v>
      </c>
      <c r="E1033" s="1" t="s">
        <v>3751</v>
      </c>
      <c r="F1033" s="1" t="s">
        <v>3752</v>
      </c>
      <c r="G1033" s="1" t="s">
        <v>1840</v>
      </c>
      <c r="H1033" s="1" t="s">
        <v>1812</v>
      </c>
      <c r="I1033" s="10" t="str">
        <f>IF(H1033="T22",1,IF(H1033="T22",3,IF(H1033="T38",6,IF(H1033="T38",10,IF(H1033="T70",14,IF(H1033="T70",18,IF(H1033="T38",22,"")))))))</f>
        <v/>
      </c>
      <c r="J1033" s="1" t="s">
        <v>1808</v>
      </c>
      <c r="K1033" s="10">
        <v>2</v>
      </c>
      <c r="L1033" s="10">
        <v>1</v>
      </c>
      <c r="O1033" s="6"/>
      <c r="Q1033" s="42" t="s">
        <v>2962</v>
      </c>
      <c r="R1033" s="42"/>
      <c r="S1033" s="1"/>
    </row>
    <row r="1034" spans="1:19" ht="18.75" hidden="1" customHeight="1" x14ac:dyDescent="0.3">
      <c r="A1034" s="10">
        <v>1033</v>
      </c>
      <c r="B1034" s="10">
        <f>_xlfn.XLOOKUP(1,(VALUE(D1034)&gt;=VALUE(block!$C$3:$C$500))*(VALUE(D1034)&lt;VALUE(block!$C$3:$C$500)+VALUE(block!$D$3:$D$500)),block!$A$3:$A$500,"无匹配",0,1)</f>
        <v>27</v>
      </c>
      <c r="C1034" s="3" t="str">
        <f>B1034 &amp; "-" &amp; COUNTIF($B$2:B1034, B1034)</f>
        <v>27-27</v>
      </c>
      <c r="D1034" s="10">
        <v>10758</v>
      </c>
      <c r="E1034" s="1" t="s">
        <v>3753</v>
      </c>
      <c r="F1034" s="1" t="s">
        <v>3754</v>
      </c>
      <c r="G1034" s="1" t="s">
        <v>1840</v>
      </c>
      <c r="H1034" s="1" t="s">
        <v>1812</v>
      </c>
      <c r="I1034" s="10" t="str">
        <f>IF(H1034="T23",1,IF(H1034="T23",3,IF(H1034="T39",6,IF(H1034="T39",10,IF(H1034="T71",14,IF(H1034="T71",18,IF(H1034="T39",22,"")))))))</f>
        <v/>
      </c>
      <c r="J1034" s="1" t="s">
        <v>1808</v>
      </c>
      <c r="K1034" s="10">
        <v>2</v>
      </c>
      <c r="L1034" s="10">
        <v>1</v>
      </c>
      <c r="O1034" s="6"/>
      <c r="Q1034" s="42" t="s">
        <v>2962</v>
      </c>
      <c r="R1034" s="42"/>
      <c r="S1034" s="1"/>
    </row>
    <row r="1035" spans="1:19" ht="18.75" hidden="1" customHeight="1" x14ac:dyDescent="0.3">
      <c r="A1035" s="10">
        <v>1034</v>
      </c>
      <c r="B1035" s="10">
        <f>_xlfn.XLOOKUP(1,(VALUE(D1035)&gt;=VALUE(block!$C$3:$C$500))*(VALUE(D1035)&lt;VALUE(block!$C$3:$C$500)+VALUE(block!$D$3:$D$500)),block!$A$3:$A$500,"无匹配",0,1)</f>
        <v>27</v>
      </c>
      <c r="C1035" s="3" t="str">
        <f>B1035 &amp; "-" &amp; COUNTIF($B$2:B1035, B1035)</f>
        <v>27-28</v>
      </c>
      <c r="D1035" s="10">
        <v>10760</v>
      </c>
      <c r="E1035" s="1" t="s">
        <v>3755</v>
      </c>
      <c r="F1035" s="1" t="s">
        <v>3756</v>
      </c>
      <c r="G1035" s="1" t="s">
        <v>1840</v>
      </c>
      <c r="H1035" s="1" t="s">
        <v>1812</v>
      </c>
      <c r="I1035" s="10" t="str">
        <f>IF(H1035="T24",1,IF(H1035="T24",3,IF(H1035="T40",6,IF(H1035="T40",10,IF(H1035="T72",14,IF(H1035="T72",18,IF(H1035="T40",22,"")))))))</f>
        <v/>
      </c>
      <c r="J1035" s="1" t="s">
        <v>1808</v>
      </c>
      <c r="K1035" s="10">
        <v>2</v>
      </c>
      <c r="L1035" s="10">
        <v>1</v>
      </c>
      <c r="O1035" s="6"/>
      <c r="Q1035" s="42" t="s">
        <v>2962</v>
      </c>
      <c r="R1035" s="42"/>
      <c r="S1035" s="1"/>
    </row>
    <row r="1036" spans="1:19" ht="18.75" hidden="1" customHeight="1" x14ac:dyDescent="0.3">
      <c r="A1036" s="10">
        <v>1035</v>
      </c>
      <c r="B1036" s="10">
        <f>_xlfn.XLOOKUP(1,(VALUE(D1036)&gt;=VALUE(block!$C$3:$C$500))*(VALUE(D1036)&lt;VALUE(block!$C$3:$C$500)+VALUE(block!$D$3:$D$500)),block!$A$3:$A$500,"无匹配",0,1)</f>
        <v>27</v>
      </c>
      <c r="C1036" s="3" t="str">
        <f>B1036 &amp; "-" &amp; COUNTIF($B$2:B1036, B1036)</f>
        <v>27-29</v>
      </c>
      <c r="D1036" s="10">
        <v>10762</v>
      </c>
      <c r="E1036" s="1" t="s">
        <v>3757</v>
      </c>
      <c r="F1036" s="1" t="s">
        <v>3758</v>
      </c>
      <c r="G1036" s="1" t="s">
        <v>1840</v>
      </c>
      <c r="H1036" s="1" t="s">
        <v>1812</v>
      </c>
      <c r="I1036" s="10" t="str">
        <f>IF(H1036="T25",1,IF(H1036="T25",3,IF(H1036="T41",6,IF(H1036="T41",10,IF(H1036="T73",14,IF(H1036="T73",18,IF(H1036="T41",22,"")))))))</f>
        <v/>
      </c>
      <c r="J1036" s="1" t="s">
        <v>1808</v>
      </c>
      <c r="K1036" s="10">
        <v>2</v>
      </c>
      <c r="L1036" s="10">
        <v>1</v>
      </c>
      <c r="O1036" s="6"/>
      <c r="Q1036" s="42" t="s">
        <v>2962</v>
      </c>
      <c r="R1036" s="42"/>
      <c r="S1036" s="1"/>
    </row>
    <row r="1037" spans="1:19" ht="18.75" hidden="1" customHeight="1" x14ac:dyDescent="0.3">
      <c r="A1037" s="10">
        <v>1036</v>
      </c>
      <c r="B1037" s="10">
        <f>_xlfn.XLOOKUP(1,(VALUE(D1037)&gt;=VALUE(block!$C$3:$C$500))*(VALUE(D1037)&lt;VALUE(block!$C$3:$C$500)+VALUE(block!$D$3:$D$500)),block!$A$3:$A$500,"无匹配",0,1)</f>
        <v>27</v>
      </c>
      <c r="C1037" s="3" t="str">
        <f>B1037 &amp; "-" &amp; COUNTIF($B$2:B1037, B1037)</f>
        <v>27-30</v>
      </c>
      <c r="D1037" s="10">
        <v>10764</v>
      </c>
      <c r="E1037" s="1" t="s">
        <v>3759</v>
      </c>
      <c r="F1037" s="1" t="s">
        <v>3760</v>
      </c>
      <c r="G1037" s="1" t="s">
        <v>1840</v>
      </c>
      <c r="H1037" s="1" t="s">
        <v>1812</v>
      </c>
      <c r="I1037" s="10" t="str">
        <f>IF(H1037="T26",1,IF(H1037="T26",3,IF(H1037="T42",6,IF(H1037="T42",10,IF(H1037="T74",14,IF(H1037="T74",18,IF(H1037="T42",22,"")))))))</f>
        <v/>
      </c>
      <c r="J1037" s="1" t="s">
        <v>1808</v>
      </c>
      <c r="K1037" s="10">
        <v>2</v>
      </c>
      <c r="L1037" s="10">
        <v>1</v>
      </c>
      <c r="O1037" s="6"/>
      <c r="Q1037" s="42" t="s">
        <v>2962</v>
      </c>
      <c r="R1037" s="42"/>
      <c r="S1037" s="1"/>
    </row>
    <row r="1038" spans="1:19" ht="18.75" hidden="1" customHeight="1" x14ac:dyDescent="0.3">
      <c r="A1038" s="10">
        <v>1037</v>
      </c>
      <c r="B1038" s="10">
        <f>_xlfn.XLOOKUP(1,(VALUE(D1038)&gt;=VALUE(block!$C$3:$C$500))*(VALUE(D1038)&lt;VALUE(block!$C$3:$C$500)+VALUE(block!$D$3:$D$500)),block!$A$3:$A$500,"无匹配",0,1)</f>
        <v>27</v>
      </c>
      <c r="C1038" s="3" t="str">
        <f>B1038 &amp; "-" &amp; COUNTIF($B$2:B1038, B1038)</f>
        <v>27-31</v>
      </c>
      <c r="D1038" s="10">
        <v>10766</v>
      </c>
      <c r="E1038" s="1" t="s">
        <v>3761</v>
      </c>
      <c r="F1038" s="1" t="s">
        <v>3762</v>
      </c>
      <c r="G1038" s="1" t="s">
        <v>1840</v>
      </c>
      <c r="H1038" s="1" t="s">
        <v>1812</v>
      </c>
      <c r="I1038" s="10" t="str">
        <f>IF(H1038="T27",1,IF(H1038="T27",3,IF(H1038="T43",6,IF(H1038="T43",10,IF(H1038="T75",14,IF(H1038="T75",18,IF(H1038="T43",22,"")))))))</f>
        <v/>
      </c>
      <c r="J1038" s="1" t="s">
        <v>1808</v>
      </c>
      <c r="K1038" s="10">
        <v>2</v>
      </c>
      <c r="L1038" s="10">
        <v>1</v>
      </c>
      <c r="O1038" s="6"/>
      <c r="Q1038" s="42" t="s">
        <v>2962</v>
      </c>
      <c r="R1038" s="42"/>
      <c r="S1038" s="1"/>
    </row>
    <row r="1039" spans="1:19" ht="18.75" hidden="1" customHeight="1" x14ac:dyDescent="0.3">
      <c r="A1039" s="10">
        <v>1038</v>
      </c>
      <c r="B1039" s="10">
        <f>_xlfn.XLOOKUP(1,(VALUE(D1039)&gt;=VALUE(block!$C$3:$C$500))*(VALUE(D1039)&lt;VALUE(block!$C$3:$C$500)+VALUE(block!$D$3:$D$500)),block!$A$3:$A$500,"无匹配",0,1)</f>
        <v>27</v>
      </c>
      <c r="C1039" s="3" t="str">
        <f>B1039 &amp; "-" &amp; COUNTIF($B$2:B1039, B1039)</f>
        <v>27-32</v>
      </c>
      <c r="D1039" s="10">
        <v>10768</v>
      </c>
      <c r="E1039" s="1" t="s">
        <v>3763</v>
      </c>
      <c r="F1039" s="1" t="s">
        <v>3764</v>
      </c>
      <c r="G1039" s="1" t="s">
        <v>1840</v>
      </c>
      <c r="H1039" s="1" t="s">
        <v>1812</v>
      </c>
      <c r="I1039" s="10" t="str">
        <f>IF(H1039="T28",1,IF(H1039="T28",3,IF(H1039="T44",6,IF(H1039="T44",10,IF(H1039="T76",14,IF(H1039="T76",18,IF(H1039="T44",22,"")))))))</f>
        <v/>
      </c>
      <c r="J1039" s="1" t="s">
        <v>1808</v>
      </c>
      <c r="K1039" s="10">
        <v>2</v>
      </c>
      <c r="L1039" s="10">
        <v>1</v>
      </c>
      <c r="O1039" s="6"/>
      <c r="Q1039" s="42" t="s">
        <v>2962</v>
      </c>
      <c r="R1039" s="42"/>
      <c r="S1039" s="1"/>
    </row>
    <row r="1040" spans="1:19" ht="18.75" hidden="1" customHeight="1" x14ac:dyDescent="0.3">
      <c r="A1040" s="10">
        <v>1039</v>
      </c>
      <c r="B1040" s="10">
        <f>_xlfn.XLOOKUP(1,(VALUE(D1040)&gt;=VALUE(block!$C$3:$C$500))*(VALUE(D1040)&lt;VALUE(block!$C$3:$C$500)+VALUE(block!$D$3:$D$500)),block!$A$3:$A$500,"无匹配",0,1)</f>
        <v>27</v>
      </c>
      <c r="C1040" s="3" t="str">
        <f>B1040 &amp; "-" &amp; COUNTIF($B$2:B1040, B1040)</f>
        <v>27-33</v>
      </c>
      <c r="D1040" s="10">
        <v>10770</v>
      </c>
      <c r="E1040" s="1" t="s">
        <v>3765</v>
      </c>
      <c r="F1040" s="1" t="s">
        <v>3766</v>
      </c>
      <c r="G1040" s="1" t="s">
        <v>1840</v>
      </c>
      <c r="H1040" s="1" t="s">
        <v>1812</v>
      </c>
      <c r="I1040" s="10" t="str">
        <f>IF(H1040="T29",1,IF(H1040="T29",3,IF(H1040="T45",6,IF(H1040="T45",10,IF(H1040="T77",14,IF(H1040="T77",18,IF(H1040="T45",22,"")))))))</f>
        <v/>
      </c>
      <c r="J1040" s="1" t="s">
        <v>1808</v>
      </c>
      <c r="K1040" s="10">
        <v>2</v>
      </c>
      <c r="L1040" s="10">
        <v>1</v>
      </c>
      <c r="O1040" s="6"/>
      <c r="Q1040" s="42" t="s">
        <v>2962</v>
      </c>
      <c r="R1040" s="42"/>
      <c r="S1040" s="1"/>
    </row>
    <row r="1041" spans="1:19" ht="18.75" hidden="1" customHeight="1" x14ac:dyDescent="0.3">
      <c r="A1041" s="10">
        <v>1040</v>
      </c>
      <c r="B1041" s="10">
        <f>_xlfn.XLOOKUP(1,(VALUE(D1041)&gt;=VALUE(block!$C$3:$C$500))*(VALUE(D1041)&lt;VALUE(block!$C$3:$C$500)+VALUE(block!$D$3:$D$500)),block!$A$3:$A$500,"无匹配",0,1)</f>
        <v>27</v>
      </c>
      <c r="C1041" s="3" t="str">
        <f>B1041 &amp; "-" &amp; COUNTIF($B$2:B1041, B1041)</f>
        <v>27-34</v>
      </c>
      <c r="D1041" s="10">
        <v>10772</v>
      </c>
      <c r="E1041" s="1" t="s">
        <v>3767</v>
      </c>
      <c r="F1041" s="1" t="s">
        <v>3768</v>
      </c>
      <c r="G1041" s="1" t="s">
        <v>1840</v>
      </c>
      <c r="H1041" s="1" t="s">
        <v>1812</v>
      </c>
      <c r="I1041" s="10" t="str">
        <f>IF(H1041="T30",1,IF(H1041="T30",3,IF(H1041="T46",6,IF(H1041="T46",10,IF(H1041="T78",14,IF(H1041="T78",18,IF(H1041="T46",22,"")))))))</f>
        <v/>
      </c>
      <c r="J1041" s="1" t="s">
        <v>1808</v>
      </c>
      <c r="K1041" s="10">
        <v>2</v>
      </c>
      <c r="L1041" s="10">
        <v>1</v>
      </c>
      <c r="O1041" s="6"/>
      <c r="Q1041" s="42" t="s">
        <v>2962</v>
      </c>
      <c r="R1041" s="42"/>
      <c r="S1041" s="1"/>
    </row>
    <row r="1042" spans="1:19" ht="18.75" customHeight="1" x14ac:dyDescent="0.3">
      <c r="A1042" s="10">
        <v>1041</v>
      </c>
      <c r="B1042" s="10">
        <f>_xlfn.XLOOKUP(1,(VALUE(D1042)&gt;=VALUE(block!$C$3:$C$500))*(VALUE(D1042)&lt;VALUE(block!$C$3:$C$500)+VALUE(block!$D$3:$D$500)),block!$A$3:$A$500,"无匹配",0,1)</f>
        <v>28</v>
      </c>
      <c r="C1042" s="3" t="str">
        <f>B1042 &amp; "-" &amp; COUNTIF($B$2:B1042, B1042)</f>
        <v>28-1</v>
      </c>
      <c r="D1042" s="10">
        <v>10774</v>
      </c>
      <c r="E1042" s="1" t="s">
        <v>3769</v>
      </c>
      <c r="F1042" s="1" t="s">
        <v>3770</v>
      </c>
      <c r="G1042" s="1" t="s">
        <v>1840</v>
      </c>
      <c r="H1042" s="1" t="s">
        <v>1812</v>
      </c>
      <c r="I1042" s="10" t="str">
        <f>IF(H1042="T31",1,IF(H1042="T31",3,IF(H1042="T47",6,IF(H1042="T47",10,IF(H1042="T79",14,IF(H1042="T79",18,IF(H1042="T47",22,"")))))))</f>
        <v/>
      </c>
      <c r="J1042" s="1" t="s">
        <v>1808</v>
      </c>
      <c r="K1042" s="10">
        <v>2</v>
      </c>
      <c r="L1042" s="10">
        <v>1</v>
      </c>
      <c r="N1042" s="10">
        <v>4</v>
      </c>
      <c r="O1042" s="6"/>
      <c r="P1042" s="45" t="s">
        <v>2826</v>
      </c>
      <c r="Q1042" s="6">
        <v>14</v>
      </c>
      <c r="R1042" s="6"/>
      <c r="S1042" s="1" t="s">
        <v>3770</v>
      </c>
    </row>
    <row r="1043" spans="1:19" ht="18.75" customHeight="1" x14ac:dyDescent="0.3">
      <c r="A1043" s="10">
        <v>1042</v>
      </c>
      <c r="B1043" s="10">
        <f>_xlfn.XLOOKUP(1,(VALUE(D1043)&gt;=VALUE(block!$C$3:$C$500))*(VALUE(D1043)&lt;VALUE(block!$C$3:$C$500)+VALUE(block!$D$3:$D$500)),block!$A$3:$A$500,"无匹配",0,1)</f>
        <v>28</v>
      </c>
      <c r="C1043" s="3" t="str">
        <f>B1043 &amp; "-" &amp; COUNTIF($B$2:B1043, B1043)</f>
        <v>28-2</v>
      </c>
      <c r="D1043" s="10">
        <v>10776</v>
      </c>
      <c r="E1043" s="1" t="s">
        <v>3771</v>
      </c>
      <c r="F1043" s="1" t="s">
        <v>3772</v>
      </c>
      <c r="G1043" s="1" t="s">
        <v>1840</v>
      </c>
      <c r="H1043" s="1" t="s">
        <v>1812</v>
      </c>
      <c r="I1043" s="10" t="str">
        <f>IF(H1043="T32",1,IF(H1043="T32",3,IF(H1043="T48",6,IF(H1043="T48",10,IF(H1043="T80",14,IF(H1043="T80",18,IF(H1043="T48",22,"")))))))</f>
        <v/>
      </c>
      <c r="J1043" s="1" t="s">
        <v>1808</v>
      </c>
      <c r="K1043" s="10">
        <v>2</v>
      </c>
      <c r="L1043" s="10">
        <v>1</v>
      </c>
      <c r="N1043" s="10">
        <v>4</v>
      </c>
      <c r="O1043" s="6"/>
      <c r="P1043" s="45" t="s">
        <v>2826</v>
      </c>
      <c r="Q1043" s="6">
        <v>14</v>
      </c>
      <c r="R1043" s="6"/>
      <c r="S1043" s="1" t="s">
        <v>3772</v>
      </c>
    </row>
    <row r="1044" spans="1:19" ht="18.75" customHeight="1" x14ac:dyDescent="0.3">
      <c r="A1044" s="10">
        <v>1043</v>
      </c>
      <c r="B1044" s="10">
        <f>_xlfn.XLOOKUP(1,(VALUE(D1044)&gt;=VALUE(block!$C$3:$C$500))*(VALUE(D1044)&lt;VALUE(block!$C$3:$C$500)+VALUE(block!$D$3:$D$500)),block!$A$3:$A$500,"无匹配",0,1)</f>
        <v>28</v>
      </c>
      <c r="C1044" s="3" t="str">
        <f>B1044 &amp; "-" &amp; COUNTIF($B$2:B1044, B1044)</f>
        <v>28-3</v>
      </c>
      <c r="D1044" s="10">
        <v>10778</v>
      </c>
      <c r="E1044" s="1" t="s">
        <v>3773</v>
      </c>
      <c r="F1044" s="1" t="s">
        <v>3774</v>
      </c>
      <c r="G1044" s="1" t="s">
        <v>1840</v>
      </c>
      <c r="H1044" s="1" t="s">
        <v>1812</v>
      </c>
      <c r="I1044" s="10" t="str">
        <f>IF(H1044="T33",1,IF(H1044="T33",3,IF(H1044="T49",6,IF(H1044="T49",10,IF(H1044="T81",14,IF(H1044="T81",18,IF(H1044="T49",22,"")))))))</f>
        <v/>
      </c>
      <c r="J1044" s="1" t="s">
        <v>1808</v>
      </c>
      <c r="K1044" s="10">
        <v>2</v>
      </c>
      <c r="L1044" s="10">
        <v>1</v>
      </c>
      <c r="N1044" s="10">
        <v>4</v>
      </c>
      <c r="O1044" s="6"/>
      <c r="P1044" s="45" t="s">
        <v>2826</v>
      </c>
      <c r="Q1044" s="6">
        <v>14</v>
      </c>
      <c r="R1044" s="6"/>
      <c r="S1044" s="1" t="s">
        <v>3774</v>
      </c>
    </row>
    <row r="1045" spans="1:19" ht="18.75" customHeight="1" x14ac:dyDescent="0.3">
      <c r="A1045" s="10">
        <v>1044</v>
      </c>
      <c r="B1045" s="10">
        <f>_xlfn.XLOOKUP(1,(VALUE(D1045)&gt;=VALUE(block!$C$3:$C$500))*(VALUE(D1045)&lt;VALUE(block!$C$3:$C$500)+VALUE(block!$D$3:$D$500)),block!$A$3:$A$500,"无匹配",0,1)</f>
        <v>28</v>
      </c>
      <c r="C1045" s="3" t="str">
        <f>B1045 &amp; "-" &amp; COUNTIF($B$2:B1045, B1045)</f>
        <v>28-4</v>
      </c>
      <c r="D1045" s="10">
        <v>10780</v>
      </c>
      <c r="E1045" s="1" t="s">
        <v>3775</v>
      </c>
      <c r="F1045" s="1" t="s">
        <v>3776</v>
      </c>
      <c r="G1045" s="1" t="s">
        <v>1840</v>
      </c>
      <c r="H1045" s="1" t="s">
        <v>1812</v>
      </c>
      <c r="I1045" s="10" t="str">
        <f>IF(H1045="T34",1,IF(H1045="T34",3,IF(H1045="T50",6,IF(H1045="T50",10,IF(H1045="T82",14,IF(H1045="T82",18,IF(H1045="T50",22,"")))))))</f>
        <v/>
      </c>
      <c r="J1045" s="1" t="s">
        <v>1808</v>
      </c>
      <c r="K1045" s="10">
        <v>2</v>
      </c>
      <c r="L1045" s="10">
        <v>1</v>
      </c>
      <c r="N1045" s="10">
        <v>4</v>
      </c>
      <c r="O1045" s="6"/>
      <c r="P1045" s="45" t="s">
        <v>2826</v>
      </c>
      <c r="Q1045" s="6">
        <v>14</v>
      </c>
      <c r="R1045" s="6"/>
      <c r="S1045" s="1" t="s">
        <v>3776</v>
      </c>
    </row>
    <row r="1046" spans="1:19" ht="18.75" hidden="1" customHeight="1" x14ac:dyDescent="0.3">
      <c r="A1046" s="10">
        <v>1045</v>
      </c>
      <c r="B1046" s="10">
        <f>_xlfn.XLOOKUP(1,(VALUE(D1046)&gt;=VALUE(block!$C$3:$C$500))*(VALUE(D1046)&lt;VALUE(block!$C$3:$C$500)+VALUE(block!$D$3:$D$500)),block!$A$3:$A$500,"无匹配",0,1)</f>
        <v>28</v>
      </c>
      <c r="C1046" s="3" t="str">
        <f>B1046 &amp; "-" &amp; COUNTIF($B$2:B1046, B1046)</f>
        <v>28-5</v>
      </c>
      <c r="D1046" s="10">
        <v>10782</v>
      </c>
      <c r="E1046" s="1" t="s">
        <v>3777</v>
      </c>
      <c r="F1046" s="1" t="s">
        <v>3778</v>
      </c>
      <c r="G1046" s="1" t="s">
        <v>1840</v>
      </c>
      <c r="H1046" s="1" t="s">
        <v>1812</v>
      </c>
      <c r="I1046" s="10" t="str">
        <f>IF(H1046="T35",1,IF(H1046="T35",3,IF(H1046="T51",6,IF(H1046="T51",10,IF(H1046="T83",14,IF(H1046="T83",18,IF(H1046="T51",22,"")))))))</f>
        <v/>
      </c>
      <c r="J1046" s="1" t="s">
        <v>1808</v>
      </c>
      <c r="K1046" s="10">
        <v>2</v>
      </c>
      <c r="L1046" s="10">
        <v>1</v>
      </c>
      <c r="O1046" s="6"/>
      <c r="Q1046" s="42" t="s">
        <v>2962</v>
      </c>
      <c r="R1046" s="42"/>
      <c r="S1046" s="1"/>
    </row>
    <row r="1047" spans="1:19" ht="18.75" hidden="1" customHeight="1" x14ac:dyDescent="0.3">
      <c r="A1047" s="10">
        <v>1046</v>
      </c>
      <c r="B1047" s="10">
        <f>_xlfn.XLOOKUP(1,(VALUE(D1047)&gt;=VALUE(block!$C$3:$C$500))*(VALUE(D1047)&lt;VALUE(block!$C$3:$C$500)+VALUE(block!$D$3:$D$500)),block!$A$3:$A$500,"无匹配",0,1)</f>
        <v>28</v>
      </c>
      <c r="C1047" s="3" t="str">
        <f>B1047 &amp; "-" &amp; COUNTIF($B$2:B1047, B1047)</f>
        <v>28-6</v>
      </c>
      <c r="D1047" s="10">
        <v>10784</v>
      </c>
      <c r="E1047" s="1" t="s">
        <v>3779</v>
      </c>
      <c r="F1047" s="1" t="s">
        <v>3780</v>
      </c>
      <c r="G1047" s="1" t="s">
        <v>1840</v>
      </c>
      <c r="H1047" s="1" t="s">
        <v>1812</v>
      </c>
      <c r="I1047" s="10" t="str">
        <f>IF(H1047="T36",1,IF(H1047="T36",3,IF(H1047="T52",6,IF(H1047="T52",10,IF(H1047="T84",14,IF(H1047="T84",18,IF(H1047="T52",22,"")))))))</f>
        <v/>
      </c>
      <c r="J1047" s="1" t="s">
        <v>1808</v>
      </c>
      <c r="K1047" s="10">
        <v>2</v>
      </c>
      <c r="L1047" s="10">
        <v>1</v>
      </c>
      <c r="O1047" s="6"/>
      <c r="Q1047" s="42" t="s">
        <v>2962</v>
      </c>
      <c r="R1047" s="42"/>
      <c r="S1047" s="1"/>
    </row>
    <row r="1048" spans="1:19" ht="18.75" hidden="1" customHeight="1" x14ac:dyDescent="0.3">
      <c r="A1048" s="10">
        <v>1047</v>
      </c>
      <c r="B1048" s="10">
        <f>_xlfn.XLOOKUP(1,(VALUE(D1048)&gt;=VALUE(block!$C$3:$C$500))*(VALUE(D1048)&lt;VALUE(block!$C$3:$C$500)+VALUE(block!$D$3:$D$500)),block!$A$3:$A$500,"无匹配",0,1)</f>
        <v>28</v>
      </c>
      <c r="C1048" s="3" t="str">
        <f>B1048 &amp; "-" &amp; COUNTIF($B$2:B1048, B1048)</f>
        <v>28-7</v>
      </c>
      <c r="D1048" s="10">
        <v>10786</v>
      </c>
      <c r="E1048" s="1" t="s">
        <v>3781</v>
      </c>
      <c r="F1048" s="1" t="s">
        <v>3782</v>
      </c>
      <c r="G1048" s="1" t="s">
        <v>1840</v>
      </c>
      <c r="H1048" s="1" t="s">
        <v>1812</v>
      </c>
      <c r="I1048" s="10" t="str">
        <f>IF(H1048="T37",1,IF(H1048="T37",3,IF(H1048="T53",6,IF(H1048="T53",10,IF(H1048="T85",14,IF(H1048="T85",18,IF(H1048="T53",22,"")))))))</f>
        <v/>
      </c>
      <c r="J1048" s="1" t="s">
        <v>1808</v>
      </c>
      <c r="K1048" s="10">
        <v>2</v>
      </c>
      <c r="L1048" s="10">
        <v>1</v>
      </c>
      <c r="O1048" s="6"/>
      <c r="Q1048" s="42" t="s">
        <v>2962</v>
      </c>
      <c r="R1048" s="42"/>
      <c r="S1048" s="1"/>
    </row>
    <row r="1049" spans="1:19" ht="18.75" hidden="1" customHeight="1" x14ac:dyDescent="0.3">
      <c r="A1049" s="10">
        <v>1048</v>
      </c>
      <c r="B1049" s="10">
        <f>_xlfn.XLOOKUP(1,(VALUE(D1049)&gt;=VALUE(block!$C$3:$C$500))*(VALUE(D1049)&lt;VALUE(block!$C$3:$C$500)+VALUE(block!$D$3:$D$500)),block!$A$3:$A$500,"无匹配",0,1)</f>
        <v>28</v>
      </c>
      <c r="C1049" s="3" t="str">
        <f>B1049 &amp; "-" &amp; COUNTIF($B$2:B1049, B1049)</f>
        <v>28-8</v>
      </c>
      <c r="D1049" s="10">
        <v>10788</v>
      </c>
      <c r="E1049" s="1" t="s">
        <v>3783</v>
      </c>
      <c r="F1049" s="1" t="s">
        <v>3784</v>
      </c>
      <c r="G1049" s="1" t="s">
        <v>1840</v>
      </c>
      <c r="H1049" s="1" t="s">
        <v>1812</v>
      </c>
      <c r="I1049" s="10" t="str">
        <f>IF(H1049="T38",1,IF(H1049="T38",3,IF(H1049="T54",6,IF(H1049="T54",10,IF(H1049="T86",14,IF(H1049="T86",18,IF(H1049="T54",22,"")))))))</f>
        <v/>
      </c>
      <c r="J1049" s="1" t="s">
        <v>1808</v>
      </c>
      <c r="K1049" s="10">
        <v>2</v>
      </c>
      <c r="L1049" s="10">
        <v>1</v>
      </c>
      <c r="O1049" s="6"/>
      <c r="Q1049" s="42" t="s">
        <v>2962</v>
      </c>
      <c r="R1049" s="42"/>
      <c r="S1049" s="1"/>
    </row>
    <row r="1050" spans="1:19" ht="18.75" hidden="1" customHeight="1" x14ac:dyDescent="0.3">
      <c r="A1050" s="10">
        <v>1049</v>
      </c>
      <c r="B1050" s="10">
        <f>_xlfn.XLOOKUP(1,(VALUE(D1050)&gt;=VALUE(block!$C$3:$C$500))*(VALUE(D1050)&lt;VALUE(block!$C$3:$C$500)+VALUE(block!$D$3:$D$500)),block!$A$3:$A$500,"无匹配",0,1)</f>
        <v>28</v>
      </c>
      <c r="C1050" s="3" t="str">
        <f>B1050 &amp; "-" &amp; COUNTIF($B$2:B1050, B1050)</f>
        <v>28-9</v>
      </c>
      <c r="D1050" s="10">
        <v>10790</v>
      </c>
      <c r="E1050" s="1" t="s">
        <v>3785</v>
      </c>
      <c r="F1050" s="1" t="s">
        <v>3786</v>
      </c>
      <c r="G1050" s="1" t="s">
        <v>1840</v>
      </c>
      <c r="H1050" s="1" t="s">
        <v>1812</v>
      </c>
      <c r="I1050" s="10" t="str">
        <f>IF(H1050="T39",1,IF(H1050="T39",3,IF(H1050="T55",6,IF(H1050="T55",10,IF(H1050="T87",14,IF(H1050="T87",18,IF(H1050="T55",22,"")))))))</f>
        <v/>
      </c>
      <c r="J1050" s="1" t="s">
        <v>1808</v>
      </c>
      <c r="K1050" s="10">
        <v>2</v>
      </c>
      <c r="L1050" s="10">
        <v>1</v>
      </c>
      <c r="O1050" s="6"/>
      <c r="Q1050" s="42" t="s">
        <v>2962</v>
      </c>
      <c r="R1050" s="42"/>
      <c r="S1050" s="1"/>
    </row>
    <row r="1051" spans="1:19" ht="18.75" hidden="1" customHeight="1" x14ac:dyDescent="0.3">
      <c r="A1051" s="10">
        <v>1050</v>
      </c>
      <c r="B1051" s="10">
        <f>_xlfn.XLOOKUP(1,(VALUE(D1051)&gt;=VALUE(block!$C$3:$C$500))*(VALUE(D1051)&lt;VALUE(block!$C$3:$C$500)+VALUE(block!$D$3:$D$500)),block!$A$3:$A$500,"无匹配",0,1)</f>
        <v>28</v>
      </c>
      <c r="C1051" s="3" t="str">
        <f>B1051 &amp; "-" &amp; COUNTIF($B$2:B1051, B1051)</f>
        <v>28-10</v>
      </c>
      <c r="D1051" s="10">
        <v>10792</v>
      </c>
      <c r="E1051" s="1" t="s">
        <v>3787</v>
      </c>
      <c r="F1051" s="1" t="s">
        <v>3788</v>
      </c>
      <c r="G1051" s="1" t="s">
        <v>1840</v>
      </c>
      <c r="H1051" s="1" t="s">
        <v>1812</v>
      </c>
      <c r="I1051" s="10" t="str">
        <f>IF(H1051="T40",1,IF(H1051="T40",3,IF(H1051="T56",6,IF(H1051="T56",10,IF(H1051="T88",14,IF(H1051="T88",18,IF(H1051="T56",22,"")))))))</f>
        <v/>
      </c>
      <c r="J1051" s="1" t="s">
        <v>1808</v>
      </c>
      <c r="K1051" s="10">
        <v>2</v>
      </c>
      <c r="L1051" s="10">
        <v>1</v>
      </c>
      <c r="O1051" s="6"/>
      <c r="Q1051" s="42" t="s">
        <v>2962</v>
      </c>
      <c r="R1051" s="42"/>
      <c r="S1051" s="1"/>
    </row>
    <row r="1052" spans="1:19" ht="18.75" hidden="1" customHeight="1" x14ac:dyDescent="0.3">
      <c r="A1052" s="10">
        <v>1051</v>
      </c>
      <c r="B1052" s="10">
        <f>_xlfn.XLOOKUP(1,(VALUE(D1052)&gt;=VALUE(block!$C$3:$C$500))*(VALUE(D1052)&lt;VALUE(block!$C$3:$C$500)+VALUE(block!$D$3:$D$500)),block!$A$3:$A$500,"无匹配",0,1)</f>
        <v>28</v>
      </c>
      <c r="C1052" s="3" t="str">
        <f>B1052 &amp; "-" &amp; COUNTIF($B$2:B1052, B1052)</f>
        <v>28-11</v>
      </c>
      <c r="D1052" s="10">
        <v>10794</v>
      </c>
      <c r="E1052" s="1" t="s">
        <v>3789</v>
      </c>
      <c r="F1052" s="1" t="s">
        <v>3790</v>
      </c>
      <c r="G1052" s="1" t="s">
        <v>1840</v>
      </c>
      <c r="H1052" s="1" t="s">
        <v>1812</v>
      </c>
      <c r="I1052" s="10" t="str">
        <f>IF(H1052="T41",1,IF(H1052="T41",3,IF(H1052="T57",6,IF(H1052="T57",10,IF(H1052="T89",14,IF(H1052="T89",18,IF(H1052="T57",22,"")))))))</f>
        <v/>
      </c>
      <c r="J1052" s="1" t="s">
        <v>1808</v>
      </c>
      <c r="K1052" s="10">
        <v>2</v>
      </c>
      <c r="L1052" s="10">
        <v>1</v>
      </c>
      <c r="O1052" s="6"/>
      <c r="Q1052" s="42" t="s">
        <v>2962</v>
      </c>
      <c r="R1052" s="42"/>
      <c r="S1052" s="1"/>
    </row>
    <row r="1053" spans="1:19" ht="18.75" hidden="1" customHeight="1" x14ac:dyDescent="0.3">
      <c r="A1053" s="10">
        <v>1052</v>
      </c>
      <c r="B1053" s="10">
        <f>_xlfn.XLOOKUP(1,(VALUE(D1053)&gt;=VALUE(block!$C$3:$C$500))*(VALUE(D1053)&lt;VALUE(block!$C$3:$C$500)+VALUE(block!$D$3:$D$500)),block!$A$3:$A$500,"无匹配",0,1)</f>
        <v>28</v>
      </c>
      <c r="C1053" s="3" t="str">
        <f>B1053 &amp; "-" &amp; COUNTIF($B$2:B1053, B1053)</f>
        <v>28-12</v>
      </c>
      <c r="D1053" s="10">
        <v>10796</v>
      </c>
      <c r="E1053" s="1" t="s">
        <v>3791</v>
      </c>
      <c r="F1053" s="1" t="s">
        <v>3792</v>
      </c>
      <c r="G1053" s="1" t="s">
        <v>1840</v>
      </c>
      <c r="H1053" s="1" t="s">
        <v>1812</v>
      </c>
      <c r="I1053" s="10" t="str">
        <f>IF(H1053="T42",1,IF(H1053="T42",3,IF(H1053="T58",6,IF(H1053="T58",10,IF(H1053="T90",14,IF(H1053="T90",18,IF(H1053="T58",22,"")))))))</f>
        <v/>
      </c>
      <c r="J1053" s="1" t="s">
        <v>1808</v>
      </c>
      <c r="K1053" s="10">
        <v>2</v>
      </c>
      <c r="L1053" s="10">
        <v>1</v>
      </c>
      <c r="O1053" s="6"/>
      <c r="Q1053" s="42" t="s">
        <v>2962</v>
      </c>
      <c r="R1053" s="42"/>
      <c r="S1053" s="1"/>
    </row>
    <row r="1054" spans="1:19" ht="18.75" hidden="1" customHeight="1" x14ac:dyDescent="0.3">
      <c r="A1054" s="10">
        <v>1053</v>
      </c>
      <c r="B1054" s="10">
        <f>_xlfn.XLOOKUP(1,(VALUE(D1054)&gt;=VALUE(block!$C$3:$C$500))*(VALUE(D1054)&lt;VALUE(block!$C$3:$C$500)+VALUE(block!$D$3:$D$500)),block!$A$3:$A$500,"无匹配",0,1)</f>
        <v>28</v>
      </c>
      <c r="C1054" s="3" t="str">
        <f>B1054 &amp; "-" &amp; COUNTIF($B$2:B1054, B1054)</f>
        <v>28-13</v>
      </c>
      <c r="D1054" s="10">
        <v>10798</v>
      </c>
      <c r="E1054" s="1" t="s">
        <v>3793</v>
      </c>
      <c r="F1054" s="1" t="s">
        <v>3794</v>
      </c>
      <c r="G1054" s="1" t="s">
        <v>1840</v>
      </c>
      <c r="H1054" s="1" t="s">
        <v>1812</v>
      </c>
      <c r="I1054" s="10" t="str">
        <f>IF(H1054="T43",1,IF(H1054="T43",3,IF(H1054="T59",6,IF(H1054="T59",10,IF(H1054="T91",14,IF(H1054="T91",18,IF(H1054="T59",22,"")))))))</f>
        <v/>
      </c>
      <c r="J1054" s="1" t="s">
        <v>1808</v>
      </c>
      <c r="K1054" s="10">
        <v>2</v>
      </c>
      <c r="L1054" s="10">
        <v>1</v>
      </c>
      <c r="O1054" s="6"/>
      <c r="Q1054" s="42" t="s">
        <v>2962</v>
      </c>
      <c r="R1054" s="42"/>
      <c r="S1054" s="1"/>
    </row>
    <row r="1055" spans="1:19" ht="18.75" hidden="1" customHeight="1" x14ac:dyDescent="0.3">
      <c r="A1055" s="10">
        <v>1054</v>
      </c>
      <c r="B1055" s="10">
        <f>_xlfn.XLOOKUP(1,(VALUE(D1055)&gt;=VALUE(block!$C$3:$C$500))*(VALUE(D1055)&lt;VALUE(block!$C$3:$C$500)+VALUE(block!$D$3:$D$500)),block!$A$3:$A$500,"无匹配",0,1)</f>
        <v>28</v>
      </c>
      <c r="C1055" s="3" t="str">
        <f>B1055 &amp; "-" &amp; COUNTIF($B$2:B1055, B1055)</f>
        <v>28-14</v>
      </c>
      <c r="D1055" s="10">
        <v>10800</v>
      </c>
      <c r="E1055" s="1" t="s">
        <v>3795</v>
      </c>
      <c r="F1055" s="1" t="s">
        <v>3796</v>
      </c>
      <c r="G1055" s="1" t="s">
        <v>1840</v>
      </c>
      <c r="H1055" s="1" t="s">
        <v>1812</v>
      </c>
      <c r="I1055" s="10" t="str">
        <f>IF(H1055="T44",1,IF(H1055="T44",3,IF(H1055="T60",6,IF(H1055="T60",10,IF(H1055="T92",14,IF(H1055="T92",18,IF(H1055="T60",22,"")))))))</f>
        <v/>
      </c>
      <c r="J1055" s="1" t="s">
        <v>1808</v>
      </c>
      <c r="K1055" s="10">
        <v>2</v>
      </c>
      <c r="L1055" s="10">
        <v>1</v>
      </c>
      <c r="O1055" s="6"/>
      <c r="Q1055" s="42" t="s">
        <v>2962</v>
      </c>
      <c r="R1055" s="42"/>
      <c r="S1055" s="1"/>
    </row>
    <row r="1056" spans="1:19" ht="18.75" hidden="1" customHeight="1" x14ac:dyDescent="0.3">
      <c r="A1056" s="10">
        <v>1055</v>
      </c>
      <c r="B1056" s="10">
        <f>_xlfn.XLOOKUP(1,(VALUE(D1056)&gt;=VALUE(block!$C$3:$C$500))*(VALUE(D1056)&lt;VALUE(block!$C$3:$C$500)+VALUE(block!$D$3:$D$500)),block!$A$3:$A$500,"无匹配",0,1)</f>
        <v>28</v>
      </c>
      <c r="C1056" s="3" t="str">
        <f>B1056 &amp; "-" &amp; COUNTIF($B$2:B1056, B1056)</f>
        <v>28-15</v>
      </c>
      <c r="D1056" s="10">
        <v>10802</v>
      </c>
      <c r="E1056" s="1" t="s">
        <v>3797</v>
      </c>
      <c r="F1056" s="1" t="s">
        <v>3798</v>
      </c>
      <c r="G1056" s="1" t="s">
        <v>1840</v>
      </c>
      <c r="H1056" s="1" t="s">
        <v>1812</v>
      </c>
      <c r="I1056" s="10" t="str">
        <f>IF(H1056="T45",1,IF(H1056="T45",3,IF(H1056="T61",6,IF(H1056="T61",10,IF(H1056="T93",14,IF(H1056="T93",18,IF(H1056="T61",22,"")))))))</f>
        <v/>
      </c>
      <c r="J1056" s="1" t="s">
        <v>1808</v>
      </c>
      <c r="K1056" s="10">
        <v>2</v>
      </c>
      <c r="L1056" s="10">
        <v>1</v>
      </c>
      <c r="O1056" s="6"/>
      <c r="Q1056" s="42" t="s">
        <v>2962</v>
      </c>
      <c r="R1056" s="42"/>
      <c r="S1056" s="1"/>
    </row>
    <row r="1057" spans="1:19" ht="18.75" hidden="1" customHeight="1" x14ac:dyDescent="0.3">
      <c r="A1057" s="10">
        <v>1056</v>
      </c>
      <c r="B1057" s="10">
        <f>_xlfn.XLOOKUP(1,(VALUE(D1057)&gt;=VALUE(block!$C$3:$C$500))*(VALUE(D1057)&lt;VALUE(block!$C$3:$C$500)+VALUE(block!$D$3:$D$500)),block!$A$3:$A$500,"无匹配",0,1)</f>
        <v>28</v>
      </c>
      <c r="C1057" s="3" t="str">
        <f>B1057 &amp; "-" &amp; COUNTIF($B$2:B1057, B1057)</f>
        <v>28-16</v>
      </c>
      <c r="D1057" s="10">
        <v>10804</v>
      </c>
      <c r="E1057" s="1" t="s">
        <v>3799</v>
      </c>
      <c r="F1057" s="1" t="s">
        <v>3800</v>
      </c>
      <c r="G1057" s="1" t="s">
        <v>1840</v>
      </c>
      <c r="H1057" s="1" t="s">
        <v>1812</v>
      </c>
      <c r="I1057" s="10" t="str">
        <f>IF(H1057="T46",1,IF(H1057="T46",3,IF(H1057="T62",6,IF(H1057="T62",10,IF(H1057="T94",14,IF(H1057="T94",18,IF(H1057="T62",22,"")))))))</f>
        <v/>
      </c>
      <c r="J1057" s="1" t="s">
        <v>1808</v>
      </c>
      <c r="K1057" s="10">
        <v>2</v>
      </c>
      <c r="L1057" s="10">
        <v>1</v>
      </c>
      <c r="O1057" s="6"/>
      <c r="Q1057" s="42" t="s">
        <v>2962</v>
      </c>
      <c r="R1057" s="42"/>
      <c r="S1057" s="1"/>
    </row>
    <row r="1058" spans="1:19" ht="18.75" hidden="1" customHeight="1" x14ac:dyDescent="0.3">
      <c r="A1058" s="10">
        <v>1057</v>
      </c>
      <c r="B1058" s="10">
        <f>_xlfn.XLOOKUP(1,(VALUE(D1058)&gt;=VALUE(block!$C$3:$C$500))*(VALUE(D1058)&lt;VALUE(block!$C$3:$C$500)+VALUE(block!$D$3:$D$500)),block!$A$3:$A$500,"无匹配",0,1)</f>
        <v>28</v>
      </c>
      <c r="C1058" s="3" t="str">
        <f>B1058 &amp; "-" &amp; COUNTIF($B$2:B1058, B1058)</f>
        <v>28-17</v>
      </c>
      <c r="D1058" s="10">
        <v>10806</v>
      </c>
      <c r="E1058" s="1" t="s">
        <v>3801</v>
      </c>
      <c r="F1058" s="1" t="s">
        <v>3802</v>
      </c>
      <c r="G1058" s="1" t="s">
        <v>1840</v>
      </c>
      <c r="H1058" s="1" t="s">
        <v>1812</v>
      </c>
      <c r="I1058" s="10" t="str">
        <f>IF(H1058="T47",1,IF(H1058="T47",3,IF(H1058="T63",6,IF(H1058="T63",10,IF(H1058="T95",14,IF(H1058="T95",18,IF(H1058="T63",22,"")))))))</f>
        <v/>
      </c>
      <c r="J1058" s="1" t="s">
        <v>1808</v>
      </c>
      <c r="K1058" s="10">
        <v>2</v>
      </c>
      <c r="L1058" s="10">
        <v>1</v>
      </c>
      <c r="O1058" s="6"/>
      <c r="Q1058" s="42" t="s">
        <v>2962</v>
      </c>
      <c r="R1058" s="42"/>
      <c r="S1058" s="1"/>
    </row>
    <row r="1059" spans="1:19" ht="18.75" hidden="1" customHeight="1" x14ac:dyDescent="0.3">
      <c r="A1059" s="10">
        <v>1058</v>
      </c>
      <c r="B1059" s="10">
        <f>_xlfn.XLOOKUP(1,(VALUE(D1059)&gt;=VALUE(block!$C$3:$C$500))*(VALUE(D1059)&lt;VALUE(block!$C$3:$C$500)+VALUE(block!$D$3:$D$500)),block!$A$3:$A$500,"无匹配",0,1)</f>
        <v>28</v>
      </c>
      <c r="C1059" s="3" t="str">
        <f>B1059 &amp; "-" &amp; COUNTIF($B$2:B1059, B1059)</f>
        <v>28-18</v>
      </c>
      <c r="D1059" s="10">
        <v>10808</v>
      </c>
      <c r="E1059" s="1" t="s">
        <v>3803</v>
      </c>
      <c r="F1059" s="1" t="s">
        <v>3804</v>
      </c>
      <c r="G1059" s="1" t="s">
        <v>1840</v>
      </c>
      <c r="H1059" s="1" t="s">
        <v>1812</v>
      </c>
      <c r="I1059" s="10" t="str">
        <f>IF(H1059="T48",1,IF(H1059="T48",3,IF(H1059="T64",6,IF(H1059="T64",10,IF(H1059="T96",14,IF(H1059="T96",18,IF(H1059="T64",22,"")))))))</f>
        <v/>
      </c>
      <c r="J1059" s="1" t="s">
        <v>1808</v>
      </c>
      <c r="K1059" s="10">
        <v>2</v>
      </c>
      <c r="L1059" s="10">
        <v>1</v>
      </c>
      <c r="O1059" s="6"/>
      <c r="Q1059" s="42" t="s">
        <v>2962</v>
      </c>
      <c r="R1059" s="42"/>
      <c r="S1059" s="1"/>
    </row>
    <row r="1060" spans="1:19" ht="18.75" hidden="1" customHeight="1" x14ac:dyDescent="0.3">
      <c r="A1060" s="10">
        <v>1059</v>
      </c>
      <c r="B1060" s="10">
        <f>_xlfn.XLOOKUP(1,(VALUE(D1060)&gt;=VALUE(block!$C$3:$C$500))*(VALUE(D1060)&lt;VALUE(block!$C$3:$C$500)+VALUE(block!$D$3:$D$500)),block!$A$3:$A$500,"无匹配",0,1)</f>
        <v>28</v>
      </c>
      <c r="C1060" s="3" t="str">
        <f>B1060 &amp; "-" &amp; COUNTIF($B$2:B1060, B1060)</f>
        <v>28-19</v>
      </c>
      <c r="D1060" s="10">
        <v>10810</v>
      </c>
      <c r="E1060" s="1" t="s">
        <v>3805</v>
      </c>
      <c r="F1060" s="1" t="s">
        <v>3806</v>
      </c>
      <c r="G1060" s="1" t="s">
        <v>1840</v>
      </c>
      <c r="H1060" s="1" t="s">
        <v>1812</v>
      </c>
      <c r="I1060" s="10" t="str">
        <f>IF(H1060="T49",1,IF(H1060="T49",3,IF(H1060="T65",6,IF(H1060="T65",10,IF(H1060="T97",14,IF(H1060="T97",18,IF(H1060="T65",22,"")))))))</f>
        <v/>
      </c>
      <c r="J1060" s="1" t="s">
        <v>1808</v>
      </c>
      <c r="K1060" s="10">
        <v>2</v>
      </c>
      <c r="L1060" s="10">
        <v>1</v>
      </c>
      <c r="O1060" s="6"/>
      <c r="Q1060" s="42" t="s">
        <v>2962</v>
      </c>
      <c r="R1060" s="42"/>
      <c r="S1060" s="1"/>
    </row>
    <row r="1061" spans="1:19" ht="18.75" hidden="1" customHeight="1" x14ac:dyDescent="0.3">
      <c r="A1061" s="10">
        <v>1060</v>
      </c>
      <c r="B1061" s="10">
        <f>_xlfn.XLOOKUP(1,(VALUE(D1061)&gt;=VALUE(block!$C$3:$C$500))*(VALUE(D1061)&lt;VALUE(block!$C$3:$C$500)+VALUE(block!$D$3:$D$500)),block!$A$3:$A$500,"无匹配",0,1)</f>
        <v>28</v>
      </c>
      <c r="C1061" s="3" t="str">
        <f>B1061 &amp; "-" &amp; COUNTIF($B$2:B1061, B1061)</f>
        <v>28-20</v>
      </c>
      <c r="D1061" s="10">
        <v>10812</v>
      </c>
      <c r="E1061" s="1" t="s">
        <v>3807</v>
      </c>
      <c r="F1061" s="1" t="s">
        <v>3808</v>
      </c>
      <c r="G1061" s="1" t="s">
        <v>1840</v>
      </c>
      <c r="H1061" s="1" t="s">
        <v>1812</v>
      </c>
      <c r="I1061" s="10" t="str">
        <f>IF(H1061="T50",1,IF(H1061="T50",3,IF(H1061="T66",6,IF(H1061="T66",10,IF(H1061="T98",14,IF(H1061="T98",18,IF(H1061="T66",22,"")))))))</f>
        <v/>
      </c>
      <c r="J1061" s="1" t="s">
        <v>1808</v>
      </c>
      <c r="K1061" s="10">
        <v>2</v>
      </c>
      <c r="L1061" s="10">
        <v>1</v>
      </c>
      <c r="O1061" s="6"/>
      <c r="Q1061" s="42" t="s">
        <v>2962</v>
      </c>
      <c r="R1061" s="42"/>
      <c r="S1061" s="1"/>
    </row>
    <row r="1062" spans="1:19" ht="18.75" hidden="1" customHeight="1" x14ac:dyDescent="0.3">
      <c r="A1062" s="10">
        <v>1061</v>
      </c>
      <c r="B1062" s="10">
        <f>_xlfn.XLOOKUP(1,(VALUE(D1062)&gt;=VALUE(block!$C$3:$C$500))*(VALUE(D1062)&lt;VALUE(block!$C$3:$C$500)+VALUE(block!$D$3:$D$500)),block!$A$3:$A$500,"无匹配",0,1)</f>
        <v>28</v>
      </c>
      <c r="C1062" s="3" t="str">
        <f>B1062 &amp; "-" &amp; COUNTIF($B$2:B1062, B1062)</f>
        <v>28-21</v>
      </c>
      <c r="D1062" s="10">
        <v>10814</v>
      </c>
      <c r="E1062" s="1" t="s">
        <v>3809</v>
      </c>
      <c r="F1062" s="1" t="s">
        <v>3810</v>
      </c>
      <c r="G1062" s="1" t="s">
        <v>1840</v>
      </c>
      <c r="H1062" s="1" t="s">
        <v>1812</v>
      </c>
      <c r="I1062" s="10" t="str">
        <f>IF(H1062="T51",1,IF(H1062="T51",3,IF(H1062="T67",6,IF(H1062="T67",10,IF(H1062="T99",14,IF(H1062="T99",18,IF(H1062="T67",22,"")))))))</f>
        <v/>
      </c>
      <c r="J1062" s="1" t="s">
        <v>1808</v>
      </c>
      <c r="K1062" s="10">
        <v>2</v>
      </c>
      <c r="L1062" s="10">
        <v>1</v>
      </c>
      <c r="O1062" s="6"/>
      <c r="Q1062" s="42" t="s">
        <v>2962</v>
      </c>
      <c r="R1062" s="42"/>
      <c r="S1062" s="1"/>
    </row>
    <row r="1063" spans="1:19" ht="18.75" hidden="1" customHeight="1" x14ac:dyDescent="0.3">
      <c r="A1063" s="10">
        <v>1062</v>
      </c>
      <c r="B1063" s="10">
        <f>_xlfn.XLOOKUP(1,(VALUE(D1063)&gt;=VALUE(block!$C$3:$C$500))*(VALUE(D1063)&lt;VALUE(block!$C$3:$C$500)+VALUE(block!$D$3:$D$500)),block!$A$3:$A$500,"无匹配",0,1)</f>
        <v>28</v>
      </c>
      <c r="C1063" s="3" t="str">
        <f>B1063 &amp; "-" &amp; COUNTIF($B$2:B1063, B1063)</f>
        <v>28-22</v>
      </c>
      <c r="D1063" s="10">
        <v>10816</v>
      </c>
      <c r="E1063" s="1" t="s">
        <v>3811</v>
      </c>
      <c r="F1063" s="1" t="s">
        <v>3812</v>
      </c>
      <c r="G1063" s="1" t="s">
        <v>1840</v>
      </c>
      <c r="H1063" s="1" t="s">
        <v>1812</v>
      </c>
      <c r="I1063" s="10" t="str">
        <f>IF(H1063="T52",1,IF(H1063="T52",3,IF(H1063="T68",6,IF(H1063="T68",10,IF(H1063="T100",14,IF(H1063="T100",18,IF(H1063="T68",22,"")))))))</f>
        <v/>
      </c>
      <c r="J1063" s="1" t="s">
        <v>1808</v>
      </c>
      <c r="K1063" s="10">
        <v>2</v>
      </c>
      <c r="L1063" s="10">
        <v>1</v>
      </c>
      <c r="O1063" s="6"/>
      <c r="Q1063" s="42" t="s">
        <v>2962</v>
      </c>
      <c r="R1063" s="42"/>
      <c r="S1063" s="1"/>
    </row>
    <row r="1064" spans="1:19" ht="18.75" hidden="1" customHeight="1" x14ac:dyDescent="0.3">
      <c r="A1064" s="10">
        <v>1063</v>
      </c>
      <c r="B1064" s="10">
        <f>_xlfn.XLOOKUP(1,(VALUE(D1064)&gt;=VALUE(block!$C$3:$C$500))*(VALUE(D1064)&lt;VALUE(block!$C$3:$C$500)+VALUE(block!$D$3:$D$500)),block!$A$3:$A$500,"无匹配",0,1)</f>
        <v>28</v>
      </c>
      <c r="C1064" s="3" t="str">
        <f>B1064 &amp; "-" &amp; COUNTIF($B$2:B1064, B1064)</f>
        <v>28-23</v>
      </c>
      <c r="D1064" s="10">
        <v>10818</v>
      </c>
      <c r="E1064" s="1" t="s">
        <v>3813</v>
      </c>
      <c r="F1064" s="1" t="s">
        <v>3814</v>
      </c>
      <c r="G1064" s="1" t="s">
        <v>1840</v>
      </c>
      <c r="H1064" s="1" t="s">
        <v>1812</v>
      </c>
      <c r="I1064" s="10" t="str">
        <f>IF(H1064="T53",1,IF(H1064="T53",3,IF(H1064="T69",6,IF(H1064="T69",10,IF(H1064="T101",14,IF(H1064="T101",18,IF(H1064="T69",22,"")))))))</f>
        <v/>
      </c>
      <c r="J1064" s="1" t="s">
        <v>1808</v>
      </c>
      <c r="K1064" s="10">
        <v>2</v>
      </c>
      <c r="L1064" s="10">
        <v>1</v>
      </c>
      <c r="O1064" s="6"/>
      <c r="Q1064" s="42" t="s">
        <v>2962</v>
      </c>
      <c r="R1064" s="42"/>
      <c r="S1064" s="1"/>
    </row>
    <row r="1065" spans="1:19" ht="18.75" hidden="1" customHeight="1" x14ac:dyDescent="0.3">
      <c r="A1065" s="10">
        <v>1064</v>
      </c>
      <c r="B1065" s="10">
        <f>_xlfn.XLOOKUP(1,(VALUE(D1065)&gt;=VALUE(block!$C$3:$C$500))*(VALUE(D1065)&lt;VALUE(block!$C$3:$C$500)+VALUE(block!$D$3:$D$500)),block!$A$3:$A$500,"无匹配",0,1)</f>
        <v>28</v>
      </c>
      <c r="C1065" s="3" t="str">
        <f>B1065 &amp; "-" &amp; COUNTIF($B$2:B1065, B1065)</f>
        <v>28-24</v>
      </c>
      <c r="D1065" s="10">
        <v>10820</v>
      </c>
      <c r="E1065" s="1" t="s">
        <v>3815</v>
      </c>
      <c r="F1065" s="1" t="s">
        <v>3816</v>
      </c>
      <c r="G1065" s="1" t="s">
        <v>1840</v>
      </c>
      <c r="H1065" s="1" t="s">
        <v>1812</v>
      </c>
      <c r="I1065" s="10" t="str">
        <f>IF(H1065="T54",1,IF(H1065="T54",3,IF(H1065="T70",6,IF(H1065="T70",10,IF(H1065="T102",14,IF(H1065="T102",18,IF(H1065="T70",22,"")))))))</f>
        <v/>
      </c>
      <c r="J1065" s="1" t="s">
        <v>1808</v>
      </c>
      <c r="K1065" s="10">
        <v>2</v>
      </c>
      <c r="L1065" s="10">
        <v>1</v>
      </c>
      <c r="O1065" s="6"/>
      <c r="Q1065" s="42" t="s">
        <v>2962</v>
      </c>
      <c r="R1065" s="42"/>
      <c r="S1065" s="1"/>
    </row>
    <row r="1066" spans="1:19" ht="18.75" hidden="1" customHeight="1" x14ac:dyDescent="0.3">
      <c r="A1066" s="10">
        <v>1065</v>
      </c>
      <c r="B1066" s="10">
        <f>_xlfn.XLOOKUP(1,(VALUE(D1066)&gt;=VALUE(block!$C$3:$C$500))*(VALUE(D1066)&lt;VALUE(block!$C$3:$C$500)+VALUE(block!$D$3:$D$500)),block!$A$3:$A$500,"无匹配",0,1)</f>
        <v>28</v>
      </c>
      <c r="C1066" s="3" t="str">
        <f>B1066 &amp; "-" &amp; COUNTIF($B$2:B1066, B1066)</f>
        <v>28-25</v>
      </c>
      <c r="D1066" s="10">
        <v>10822</v>
      </c>
      <c r="E1066" s="1" t="s">
        <v>3817</v>
      </c>
      <c r="F1066" s="1" t="s">
        <v>3818</v>
      </c>
      <c r="G1066" s="1" t="s">
        <v>1840</v>
      </c>
      <c r="H1066" s="1" t="s">
        <v>1812</v>
      </c>
      <c r="I1066" s="10" t="str">
        <f>IF(H1066="T55",1,IF(H1066="T55",3,IF(H1066="T71",6,IF(H1066="T71",10,IF(H1066="T103",14,IF(H1066="T103",18,IF(H1066="T71",22,"")))))))</f>
        <v/>
      </c>
      <c r="J1066" s="1" t="s">
        <v>1808</v>
      </c>
      <c r="K1066" s="10">
        <v>2</v>
      </c>
      <c r="L1066" s="10">
        <v>1</v>
      </c>
      <c r="O1066" s="6"/>
      <c r="Q1066" s="42" t="s">
        <v>2962</v>
      </c>
      <c r="R1066" s="42"/>
      <c r="S1066" s="1"/>
    </row>
    <row r="1067" spans="1:19" ht="18.75" hidden="1" customHeight="1" x14ac:dyDescent="0.3">
      <c r="A1067" s="10">
        <v>1066</v>
      </c>
      <c r="B1067" s="10">
        <f>_xlfn.XLOOKUP(1,(VALUE(D1067)&gt;=VALUE(block!$C$3:$C$500))*(VALUE(D1067)&lt;VALUE(block!$C$3:$C$500)+VALUE(block!$D$3:$D$500)),block!$A$3:$A$500,"无匹配",0,1)</f>
        <v>28</v>
      </c>
      <c r="C1067" s="3" t="str">
        <f>B1067 &amp; "-" &amp; COUNTIF($B$2:B1067, B1067)</f>
        <v>28-26</v>
      </c>
      <c r="D1067" s="10">
        <v>10824</v>
      </c>
      <c r="E1067" s="1" t="s">
        <v>3819</v>
      </c>
      <c r="F1067" s="1" t="s">
        <v>3820</v>
      </c>
      <c r="G1067" s="1" t="s">
        <v>1840</v>
      </c>
      <c r="H1067" s="1" t="s">
        <v>1812</v>
      </c>
      <c r="I1067" s="10" t="str">
        <f>IF(H1067="T56",1,IF(H1067="T56",3,IF(H1067="T72",6,IF(H1067="T72",10,IF(H1067="T104",14,IF(H1067="T104",18,IF(H1067="T72",22,"")))))))</f>
        <v/>
      </c>
      <c r="J1067" s="1" t="s">
        <v>1808</v>
      </c>
      <c r="K1067" s="10">
        <v>2</v>
      </c>
      <c r="L1067" s="10">
        <v>1</v>
      </c>
      <c r="O1067" s="6"/>
      <c r="Q1067" s="42" t="s">
        <v>2962</v>
      </c>
      <c r="R1067" s="42"/>
      <c r="S1067" s="1"/>
    </row>
    <row r="1068" spans="1:19" ht="18.75" hidden="1" customHeight="1" x14ac:dyDescent="0.3">
      <c r="A1068" s="10">
        <v>1067</v>
      </c>
      <c r="B1068" s="10">
        <f>_xlfn.XLOOKUP(1,(VALUE(D1068)&gt;=VALUE(block!$C$3:$C$500))*(VALUE(D1068)&lt;VALUE(block!$C$3:$C$500)+VALUE(block!$D$3:$D$500)),block!$A$3:$A$500,"无匹配",0,1)</f>
        <v>28</v>
      </c>
      <c r="C1068" s="3" t="str">
        <f>B1068 &amp; "-" &amp; COUNTIF($B$2:B1068, B1068)</f>
        <v>28-27</v>
      </c>
      <c r="D1068" s="10">
        <v>10826</v>
      </c>
      <c r="E1068" s="1" t="s">
        <v>3821</v>
      </c>
      <c r="F1068" s="1" t="s">
        <v>3822</v>
      </c>
      <c r="G1068" s="1" t="s">
        <v>1840</v>
      </c>
      <c r="H1068" s="1" t="s">
        <v>1812</v>
      </c>
      <c r="I1068" s="10" t="str">
        <f>IF(H1068="T57",1,IF(H1068="T57",3,IF(H1068="T73",6,IF(H1068="T73",10,IF(H1068="T105",14,IF(H1068="T105",18,IF(H1068="T73",22,"")))))))</f>
        <v/>
      </c>
      <c r="J1068" s="1" t="s">
        <v>1808</v>
      </c>
      <c r="K1068" s="10">
        <v>2</v>
      </c>
      <c r="L1068" s="10">
        <v>1</v>
      </c>
      <c r="O1068" s="6"/>
      <c r="Q1068" s="42" t="s">
        <v>2962</v>
      </c>
      <c r="R1068" s="42"/>
      <c r="S1068" s="1"/>
    </row>
    <row r="1069" spans="1:19" ht="18.75" hidden="1" customHeight="1" x14ac:dyDescent="0.3">
      <c r="A1069" s="10">
        <v>1068</v>
      </c>
      <c r="B1069" s="10">
        <f>_xlfn.XLOOKUP(1,(VALUE(D1069)&gt;=VALUE(block!$C$3:$C$500))*(VALUE(D1069)&lt;VALUE(block!$C$3:$C$500)+VALUE(block!$D$3:$D$500)),block!$A$3:$A$500,"无匹配",0,1)</f>
        <v>28</v>
      </c>
      <c r="C1069" s="3" t="str">
        <f>B1069 &amp; "-" &amp; COUNTIF($B$2:B1069, B1069)</f>
        <v>28-28</v>
      </c>
      <c r="D1069" s="10">
        <v>10828</v>
      </c>
      <c r="E1069" s="1" t="s">
        <v>3823</v>
      </c>
      <c r="F1069" s="1" t="s">
        <v>3824</v>
      </c>
      <c r="G1069" s="1" t="s">
        <v>1840</v>
      </c>
      <c r="H1069" s="1" t="s">
        <v>1812</v>
      </c>
      <c r="I1069" s="10" t="str">
        <f>IF(H1069="T58",1,IF(H1069="T58",3,IF(H1069="T74",6,IF(H1069="T74",10,IF(H1069="T106",14,IF(H1069="T106",18,IF(H1069="T74",22,"")))))))</f>
        <v/>
      </c>
      <c r="J1069" s="1" t="s">
        <v>1808</v>
      </c>
      <c r="K1069" s="10">
        <v>2</v>
      </c>
      <c r="L1069" s="10">
        <v>1</v>
      </c>
      <c r="O1069" s="6"/>
      <c r="Q1069" s="42" t="s">
        <v>2962</v>
      </c>
      <c r="R1069" s="42"/>
      <c r="S1069" s="1"/>
    </row>
    <row r="1070" spans="1:19" ht="18.75" hidden="1" customHeight="1" x14ac:dyDescent="0.3">
      <c r="A1070" s="10">
        <v>1069</v>
      </c>
      <c r="B1070" s="10">
        <f>_xlfn.XLOOKUP(1,(VALUE(D1070)&gt;=VALUE(block!$C$3:$C$500))*(VALUE(D1070)&lt;VALUE(block!$C$3:$C$500)+VALUE(block!$D$3:$D$500)),block!$A$3:$A$500,"无匹配",0,1)</f>
        <v>28</v>
      </c>
      <c r="C1070" s="3" t="str">
        <f>B1070 &amp; "-" &amp; COUNTIF($B$2:B1070, B1070)</f>
        <v>28-29</v>
      </c>
      <c r="D1070" s="10">
        <v>10830</v>
      </c>
      <c r="E1070" s="1" t="s">
        <v>3825</v>
      </c>
      <c r="F1070" s="1" t="s">
        <v>3826</v>
      </c>
      <c r="G1070" s="1" t="s">
        <v>1840</v>
      </c>
      <c r="H1070" s="1" t="s">
        <v>1812</v>
      </c>
      <c r="I1070" s="10" t="str">
        <f>IF(H1070="T59",1,IF(H1070="T59",3,IF(H1070="T75",6,IF(H1070="T75",10,IF(H1070="T107",14,IF(H1070="T107",18,IF(H1070="T75",22,"")))))))</f>
        <v/>
      </c>
      <c r="J1070" s="1" t="s">
        <v>1808</v>
      </c>
      <c r="K1070" s="10">
        <v>2</v>
      </c>
      <c r="L1070" s="10">
        <v>1</v>
      </c>
      <c r="O1070" s="6"/>
      <c r="Q1070" s="42" t="s">
        <v>2962</v>
      </c>
      <c r="R1070" s="42"/>
      <c r="S1070" s="1"/>
    </row>
    <row r="1071" spans="1:19" ht="18.75" hidden="1" customHeight="1" x14ac:dyDescent="0.3">
      <c r="A1071" s="10">
        <v>1070</v>
      </c>
      <c r="B1071" s="10">
        <f>_xlfn.XLOOKUP(1,(VALUE(D1071)&gt;=VALUE(block!$C$3:$C$500))*(VALUE(D1071)&lt;VALUE(block!$C$3:$C$500)+VALUE(block!$D$3:$D$500)),block!$A$3:$A$500,"无匹配",0,1)</f>
        <v>28</v>
      </c>
      <c r="C1071" s="3" t="str">
        <f>B1071 &amp; "-" &amp; COUNTIF($B$2:B1071, B1071)</f>
        <v>28-30</v>
      </c>
      <c r="D1071" s="10">
        <v>10832</v>
      </c>
      <c r="E1071" s="1" t="s">
        <v>3827</v>
      </c>
      <c r="F1071" s="1" t="s">
        <v>3828</v>
      </c>
      <c r="G1071" s="1" t="s">
        <v>1840</v>
      </c>
      <c r="H1071" s="1" t="s">
        <v>1812</v>
      </c>
      <c r="I1071" s="10" t="str">
        <f>IF(H1071="T60",1,IF(H1071="T60",3,IF(H1071="T76",6,IF(H1071="T76",10,IF(H1071="T108",14,IF(H1071="T108",18,IF(H1071="T76",22,"")))))))</f>
        <v/>
      </c>
      <c r="J1071" s="1" t="s">
        <v>1808</v>
      </c>
      <c r="K1071" s="10">
        <v>2</v>
      </c>
      <c r="L1071" s="10">
        <v>1</v>
      </c>
      <c r="O1071" s="6"/>
      <c r="Q1071" s="42" t="s">
        <v>2962</v>
      </c>
      <c r="R1071" s="42"/>
      <c r="S1071" s="1"/>
    </row>
    <row r="1072" spans="1:19" ht="18.75" hidden="1" customHeight="1" x14ac:dyDescent="0.3">
      <c r="A1072" s="10">
        <v>1071</v>
      </c>
      <c r="B1072" s="10">
        <f>_xlfn.XLOOKUP(1,(VALUE(D1072)&gt;=VALUE(block!$C$3:$C$500))*(VALUE(D1072)&lt;VALUE(block!$C$3:$C$500)+VALUE(block!$D$3:$D$500)),block!$A$3:$A$500,"无匹配",0,1)</f>
        <v>28</v>
      </c>
      <c r="C1072" s="3" t="str">
        <f>B1072 &amp; "-" &amp; COUNTIF($B$2:B1072, B1072)</f>
        <v>28-31</v>
      </c>
      <c r="D1072" s="10">
        <v>10834</v>
      </c>
      <c r="E1072" s="1" t="s">
        <v>3829</v>
      </c>
      <c r="F1072" s="1" t="s">
        <v>3830</v>
      </c>
      <c r="G1072" s="1" t="s">
        <v>1840</v>
      </c>
      <c r="H1072" s="1" t="s">
        <v>1812</v>
      </c>
      <c r="I1072" s="10" t="str">
        <f>IF(H1072="T61",1,IF(H1072="T61",3,IF(H1072="T77",6,IF(H1072="T77",10,IF(H1072="T109",14,IF(H1072="T109",18,IF(H1072="T77",22,"")))))))</f>
        <v/>
      </c>
      <c r="J1072" s="1" t="s">
        <v>1808</v>
      </c>
      <c r="K1072" s="10">
        <v>2</v>
      </c>
      <c r="L1072" s="10">
        <v>1</v>
      </c>
      <c r="O1072" s="6"/>
      <c r="Q1072" s="42" t="s">
        <v>2962</v>
      </c>
      <c r="R1072" s="42"/>
      <c r="S1072" s="1"/>
    </row>
    <row r="1073" spans="1:19" ht="18.75" hidden="1" customHeight="1" x14ac:dyDescent="0.3">
      <c r="A1073" s="10">
        <v>1072</v>
      </c>
      <c r="B1073" s="10">
        <f>_xlfn.XLOOKUP(1,(VALUE(D1073)&gt;=VALUE(block!$C$3:$C$500))*(VALUE(D1073)&lt;VALUE(block!$C$3:$C$500)+VALUE(block!$D$3:$D$500)),block!$A$3:$A$500,"无匹配",0,1)</f>
        <v>28</v>
      </c>
      <c r="C1073" s="3" t="str">
        <f>B1073 &amp; "-" &amp; COUNTIF($B$2:B1073, B1073)</f>
        <v>28-32</v>
      </c>
      <c r="D1073" s="10">
        <v>10836</v>
      </c>
      <c r="E1073" s="1" t="s">
        <v>3831</v>
      </c>
      <c r="F1073" s="1" t="s">
        <v>3832</v>
      </c>
      <c r="G1073" s="1" t="s">
        <v>1840</v>
      </c>
      <c r="H1073" s="1" t="s">
        <v>1812</v>
      </c>
      <c r="I1073" s="10" t="str">
        <f>IF(H1073="T62",1,IF(H1073="T62",3,IF(H1073="T78",6,IF(H1073="T78",10,IF(H1073="T110",14,IF(H1073="T110",18,IF(H1073="T78",22,"")))))))</f>
        <v/>
      </c>
      <c r="J1073" s="1" t="s">
        <v>1808</v>
      </c>
      <c r="K1073" s="10">
        <v>2</v>
      </c>
      <c r="L1073" s="10">
        <v>1</v>
      </c>
      <c r="O1073" s="6"/>
      <c r="Q1073" s="42" t="s">
        <v>2962</v>
      </c>
      <c r="R1073" s="42"/>
      <c r="S1073" s="1"/>
    </row>
    <row r="1074" spans="1:19" ht="18.75" hidden="1" customHeight="1" x14ac:dyDescent="0.3">
      <c r="A1074" s="10">
        <v>1073</v>
      </c>
      <c r="B1074" s="10">
        <f>_xlfn.XLOOKUP(1,(VALUE(D1074)&gt;=VALUE(block!$C$3:$C$500))*(VALUE(D1074)&lt;VALUE(block!$C$3:$C$500)+VALUE(block!$D$3:$D$500)),block!$A$3:$A$500,"无匹配",0,1)</f>
        <v>28</v>
      </c>
      <c r="C1074" s="3" t="str">
        <f>B1074 &amp; "-" &amp; COUNTIF($B$2:B1074, B1074)</f>
        <v>28-33</v>
      </c>
      <c r="D1074" s="10">
        <v>10838</v>
      </c>
      <c r="E1074" s="1" t="s">
        <v>3833</v>
      </c>
      <c r="F1074" s="1" t="s">
        <v>3834</v>
      </c>
      <c r="G1074" s="1" t="s">
        <v>1840</v>
      </c>
      <c r="H1074" s="1" t="s">
        <v>1812</v>
      </c>
      <c r="I1074" s="10" t="str">
        <f>IF(H1074="T63",1,IF(H1074="T63",3,IF(H1074="T79",6,IF(H1074="T79",10,IF(H1074="T111",14,IF(H1074="T111",18,IF(H1074="T79",22,"")))))))</f>
        <v/>
      </c>
      <c r="J1074" s="1" t="s">
        <v>1808</v>
      </c>
      <c r="K1074" s="10">
        <v>2</v>
      </c>
      <c r="L1074" s="10">
        <v>1</v>
      </c>
      <c r="O1074" s="6"/>
      <c r="Q1074" s="42" t="s">
        <v>2962</v>
      </c>
      <c r="R1074" s="42"/>
      <c r="S1074" s="1"/>
    </row>
    <row r="1075" spans="1:19" ht="18.75" hidden="1" customHeight="1" x14ac:dyDescent="0.3">
      <c r="A1075" s="10">
        <v>1074</v>
      </c>
      <c r="B1075" s="10">
        <f>_xlfn.XLOOKUP(1,(VALUE(D1075)&gt;=VALUE(block!$C$3:$C$500))*(VALUE(D1075)&lt;VALUE(block!$C$3:$C$500)+VALUE(block!$D$3:$D$500)),block!$A$3:$A$500,"无匹配",0,1)</f>
        <v>28</v>
      </c>
      <c r="C1075" s="3" t="str">
        <f>B1075 &amp; "-" &amp; COUNTIF($B$2:B1075, B1075)</f>
        <v>28-34</v>
      </c>
      <c r="D1075" s="10">
        <v>10840</v>
      </c>
      <c r="E1075" s="1" t="s">
        <v>3835</v>
      </c>
      <c r="F1075" s="1" t="s">
        <v>3836</v>
      </c>
      <c r="G1075" s="1" t="s">
        <v>1840</v>
      </c>
      <c r="H1075" s="1" t="s">
        <v>1812</v>
      </c>
      <c r="I1075" s="10" t="str">
        <f>IF(H1075="T64",1,IF(H1075="T64",3,IF(H1075="T80",6,IF(H1075="T80",10,IF(H1075="T112",14,IF(H1075="T112",18,IF(H1075="T80",22,"")))))))</f>
        <v/>
      </c>
      <c r="J1075" s="1" t="s">
        <v>1808</v>
      </c>
      <c r="K1075" s="10">
        <v>2</v>
      </c>
      <c r="L1075" s="10">
        <v>1</v>
      </c>
      <c r="O1075" s="6"/>
      <c r="Q1075" s="42" t="s">
        <v>2962</v>
      </c>
      <c r="R1075" s="42"/>
      <c r="S1075" s="1"/>
    </row>
    <row r="1076" spans="1:19" ht="18.75" customHeight="1" x14ac:dyDescent="0.3">
      <c r="A1076" s="10">
        <v>1075</v>
      </c>
      <c r="B1076" s="10">
        <f>_xlfn.XLOOKUP(1,(VALUE(D1076)&gt;=VALUE(block!$C$3:$C$500))*(VALUE(D1076)&lt;VALUE(block!$C$3:$C$500)+VALUE(block!$D$3:$D$500)),block!$A$3:$A$500,"无匹配",0,1)</f>
        <v>29</v>
      </c>
      <c r="C1076" s="3" t="str">
        <f>B1076 &amp; "-" &amp; COUNTIF($B$2:B1076, B1076)</f>
        <v>29-1</v>
      </c>
      <c r="D1076" s="10">
        <v>10842</v>
      </c>
      <c r="E1076" s="1" t="s">
        <v>3837</v>
      </c>
      <c r="F1076" s="1" t="s">
        <v>3838</v>
      </c>
      <c r="G1076" s="1" t="s">
        <v>1840</v>
      </c>
      <c r="H1076" s="1" t="s">
        <v>1812</v>
      </c>
      <c r="I1076" s="10" t="str">
        <f>IF(H1076="T65",1,IF(H1076="T65",3,IF(H1076="T81",6,IF(H1076="T81",10,IF(H1076="T113",14,IF(H1076="T113",18,IF(H1076="T81",22,"")))))))</f>
        <v/>
      </c>
      <c r="J1076" s="1" t="s">
        <v>1808</v>
      </c>
      <c r="K1076" s="10">
        <v>2</v>
      </c>
      <c r="L1076" s="10">
        <v>1</v>
      </c>
      <c r="N1076" s="10">
        <v>4</v>
      </c>
      <c r="O1076" s="6"/>
      <c r="P1076" s="45" t="s">
        <v>2826</v>
      </c>
      <c r="Q1076" s="6">
        <v>14</v>
      </c>
      <c r="R1076" s="6"/>
      <c r="S1076" s="1" t="s">
        <v>3838</v>
      </c>
    </row>
    <row r="1077" spans="1:19" ht="18.75" customHeight="1" x14ac:dyDescent="0.3">
      <c r="A1077" s="10">
        <v>1076</v>
      </c>
      <c r="B1077" s="10">
        <f>_xlfn.XLOOKUP(1,(VALUE(D1077)&gt;=VALUE(block!$C$3:$C$500))*(VALUE(D1077)&lt;VALUE(block!$C$3:$C$500)+VALUE(block!$D$3:$D$500)),block!$A$3:$A$500,"无匹配",0,1)</f>
        <v>29</v>
      </c>
      <c r="C1077" s="3" t="str">
        <f>B1077 &amp; "-" &amp; COUNTIF($B$2:B1077, B1077)</f>
        <v>29-2</v>
      </c>
      <c r="D1077" s="10">
        <v>10844</v>
      </c>
      <c r="E1077" s="1" t="s">
        <v>3839</v>
      </c>
      <c r="F1077" s="1" t="s">
        <v>3840</v>
      </c>
      <c r="G1077" s="1" t="s">
        <v>1840</v>
      </c>
      <c r="H1077" s="1" t="s">
        <v>1812</v>
      </c>
      <c r="I1077" s="10" t="str">
        <f>IF(H1077="T66",1,IF(H1077="T66",3,IF(H1077="T82",6,IF(H1077="T82",10,IF(H1077="T114",14,IF(H1077="T114",18,IF(H1077="T82",22,"")))))))</f>
        <v/>
      </c>
      <c r="J1077" s="1" t="s">
        <v>1808</v>
      </c>
      <c r="K1077" s="10">
        <v>2</v>
      </c>
      <c r="L1077" s="10">
        <v>1</v>
      </c>
      <c r="N1077" s="10">
        <v>4</v>
      </c>
      <c r="O1077" s="6"/>
      <c r="P1077" s="45" t="s">
        <v>2826</v>
      </c>
      <c r="Q1077" s="6">
        <v>14</v>
      </c>
      <c r="R1077" s="6"/>
      <c r="S1077" s="1" t="s">
        <v>3840</v>
      </c>
    </row>
    <row r="1078" spans="1:19" ht="18.75" customHeight="1" x14ac:dyDescent="0.3">
      <c r="A1078" s="10">
        <v>1077</v>
      </c>
      <c r="B1078" s="10">
        <f>_xlfn.XLOOKUP(1,(VALUE(D1078)&gt;=VALUE(block!$C$3:$C$500))*(VALUE(D1078)&lt;VALUE(block!$C$3:$C$500)+VALUE(block!$D$3:$D$500)),block!$A$3:$A$500,"无匹配",0,1)</f>
        <v>29</v>
      </c>
      <c r="C1078" s="3" t="str">
        <f>B1078 &amp; "-" &amp; COUNTIF($B$2:B1078, B1078)</f>
        <v>29-3</v>
      </c>
      <c r="D1078" s="10">
        <v>10846</v>
      </c>
      <c r="E1078" s="1" t="s">
        <v>3841</v>
      </c>
      <c r="F1078" s="1" t="s">
        <v>3842</v>
      </c>
      <c r="G1078" s="1" t="s">
        <v>1840</v>
      </c>
      <c r="H1078" s="1" t="s">
        <v>1812</v>
      </c>
      <c r="I1078" s="10" t="str">
        <f>IF(H1078="T67",1,IF(H1078="T67",3,IF(H1078="T83",6,IF(H1078="T83",10,IF(H1078="T115",14,IF(H1078="T115",18,IF(H1078="T83",22,"")))))))</f>
        <v/>
      </c>
      <c r="J1078" s="1" t="s">
        <v>1808</v>
      </c>
      <c r="K1078" s="10">
        <v>2</v>
      </c>
      <c r="L1078" s="10">
        <v>1</v>
      </c>
      <c r="N1078" s="10">
        <v>4</v>
      </c>
      <c r="O1078" s="6"/>
      <c r="P1078" s="45" t="s">
        <v>2826</v>
      </c>
      <c r="Q1078" s="6">
        <v>14</v>
      </c>
      <c r="R1078" s="6"/>
      <c r="S1078" s="1" t="s">
        <v>3842</v>
      </c>
    </row>
    <row r="1079" spans="1:19" ht="18.75" customHeight="1" x14ac:dyDescent="0.3">
      <c r="A1079" s="10">
        <v>1078</v>
      </c>
      <c r="B1079" s="10">
        <f>_xlfn.XLOOKUP(1,(VALUE(D1079)&gt;=VALUE(block!$C$3:$C$500))*(VALUE(D1079)&lt;VALUE(block!$C$3:$C$500)+VALUE(block!$D$3:$D$500)),block!$A$3:$A$500,"无匹配",0,1)</f>
        <v>29</v>
      </c>
      <c r="C1079" s="3" t="str">
        <f>B1079 &amp; "-" &amp; COUNTIF($B$2:B1079, B1079)</f>
        <v>29-4</v>
      </c>
      <c r="D1079" s="10">
        <v>10848</v>
      </c>
      <c r="E1079" s="1" t="s">
        <v>3843</v>
      </c>
      <c r="F1079" s="1" t="s">
        <v>3844</v>
      </c>
      <c r="G1079" s="1" t="s">
        <v>1840</v>
      </c>
      <c r="H1079" s="1" t="s">
        <v>1812</v>
      </c>
      <c r="I1079" s="10" t="str">
        <f>IF(H1079="T68",1,IF(H1079="T68",3,IF(H1079="T84",6,IF(H1079="T84",10,IF(H1079="T116",14,IF(H1079="T116",18,IF(H1079="T84",22,"")))))))</f>
        <v/>
      </c>
      <c r="J1079" s="1" t="s">
        <v>1808</v>
      </c>
      <c r="K1079" s="10">
        <v>2</v>
      </c>
      <c r="L1079" s="10">
        <v>1</v>
      </c>
      <c r="N1079" s="10">
        <v>4</v>
      </c>
      <c r="O1079" s="6"/>
      <c r="P1079" s="45" t="s">
        <v>2826</v>
      </c>
      <c r="Q1079" s="6">
        <v>14</v>
      </c>
      <c r="R1079" s="6"/>
      <c r="S1079" s="1" t="s">
        <v>3844</v>
      </c>
    </row>
    <row r="1080" spans="1:19" ht="18.75" hidden="1" customHeight="1" x14ac:dyDescent="0.3">
      <c r="A1080" s="10">
        <v>1079</v>
      </c>
      <c r="B1080" s="10">
        <f>_xlfn.XLOOKUP(1,(VALUE(D1080)&gt;=VALUE(block!$C$3:$C$500))*(VALUE(D1080)&lt;VALUE(block!$C$3:$C$500)+VALUE(block!$D$3:$D$500)),block!$A$3:$A$500,"无匹配",0,1)</f>
        <v>29</v>
      </c>
      <c r="C1080" s="3" t="str">
        <f>B1080 &amp; "-" &amp; COUNTIF($B$2:B1080, B1080)</f>
        <v>29-5</v>
      </c>
      <c r="D1080" s="10">
        <v>10850</v>
      </c>
      <c r="E1080" s="1" t="s">
        <v>3845</v>
      </c>
      <c r="F1080" s="1" t="s">
        <v>3846</v>
      </c>
      <c r="G1080" s="1" t="s">
        <v>1840</v>
      </c>
      <c r="H1080" s="1" t="s">
        <v>1812</v>
      </c>
      <c r="I1080" s="10" t="str">
        <f>IF(H1080="T69",1,IF(H1080="T69",3,IF(H1080="T85",6,IF(H1080="T85",10,IF(H1080="T117",14,IF(H1080="T117",18,IF(H1080="T85",22,"")))))))</f>
        <v/>
      </c>
      <c r="J1080" s="1" t="s">
        <v>1808</v>
      </c>
      <c r="K1080" s="10">
        <v>2</v>
      </c>
      <c r="L1080" s="10">
        <v>1</v>
      </c>
      <c r="O1080" s="6"/>
      <c r="Q1080" s="42" t="s">
        <v>2962</v>
      </c>
      <c r="R1080" s="42"/>
      <c r="S1080" s="1"/>
    </row>
    <row r="1081" spans="1:19" ht="18.75" hidden="1" customHeight="1" x14ac:dyDescent="0.3">
      <c r="A1081" s="10">
        <v>1080</v>
      </c>
      <c r="B1081" s="10">
        <f>_xlfn.XLOOKUP(1,(VALUE(D1081)&gt;=VALUE(block!$C$3:$C$500))*(VALUE(D1081)&lt;VALUE(block!$C$3:$C$500)+VALUE(block!$D$3:$D$500)),block!$A$3:$A$500,"无匹配",0,1)</f>
        <v>29</v>
      </c>
      <c r="C1081" s="3" t="str">
        <f>B1081 &amp; "-" &amp; COUNTIF($B$2:B1081, B1081)</f>
        <v>29-6</v>
      </c>
      <c r="D1081" s="10">
        <v>10852</v>
      </c>
      <c r="E1081" s="1" t="s">
        <v>3847</v>
      </c>
      <c r="F1081" s="1" t="s">
        <v>3848</v>
      </c>
      <c r="G1081" s="1" t="s">
        <v>1840</v>
      </c>
      <c r="H1081" s="1" t="s">
        <v>1812</v>
      </c>
      <c r="I1081" s="10" t="str">
        <f>IF(H1081="T70",1,IF(H1081="T70",3,IF(H1081="T86",6,IF(H1081="T86",10,IF(H1081="T118",14,IF(H1081="T118",18,IF(H1081="T86",22,"")))))))</f>
        <v/>
      </c>
      <c r="J1081" s="1" t="s">
        <v>1808</v>
      </c>
      <c r="K1081" s="10">
        <v>2</v>
      </c>
      <c r="L1081" s="10">
        <v>1</v>
      </c>
      <c r="O1081" s="6"/>
      <c r="Q1081" s="42" t="s">
        <v>2962</v>
      </c>
      <c r="R1081" s="42"/>
      <c r="S1081" s="1"/>
    </row>
    <row r="1082" spans="1:19" ht="18.75" hidden="1" customHeight="1" x14ac:dyDescent="0.3">
      <c r="A1082" s="10">
        <v>1081</v>
      </c>
      <c r="B1082" s="10">
        <f>_xlfn.XLOOKUP(1,(VALUE(D1082)&gt;=VALUE(block!$C$3:$C$500))*(VALUE(D1082)&lt;VALUE(block!$C$3:$C$500)+VALUE(block!$D$3:$D$500)),block!$A$3:$A$500,"无匹配",0,1)</f>
        <v>29</v>
      </c>
      <c r="C1082" s="3" t="str">
        <f>B1082 &amp; "-" &amp; COUNTIF($B$2:B1082, B1082)</f>
        <v>29-7</v>
      </c>
      <c r="D1082" s="10">
        <v>10854</v>
      </c>
      <c r="E1082" s="1" t="s">
        <v>3849</v>
      </c>
      <c r="F1082" s="1" t="s">
        <v>3850</v>
      </c>
      <c r="G1082" s="1" t="s">
        <v>1840</v>
      </c>
      <c r="H1082" s="1" t="s">
        <v>1812</v>
      </c>
      <c r="I1082" s="10" t="str">
        <f>IF(H1082="T71",1,IF(H1082="T71",3,IF(H1082="T87",6,IF(H1082="T87",10,IF(H1082="T119",14,IF(H1082="T119",18,IF(H1082="T87",22,"")))))))</f>
        <v/>
      </c>
      <c r="J1082" s="1" t="s">
        <v>1808</v>
      </c>
      <c r="K1082" s="10">
        <v>2</v>
      </c>
      <c r="L1082" s="10">
        <v>1</v>
      </c>
      <c r="O1082" s="6"/>
      <c r="Q1082" s="42" t="s">
        <v>2962</v>
      </c>
      <c r="R1082" s="42"/>
      <c r="S1082" s="1"/>
    </row>
    <row r="1083" spans="1:19" ht="18.75" hidden="1" customHeight="1" x14ac:dyDescent="0.3">
      <c r="A1083" s="10">
        <v>1082</v>
      </c>
      <c r="B1083" s="10">
        <f>_xlfn.XLOOKUP(1,(VALUE(D1083)&gt;=VALUE(block!$C$3:$C$500))*(VALUE(D1083)&lt;VALUE(block!$C$3:$C$500)+VALUE(block!$D$3:$D$500)),block!$A$3:$A$500,"无匹配",0,1)</f>
        <v>29</v>
      </c>
      <c r="C1083" s="3" t="str">
        <f>B1083 &amp; "-" &amp; COUNTIF($B$2:B1083, B1083)</f>
        <v>29-8</v>
      </c>
      <c r="D1083" s="10">
        <v>10856</v>
      </c>
      <c r="E1083" s="1" t="s">
        <v>3851</v>
      </c>
      <c r="F1083" s="1" t="s">
        <v>3852</v>
      </c>
      <c r="G1083" s="1" t="s">
        <v>1840</v>
      </c>
      <c r="H1083" s="1" t="s">
        <v>1812</v>
      </c>
      <c r="I1083" s="10" t="str">
        <f>IF(H1083="T72",1,IF(H1083="T72",3,IF(H1083="T88",6,IF(H1083="T88",10,IF(H1083="T120",14,IF(H1083="T120",18,IF(H1083="T88",22,"")))))))</f>
        <v/>
      </c>
      <c r="J1083" s="1" t="s">
        <v>1808</v>
      </c>
      <c r="K1083" s="10">
        <v>2</v>
      </c>
      <c r="L1083" s="10">
        <v>1</v>
      </c>
      <c r="O1083" s="6"/>
      <c r="Q1083" s="42" t="s">
        <v>2962</v>
      </c>
      <c r="R1083" s="42"/>
      <c r="S1083" s="1"/>
    </row>
    <row r="1084" spans="1:19" ht="18.75" hidden="1" customHeight="1" x14ac:dyDescent="0.3">
      <c r="A1084" s="10">
        <v>1083</v>
      </c>
      <c r="B1084" s="10">
        <f>_xlfn.XLOOKUP(1,(VALUE(D1084)&gt;=VALUE(block!$C$3:$C$500))*(VALUE(D1084)&lt;VALUE(block!$C$3:$C$500)+VALUE(block!$D$3:$D$500)),block!$A$3:$A$500,"无匹配",0,1)</f>
        <v>29</v>
      </c>
      <c r="C1084" s="3" t="str">
        <f>B1084 &amp; "-" &amp; COUNTIF($B$2:B1084, B1084)</f>
        <v>29-9</v>
      </c>
      <c r="D1084" s="10">
        <v>10858</v>
      </c>
      <c r="E1084" s="1" t="s">
        <v>3853</v>
      </c>
      <c r="F1084" s="1" t="s">
        <v>3854</v>
      </c>
      <c r="G1084" s="1" t="s">
        <v>1840</v>
      </c>
      <c r="H1084" s="1" t="s">
        <v>1812</v>
      </c>
      <c r="I1084" s="10" t="str">
        <f>IF(H1084="T73",1,IF(H1084="T73",3,IF(H1084="T89",6,IF(H1084="T89",10,IF(H1084="T121",14,IF(H1084="T121",18,IF(H1084="T89",22,"")))))))</f>
        <v/>
      </c>
      <c r="J1084" s="1" t="s">
        <v>1808</v>
      </c>
      <c r="K1084" s="10">
        <v>2</v>
      </c>
      <c r="L1084" s="10">
        <v>1</v>
      </c>
      <c r="O1084" s="6"/>
      <c r="Q1084" s="42" t="s">
        <v>2962</v>
      </c>
      <c r="R1084" s="42"/>
      <c r="S1084" s="1"/>
    </row>
    <row r="1085" spans="1:19" ht="18.75" hidden="1" customHeight="1" x14ac:dyDescent="0.3">
      <c r="A1085" s="10">
        <v>1084</v>
      </c>
      <c r="B1085" s="10">
        <f>_xlfn.XLOOKUP(1,(VALUE(D1085)&gt;=VALUE(block!$C$3:$C$500))*(VALUE(D1085)&lt;VALUE(block!$C$3:$C$500)+VALUE(block!$D$3:$D$500)),block!$A$3:$A$500,"无匹配",0,1)</f>
        <v>29</v>
      </c>
      <c r="C1085" s="3" t="str">
        <f>B1085 &amp; "-" &amp; COUNTIF($B$2:B1085, B1085)</f>
        <v>29-10</v>
      </c>
      <c r="D1085" s="10">
        <v>10860</v>
      </c>
      <c r="E1085" s="1" t="s">
        <v>3855</v>
      </c>
      <c r="F1085" s="1" t="s">
        <v>3856</v>
      </c>
      <c r="G1085" s="1" t="s">
        <v>1840</v>
      </c>
      <c r="H1085" s="1" t="s">
        <v>1812</v>
      </c>
      <c r="I1085" s="10" t="str">
        <f>IF(H1085="T74",1,IF(H1085="T74",3,IF(H1085="T90",6,IF(H1085="T90",10,IF(H1085="T122",14,IF(H1085="T122",18,IF(H1085="T90",22,"")))))))</f>
        <v/>
      </c>
      <c r="J1085" s="1" t="s">
        <v>1808</v>
      </c>
      <c r="K1085" s="10">
        <v>2</v>
      </c>
      <c r="L1085" s="10">
        <v>1</v>
      </c>
      <c r="O1085" s="6"/>
      <c r="Q1085" s="42" t="s">
        <v>2962</v>
      </c>
      <c r="R1085" s="42"/>
      <c r="S1085" s="1"/>
    </row>
    <row r="1086" spans="1:19" ht="18.75" hidden="1" customHeight="1" x14ac:dyDescent="0.3">
      <c r="A1086" s="10">
        <v>1085</v>
      </c>
      <c r="B1086" s="10">
        <f>_xlfn.XLOOKUP(1,(VALUE(D1086)&gt;=VALUE(block!$C$3:$C$500))*(VALUE(D1086)&lt;VALUE(block!$C$3:$C$500)+VALUE(block!$D$3:$D$500)),block!$A$3:$A$500,"无匹配",0,1)</f>
        <v>29</v>
      </c>
      <c r="C1086" s="3" t="str">
        <f>B1086 &amp; "-" &amp; COUNTIF($B$2:B1086, B1086)</f>
        <v>29-11</v>
      </c>
      <c r="D1086" s="10">
        <v>10862</v>
      </c>
      <c r="E1086" s="1" t="s">
        <v>3857</v>
      </c>
      <c r="F1086" s="1" t="s">
        <v>3858</v>
      </c>
      <c r="G1086" s="1" t="s">
        <v>1840</v>
      </c>
      <c r="H1086" s="1" t="s">
        <v>1812</v>
      </c>
      <c r="I1086" s="10" t="str">
        <f>IF(H1086="T75",1,IF(H1086="T75",3,IF(H1086="T91",6,IF(H1086="T91",10,IF(H1086="T123",14,IF(H1086="T123",18,IF(H1086="T91",22,"")))))))</f>
        <v/>
      </c>
      <c r="J1086" s="1" t="s">
        <v>1808</v>
      </c>
      <c r="K1086" s="10">
        <v>2</v>
      </c>
      <c r="L1086" s="10">
        <v>1</v>
      </c>
      <c r="O1086" s="6"/>
      <c r="Q1086" s="42" t="s">
        <v>2962</v>
      </c>
      <c r="R1086" s="42"/>
      <c r="S1086" s="1"/>
    </row>
    <row r="1087" spans="1:19" ht="18.75" hidden="1" customHeight="1" x14ac:dyDescent="0.3">
      <c r="A1087" s="10">
        <v>1086</v>
      </c>
      <c r="B1087" s="10">
        <f>_xlfn.XLOOKUP(1,(VALUE(D1087)&gt;=VALUE(block!$C$3:$C$500))*(VALUE(D1087)&lt;VALUE(block!$C$3:$C$500)+VALUE(block!$D$3:$D$500)),block!$A$3:$A$500,"无匹配",0,1)</f>
        <v>29</v>
      </c>
      <c r="C1087" s="3" t="str">
        <f>B1087 &amp; "-" &amp; COUNTIF($B$2:B1087, B1087)</f>
        <v>29-12</v>
      </c>
      <c r="D1087" s="10">
        <v>10864</v>
      </c>
      <c r="E1087" s="1" t="s">
        <v>3859</v>
      </c>
      <c r="F1087" s="1" t="s">
        <v>3860</v>
      </c>
      <c r="G1087" s="1" t="s">
        <v>1840</v>
      </c>
      <c r="H1087" s="1" t="s">
        <v>1812</v>
      </c>
      <c r="I1087" s="10" t="str">
        <f>IF(H1087="T76",1,IF(H1087="T76",3,IF(H1087="T92",6,IF(H1087="T92",10,IF(H1087="T124",14,IF(H1087="T124",18,IF(H1087="T92",22,"")))))))</f>
        <v/>
      </c>
      <c r="J1087" s="1" t="s">
        <v>1808</v>
      </c>
      <c r="K1087" s="10">
        <v>2</v>
      </c>
      <c r="L1087" s="10">
        <v>1</v>
      </c>
      <c r="O1087" s="6"/>
      <c r="Q1087" s="42" t="s">
        <v>2962</v>
      </c>
      <c r="R1087" s="42"/>
      <c r="S1087" s="1"/>
    </row>
    <row r="1088" spans="1:19" ht="18.75" hidden="1" customHeight="1" x14ac:dyDescent="0.3">
      <c r="A1088" s="10">
        <v>1087</v>
      </c>
      <c r="B1088" s="10">
        <f>_xlfn.XLOOKUP(1,(VALUE(D1088)&gt;=VALUE(block!$C$3:$C$500))*(VALUE(D1088)&lt;VALUE(block!$C$3:$C$500)+VALUE(block!$D$3:$D$500)),block!$A$3:$A$500,"无匹配",0,1)</f>
        <v>29</v>
      </c>
      <c r="C1088" s="3" t="str">
        <f>B1088 &amp; "-" &amp; COUNTIF($B$2:B1088, B1088)</f>
        <v>29-13</v>
      </c>
      <c r="D1088" s="10">
        <v>10866</v>
      </c>
      <c r="E1088" s="1" t="s">
        <v>3861</v>
      </c>
      <c r="F1088" s="1" t="s">
        <v>3862</v>
      </c>
      <c r="G1088" s="1" t="s">
        <v>1840</v>
      </c>
      <c r="H1088" s="1" t="s">
        <v>1812</v>
      </c>
      <c r="I1088" s="10" t="str">
        <f>IF(H1088="T77",1,IF(H1088="T77",3,IF(H1088="T93",6,IF(H1088="T93",10,IF(H1088="T125",14,IF(H1088="T125",18,IF(H1088="T93",22,"")))))))</f>
        <v/>
      </c>
      <c r="J1088" s="1" t="s">
        <v>1808</v>
      </c>
      <c r="K1088" s="10">
        <v>2</v>
      </c>
      <c r="L1088" s="10">
        <v>1</v>
      </c>
      <c r="O1088" s="6"/>
      <c r="Q1088" s="42" t="s">
        <v>2962</v>
      </c>
      <c r="R1088" s="42"/>
      <c r="S1088" s="1"/>
    </row>
    <row r="1089" spans="1:19" ht="18.75" hidden="1" customHeight="1" x14ac:dyDescent="0.3">
      <c r="A1089" s="10">
        <v>1088</v>
      </c>
      <c r="B1089" s="10">
        <f>_xlfn.XLOOKUP(1,(VALUE(D1089)&gt;=VALUE(block!$C$3:$C$500))*(VALUE(D1089)&lt;VALUE(block!$C$3:$C$500)+VALUE(block!$D$3:$D$500)),block!$A$3:$A$500,"无匹配",0,1)</f>
        <v>29</v>
      </c>
      <c r="C1089" s="3" t="str">
        <f>B1089 &amp; "-" &amp; COUNTIF($B$2:B1089, B1089)</f>
        <v>29-14</v>
      </c>
      <c r="D1089" s="10">
        <v>10868</v>
      </c>
      <c r="E1089" s="1" t="s">
        <v>3863</v>
      </c>
      <c r="F1089" s="1" t="s">
        <v>3864</v>
      </c>
      <c r="G1089" s="1" t="s">
        <v>1840</v>
      </c>
      <c r="H1089" s="1" t="s">
        <v>1812</v>
      </c>
      <c r="I1089" s="10" t="str">
        <f>IF(H1089="T78",1,IF(H1089="T78",3,IF(H1089="T94",6,IF(H1089="T94",10,IF(H1089="T126",14,IF(H1089="T126",18,IF(H1089="T94",22,"")))))))</f>
        <v/>
      </c>
      <c r="J1089" s="1" t="s">
        <v>1808</v>
      </c>
      <c r="K1089" s="10">
        <v>2</v>
      </c>
      <c r="L1089" s="10">
        <v>1</v>
      </c>
      <c r="O1089" s="6"/>
      <c r="Q1089" s="42" t="s">
        <v>2962</v>
      </c>
      <c r="R1089" s="42"/>
      <c r="S1089" s="1"/>
    </row>
    <row r="1090" spans="1:19" ht="18.75" hidden="1" customHeight="1" x14ac:dyDescent="0.3">
      <c r="A1090" s="10">
        <v>1089</v>
      </c>
      <c r="B1090" s="10">
        <f>_xlfn.XLOOKUP(1,(VALUE(D1090)&gt;=VALUE(block!$C$3:$C$500))*(VALUE(D1090)&lt;VALUE(block!$C$3:$C$500)+VALUE(block!$D$3:$D$500)),block!$A$3:$A$500,"无匹配",0,1)</f>
        <v>29</v>
      </c>
      <c r="C1090" s="3" t="str">
        <f>B1090 &amp; "-" &amp; COUNTIF($B$2:B1090, B1090)</f>
        <v>29-15</v>
      </c>
      <c r="D1090" s="10">
        <v>10870</v>
      </c>
      <c r="E1090" s="1" t="s">
        <v>3865</v>
      </c>
      <c r="F1090" s="1" t="s">
        <v>3866</v>
      </c>
      <c r="G1090" s="1" t="s">
        <v>1840</v>
      </c>
      <c r="H1090" s="1" t="s">
        <v>1812</v>
      </c>
      <c r="I1090" s="10" t="str">
        <f>IF(H1090="T79",1,IF(H1090="T79",3,IF(H1090="T95",6,IF(H1090="T95",10,IF(H1090="T127",14,IF(H1090="T127",18,IF(H1090="T95",22,"")))))))</f>
        <v/>
      </c>
      <c r="J1090" s="1" t="s">
        <v>1808</v>
      </c>
      <c r="K1090" s="10">
        <v>2</v>
      </c>
      <c r="L1090" s="10">
        <v>1</v>
      </c>
      <c r="O1090" s="6"/>
      <c r="Q1090" s="42" t="s">
        <v>2962</v>
      </c>
      <c r="R1090" s="42"/>
      <c r="S1090" s="1"/>
    </row>
    <row r="1091" spans="1:19" ht="18.75" hidden="1" customHeight="1" x14ac:dyDescent="0.3">
      <c r="A1091" s="10">
        <v>1090</v>
      </c>
      <c r="B1091" s="10">
        <f>_xlfn.XLOOKUP(1,(VALUE(D1091)&gt;=VALUE(block!$C$3:$C$500))*(VALUE(D1091)&lt;VALUE(block!$C$3:$C$500)+VALUE(block!$D$3:$D$500)),block!$A$3:$A$500,"无匹配",0,1)</f>
        <v>29</v>
      </c>
      <c r="C1091" s="3" t="str">
        <f>B1091 &amp; "-" &amp; COUNTIF($B$2:B1091, B1091)</f>
        <v>29-16</v>
      </c>
      <c r="D1091" s="10">
        <v>10872</v>
      </c>
      <c r="E1091" s="1" t="s">
        <v>3867</v>
      </c>
      <c r="F1091" s="1" t="s">
        <v>3868</v>
      </c>
      <c r="G1091" s="1" t="s">
        <v>1840</v>
      </c>
      <c r="H1091" s="1" t="s">
        <v>1812</v>
      </c>
      <c r="I1091" s="10">
        <f>IF(H1091="uint16",1,IF(H1091="int16",3,IF(H1091="uint32",6,IF(H1091="int32",10,IF(H1091="uint64",14,IF(H1091="int64",18,IF(H1091="float32",22,"")))))))</f>
        <v>22</v>
      </c>
      <c r="J1091" s="1" t="s">
        <v>1808</v>
      </c>
      <c r="K1091" s="10">
        <v>2</v>
      </c>
      <c r="L1091" s="10">
        <v>1</v>
      </c>
      <c r="O1091" s="6"/>
      <c r="Q1091" s="42" t="s">
        <v>2962</v>
      </c>
      <c r="R1091" s="42"/>
      <c r="S1091" s="1"/>
    </row>
    <row r="1092" spans="1:19" ht="18.75" hidden="1" customHeight="1" x14ac:dyDescent="0.3">
      <c r="A1092" s="10">
        <v>1091</v>
      </c>
      <c r="B1092" s="10">
        <f>_xlfn.XLOOKUP(1,(VALUE(D1092)&gt;=VALUE(block!$C$3:$C$500))*(VALUE(D1092)&lt;VALUE(block!$C$3:$C$500)+VALUE(block!$D$3:$D$500)),block!$A$3:$A$500,"无匹配",0,1)</f>
        <v>29</v>
      </c>
      <c r="C1092" s="3" t="str">
        <f>B1092 &amp; "-" &amp; COUNTIF($B$2:B1092, B1092)</f>
        <v>29-17</v>
      </c>
      <c r="D1092" s="10">
        <v>10874</v>
      </c>
      <c r="E1092" s="1" t="s">
        <v>3869</v>
      </c>
      <c r="F1092" s="1" t="s">
        <v>3870</v>
      </c>
      <c r="G1092" s="1" t="s">
        <v>1840</v>
      </c>
      <c r="H1092" s="1" t="s">
        <v>1812</v>
      </c>
      <c r="I1092" s="10" t="str">
        <f>IF(H1092="T17",1,IF(H1092="T17",3,IF(H1092="T33",6,IF(H1092="T33",10,IF(H1092="T65",14,IF(H1092="T65",18,IF(H1092="T33",22,"")))))))</f>
        <v/>
      </c>
      <c r="J1092" s="1" t="s">
        <v>1808</v>
      </c>
      <c r="K1092" s="10">
        <v>2</v>
      </c>
      <c r="L1092" s="10">
        <v>1</v>
      </c>
      <c r="O1092" s="6"/>
      <c r="Q1092" s="42" t="s">
        <v>2962</v>
      </c>
      <c r="R1092" s="42"/>
      <c r="S1092" s="1"/>
    </row>
    <row r="1093" spans="1:19" ht="18.75" hidden="1" customHeight="1" x14ac:dyDescent="0.3">
      <c r="A1093" s="10">
        <v>1092</v>
      </c>
      <c r="B1093" s="10">
        <f>_xlfn.XLOOKUP(1,(VALUE(D1093)&gt;=VALUE(block!$C$3:$C$500))*(VALUE(D1093)&lt;VALUE(block!$C$3:$C$500)+VALUE(block!$D$3:$D$500)),block!$A$3:$A$500,"无匹配",0,1)</f>
        <v>29</v>
      </c>
      <c r="C1093" s="3" t="str">
        <f>B1093 &amp; "-" &amp; COUNTIF($B$2:B1093, B1093)</f>
        <v>29-18</v>
      </c>
      <c r="D1093" s="10">
        <v>10876</v>
      </c>
      <c r="E1093" s="1" t="s">
        <v>3871</v>
      </c>
      <c r="F1093" s="1" t="s">
        <v>3872</v>
      </c>
      <c r="G1093" s="1" t="s">
        <v>1840</v>
      </c>
      <c r="H1093" s="1" t="s">
        <v>1812</v>
      </c>
      <c r="I1093" s="10" t="str">
        <f>IF(H1093="T18",1,IF(H1093="T18",3,IF(H1093="T34",6,IF(H1093="T34",10,IF(H1093="T66",14,IF(H1093="T66",18,IF(H1093="T34",22,"")))))))</f>
        <v/>
      </c>
      <c r="J1093" s="1" t="s">
        <v>1808</v>
      </c>
      <c r="K1093" s="10">
        <v>2</v>
      </c>
      <c r="L1093" s="10">
        <v>1</v>
      </c>
      <c r="O1093" s="6"/>
      <c r="Q1093" s="42" t="s">
        <v>2962</v>
      </c>
      <c r="R1093" s="42"/>
      <c r="S1093" s="1"/>
    </row>
    <row r="1094" spans="1:19" ht="18.75" hidden="1" customHeight="1" x14ac:dyDescent="0.3">
      <c r="A1094" s="10">
        <v>1093</v>
      </c>
      <c r="B1094" s="10">
        <f>_xlfn.XLOOKUP(1,(VALUE(D1094)&gt;=VALUE(block!$C$3:$C$500))*(VALUE(D1094)&lt;VALUE(block!$C$3:$C$500)+VALUE(block!$D$3:$D$500)),block!$A$3:$A$500,"无匹配",0,1)</f>
        <v>29</v>
      </c>
      <c r="C1094" s="3" t="str">
        <f>B1094 &amp; "-" &amp; COUNTIF($B$2:B1094, B1094)</f>
        <v>29-19</v>
      </c>
      <c r="D1094" s="10">
        <v>10878</v>
      </c>
      <c r="E1094" s="1" t="s">
        <v>3873</v>
      </c>
      <c r="F1094" s="1" t="s">
        <v>3874</v>
      </c>
      <c r="G1094" s="1" t="s">
        <v>1840</v>
      </c>
      <c r="H1094" s="1" t="s">
        <v>1812</v>
      </c>
      <c r="I1094" s="10" t="str">
        <f>IF(H1094="T19",1,IF(H1094="T19",3,IF(H1094="T35",6,IF(H1094="T35",10,IF(H1094="T67",14,IF(H1094="T67",18,IF(H1094="T35",22,"")))))))</f>
        <v/>
      </c>
      <c r="J1094" s="1" t="s">
        <v>1808</v>
      </c>
      <c r="K1094" s="10">
        <v>2</v>
      </c>
      <c r="L1094" s="10">
        <v>1</v>
      </c>
      <c r="O1094" s="6"/>
      <c r="Q1094" s="42" t="s">
        <v>2962</v>
      </c>
      <c r="R1094" s="42"/>
      <c r="S1094" s="1"/>
    </row>
    <row r="1095" spans="1:19" ht="18.75" hidden="1" customHeight="1" x14ac:dyDescent="0.3">
      <c r="A1095" s="10">
        <v>1094</v>
      </c>
      <c r="B1095" s="10">
        <f>_xlfn.XLOOKUP(1,(VALUE(D1095)&gt;=VALUE(block!$C$3:$C$500))*(VALUE(D1095)&lt;VALUE(block!$C$3:$C$500)+VALUE(block!$D$3:$D$500)),block!$A$3:$A$500,"无匹配",0,1)</f>
        <v>29</v>
      </c>
      <c r="C1095" s="3" t="str">
        <f>B1095 &amp; "-" &amp; COUNTIF($B$2:B1095, B1095)</f>
        <v>29-20</v>
      </c>
      <c r="D1095" s="10">
        <v>10880</v>
      </c>
      <c r="E1095" s="1" t="s">
        <v>3875</v>
      </c>
      <c r="F1095" s="1" t="s">
        <v>3876</v>
      </c>
      <c r="G1095" s="1" t="s">
        <v>1840</v>
      </c>
      <c r="H1095" s="1" t="s">
        <v>1812</v>
      </c>
      <c r="I1095" s="10" t="str">
        <f>IF(H1095="T20",1,IF(H1095="T20",3,IF(H1095="T36",6,IF(H1095="T36",10,IF(H1095="T68",14,IF(H1095="T68",18,IF(H1095="T36",22,"")))))))</f>
        <v/>
      </c>
      <c r="J1095" s="1" t="s">
        <v>1808</v>
      </c>
      <c r="K1095" s="10">
        <v>2</v>
      </c>
      <c r="L1095" s="10">
        <v>1</v>
      </c>
      <c r="O1095" s="6"/>
      <c r="Q1095" s="42" t="s">
        <v>2962</v>
      </c>
      <c r="R1095" s="42"/>
      <c r="S1095" s="1"/>
    </row>
    <row r="1096" spans="1:19" ht="18.75" hidden="1" customHeight="1" x14ac:dyDescent="0.3">
      <c r="A1096" s="10">
        <v>1095</v>
      </c>
      <c r="B1096" s="10">
        <f>_xlfn.XLOOKUP(1,(VALUE(D1096)&gt;=VALUE(block!$C$3:$C$500))*(VALUE(D1096)&lt;VALUE(block!$C$3:$C$500)+VALUE(block!$D$3:$D$500)),block!$A$3:$A$500,"无匹配",0,1)</f>
        <v>29</v>
      </c>
      <c r="C1096" s="3" t="str">
        <f>B1096 &amp; "-" &amp; COUNTIF($B$2:B1096, B1096)</f>
        <v>29-21</v>
      </c>
      <c r="D1096" s="10">
        <v>10882</v>
      </c>
      <c r="E1096" s="1" t="s">
        <v>3877</v>
      </c>
      <c r="F1096" s="1" t="s">
        <v>3878</v>
      </c>
      <c r="G1096" s="1" t="s">
        <v>1840</v>
      </c>
      <c r="H1096" s="1" t="s">
        <v>1812</v>
      </c>
      <c r="I1096" s="10" t="str">
        <f>IF(H1096="T21",1,IF(H1096="T21",3,IF(H1096="T37",6,IF(H1096="T37",10,IF(H1096="T69",14,IF(H1096="T69",18,IF(H1096="T37",22,"")))))))</f>
        <v/>
      </c>
      <c r="J1096" s="1" t="s">
        <v>1808</v>
      </c>
      <c r="K1096" s="10">
        <v>2</v>
      </c>
      <c r="L1096" s="10">
        <v>1</v>
      </c>
      <c r="O1096" s="6"/>
      <c r="Q1096" s="42" t="s">
        <v>2962</v>
      </c>
      <c r="R1096" s="42"/>
      <c r="S1096" s="1"/>
    </row>
    <row r="1097" spans="1:19" ht="18.75" hidden="1" customHeight="1" x14ac:dyDescent="0.3">
      <c r="A1097" s="10">
        <v>1096</v>
      </c>
      <c r="B1097" s="10">
        <f>_xlfn.XLOOKUP(1,(VALUE(D1097)&gt;=VALUE(block!$C$3:$C$500))*(VALUE(D1097)&lt;VALUE(block!$C$3:$C$500)+VALUE(block!$D$3:$D$500)),block!$A$3:$A$500,"无匹配",0,1)</f>
        <v>29</v>
      </c>
      <c r="C1097" s="3" t="str">
        <f>B1097 &amp; "-" &amp; COUNTIF($B$2:B1097, B1097)</f>
        <v>29-22</v>
      </c>
      <c r="D1097" s="10">
        <v>10884</v>
      </c>
      <c r="E1097" s="1" t="s">
        <v>3879</v>
      </c>
      <c r="F1097" s="1" t="s">
        <v>3880</v>
      </c>
      <c r="G1097" s="1" t="s">
        <v>1840</v>
      </c>
      <c r="H1097" s="1" t="s">
        <v>1812</v>
      </c>
      <c r="I1097" s="10" t="str">
        <f>IF(H1097="T22",1,IF(H1097="T22",3,IF(H1097="T38",6,IF(H1097="T38",10,IF(H1097="T70",14,IF(H1097="T70",18,IF(H1097="T38",22,"")))))))</f>
        <v/>
      </c>
      <c r="J1097" s="1" t="s">
        <v>1808</v>
      </c>
      <c r="K1097" s="10">
        <v>2</v>
      </c>
      <c r="L1097" s="10">
        <v>1</v>
      </c>
      <c r="O1097" s="6"/>
      <c r="Q1097" s="42" t="s">
        <v>2962</v>
      </c>
      <c r="R1097" s="42"/>
      <c r="S1097" s="1"/>
    </row>
    <row r="1098" spans="1:19" ht="18.75" hidden="1" customHeight="1" x14ac:dyDescent="0.3">
      <c r="A1098" s="10">
        <v>1097</v>
      </c>
      <c r="B1098" s="10">
        <f>_xlfn.XLOOKUP(1,(VALUE(D1098)&gt;=VALUE(block!$C$3:$C$500))*(VALUE(D1098)&lt;VALUE(block!$C$3:$C$500)+VALUE(block!$D$3:$D$500)),block!$A$3:$A$500,"无匹配",0,1)</f>
        <v>29</v>
      </c>
      <c r="C1098" s="3" t="str">
        <f>B1098 &amp; "-" &amp; COUNTIF($B$2:B1098, B1098)</f>
        <v>29-23</v>
      </c>
      <c r="D1098" s="10">
        <v>10886</v>
      </c>
      <c r="E1098" s="1" t="s">
        <v>3881</v>
      </c>
      <c r="F1098" s="1" t="s">
        <v>3882</v>
      </c>
      <c r="G1098" s="1" t="s">
        <v>1840</v>
      </c>
      <c r="H1098" s="1" t="s">
        <v>1812</v>
      </c>
      <c r="I1098" s="10" t="str">
        <f>IF(H1098="T23",1,IF(H1098="T23",3,IF(H1098="T39",6,IF(H1098="T39",10,IF(H1098="T71",14,IF(H1098="T71",18,IF(H1098="T39",22,"")))))))</f>
        <v/>
      </c>
      <c r="J1098" s="1" t="s">
        <v>1808</v>
      </c>
      <c r="K1098" s="10">
        <v>2</v>
      </c>
      <c r="L1098" s="10">
        <v>1</v>
      </c>
      <c r="O1098" s="6"/>
      <c r="Q1098" s="42" t="s">
        <v>2962</v>
      </c>
      <c r="R1098" s="42"/>
      <c r="S1098" s="1"/>
    </row>
    <row r="1099" spans="1:19" ht="18.75" hidden="1" customHeight="1" x14ac:dyDescent="0.3">
      <c r="A1099" s="10">
        <v>1098</v>
      </c>
      <c r="B1099" s="10">
        <f>_xlfn.XLOOKUP(1,(VALUE(D1099)&gt;=VALUE(block!$C$3:$C$500))*(VALUE(D1099)&lt;VALUE(block!$C$3:$C$500)+VALUE(block!$D$3:$D$500)),block!$A$3:$A$500,"无匹配",0,1)</f>
        <v>29</v>
      </c>
      <c r="C1099" s="3" t="str">
        <f>B1099 &amp; "-" &amp; COUNTIF($B$2:B1099, B1099)</f>
        <v>29-24</v>
      </c>
      <c r="D1099" s="10">
        <v>10888</v>
      </c>
      <c r="E1099" s="1" t="s">
        <v>3883</v>
      </c>
      <c r="F1099" s="1" t="s">
        <v>3884</v>
      </c>
      <c r="G1099" s="1" t="s">
        <v>1840</v>
      </c>
      <c r="H1099" s="1" t="s">
        <v>1812</v>
      </c>
      <c r="I1099" s="10" t="str">
        <f>IF(H1099="T24",1,IF(H1099="T24",3,IF(H1099="T40",6,IF(H1099="T40",10,IF(H1099="T72",14,IF(H1099="T72",18,IF(H1099="T40",22,"")))))))</f>
        <v/>
      </c>
      <c r="J1099" s="1" t="s">
        <v>1808</v>
      </c>
      <c r="K1099" s="10">
        <v>2</v>
      </c>
      <c r="L1099" s="10">
        <v>1</v>
      </c>
      <c r="O1099" s="6"/>
      <c r="Q1099" s="42" t="s">
        <v>2962</v>
      </c>
      <c r="R1099" s="42"/>
      <c r="S1099" s="1"/>
    </row>
    <row r="1100" spans="1:19" ht="18.75" hidden="1" customHeight="1" x14ac:dyDescent="0.3">
      <c r="A1100" s="10">
        <v>1099</v>
      </c>
      <c r="B1100" s="10">
        <f>_xlfn.XLOOKUP(1,(VALUE(D1100)&gt;=VALUE(block!$C$3:$C$500))*(VALUE(D1100)&lt;VALUE(block!$C$3:$C$500)+VALUE(block!$D$3:$D$500)),block!$A$3:$A$500,"无匹配",0,1)</f>
        <v>29</v>
      </c>
      <c r="C1100" s="3" t="str">
        <f>B1100 &amp; "-" &amp; COUNTIF($B$2:B1100, B1100)</f>
        <v>29-25</v>
      </c>
      <c r="D1100" s="10">
        <v>10890</v>
      </c>
      <c r="E1100" s="1" t="s">
        <v>3885</v>
      </c>
      <c r="F1100" s="1" t="s">
        <v>3886</v>
      </c>
      <c r="G1100" s="1" t="s">
        <v>1840</v>
      </c>
      <c r="H1100" s="1" t="s">
        <v>1812</v>
      </c>
      <c r="I1100" s="10" t="str">
        <f>IF(H1100="T25",1,IF(H1100="T25",3,IF(H1100="T41",6,IF(H1100="T41",10,IF(H1100="T73",14,IF(H1100="T73",18,IF(H1100="T41",22,"")))))))</f>
        <v/>
      </c>
      <c r="J1100" s="1" t="s">
        <v>1808</v>
      </c>
      <c r="K1100" s="10">
        <v>2</v>
      </c>
      <c r="L1100" s="10">
        <v>1</v>
      </c>
      <c r="O1100" s="6"/>
      <c r="Q1100" s="42" t="s">
        <v>2962</v>
      </c>
      <c r="R1100" s="42"/>
      <c r="S1100" s="1"/>
    </row>
    <row r="1101" spans="1:19" ht="18.75" hidden="1" customHeight="1" x14ac:dyDescent="0.3">
      <c r="A1101" s="10">
        <v>1100</v>
      </c>
      <c r="B1101" s="10">
        <f>_xlfn.XLOOKUP(1,(VALUE(D1101)&gt;=VALUE(block!$C$3:$C$500))*(VALUE(D1101)&lt;VALUE(block!$C$3:$C$500)+VALUE(block!$D$3:$D$500)),block!$A$3:$A$500,"无匹配",0,1)</f>
        <v>29</v>
      </c>
      <c r="C1101" s="3" t="str">
        <f>B1101 &amp; "-" &amp; COUNTIF($B$2:B1101, B1101)</f>
        <v>29-26</v>
      </c>
      <c r="D1101" s="10">
        <v>10892</v>
      </c>
      <c r="E1101" s="1" t="s">
        <v>3887</v>
      </c>
      <c r="F1101" s="1" t="s">
        <v>3888</v>
      </c>
      <c r="G1101" s="1" t="s">
        <v>1840</v>
      </c>
      <c r="H1101" s="1" t="s">
        <v>1812</v>
      </c>
      <c r="I1101" s="10" t="str">
        <f>IF(H1101="T26",1,IF(H1101="T26",3,IF(H1101="T42",6,IF(H1101="T42",10,IF(H1101="T74",14,IF(H1101="T74",18,IF(H1101="T42",22,"")))))))</f>
        <v/>
      </c>
      <c r="J1101" s="1" t="s">
        <v>1808</v>
      </c>
      <c r="K1101" s="10">
        <v>2</v>
      </c>
      <c r="L1101" s="10">
        <v>1</v>
      </c>
      <c r="O1101" s="6"/>
      <c r="Q1101" s="42" t="s">
        <v>2962</v>
      </c>
      <c r="R1101" s="42"/>
      <c r="S1101" s="1"/>
    </row>
    <row r="1102" spans="1:19" ht="18.75" hidden="1" customHeight="1" x14ac:dyDescent="0.3">
      <c r="A1102" s="10">
        <v>1101</v>
      </c>
      <c r="B1102" s="10">
        <f>_xlfn.XLOOKUP(1,(VALUE(D1102)&gt;=VALUE(block!$C$3:$C$500))*(VALUE(D1102)&lt;VALUE(block!$C$3:$C$500)+VALUE(block!$D$3:$D$500)),block!$A$3:$A$500,"无匹配",0,1)</f>
        <v>29</v>
      </c>
      <c r="C1102" s="3" t="str">
        <f>B1102 &amp; "-" &amp; COUNTIF($B$2:B1102, B1102)</f>
        <v>29-27</v>
      </c>
      <c r="D1102" s="10">
        <v>10894</v>
      </c>
      <c r="E1102" s="1" t="s">
        <v>3889</v>
      </c>
      <c r="F1102" s="1" t="s">
        <v>3890</v>
      </c>
      <c r="G1102" s="1" t="s">
        <v>1840</v>
      </c>
      <c r="H1102" s="1" t="s">
        <v>1812</v>
      </c>
      <c r="I1102" s="10" t="str">
        <f>IF(H1102="T27",1,IF(H1102="T27",3,IF(H1102="T43",6,IF(H1102="T43",10,IF(H1102="T75",14,IF(H1102="T75",18,IF(H1102="T43",22,"")))))))</f>
        <v/>
      </c>
      <c r="J1102" s="1" t="s">
        <v>1808</v>
      </c>
      <c r="K1102" s="10">
        <v>2</v>
      </c>
      <c r="L1102" s="10">
        <v>1</v>
      </c>
      <c r="O1102" s="6"/>
      <c r="Q1102" s="42" t="s">
        <v>2962</v>
      </c>
      <c r="R1102" s="42"/>
      <c r="S1102" s="1"/>
    </row>
    <row r="1103" spans="1:19" ht="18.75" hidden="1" customHeight="1" x14ac:dyDescent="0.3">
      <c r="A1103" s="10">
        <v>1102</v>
      </c>
      <c r="B1103" s="10">
        <f>_xlfn.XLOOKUP(1,(VALUE(D1103)&gt;=VALUE(block!$C$3:$C$500))*(VALUE(D1103)&lt;VALUE(block!$C$3:$C$500)+VALUE(block!$D$3:$D$500)),block!$A$3:$A$500,"无匹配",0,1)</f>
        <v>29</v>
      </c>
      <c r="C1103" s="3" t="str">
        <f>B1103 &amp; "-" &amp; COUNTIF($B$2:B1103, B1103)</f>
        <v>29-28</v>
      </c>
      <c r="D1103" s="10">
        <v>10896</v>
      </c>
      <c r="E1103" s="1" t="s">
        <v>3891</v>
      </c>
      <c r="F1103" s="1" t="s">
        <v>3892</v>
      </c>
      <c r="G1103" s="1" t="s">
        <v>1840</v>
      </c>
      <c r="H1103" s="1" t="s">
        <v>1812</v>
      </c>
      <c r="I1103" s="10" t="str">
        <f>IF(H1103="T28",1,IF(H1103="T28",3,IF(H1103="T44",6,IF(H1103="T44",10,IF(H1103="T76",14,IF(H1103="T76",18,IF(H1103="T44",22,"")))))))</f>
        <v/>
      </c>
      <c r="J1103" s="1" t="s">
        <v>1808</v>
      </c>
      <c r="K1103" s="10">
        <v>2</v>
      </c>
      <c r="L1103" s="10">
        <v>1</v>
      </c>
      <c r="O1103" s="6"/>
      <c r="Q1103" s="42" t="s">
        <v>2962</v>
      </c>
      <c r="R1103" s="42"/>
      <c r="S1103" s="1"/>
    </row>
    <row r="1104" spans="1:19" ht="18.75" hidden="1" customHeight="1" x14ac:dyDescent="0.3">
      <c r="A1104" s="10">
        <v>1103</v>
      </c>
      <c r="B1104" s="10">
        <f>_xlfn.XLOOKUP(1,(VALUE(D1104)&gt;=VALUE(block!$C$3:$C$500))*(VALUE(D1104)&lt;VALUE(block!$C$3:$C$500)+VALUE(block!$D$3:$D$500)),block!$A$3:$A$500,"无匹配",0,1)</f>
        <v>29</v>
      </c>
      <c r="C1104" s="3" t="str">
        <f>B1104 &amp; "-" &amp; COUNTIF($B$2:B1104, B1104)</f>
        <v>29-29</v>
      </c>
      <c r="D1104" s="10">
        <v>10898</v>
      </c>
      <c r="E1104" s="1" t="s">
        <v>3893</v>
      </c>
      <c r="F1104" s="1" t="s">
        <v>3894</v>
      </c>
      <c r="G1104" s="1" t="s">
        <v>1840</v>
      </c>
      <c r="H1104" s="1" t="s">
        <v>1812</v>
      </c>
      <c r="I1104" s="10" t="str">
        <f>IF(H1104="T29",1,IF(H1104="T29",3,IF(H1104="T45",6,IF(H1104="T45",10,IF(H1104="T77",14,IF(H1104="T77",18,IF(H1104="T45",22,"")))))))</f>
        <v/>
      </c>
      <c r="J1104" s="1" t="s">
        <v>1808</v>
      </c>
      <c r="K1104" s="10">
        <v>2</v>
      </c>
      <c r="L1104" s="10">
        <v>1</v>
      </c>
      <c r="O1104" s="6"/>
      <c r="Q1104" s="42" t="s">
        <v>2962</v>
      </c>
      <c r="R1104" s="42"/>
      <c r="S1104" s="1"/>
    </row>
    <row r="1105" spans="1:19" ht="18.75" hidden="1" customHeight="1" x14ac:dyDescent="0.3">
      <c r="A1105" s="10">
        <v>1104</v>
      </c>
      <c r="B1105" s="10">
        <f>_xlfn.XLOOKUP(1,(VALUE(D1105)&gt;=VALUE(block!$C$3:$C$500))*(VALUE(D1105)&lt;VALUE(block!$C$3:$C$500)+VALUE(block!$D$3:$D$500)),block!$A$3:$A$500,"无匹配",0,1)</f>
        <v>29</v>
      </c>
      <c r="C1105" s="3" t="str">
        <f>B1105 &amp; "-" &amp; COUNTIF($B$2:B1105, B1105)</f>
        <v>29-30</v>
      </c>
      <c r="D1105" s="10">
        <v>10900</v>
      </c>
      <c r="E1105" s="1" t="s">
        <v>3895</v>
      </c>
      <c r="F1105" s="1" t="s">
        <v>3896</v>
      </c>
      <c r="G1105" s="1" t="s">
        <v>1840</v>
      </c>
      <c r="H1105" s="1" t="s">
        <v>1812</v>
      </c>
      <c r="I1105" s="10" t="str">
        <f>IF(H1105="T30",1,IF(H1105="T30",3,IF(H1105="T46",6,IF(H1105="T46",10,IF(H1105="T78",14,IF(H1105="T78",18,IF(H1105="T46",22,"")))))))</f>
        <v/>
      </c>
      <c r="J1105" s="1" t="s">
        <v>1808</v>
      </c>
      <c r="K1105" s="10">
        <v>2</v>
      </c>
      <c r="L1105" s="10">
        <v>1</v>
      </c>
      <c r="O1105" s="6"/>
      <c r="Q1105" s="42" t="s">
        <v>2962</v>
      </c>
      <c r="R1105" s="42"/>
      <c r="S1105" s="1"/>
    </row>
    <row r="1106" spans="1:19" ht="18.75" hidden="1" customHeight="1" x14ac:dyDescent="0.3">
      <c r="A1106" s="10">
        <v>1105</v>
      </c>
      <c r="B1106" s="10">
        <f>_xlfn.XLOOKUP(1,(VALUE(D1106)&gt;=VALUE(block!$C$3:$C$500))*(VALUE(D1106)&lt;VALUE(block!$C$3:$C$500)+VALUE(block!$D$3:$D$500)),block!$A$3:$A$500,"无匹配",0,1)</f>
        <v>29</v>
      </c>
      <c r="C1106" s="3" t="str">
        <f>B1106 &amp; "-" &amp; COUNTIF($B$2:B1106, B1106)</f>
        <v>29-31</v>
      </c>
      <c r="D1106" s="10">
        <v>10902</v>
      </c>
      <c r="E1106" s="1" t="s">
        <v>3897</v>
      </c>
      <c r="F1106" s="1" t="s">
        <v>3898</v>
      </c>
      <c r="G1106" s="1" t="s">
        <v>1840</v>
      </c>
      <c r="H1106" s="1" t="s">
        <v>1812</v>
      </c>
      <c r="I1106" s="10" t="str">
        <f>IF(H1106="T31",1,IF(H1106="T31",3,IF(H1106="T47",6,IF(H1106="T47",10,IF(H1106="T79",14,IF(H1106="T79",18,IF(H1106="T47",22,"")))))))</f>
        <v/>
      </c>
      <c r="J1106" s="1" t="s">
        <v>1808</v>
      </c>
      <c r="K1106" s="10">
        <v>2</v>
      </c>
      <c r="L1106" s="10">
        <v>1</v>
      </c>
      <c r="O1106" s="6"/>
      <c r="Q1106" s="42" t="s">
        <v>2962</v>
      </c>
      <c r="R1106" s="42"/>
      <c r="S1106" s="1"/>
    </row>
    <row r="1107" spans="1:19" ht="18.75" hidden="1" customHeight="1" x14ac:dyDescent="0.3">
      <c r="A1107" s="10">
        <v>1106</v>
      </c>
      <c r="B1107" s="10">
        <f>_xlfn.XLOOKUP(1,(VALUE(D1107)&gt;=VALUE(block!$C$3:$C$500))*(VALUE(D1107)&lt;VALUE(block!$C$3:$C$500)+VALUE(block!$D$3:$D$500)),block!$A$3:$A$500,"无匹配",0,1)</f>
        <v>29</v>
      </c>
      <c r="C1107" s="3" t="str">
        <f>B1107 &amp; "-" &amp; COUNTIF($B$2:B1107, B1107)</f>
        <v>29-32</v>
      </c>
      <c r="D1107" s="10">
        <v>10904</v>
      </c>
      <c r="E1107" s="1" t="s">
        <v>3899</v>
      </c>
      <c r="F1107" s="1" t="s">
        <v>3900</v>
      </c>
      <c r="G1107" s="1" t="s">
        <v>1840</v>
      </c>
      <c r="H1107" s="1" t="s">
        <v>1812</v>
      </c>
      <c r="I1107" s="10" t="str">
        <f>IF(H1107="T32",1,IF(H1107="T32",3,IF(H1107="T48",6,IF(H1107="T48",10,IF(H1107="T80",14,IF(H1107="T80",18,IF(H1107="T48",22,"")))))))</f>
        <v/>
      </c>
      <c r="J1107" s="1" t="s">
        <v>1808</v>
      </c>
      <c r="K1107" s="10">
        <v>2</v>
      </c>
      <c r="L1107" s="10">
        <v>1</v>
      </c>
      <c r="O1107" s="6"/>
      <c r="Q1107" s="42" t="s">
        <v>2962</v>
      </c>
      <c r="R1107" s="42"/>
      <c r="S1107" s="1"/>
    </row>
    <row r="1108" spans="1:19" ht="18.75" hidden="1" customHeight="1" x14ac:dyDescent="0.3">
      <c r="A1108" s="10">
        <v>1107</v>
      </c>
      <c r="B1108" s="10">
        <f>_xlfn.XLOOKUP(1,(VALUE(D1108)&gt;=VALUE(block!$C$3:$C$500))*(VALUE(D1108)&lt;VALUE(block!$C$3:$C$500)+VALUE(block!$D$3:$D$500)),block!$A$3:$A$500,"无匹配",0,1)</f>
        <v>29</v>
      </c>
      <c r="C1108" s="3" t="str">
        <f>B1108 &amp; "-" &amp; COUNTIF($B$2:B1108, B1108)</f>
        <v>29-33</v>
      </c>
      <c r="D1108" s="10">
        <v>10906</v>
      </c>
      <c r="E1108" s="1" t="s">
        <v>3901</v>
      </c>
      <c r="F1108" s="1" t="s">
        <v>3902</v>
      </c>
      <c r="G1108" s="1" t="s">
        <v>1840</v>
      </c>
      <c r="H1108" s="1" t="s">
        <v>1812</v>
      </c>
      <c r="I1108" s="10" t="str">
        <f>IF(H1108="T33",1,IF(H1108="T33",3,IF(H1108="T49",6,IF(H1108="T49",10,IF(H1108="T81",14,IF(H1108="T81",18,IF(H1108="T49",22,"")))))))</f>
        <v/>
      </c>
      <c r="J1108" s="1" t="s">
        <v>1808</v>
      </c>
      <c r="K1108" s="10">
        <v>2</v>
      </c>
      <c r="L1108" s="10">
        <v>1</v>
      </c>
      <c r="O1108" s="6"/>
      <c r="Q1108" s="42" t="s">
        <v>2962</v>
      </c>
      <c r="R1108" s="42"/>
      <c r="S1108" s="1"/>
    </row>
    <row r="1109" spans="1:19" ht="18.75" hidden="1" customHeight="1" x14ac:dyDescent="0.3">
      <c r="A1109" s="10">
        <v>1108</v>
      </c>
      <c r="B1109" s="10">
        <f>_xlfn.XLOOKUP(1,(VALUE(D1109)&gt;=VALUE(block!$C$3:$C$500))*(VALUE(D1109)&lt;VALUE(block!$C$3:$C$500)+VALUE(block!$D$3:$D$500)),block!$A$3:$A$500,"无匹配",0,1)</f>
        <v>29</v>
      </c>
      <c r="C1109" s="3" t="str">
        <f>B1109 &amp; "-" &amp; COUNTIF($B$2:B1109, B1109)</f>
        <v>29-34</v>
      </c>
      <c r="D1109" s="10">
        <v>10908</v>
      </c>
      <c r="E1109" s="1" t="s">
        <v>3903</v>
      </c>
      <c r="F1109" s="1" t="s">
        <v>3904</v>
      </c>
      <c r="G1109" s="1" t="s">
        <v>1840</v>
      </c>
      <c r="H1109" s="1" t="s">
        <v>1812</v>
      </c>
      <c r="I1109" s="10" t="str">
        <f>IF(H1109="T34",1,IF(H1109="T34",3,IF(H1109="T50",6,IF(H1109="T50",10,IF(H1109="T82",14,IF(H1109="T82",18,IF(H1109="T50",22,"")))))))</f>
        <v/>
      </c>
      <c r="J1109" s="1" t="s">
        <v>1808</v>
      </c>
      <c r="K1109" s="10">
        <v>2</v>
      </c>
      <c r="L1109" s="10">
        <v>1</v>
      </c>
      <c r="O1109" s="6"/>
      <c r="Q1109" s="42" t="s">
        <v>2962</v>
      </c>
      <c r="R1109" s="42"/>
      <c r="S1109" s="1"/>
    </row>
    <row r="1110" spans="1:19" ht="18.75" customHeight="1" x14ac:dyDescent="0.3">
      <c r="A1110" s="10">
        <v>1109</v>
      </c>
      <c r="B1110" s="10">
        <f>_xlfn.XLOOKUP(1,(VALUE(D1110)&gt;=VALUE(block!$C$3:$C$500))*(VALUE(D1110)&lt;VALUE(block!$C$3:$C$500)+VALUE(block!$D$3:$D$500)),block!$A$3:$A$500,"无匹配",0,1)</f>
        <v>30</v>
      </c>
      <c r="C1110" s="3" t="str">
        <f>B1110 &amp; "-" &amp; COUNTIF($B$2:B1110, B1110)</f>
        <v>30-1</v>
      </c>
      <c r="D1110" s="10">
        <v>10910</v>
      </c>
      <c r="E1110" s="1" t="s">
        <v>3905</v>
      </c>
      <c r="F1110" s="1" t="s">
        <v>3906</v>
      </c>
      <c r="G1110" s="1" t="s">
        <v>1840</v>
      </c>
      <c r="H1110" s="1" t="s">
        <v>1812</v>
      </c>
      <c r="I1110" s="10" t="str">
        <f>IF(H1110="T35",1,IF(H1110="T35",3,IF(H1110="T51",6,IF(H1110="T51",10,IF(H1110="T83",14,IF(H1110="T83",18,IF(H1110="T51",22,"")))))))</f>
        <v/>
      </c>
      <c r="J1110" s="1" t="s">
        <v>1808</v>
      </c>
      <c r="K1110" s="10">
        <v>2</v>
      </c>
      <c r="L1110" s="10">
        <v>1</v>
      </c>
      <c r="N1110" s="10">
        <v>4</v>
      </c>
      <c r="O1110" s="6"/>
      <c r="P1110" s="45" t="s">
        <v>2826</v>
      </c>
      <c r="Q1110" s="6">
        <v>14</v>
      </c>
      <c r="R1110" s="6"/>
      <c r="S1110" s="1" t="s">
        <v>3906</v>
      </c>
    </row>
    <row r="1111" spans="1:19" ht="18.75" customHeight="1" x14ac:dyDescent="0.3">
      <c r="A1111" s="10">
        <v>1110</v>
      </c>
      <c r="B1111" s="10">
        <f>_xlfn.XLOOKUP(1,(VALUE(D1111)&gt;=VALUE(block!$C$3:$C$500))*(VALUE(D1111)&lt;VALUE(block!$C$3:$C$500)+VALUE(block!$D$3:$D$500)),block!$A$3:$A$500,"无匹配",0,1)</f>
        <v>30</v>
      </c>
      <c r="C1111" s="3" t="str">
        <f>B1111 &amp; "-" &amp; COUNTIF($B$2:B1111, B1111)</f>
        <v>30-2</v>
      </c>
      <c r="D1111" s="10">
        <v>10912</v>
      </c>
      <c r="E1111" s="1" t="s">
        <v>3907</v>
      </c>
      <c r="F1111" s="1" t="s">
        <v>3908</v>
      </c>
      <c r="G1111" s="1" t="s">
        <v>1840</v>
      </c>
      <c r="H1111" s="1" t="s">
        <v>1812</v>
      </c>
      <c r="I1111" s="10" t="str">
        <f>IF(H1111="T36",1,IF(H1111="T36",3,IF(H1111="T52",6,IF(H1111="T52",10,IF(H1111="T84",14,IF(H1111="T84",18,IF(H1111="T52",22,"")))))))</f>
        <v/>
      </c>
      <c r="J1111" s="1" t="s">
        <v>1808</v>
      </c>
      <c r="K1111" s="10">
        <v>2</v>
      </c>
      <c r="L1111" s="10">
        <v>1</v>
      </c>
      <c r="N1111" s="10">
        <v>4</v>
      </c>
      <c r="O1111" s="6"/>
      <c r="P1111" s="45" t="s">
        <v>2826</v>
      </c>
      <c r="Q1111" s="6">
        <v>14</v>
      </c>
      <c r="R1111" s="6"/>
      <c r="S1111" s="1" t="s">
        <v>3908</v>
      </c>
    </row>
    <row r="1112" spans="1:19" ht="18.75" customHeight="1" x14ac:dyDescent="0.3">
      <c r="A1112" s="10">
        <v>1111</v>
      </c>
      <c r="B1112" s="10">
        <f>_xlfn.XLOOKUP(1,(VALUE(D1112)&gt;=VALUE(block!$C$3:$C$500))*(VALUE(D1112)&lt;VALUE(block!$C$3:$C$500)+VALUE(block!$D$3:$D$500)),block!$A$3:$A$500,"无匹配",0,1)</f>
        <v>30</v>
      </c>
      <c r="C1112" s="3" t="str">
        <f>B1112 &amp; "-" &amp; COUNTIF($B$2:B1112, B1112)</f>
        <v>30-3</v>
      </c>
      <c r="D1112" s="10">
        <v>10914</v>
      </c>
      <c r="E1112" s="1" t="s">
        <v>3909</v>
      </c>
      <c r="F1112" s="1" t="s">
        <v>3910</v>
      </c>
      <c r="G1112" s="1" t="s">
        <v>1840</v>
      </c>
      <c r="H1112" s="1" t="s">
        <v>1812</v>
      </c>
      <c r="I1112" s="10" t="str">
        <f>IF(H1112="T37",1,IF(H1112="T37",3,IF(H1112="T53",6,IF(H1112="T53",10,IF(H1112="T85",14,IF(H1112="T85",18,IF(H1112="T53",22,"")))))))</f>
        <v/>
      </c>
      <c r="J1112" s="1" t="s">
        <v>1808</v>
      </c>
      <c r="K1112" s="10">
        <v>2</v>
      </c>
      <c r="L1112" s="10">
        <v>1</v>
      </c>
      <c r="N1112" s="10">
        <v>4</v>
      </c>
      <c r="O1112" s="6"/>
      <c r="P1112" s="45" t="s">
        <v>2826</v>
      </c>
      <c r="Q1112" s="6">
        <v>14</v>
      </c>
      <c r="R1112" s="6"/>
      <c r="S1112" s="1" t="s">
        <v>3910</v>
      </c>
    </row>
    <row r="1113" spans="1:19" ht="18.75" customHeight="1" x14ac:dyDescent="0.3">
      <c r="A1113" s="10">
        <v>1112</v>
      </c>
      <c r="B1113" s="10">
        <f>_xlfn.XLOOKUP(1,(VALUE(D1113)&gt;=VALUE(block!$C$3:$C$500))*(VALUE(D1113)&lt;VALUE(block!$C$3:$C$500)+VALUE(block!$D$3:$D$500)),block!$A$3:$A$500,"无匹配",0,1)</f>
        <v>30</v>
      </c>
      <c r="C1113" s="3" t="str">
        <f>B1113 &amp; "-" &amp; COUNTIF($B$2:B1113, B1113)</f>
        <v>30-4</v>
      </c>
      <c r="D1113" s="10">
        <v>10916</v>
      </c>
      <c r="E1113" s="1" t="s">
        <v>3911</v>
      </c>
      <c r="F1113" s="1" t="s">
        <v>3912</v>
      </c>
      <c r="G1113" s="1" t="s">
        <v>1840</v>
      </c>
      <c r="H1113" s="1" t="s">
        <v>1812</v>
      </c>
      <c r="I1113" s="10" t="str">
        <f>IF(H1113="T38",1,IF(H1113="T38",3,IF(H1113="T54",6,IF(H1113="T54",10,IF(H1113="T86",14,IF(H1113="T86",18,IF(H1113="T54",22,"")))))))</f>
        <v/>
      </c>
      <c r="J1113" s="1" t="s">
        <v>1808</v>
      </c>
      <c r="K1113" s="10">
        <v>2</v>
      </c>
      <c r="L1113" s="10">
        <v>1</v>
      </c>
      <c r="N1113" s="10">
        <v>4</v>
      </c>
      <c r="O1113" s="6"/>
      <c r="P1113" s="45" t="s">
        <v>2826</v>
      </c>
      <c r="Q1113" s="6">
        <v>14</v>
      </c>
      <c r="R1113" s="6"/>
      <c r="S1113" s="1" t="s">
        <v>3912</v>
      </c>
    </row>
    <row r="1114" spans="1:19" ht="18.75" hidden="1" customHeight="1" x14ac:dyDescent="0.3">
      <c r="A1114" s="10">
        <v>1113</v>
      </c>
      <c r="B1114" s="10">
        <f>_xlfn.XLOOKUP(1,(VALUE(D1114)&gt;=VALUE(block!$C$3:$C$500))*(VALUE(D1114)&lt;VALUE(block!$C$3:$C$500)+VALUE(block!$D$3:$D$500)),block!$A$3:$A$500,"无匹配",0,1)</f>
        <v>30</v>
      </c>
      <c r="C1114" s="3" t="str">
        <f>B1114 &amp; "-" &amp; COUNTIF($B$2:B1114, B1114)</f>
        <v>30-5</v>
      </c>
      <c r="D1114" s="10">
        <v>10918</v>
      </c>
      <c r="E1114" s="1" t="s">
        <v>3913</v>
      </c>
      <c r="F1114" s="1" t="s">
        <v>3914</v>
      </c>
      <c r="G1114" s="1" t="s">
        <v>1840</v>
      </c>
      <c r="H1114" s="1" t="s">
        <v>1812</v>
      </c>
      <c r="I1114" s="10" t="str">
        <f>IF(H1114="T39",1,IF(H1114="T39",3,IF(H1114="T55",6,IF(H1114="T55",10,IF(H1114="T87",14,IF(H1114="T87",18,IF(H1114="T55",22,"")))))))</f>
        <v/>
      </c>
      <c r="J1114" s="1" t="s">
        <v>1808</v>
      </c>
      <c r="K1114" s="10">
        <v>2</v>
      </c>
      <c r="L1114" s="10">
        <v>1</v>
      </c>
      <c r="O1114" s="6"/>
      <c r="Q1114" s="42" t="s">
        <v>2962</v>
      </c>
      <c r="R1114" s="42"/>
      <c r="S1114" s="1"/>
    </row>
    <row r="1115" spans="1:19" ht="18.75" hidden="1" customHeight="1" x14ac:dyDescent="0.3">
      <c r="A1115" s="10">
        <v>1114</v>
      </c>
      <c r="B1115" s="10">
        <f>_xlfn.XLOOKUP(1,(VALUE(D1115)&gt;=VALUE(block!$C$3:$C$500))*(VALUE(D1115)&lt;VALUE(block!$C$3:$C$500)+VALUE(block!$D$3:$D$500)),block!$A$3:$A$500,"无匹配",0,1)</f>
        <v>30</v>
      </c>
      <c r="C1115" s="3" t="str">
        <f>B1115 &amp; "-" &amp; COUNTIF($B$2:B1115, B1115)</f>
        <v>30-6</v>
      </c>
      <c r="D1115" s="10">
        <v>10920</v>
      </c>
      <c r="E1115" s="1" t="s">
        <v>3915</v>
      </c>
      <c r="F1115" s="1" t="s">
        <v>3916</v>
      </c>
      <c r="G1115" s="1" t="s">
        <v>1840</v>
      </c>
      <c r="H1115" s="1" t="s">
        <v>1812</v>
      </c>
      <c r="I1115" s="10" t="str">
        <f>IF(H1115="T40",1,IF(H1115="T40",3,IF(H1115="T56",6,IF(H1115="T56",10,IF(H1115="T88",14,IF(H1115="T88",18,IF(H1115="T56",22,"")))))))</f>
        <v/>
      </c>
      <c r="J1115" s="1" t="s">
        <v>1808</v>
      </c>
      <c r="K1115" s="10">
        <v>2</v>
      </c>
      <c r="L1115" s="10">
        <v>1</v>
      </c>
      <c r="O1115" s="6"/>
      <c r="Q1115" s="42" t="s">
        <v>2962</v>
      </c>
      <c r="R1115" s="42"/>
      <c r="S1115" s="1"/>
    </row>
    <row r="1116" spans="1:19" ht="18.75" hidden="1" customHeight="1" x14ac:dyDescent="0.3">
      <c r="A1116" s="10">
        <v>1115</v>
      </c>
      <c r="B1116" s="10">
        <f>_xlfn.XLOOKUP(1,(VALUE(D1116)&gt;=VALUE(block!$C$3:$C$500))*(VALUE(D1116)&lt;VALUE(block!$C$3:$C$500)+VALUE(block!$D$3:$D$500)),block!$A$3:$A$500,"无匹配",0,1)</f>
        <v>30</v>
      </c>
      <c r="C1116" s="3" t="str">
        <f>B1116 &amp; "-" &amp; COUNTIF($B$2:B1116, B1116)</f>
        <v>30-7</v>
      </c>
      <c r="D1116" s="10">
        <v>10922</v>
      </c>
      <c r="E1116" s="1" t="s">
        <v>3917</v>
      </c>
      <c r="F1116" s="1" t="s">
        <v>3918</v>
      </c>
      <c r="G1116" s="1" t="s">
        <v>1840</v>
      </c>
      <c r="H1116" s="1" t="s">
        <v>1812</v>
      </c>
      <c r="I1116" s="10" t="str">
        <f>IF(H1116="T41",1,IF(H1116="T41",3,IF(H1116="T57",6,IF(H1116="T57",10,IF(H1116="T89",14,IF(H1116="T89",18,IF(H1116="T57",22,"")))))))</f>
        <v/>
      </c>
      <c r="J1116" s="1" t="s">
        <v>1808</v>
      </c>
      <c r="K1116" s="10">
        <v>2</v>
      </c>
      <c r="L1116" s="10">
        <v>1</v>
      </c>
      <c r="O1116" s="6"/>
      <c r="Q1116" s="42" t="s">
        <v>2962</v>
      </c>
      <c r="R1116" s="42"/>
      <c r="S1116" s="1"/>
    </row>
    <row r="1117" spans="1:19" ht="18.75" hidden="1" customHeight="1" x14ac:dyDescent="0.3">
      <c r="A1117" s="10">
        <v>1116</v>
      </c>
      <c r="B1117" s="10">
        <f>_xlfn.XLOOKUP(1,(VALUE(D1117)&gt;=VALUE(block!$C$3:$C$500))*(VALUE(D1117)&lt;VALUE(block!$C$3:$C$500)+VALUE(block!$D$3:$D$500)),block!$A$3:$A$500,"无匹配",0,1)</f>
        <v>30</v>
      </c>
      <c r="C1117" s="3" t="str">
        <f>B1117 &amp; "-" &amp; COUNTIF($B$2:B1117, B1117)</f>
        <v>30-8</v>
      </c>
      <c r="D1117" s="10">
        <v>10924</v>
      </c>
      <c r="E1117" s="1" t="s">
        <v>3919</v>
      </c>
      <c r="F1117" s="1" t="s">
        <v>3920</v>
      </c>
      <c r="G1117" s="1" t="s">
        <v>1840</v>
      </c>
      <c r="H1117" s="1" t="s">
        <v>1812</v>
      </c>
      <c r="I1117" s="10" t="str">
        <f>IF(H1117="T42",1,IF(H1117="T42",3,IF(H1117="T58",6,IF(H1117="T58",10,IF(H1117="T90",14,IF(H1117="T90",18,IF(H1117="T58",22,"")))))))</f>
        <v/>
      </c>
      <c r="J1117" s="1" t="s">
        <v>1808</v>
      </c>
      <c r="K1117" s="10">
        <v>2</v>
      </c>
      <c r="L1117" s="10">
        <v>1</v>
      </c>
      <c r="O1117" s="6"/>
      <c r="Q1117" s="42" t="s">
        <v>2962</v>
      </c>
      <c r="R1117" s="42"/>
      <c r="S1117" s="1"/>
    </row>
    <row r="1118" spans="1:19" ht="18.75" hidden="1" customHeight="1" x14ac:dyDescent="0.3">
      <c r="A1118" s="10">
        <v>1117</v>
      </c>
      <c r="B1118" s="10">
        <f>_xlfn.XLOOKUP(1,(VALUE(D1118)&gt;=VALUE(block!$C$3:$C$500))*(VALUE(D1118)&lt;VALUE(block!$C$3:$C$500)+VALUE(block!$D$3:$D$500)),block!$A$3:$A$500,"无匹配",0,1)</f>
        <v>30</v>
      </c>
      <c r="C1118" s="3" t="str">
        <f>B1118 &amp; "-" &amp; COUNTIF($B$2:B1118, B1118)</f>
        <v>30-9</v>
      </c>
      <c r="D1118" s="10">
        <v>10926</v>
      </c>
      <c r="E1118" s="1" t="s">
        <v>3921</v>
      </c>
      <c r="F1118" s="1" t="s">
        <v>3922</v>
      </c>
      <c r="G1118" s="1" t="s">
        <v>1840</v>
      </c>
      <c r="H1118" s="1" t="s">
        <v>1812</v>
      </c>
      <c r="I1118" s="10" t="str">
        <f>IF(H1118="T43",1,IF(H1118="T43",3,IF(H1118="T59",6,IF(H1118="T59",10,IF(H1118="T91",14,IF(H1118="T91",18,IF(H1118="T59",22,"")))))))</f>
        <v/>
      </c>
      <c r="J1118" s="1" t="s">
        <v>1808</v>
      </c>
      <c r="K1118" s="10">
        <v>2</v>
      </c>
      <c r="L1118" s="10">
        <v>1</v>
      </c>
      <c r="O1118" s="6"/>
      <c r="Q1118" s="42" t="s">
        <v>2962</v>
      </c>
      <c r="R1118" s="42"/>
      <c r="S1118" s="1"/>
    </row>
    <row r="1119" spans="1:19" ht="18.75" hidden="1" customHeight="1" x14ac:dyDescent="0.3">
      <c r="A1119" s="10">
        <v>1118</v>
      </c>
      <c r="B1119" s="10">
        <f>_xlfn.XLOOKUP(1,(VALUE(D1119)&gt;=VALUE(block!$C$3:$C$500))*(VALUE(D1119)&lt;VALUE(block!$C$3:$C$500)+VALUE(block!$D$3:$D$500)),block!$A$3:$A$500,"无匹配",0,1)</f>
        <v>30</v>
      </c>
      <c r="C1119" s="3" t="str">
        <f>B1119 &amp; "-" &amp; COUNTIF($B$2:B1119, B1119)</f>
        <v>30-10</v>
      </c>
      <c r="D1119" s="10">
        <v>10928</v>
      </c>
      <c r="E1119" s="1" t="s">
        <v>3923</v>
      </c>
      <c r="F1119" s="1" t="s">
        <v>3924</v>
      </c>
      <c r="G1119" s="1" t="s">
        <v>1840</v>
      </c>
      <c r="H1119" s="1" t="s">
        <v>1812</v>
      </c>
      <c r="I1119" s="10" t="str">
        <f>IF(H1119="T44",1,IF(H1119="T44",3,IF(H1119="T60",6,IF(H1119="T60",10,IF(H1119="T92",14,IF(H1119="T92",18,IF(H1119="T60",22,"")))))))</f>
        <v/>
      </c>
      <c r="J1119" s="1" t="s">
        <v>1808</v>
      </c>
      <c r="K1119" s="10">
        <v>2</v>
      </c>
      <c r="L1119" s="10">
        <v>1</v>
      </c>
      <c r="O1119" s="6"/>
      <c r="Q1119" s="42" t="s">
        <v>2962</v>
      </c>
      <c r="R1119" s="42"/>
      <c r="S1119" s="1"/>
    </row>
    <row r="1120" spans="1:19" ht="18.75" hidden="1" customHeight="1" x14ac:dyDescent="0.3">
      <c r="A1120" s="10">
        <v>1119</v>
      </c>
      <c r="B1120" s="10">
        <f>_xlfn.XLOOKUP(1,(VALUE(D1120)&gt;=VALUE(block!$C$3:$C$500))*(VALUE(D1120)&lt;VALUE(block!$C$3:$C$500)+VALUE(block!$D$3:$D$500)),block!$A$3:$A$500,"无匹配",0,1)</f>
        <v>30</v>
      </c>
      <c r="C1120" s="3" t="str">
        <f>B1120 &amp; "-" &amp; COUNTIF($B$2:B1120, B1120)</f>
        <v>30-11</v>
      </c>
      <c r="D1120" s="10">
        <v>10930</v>
      </c>
      <c r="E1120" s="1" t="s">
        <v>3925</v>
      </c>
      <c r="F1120" s="1" t="s">
        <v>3926</v>
      </c>
      <c r="G1120" s="1" t="s">
        <v>1840</v>
      </c>
      <c r="H1120" s="1" t="s">
        <v>1812</v>
      </c>
      <c r="I1120" s="10" t="str">
        <f>IF(H1120="T45",1,IF(H1120="T45",3,IF(H1120="T61",6,IF(H1120="T61",10,IF(H1120="T93",14,IF(H1120="T93",18,IF(H1120="T61",22,"")))))))</f>
        <v/>
      </c>
      <c r="J1120" s="1" t="s">
        <v>1808</v>
      </c>
      <c r="K1120" s="10">
        <v>2</v>
      </c>
      <c r="L1120" s="10">
        <v>1</v>
      </c>
      <c r="O1120" s="6"/>
      <c r="Q1120" s="42" t="s">
        <v>2962</v>
      </c>
      <c r="R1120" s="42"/>
      <c r="S1120" s="1"/>
    </row>
    <row r="1121" spans="1:19" ht="18.75" hidden="1" customHeight="1" x14ac:dyDescent="0.3">
      <c r="A1121" s="10">
        <v>1120</v>
      </c>
      <c r="B1121" s="10">
        <f>_xlfn.XLOOKUP(1,(VALUE(D1121)&gt;=VALUE(block!$C$3:$C$500))*(VALUE(D1121)&lt;VALUE(block!$C$3:$C$500)+VALUE(block!$D$3:$D$500)),block!$A$3:$A$500,"无匹配",0,1)</f>
        <v>30</v>
      </c>
      <c r="C1121" s="3" t="str">
        <f>B1121 &amp; "-" &amp; COUNTIF($B$2:B1121, B1121)</f>
        <v>30-12</v>
      </c>
      <c r="D1121" s="10">
        <v>10932</v>
      </c>
      <c r="E1121" s="1" t="s">
        <v>3927</v>
      </c>
      <c r="F1121" s="1" t="s">
        <v>3928</v>
      </c>
      <c r="G1121" s="1" t="s">
        <v>1840</v>
      </c>
      <c r="H1121" s="1" t="s">
        <v>1812</v>
      </c>
      <c r="I1121" s="10" t="str">
        <f>IF(H1121="T46",1,IF(H1121="T46",3,IF(H1121="T62",6,IF(H1121="T62",10,IF(H1121="T94",14,IF(H1121="T94",18,IF(H1121="T62",22,"")))))))</f>
        <v/>
      </c>
      <c r="J1121" s="1" t="s">
        <v>1808</v>
      </c>
      <c r="K1121" s="10">
        <v>2</v>
      </c>
      <c r="L1121" s="10">
        <v>1</v>
      </c>
      <c r="O1121" s="6"/>
      <c r="Q1121" s="42" t="s">
        <v>2962</v>
      </c>
      <c r="R1121" s="42"/>
      <c r="S1121" s="1"/>
    </row>
    <row r="1122" spans="1:19" ht="18.75" hidden="1" customHeight="1" x14ac:dyDescent="0.3">
      <c r="A1122" s="10">
        <v>1121</v>
      </c>
      <c r="B1122" s="10">
        <f>_xlfn.XLOOKUP(1,(VALUE(D1122)&gt;=VALUE(block!$C$3:$C$500))*(VALUE(D1122)&lt;VALUE(block!$C$3:$C$500)+VALUE(block!$D$3:$D$500)),block!$A$3:$A$500,"无匹配",0,1)</f>
        <v>30</v>
      </c>
      <c r="C1122" s="3" t="str">
        <f>B1122 &amp; "-" &amp; COUNTIF($B$2:B1122, B1122)</f>
        <v>30-13</v>
      </c>
      <c r="D1122" s="10">
        <v>10934</v>
      </c>
      <c r="E1122" s="1" t="s">
        <v>3929</v>
      </c>
      <c r="F1122" s="1" t="s">
        <v>3930</v>
      </c>
      <c r="G1122" s="1" t="s">
        <v>1840</v>
      </c>
      <c r="H1122" s="1" t="s">
        <v>1812</v>
      </c>
      <c r="I1122" s="10" t="str">
        <f>IF(H1122="T47",1,IF(H1122="T47",3,IF(H1122="T63",6,IF(H1122="T63",10,IF(H1122="T95",14,IF(H1122="T95",18,IF(H1122="T63",22,"")))))))</f>
        <v/>
      </c>
      <c r="J1122" s="1" t="s">
        <v>1808</v>
      </c>
      <c r="K1122" s="10">
        <v>2</v>
      </c>
      <c r="L1122" s="10">
        <v>1</v>
      </c>
      <c r="O1122" s="6"/>
      <c r="Q1122" s="42" t="s">
        <v>2962</v>
      </c>
      <c r="R1122" s="42"/>
      <c r="S1122" s="1"/>
    </row>
    <row r="1123" spans="1:19" ht="18.75" hidden="1" customHeight="1" x14ac:dyDescent="0.3">
      <c r="A1123" s="10">
        <v>1122</v>
      </c>
      <c r="B1123" s="10">
        <f>_xlfn.XLOOKUP(1,(VALUE(D1123)&gt;=VALUE(block!$C$3:$C$500))*(VALUE(D1123)&lt;VALUE(block!$C$3:$C$500)+VALUE(block!$D$3:$D$500)),block!$A$3:$A$500,"无匹配",0,1)</f>
        <v>30</v>
      </c>
      <c r="C1123" s="3" t="str">
        <f>B1123 &amp; "-" &amp; COUNTIF($B$2:B1123, B1123)</f>
        <v>30-14</v>
      </c>
      <c r="D1123" s="10">
        <v>10936</v>
      </c>
      <c r="E1123" s="1" t="s">
        <v>3931</v>
      </c>
      <c r="F1123" s="1" t="s">
        <v>3932</v>
      </c>
      <c r="G1123" s="1" t="s">
        <v>1840</v>
      </c>
      <c r="H1123" s="1" t="s">
        <v>1812</v>
      </c>
      <c r="I1123" s="10" t="str">
        <f>IF(H1123="T48",1,IF(H1123="T48",3,IF(H1123="T64",6,IF(H1123="T64",10,IF(H1123="T96",14,IF(H1123="T96",18,IF(H1123="T64",22,"")))))))</f>
        <v/>
      </c>
      <c r="J1123" s="1" t="s">
        <v>1808</v>
      </c>
      <c r="K1123" s="10">
        <v>2</v>
      </c>
      <c r="L1123" s="10">
        <v>1</v>
      </c>
      <c r="O1123" s="6"/>
      <c r="Q1123" s="42" t="s">
        <v>2962</v>
      </c>
      <c r="R1123" s="42"/>
      <c r="S1123" s="1"/>
    </row>
    <row r="1124" spans="1:19" ht="18.75" hidden="1" customHeight="1" x14ac:dyDescent="0.3">
      <c r="A1124" s="10">
        <v>1123</v>
      </c>
      <c r="B1124" s="10">
        <f>_xlfn.XLOOKUP(1,(VALUE(D1124)&gt;=VALUE(block!$C$3:$C$500))*(VALUE(D1124)&lt;VALUE(block!$C$3:$C$500)+VALUE(block!$D$3:$D$500)),block!$A$3:$A$500,"无匹配",0,1)</f>
        <v>30</v>
      </c>
      <c r="C1124" s="3" t="str">
        <f>B1124 &amp; "-" &amp; COUNTIF($B$2:B1124, B1124)</f>
        <v>30-15</v>
      </c>
      <c r="D1124" s="10">
        <v>10938</v>
      </c>
      <c r="E1124" s="1" t="s">
        <v>3933</v>
      </c>
      <c r="F1124" s="1" t="s">
        <v>3934</v>
      </c>
      <c r="G1124" s="1" t="s">
        <v>1840</v>
      </c>
      <c r="H1124" s="1" t="s">
        <v>1812</v>
      </c>
      <c r="I1124" s="10" t="str">
        <f>IF(H1124="T49",1,IF(H1124="T49",3,IF(H1124="T65",6,IF(H1124="T65",10,IF(H1124="T97",14,IF(H1124="T97",18,IF(H1124="T65",22,"")))))))</f>
        <v/>
      </c>
      <c r="J1124" s="1" t="s">
        <v>1808</v>
      </c>
      <c r="K1124" s="10">
        <v>2</v>
      </c>
      <c r="L1124" s="10">
        <v>1</v>
      </c>
      <c r="O1124" s="6"/>
      <c r="Q1124" s="42" t="s">
        <v>2962</v>
      </c>
      <c r="R1124" s="42"/>
      <c r="S1124" s="1"/>
    </row>
    <row r="1125" spans="1:19" ht="18.75" hidden="1" customHeight="1" x14ac:dyDescent="0.3">
      <c r="A1125" s="10">
        <v>1124</v>
      </c>
      <c r="B1125" s="10">
        <f>_xlfn.XLOOKUP(1,(VALUE(D1125)&gt;=VALUE(block!$C$3:$C$500))*(VALUE(D1125)&lt;VALUE(block!$C$3:$C$500)+VALUE(block!$D$3:$D$500)),block!$A$3:$A$500,"无匹配",0,1)</f>
        <v>30</v>
      </c>
      <c r="C1125" s="3" t="str">
        <f>B1125 &amp; "-" &amp; COUNTIF($B$2:B1125, B1125)</f>
        <v>30-16</v>
      </c>
      <c r="D1125" s="10">
        <v>10940</v>
      </c>
      <c r="E1125" s="1" t="s">
        <v>3935</v>
      </c>
      <c r="F1125" s="1" t="s">
        <v>3936</v>
      </c>
      <c r="G1125" s="1" t="s">
        <v>1840</v>
      </c>
      <c r="H1125" s="1" t="s">
        <v>1812</v>
      </c>
      <c r="I1125" s="10" t="str">
        <f>IF(H1125="T50",1,IF(H1125="T50",3,IF(H1125="T66",6,IF(H1125="T66",10,IF(H1125="T98",14,IF(H1125="T98",18,IF(H1125="T66",22,"")))))))</f>
        <v/>
      </c>
      <c r="J1125" s="1" t="s">
        <v>1808</v>
      </c>
      <c r="K1125" s="10">
        <v>2</v>
      </c>
      <c r="L1125" s="10">
        <v>1</v>
      </c>
      <c r="O1125" s="6"/>
      <c r="Q1125" s="42" t="s">
        <v>2962</v>
      </c>
      <c r="R1125" s="42"/>
      <c r="S1125" s="1"/>
    </row>
    <row r="1126" spans="1:19" ht="18.75" hidden="1" customHeight="1" x14ac:dyDescent="0.3">
      <c r="A1126" s="10">
        <v>1125</v>
      </c>
      <c r="B1126" s="10">
        <f>_xlfn.XLOOKUP(1,(VALUE(D1126)&gt;=VALUE(block!$C$3:$C$500))*(VALUE(D1126)&lt;VALUE(block!$C$3:$C$500)+VALUE(block!$D$3:$D$500)),block!$A$3:$A$500,"无匹配",0,1)</f>
        <v>30</v>
      </c>
      <c r="C1126" s="3" t="str">
        <f>B1126 &amp; "-" &amp; COUNTIF($B$2:B1126, B1126)</f>
        <v>30-17</v>
      </c>
      <c r="D1126" s="10">
        <v>10942</v>
      </c>
      <c r="E1126" s="1" t="s">
        <v>3937</v>
      </c>
      <c r="F1126" s="1" t="s">
        <v>3938</v>
      </c>
      <c r="G1126" s="1" t="s">
        <v>1840</v>
      </c>
      <c r="H1126" s="1" t="s">
        <v>1812</v>
      </c>
      <c r="I1126" s="10" t="str">
        <f>IF(H1126="T51",1,IF(H1126="T51",3,IF(H1126="T67",6,IF(H1126="T67",10,IF(H1126="T99",14,IF(H1126="T99",18,IF(H1126="T67",22,"")))))))</f>
        <v/>
      </c>
      <c r="J1126" s="1" t="s">
        <v>1808</v>
      </c>
      <c r="K1126" s="10">
        <v>2</v>
      </c>
      <c r="L1126" s="10">
        <v>1</v>
      </c>
      <c r="O1126" s="6"/>
      <c r="Q1126" s="42" t="s">
        <v>2962</v>
      </c>
      <c r="R1126" s="42"/>
      <c r="S1126" s="1"/>
    </row>
    <row r="1127" spans="1:19" ht="18.75" hidden="1" customHeight="1" x14ac:dyDescent="0.3">
      <c r="A1127" s="10">
        <v>1126</v>
      </c>
      <c r="B1127" s="10">
        <f>_xlfn.XLOOKUP(1,(VALUE(D1127)&gt;=VALUE(block!$C$3:$C$500))*(VALUE(D1127)&lt;VALUE(block!$C$3:$C$500)+VALUE(block!$D$3:$D$500)),block!$A$3:$A$500,"无匹配",0,1)</f>
        <v>30</v>
      </c>
      <c r="C1127" s="3" t="str">
        <f>B1127 &amp; "-" &amp; COUNTIF($B$2:B1127, B1127)</f>
        <v>30-18</v>
      </c>
      <c r="D1127" s="10">
        <v>10944</v>
      </c>
      <c r="E1127" s="1" t="s">
        <v>3939</v>
      </c>
      <c r="F1127" s="1" t="s">
        <v>3940</v>
      </c>
      <c r="G1127" s="1" t="s">
        <v>1840</v>
      </c>
      <c r="H1127" s="1" t="s">
        <v>1812</v>
      </c>
      <c r="I1127" s="10" t="str">
        <f>IF(H1127="T52",1,IF(H1127="T52",3,IF(H1127="T68",6,IF(H1127="T68",10,IF(H1127="T100",14,IF(H1127="T100",18,IF(H1127="T68",22,"")))))))</f>
        <v/>
      </c>
      <c r="J1127" s="1" t="s">
        <v>1808</v>
      </c>
      <c r="K1127" s="10">
        <v>2</v>
      </c>
      <c r="L1127" s="10">
        <v>1</v>
      </c>
      <c r="O1127" s="6"/>
      <c r="Q1127" s="42" t="s">
        <v>2962</v>
      </c>
      <c r="R1127" s="42"/>
      <c r="S1127" s="1"/>
    </row>
    <row r="1128" spans="1:19" ht="18.75" hidden="1" customHeight="1" x14ac:dyDescent="0.3">
      <c r="A1128" s="10">
        <v>1127</v>
      </c>
      <c r="B1128" s="10">
        <f>_xlfn.XLOOKUP(1,(VALUE(D1128)&gt;=VALUE(block!$C$3:$C$500))*(VALUE(D1128)&lt;VALUE(block!$C$3:$C$500)+VALUE(block!$D$3:$D$500)),block!$A$3:$A$500,"无匹配",0,1)</f>
        <v>30</v>
      </c>
      <c r="C1128" s="3" t="str">
        <f>B1128 &amp; "-" &amp; COUNTIF($B$2:B1128, B1128)</f>
        <v>30-19</v>
      </c>
      <c r="D1128" s="10">
        <v>10946</v>
      </c>
      <c r="E1128" s="1" t="s">
        <v>3941</v>
      </c>
      <c r="F1128" s="1" t="s">
        <v>3942</v>
      </c>
      <c r="G1128" s="1" t="s">
        <v>1840</v>
      </c>
      <c r="H1128" s="1" t="s">
        <v>1812</v>
      </c>
      <c r="I1128" s="10" t="str">
        <f>IF(H1128="T53",1,IF(H1128="T53",3,IF(H1128="T69",6,IF(H1128="T69",10,IF(H1128="T101",14,IF(H1128="T101",18,IF(H1128="T69",22,"")))))))</f>
        <v/>
      </c>
      <c r="J1128" s="1" t="s">
        <v>1808</v>
      </c>
      <c r="K1128" s="10">
        <v>2</v>
      </c>
      <c r="L1128" s="10">
        <v>1</v>
      </c>
      <c r="O1128" s="6"/>
      <c r="Q1128" s="42" t="s">
        <v>2962</v>
      </c>
      <c r="R1128" s="42"/>
      <c r="S1128" s="1"/>
    </row>
    <row r="1129" spans="1:19" ht="18.75" hidden="1" customHeight="1" x14ac:dyDescent="0.3">
      <c r="A1129" s="10">
        <v>1128</v>
      </c>
      <c r="B1129" s="10">
        <f>_xlfn.XLOOKUP(1,(VALUE(D1129)&gt;=VALUE(block!$C$3:$C$500))*(VALUE(D1129)&lt;VALUE(block!$C$3:$C$500)+VALUE(block!$D$3:$D$500)),block!$A$3:$A$500,"无匹配",0,1)</f>
        <v>30</v>
      </c>
      <c r="C1129" s="3" t="str">
        <f>B1129 &amp; "-" &amp; COUNTIF($B$2:B1129, B1129)</f>
        <v>30-20</v>
      </c>
      <c r="D1129" s="10">
        <v>10948</v>
      </c>
      <c r="E1129" s="1" t="s">
        <v>3943</v>
      </c>
      <c r="F1129" s="1" t="s">
        <v>3944</v>
      </c>
      <c r="G1129" s="1" t="s">
        <v>1840</v>
      </c>
      <c r="H1129" s="1" t="s">
        <v>1812</v>
      </c>
      <c r="I1129" s="10" t="str">
        <f>IF(H1129="T54",1,IF(H1129="T54",3,IF(H1129="T70",6,IF(H1129="T70",10,IF(H1129="T102",14,IF(H1129="T102",18,IF(H1129="T70",22,"")))))))</f>
        <v/>
      </c>
      <c r="J1129" s="1" t="s">
        <v>1808</v>
      </c>
      <c r="K1129" s="10">
        <v>2</v>
      </c>
      <c r="L1129" s="10">
        <v>1</v>
      </c>
      <c r="O1129" s="6"/>
      <c r="Q1129" s="42" t="s">
        <v>2962</v>
      </c>
      <c r="R1129" s="42"/>
      <c r="S1129" s="1"/>
    </row>
    <row r="1130" spans="1:19" ht="18.75" hidden="1" customHeight="1" x14ac:dyDescent="0.3">
      <c r="A1130" s="10">
        <v>1129</v>
      </c>
      <c r="B1130" s="10">
        <f>_xlfn.XLOOKUP(1,(VALUE(D1130)&gt;=VALUE(block!$C$3:$C$500))*(VALUE(D1130)&lt;VALUE(block!$C$3:$C$500)+VALUE(block!$D$3:$D$500)),block!$A$3:$A$500,"无匹配",0,1)</f>
        <v>30</v>
      </c>
      <c r="C1130" s="3" t="str">
        <f>B1130 &amp; "-" &amp; COUNTIF($B$2:B1130, B1130)</f>
        <v>30-21</v>
      </c>
      <c r="D1130" s="10">
        <v>10950</v>
      </c>
      <c r="E1130" s="1" t="s">
        <v>3945</v>
      </c>
      <c r="F1130" s="1" t="s">
        <v>3946</v>
      </c>
      <c r="G1130" s="1" t="s">
        <v>1840</v>
      </c>
      <c r="H1130" s="1" t="s">
        <v>1812</v>
      </c>
      <c r="I1130" s="10" t="str">
        <f>IF(H1130="T55",1,IF(H1130="T55",3,IF(H1130="T71",6,IF(H1130="T71",10,IF(H1130="T103",14,IF(H1130="T103",18,IF(H1130="T71",22,"")))))))</f>
        <v/>
      </c>
      <c r="J1130" s="1" t="s">
        <v>1808</v>
      </c>
      <c r="K1130" s="10">
        <v>2</v>
      </c>
      <c r="L1130" s="10">
        <v>1</v>
      </c>
      <c r="O1130" s="6"/>
      <c r="Q1130" s="42" t="s">
        <v>2962</v>
      </c>
      <c r="R1130" s="42"/>
      <c r="S1130" s="1"/>
    </row>
    <row r="1131" spans="1:19" ht="18.75" hidden="1" customHeight="1" x14ac:dyDescent="0.3">
      <c r="A1131" s="10">
        <v>1130</v>
      </c>
      <c r="B1131" s="10">
        <f>_xlfn.XLOOKUP(1,(VALUE(D1131)&gt;=VALUE(block!$C$3:$C$500))*(VALUE(D1131)&lt;VALUE(block!$C$3:$C$500)+VALUE(block!$D$3:$D$500)),block!$A$3:$A$500,"无匹配",0,1)</f>
        <v>30</v>
      </c>
      <c r="C1131" s="3" t="str">
        <f>B1131 &amp; "-" &amp; COUNTIF($B$2:B1131, B1131)</f>
        <v>30-22</v>
      </c>
      <c r="D1131" s="10">
        <v>10952</v>
      </c>
      <c r="E1131" s="1" t="s">
        <v>3947</v>
      </c>
      <c r="F1131" s="1" t="s">
        <v>3948</v>
      </c>
      <c r="G1131" s="1" t="s">
        <v>1840</v>
      </c>
      <c r="H1131" s="1" t="s">
        <v>1812</v>
      </c>
      <c r="I1131" s="10" t="str">
        <f>IF(H1131="T56",1,IF(H1131="T56",3,IF(H1131="T72",6,IF(H1131="T72",10,IF(H1131="T104",14,IF(H1131="T104",18,IF(H1131="T72",22,"")))))))</f>
        <v/>
      </c>
      <c r="J1131" s="1" t="s">
        <v>1808</v>
      </c>
      <c r="K1131" s="10">
        <v>2</v>
      </c>
      <c r="L1131" s="10">
        <v>1</v>
      </c>
      <c r="O1131" s="6"/>
      <c r="Q1131" s="42" t="s">
        <v>2962</v>
      </c>
      <c r="R1131" s="42"/>
      <c r="S1131" s="1"/>
    </row>
    <row r="1132" spans="1:19" ht="18.75" hidden="1" customHeight="1" x14ac:dyDescent="0.3">
      <c r="A1132" s="10">
        <v>1131</v>
      </c>
      <c r="B1132" s="10">
        <f>_xlfn.XLOOKUP(1,(VALUE(D1132)&gt;=VALUE(block!$C$3:$C$500))*(VALUE(D1132)&lt;VALUE(block!$C$3:$C$500)+VALUE(block!$D$3:$D$500)),block!$A$3:$A$500,"无匹配",0,1)</f>
        <v>30</v>
      </c>
      <c r="C1132" s="3" t="str">
        <f>B1132 &amp; "-" &amp; COUNTIF($B$2:B1132, B1132)</f>
        <v>30-23</v>
      </c>
      <c r="D1132" s="10">
        <v>10954</v>
      </c>
      <c r="E1132" s="1" t="s">
        <v>3949</v>
      </c>
      <c r="F1132" s="1" t="s">
        <v>3950</v>
      </c>
      <c r="G1132" s="1" t="s">
        <v>1840</v>
      </c>
      <c r="H1132" s="1" t="s">
        <v>1812</v>
      </c>
      <c r="I1132" s="10" t="str">
        <f>IF(H1132="T57",1,IF(H1132="T57",3,IF(H1132="T73",6,IF(H1132="T73",10,IF(H1132="T105",14,IF(H1132="T105",18,IF(H1132="T73",22,"")))))))</f>
        <v/>
      </c>
      <c r="J1132" s="1" t="s">
        <v>1808</v>
      </c>
      <c r="K1132" s="10">
        <v>2</v>
      </c>
      <c r="L1132" s="10">
        <v>1</v>
      </c>
      <c r="O1132" s="6"/>
      <c r="Q1132" s="42" t="s">
        <v>2962</v>
      </c>
      <c r="R1132" s="42"/>
      <c r="S1132" s="1"/>
    </row>
    <row r="1133" spans="1:19" ht="18.75" hidden="1" customHeight="1" x14ac:dyDescent="0.3">
      <c r="A1133" s="10">
        <v>1132</v>
      </c>
      <c r="B1133" s="10">
        <f>_xlfn.XLOOKUP(1,(VALUE(D1133)&gt;=VALUE(block!$C$3:$C$500))*(VALUE(D1133)&lt;VALUE(block!$C$3:$C$500)+VALUE(block!$D$3:$D$500)),block!$A$3:$A$500,"无匹配",0,1)</f>
        <v>30</v>
      </c>
      <c r="C1133" s="3" t="str">
        <f>B1133 &amp; "-" &amp; COUNTIF($B$2:B1133, B1133)</f>
        <v>30-24</v>
      </c>
      <c r="D1133" s="10">
        <v>10956</v>
      </c>
      <c r="E1133" s="1" t="s">
        <v>3951</v>
      </c>
      <c r="F1133" s="1" t="s">
        <v>3952</v>
      </c>
      <c r="G1133" s="1" t="s">
        <v>1840</v>
      </c>
      <c r="H1133" s="1" t="s">
        <v>1812</v>
      </c>
      <c r="I1133" s="10" t="str">
        <f>IF(H1133="T58",1,IF(H1133="T58",3,IF(H1133="T74",6,IF(H1133="T74",10,IF(H1133="T106",14,IF(H1133="T106",18,IF(H1133="T74",22,"")))))))</f>
        <v/>
      </c>
      <c r="J1133" s="1" t="s">
        <v>1808</v>
      </c>
      <c r="K1133" s="10">
        <v>2</v>
      </c>
      <c r="L1133" s="10">
        <v>1</v>
      </c>
      <c r="O1133" s="6"/>
      <c r="Q1133" s="42" t="s">
        <v>2962</v>
      </c>
      <c r="R1133" s="42"/>
      <c r="S1133" s="1"/>
    </row>
    <row r="1134" spans="1:19" ht="18.75" hidden="1" customHeight="1" x14ac:dyDescent="0.3">
      <c r="A1134" s="10">
        <v>1133</v>
      </c>
      <c r="B1134" s="10">
        <f>_xlfn.XLOOKUP(1,(VALUE(D1134)&gt;=VALUE(block!$C$3:$C$500))*(VALUE(D1134)&lt;VALUE(block!$C$3:$C$500)+VALUE(block!$D$3:$D$500)),block!$A$3:$A$500,"无匹配",0,1)</f>
        <v>30</v>
      </c>
      <c r="C1134" s="3" t="str">
        <f>B1134 &amp; "-" &amp; COUNTIF($B$2:B1134, B1134)</f>
        <v>30-25</v>
      </c>
      <c r="D1134" s="10">
        <v>10958</v>
      </c>
      <c r="E1134" s="1" t="s">
        <v>3953</v>
      </c>
      <c r="F1134" s="1" t="s">
        <v>3954</v>
      </c>
      <c r="G1134" s="1" t="s">
        <v>1840</v>
      </c>
      <c r="H1134" s="1" t="s">
        <v>1812</v>
      </c>
      <c r="I1134" s="10" t="str">
        <f>IF(H1134="T59",1,IF(H1134="T59",3,IF(H1134="T75",6,IF(H1134="T75",10,IF(H1134="T107",14,IF(H1134="T107",18,IF(H1134="T75",22,"")))))))</f>
        <v/>
      </c>
      <c r="J1134" s="1" t="s">
        <v>1808</v>
      </c>
      <c r="K1134" s="10">
        <v>2</v>
      </c>
      <c r="L1134" s="10">
        <v>1</v>
      </c>
      <c r="O1134" s="6"/>
      <c r="Q1134" s="42" t="s">
        <v>2962</v>
      </c>
      <c r="R1134" s="42"/>
      <c r="S1134" s="1"/>
    </row>
    <row r="1135" spans="1:19" ht="18.75" hidden="1" customHeight="1" x14ac:dyDescent="0.3">
      <c r="A1135" s="10">
        <v>1134</v>
      </c>
      <c r="B1135" s="10">
        <f>_xlfn.XLOOKUP(1,(VALUE(D1135)&gt;=VALUE(block!$C$3:$C$500))*(VALUE(D1135)&lt;VALUE(block!$C$3:$C$500)+VALUE(block!$D$3:$D$500)),block!$A$3:$A$500,"无匹配",0,1)</f>
        <v>30</v>
      </c>
      <c r="C1135" s="3" t="str">
        <f>B1135 &amp; "-" &amp; COUNTIF($B$2:B1135, B1135)</f>
        <v>30-26</v>
      </c>
      <c r="D1135" s="10">
        <v>10960</v>
      </c>
      <c r="E1135" s="1" t="s">
        <v>3955</v>
      </c>
      <c r="F1135" s="1" t="s">
        <v>3956</v>
      </c>
      <c r="G1135" s="1" t="s">
        <v>1840</v>
      </c>
      <c r="H1135" s="1" t="s">
        <v>1812</v>
      </c>
      <c r="I1135" s="10" t="str">
        <f>IF(H1135="T60",1,IF(H1135="T60",3,IF(H1135="T76",6,IF(H1135="T76",10,IF(H1135="T108",14,IF(H1135="T108",18,IF(H1135="T76",22,"")))))))</f>
        <v/>
      </c>
      <c r="J1135" s="1" t="s">
        <v>1808</v>
      </c>
      <c r="K1135" s="10">
        <v>2</v>
      </c>
      <c r="L1135" s="10">
        <v>1</v>
      </c>
      <c r="O1135" s="6"/>
      <c r="Q1135" s="42" t="s">
        <v>2962</v>
      </c>
      <c r="R1135" s="42"/>
      <c r="S1135" s="1"/>
    </row>
    <row r="1136" spans="1:19" ht="18.75" hidden="1" customHeight="1" x14ac:dyDescent="0.3">
      <c r="A1136" s="10">
        <v>1135</v>
      </c>
      <c r="B1136" s="10">
        <f>_xlfn.XLOOKUP(1,(VALUE(D1136)&gt;=VALUE(block!$C$3:$C$500))*(VALUE(D1136)&lt;VALUE(block!$C$3:$C$500)+VALUE(block!$D$3:$D$500)),block!$A$3:$A$500,"无匹配",0,1)</f>
        <v>30</v>
      </c>
      <c r="C1136" s="3" t="str">
        <f>B1136 &amp; "-" &amp; COUNTIF($B$2:B1136, B1136)</f>
        <v>30-27</v>
      </c>
      <c r="D1136" s="10">
        <v>10962</v>
      </c>
      <c r="E1136" s="1" t="s">
        <v>3957</v>
      </c>
      <c r="F1136" s="1" t="s">
        <v>3958</v>
      </c>
      <c r="G1136" s="1" t="s">
        <v>1840</v>
      </c>
      <c r="H1136" s="1" t="s">
        <v>1812</v>
      </c>
      <c r="I1136" s="10" t="str">
        <f>IF(H1136="T61",1,IF(H1136="T61",3,IF(H1136="T77",6,IF(H1136="T77",10,IF(H1136="T109",14,IF(H1136="T109",18,IF(H1136="T77",22,"")))))))</f>
        <v/>
      </c>
      <c r="J1136" s="1" t="s">
        <v>1808</v>
      </c>
      <c r="K1136" s="10">
        <v>2</v>
      </c>
      <c r="L1136" s="10">
        <v>1</v>
      </c>
      <c r="O1136" s="6"/>
      <c r="Q1136" s="42" t="s">
        <v>2962</v>
      </c>
      <c r="R1136" s="42"/>
      <c r="S1136" s="1"/>
    </row>
    <row r="1137" spans="1:19" ht="18.75" hidden="1" customHeight="1" x14ac:dyDescent="0.3">
      <c r="A1137" s="10">
        <v>1136</v>
      </c>
      <c r="B1137" s="10">
        <f>_xlfn.XLOOKUP(1,(VALUE(D1137)&gt;=VALUE(block!$C$3:$C$500))*(VALUE(D1137)&lt;VALUE(block!$C$3:$C$500)+VALUE(block!$D$3:$D$500)),block!$A$3:$A$500,"无匹配",0,1)</f>
        <v>30</v>
      </c>
      <c r="C1137" s="3" t="str">
        <f>B1137 &amp; "-" &amp; COUNTIF($B$2:B1137, B1137)</f>
        <v>30-28</v>
      </c>
      <c r="D1137" s="10">
        <v>10964</v>
      </c>
      <c r="E1137" s="1" t="s">
        <v>3959</v>
      </c>
      <c r="F1137" s="1" t="s">
        <v>3960</v>
      </c>
      <c r="G1137" s="1" t="s">
        <v>1840</v>
      </c>
      <c r="H1137" s="1" t="s">
        <v>1812</v>
      </c>
      <c r="I1137" s="10" t="str">
        <f>IF(H1137="T62",1,IF(H1137="T62",3,IF(H1137="T78",6,IF(H1137="T78",10,IF(H1137="T110",14,IF(H1137="T110",18,IF(H1137="T78",22,"")))))))</f>
        <v/>
      </c>
      <c r="J1137" s="1" t="s">
        <v>1808</v>
      </c>
      <c r="K1137" s="10">
        <v>2</v>
      </c>
      <c r="L1137" s="10">
        <v>1</v>
      </c>
      <c r="O1137" s="6"/>
      <c r="Q1137" s="42" t="s">
        <v>2962</v>
      </c>
      <c r="R1137" s="42"/>
      <c r="S1137" s="1"/>
    </row>
    <row r="1138" spans="1:19" ht="18.75" hidden="1" customHeight="1" x14ac:dyDescent="0.3">
      <c r="A1138" s="10">
        <v>1137</v>
      </c>
      <c r="B1138" s="10">
        <f>_xlfn.XLOOKUP(1,(VALUE(D1138)&gt;=VALUE(block!$C$3:$C$500))*(VALUE(D1138)&lt;VALUE(block!$C$3:$C$500)+VALUE(block!$D$3:$D$500)),block!$A$3:$A$500,"无匹配",0,1)</f>
        <v>30</v>
      </c>
      <c r="C1138" s="3" t="str">
        <f>B1138 &amp; "-" &amp; COUNTIF($B$2:B1138, B1138)</f>
        <v>30-29</v>
      </c>
      <c r="D1138" s="10">
        <v>10966</v>
      </c>
      <c r="E1138" s="1" t="s">
        <v>3961</v>
      </c>
      <c r="F1138" s="1" t="s">
        <v>3962</v>
      </c>
      <c r="G1138" s="1" t="s">
        <v>1840</v>
      </c>
      <c r="H1138" s="1" t="s">
        <v>1812</v>
      </c>
      <c r="I1138" s="10" t="str">
        <f>IF(H1138="T63",1,IF(H1138="T63",3,IF(H1138="T79",6,IF(H1138="T79",10,IF(H1138="T111",14,IF(H1138="T111",18,IF(H1138="T79",22,"")))))))</f>
        <v/>
      </c>
      <c r="J1138" s="1" t="s">
        <v>1808</v>
      </c>
      <c r="K1138" s="10">
        <v>2</v>
      </c>
      <c r="L1138" s="10">
        <v>1</v>
      </c>
      <c r="O1138" s="6"/>
      <c r="Q1138" s="42" t="s">
        <v>2962</v>
      </c>
      <c r="R1138" s="42"/>
      <c r="S1138" s="1"/>
    </row>
    <row r="1139" spans="1:19" ht="18.75" hidden="1" customHeight="1" x14ac:dyDescent="0.3">
      <c r="A1139" s="10">
        <v>1138</v>
      </c>
      <c r="B1139" s="10">
        <f>_xlfn.XLOOKUP(1,(VALUE(D1139)&gt;=VALUE(block!$C$3:$C$500))*(VALUE(D1139)&lt;VALUE(block!$C$3:$C$500)+VALUE(block!$D$3:$D$500)),block!$A$3:$A$500,"无匹配",0,1)</f>
        <v>30</v>
      </c>
      <c r="C1139" s="3" t="str">
        <f>B1139 &amp; "-" &amp; COUNTIF($B$2:B1139, B1139)</f>
        <v>30-30</v>
      </c>
      <c r="D1139" s="10">
        <v>10968</v>
      </c>
      <c r="E1139" s="1" t="s">
        <v>3963</v>
      </c>
      <c r="F1139" s="1" t="s">
        <v>3964</v>
      </c>
      <c r="G1139" s="1" t="s">
        <v>1840</v>
      </c>
      <c r="H1139" s="1" t="s">
        <v>1812</v>
      </c>
      <c r="I1139" s="10" t="str">
        <f>IF(H1139="T64",1,IF(H1139="T64",3,IF(H1139="T80",6,IF(H1139="T80",10,IF(H1139="T112",14,IF(H1139="T112",18,IF(H1139="T80",22,"")))))))</f>
        <v/>
      </c>
      <c r="J1139" s="1" t="s">
        <v>1808</v>
      </c>
      <c r="K1139" s="10">
        <v>2</v>
      </c>
      <c r="L1139" s="10">
        <v>1</v>
      </c>
      <c r="O1139" s="6"/>
      <c r="Q1139" s="42" t="s">
        <v>2962</v>
      </c>
      <c r="R1139" s="42"/>
      <c r="S1139" s="1"/>
    </row>
    <row r="1140" spans="1:19" ht="18.75" hidden="1" customHeight="1" x14ac:dyDescent="0.3">
      <c r="A1140" s="10">
        <v>1139</v>
      </c>
      <c r="B1140" s="10">
        <f>_xlfn.XLOOKUP(1,(VALUE(D1140)&gt;=VALUE(block!$C$3:$C$500))*(VALUE(D1140)&lt;VALUE(block!$C$3:$C$500)+VALUE(block!$D$3:$D$500)),block!$A$3:$A$500,"无匹配",0,1)</f>
        <v>30</v>
      </c>
      <c r="C1140" s="3" t="str">
        <f>B1140 &amp; "-" &amp; COUNTIF($B$2:B1140, B1140)</f>
        <v>30-31</v>
      </c>
      <c r="D1140" s="10">
        <v>10970</v>
      </c>
      <c r="E1140" s="1" t="s">
        <v>3965</v>
      </c>
      <c r="F1140" s="1" t="s">
        <v>3966</v>
      </c>
      <c r="G1140" s="1" t="s">
        <v>1840</v>
      </c>
      <c r="H1140" s="1" t="s">
        <v>1812</v>
      </c>
      <c r="I1140" s="10" t="str">
        <f>IF(H1140="T65",1,IF(H1140="T65",3,IF(H1140="T81",6,IF(H1140="T81",10,IF(H1140="T113",14,IF(H1140="T113",18,IF(H1140="T81",22,"")))))))</f>
        <v/>
      </c>
      <c r="J1140" s="1" t="s">
        <v>1808</v>
      </c>
      <c r="K1140" s="10">
        <v>2</v>
      </c>
      <c r="L1140" s="10">
        <v>1</v>
      </c>
      <c r="O1140" s="6"/>
      <c r="Q1140" s="42" t="s">
        <v>2962</v>
      </c>
      <c r="R1140" s="42"/>
      <c r="S1140" s="1"/>
    </row>
    <row r="1141" spans="1:19" ht="18.75" hidden="1" customHeight="1" x14ac:dyDescent="0.3">
      <c r="A1141" s="10">
        <v>1140</v>
      </c>
      <c r="B1141" s="10">
        <f>_xlfn.XLOOKUP(1,(VALUE(D1141)&gt;=VALUE(block!$C$3:$C$500))*(VALUE(D1141)&lt;VALUE(block!$C$3:$C$500)+VALUE(block!$D$3:$D$500)),block!$A$3:$A$500,"无匹配",0,1)</f>
        <v>30</v>
      </c>
      <c r="C1141" s="3" t="str">
        <f>B1141 &amp; "-" &amp; COUNTIF($B$2:B1141, B1141)</f>
        <v>30-32</v>
      </c>
      <c r="D1141" s="10">
        <v>10972</v>
      </c>
      <c r="E1141" s="1" t="s">
        <v>3967</v>
      </c>
      <c r="F1141" s="1" t="s">
        <v>3968</v>
      </c>
      <c r="G1141" s="1" t="s">
        <v>1840</v>
      </c>
      <c r="H1141" s="1" t="s">
        <v>1812</v>
      </c>
      <c r="I1141" s="10" t="str">
        <f>IF(H1141="T66",1,IF(H1141="T66",3,IF(H1141="T82",6,IF(H1141="T82",10,IF(H1141="T114",14,IF(H1141="T114",18,IF(H1141="T82",22,"")))))))</f>
        <v/>
      </c>
      <c r="J1141" s="1" t="s">
        <v>1808</v>
      </c>
      <c r="K1141" s="10">
        <v>2</v>
      </c>
      <c r="L1141" s="10">
        <v>1</v>
      </c>
      <c r="O1141" s="6"/>
      <c r="Q1141" s="42" t="s">
        <v>2962</v>
      </c>
      <c r="R1141" s="42"/>
      <c r="S1141" s="1"/>
    </row>
    <row r="1142" spans="1:19" ht="18.75" hidden="1" customHeight="1" x14ac:dyDescent="0.3">
      <c r="A1142" s="10">
        <v>1141</v>
      </c>
      <c r="B1142" s="10">
        <f>_xlfn.XLOOKUP(1,(VALUE(D1142)&gt;=VALUE(block!$C$3:$C$500))*(VALUE(D1142)&lt;VALUE(block!$C$3:$C$500)+VALUE(block!$D$3:$D$500)),block!$A$3:$A$500,"无匹配",0,1)</f>
        <v>30</v>
      </c>
      <c r="C1142" s="3" t="str">
        <f>B1142 &amp; "-" &amp; COUNTIF($B$2:B1142, B1142)</f>
        <v>30-33</v>
      </c>
      <c r="D1142" s="10">
        <v>10974</v>
      </c>
      <c r="E1142" s="1" t="s">
        <v>3969</v>
      </c>
      <c r="F1142" s="1" t="s">
        <v>3970</v>
      </c>
      <c r="G1142" s="1" t="s">
        <v>1840</v>
      </c>
      <c r="H1142" s="1" t="s">
        <v>1812</v>
      </c>
      <c r="I1142" s="10" t="str">
        <f>IF(H1142="T67",1,IF(H1142="T67",3,IF(H1142="T83",6,IF(H1142="T83",10,IF(H1142="T115",14,IF(H1142="T115",18,IF(H1142="T83",22,"")))))))</f>
        <v/>
      </c>
      <c r="J1142" s="1" t="s">
        <v>1808</v>
      </c>
      <c r="K1142" s="10">
        <v>2</v>
      </c>
      <c r="L1142" s="10">
        <v>1</v>
      </c>
      <c r="O1142" s="6"/>
      <c r="Q1142" s="42" t="s">
        <v>2962</v>
      </c>
      <c r="R1142" s="42"/>
      <c r="S1142" s="1"/>
    </row>
    <row r="1143" spans="1:19" ht="18.75" hidden="1" customHeight="1" x14ac:dyDescent="0.3">
      <c r="A1143" s="10">
        <v>1142</v>
      </c>
      <c r="B1143" s="10">
        <f>_xlfn.XLOOKUP(1,(VALUE(D1143)&gt;=VALUE(block!$C$3:$C$500))*(VALUE(D1143)&lt;VALUE(block!$C$3:$C$500)+VALUE(block!$D$3:$D$500)),block!$A$3:$A$500,"无匹配",0,1)</f>
        <v>30</v>
      </c>
      <c r="C1143" s="3" t="str">
        <f>B1143 &amp; "-" &amp; COUNTIF($B$2:B1143, B1143)</f>
        <v>30-34</v>
      </c>
      <c r="D1143" s="10">
        <v>10976</v>
      </c>
      <c r="E1143" s="1" t="s">
        <v>3971</v>
      </c>
      <c r="F1143" s="1" t="s">
        <v>3972</v>
      </c>
      <c r="G1143" s="1" t="s">
        <v>1840</v>
      </c>
      <c r="H1143" s="1" t="s">
        <v>1812</v>
      </c>
      <c r="I1143" s="10" t="str">
        <f>IF(H1143="T68",1,IF(H1143="T68",3,IF(H1143="T84",6,IF(H1143="T84",10,IF(H1143="T116",14,IF(H1143="T116",18,IF(H1143="T84",22,"")))))))</f>
        <v/>
      </c>
      <c r="J1143" s="1" t="s">
        <v>1808</v>
      </c>
      <c r="K1143" s="10">
        <v>2</v>
      </c>
      <c r="L1143" s="10">
        <v>1</v>
      </c>
      <c r="O1143" s="6"/>
      <c r="Q1143" s="42" t="s">
        <v>2962</v>
      </c>
      <c r="R1143" s="42"/>
      <c r="S1143" s="1"/>
    </row>
    <row r="1144" spans="1:19" ht="18.75" customHeight="1" x14ac:dyDescent="0.3">
      <c r="A1144" s="10">
        <v>1143</v>
      </c>
      <c r="B1144" s="10">
        <f>_xlfn.XLOOKUP(1,(VALUE(D1144)&gt;=VALUE(block!$C$3:$C$500))*(VALUE(D1144)&lt;VALUE(block!$C$3:$C$500)+VALUE(block!$D$3:$D$500)),block!$A$3:$A$500,"无匹配",0,1)</f>
        <v>31</v>
      </c>
      <c r="C1144" s="3" t="str">
        <f>B1144 &amp; "-" &amp; COUNTIF($B$2:B1144, B1144)</f>
        <v>31-1</v>
      </c>
      <c r="D1144" s="10">
        <v>10978</v>
      </c>
      <c r="E1144" s="1" t="s">
        <v>3973</v>
      </c>
      <c r="F1144" s="1" t="s">
        <v>3974</v>
      </c>
      <c r="G1144" s="1" t="s">
        <v>1840</v>
      </c>
      <c r="H1144" s="1" t="s">
        <v>1812</v>
      </c>
      <c r="I1144" s="10" t="str">
        <f>IF(H1144="T69",1,IF(H1144="T69",3,IF(H1144="T85",6,IF(H1144="T85",10,IF(H1144="T117",14,IF(H1144="T117",18,IF(H1144="T85",22,"")))))))</f>
        <v/>
      </c>
      <c r="J1144" s="1" t="s">
        <v>1808</v>
      </c>
      <c r="K1144" s="10">
        <v>2</v>
      </c>
      <c r="L1144" s="10">
        <v>1</v>
      </c>
      <c r="N1144" s="10">
        <v>4</v>
      </c>
      <c r="O1144" s="6"/>
      <c r="P1144" s="45" t="s">
        <v>2826</v>
      </c>
      <c r="Q1144" s="6">
        <v>14</v>
      </c>
      <c r="R1144" s="6"/>
      <c r="S1144" s="1" t="s">
        <v>3974</v>
      </c>
    </row>
    <row r="1145" spans="1:19" ht="18.75" customHeight="1" x14ac:dyDescent="0.3">
      <c r="A1145" s="10">
        <v>1144</v>
      </c>
      <c r="B1145" s="10">
        <f>_xlfn.XLOOKUP(1,(VALUE(D1145)&gt;=VALUE(block!$C$3:$C$500))*(VALUE(D1145)&lt;VALUE(block!$C$3:$C$500)+VALUE(block!$D$3:$D$500)),block!$A$3:$A$500,"无匹配",0,1)</f>
        <v>31</v>
      </c>
      <c r="C1145" s="3" t="str">
        <f>B1145 &amp; "-" &amp; COUNTIF($B$2:B1145, B1145)</f>
        <v>31-2</v>
      </c>
      <c r="D1145" s="10">
        <v>10980</v>
      </c>
      <c r="E1145" s="1" t="s">
        <v>3975</v>
      </c>
      <c r="F1145" s="1" t="s">
        <v>3976</v>
      </c>
      <c r="G1145" s="1" t="s">
        <v>1840</v>
      </c>
      <c r="H1145" s="1" t="s">
        <v>1812</v>
      </c>
      <c r="I1145" s="10" t="str">
        <f>IF(H1145="T70",1,IF(H1145="T70",3,IF(H1145="T86",6,IF(H1145="T86",10,IF(H1145="T118",14,IF(H1145="T118",18,IF(H1145="T86",22,"")))))))</f>
        <v/>
      </c>
      <c r="J1145" s="1" t="s">
        <v>1808</v>
      </c>
      <c r="K1145" s="10">
        <v>2</v>
      </c>
      <c r="L1145" s="10">
        <v>1</v>
      </c>
      <c r="N1145" s="10">
        <v>4</v>
      </c>
      <c r="O1145" s="6"/>
      <c r="P1145" s="45" t="s">
        <v>2826</v>
      </c>
      <c r="Q1145" s="6">
        <v>14</v>
      </c>
      <c r="R1145" s="6"/>
      <c r="S1145" s="1" t="s">
        <v>3976</v>
      </c>
    </row>
    <row r="1146" spans="1:19" ht="18.75" customHeight="1" x14ac:dyDescent="0.3">
      <c r="A1146" s="10">
        <v>1145</v>
      </c>
      <c r="B1146" s="10">
        <f>_xlfn.XLOOKUP(1,(VALUE(D1146)&gt;=VALUE(block!$C$3:$C$500))*(VALUE(D1146)&lt;VALUE(block!$C$3:$C$500)+VALUE(block!$D$3:$D$500)),block!$A$3:$A$500,"无匹配",0,1)</f>
        <v>31</v>
      </c>
      <c r="C1146" s="3" t="str">
        <f>B1146 &amp; "-" &amp; COUNTIF($B$2:B1146, B1146)</f>
        <v>31-3</v>
      </c>
      <c r="D1146" s="10">
        <v>10982</v>
      </c>
      <c r="E1146" s="1" t="s">
        <v>3977</v>
      </c>
      <c r="F1146" s="1" t="s">
        <v>3978</v>
      </c>
      <c r="G1146" s="1" t="s">
        <v>1840</v>
      </c>
      <c r="H1146" s="1" t="s">
        <v>1812</v>
      </c>
      <c r="I1146" s="10" t="str">
        <f>IF(H1146="T71",1,IF(H1146="T71",3,IF(H1146="T87",6,IF(H1146="T87",10,IF(H1146="T119",14,IF(H1146="T119",18,IF(H1146="T87",22,"")))))))</f>
        <v/>
      </c>
      <c r="J1146" s="1" t="s">
        <v>1808</v>
      </c>
      <c r="K1146" s="10">
        <v>2</v>
      </c>
      <c r="L1146" s="10">
        <v>1</v>
      </c>
      <c r="N1146" s="10">
        <v>4</v>
      </c>
      <c r="O1146" s="6"/>
      <c r="P1146" s="45" t="s">
        <v>2826</v>
      </c>
      <c r="Q1146" s="6">
        <v>14</v>
      </c>
      <c r="R1146" s="6"/>
      <c r="S1146" s="1" t="s">
        <v>3978</v>
      </c>
    </row>
    <row r="1147" spans="1:19" ht="18.75" customHeight="1" x14ac:dyDescent="0.3">
      <c r="A1147" s="10">
        <v>1146</v>
      </c>
      <c r="B1147" s="10">
        <f>_xlfn.XLOOKUP(1,(VALUE(D1147)&gt;=VALUE(block!$C$3:$C$500))*(VALUE(D1147)&lt;VALUE(block!$C$3:$C$500)+VALUE(block!$D$3:$D$500)),block!$A$3:$A$500,"无匹配",0,1)</f>
        <v>31</v>
      </c>
      <c r="C1147" s="3" t="str">
        <f>B1147 &amp; "-" &amp; COUNTIF($B$2:B1147, B1147)</f>
        <v>31-4</v>
      </c>
      <c r="D1147" s="10">
        <v>10984</v>
      </c>
      <c r="E1147" s="1" t="s">
        <v>3979</v>
      </c>
      <c r="F1147" s="1" t="s">
        <v>3980</v>
      </c>
      <c r="G1147" s="1" t="s">
        <v>1840</v>
      </c>
      <c r="H1147" s="1" t="s">
        <v>1812</v>
      </c>
      <c r="I1147" s="10" t="str">
        <f>IF(H1147="T72",1,IF(H1147="T72",3,IF(H1147="T88",6,IF(H1147="T88",10,IF(H1147="T120",14,IF(H1147="T120",18,IF(H1147="T88",22,"")))))))</f>
        <v/>
      </c>
      <c r="J1147" s="1" t="s">
        <v>1808</v>
      </c>
      <c r="K1147" s="10">
        <v>2</v>
      </c>
      <c r="L1147" s="10">
        <v>1</v>
      </c>
      <c r="N1147" s="10">
        <v>4</v>
      </c>
      <c r="O1147" s="6"/>
      <c r="P1147" s="45" t="s">
        <v>2826</v>
      </c>
      <c r="Q1147" s="6">
        <v>14</v>
      </c>
      <c r="R1147" s="6"/>
      <c r="S1147" s="1" t="s">
        <v>3980</v>
      </c>
    </row>
    <row r="1148" spans="1:19" ht="18.75" hidden="1" customHeight="1" x14ac:dyDescent="0.3">
      <c r="A1148" s="10">
        <v>1147</v>
      </c>
      <c r="B1148" s="10">
        <f>_xlfn.XLOOKUP(1,(VALUE(D1148)&gt;=VALUE(block!$C$3:$C$500))*(VALUE(D1148)&lt;VALUE(block!$C$3:$C$500)+VALUE(block!$D$3:$D$500)),block!$A$3:$A$500,"无匹配",0,1)</f>
        <v>31</v>
      </c>
      <c r="C1148" s="3" t="str">
        <f>B1148 &amp; "-" &amp; COUNTIF($B$2:B1148, B1148)</f>
        <v>31-5</v>
      </c>
      <c r="D1148" s="10">
        <v>10986</v>
      </c>
      <c r="E1148" s="1" t="s">
        <v>3981</v>
      </c>
      <c r="F1148" s="1" t="s">
        <v>3982</v>
      </c>
      <c r="G1148" s="1" t="s">
        <v>1840</v>
      </c>
      <c r="H1148" s="1" t="s">
        <v>1812</v>
      </c>
      <c r="I1148" s="10" t="str">
        <f>IF(H1148="T73",1,IF(H1148="T73",3,IF(H1148="T89",6,IF(H1148="T89",10,IF(H1148="T121",14,IF(H1148="T121",18,IF(H1148="T89",22,"")))))))</f>
        <v/>
      </c>
      <c r="J1148" s="1" t="s">
        <v>1808</v>
      </c>
      <c r="K1148" s="10">
        <v>2</v>
      </c>
      <c r="L1148" s="10">
        <v>1</v>
      </c>
      <c r="O1148" s="6"/>
      <c r="Q1148" s="42" t="s">
        <v>2962</v>
      </c>
      <c r="R1148" s="42"/>
      <c r="S1148" s="1"/>
    </row>
    <row r="1149" spans="1:19" ht="18.75" hidden="1" customHeight="1" x14ac:dyDescent="0.3">
      <c r="A1149" s="10">
        <v>1148</v>
      </c>
      <c r="B1149" s="10">
        <f>_xlfn.XLOOKUP(1,(VALUE(D1149)&gt;=VALUE(block!$C$3:$C$500))*(VALUE(D1149)&lt;VALUE(block!$C$3:$C$500)+VALUE(block!$D$3:$D$500)),block!$A$3:$A$500,"无匹配",0,1)</f>
        <v>31</v>
      </c>
      <c r="C1149" s="3" t="str">
        <f>B1149 &amp; "-" &amp; COUNTIF($B$2:B1149, B1149)</f>
        <v>31-6</v>
      </c>
      <c r="D1149" s="10">
        <v>10988</v>
      </c>
      <c r="E1149" s="1" t="s">
        <v>3983</v>
      </c>
      <c r="F1149" s="1" t="s">
        <v>3984</v>
      </c>
      <c r="G1149" s="1" t="s">
        <v>1840</v>
      </c>
      <c r="H1149" s="1" t="s">
        <v>1812</v>
      </c>
      <c r="I1149" s="10" t="str">
        <f>IF(H1149="T74",1,IF(H1149="T74",3,IF(H1149="T90",6,IF(H1149="T90",10,IF(H1149="T122",14,IF(H1149="T122",18,IF(H1149="T90",22,"")))))))</f>
        <v/>
      </c>
      <c r="J1149" s="1" t="s">
        <v>1808</v>
      </c>
      <c r="K1149" s="10">
        <v>2</v>
      </c>
      <c r="L1149" s="10">
        <v>1</v>
      </c>
      <c r="O1149" s="6"/>
      <c r="Q1149" s="42" t="s">
        <v>2962</v>
      </c>
      <c r="R1149" s="42"/>
      <c r="S1149" s="1"/>
    </row>
    <row r="1150" spans="1:19" ht="18.75" hidden="1" customHeight="1" x14ac:dyDescent="0.3">
      <c r="A1150" s="10">
        <v>1149</v>
      </c>
      <c r="B1150" s="10">
        <f>_xlfn.XLOOKUP(1,(VALUE(D1150)&gt;=VALUE(block!$C$3:$C$500))*(VALUE(D1150)&lt;VALUE(block!$C$3:$C$500)+VALUE(block!$D$3:$D$500)),block!$A$3:$A$500,"无匹配",0,1)</f>
        <v>31</v>
      </c>
      <c r="C1150" s="3" t="str">
        <f>B1150 &amp; "-" &amp; COUNTIF($B$2:B1150, B1150)</f>
        <v>31-7</v>
      </c>
      <c r="D1150" s="10">
        <v>10990</v>
      </c>
      <c r="E1150" s="1" t="s">
        <v>3985</v>
      </c>
      <c r="F1150" s="1" t="s">
        <v>3986</v>
      </c>
      <c r="G1150" s="1" t="s">
        <v>1840</v>
      </c>
      <c r="H1150" s="1" t="s">
        <v>1812</v>
      </c>
      <c r="I1150" s="10" t="str">
        <f>IF(H1150="T75",1,IF(H1150="T75",3,IF(H1150="T91",6,IF(H1150="T91",10,IF(H1150="T123",14,IF(H1150="T123",18,IF(H1150="T91",22,"")))))))</f>
        <v/>
      </c>
      <c r="J1150" s="1" t="s">
        <v>1808</v>
      </c>
      <c r="K1150" s="10">
        <v>2</v>
      </c>
      <c r="L1150" s="10">
        <v>1</v>
      </c>
      <c r="O1150" s="6"/>
      <c r="Q1150" s="42" t="s">
        <v>2962</v>
      </c>
      <c r="R1150" s="42"/>
      <c r="S1150" s="1"/>
    </row>
    <row r="1151" spans="1:19" ht="18.75" hidden="1" customHeight="1" x14ac:dyDescent="0.3">
      <c r="A1151" s="10">
        <v>1150</v>
      </c>
      <c r="B1151" s="10">
        <f>_xlfn.XLOOKUP(1,(VALUE(D1151)&gt;=VALUE(block!$C$3:$C$500))*(VALUE(D1151)&lt;VALUE(block!$C$3:$C$500)+VALUE(block!$D$3:$D$500)),block!$A$3:$A$500,"无匹配",0,1)</f>
        <v>31</v>
      </c>
      <c r="C1151" s="3" t="str">
        <f>B1151 &amp; "-" &amp; COUNTIF($B$2:B1151, B1151)</f>
        <v>31-8</v>
      </c>
      <c r="D1151" s="10">
        <v>10992</v>
      </c>
      <c r="E1151" s="1" t="s">
        <v>3987</v>
      </c>
      <c r="F1151" s="1" t="s">
        <v>3988</v>
      </c>
      <c r="G1151" s="1" t="s">
        <v>1840</v>
      </c>
      <c r="H1151" s="1" t="s">
        <v>1812</v>
      </c>
      <c r="I1151" s="10" t="str">
        <f>IF(H1151="T76",1,IF(H1151="T76",3,IF(H1151="T92",6,IF(H1151="T92",10,IF(H1151="T124",14,IF(H1151="T124",18,IF(H1151="T92",22,"")))))))</f>
        <v/>
      </c>
      <c r="J1151" s="1" t="s">
        <v>1808</v>
      </c>
      <c r="K1151" s="10">
        <v>2</v>
      </c>
      <c r="L1151" s="10">
        <v>1</v>
      </c>
      <c r="O1151" s="6"/>
      <c r="Q1151" s="42" t="s">
        <v>2962</v>
      </c>
      <c r="R1151" s="42"/>
      <c r="S1151" s="1"/>
    </row>
    <row r="1152" spans="1:19" ht="18.75" hidden="1" customHeight="1" x14ac:dyDescent="0.3">
      <c r="A1152" s="10">
        <v>1151</v>
      </c>
      <c r="B1152" s="10">
        <f>_xlfn.XLOOKUP(1,(VALUE(D1152)&gt;=VALUE(block!$C$3:$C$500))*(VALUE(D1152)&lt;VALUE(block!$C$3:$C$500)+VALUE(block!$D$3:$D$500)),block!$A$3:$A$500,"无匹配",0,1)</f>
        <v>31</v>
      </c>
      <c r="C1152" s="3" t="str">
        <f>B1152 &amp; "-" &amp; COUNTIF($B$2:B1152, B1152)</f>
        <v>31-9</v>
      </c>
      <c r="D1152" s="10">
        <v>10994</v>
      </c>
      <c r="E1152" s="1" t="s">
        <v>3989</v>
      </c>
      <c r="F1152" s="1" t="s">
        <v>3990</v>
      </c>
      <c r="G1152" s="1" t="s">
        <v>1840</v>
      </c>
      <c r="H1152" s="1" t="s">
        <v>1812</v>
      </c>
      <c r="I1152" s="10" t="str">
        <f>IF(H1152="T77",1,IF(H1152="T77",3,IF(H1152="T93",6,IF(H1152="T93",10,IF(H1152="T125",14,IF(H1152="T125",18,IF(H1152="T93",22,"")))))))</f>
        <v/>
      </c>
      <c r="J1152" s="1" t="s">
        <v>1808</v>
      </c>
      <c r="K1152" s="10">
        <v>2</v>
      </c>
      <c r="L1152" s="10">
        <v>1</v>
      </c>
      <c r="O1152" s="6"/>
      <c r="Q1152" s="42" t="s">
        <v>2962</v>
      </c>
      <c r="R1152" s="42"/>
      <c r="S1152" s="1"/>
    </row>
    <row r="1153" spans="1:19" ht="18.75" hidden="1" customHeight="1" x14ac:dyDescent="0.3">
      <c r="A1153" s="10">
        <v>1152</v>
      </c>
      <c r="B1153" s="10">
        <f>_xlfn.XLOOKUP(1,(VALUE(D1153)&gt;=VALUE(block!$C$3:$C$500))*(VALUE(D1153)&lt;VALUE(block!$C$3:$C$500)+VALUE(block!$D$3:$D$500)),block!$A$3:$A$500,"无匹配",0,1)</f>
        <v>31</v>
      </c>
      <c r="C1153" s="3" t="str">
        <f>B1153 &amp; "-" &amp; COUNTIF($B$2:B1153, B1153)</f>
        <v>31-10</v>
      </c>
      <c r="D1153" s="10">
        <v>10996</v>
      </c>
      <c r="E1153" s="1" t="s">
        <v>3991</v>
      </c>
      <c r="F1153" s="1" t="s">
        <v>3992</v>
      </c>
      <c r="G1153" s="1" t="s">
        <v>1840</v>
      </c>
      <c r="H1153" s="1" t="s">
        <v>1812</v>
      </c>
      <c r="I1153" s="10" t="str">
        <f>IF(H1153="T78",1,IF(H1153="T78",3,IF(H1153="T94",6,IF(H1153="T94",10,IF(H1153="T126",14,IF(H1153="T126",18,IF(H1153="T94",22,"")))))))</f>
        <v/>
      </c>
      <c r="J1153" s="1" t="s">
        <v>1808</v>
      </c>
      <c r="K1153" s="10">
        <v>2</v>
      </c>
      <c r="L1153" s="10">
        <v>1</v>
      </c>
      <c r="O1153" s="6"/>
      <c r="Q1153" s="42" t="s">
        <v>2962</v>
      </c>
      <c r="R1153" s="42"/>
      <c r="S1153" s="1"/>
    </row>
    <row r="1154" spans="1:19" ht="18.75" hidden="1" customHeight="1" x14ac:dyDescent="0.3">
      <c r="A1154" s="10">
        <v>1153</v>
      </c>
      <c r="B1154" s="10">
        <f>_xlfn.XLOOKUP(1,(VALUE(D1154)&gt;=VALUE(block!$C$3:$C$500))*(VALUE(D1154)&lt;VALUE(block!$C$3:$C$500)+VALUE(block!$D$3:$D$500)),block!$A$3:$A$500,"无匹配",0,1)</f>
        <v>31</v>
      </c>
      <c r="C1154" s="3" t="str">
        <f>B1154 &amp; "-" &amp; COUNTIF($B$2:B1154, B1154)</f>
        <v>31-11</v>
      </c>
      <c r="D1154" s="10">
        <v>10998</v>
      </c>
      <c r="E1154" s="1" t="s">
        <v>3993</v>
      </c>
      <c r="F1154" s="1" t="s">
        <v>3994</v>
      </c>
      <c r="G1154" s="1" t="s">
        <v>1840</v>
      </c>
      <c r="H1154" s="1" t="s">
        <v>1812</v>
      </c>
      <c r="I1154" s="10" t="str">
        <f>IF(H1154="T79",1,IF(H1154="T79",3,IF(H1154="T95",6,IF(H1154="T95",10,IF(H1154="T127",14,IF(H1154="T127",18,IF(H1154="T95",22,"")))))))</f>
        <v/>
      </c>
      <c r="J1154" s="1" t="s">
        <v>1808</v>
      </c>
      <c r="K1154" s="10">
        <v>2</v>
      </c>
      <c r="L1154" s="10">
        <v>1</v>
      </c>
      <c r="O1154" s="6"/>
      <c r="Q1154" s="42" t="s">
        <v>2962</v>
      </c>
      <c r="R1154" s="42"/>
      <c r="S1154" s="1"/>
    </row>
    <row r="1155" spans="1:19" ht="18.75" hidden="1" customHeight="1" x14ac:dyDescent="0.3">
      <c r="A1155" s="10">
        <v>1154</v>
      </c>
      <c r="B1155" s="10">
        <f>_xlfn.XLOOKUP(1,(VALUE(D1155)&gt;=VALUE(block!$C$3:$C$500))*(VALUE(D1155)&lt;VALUE(block!$C$3:$C$500)+VALUE(block!$D$3:$D$500)),block!$A$3:$A$500,"无匹配",0,1)</f>
        <v>31</v>
      </c>
      <c r="C1155" s="3" t="str">
        <f>B1155 &amp; "-" &amp; COUNTIF($B$2:B1155, B1155)</f>
        <v>31-12</v>
      </c>
      <c r="D1155" s="10">
        <v>11000</v>
      </c>
      <c r="E1155" s="1" t="s">
        <v>3995</v>
      </c>
      <c r="F1155" s="1" t="s">
        <v>3996</v>
      </c>
      <c r="G1155" s="1" t="s">
        <v>1840</v>
      </c>
      <c r="H1155" s="1" t="s">
        <v>1812</v>
      </c>
      <c r="I1155" s="10">
        <f>IF(H1155="uint16",1,IF(H1155="int16",3,IF(H1155="uint32",6,IF(H1155="int32",10,IF(H1155="uint64",14,IF(H1155="int64",18,IF(H1155="float32",22,"")))))))</f>
        <v>22</v>
      </c>
      <c r="J1155" s="1" t="s">
        <v>1808</v>
      </c>
      <c r="K1155" s="10">
        <v>2</v>
      </c>
      <c r="L1155" s="10">
        <v>1</v>
      </c>
      <c r="O1155" s="6"/>
      <c r="Q1155" s="42" t="s">
        <v>2962</v>
      </c>
      <c r="R1155" s="42"/>
      <c r="S1155" s="1"/>
    </row>
    <row r="1156" spans="1:19" ht="18.75" hidden="1" customHeight="1" x14ac:dyDescent="0.3">
      <c r="A1156" s="10">
        <v>1155</v>
      </c>
      <c r="B1156" s="10">
        <f>_xlfn.XLOOKUP(1,(VALUE(D1156)&gt;=VALUE(block!$C$3:$C$500))*(VALUE(D1156)&lt;VALUE(block!$C$3:$C$500)+VALUE(block!$D$3:$D$500)),block!$A$3:$A$500,"无匹配",0,1)</f>
        <v>31</v>
      </c>
      <c r="C1156" s="3" t="str">
        <f>B1156 &amp; "-" &amp; COUNTIF($B$2:B1156, B1156)</f>
        <v>31-13</v>
      </c>
      <c r="D1156" s="10">
        <v>11002</v>
      </c>
      <c r="E1156" s="1" t="s">
        <v>3997</v>
      </c>
      <c r="F1156" s="1" t="s">
        <v>3998</v>
      </c>
      <c r="G1156" s="1" t="s">
        <v>1840</v>
      </c>
      <c r="H1156" s="1" t="s">
        <v>1812</v>
      </c>
      <c r="I1156" s="10" t="str">
        <f>IF(H1156="T17",1,IF(H1156="T17",3,IF(H1156="T33",6,IF(H1156="T33",10,IF(H1156="T65",14,IF(H1156="T65",18,IF(H1156="T33",22,"")))))))</f>
        <v/>
      </c>
      <c r="J1156" s="1" t="s">
        <v>1808</v>
      </c>
      <c r="K1156" s="10">
        <v>2</v>
      </c>
      <c r="L1156" s="10">
        <v>1</v>
      </c>
      <c r="O1156" s="6"/>
      <c r="Q1156" s="42" t="s">
        <v>2962</v>
      </c>
      <c r="R1156" s="42"/>
      <c r="S1156" s="1"/>
    </row>
    <row r="1157" spans="1:19" ht="18.75" hidden="1" customHeight="1" x14ac:dyDescent="0.3">
      <c r="A1157" s="10">
        <v>1156</v>
      </c>
      <c r="B1157" s="10">
        <f>_xlfn.XLOOKUP(1,(VALUE(D1157)&gt;=VALUE(block!$C$3:$C$500))*(VALUE(D1157)&lt;VALUE(block!$C$3:$C$500)+VALUE(block!$D$3:$D$500)),block!$A$3:$A$500,"无匹配",0,1)</f>
        <v>31</v>
      </c>
      <c r="C1157" s="3" t="str">
        <f>B1157 &amp; "-" &amp; COUNTIF($B$2:B1157, B1157)</f>
        <v>31-14</v>
      </c>
      <c r="D1157" s="10">
        <v>11004</v>
      </c>
      <c r="E1157" s="1" t="s">
        <v>3999</v>
      </c>
      <c r="F1157" s="1" t="s">
        <v>4000</v>
      </c>
      <c r="G1157" s="1" t="s">
        <v>1840</v>
      </c>
      <c r="H1157" s="1" t="s">
        <v>1812</v>
      </c>
      <c r="I1157" s="10" t="str">
        <f>IF(H1157="T18",1,IF(H1157="T18",3,IF(H1157="T34",6,IF(H1157="T34",10,IF(H1157="T66",14,IF(H1157="T66",18,IF(H1157="T34",22,"")))))))</f>
        <v/>
      </c>
      <c r="J1157" s="1" t="s">
        <v>1808</v>
      </c>
      <c r="K1157" s="10">
        <v>2</v>
      </c>
      <c r="L1157" s="10">
        <v>1</v>
      </c>
      <c r="O1157" s="6"/>
      <c r="Q1157" s="42" t="s">
        <v>2962</v>
      </c>
      <c r="R1157" s="42"/>
      <c r="S1157" s="1"/>
    </row>
    <row r="1158" spans="1:19" ht="18.75" hidden="1" customHeight="1" x14ac:dyDescent="0.3">
      <c r="A1158" s="10">
        <v>1157</v>
      </c>
      <c r="B1158" s="10">
        <f>_xlfn.XLOOKUP(1,(VALUE(D1158)&gt;=VALUE(block!$C$3:$C$500))*(VALUE(D1158)&lt;VALUE(block!$C$3:$C$500)+VALUE(block!$D$3:$D$500)),block!$A$3:$A$500,"无匹配",0,1)</f>
        <v>31</v>
      </c>
      <c r="C1158" s="3" t="str">
        <f>B1158 &amp; "-" &amp; COUNTIF($B$2:B1158, B1158)</f>
        <v>31-15</v>
      </c>
      <c r="D1158" s="10">
        <v>11006</v>
      </c>
      <c r="E1158" s="1" t="s">
        <v>4001</v>
      </c>
      <c r="F1158" s="1" t="s">
        <v>4002</v>
      </c>
      <c r="G1158" s="1" t="s">
        <v>1840</v>
      </c>
      <c r="H1158" s="1" t="s">
        <v>1812</v>
      </c>
      <c r="I1158" s="10" t="str">
        <f>IF(H1158="T19",1,IF(H1158="T19",3,IF(H1158="T35",6,IF(H1158="T35",10,IF(H1158="T67",14,IF(H1158="T67",18,IF(H1158="T35",22,"")))))))</f>
        <v/>
      </c>
      <c r="J1158" s="1" t="s">
        <v>1808</v>
      </c>
      <c r="K1158" s="10">
        <v>2</v>
      </c>
      <c r="L1158" s="10">
        <v>1</v>
      </c>
      <c r="O1158" s="6"/>
      <c r="Q1158" s="42" t="s">
        <v>2962</v>
      </c>
      <c r="R1158" s="42"/>
      <c r="S1158" s="1"/>
    </row>
    <row r="1159" spans="1:19" ht="18.75" hidden="1" customHeight="1" x14ac:dyDescent="0.3">
      <c r="A1159" s="10">
        <v>1158</v>
      </c>
      <c r="B1159" s="10">
        <f>_xlfn.XLOOKUP(1,(VALUE(D1159)&gt;=VALUE(block!$C$3:$C$500))*(VALUE(D1159)&lt;VALUE(block!$C$3:$C$500)+VALUE(block!$D$3:$D$500)),block!$A$3:$A$500,"无匹配",0,1)</f>
        <v>31</v>
      </c>
      <c r="C1159" s="3" t="str">
        <f>B1159 &amp; "-" &amp; COUNTIF($B$2:B1159, B1159)</f>
        <v>31-16</v>
      </c>
      <c r="D1159" s="10">
        <v>11008</v>
      </c>
      <c r="E1159" s="1" t="s">
        <v>4003</v>
      </c>
      <c r="F1159" s="1" t="s">
        <v>4004</v>
      </c>
      <c r="G1159" s="1" t="s">
        <v>1840</v>
      </c>
      <c r="H1159" s="1" t="s">
        <v>1812</v>
      </c>
      <c r="I1159" s="10" t="str">
        <f>IF(H1159="T20",1,IF(H1159="T20",3,IF(H1159="T36",6,IF(H1159="T36",10,IF(H1159="T68",14,IF(H1159="T68",18,IF(H1159="T36",22,"")))))))</f>
        <v/>
      </c>
      <c r="J1159" s="1" t="s">
        <v>1808</v>
      </c>
      <c r="K1159" s="10">
        <v>2</v>
      </c>
      <c r="L1159" s="10">
        <v>1</v>
      </c>
      <c r="O1159" s="6"/>
      <c r="Q1159" s="42" t="s">
        <v>2962</v>
      </c>
      <c r="R1159" s="42"/>
      <c r="S1159" s="1"/>
    </row>
    <row r="1160" spans="1:19" ht="18.75" hidden="1" customHeight="1" x14ac:dyDescent="0.3">
      <c r="A1160" s="10">
        <v>1159</v>
      </c>
      <c r="B1160" s="10">
        <f>_xlfn.XLOOKUP(1,(VALUE(D1160)&gt;=VALUE(block!$C$3:$C$500))*(VALUE(D1160)&lt;VALUE(block!$C$3:$C$500)+VALUE(block!$D$3:$D$500)),block!$A$3:$A$500,"无匹配",0,1)</f>
        <v>31</v>
      </c>
      <c r="C1160" s="3" t="str">
        <f>B1160 &amp; "-" &amp; COUNTIF($B$2:B1160, B1160)</f>
        <v>31-17</v>
      </c>
      <c r="D1160" s="10">
        <v>11010</v>
      </c>
      <c r="E1160" s="1" t="s">
        <v>4005</v>
      </c>
      <c r="F1160" s="1" t="s">
        <v>4006</v>
      </c>
      <c r="G1160" s="1" t="s">
        <v>1840</v>
      </c>
      <c r="H1160" s="1" t="s">
        <v>1812</v>
      </c>
      <c r="I1160" s="10" t="str">
        <f>IF(H1160="T21",1,IF(H1160="T21",3,IF(H1160="T37",6,IF(H1160="T37",10,IF(H1160="T69",14,IF(H1160="T69",18,IF(H1160="T37",22,"")))))))</f>
        <v/>
      </c>
      <c r="J1160" s="1" t="s">
        <v>1808</v>
      </c>
      <c r="K1160" s="10">
        <v>2</v>
      </c>
      <c r="L1160" s="10">
        <v>1</v>
      </c>
      <c r="O1160" s="6"/>
      <c r="Q1160" s="42" t="s">
        <v>2962</v>
      </c>
      <c r="R1160" s="42"/>
      <c r="S1160" s="1"/>
    </row>
    <row r="1161" spans="1:19" ht="18.75" hidden="1" customHeight="1" x14ac:dyDescent="0.3">
      <c r="A1161" s="10">
        <v>1160</v>
      </c>
      <c r="B1161" s="10">
        <f>_xlfn.XLOOKUP(1,(VALUE(D1161)&gt;=VALUE(block!$C$3:$C$500))*(VALUE(D1161)&lt;VALUE(block!$C$3:$C$500)+VALUE(block!$D$3:$D$500)),block!$A$3:$A$500,"无匹配",0,1)</f>
        <v>31</v>
      </c>
      <c r="C1161" s="3" t="str">
        <f>B1161 &amp; "-" &amp; COUNTIF($B$2:B1161, B1161)</f>
        <v>31-18</v>
      </c>
      <c r="D1161" s="10">
        <v>11012</v>
      </c>
      <c r="E1161" s="1" t="s">
        <v>4007</v>
      </c>
      <c r="F1161" s="1" t="s">
        <v>4008</v>
      </c>
      <c r="G1161" s="1" t="s">
        <v>1840</v>
      </c>
      <c r="H1161" s="1" t="s">
        <v>1812</v>
      </c>
      <c r="I1161" s="10" t="str">
        <f>IF(H1161="T22",1,IF(H1161="T22",3,IF(H1161="T38",6,IF(H1161="T38",10,IF(H1161="T70",14,IF(H1161="T70",18,IF(H1161="T38",22,"")))))))</f>
        <v/>
      </c>
      <c r="J1161" s="1" t="s">
        <v>1808</v>
      </c>
      <c r="K1161" s="10">
        <v>2</v>
      </c>
      <c r="L1161" s="10">
        <v>1</v>
      </c>
      <c r="O1161" s="6"/>
      <c r="Q1161" s="42" t="s">
        <v>2962</v>
      </c>
      <c r="R1161" s="42"/>
      <c r="S1161" s="1"/>
    </row>
    <row r="1162" spans="1:19" ht="18.75" hidden="1" customHeight="1" x14ac:dyDescent="0.3">
      <c r="A1162" s="10">
        <v>1161</v>
      </c>
      <c r="B1162" s="10">
        <f>_xlfn.XLOOKUP(1,(VALUE(D1162)&gt;=VALUE(block!$C$3:$C$500))*(VALUE(D1162)&lt;VALUE(block!$C$3:$C$500)+VALUE(block!$D$3:$D$500)),block!$A$3:$A$500,"无匹配",0,1)</f>
        <v>31</v>
      </c>
      <c r="C1162" s="3" t="str">
        <f>B1162 &amp; "-" &amp; COUNTIF($B$2:B1162, B1162)</f>
        <v>31-19</v>
      </c>
      <c r="D1162" s="10">
        <v>11014</v>
      </c>
      <c r="E1162" s="1" t="s">
        <v>4009</v>
      </c>
      <c r="F1162" s="1" t="s">
        <v>4010</v>
      </c>
      <c r="G1162" s="1" t="s">
        <v>1840</v>
      </c>
      <c r="H1162" s="1" t="s">
        <v>1812</v>
      </c>
      <c r="I1162" s="10" t="str">
        <f>IF(H1162="T23",1,IF(H1162="T23",3,IF(H1162="T39",6,IF(H1162="T39",10,IF(H1162="T71",14,IF(H1162="T71",18,IF(H1162="T39",22,"")))))))</f>
        <v/>
      </c>
      <c r="J1162" s="1" t="s">
        <v>1808</v>
      </c>
      <c r="K1162" s="10">
        <v>2</v>
      </c>
      <c r="L1162" s="10">
        <v>1</v>
      </c>
      <c r="O1162" s="6"/>
      <c r="Q1162" s="42" t="s">
        <v>2962</v>
      </c>
      <c r="R1162" s="42"/>
      <c r="S1162" s="1"/>
    </row>
    <row r="1163" spans="1:19" ht="18.75" hidden="1" customHeight="1" x14ac:dyDescent="0.3">
      <c r="A1163" s="10">
        <v>1162</v>
      </c>
      <c r="B1163" s="10">
        <f>_xlfn.XLOOKUP(1,(VALUE(D1163)&gt;=VALUE(block!$C$3:$C$500))*(VALUE(D1163)&lt;VALUE(block!$C$3:$C$500)+VALUE(block!$D$3:$D$500)),block!$A$3:$A$500,"无匹配",0,1)</f>
        <v>31</v>
      </c>
      <c r="C1163" s="3" t="str">
        <f>B1163 &amp; "-" &amp; COUNTIF($B$2:B1163, B1163)</f>
        <v>31-20</v>
      </c>
      <c r="D1163" s="10">
        <v>11016</v>
      </c>
      <c r="E1163" s="1" t="s">
        <v>4011</v>
      </c>
      <c r="F1163" s="1" t="s">
        <v>4012</v>
      </c>
      <c r="G1163" s="1" t="s">
        <v>1840</v>
      </c>
      <c r="H1163" s="1" t="s">
        <v>1812</v>
      </c>
      <c r="I1163" s="10" t="str">
        <f>IF(H1163="T24",1,IF(H1163="T24",3,IF(H1163="T40",6,IF(H1163="T40",10,IF(H1163="T72",14,IF(H1163="T72",18,IF(H1163="T40",22,"")))))))</f>
        <v/>
      </c>
      <c r="J1163" s="1" t="s">
        <v>1808</v>
      </c>
      <c r="K1163" s="10">
        <v>2</v>
      </c>
      <c r="L1163" s="10">
        <v>1</v>
      </c>
      <c r="O1163" s="6"/>
      <c r="Q1163" s="42" t="s">
        <v>2962</v>
      </c>
      <c r="R1163" s="42"/>
      <c r="S1163" s="1"/>
    </row>
    <row r="1164" spans="1:19" ht="18.75" hidden="1" customHeight="1" x14ac:dyDescent="0.3">
      <c r="A1164" s="10">
        <v>1163</v>
      </c>
      <c r="B1164" s="10">
        <f>_xlfn.XLOOKUP(1,(VALUE(D1164)&gt;=VALUE(block!$C$3:$C$500))*(VALUE(D1164)&lt;VALUE(block!$C$3:$C$500)+VALUE(block!$D$3:$D$500)),block!$A$3:$A$500,"无匹配",0,1)</f>
        <v>31</v>
      </c>
      <c r="C1164" s="3" t="str">
        <f>B1164 &amp; "-" &amp; COUNTIF($B$2:B1164, B1164)</f>
        <v>31-21</v>
      </c>
      <c r="D1164" s="10">
        <v>11018</v>
      </c>
      <c r="E1164" s="1" t="s">
        <v>4013</v>
      </c>
      <c r="F1164" s="1" t="s">
        <v>4014</v>
      </c>
      <c r="G1164" s="1" t="s">
        <v>1840</v>
      </c>
      <c r="H1164" s="1" t="s">
        <v>1812</v>
      </c>
      <c r="I1164" s="10" t="str">
        <f>IF(H1164="T25",1,IF(H1164="T25",3,IF(H1164="T41",6,IF(H1164="T41",10,IF(H1164="T73",14,IF(H1164="T73",18,IF(H1164="T41",22,"")))))))</f>
        <v/>
      </c>
      <c r="J1164" s="1" t="s">
        <v>1808</v>
      </c>
      <c r="K1164" s="10">
        <v>2</v>
      </c>
      <c r="L1164" s="10">
        <v>1</v>
      </c>
      <c r="O1164" s="6"/>
      <c r="Q1164" s="42" t="s">
        <v>2962</v>
      </c>
      <c r="R1164" s="42"/>
      <c r="S1164" s="1"/>
    </row>
    <row r="1165" spans="1:19" ht="18.75" hidden="1" customHeight="1" x14ac:dyDescent="0.3">
      <c r="A1165" s="10">
        <v>1164</v>
      </c>
      <c r="B1165" s="10">
        <f>_xlfn.XLOOKUP(1,(VALUE(D1165)&gt;=VALUE(block!$C$3:$C$500))*(VALUE(D1165)&lt;VALUE(block!$C$3:$C$500)+VALUE(block!$D$3:$D$500)),block!$A$3:$A$500,"无匹配",0,1)</f>
        <v>31</v>
      </c>
      <c r="C1165" s="3" t="str">
        <f>B1165 &amp; "-" &amp; COUNTIF($B$2:B1165, B1165)</f>
        <v>31-22</v>
      </c>
      <c r="D1165" s="10">
        <v>11020</v>
      </c>
      <c r="E1165" s="1" t="s">
        <v>4015</v>
      </c>
      <c r="F1165" s="1" t="s">
        <v>4016</v>
      </c>
      <c r="G1165" s="1" t="s">
        <v>1840</v>
      </c>
      <c r="H1165" s="1" t="s">
        <v>1812</v>
      </c>
      <c r="I1165" s="10" t="str">
        <f>IF(H1165="T26",1,IF(H1165="T26",3,IF(H1165="T42",6,IF(H1165="T42",10,IF(H1165="T74",14,IF(H1165="T74",18,IF(H1165="T42",22,"")))))))</f>
        <v/>
      </c>
      <c r="J1165" s="1" t="s">
        <v>1808</v>
      </c>
      <c r="K1165" s="10">
        <v>2</v>
      </c>
      <c r="L1165" s="10">
        <v>1</v>
      </c>
      <c r="O1165" s="6"/>
      <c r="Q1165" s="42" t="s">
        <v>2962</v>
      </c>
      <c r="R1165" s="42"/>
      <c r="S1165" s="1"/>
    </row>
    <row r="1166" spans="1:19" ht="18.75" hidden="1" customHeight="1" x14ac:dyDescent="0.3">
      <c r="A1166" s="10">
        <v>1165</v>
      </c>
      <c r="B1166" s="10">
        <f>_xlfn.XLOOKUP(1,(VALUE(D1166)&gt;=VALUE(block!$C$3:$C$500))*(VALUE(D1166)&lt;VALUE(block!$C$3:$C$500)+VALUE(block!$D$3:$D$500)),block!$A$3:$A$500,"无匹配",0,1)</f>
        <v>31</v>
      </c>
      <c r="C1166" s="3" t="str">
        <f>B1166 &amp; "-" &amp; COUNTIF($B$2:B1166, B1166)</f>
        <v>31-23</v>
      </c>
      <c r="D1166" s="10">
        <v>11022</v>
      </c>
      <c r="E1166" s="1" t="s">
        <v>4017</v>
      </c>
      <c r="F1166" s="1" t="s">
        <v>4018</v>
      </c>
      <c r="G1166" s="1" t="s">
        <v>1840</v>
      </c>
      <c r="H1166" s="1" t="s">
        <v>1812</v>
      </c>
      <c r="I1166" s="10" t="str">
        <f>IF(H1166="T27",1,IF(H1166="T27",3,IF(H1166="T43",6,IF(H1166="T43",10,IF(H1166="T75",14,IF(H1166="T75",18,IF(H1166="T43",22,"")))))))</f>
        <v/>
      </c>
      <c r="J1166" s="1" t="s">
        <v>1808</v>
      </c>
      <c r="K1166" s="10">
        <v>2</v>
      </c>
      <c r="L1166" s="10">
        <v>1</v>
      </c>
      <c r="O1166" s="6"/>
      <c r="Q1166" s="42" t="s">
        <v>2962</v>
      </c>
      <c r="R1166" s="42"/>
      <c r="S1166" s="1"/>
    </row>
    <row r="1167" spans="1:19" ht="18.75" hidden="1" customHeight="1" x14ac:dyDescent="0.3">
      <c r="A1167" s="10">
        <v>1166</v>
      </c>
      <c r="B1167" s="10">
        <f>_xlfn.XLOOKUP(1,(VALUE(D1167)&gt;=VALUE(block!$C$3:$C$500))*(VALUE(D1167)&lt;VALUE(block!$C$3:$C$500)+VALUE(block!$D$3:$D$500)),block!$A$3:$A$500,"无匹配",0,1)</f>
        <v>31</v>
      </c>
      <c r="C1167" s="3" t="str">
        <f>B1167 &amp; "-" &amp; COUNTIF($B$2:B1167, B1167)</f>
        <v>31-24</v>
      </c>
      <c r="D1167" s="10">
        <v>11024</v>
      </c>
      <c r="E1167" s="1" t="s">
        <v>4019</v>
      </c>
      <c r="F1167" s="1" t="s">
        <v>4020</v>
      </c>
      <c r="G1167" s="1" t="s">
        <v>1840</v>
      </c>
      <c r="H1167" s="1" t="s">
        <v>1812</v>
      </c>
      <c r="I1167" s="10" t="str">
        <f>IF(H1167="T28",1,IF(H1167="T28",3,IF(H1167="T44",6,IF(H1167="T44",10,IF(H1167="T76",14,IF(H1167="T76",18,IF(H1167="T44",22,"")))))))</f>
        <v/>
      </c>
      <c r="J1167" s="1" t="s">
        <v>1808</v>
      </c>
      <c r="K1167" s="10">
        <v>2</v>
      </c>
      <c r="L1167" s="10">
        <v>1</v>
      </c>
      <c r="O1167" s="6"/>
      <c r="Q1167" s="42" t="s">
        <v>2962</v>
      </c>
      <c r="R1167" s="42"/>
      <c r="S1167" s="1"/>
    </row>
    <row r="1168" spans="1:19" ht="18.75" hidden="1" customHeight="1" x14ac:dyDescent="0.3">
      <c r="A1168" s="10">
        <v>1167</v>
      </c>
      <c r="B1168" s="10">
        <f>_xlfn.XLOOKUP(1,(VALUE(D1168)&gt;=VALUE(block!$C$3:$C$500))*(VALUE(D1168)&lt;VALUE(block!$C$3:$C$500)+VALUE(block!$D$3:$D$500)),block!$A$3:$A$500,"无匹配",0,1)</f>
        <v>31</v>
      </c>
      <c r="C1168" s="3" t="str">
        <f>B1168 &amp; "-" &amp; COUNTIF($B$2:B1168, B1168)</f>
        <v>31-25</v>
      </c>
      <c r="D1168" s="10">
        <v>11026</v>
      </c>
      <c r="E1168" s="1" t="s">
        <v>4021</v>
      </c>
      <c r="F1168" s="1" t="s">
        <v>4022</v>
      </c>
      <c r="G1168" s="1" t="s">
        <v>1840</v>
      </c>
      <c r="H1168" s="1" t="s">
        <v>1812</v>
      </c>
      <c r="I1168" s="10" t="str">
        <f>IF(H1168="T29",1,IF(H1168="T29",3,IF(H1168="T45",6,IF(H1168="T45",10,IF(H1168="T77",14,IF(H1168="T77",18,IF(H1168="T45",22,"")))))))</f>
        <v/>
      </c>
      <c r="J1168" s="1" t="s">
        <v>1808</v>
      </c>
      <c r="K1168" s="10">
        <v>2</v>
      </c>
      <c r="L1168" s="10">
        <v>1</v>
      </c>
      <c r="O1168" s="6"/>
      <c r="Q1168" s="42" t="s">
        <v>2962</v>
      </c>
      <c r="R1168" s="42"/>
      <c r="S1168" s="1"/>
    </row>
    <row r="1169" spans="1:19" ht="18.75" hidden="1" customHeight="1" x14ac:dyDescent="0.3">
      <c r="A1169" s="10">
        <v>1168</v>
      </c>
      <c r="B1169" s="10">
        <f>_xlfn.XLOOKUP(1,(VALUE(D1169)&gt;=VALUE(block!$C$3:$C$500))*(VALUE(D1169)&lt;VALUE(block!$C$3:$C$500)+VALUE(block!$D$3:$D$500)),block!$A$3:$A$500,"无匹配",0,1)</f>
        <v>31</v>
      </c>
      <c r="C1169" s="3" t="str">
        <f>B1169 &amp; "-" &amp; COUNTIF($B$2:B1169, B1169)</f>
        <v>31-26</v>
      </c>
      <c r="D1169" s="10">
        <v>11028</v>
      </c>
      <c r="E1169" s="1" t="s">
        <v>4023</v>
      </c>
      <c r="F1169" s="1" t="s">
        <v>4024</v>
      </c>
      <c r="G1169" s="1" t="s">
        <v>1840</v>
      </c>
      <c r="H1169" s="1" t="s">
        <v>1812</v>
      </c>
      <c r="I1169" s="10" t="str">
        <f>IF(H1169="T30",1,IF(H1169="T30",3,IF(H1169="T46",6,IF(H1169="T46",10,IF(H1169="T78",14,IF(H1169="T78",18,IF(H1169="T46",22,"")))))))</f>
        <v/>
      </c>
      <c r="J1169" s="1" t="s">
        <v>1808</v>
      </c>
      <c r="K1169" s="10">
        <v>2</v>
      </c>
      <c r="L1169" s="10">
        <v>1</v>
      </c>
      <c r="O1169" s="6"/>
      <c r="Q1169" s="42" t="s">
        <v>2962</v>
      </c>
      <c r="R1169" s="42"/>
      <c r="S1169" s="1"/>
    </row>
    <row r="1170" spans="1:19" ht="18.75" hidden="1" customHeight="1" x14ac:dyDescent="0.3">
      <c r="A1170" s="10">
        <v>1169</v>
      </c>
      <c r="B1170" s="10">
        <f>_xlfn.XLOOKUP(1,(VALUE(D1170)&gt;=VALUE(block!$C$3:$C$500))*(VALUE(D1170)&lt;VALUE(block!$C$3:$C$500)+VALUE(block!$D$3:$D$500)),block!$A$3:$A$500,"无匹配",0,1)</f>
        <v>31</v>
      </c>
      <c r="C1170" s="3" t="str">
        <f>B1170 &amp; "-" &amp; COUNTIF($B$2:B1170, B1170)</f>
        <v>31-27</v>
      </c>
      <c r="D1170" s="10">
        <v>11030</v>
      </c>
      <c r="E1170" s="1" t="s">
        <v>4025</v>
      </c>
      <c r="F1170" s="1" t="s">
        <v>4026</v>
      </c>
      <c r="G1170" s="1" t="s">
        <v>1840</v>
      </c>
      <c r="H1170" s="1" t="s">
        <v>1812</v>
      </c>
      <c r="I1170" s="10" t="str">
        <f>IF(H1170="T31",1,IF(H1170="T31",3,IF(H1170="T47",6,IF(H1170="T47",10,IF(H1170="T79",14,IF(H1170="T79",18,IF(H1170="T47",22,"")))))))</f>
        <v/>
      </c>
      <c r="J1170" s="1" t="s">
        <v>1808</v>
      </c>
      <c r="K1170" s="10">
        <v>2</v>
      </c>
      <c r="L1170" s="10">
        <v>1</v>
      </c>
      <c r="O1170" s="6"/>
      <c r="Q1170" s="42" t="s">
        <v>2962</v>
      </c>
      <c r="R1170" s="42"/>
      <c r="S1170" s="1"/>
    </row>
    <row r="1171" spans="1:19" ht="18.75" hidden="1" customHeight="1" x14ac:dyDescent="0.3">
      <c r="A1171" s="10">
        <v>1170</v>
      </c>
      <c r="B1171" s="10">
        <f>_xlfn.XLOOKUP(1,(VALUE(D1171)&gt;=VALUE(block!$C$3:$C$500))*(VALUE(D1171)&lt;VALUE(block!$C$3:$C$500)+VALUE(block!$D$3:$D$500)),block!$A$3:$A$500,"无匹配",0,1)</f>
        <v>31</v>
      </c>
      <c r="C1171" s="3" t="str">
        <f>B1171 &amp; "-" &amp; COUNTIF($B$2:B1171, B1171)</f>
        <v>31-28</v>
      </c>
      <c r="D1171" s="10">
        <v>11032</v>
      </c>
      <c r="E1171" s="1" t="s">
        <v>4027</v>
      </c>
      <c r="F1171" s="1" t="s">
        <v>4028</v>
      </c>
      <c r="G1171" s="1" t="s">
        <v>1840</v>
      </c>
      <c r="H1171" s="1" t="s">
        <v>1812</v>
      </c>
      <c r="I1171" s="10" t="str">
        <f>IF(H1171="T32",1,IF(H1171="T32",3,IF(H1171="T48",6,IF(H1171="T48",10,IF(H1171="T80",14,IF(H1171="T80",18,IF(H1171="T48",22,"")))))))</f>
        <v/>
      </c>
      <c r="J1171" s="1" t="s">
        <v>1808</v>
      </c>
      <c r="K1171" s="10">
        <v>2</v>
      </c>
      <c r="L1171" s="10">
        <v>1</v>
      </c>
      <c r="O1171" s="6"/>
      <c r="Q1171" s="42" t="s">
        <v>2962</v>
      </c>
      <c r="R1171" s="42"/>
      <c r="S1171" s="1"/>
    </row>
    <row r="1172" spans="1:19" ht="18.75" hidden="1" customHeight="1" x14ac:dyDescent="0.3">
      <c r="A1172" s="10">
        <v>1171</v>
      </c>
      <c r="B1172" s="10">
        <f>_xlfn.XLOOKUP(1,(VALUE(D1172)&gt;=VALUE(block!$C$3:$C$500))*(VALUE(D1172)&lt;VALUE(block!$C$3:$C$500)+VALUE(block!$D$3:$D$500)),block!$A$3:$A$500,"无匹配",0,1)</f>
        <v>31</v>
      </c>
      <c r="C1172" s="3" t="str">
        <f>B1172 &amp; "-" &amp; COUNTIF($B$2:B1172, B1172)</f>
        <v>31-29</v>
      </c>
      <c r="D1172" s="10">
        <v>11034</v>
      </c>
      <c r="E1172" s="1" t="s">
        <v>4029</v>
      </c>
      <c r="F1172" s="1" t="s">
        <v>4030</v>
      </c>
      <c r="G1172" s="1" t="s">
        <v>1840</v>
      </c>
      <c r="H1172" s="1" t="s">
        <v>1812</v>
      </c>
      <c r="I1172" s="10" t="str">
        <f>IF(H1172="T33",1,IF(H1172="T33",3,IF(H1172="T49",6,IF(H1172="T49",10,IF(H1172="T81",14,IF(H1172="T81",18,IF(H1172="T49",22,"")))))))</f>
        <v/>
      </c>
      <c r="J1172" s="1" t="s">
        <v>1808</v>
      </c>
      <c r="K1172" s="10">
        <v>2</v>
      </c>
      <c r="L1172" s="10">
        <v>1</v>
      </c>
      <c r="O1172" s="6"/>
      <c r="Q1172" s="42" t="s">
        <v>2962</v>
      </c>
      <c r="R1172" s="42"/>
      <c r="S1172" s="1"/>
    </row>
    <row r="1173" spans="1:19" ht="18.75" hidden="1" customHeight="1" x14ac:dyDescent="0.3">
      <c r="A1173" s="10">
        <v>1172</v>
      </c>
      <c r="B1173" s="10">
        <f>_xlfn.XLOOKUP(1,(VALUE(D1173)&gt;=VALUE(block!$C$3:$C$500))*(VALUE(D1173)&lt;VALUE(block!$C$3:$C$500)+VALUE(block!$D$3:$D$500)),block!$A$3:$A$500,"无匹配",0,1)</f>
        <v>31</v>
      </c>
      <c r="C1173" s="3" t="str">
        <f>B1173 &amp; "-" &amp; COUNTIF($B$2:B1173, B1173)</f>
        <v>31-30</v>
      </c>
      <c r="D1173" s="10">
        <v>11036</v>
      </c>
      <c r="E1173" s="1" t="s">
        <v>4031</v>
      </c>
      <c r="F1173" s="1" t="s">
        <v>4032</v>
      </c>
      <c r="G1173" s="1" t="s">
        <v>1840</v>
      </c>
      <c r="H1173" s="1" t="s">
        <v>1812</v>
      </c>
      <c r="I1173" s="10" t="str">
        <f>IF(H1173="T34",1,IF(H1173="T34",3,IF(H1173="T50",6,IF(H1173="T50",10,IF(H1173="T82",14,IF(H1173="T82",18,IF(H1173="T50",22,"")))))))</f>
        <v/>
      </c>
      <c r="J1173" s="1" t="s">
        <v>1808</v>
      </c>
      <c r="K1173" s="10">
        <v>2</v>
      </c>
      <c r="L1173" s="10">
        <v>1</v>
      </c>
      <c r="O1173" s="6"/>
      <c r="Q1173" s="42" t="s">
        <v>2962</v>
      </c>
      <c r="R1173" s="42"/>
      <c r="S1173" s="1"/>
    </row>
    <row r="1174" spans="1:19" ht="18.75" hidden="1" customHeight="1" x14ac:dyDescent="0.3">
      <c r="A1174" s="10">
        <v>1173</v>
      </c>
      <c r="B1174" s="10">
        <f>_xlfn.XLOOKUP(1,(VALUE(D1174)&gt;=VALUE(block!$C$3:$C$500))*(VALUE(D1174)&lt;VALUE(block!$C$3:$C$500)+VALUE(block!$D$3:$D$500)),block!$A$3:$A$500,"无匹配",0,1)</f>
        <v>31</v>
      </c>
      <c r="C1174" s="3" t="str">
        <f>B1174 &amp; "-" &amp; COUNTIF($B$2:B1174, B1174)</f>
        <v>31-31</v>
      </c>
      <c r="D1174" s="10">
        <v>11038</v>
      </c>
      <c r="E1174" s="1" t="s">
        <v>4033</v>
      </c>
      <c r="F1174" s="1" t="s">
        <v>4034</v>
      </c>
      <c r="G1174" s="1" t="s">
        <v>1840</v>
      </c>
      <c r="H1174" s="1" t="s">
        <v>1812</v>
      </c>
      <c r="I1174" s="10" t="str">
        <f>IF(H1174="T35",1,IF(H1174="T35",3,IF(H1174="T51",6,IF(H1174="T51",10,IF(H1174="T83",14,IF(H1174="T83",18,IF(H1174="T51",22,"")))))))</f>
        <v/>
      </c>
      <c r="J1174" s="1" t="s">
        <v>1808</v>
      </c>
      <c r="K1174" s="10">
        <v>2</v>
      </c>
      <c r="L1174" s="10">
        <v>1</v>
      </c>
      <c r="O1174" s="6"/>
      <c r="Q1174" s="42" t="s">
        <v>2962</v>
      </c>
      <c r="R1174" s="42"/>
      <c r="S1174" s="1"/>
    </row>
    <row r="1175" spans="1:19" ht="18.75" hidden="1" customHeight="1" x14ac:dyDescent="0.3">
      <c r="A1175" s="10">
        <v>1174</v>
      </c>
      <c r="B1175" s="10">
        <f>_xlfn.XLOOKUP(1,(VALUE(D1175)&gt;=VALUE(block!$C$3:$C$500))*(VALUE(D1175)&lt;VALUE(block!$C$3:$C$500)+VALUE(block!$D$3:$D$500)),block!$A$3:$A$500,"无匹配",0,1)</f>
        <v>31</v>
      </c>
      <c r="C1175" s="3" t="str">
        <f>B1175 &amp; "-" &amp; COUNTIF($B$2:B1175, B1175)</f>
        <v>31-32</v>
      </c>
      <c r="D1175" s="10">
        <v>11040</v>
      </c>
      <c r="E1175" s="1" t="s">
        <v>4035</v>
      </c>
      <c r="F1175" s="1" t="s">
        <v>4036</v>
      </c>
      <c r="G1175" s="1" t="s">
        <v>1840</v>
      </c>
      <c r="H1175" s="1" t="s">
        <v>1812</v>
      </c>
      <c r="I1175" s="10" t="str">
        <f>IF(H1175="T36",1,IF(H1175="T36",3,IF(H1175="T52",6,IF(H1175="T52",10,IF(H1175="T84",14,IF(H1175="T84",18,IF(H1175="T52",22,"")))))))</f>
        <v/>
      </c>
      <c r="J1175" s="1" t="s">
        <v>1808</v>
      </c>
      <c r="K1175" s="10">
        <v>2</v>
      </c>
      <c r="L1175" s="10">
        <v>1</v>
      </c>
      <c r="O1175" s="6"/>
      <c r="Q1175" s="42" t="s">
        <v>2962</v>
      </c>
      <c r="R1175" s="42"/>
      <c r="S1175" s="1"/>
    </row>
    <row r="1176" spans="1:19" ht="18.75" hidden="1" customHeight="1" x14ac:dyDescent="0.3">
      <c r="A1176" s="10">
        <v>1175</v>
      </c>
      <c r="B1176" s="10">
        <f>_xlfn.XLOOKUP(1,(VALUE(D1176)&gt;=VALUE(block!$C$3:$C$500))*(VALUE(D1176)&lt;VALUE(block!$C$3:$C$500)+VALUE(block!$D$3:$D$500)),block!$A$3:$A$500,"无匹配",0,1)</f>
        <v>31</v>
      </c>
      <c r="C1176" s="3" t="str">
        <f>B1176 &amp; "-" &amp; COUNTIF($B$2:B1176, B1176)</f>
        <v>31-33</v>
      </c>
      <c r="D1176" s="10">
        <v>11042</v>
      </c>
      <c r="E1176" s="1" t="s">
        <v>4037</v>
      </c>
      <c r="F1176" s="1" t="s">
        <v>4038</v>
      </c>
      <c r="G1176" s="1" t="s">
        <v>1840</v>
      </c>
      <c r="H1176" s="1" t="s">
        <v>1812</v>
      </c>
      <c r="I1176" s="10" t="str">
        <f>IF(H1176="T37",1,IF(H1176="T37",3,IF(H1176="T53",6,IF(H1176="T53",10,IF(H1176="T85",14,IF(H1176="T85",18,IF(H1176="T53",22,"")))))))</f>
        <v/>
      </c>
      <c r="J1176" s="1" t="s">
        <v>1808</v>
      </c>
      <c r="K1176" s="10">
        <v>2</v>
      </c>
      <c r="L1176" s="10">
        <v>1</v>
      </c>
      <c r="O1176" s="6"/>
      <c r="Q1176" s="42" t="s">
        <v>2962</v>
      </c>
      <c r="R1176" s="42"/>
      <c r="S1176" s="1"/>
    </row>
    <row r="1177" spans="1:19" ht="18.75" hidden="1" customHeight="1" x14ac:dyDescent="0.3">
      <c r="A1177" s="10">
        <v>1176</v>
      </c>
      <c r="B1177" s="10">
        <f>_xlfn.XLOOKUP(1,(VALUE(D1177)&gt;=VALUE(block!$C$3:$C$500))*(VALUE(D1177)&lt;VALUE(block!$C$3:$C$500)+VALUE(block!$D$3:$D$500)),block!$A$3:$A$500,"无匹配",0,1)</f>
        <v>31</v>
      </c>
      <c r="C1177" s="3" t="str">
        <f>B1177 &amp; "-" &amp; COUNTIF($B$2:B1177, B1177)</f>
        <v>31-34</v>
      </c>
      <c r="D1177" s="10">
        <v>11044</v>
      </c>
      <c r="E1177" s="1" t="s">
        <v>4039</v>
      </c>
      <c r="F1177" s="1" t="s">
        <v>4040</v>
      </c>
      <c r="G1177" s="1" t="s">
        <v>1840</v>
      </c>
      <c r="H1177" s="1" t="s">
        <v>1812</v>
      </c>
      <c r="I1177" s="10" t="str">
        <f>IF(H1177="T38",1,IF(H1177="T38",3,IF(H1177="T54",6,IF(H1177="T54",10,IF(H1177="T86",14,IF(H1177="T86",18,IF(H1177="T54",22,"")))))))</f>
        <v/>
      </c>
      <c r="J1177" s="1" t="s">
        <v>1808</v>
      </c>
      <c r="K1177" s="10">
        <v>2</v>
      </c>
      <c r="L1177" s="10">
        <v>1</v>
      </c>
      <c r="O1177" s="6"/>
      <c r="Q1177" s="42" t="s">
        <v>2962</v>
      </c>
      <c r="R1177" s="42"/>
      <c r="S1177" s="1"/>
    </row>
    <row r="1178" spans="1:19" ht="18.75" customHeight="1" x14ac:dyDescent="0.3">
      <c r="A1178" s="10">
        <v>1177</v>
      </c>
      <c r="B1178" s="10">
        <f>_xlfn.XLOOKUP(1,(VALUE(D1178)&gt;=VALUE(block!$C$3:$C$500))*(VALUE(D1178)&lt;VALUE(block!$C$3:$C$500)+VALUE(block!$D$3:$D$500)),block!$A$3:$A$500,"无匹配",0,1)</f>
        <v>32</v>
      </c>
      <c r="C1178" s="3" t="str">
        <f>B1178 &amp; "-" &amp; COUNTIF($B$2:B1178, B1178)</f>
        <v>32-1</v>
      </c>
      <c r="D1178" s="10">
        <v>11046</v>
      </c>
      <c r="E1178" s="1" t="s">
        <v>4041</v>
      </c>
      <c r="F1178" s="1" t="s">
        <v>4042</v>
      </c>
      <c r="G1178" s="1" t="s">
        <v>1840</v>
      </c>
      <c r="H1178" s="1" t="s">
        <v>1812</v>
      </c>
      <c r="I1178" s="10" t="str">
        <f>IF(H1178="T39",1,IF(H1178="T39",3,IF(H1178="T55",6,IF(H1178="T55",10,IF(H1178="T87",14,IF(H1178="T87",18,IF(H1178="T55",22,"")))))))</f>
        <v/>
      </c>
      <c r="J1178" s="1" t="s">
        <v>1808</v>
      </c>
      <c r="K1178" s="10">
        <v>2</v>
      </c>
      <c r="L1178" s="10">
        <v>1</v>
      </c>
      <c r="N1178" s="10">
        <v>4</v>
      </c>
      <c r="O1178" s="6"/>
      <c r="P1178" s="45" t="s">
        <v>2826</v>
      </c>
      <c r="Q1178" s="6">
        <v>14</v>
      </c>
      <c r="R1178" s="6"/>
      <c r="S1178" s="1" t="s">
        <v>4042</v>
      </c>
    </row>
    <row r="1179" spans="1:19" ht="18.75" customHeight="1" x14ac:dyDescent="0.3">
      <c r="A1179" s="10">
        <v>1178</v>
      </c>
      <c r="B1179" s="10">
        <f>_xlfn.XLOOKUP(1,(VALUE(D1179)&gt;=VALUE(block!$C$3:$C$500))*(VALUE(D1179)&lt;VALUE(block!$C$3:$C$500)+VALUE(block!$D$3:$D$500)),block!$A$3:$A$500,"无匹配",0,1)</f>
        <v>32</v>
      </c>
      <c r="C1179" s="3" t="str">
        <f>B1179 &amp; "-" &amp; COUNTIF($B$2:B1179, B1179)</f>
        <v>32-2</v>
      </c>
      <c r="D1179" s="10">
        <v>11048</v>
      </c>
      <c r="E1179" s="1" t="s">
        <v>4043</v>
      </c>
      <c r="F1179" s="1" t="s">
        <v>4044</v>
      </c>
      <c r="G1179" s="1" t="s">
        <v>1840</v>
      </c>
      <c r="H1179" s="1" t="s">
        <v>1812</v>
      </c>
      <c r="I1179" s="10" t="str">
        <f>IF(H1179="T40",1,IF(H1179="T40",3,IF(H1179="T56",6,IF(H1179="T56",10,IF(H1179="T88",14,IF(H1179="T88",18,IF(H1179="T56",22,"")))))))</f>
        <v/>
      </c>
      <c r="J1179" s="1" t="s">
        <v>1808</v>
      </c>
      <c r="K1179" s="10">
        <v>2</v>
      </c>
      <c r="L1179" s="10">
        <v>1</v>
      </c>
      <c r="N1179" s="10">
        <v>4</v>
      </c>
      <c r="O1179" s="6"/>
      <c r="P1179" s="45" t="s">
        <v>2826</v>
      </c>
      <c r="Q1179" s="6">
        <v>14</v>
      </c>
      <c r="R1179" s="6"/>
      <c r="S1179" s="1" t="s">
        <v>4044</v>
      </c>
    </row>
    <row r="1180" spans="1:19" ht="18.75" customHeight="1" x14ac:dyDescent="0.3">
      <c r="A1180" s="10">
        <v>1179</v>
      </c>
      <c r="B1180" s="10">
        <f>_xlfn.XLOOKUP(1,(VALUE(D1180)&gt;=VALUE(block!$C$3:$C$500))*(VALUE(D1180)&lt;VALUE(block!$C$3:$C$500)+VALUE(block!$D$3:$D$500)),block!$A$3:$A$500,"无匹配",0,1)</f>
        <v>32</v>
      </c>
      <c r="C1180" s="3" t="str">
        <f>B1180 &amp; "-" &amp; COUNTIF($B$2:B1180, B1180)</f>
        <v>32-3</v>
      </c>
      <c r="D1180" s="10">
        <v>11050</v>
      </c>
      <c r="E1180" s="1" t="s">
        <v>4045</v>
      </c>
      <c r="F1180" s="1" t="s">
        <v>4046</v>
      </c>
      <c r="G1180" s="1" t="s">
        <v>1840</v>
      </c>
      <c r="H1180" s="1" t="s">
        <v>1812</v>
      </c>
      <c r="I1180" s="10" t="str">
        <f>IF(H1180="T41",1,IF(H1180="T41",3,IF(H1180="T57",6,IF(H1180="T57",10,IF(H1180="T89",14,IF(H1180="T89",18,IF(H1180="T57",22,"")))))))</f>
        <v/>
      </c>
      <c r="J1180" s="1" t="s">
        <v>1808</v>
      </c>
      <c r="K1180" s="10">
        <v>2</v>
      </c>
      <c r="L1180" s="10">
        <v>1</v>
      </c>
      <c r="N1180" s="10">
        <v>4</v>
      </c>
      <c r="O1180" s="6"/>
      <c r="P1180" s="45" t="s">
        <v>2826</v>
      </c>
      <c r="Q1180" s="6">
        <v>14</v>
      </c>
      <c r="R1180" s="6"/>
      <c r="S1180" s="1" t="s">
        <v>4046</v>
      </c>
    </row>
    <row r="1181" spans="1:19" ht="18.75" customHeight="1" x14ac:dyDescent="0.3">
      <c r="A1181" s="10">
        <v>1180</v>
      </c>
      <c r="B1181" s="10">
        <f>_xlfn.XLOOKUP(1,(VALUE(D1181)&gt;=VALUE(block!$C$3:$C$500))*(VALUE(D1181)&lt;VALUE(block!$C$3:$C$500)+VALUE(block!$D$3:$D$500)),block!$A$3:$A$500,"无匹配",0,1)</f>
        <v>32</v>
      </c>
      <c r="C1181" s="3" t="str">
        <f>B1181 &amp; "-" &amp; COUNTIF($B$2:B1181, B1181)</f>
        <v>32-4</v>
      </c>
      <c r="D1181" s="10">
        <v>11052</v>
      </c>
      <c r="E1181" s="1" t="s">
        <v>4047</v>
      </c>
      <c r="F1181" s="1" t="s">
        <v>4048</v>
      </c>
      <c r="G1181" s="1" t="s">
        <v>1840</v>
      </c>
      <c r="H1181" s="1" t="s">
        <v>1812</v>
      </c>
      <c r="I1181" s="10" t="str">
        <f>IF(H1181="T42",1,IF(H1181="T42",3,IF(H1181="T58",6,IF(H1181="T58",10,IF(H1181="T90",14,IF(H1181="T90",18,IF(H1181="T58",22,"")))))))</f>
        <v/>
      </c>
      <c r="J1181" s="1" t="s">
        <v>1808</v>
      </c>
      <c r="K1181" s="10">
        <v>2</v>
      </c>
      <c r="L1181" s="10">
        <v>1</v>
      </c>
      <c r="N1181" s="10">
        <v>4</v>
      </c>
      <c r="O1181" s="6"/>
      <c r="P1181" s="45" t="s">
        <v>2826</v>
      </c>
      <c r="Q1181" s="6">
        <v>14</v>
      </c>
      <c r="R1181" s="6"/>
      <c r="S1181" s="1" t="s">
        <v>4048</v>
      </c>
    </row>
    <row r="1182" spans="1:19" ht="18.75" hidden="1" customHeight="1" x14ac:dyDescent="0.3">
      <c r="A1182" s="10">
        <v>1181</v>
      </c>
      <c r="B1182" s="10">
        <f>_xlfn.XLOOKUP(1,(VALUE(D1182)&gt;=VALUE(block!$C$3:$C$500))*(VALUE(D1182)&lt;VALUE(block!$C$3:$C$500)+VALUE(block!$D$3:$D$500)),block!$A$3:$A$500,"无匹配",0,1)</f>
        <v>32</v>
      </c>
      <c r="C1182" s="3" t="str">
        <f>B1182 &amp; "-" &amp; COUNTIF($B$2:B1182, B1182)</f>
        <v>32-5</v>
      </c>
      <c r="D1182" s="10">
        <v>11054</v>
      </c>
      <c r="E1182" s="1" t="s">
        <v>4049</v>
      </c>
      <c r="F1182" s="1" t="s">
        <v>4050</v>
      </c>
      <c r="G1182" s="1" t="s">
        <v>1840</v>
      </c>
      <c r="H1182" s="1" t="s">
        <v>1812</v>
      </c>
      <c r="I1182" s="10" t="str">
        <f>IF(H1182="T43",1,IF(H1182="T43",3,IF(H1182="T59",6,IF(H1182="T59",10,IF(H1182="T91",14,IF(H1182="T91",18,IF(H1182="T59",22,"")))))))</f>
        <v/>
      </c>
      <c r="J1182" s="1" t="s">
        <v>1808</v>
      </c>
      <c r="K1182" s="10">
        <v>2</v>
      </c>
      <c r="L1182" s="10">
        <v>1</v>
      </c>
      <c r="O1182" s="6"/>
      <c r="Q1182" s="42" t="s">
        <v>2962</v>
      </c>
      <c r="R1182" s="42"/>
      <c r="S1182" s="1"/>
    </row>
    <row r="1183" spans="1:19" ht="18.75" hidden="1" customHeight="1" x14ac:dyDescent="0.3">
      <c r="A1183" s="10">
        <v>1182</v>
      </c>
      <c r="B1183" s="10">
        <f>_xlfn.XLOOKUP(1,(VALUE(D1183)&gt;=VALUE(block!$C$3:$C$500))*(VALUE(D1183)&lt;VALUE(block!$C$3:$C$500)+VALUE(block!$D$3:$D$500)),block!$A$3:$A$500,"无匹配",0,1)</f>
        <v>32</v>
      </c>
      <c r="C1183" s="3" t="str">
        <f>B1183 &amp; "-" &amp; COUNTIF($B$2:B1183, B1183)</f>
        <v>32-6</v>
      </c>
      <c r="D1183" s="10">
        <v>11056</v>
      </c>
      <c r="E1183" s="1" t="s">
        <v>4051</v>
      </c>
      <c r="F1183" s="1" t="s">
        <v>4052</v>
      </c>
      <c r="G1183" s="1" t="s">
        <v>1840</v>
      </c>
      <c r="H1183" s="1" t="s">
        <v>1812</v>
      </c>
      <c r="I1183" s="10" t="str">
        <f>IF(H1183="T44",1,IF(H1183="T44",3,IF(H1183="T60",6,IF(H1183="T60",10,IF(H1183="T92",14,IF(H1183="T92",18,IF(H1183="T60",22,"")))))))</f>
        <v/>
      </c>
      <c r="J1183" s="1" t="s">
        <v>1808</v>
      </c>
      <c r="K1183" s="10">
        <v>2</v>
      </c>
      <c r="L1183" s="10">
        <v>1</v>
      </c>
      <c r="O1183" s="6"/>
      <c r="Q1183" s="42" t="s">
        <v>2962</v>
      </c>
      <c r="R1183" s="42"/>
      <c r="S1183" s="1"/>
    </row>
    <row r="1184" spans="1:19" ht="18.75" hidden="1" customHeight="1" x14ac:dyDescent="0.3">
      <c r="A1184" s="10">
        <v>1183</v>
      </c>
      <c r="B1184" s="10">
        <f>_xlfn.XLOOKUP(1,(VALUE(D1184)&gt;=VALUE(block!$C$3:$C$500))*(VALUE(D1184)&lt;VALUE(block!$C$3:$C$500)+VALUE(block!$D$3:$D$500)),block!$A$3:$A$500,"无匹配",0,1)</f>
        <v>32</v>
      </c>
      <c r="C1184" s="3" t="str">
        <f>B1184 &amp; "-" &amp; COUNTIF($B$2:B1184, B1184)</f>
        <v>32-7</v>
      </c>
      <c r="D1184" s="10">
        <v>11058</v>
      </c>
      <c r="E1184" s="1" t="s">
        <v>4053</v>
      </c>
      <c r="F1184" s="1" t="s">
        <v>4054</v>
      </c>
      <c r="G1184" s="1" t="s">
        <v>1840</v>
      </c>
      <c r="H1184" s="1" t="s">
        <v>1812</v>
      </c>
      <c r="I1184" s="10" t="str">
        <f>IF(H1184="T45",1,IF(H1184="T45",3,IF(H1184="T61",6,IF(H1184="T61",10,IF(H1184="T93",14,IF(H1184="T93",18,IF(H1184="T61",22,"")))))))</f>
        <v/>
      </c>
      <c r="J1184" s="1" t="s">
        <v>1808</v>
      </c>
      <c r="K1184" s="10">
        <v>2</v>
      </c>
      <c r="L1184" s="10">
        <v>1</v>
      </c>
      <c r="O1184" s="6"/>
      <c r="Q1184" s="42" t="s">
        <v>2962</v>
      </c>
      <c r="R1184" s="42"/>
      <c r="S1184" s="1"/>
    </row>
    <row r="1185" spans="1:19" ht="18.75" hidden="1" customHeight="1" x14ac:dyDescent="0.3">
      <c r="A1185" s="10">
        <v>1184</v>
      </c>
      <c r="B1185" s="10">
        <f>_xlfn.XLOOKUP(1,(VALUE(D1185)&gt;=VALUE(block!$C$3:$C$500))*(VALUE(D1185)&lt;VALUE(block!$C$3:$C$500)+VALUE(block!$D$3:$D$500)),block!$A$3:$A$500,"无匹配",0,1)</f>
        <v>32</v>
      </c>
      <c r="C1185" s="3" t="str">
        <f>B1185 &amp; "-" &amp; COUNTIF($B$2:B1185, B1185)</f>
        <v>32-8</v>
      </c>
      <c r="D1185" s="10">
        <v>11060</v>
      </c>
      <c r="E1185" s="1" t="s">
        <v>4055</v>
      </c>
      <c r="F1185" s="1" t="s">
        <v>4056</v>
      </c>
      <c r="G1185" s="1" t="s">
        <v>1840</v>
      </c>
      <c r="H1185" s="1" t="s">
        <v>1812</v>
      </c>
      <c r="I1185" s="10" t="str">
        <f>IF(H1185="T46",1,IF(H1185="T46",3,IF(H1185="T62",6,IF(H1185="T62",10,IF(H1185="T94",14,IF(H1185="T94",18,IF(H1185="T62",22,"")))))))</f>
        <v/>
      </c>
      <c r="J1185" s="1" t="s">
        <v>1808</v>
      </c>
      <c r="K1185" s="10">
        <v>2</v>
      </c>
      <c r="L1185" s="10">
        <v>1</v>
      </c>
      <c r="O1185" s="6"/>
      <c r="Q1185" s="42" t="s">
        <v>2962</v>
      </c>
      <c r="R1185" s="42"/>
      <c r="S1185" s="1"/>
    </row>
    <row r="1186" spans="1:19" ht="18.75" hidden="1" customHeight="1" x14ac:dyDescent="0.3">
      <c r="A1186" s="10">
        <v>1185</v>
      </c>
      <c r="B1186" s="10">
        <f>_xlfn.XLOOKUP(1,(VALUE(D1186)&gt;=VALUE(block!$C$3:$C$500))*(VALUE(D1186)&lt;VALUE(block!$C$3:$C$500)+VALUE(block!$D$3:$D$500)),block!$A$3:$A$500,"无匹配",0,1)</f>
        <v>32</v>
      </c>
      <c r="C1186" s="3" t="str">
        <f>B1186 &amp; "-" &amp; COUNTIF($B$2:B1186, B1186)</f>
        <v>32-9</v>
      </c>
      <c r="D1186" s="10">
        <v>11062</v>
      </c>
      <c r="E1186" s="1" t="s">
        <v>4057</v>
      </c>
      <c r="F1186" s="1" t="s">
        <v>4058</v>
      </c>
      <c r="G1186" s="1" t="s">
        <v>1840</v>
      </c>
      <c r="H1186" s="1" t="s">
        <v>1812</v>
      </c>
      <c r="I1186" s="10" t="str">
        <f>IF(H1186="T47",1,IF(H1186="T47",3,IF(H1186="T63",6,IF(H1186="T63",10,IF(H1186="T95",14,IF(H1186="T95",18,IF(H1186="T63",22,"")))))))</f>
        <v/>
      </c>
      <c r="J1186" s="1" t="s">
        <v>1808</v>
      </c>
      <c r="K1186" s="10">
        <v>2</v>
      </c>
      <c r="L1186" s="10">
        <v>1</v>
      </c>
      <c r="O1186" s="6"/>
      <c r="Q1186" s="42" t="s">
        <v>2962</v>
      </c>
      <c r="R1186" s="42"/>
      <c r="S1186" s="1"/>
    </row>
    <row r="1187" spans="1:19" ht="18.75" hidden="1" customHeight="1" x14ac:dyDescent="0.3">
      <c r="A1187" s="10">
        <v>1186</v>
      </c>
      <c r="B1187" s="10">
        <f>_xlfn.XLOOKUP(1,(VALUE(D1187)&gt;=VALUE(block!$C$3:$C$500))*(VALUE(D1187)&lt;VALUE(block!$C$3:$C$500)+VALUE(block!$D$3:$D$500)),block!$A$3:$A$500,"无匹配",0,1)</f>
        <v>32</v>
      </c>
      <c r="C1187" s="3" t="str">
        <f>B1187 &amp; "-" &amp; COUNTIF($B$2:B1187, B1187)</f>
        <v>32-10</v>
      </c>
      <c r="D1187" s="10">
        <v>11064</v>
      </c>
      <c r="E1187" s="1" t="s">
        <v>4059</v>
      </c>
      <c r="F1187" s="1" t="s">
        <v>4060</v>
      </c>
      <c r="G1187" s="1" t="s">
        <v>1840</v>
      </c>
      <c r="H1187" s="1" t="s">
        <v>1812</v>
      </c>
      <c r="I1187" s="10" t="str">
        <f>IF(H1187="T48",1,IF(H1187="T48",3,IF(H1187="T64",6,IF(H1187="T64",10,IF(H1187="T96",14,IF(H1187="T96",18,IF(H1187="T64",22,"")))))))</f>
        <v/>
      </c>
      <c r="J1187" s="1" t="s">
        <v>1808</v>
      </c>
      <c r="K1187" s="10">
        <v>2</v>
      </c>
      <c r="L1187" s="10">
        <v>1</v>
      </c>
      <c r="O1187" s="6"/>
      <c r="Q1187" s="42" t="s">
        <v>2962</v>
      </c>
      <c r="R1187" s="42"/>
      <c r="S1187" s="1"/>
    </row>
    <row r="1188" spans="1:19" ht="18.75" hidden="1" customHeight="1" x14ac:dyDescent="0.3">
      <c r="A1188" s="10">
        <v>1187</v>
      </c>
      <c r="B1188" s="10">
        <f>_xlfn.XLOOKUP(1,(VALUE(D1188)&gt;=VALUE(block!$C$3:$C$500))*(VALUE(D1188)&lt;VALUE(block!$C$3:$C$500)+VALUE(block!$D$3:$D$500)),block!$A$3:$A$500,"无匹配",0,1)</f>
        <v>32</v>
      </c>
      <c r="C1188" s="3" t="str">
        <f>B1188 &amp; "-" &amp; COUNTIF($B$2:B1188, B1188)</f>
        <v>32-11</v>
      </c>
      <c r="D1188" s="10">
        <v>11066</v>
      </c>
      <c r="E1188" s="1" t="s">
        <v>4061</v>
      </c>
      <c r="F1188" s="1" t="s">
        <v>4062</v>
      </c>
      <c r="G1188" s="1" t="s">
        <v>1840</v>
      </c>
      <c r="H1188" s="1" t="s">
        <v>1812</v>
      </c>
      <c r="I1188" s="10" t="str">
        <f>IF(H1188="T49",1,IF(H1188="T49",3,IF(H1188="T65",6,IF(H1188="T65",10,IF(H1188="T97",14,IF(H1188="T97",18,IF(H1188="T65",22,"")))))))</f>
        <v/>
      </c>
      <c r="J1188" s="1" t="s">
        <v>1808</v>
      </c>
      <c r="K1188" s="10">
        <v>2</v>
      </c>
      <c r="L1188" s="10">
        <v>1</v>
      </c>
      <c r="O1188" s="6"/>
      <c r="Q1188" s="42" t="s">
        <v>2962</v>
      </c>
      <c r="R1188" s="42"/>
      <c r="S1188" s="1"/>
    </row>
    <row r="1189" spans="1:19" ht="18.75" hidden="1" customHeight="1" x14ac:dyDescent="0.3">
      <c r="A1189" s="10">
        <v>1188</v>
      </c>
      <c r="B1189" s="10">
        <f>_xlfn.XLOOKUP(1,(VALUE(D1189)&gt;=VALUE(block!$C$3:$C$500))*(VALUE(D1189)&lt;VALUE(block!$C$3:$C$500)+VALUE(block!$D$3:$D$500)),block!$A$3:$A$500,"无匹配",0,1)</f>
        <v>32</v>
      </c>
      <c r="C1189" s="3" t="str">
        <f>B1189 &amp; "-" &amp; COUNTIF($B$2:B1189, B1189)</f>
        <v>32-12</v>
      </c>
      <c r="D1189" s="10">
        <v>11068</v>
      </c>
      <c r="E1189" s="1" t="s">
        <v>4063</v>
      </c>
      <c r="F1189" s="1" t="s">
        <v>4064</v>
      </c>
      <c r="G1189" s="1" t="s">
        <v>1840</v>
      </c>
      <c r="H1189" s="1" t="s">
        <v>1812</v>
      </c>
      <c r="I1189" s="10" t="str">
        <f>IF(H1189="T50",1,IF(H1189="T50",3,IF(H1189="T66",6,IF(H1189="T66",10,IF(H1189="T98",14,IF(H1189="T98",18,IF(H1189="T66",22,"")))))))</f>
        <v/>
      </c>
      <c r="J1189" s="1" t="s">
        <v>1808</v>
      </c>
      <c r="K1189" s="10">
        <v>2</v>
      </c>
      <c r="L1189" s="10">
        <v>1</v>
      </c>
      <c r="O1189" s="6"/>
      <c r="Q1189" s="42" t="s">
        <v>2962</v>
      </c>
      <c r="R1189" s="42"/>
      <c r="S1189" s="1"/>
    </row>
    <row r="1190" spans="1:19" ht="18.75" hidden="1" customHeight="1" x14ac:dyDescent="0.3">
      <c r="A1190" s="10">
        <v>1189</v>
      </c>
      <c r="B1190" s="10">
        <f>_xlfn.XLOOKUP(1,(VALUE(D1190)&gt;=VALUE(block!$C$3:$C$500))*(VALUE(D1190)&lt;VALUE(block!$C$3:$C$500)+VALUE(block!$D$3:$D$500)),block!$A$3:$A$500,"无匹配",0,1)</f>
        <v>32</v>
      </c>
      <c r="C1190" s="3" t="str">
        <f>B1190 &amp; "-" &amp; COUNTIF($B$2:B1190, B1190)</f>
        <v>32-13</v>
      </c>
      <c r="D1190" s="10">
        <v>11070</v>
      </c>
      <c r="E1190" s="1" t="s">
        <v>4065</v>
      </c>
      <c r="F1190" s="1" t="s">
        <v>4066</v>
      </c>
      <c r="G1190" s="1" t="s">
        <v>1840</v>
      </c>
      <c r="H1190" s="1" t="s">
        <v>1812</v>
      </c>
      <c r="I1190" s="10" t="str">
        <f>IF(H1190="T51",1,IF(H1190="T51",3,IF(H1190="T67",6,IF(H1190="T67",10,IF(H1190="T99",14,IF(H1190="T99",18,IF(H1190="T67",22,"")))))))</f>
        <v/>
      </c>
      <c r="J1190" s="1" t="s">
        <v>1808</v>
      </c>
      <c r="K1190" s="10">
        <v>2</v>
      </c>
      <c r="L1190" s="10">
        <v>1</v>
      </c>
      <c r="O1190" s="6"/>
      <c r="Q1190" s="42" t="s">
        <v>2962</v>
      </c>
      <c r="R1190" s="42"/>
      <c r="S1190" s="1"/>
    </row>
    <row r="1191" spans="1:19" ht="18.75" hidden="1" customHeight="1" x14ac:dyDescent="0.3">
      <c r="A1191" s="10">
        <v>1190</v>
      </c>
      <c r="B1191" s="10">
        <f>_xlfn.XLOOKUP(1,(VALUE(D1191)&gt;=VALUE(block!$C$3:$C$500))*(VALUE(D1191)&lt;VALUE(block!$C$3:$C$500)+VALUE(block!$D$3:$D$500)),block!$A$3:$A$500,"无匹配",0,1)</f>
        <v>32</v>
      </c>
      <c r="C1191" s="3" t="str">
        <f>B1191 &amp; "-" &amp; COUNTIF($B$2:B1191, B1191)</f>
        <v>32-14</v>
      </c>
      <c r="D1191" s="10">
        <v>11072</v>
      </c>
      <c r="E1191" s="1" t="s">
        <v>4067</v>
      </c>
      <c r="F1191" s="1" t="s">
        <v>4068</v>
      </c>
      <c r="G1191" s="1" t="s">
        <v>1840</v>
      </c>
      <c r="H1191" s="1" t="s">
        <v>1812</v>
      </c>
      <c r="I1191" s="10" t="str">
        <f>IF(H1191="T52",1,IF(H1191="T52",3,IF(H1191="T68",6,IF(H1191="T68",10,IF(H1191="T100",14,IF(H1191="T100",18,IF(H1191="T68",22,"")))))))</f>
        <v/>
      </c>
      <c r="J1191" s="1" t="s">
        <v>1808</v>
      </c>
      <c r="K1191" s="10">
        <v>2</v>
      </c>
      <c r="L1191" s="10">
        <v>1</v>
      </c>
      <c r="O1191" s="6"/>
      <c r="Q1191" s="42" t="s">
        <v>2962</v>
      </c>
      <c r="R1191" s="42"/>
      <c r="S1191" s="1"/>
    </row>
    <row r="1192" spans="1:19" ht="18.75" hidden="1" customHeight="1" x14ac:dyDescent="0.3">
      <c r="A1192" s="10">
        <v>1191</v>
      </c>
      <c r="B1192" s="10">
        <f>_xlfn.XLOOKUP(1,(VALUE(D1192)&gt;=VALUE(block!$C$3:$C$500))*(VALUE(D1192)&lt;VALUE(block!$C$3:$C$500)+VALUE(block!$D$3:$D$500)),block!$A$3:$A$500,"无匹配",0,1)</f>
        <v>32</v>
      </c>
      <c r="C1192" s="3" t="str">
        <f>B1192 &amp; "-" &amp; COUNTIF($B$2:B1192, B1192)</f>
        <v>32-15</v>
      </c>
      <c r="D1192" s="10">
        <v>11074</v>
      </c>
      <c r="E1192" s="1" t="s">
        <v>4069</v>
      </c>
      <c r="F1192" s="1" t="s">
        <v>4070</v>
      </c>
      <c r="G1192" s="1" t="s">
        <v>1840</v>
      </c>
      <c r="H1192" s="1" t="s">
        <v>1812</v>
      </c>
      <c r="I1192" s="10" t="str">
        <f>IF(H1192="T53",1,IF(H1192="T53",3,IF(H1192="T69",6,IF(H1192="T69",10,IF(H1192="T101",14,IF(H1192="T101",18,IF(H1192="T69",22,"")))))))</f>
        <v/>
      </c>
      <c r="J1192" s="1" t="s">
        <v>1808</v>
      </c>
      <c r="K1192" s="10">
        <v>2</v>
      </c>
      <c r="L1192" s="10">
        <v>1</v>
      </c>
      <c r="O1192" s="6"/>
      <c r="Q1192" s="42" t="s">
        <v>2962</v>
      </c>
      <c r="R1192" s="42"/>
      <c r="S1192" s="1"/>
    </row>
    <row r="1193" spans="1:19" ht="18.75" hidden="1" customHeight="1" x14ac:dyDescent="0.3">
      <c r="A1193" s="10">
        <v>1192</v>
      </c>
      <c r="B1193" s="10">
        <f>_xlfn.XLOOKUP(1,(VALUE(D1193)&gt;=VALUE(block!$C$3:$C$500))*(VALUE(D1193)&lt;VALUE(block!$C$3:$C$500)+VALUE(block!$D$3:$D$500)),block!$A$3:$A$500,"无匹配",0,1)</f>
        <v>32</v>
      </c>
      <c r="C1193" s="3" t="str">
        <f>B1193 &amp; "-" &amp; COUNTIF($B$2:B1193, B1193)</f>
        <v>32-16</v>
      </c>
      <c r="D1193" s="10">
        <v>11076</v>
      </c>
      <c r="E1193" s="1" t="s">
        <v>4071</v>
      </c>
      <c r="F1193" s="1" t="s">
        <v>4072</v>
      </c>
      <c r="G1193" s="1" t="s">
        <v>1840</v>
      </c>
      <c r="H1193" s="1" t="s">
        <v>1812</v>
      </c>
      <c r="I1193" s="10" t="str">
        <f>IF(H1193="T54",1,IF(H1193="T54",3,IF(H1193="T70",6,IF(H1193="T70",10,IF(H1193="T102",14,IF(H1193="T102",18,IF(H1193="T70",22,"")))))))</f>
        <v/>
      </c>
      <c r="J1193" s="1" t="s">
        <v>1808</v>
      </c>
      <c r="K1193" s="10">
        <v>2</v>
      </c>
      <c r="L1193" s="10">
        <v>1</v>
      </c>
      <c r="O1193" s="6"/>
      <c r="Q1193" s="42" t="s">
        <v>2962</v>
      </c>
      <c r="R1193" s="42"/>
      <c r="S1193" s="1"/>
    </row>
    <row r="1194" spans="1:19" ht="18.75" hidden="1" customHeight="1" x14ac:dyDescent="0.3">
      <c r="A1194" s="10">
        <v>1193</v>
      </c>
      <c r="B1194" s="10">
        <f>_xlfn.XLOOKUP(1,(VALUE(D1194)&gt;=VALUE(block!$C$3:$C$500))*(VALUE(D1194)&lt;VALUE(block!$C$3:$C$500)+VALUE(block!$D$3:$D$500)),block!$A$3:$A$500,"无匹配",0,1)</f>
        <v>32</v>
      </c>
      <c r="C1194" s="3" t="str">
        <f>B1194 &amp; "-" &amp; COUNTIF($B$2:B1194, B1194)</f>
        <v>32-17</v>
      </c>
      <c r="D1194" s="10">
        <v>11078</v>
      </c>
      <c r="E1194" s="1" t="s">
        <v>4073</v>
      </c>
      <c r="F1194" s="1" t="s">
        <v>4074</v>
      </c>
      <c r="G1194" s="1" t="s">
        <v>1840</v>
      </c>
      <c r="H1194" s="1" t="s">
        <v>1812</v>
      </c>
      <c r="I1194" s="10" t="str">
        <f>IF(H1194="T55",1,IF(H1194="T55",3,IF(H1194="T71",6,IF(H1194="T71",10,IF(H1194="T103",14,IF(H1194="T103",18,IF(H1194="T71",22,"")))))))</f>
        <v/>
      </c>
      <c r="J1194" s="1" t="s">
        <v>1808</v>
      </c>
      <c r="K1194" s="10">
        <v>2</v>
      </c>
      <c r="L1194" s="10">
        <v>1</v>
      </c>
      <c r="O1194" s="6"/>
      <c r="Q1194" s="42" t="s">
        <v>2962</v>
      </c>
      <c r="R1194" s="42"/>
      <c r="S1194" s="1"/>
    </row>
    <row r="1195" spans="1:19" ht="18.75" hidden="1" customHeight="1" x14ac:dyDescent="0.3">
      <c r="A1195" s="10">
        <v>1194</v>
      </c>
      <c r="B1195" s="10">
        <f>_xlfn.XLOOKUP(1,(VALUE(D1195)&gt;=VALUE(block!$C$3:$C$500))*(VALUE(D1195)&lt;VALUE(block!$C$3:$C$500)+VALUE(block!$D$3:$D$500)),block!$A$3:$A$500,"无匹配",0,1)</f>
        <v>32</v>
      </c>
      <c r="C1195" s="3" t="str">
        <f>B1195 &amp; "-" &amp; COUNTIF($B$2:B1195, B1195)</f>
        <v>32-18</v>
      </c>
      <c r="D1195" s="10">
        <v>11080</v>
      </c>
      <c r="E1195" s="1" t="s">
        <v>4075</v>
      </c>
      <c r="F1195" s="1" t="s">
        <v>4076</v>
      </c>
      <c r="G1195" s="1" t="s">
        <v>1840</v>
      </c>
      <c r="H1195" s="1" t="s">
        <v>1812</v>
      </c>
      <c r="I1195" s="10" t="str">
        <f>IF(H1195="T56",1,IF(H1195="T56",3,IF(H1195="T72",6,IF(H1195="T72",10,IF(H1195="T104",14,IF(H1195="T104",18,IF(H1195="T72",22,"")))))))</f>
        <v/>
      </c>
      <c r="J1195" s="1" t="s">
        <v>1808</v>
      </c>
      <c r="K1195" s="10">
        <v>2</v>
      </c>
      <c r="L1195" s="10">
        <v>1</v>
      </c>
      <c r="O1195" s="6"/>
      <c r="Q1195" s="42" t="s">
        <v>2962</v>
      </c>
      <c r="R1195" s="42"/>
      <c r="S1195" s="1"/>
    </row>
    <row r="1196" spans="1:19" ht="18.75" hidden="1" customHeight="1" x14ac:dyDescent="0.3">
      <c r="A1196" s="10">
        <v>1195</v>
      </c>
      <c r="B1196" s="10">
        <f>_xlfn.XLOOKUP(1,(VALUE(D1196)&gt;=VALUE(block!$C$3:$C$500))*(VALUE(D1196)&lt;VALUE(block!$C$3:$C$500)+VALUE(block!$D$3:$D$500)),block!$A$3:$A$500,"无匹配",0,1)</f>
        <v>32</v>
      </c>
      <c r="C1196" s="3" t="str">
        <f>B1196 &amp; "-" &amp; COUNTIF($B$2:B1196, B1196)</f>
        <v>32-19</v>
      </c>
      <c r="D1196" s="10">
        <v>11082</v>
      </c>
      <c r="E1196" s="1" t="s">
        <v>4077</v>
      </c>
      <c r="F1196" s="1" t="s">
        <v>4078</v>
      </c>
      <c r="G1196" s="1" t="s">
        <v>1840</v>
      </c>
      <c r="H1196" s="1" t="s">
        <v>1812</v>
      </c>
      <c r="I1196" s="10" t="str">
        <f>IF(H1196="T57",1,IF(H1196="T57",3,IF(H1196="T73",6,IF(H1196="T73",10,IF(H1196="T105",14,IF(H1196="T105",18,IF(H1196="T73",22,"")))))))</f>
        <v/>
      </c>
      <c r="J1196" s="1" t="s">
        <v>1808</v>
      </c>
      <c r="K1196" s="10">
        <v>2</v>
      </c>
      <c r="L1196" s="10">
        <v>1</v>
      </c>
      <c r="O1196" s="6"/>
      <c r="Q1196" s="42" t="s">
        <v>2962</v>
      </c>
      <c r="R1196" s="42"/>
      <c r="S1196" s="1"/>
    </row>
    <row r="1197" spans="1:19" ht="18.75" hidden="1" customHeight="1" x14ac:dyDescent="0.3">
      <c r="A1197" s="10">
        <v>1196</v>
      </c>
      <c r="B1197" s="10">
        <f>_xlfn.XLOOKUP(1,(VALUE(D1197)&gt;=VALUE(block!$C$3:$C$500))*(VALUE(D1197)&lt;VALUE(block!$C$3:$C$500)+VALUE(block!$D$3:$D$500)),block!$A$3:$A$500,"无匹配",0,1)</f>
        <v>32</v>
      </c>
      <c r="C1197" s="3" t="str">
        <f>B1197 &amp; "-" &amp; COUNTIF($B$2:B1197, B1197)</f>
        <v>32-20</v>
      </c>
      <c r="D1197" s="10">
        <v>11084</v>
      </c>
      <c r="E1197" s="1" t="s">
        <v>4079</v>
      </c>
      <c r="F1197" s="1" t="s">
        <v>4080</v>
      </c>
      <c r="G1197" s="1" t="s">
        <v>1840</v>
      </c>
      <c r="H1197" s="1" t="s">
        <v>1812</v>
      </c>
      <c r="I1197" s="10" t="str">
        <f>IF(H1197="T58",1,IF(H1197="T58",3,IF(H1197="T74",6,IF(H1197="T74",10,IF(H1197="T106",14,IF(H1197="T106",18,IF(H1197="T74",22,"")))))))</f>
        <v/>
      </c>
      <c r="J1197" s="1" t="s">
        <v>1808</v>
      </c>
      <c r="K1197" s="10">
        <v>2</v>
      </c>
      <c r="L1197" s="10">
        <v>1</v>
      </c>
      <c r="O1197" s="6"/>
      <c r="Q1197" s="42" t="s">
        <v>2962</v>
      </c>
      <c r="R1197" s="42"/>
      <c r="S1197" s="1"/>
    </row>
    <row r="1198" spans="1:19" ht="18.75" hidden="1" customHeight="1" x14ac:dyDescent="0.3">
      <c r="A1198" s="10">
        <v>1197</v>
      </c>
      <c r="B1198" s="10">
        <f>_xlfn.XLOOKUP(1,(VALUE(D1198)&gt;=VALUE(block!$C$3:$C$500))*(VALUE(D1198)&lt;VALUE(block!$C$3:$C$500)+VALUE(block!$D$3:$D$500)),block!$A$3:$A$500,"无匹配",0,1)</f>
        <v>32</v>
      </c>
      <c r="C1198" s="3" t="str">
        <f>B1198 &amp; "-" &amp; COUNTIF($B$2:B1198, B1198)</f>
        <v>32-21</v>
      </c>
      <c r="D1198" s="10">
        <v>11086</v>
      </c>
      <c r="E1198" s="1" t="s">
        <v>4081</v>
      </c>
      <c r="F1198" s="1" t="s">
        <v>4082</v>
      </c>
      <c r="G1198" s="1" t="s">
        <v>1840</v>
      </c>
      <c r="H1198" s="1" t="s">
        <v>1812</v>
      </c>
      <c r="I1198" s="10" t="str">
        <f>IF(H1198="T59",1,IF(H1198="T59",3,IF(H1198="T75",6,IF(H1198="T75",10,IF(H1198="T107",14,IF(H1198="T107",18,IF(H1198="T75",22,"")))))))</f>
        <v/>
      </c>
      <c r="J1198" s="1" t="s">
        <v>1808</v>
      </c>
      <c r="K1198" s="10">
        <v>2</v>
      </c>
      <c r="L1198" s="10">
        <v>1</v>
      </c>
      <c r="O1198" s="6"/>
      <c r="Q1198" s="42" t="s">
        <v>2962</v>
      </c>
      <c r="R1198" s="42"/>
      <c r="S1198" s="1"/>
    </row>
    <row r="1199" spans="1:19" ht="18.75" hidden="1" customHeight="1" x14ac:dyDescent="0.3">
      <c r="A1199" s="10">
        <v>1198</v>
      </c>
      <c r="B1199" s="10">
        <f>_xlfn.XLOOKUP(1,(VALUE(D1199)&gt;=VALUE(block!$C$3:$C$500))*(VALUE(D1199)&lt;VALUE(block!$C$3:$C$500)+VALUE(block!$D$3:$D$500)),block!$A$3:$A$500,"无匹配",0,1)</f>
        <v>32</v>
      </c>
      <c r="C1199" s="3" t="str">
        <f>B1199 &amp; "-" &amp; COUNTIF($B$2:B1199, B1199)</f>
        <v>32-22</v>
      </c>
      <c r="D1199" s="10">
        <v>11088</v>
      </c>
      <c r="E1199" s="1" t="s">
        <v>4083</v>
      </c>
      <c r="F1199" s="1" t="s">
        <v>4084</v>
      </c>
      <c r="G1199" s="1" t="s">
        <v>1840</v>
      </c>
      <c r="H1199" s="1" t="s">
        <v>1812</v>
      </c>
      <c r="I1199" s="10" t="str">
        <f>IF(H1199="T60",1,IF(H1199="T60",3,IF(H1199="T76",6,IF(H1199="T76",10,IF(H1199="T108",14,IF(H1199="T108",18,IF(H1199="T76",22,"")))))))</f>
        <v/>
      </c>
      <c r="J1199" s="1" t="s">
        <v>1808</v>
      </c>
      <c r="K1199" s="10">
        <v>2</v>
      </c>
      <c r="L1199" s="10">
        <v>1</v>
      </c>
      <c r="O1199" s="6"/>
      <c r="Q1199" s="42" t="s">
        <v>2962</v>
      </c>
      <c r="R1199" s="42"/>
      <c r="S1199" s="1"/>
    </row>
    <row r="1200" spans="1:19" ht="18.75" hidden="1" customHeight="1" x14ac:dyDescent="0.3">
      <c r="A1200" s="10">
        <v>1199</v>
      </c>
      <c r="B1200" s="10">
        <f>_xlfn.XLOOKUP(1,(VALUE(D1200)&gt;=VALUE(block!$C$3:$C$500))*(VALUE(D1200)&lt;VALUE(block!$C$3:$C$500)+VALUE(block!$D$3:$D$500)),block!$A$3:$A$500,"无匹配",0,1)</f>
        <v>32</v>
      </c>
      <c r="C1200" s="3" t="str">
        <f>B1200 &amp; "-" &amp; COUNTIF($B$2:B1200, B1200)</f>
        <v>32-23</v>
      </c>
      <c r="D1200" s="10">
        <v>11090</v>
      </c>
      <c r="E1200" s="1" t="s">
        <v>4085</v>
      </c>
      <c r="F1200" s="1" t="s">
        <v>4086</v>
      </c>
      <c r="G1200" s="1" t="s">
        <v>1840</v>
      </c>
      <c r="H1200" s="1" t="s">
        <v>1812</v>
      </c>
      <c r="I1200" s="10" t="str">
        <f>IF(H1200="T61",1,IF(H1200="T61",3,IF(H1200="T77",6,IF(H1200="T77",10,IF(H1200="T109",14,IF(H1200="T109",18,IF(H1200="T77",22,"")))))))</f>
        <v/>
      </c>
      <c r="J1200" s="1" t="s">
        <v>1808</v>
      </c>
      <c r="K1200" s="10">
        <v>2</v>
      </c>
      <c r="L1200" s="10">
        <v>1</v>
      </c>
      <c r="O1200" s="6"/>
      <c r="Q1200" s="42" t="s">
        <v>2962</v>
      </c>
      <c r="R1200" s="42"/>
      <c r="S1200" s="1"/>
    </row>
    <row r="1201" spans="1:19" ht="18.75" hidden="1" customHeight="1" x14ac:dyDescent="0.3">
      <c r="A1201" s="10">
        <v>1200</v>
      </c>
      <c r="B1201" s="10">
        <f>_xlfn.XLOOKUP(1,(VALUE(D1201)&gt;=VALUE(block!$C$3:$C$500))*(VALUE(D1201)&lt;VALUE(block!$C$3:$C$500)+VALUE(block!$D$3:$D$500)),block!$A$3:$A$500,"无匹配",0,1)</f>
        <v>32</v>
      </c>
      <c r="C1201" s="3" t="str">
        <f>B1201 &amp; "-" &amp; COUNTIF($B$2:B1201, B1201)</f>
        <v>32-24</v>
      </c>
      <c r="D1201" s="10">
        <v>11092</v>
      </c>
      <c r="E1201" s="1" t="s">
        <v>4087</v>
      </c>
      <c r="F1201" s="1" t="s">
        <v>4088</v>
      </c>
      <c r="G1201" s="1" t="s">
        <v>1840</v>
      </c>
      <c r="H1201" s="1" t="s">
        <v>1812</v>
      </c>
      <c r="I1201" s="10" t="str">
        <f>IF(H1201="T62",1,IF(H1201="T62",3,IF(H1201="T78",6,IF(H1201="T78",10,IF(H1201="T110",14,IF(H1201="T110",18,IF(H1201="T78",22,"")))))))</f>
        <v/>
      </c>
      <c r="J1201" s="1" t="s">
        <v>1808</v>
      </c>
      <c r="K1201" s="10">
        <v>2</v>
      </c>
      <c r="L1201" s="10">
        <v>1</v>
      </c>
      <c r="O1201" s="6"/>
      <c r="Q1201" s="42" t="s">
        <v>2962</v>
      </c>
      <c r="R1201" s="42"/>
      <c r="S1201" s="1"/>
    </row>
    <row r="1202" spans="1:19" ht="18.75" hidden="1" customHeight="1" x14ac:dyDescent="0.3">
      <c r="A1202" s="10">
        <v>1201</v>
      </c>
      <c r="B1202" s="10">
        <f>_xlfn.XLOOKUP(1,(VALUE(D1202)&gt;=VALUE(block!$C$3:$C$500))*(VALUE(D1202)&lt;VALUE(block!$C$3:$C$500)+VALUE(block!$D$3:$D$500)),block!$A$3:$A$500,"无匹配",0,1)</f>
        <v>32</v>
      </c>
      <c r="C1202" s="3" t="str">
        <f>B1202 &amp; "-" &amp; COUNTIF($B$2:B1202, B1202)</f>
        <v>32-25</v>
      </c>
      <c r="D1202" s="10">
        <v>11094</v>
      </c>
      <c r="E1202" s="1" t="s">
        <v>4089</v>
      </c>
      <c r="F1202" s="1" t="s">
        <v>4090</v>
      </c>
      <c r="G1202" s="1" t="s">
        <v>1840</v>
      </c>
      <c r="H1202" s="1" t="s">
        <v>1812</v>
      </c>
      <c r="I1202" s="10" t="str">
        <f>IF(H1202="T63",1,IF(H1202="T63",3,IF(H1202="T79",6,IF(H1202="T79",10,IF(H1202="T111",14,IF(H1202="T111",18,IF(H1202="T79",22,"")))))))</f>
        <v/>
      </c>
      <c r="J1202" s="1" t="s">
        <v>1808</v>
      </c>
      <c r="K1202" s="10">
        <v>2</v>
      </c>
      <c r="L1202" s="10">
        <v>1</v>
      </c>
      <c r="O1202" s="6"/>
      <c r="Q1202" s="42" t="s">
        <v>2962</v>
      </c>
      <c r="R1202" s="42"/>
      <c r="S1202" s="1"/>
    </row>
    <row r="1203" spans="1:19" ht="18.75" hidden="1" customHeight="1" x14ac:dyDescent="0.3">
      <c r="A1203" s="10">
        <v>1202</v>
      </c>
      <c r="B1203" s="10">
        <f>_xlfn.XLOOKUP(1,(VALUE(D1203)&gt;=VALUE(block!$C$3:$C$500))*(VALUE(D1203)&lt;VALUE(block!$C$3:$C$500)+VALUE(block!$D$3:$D$500)),block!$A$3:$A$500,"无匹配",0,1)</f>
        <v>32</v>
      </c>
      <c r="C1203" s="3" t="str">
        <f>B1203 &amp; "-" &amp; COUNTIF($B$2:B1203, B1203)</f>
        <v>32-26</v>
      </c>
      <c r="D1203" s="10">
        <v>11096</v>
      </c>
      <c r="E1203" s="1" t="s">
        <v>4091</v>
      </c>
      <c r="F1203" s="1" t="s">
        <v>4092</v>
      </c>
      <c r="G1203" s="1" t="s">
        <v>1840</v>
      </c>
      <c r="H1203" s="1" t="s">
        <v>1812</v>
      </c>
      <c r="I1203" s="10" t="str">
        <f>IF(H1203="T64",1,IF(H1203="T64",3,IF(H1203="T80",6,IF(H1203="T80",10,IF(H1203="T112",14,IF(H1203="T112",18,IF(H1203="T80",22,"")))))))</f>
        <v/>
      </c>
      <c r="J1203" s="1" t="s">
        <v>1808</v>
      </c>
      <c r="K1203" s="10">
        <v>2</v>
      </c>
      <c r="L1203" s="10">
        <v>1</v>
      </c>
      <c r="O1203" s="6"/>
      <c r="Q1203" s="42" t="s">
        <v>2962</v>
      </c>
      <c r="R1203" s="42"/>
      <c r="S1203" s="1"/>
    </row>
    <row r="1204" spans="1:19" ht="18.75" hidden="1" customHeight="1" x14ac:dyDescent="0.3">
      <c r="A1204" s="10">
        <v>1203</v>
      </c>
      <c r="B1204" s="10">
        <f>_xlfn.XLOOKUP(1,(VALUE(D1204)&gt;=VALUE(block!$C$3:$C$500))*(VALUE(D1204)&lt;VALUE(block!$C$3:$C$500)+VALUE(block!$D$3:$D$500)),block!$A$3:$A$500,"无匹配",0,1)</f>
        <v>32</v>
      </c>
      <c r="C1204" s="3" t="str">
        <f>B1204 &amp; "-" &amp; COUNTIF($B$2:B1204, B1204)</f>
        <v>32-27</v>
      </c>
      <c r="D1204" s="10">
        <v>11098</v>
      </c>
      <c r="E1204" s="1" t="s">
        <v>4093</v>
      </c>
      <c r="F1204" s="1" t="s">
        <v>4094</v>
      </c>
      <c r="G1204" s="1" t="s">
        <v>1840</v>
      </c>
      <c r="H1204" s="1" t="s">
        <v>1812</v>
      </c>
      <c r="I1204" s="10" t="str">
        <f>IF(H1204="T65",1,IF(H1204="T65",3,IF(H1204="T81",6,IF(H1204="T81",10,IF(H1204="T113",14,IF(H1204="T113",18,IF(H1204="T81",22,"")))))))</f>
        <v/>
      </c>
      <c r="J1204" s="1" t="s">
        <v>1808</v>
      </c>
      <c r="K1204" s="10">
        <v>2</v>
      </c>
      <c r="L1204" s="10">
        <v>1</v>
      </c>
      <c r="O1204" s="6"/>
      <c r="Q1204" s="42" t="s">
        <v>2962</v>
      </c>
      <c r="R1204" s="42"/>
      <c r="S1204" s="1"/>
    </row>
    <row r="1205" spans="1:19" ht="18.75" hidden="1" customHeight="1" x14ac:dyDescent="0.3">
      <c r="A1205" s="10">
        <v>1204</v>
      </c>
      <c r="B1205" s="10">
        <f>_xlfn.XLOOKUP(1,(VALUE(D1205)&gt;=VALUE(block!$C$3:$C$500))*(VALUE(D1205)&lt;VALUE(block!$C$3:$C$500)+VALUE(block!$D$3:$D$500)),block!$A$3:$A$500,"无匹配",0,1)</f>
        <v>32</v>
      </c>
      <c r="C1205" s="3" t="str">
        <f>B1205 &amp; "-" &amp; COUNTIF($B$2:B1205, B1205)</f>
        <v>32-28</v>
      </c>
      <c r="D1205" s="10">
        <v>11100</v>
      </c>
      <c r="E1205" s="1" t="s">
        <v>4095</v>
      </c>
      <c r="F1205" s="1" t="s">
        <v>4096</v>
      </c>
      <c r="G1205" s="1" t="s">
        <v>1840</v>
      </c>
      <c r="H1205" s="1" t="s">
        <v>1812</v>
      </c>
      <c r="I1205" s="10" t="str">
        <f>IF(H1205="T66",1,IF(H1205="T66",3,IF(H1205="T82",6,IF(H1205="T82",10,IF(H1205="T114",14,IF(H1205="T114",18,IF(H1205="T82",22,"")))))))</f>
        <v/>
      </c>
      <c r="J1205" s="1" t="s">
        <v>1808</v>
      </c>
      <c r="K1205" s="10">
        <v>2</v>
      </c>
      <c r="L1205" s="10">
        <v>1</v>
      </c>
      <c r="O1205" s="6"/>
      <c r="Q1205" s="42" t="s">
        <v>2962</v>
      </c>
      <c r="R1205" s="42"/>
      <c r="S1205" s="1"/>
    </row>
    <row r="1206" spans="1:19" ht="18.75" hidden="1" customHeight="1" x14ac:dyDescent="0.3">
      <c r="A1206" s="10">
        <v>1205</v>
      </c>
      <c r="B1206" s="10">
        <f>_xlfn.XLOOKUP(1,(VALUE(D1206)&gt;=VALUE(block!$C$3:$C$500))*(VALUE(D1206)&lt;VALUE(block!$C$3:$C$500)+VALUE(block!$D$3:$D$500)),block!$A$3:$A$500,"无匹配",0,1)</f>
        <v>32</v>
      </c>
      <c r="C1206" s="3" t="str">
        <f>B1206 &amp; "-" &amp; COUNTIF($B$2:B1206, B1206)</f>
        <v>32-29</v>
      </c>
      <c r="D1206" s="10">
        <v>11102</v>
      </c>
      <c r="E1206" s="1" t="s">
        <v>4097</v>
      </c>
      <c r="F1206" s="1" t="s">
        <v>4098</v>
      </c>
      <c r="G1206" s="1" t="s">
        <v>1840</v>
      </c>
      <c r="H1206" s="1" t="s">
        <v>1812</v>
      </c>
      <c r="I1206" s="10" t="str">
        <f>IF(H1206="T67",1,IF(H1206="T67",3,IF(H1206="T83",6,IF(H1206="T83",10,IF(H1206="T115",14,IF(H1206="T115",18,IF(H1206="T83",22,"")))))))</f>
        <v/>
      </c>
      <c r="J1206" s="1" t="s">
        <v>1808</v>
      </c>
      <c r="K1206" s="10">
        <v>2</v>
      </c>
      <c r="L1206" s="10">
        <v>1</v>
      </c>
      <c r="O1206" s="6"/>
      <c r="Q1206" s="42" t="s">
        <v>2962</v>
      </c>
      <c r="R1206" s="42"/>
      <c r="S1206" s="1"/>
    </row>
    <row r="1207" spans="1:19" ht="18.75" hidden="1" customHeight="1" x14ac:dyDescent="0.3">
      <c r="A1207" s="10">
        <v>1206</v>
      </c>
      <c r="B1207" s="10">
        <f>_xlfn.XLOOKUP(1,(VALUE(D1207)&gt;=VALUE(block!$C$3:$C$500))*(VALUE(D1207)&lt;VALUE(block!$C$3:$C$500)+VALUE(block!$D$3:$D$500)),block!$A$3:$A$500,"无匹配",0,1)</f>
        <v>32</v>
      </c>
      <c r="C1207" s="3" t="str">
        <f>B1207 &amp; "-" &amp; COUNTIF($B$2:B1207, B1207)</f>
        <v>32-30</v>
      </c>
      <c r="D1207" s="10">
        <v>11104</v>
      </c>
      <c r="E1207" s="1" t="s">
        <v>4099</v>
      </c>
      <c r="F1207" s="1" t="s">
        <v>4100</v>
      </c>
      <c r="G1207" s="1" t="s">
        <v>1840</v>
      </c>
      <c r="H1207" s="1" t="s">
        <v>1812</v>
      </c>
      <c r="I1207" s="10" t="str">
        <f>IF(H1207="T68",1,IF(H1207="T68",3,IF(H1207="T84",6,IF(H1207="T84",10,IF(H1207="T116",14,IF(H1207="T116",18,IF(H1207="T84",22,"")))))))</f>
        <v/>
      </c>
      <c r="J1207" s="1" t="s">
        <v>1808</v>
      </c>
      <c r="K1207" s="10">
        <v>2</v>
      </c>
      <c r="L1207" s="10">
        <v>1</v>
      </c>
      <c r="O1207" s="6"/>
      <c r="Q1207" s="42" t="s">
        <v>2962</v>
      </c>
      <c r="R1207" s="42"/>
      <c r="S1207" s="1"/>
    </row>
    <row r="1208" spans="1:19" ht="18.75" hidden="1" customHeight="1" x14ac:dyDescent="0.3">
      <c r="A1208" s="10">
        <v>1207</v>
      </c>
      <c r="B1208" s="10">
        <f>_xlfn.XLOOKUP(1,(VALUE(D1208)&gt;=VALUE(block!$C$3:$C$500))*(VALUE(D1208)&lt;VALUE(block!$C$3:$C$500)+VALUE(block!$D$3:$D$500)),block!$A$3:$A$500,"无匹配",0,1)</f>
        <v>32</v>
      </c>
      <c r="C1208" s="3" t="str">
        <f>B1208 &amp; "-" &amp; COUNTIF($B$2:B1208, B1208)</f>
        <v>32-31</v>
      </c>
      <c r="D1208" s="10">
        <v>11106</v>
      </c>
      <c r="E1208" s="1" t="s">
        <v>4101</v>
      </c>
      <c r="F1208" s="1" t="s">
        <v>4102</v>
      </c>
      <c r="G1208" s="1" t="s">
        <v>1840</v>
      </c>
      <c r="H1208" s="1" t="s">
        <v>1812</v>
      </c>
      <c r="I1208" s="10" t="str">
        <f>IF(H1208="T69",1,IF(H1208="T69",3,IF(H1208="T85",6,IF(H1208="T85",10,IF(H1208="T117",14,IF(H1208="T117",18,IF(H1208="T85",22,"")))))))</f>
        <v/>
      </c>
      <c r="J1208" s="1" t="s">
        <v>1808</v>
      </c>
      <c r="K1208" s="10">
        <v>2</v>
      </c>
      <c r="L1208" s="10">
        <v>1</v>
      </c>
      <c r="O1208" s="6"/>
      <c r="Q1208" s="42" t="s">
        <v>2962</v>
      </c>
      <c r="R1208" s="42"/>
      <c r="S1208" s="1"/>
    </row>
    <row r="1209" spans="1:19" ht="18.75" hidden="1" customHeight="1" x14ac:dyDescent="0.3">
      <c r="A1209" s="10">
        <v>1208</v>
      </c>
      <c r="B1209" s="10">
        <f>_xlfn.XLOOKUP(1,(VALUE(D1209)&gt;=VALUE(block!$C$3:$C$500))*(VALUE(D1209)&lt;VALUE(block!$C$3:$C$500)+VALUE(block!$D$3:$D$500)),block!$A$3:$A$500,"无匹配",0,1)</f>
        <v>32</v>
      </c>
      <c r="C1209" s="3" t="str">
        <f>B1209 &amp; "-" &amp; COUNTIF($B$2:B1209, B1209)</f>
        <v>32-32</v>
      </c>
      <c r="D1209" s="10">
        <v>11108</v>
      </c>
      <c r="E1209" s="1" t="s">
        <v>4103</v>
      </c>
      <c r="F1209" s="1" t="s">
        <v>4104</v>
      </c>
      <c r="G1209" s="1" t="s">
        <v>1840</v>
      </c>
      <c r="H1209" s="1" t="s">
        <v>1812</v>
      </c>
      <c r="I1209" s="10" t="str">
        <f>IF(H1209="T70",1,IF(H1209="T70",3,IF(H1209="T86",6,IF(H1209="T86",10,IF(H1209="T118",14,IF(H1209="T118",18,IF(H1209="T86",22,"")))))))</f>
        <v/>
      </c>
      <c r="J1209" s="1" t="s">
        <v>1808</v>
      </c>
      <c r="K1209" s="10">
        <v>2</v>
      </c>
      <c r="L1209" s="10">
        <v>1</v>
      </c>
      <c r="O1209" s="6"/>
      <c r="Q1209" s="42" t="s">
        <v>2962</v>
      </c>
      <c r="R1209" s="42"/>
      <c r="S1209" s="1"/>
    </row>
    <row r="1210" spans="1:19" ht="18.75" hidden="1" customHeight="1" x14ac:dyDescent="0.3">
      <c r="A1210" s="10">
        <v>1209</v>
      </c>
      <c r="B1210" s="10">
        <f>_xlfn.XLOOKUP(1,(VALUE(D1210)&gt;=VALUE(block!$C$3:$C$500))*(VALUE(D1210)&lt;VALUE(block!$C$3:$C$500)+VALUE(block!$D$3:$D$500)),block!$A$3:$A$500,"无匹配",0,1)</f>
        <v>32</v>
      </c>
      <c r="C1210" s="3" t="str">
        <f>B1210 &amp; "-" &amp; COUNTIF($B$2:B1210, B1210)</f>
        <v>32-33</v>
      </c>
      <c r="D1210" s="10">
        <v>11110</v>
      </c>
      <c r="E1210" s="1" t="s">
        <v>4105</v>
      </c>
      <c r="F1210" s="1" t="s">
        <v>4106</v>
      </c>
      <c r="G1210" s="1" t="s">
        <v>1840</v>
      </c>
      <c r="H1210" s="1" t="s">
        <v>1812</v>
      </c>
      <c r="I1210" s="10" t="str">
        <f>IF(H1210="T71",1,IF(H1210="T71",3,IF(H1210="T87",6,IF(H1210="T87",10,IF(H1210="T119",14,IF(H1210="T119",18,IF(H1210="T87",22,"")))))))</f>
        <v/>
      </c>
      <c r="J1210" s="1" t="s">
        <v>1808</v>
      </c>
      <c r="K1210" s="10">
        <v>2</v>
      </c>
      <c r="L1210" s="10">
        <v>1</v>
      </c>
      <c r="O1210" s="6"/>
      <c r="Q1210" s="42" t="s">
        <v>2962</v>
      </c>
      <c r="R1210" s="42"/>
      <c r="S1210" s="1"/>
    </row>
    <row r="1211" spans="1:19" ht="18.75" hidden="1" customHeight="1" x14ac:dyDescent="0.3">
      <c r="A1211" s="10">
        <v>1210</v>
      </c>
      <c r="B1211" s="10">
        <f>_xlfn.XLOOKUP(1,(VALUE(D1211)&gt;=VALUE(block!$C$3:$C$500))*(VALUE(D1211)&lt;VALUE(block!$C$3:$C$500)+VALUE(block!$D$3:$D$500)),block!$A$3:$A$500,"无匹配",0,1)</f>
        <v>32</v>
      </c>
      <c r="C1211" s="3" t="str">
        <f>B1211 &amp; "-" &amp; COUNTIF($B$2:B1211, B1211)</f>
        <v>32-34</v>
      </c>
      <c r="D1211" s="10">
        <v>11112</v>
      </c>
      <c r="E1211" s="1" t="s">
        <v>4107</v>
      </c>
      <c r="F1211" s="1" t="s">
        <v>4108</v>
      </c>
      <c r="G1211" s="1" t="s">
        <v>1840</v>
      </c>
      <c r="H1211" s="1" t="s">
        <v>1812</v>
      </c>
      <c r="I1211" s="10" t="str">
        <f>IF(H1211="T72",1,IF(H1211="T72",3,IF(H1211="T88",6,IF(H1211="T88",10,IF(H1211="T120",14,IF(H1211="T120",18,IF(H1211="T88",22,"")))))))</f>
        <v/>
      </c>
      <c r="J1211" s="1" t="s">
        <v>1808</v>
      </c>
      <c r="K1211" s="10">
        <v>2</v>
      </c>
      <c r="L1211" s="10">
        <v>1</v>
      </c>
      <c r="O1211" s="6"/>
      <c r="Q1211" s="42" t="s">
        <v>2962</v>
      </c>
      <c r="R1211" s="42"/>
      <c r="S1211" s="1"/>
    </row>
    <row r="1212" spans="1:19" ht="18.75" customHeight="1" x14ac:dyDescent="0.3">
      <c r="A1212" s="10">
        <v>1211</v>
      </c>
      <c r="B1212" s="10">
        <f>_xlfn.XLOOKUP(1,(VALUE(D1212)&gt;=VALUE(block!$C$3:$C$500))*(VALUE(D1212)&lt;VALUE(block!$C$3:$C$500)+VALUE(block!$D$3:$D$500)),block!$A$3:$A$500,"无匹配",0,1)</f>
        <v>33</v>
      </c>
      <c r="C1212" s="3" t="str">
        <f>B1212 &amp; "-" &amp; COUNTIF($B$2:B1212, B1212)</f>
        <v>33-1</v>
      </c>
      <c r="D1212" s="10">
        <v>11114</v>
      </c>
      <c r="E1212" s="1" t="s">
        <v>4109</v>
      </c>
      <c r="F1212" s="1" t="s">
        <v>4110</v>
      </c>
      <c r="G1212" s="1" t="s">
        <v>1840</v>
      </c>
      <c r="H1212" s="1" t="s">
        <v>1812</v>
      </c>
      <c r="I1212" s="10" t="str">
        <f>IF(H1212="T73",1,IF(H1212="T73",3,IF(H1212="T89",6,IF(H1212="T89",10,IF(H1212="T121",14,IF(H1212="T121",18,IF(H1212="T89",22,"")))))))</f>
        <v/>
      </c>
      <c r="J1212" s="1" t="s">
        <v>1808</v>
      </c>
      <c r="K1212" s="10">
        <v>2</v>
      </c>
      <c r="L1212" s="10">
        <v>1</v>
      </c>
      <c r="N1212" s="10">
        <v>4</v>
      </c>
      <c r="O1212" s="6"/>
      <c r="P1212" s="45" t="s">
        <v>2826</v>
      </c>
      <c r="Q1212" s="6">
        <v>14</v>
      </c>
      <c r="R1212" s="6"/>
      <c r="S1212" s="1" t="s">
        <v>4110</v>
      </c>
    </row>
    <row r="1213" spans="1:19" ht="18.75" customHeight="1" x14ac:dyDescent="0.3">
      <c r="A1213" s="10">
        <v>1212</v>
      </c>
      <c r="B1213" s="10">
        <f>_xlfn.XLOOKUP(1,(VALUE(D1213)&gt;=VALUE(block!$C$3:$C$500))*(VALUE(D1213)&lt;VALUE(block!$C$3:$C$500)+VALUE(block!$D$3:$D$500)),block!$A$3:$A$500,"无匹配",0,1)</f>
        <v>33</v>
      </c>
      <c r="C1213" s="3" t="str">
        <f>B1213 &amp; "-" &amp; COUNTIF($B$2:B1213, B1213)</f>
        <v>33-2</v>
      </c>
      <c r="D1213" s="10">
        <v>11116</v>
      </c>
      <c r="E1213" s="1" t="s">
        <v>4111</v>
      </c>
      <c r="F1213" s="1" t="s">
        <v>4112</v>
      </c>
      <c r="G1213" s="1" t="s">
        <v>1840</v>
      </c>
      <c r="H1213" s="1" t="s">
        <v>1812</v>
      </c>
      <c r="I1213" s="10" t="str">
        <f>IF(H1213="T74",1,IF(H1213="T74",3,IF(H1213="T90",6,IF(H1213="T90",10,IF(H1213="T122",14,IF(H1213="T122",18,IF(H1213="T90",22,"")))))))</f>
        <v/>
      </c>
      <c r="J1213" s="1" t="s">
        <v>1808</v>
      </c>
      <c r="K1213" s="10">
        <v>2</v>
      </c>
      <c r="L1213" s="10">
        <v>1</v>
      </c>
      <c r="N1213" s="10">
        <v>4</v>
      </c>
      <c r="O1213" s="6"/>
      <c r="P1213" s="45" t="s">
        <v>2826</v>
      </c>
      <c r="Q1213" s="6">
        <v>14</v>
      </c>
      <c r="R1213" s="6"/>
      <c r="S1213" s="1" t="s">
        <v>4112</v>
      </c>
    </row>
    <row r="1214" spans="1:19" ht="18.75" customHeight="1" x14ac:dyDescent="0.3">
      <c r="A1214" s="10">
        <v>1213</v>
      </c>
      <c r="B1214" s="10">
        <f>_xlfn.XLOOKUP(1,(VALUE(D1214)&gt;=VALUE(block!$C$3:$C$500))*(VALUE(D1214)&lt;VALUE(block!$C$3:$C$500)+VALUE(block!$D$3:$D$500)),block!$A$3:$A$500,"无匹配",0,1)</f>
        <v>33</v>
      </c>
      <c r="C1214" s="3" t="str">
        <f>B1214 &amp; "-" &amp; COUNTIF($B$2:B1214, B1214)</f>
        <v>33-3</v>
      </c>
      <c r="D1214" s="10">
        <v>11118</v>
      </c>
      <c r="E1214" s="1" t="s">
        <v>4113</v>
      </c>
      <c r="F1214" s="1" t="s">
        <v>4114</v>
      </c>
      <c r="G1214" s="1" t="s">
        <v>1840</v>
      </c>
      <c r="H1214" s="1" t="s">
        <v>1812</v>
      </c>
      <c r="I1214" s="10" t="str">
        <f>IF(H1214="T75",1,IF(H1214="T75",3,IF(H1214="T91",6,IF(H1214="T91",10,IF(H1214="T123",14,IF(H1214="T123",18,IF(H1214="T91",22,"")))))))</f>
        <v/>
      </c>
      <c r="J1214" s="1" t="s">
        <v>1808</v>
      </c>
      <c r="K1214" s="10">
        <v>2</v>
      </c>
      <c r="L1214" s="10">
        <v>1</v>
      </c>
      <c r="N1214" s="10">
        <v>4</v>
      </c>
      <c r="O1214" s="6"/>
      <c r="P1214" s="45" t="s">
        <v>2826</v>
      </c>
      <c r="Q1214" s="6">
        <v>14</v>
      </c>
      <c r="R1214" s="6"/>
      <c r="S1214" s="1" t="s">
        <v>4114</v>
      </c>
    </row>
    <row r="1215" spans="1:19" ht="18.75" customHeight="1" x14ac:dyDescent="0.3">
      <c r="A1215" s="10">
        <v>1214</v>
      </c>
      <c r="B1215" s="10">
        <f>_xlfn.XLOOKUP(1,(VALUE(D1215)&gt;=VALUE(block!$C$3:$C$500))*(VALUE(D1215)&lt;VALUE(block!$C$3:$C$500)+VALUE(block!$D$3:$D$500)),block!$A$3:$A$500,"无匹配",0,1)</f>
        <v>33</v>
      </c>
      <c r="C1215" s="3" t="str">
        <f>B1215 &amp; "-" &amp; COUNTIF($B$2:B1215, B1215)</f>
        <v>33-4</v>
      </c>
      <c r="D1215" s="10">
        <v>11120</v>
      </c>
      <c r="E1215" s="1" t="s">
        <v>4115</v>
      </c>
      <c r="F1215" s="1" t="s">
        <v>4116</v>
      </c>
      <c r="G1215" s="1" t="s">
        <v>1840</v>
      </c>
      <c r="H1215" s="1" t="s">
        <v>1812</v>
      </c>
      <c r="I1215" s="10" t="str">
        <f>IF(H1215="T76",1,IF(H1215="T76",3,IF(H1215="T92",6,IF(H1215="T92",10,IF(H1215="T124",14,IF(H1215="T124",18,IF(H1215="T92",22,"")))))))</f>
        <v/>
      </c>
      <c r="J1215" s="1" t="s">
        <v>1808</v>
      </c>
      <c r="K1215" s="10">
        <v>2</v>
      </c>
      <c r="L1215" s="10">
        <v>1</v>
      </c>
      <c r="N1215" s="10">
        <v>4</v>
      </c>
      <c r="O1215" s="6"/>
      <c r="P1215" s="45" t="s">
        <v>2826</v>
      </c>
      <c r="Q1215" s="6">
        <v>14</v>
      </c>
      <c r="R1215" s="6"/>
      <c r="S1215" s="1" t="s">
        <v>4116</v>
      </c>
    </row>
    <row r="1216" spans="1:19" ht="18.75" hidden="1" customHeight="1" x14ac:dyDescent="0.3">
      <c r="A1216" s="10">
        <v>1215</v>
      </c>
      <c r="B1216" s="10">
        <f>_xlfn.XLOOKUP(1,(VALUE(D1216)&gt;=VALUE(block!$C$3:$C$500))*(VALUE(D1216)&lt;VALUE(block!$C$3:$C$500)+VALUE(block!$D$3:$D$500)),block!$A$3:$A$500,"无匹配",0,1)</f>
        <v>33</v>
      </c>
      <c r="C1216" s="3" t="str">
        <f>B1216 &amp; "-" &amp; COUNTIF($B$2:B1216, B1216)</f>
        <v>33-5</v>
      </c>
      <c r="D1216" s="10">
        <v>11122</v>
      </c>
      <c r="E1216" s="1" t="s">
        <v>4117</v>
      </c>
      <c r="F1216" s="1" t="s">
        <v>4118</v>
      </c>
      <c r="G1216" s="1" t="s">
        <v>1840</v>
      </c>
      <c r="H1216" s="1" t="s">
        <v>1812</v>
      </c>
      <c r="I1216" s="10" t="str">
        <f>IF(H1216="T77",1,IF(H1216="T77",3,IF(H1216="T93",6,IF(H1216="T93",10,IF(H1216="T125",14,IF(H1216="T125",18,IF(H1216="T93",22,"")))))))</f>
        <v/>
      </c>
      <c r="J1216" s="1" t="s">
        <v>1808</v>
      </c>
      <c r="K1216" s="10">
        <v>2</v>
      </c>
      <c r="L1216" s="10">
        <v>1</v>
      </c>
      <c r="O1216" s="6"/>
      <c r="Q1216" s="42" t="s">
        <v>2962</v>
      </c>
      <c r="R1216" s="42"/>
      <c r="S1216" s="1"/>
    </row>
    <row r="1217" spans="1:19" ht="18.75" hidden="1" customHeight="1" x14ac:dyDescent="0.3">
      <c r="A1217" s="10">
        <v>1216</v>
      </c>
      <c r="B1217" s="10">
        <f>_xlfn.XLOOKUP(1,(VALUE(D1217)&gt;=VALUE(block!$C$3:$C$500))*(VALUE(D1217)&lt;VALUE(block!$C$3:$C$500)+VALUE(block!$D$3:$D$500)),block!$A$3:$A$500,"无匹配",0,1)</f>
        <v>33</v>
      </c>
      <c r="C1217" s="3" t="str">
        <f>B1217 &amp; "-" &amp; COUNTIF($B$2:B1217, B1217)</f>
        <v>33-6</v>
      </c>
      <c r="D1217" s="10">
        <v>11124</v>
      </c>
      <c r="E1217" s="1" t="s">
        <v>4119</v>
      </c>
      <c r="F1217" s="1" t="s">
        <v>4120</v>
      </c>
      <c r="G1217" s="1" t="s">
        <v>1840</v>
      </c>
      <c r="H1217" s="1" t="s">
        <v>1812</v>
      </c>
      <c r="I1217" s="10" t="str">
        <f>IF(H1217="T78",1,IF(H1217="T78",3,IF(H1217="T94",6,IF(H1217="T94",10,IF(H1217="T126",14,IF(H1217="T126",18,IF(H1217="T94",22,"")))))))</f>
        <v/>
      </c>
      <c r="J1217" s="1" t="s">
        <v>1808</v>
      </c>
      <c r="K1217" s="10">
        <v>2</v>
      </c>
      <c r="L1217" s="10">
        <v>1</v>
      </c>
      <c r="O1217" s="6"/>
      <c r="Q1217" s="42" t="s">
        <v>2962</v>
      </c>
      <c r="R1217" s="42"/>
      <c r="S1217" s="1"/>
    </row>
    <row r="1218" spans="1:19" ht="18.75" hidden="1" customHeight="1" x14ac:dyDescent="0.3">
      <c r="A1218" s="10">
        <v>1217</v>
      </c>
      <c r="B1218" s="10">
        <f>_xlfn.XLOOKUP(1,(VALUE(D1218)&gt;=VALUE(block!$C$3:$C$500))*(VALUE(D1218)&lt;VALUE(block!$C$3:$C$500)+VALUE(block!$D$3:$D$500)),block!$A$3:$A$500,"无匹配",0,1)</f>
        <v>33</v>
      </c>
      <c r="C1218" s="3" t="str">
        <f>B1218 &amp; "-" &amp; COUNTIF($B$2:B1218, B1218)</f>
        <v>33-7</v>
      </c>
      <c r="D1218" s="10">
        <v>11126</v>
      </c>
      <c r="E1218" s="1" t="s">
        <v>4121</v>
      </c>
      <c r="F1218" s="1" t="s">
        <v>4122</v>
      </c>
      <c r="G1218" s="1" t="s">
        <v>1840</v>
      </c>
      <c r="H1218" s="1" t="s">
        <v>1812</v>
      </c>
      <c r="I1218" s="10" t="str">
        <f>IF(H1218="T79",1,IF(H1218="T79",3,IF(H1218="T95",6,IF(H1218="T95",10,IF(H1218="T127",14,IF(H1218="T127",18,IF(H1218="T95",22,"")))))))</f>
        <v/>
      </c>
      <c r="J1218" s="1" t="s">
        <v>1808</v>
      </c>
      <c r="K1218" s="10">
        <v>2</v>
      </c>
      <c r="L1218" s="10">
        <v>1</v>
      </c>
      <c r="O1218" s="6"/>
      <c r="Q1218" s="42" t="s">
        <v>2962</v>
      </c>
      <c r="R1218" s="42"/>
      <c r="S1218" s="1"/>
    </row>
    <row r="1219" spans="1:19" ht="18.75" hidden="1" customHeight="1" x14ac:dyDescent="0.3">
      <c r="A1219" s="10">
        <v>1218</v>
      </c>
      <c r="B1219" s="10">
        <f>_xlfn.XLOOKUP(1,(VALUE(D1219)&gt;=VALUE(block!$C$3:$C$500))*(VALUE(D1219)&lt;VALUE(block!$C$3:$C$500)+VALUE(block!$D$3:$D$500)),block!$A$3:$A$500,"无匹配",0,1)</f>
        <v>33</v>
      </c>
      <c r="C1219" s="3" t="str">
        <f>B1219 &amp; "-" &amp; COUNTIF($B$2:B1219, B1219)</f>
        <v>33-8</v>
      </c>
      <c r="D1219" s="10">
        <v>11128</v>
      </c>
      <c r="E1219" s="1" t="s">
        <v>4123</v>
      </c>
      <c r="F1219" s="1" t="s">
        <v>4124</v>
      </c>
      <c r="G1219" s="1" t="s">
        <v>1840</v>
      </c>
      <c r="H1219" s="1" t="s">
        <v>1812</v>
      </c>
      <c r="I1219" s="10">
        <f>IF(H1219="uint16",1,IF(H1219="int16",3,IF(H1219="uint32",6,IF(H1219="int32",10,IF(H1219="uint64",14,IF(H1219="int64",18,IF(H1219="float32",22,"")))))))</f>
        <v>22</v>
      </c>
      <c r="J1219" s="1" t="s">
        <v>1808</v>
      </c>
      <c r="K1219" s="10">
        <v>2</v>
      </c>
      <c r="L1219" s="10">
        <v>1</v>
      </c>
      <c r="O1219" s="6"/>
      <c r="Q1219" s="42" t="s">
        <v>2962</v>
      </c>
      <c r="R1219" s="42"/>
      <c r="S1219" s="1"/>
    </row>
    <row r="1220" spans="1:19" ht="18.75" hidden="1" customHeight="1" x14ac:dyDescent="0.3">
      <c r="A1220" s="10">
        <v>1219</v>
      </c>
      <c r="B1220" s="10">
        <f>_xlfn.XLOOKUP(1,(VALUE(D1220)&gt;=VALUE(block!$C$3:$C$500))*(VALUE(D1220)&lt;VALUE(block!$C$3:$C$500)+VALUE(block!$D$3:$D$500)),block!$A$3:$A$500,"无匹配",0,1)</f>
        <v>33</v>
      </c>
      <c r="C1220" s="3" t="str">
        <f>B1220 &amp; "-" &amp; COUNTIF($B$2:B1220, B1220)</f>
        <v>33-9</v>
      </c>
      <c r="D1220" s="10">
        <v>11130</v>
      </c>
      <c r="E1220" s="1" t="s">
        <v>4125</v>
      </c>
      <c r="F1220" s="1" t="s">
        <v>4126</v>
      </c>
      <c r="G1220" s="1" t="s">
        <v>1840</v>
      </c>
      <c r="H1220" s="1" t="s">
        <v>1812</v>
      </c>
      <c r="I1220" s="10" t="str">
        <f>IF(H1220="T17",1,IF(H1220="T17",3,IF(H1220="T33",6,IF(H1220="T33",10,IF(H1220="T65",14,IF(H1220="T65",18,IF(H1220="T33",22,"")))))))</f>
        <v/>
      </c>
      <c r="J1220" s="1" t="s">
        <v>1808</v>
      </c>
      <c r="K1220" s="10">
        <v>2</v>
      </c>
      <c r="L1220" s="10">
        <v>1</v>
      </c>
      <c r="O1220" s="6"/>
      <c r="Q1220" s="42" t="s">
        <v>2962</v>
      </c>
      <c r="R1220" s="42"/>
      <c r="S1220" s="1"/>
    </row>
    <row r="1221" spans="1:19" ht="18.75" hidden="1" customHeight="1" x14ac:dyDescent="0.3">
      <c r="A1221" s="10">
        <v>1220</v>
      </c>
      <c r="B1221" s="10">
        <f>_xlfn.XLOOKUP(1,(VALUE(D1221)&gt;=VALUE(block!$C$3:$C$500))*(VALUE(D1221)&lt;VALUE(block!$C$3:$C$500)+VALUE(block!$D$3:$D$500)),block!$A$3:$A$500,"无匹配",0,1)</f>
        <v>33</v>
      </c>
      <c r="C1221" s="3" t="str">
        <f>B1221 &amp; "-" &amp; COUNTIF($B$2:B1221, B1221)</f>
        <v>33-10</v>
      </c>
      <c r="D1221" s="10">
        <v>11132</v>
      </c>
      <c r="E1221" s="1" t="s">
        <v>4127</v>
      </c>
      <c r="F1221" s="1" t="s">
        <v>4128</v>
      </c>
      <c r="G1221" s="1" t="s">
        <v>1840</v>
      </c>
      <c r="H1221" s="1" t="s">
        <v>1812</v>
      </c>
      <c r="I1221" s="10" t="str">
        <f>IF(H1221="T18",1,IF(H1221="T18",3,IF(H1221="T34",6,IF(H1221="T34",10,IF(H1221="T66",14,IF(H1221="T66",18,IF(H1221="T34",22,"")))))))</f>
        <v/>
      </c>
      <c r="J1221" s="1" t="s">
        <v>1808</v>
      </c>
      <c r="K1221" s="10">
        <v>2</v>
      </c>
      <c r="L1221" s="10">
        <v>1</v>
      </c>
      <c r="O1221" s="6"/>
      <c r="Q1221" s="42" t="s">
        <v>2962</v>
      </c>
      <c r="R1221" s="42"/>
      <c r="S1221" s="1"/>
    </row>
    <row r="1222" spans="1:19" ht="18.75" hidden="1" customHeight="1" x14ac:dyDescent="0.3">
      <c r="A1222" s="10">
        <v>1221</v>
      </c>
      <c r="B1222" s="10">
        <f>_xlfn.XLOOKUP(1,(VALUE(D1222)&gt;=VALUE(block!$C$3:$C$500))*(VALUE(D1222)&lt;VALUE(block!$C$3:$C$500)+VALUE(block!$D$3:$D$500)),block!$A$3:$A$500,"无匹配",0,1)</f>
        <v>33</v>
      </c>
      <c r="C1222" s="3" t="str">
        <f>B1222 &amp; "-" &amp; COUNTIF($B$2:B1222, B1222)</f>
        <v>33-11</v>
      </c>
      <c r="D1222" s="10">
        <v>11134</v>
      </c>
      <c r="E1222" s="1" t="s">
        <v>4129</v>
      </c>
      <c r="F1222" s="1" t="s">
        <v>4130</v>
      </c>
      <c r="G1222" s="1" t="s">
        <v>1840</v>
      </c>
      <c r="H1222" s="1" t="s">
        <v>1812</v>
      </c>
      <c r="I1222" s="10" t="str">
        <f>IF(H1222="T19",1,IF(H1222="T19",3,IF(H1222="T35",6,IF(H1222="T35",10,IF(H1222="T67",14,IF(H1222="T67",18,IF(H1222="T35",22,"")))))))</f>
        <v/>
      </c>
      <c r="J1222" s="1" t="s">
        <v>1808</v>
      </c>
      <c r="K1222" s="10">
        <v>2</v>
      </c>
      <c r="L1222" s="10">
        <v>1</v>
      </c>
      <c r="O1222" s="6"/>
      <c r="Q1222" s="42" t="s">
        <v>2962</v>
      </c>
      <c r="R1222" s="42"/>
      <c r="S1222" s="1"/>
    </row>
    <row r="1223" spans="1:19" ht="18.75" hidden="1" customHeight="1" x14ac:dyDescent="0.3">
      <c r="A1223" s="10">
        <v>1222</v>
      </c>
      <c r="B1223" s="10">
        <f>_xlfn.XLOOKUP(1,(VALUE(D1223)&gt;=VALUE(block!$C$3:$C$500))*(VALUE(D1223)&lt;VALUE(block!$C$3:$C$500)+VALUE(block!$D$3:$D$500)),block!$A$3:$A$500,"无匹配",0,1)</f>
        <v>33</v>
      </c>
      <c r="C1223" s="3" t="str">
        <f>B1223 &amp; "-" &amp; COUNTIF($B$2:B1223, B1223)</f>
        <v>33-12</v>
      </c>
      <c r="D1223" s="10">
        <v>11136</v>
      </c>
      <c r="E1223" s="1" t="s">
        <v>4131</v>
      </c>
      <c r="F1223" s="1" t="s">
        <v>4132</v>
      </c>
      <c r="G1223" s="1" t="s">
        <v>1840</v>
      </c>
      <c r="H1223" s="1" t="s">
        <v>1812</v>
      </c>
      <c r="I1223" s="10" t="str">
        <f>IF(H1223="T20",1,IF(H1223="T20",3,IF(H1223="T36",6,IF(H1223="T36",10,IF(H1223="T68",14,IF(H1223="T68",18,IF(H1223="T36",22,"")))))))</f>
        <v/>
      </c>
      <c r="J1223" s="1" t="s">
        <v>1808</v>
      </c>
      <c r="K1223" s="10">
        <v>2</v>
      </c>
      <c r="L1223" s="10">
        <v>1</v>
      </c>
      <c r="O1223" s="6"/>
      <c r="Q1223" s="42" t="s">
        <v>2962</v>
      </c>
      <c r="R1223" s="42"/>
      <c r="S1223" s="1"/>
    </row>
    <row r="1224" spans="1:19" ht="18.75" hidden="1" customHeight="1" x14ac:dyDescent="0.3">
      <c r="A1224" s="10">
        <v>1223</v>
      </c>
      <c r="B1224" s="10">
        <f>_xlfn.XLOOKUP(1,(VALUE(D1224)&gt;=VALUE(block!$C$3:$C$500))*(VALUE(D1224)&lt;VALUE(block!$C$3:$C$500)+VALUE(block!$D$3:$D$500)),block!$A$3:$A$500,"无匹配",0,1)</f>
        <v>33</v>
      </c>
      <c r="C1224" s="3" t="str">
        <f>B1224 &amp; "-" &amp; COUNTIF($B$2:B1224, B1224)</f>
        <v>33-13</v>
      </c>
      <c r="D1224" s="10">
        <v>11138</v>
      </c>
      <c r="E1224" s="1" t="s">
        <v>4133</v>
      </c>
      <c r="F1224" s="1" t="s">
        <v>4134</v>
      </c>
      <c r="G1224" s="1" t="s">
        <v>1840</v>
      </c>
      <c r="H1224" s="1" t="s">
        <v>1812</v>
      </c>
      <c r="I1224" s="10" t="str">
        <f>IF(H1224="T21",1,IF(H1224="T21",3,IF(H1224="T37",6,IF(H1224="T37",10,IF(H1224="T69",14,IF(H1224="T69",18,IF(H1224="T37",22,"")))))))</f>
        <v/>
      </c>
      <c r="J1224" s="1" t="s">
        <v>1808</v>
      </c>
      <c r="K1224" s="10">
        <v>2</v>
      </c>
      <c r="L1224" s="10">
        <v>1</v>
      </c>
      <c r="O1224" s="6"/>
      <c r="Q1224" s="42" t="s">
        <v>2962</v>
      </c>
      <c r="R1224" s="42"/>
      <c r="S1224" s="1"/>
    </row>
    <row r="1225" spans="1:19" ht="18.75" hidden="1" customHeight="1" x14ac:dyDescent="0.3">
      <c r="A1225" s="10">
        <v>1224</v>
      </c>
      <c r="B1225" s="10">
        <f>_xlfn.XLOOKUP(1,(VALUE(D1225)&gt;=VALUE(block!$C$3:$C$500))*(VALUE(D1225)&lt;VALUE(block!$C$3:$C$500)+VALUE(block!$D$3:$D$500)),block!$A$3:$A$500,"无匹配",0,1)</f>
        <v>33</v>
      </c>
      <c r="C1225" s="3" t="str">
        <f>B1225 &amp; "-" &amp; COUNTIF($B$2:B1225, B1225)</f>
        <v>33-14</v>
      </c>
      <c r="D1225" s="10">
        <v>11140</v>
      </c>
      <c r="E1225" s="1" t="s">
        <v>4135</v>
      </c>
      <c r="F1225" s="1" t="s">
        <v>4136</v>
      </c>
      <c r="G1225" s="1" t="s">
        <v>1840</v>
      </c>
      <c r="H1225" s="1" t="s">
        <v>1812</v>
      </c>
      <c r="I1225" s="10" t="str">
        <f>IF(H1225="T22",1,IF(H1225="T22",3,IF(H1225="T38",6,IF(H1225="T38",10,IF(H1225="T70",14,IF(H1225="T70",18,IF(H1225="T38",22,"")))))))</f>
        <v/>
      </c>
      <c r="J1225" s="1" t="s">
        <v>1808</v>
      </c>
      <c r="K1225" s="10">
        <v>2</v>
      </c>
      <c r="L1225" s="10">
        <v>1</v>
      </c>
      <c r="O1225" s="6"/>
      <c r="Q1225" s="42" t="s">
        <v>2962</v>
      </c>
      <c r="R1225" s="42"/>
      <c r="S1225" s="1"/>
    </row>
    <row r="1226" spans="1:19" ht="18.75" hidden="1" customHeight="1" x14ac:dyDescent="0.3">
      <c r="A1226" s="10">
        <v>1225</v>
      </c>
      <c r="B1226" s="10">
        <f>_xlfn.XLOOKUP(1,(VALUE(D1226)&gt;=VALUE(block!$C$3:$C$500))*(VALUE(D1226)&lt;VALUE(block!$C$3:$C$500)+VALUE(block!$D$3:$D$500)),block!$A$3:$A$500,"无匹配",0,1)</f>
        <v>33</v>
      </c>
      <c r="C1226" s="3" t="str">
        <f>B1226 &amp; "-" &amp; COUNTIF($B$2:B1226, B1226)</f>
        <v>33-15</v>
      </c>
      <c r="D1226" s="10">
        <v>11142</v>
      </c>
      <c r="E1226" s="1" t="s">
        <v>4137</v>
      </c>
      <c r="F1226" s="1" t="s">
        <v>4138</v>
      </c>
      <c r="G1226" s="1" t="s">
        <v>1840</v>
      </c>
      <c r="H1226" s="1" t="s">
        <v>1812</v>
      </c>
      <c r="I1226" s="10" t="str">
        <f>IF(H1226="T23",1,IF(H1226="T23",3,IF(H1226="T39",6,IF(H1226="T39",10,IF(H1226="T71",14,IF(H1226="T71",18,IF(H1226="T39",22,"")))))))</f>
        <v/>
      </c>
      <c r="J1226" s="1" t="s">
        <v>1808</v>
      </c>
      <c r="K1226" s="10">
        <v>2</v>
      </c>
      <c r="L1226" s="10">
        <v>1</v>
      </c>
      <c r="O1226" s="6"/>
      <c r="Q1226" s="42" t="s">
        <v>2962</v>
      </c>
      <c r="R1226" s="42"/>
      <c r="S1226" s="1"/>
    </row>
    <row r="1227" spans="1:19" ht="18.75" hidden="1" customHeight="1" x14ac:dyDescent="0.3">
      <c r="A1227" s="10">
        <v>1226</v>
      </c>
      <c r="B1227" s="10">
        <f>_xlfn.XLOOKUP(1,(VALUE(D1227)&gt;=VALUE(block!$C$3:$C$500))*(VALUE(D1227)&lt;VALUE(block!$C$3:$C$500)+VALUE(block!$D$3:$D$500)),block!$A$3:$A$500,"无匹配",0,1)</f>
        <v>33</v>
      </c>
      <c r="C1227" s="3" t="str">
        <f>B1227 &amp; "-" &amp; COUNTIF($B$2:B1227, B1227)</f>
        <v>33-16</v>
      </c>
      <c r="D1227" s="10">
        <v>11144</v>
      </c>
      <c r="E1227" s="1" t="s">
        <v>4139</v>
      </c>
      <c r="F1227" s="1" t="s">
        <v>4140</v>
      </c>
      <c r="G1227" s="1" t="s">
        <v>1840</v>
      </c>
      <c r="H1227" s="1" t="s">
        <v>1812</v>
      </c>
      <c r="I1227" s="10" t="str">
        <f>IF(H1227="T24",1,IF(H1227="T24",3,IF(H1227="T40",6,IF(H1227="T40",10,IF(H1227="T72",14,IF(H1227="T72",18,IF(H1227="T40",22,"")))))))</f>
        <v/>
      </c>
      <c r="J1227" s="1" t="s">
        <v>1808</v>
      </c>
      <c r="K1227" s="10">
        <v>2</v>
      </c>
      <c r="L1227" s="10">
        <v>1</v>
      </c>
      <c r="O1227" s="6"/>
      <c r="Q1227" s="42" t="s">
        <v>2962</v>
      </c>
      <c r="R1227" s="42"/>
      <c r="S1227" s="1"/>
    </row>
    <row r="1228" spans="1:19" ht="18.75" hidden="1" customHeight="1" x14ac:dyDescent="0.3">
      <c r="A1228" s="10">
        <v>1227</v>
      </c>
      <c r="B1228" s="10">
        <f>_xlfn.XLOOKUP(1,(VALUE(D1228)&gt;=VALUE(block!$C$3:$C$500))*(VALUE(D1228)&lt;VALUE(block!$C$3:$C$500)+VALUE(block!$D$3:$D$500)),block!$A$3:$A$500,"无匹配",0,1)</f>
        <v>33</v>
      </c>
      <c r="C1228" s="3" t="str">
        <f>B1228 &amp; "-" &amp; COUNTIF($B$2:B1228, B1228)</f>
        <v>33-17</v>
      </c>
      <c r="D1228" s="10">
        <v>11146</v>
      </c>
      <c r="E1228" s="1" t="s">
        <v>4141</v>
      </c>
      <c r="F1228" s="1" t="s">
        <v>4142</v>
      </c>
      <c r="G1228" s="1" t="s">
        <v>1840</v>
      </c>
      <c r="H1228" s="1" t="s">
        <v>1812</v>
      </c>
      <c r="I1228" s="10" t="str">
        <f>IF(H1228="T25",1,IF(H1228="T25",3,IF(H1228="T41",6,IF(H1228="T41",10,IF(H1228="T73",14,IF(H1228="T73",18,IF(H1228="T41",22,"")))))))</f>
        <v/>
      </c>
      <c r="J1228" s="1" t="s">
        <v>1808</v>
      </c>
      <c r="K1228" s="10">
        <v>2</v>
      </c>
      <c r="L1228" s="10">
        <v>1</v>
      </c>
      <c r="O1228" s="6"/>
      <c r="Q1228" s="42" t="s">
        <v>2962</v>
      </c>
      <c r="R1228" s="42"/>
      <c r="S1228" s="1"/>
    </row>
    <row r="1229" spans="1:19" ht="18.75" hidden="1" customHeight="1" x14ac:dyDescent="0.3">
      <c r="A1229" s="10">
        <v>1228</v>
      </c>
      <c r="B1229" s="10">
        <f>_xlfn.XLOOKUP(1,(VALUE(D1229)&gt;=VALUE(block!$C$3:$C$500))*(VALUE(D1229)&lt;VALUE(block!$C$3:$C$500)+VALUE(block!$D$3:$D$500)),block!$A$3:$A$500,"无匹配",0,1)</f>
        <v>33</v>
      </c>
      <c r="C1229" s="3" t="str">
        <f>B1229 &amp; "-" &amp; COUNTIF($B$2:B1229, B1229)</f>
        <v>33-18</v>
      </c>
      <c r="D1229" s="10">
        <v>11148</v>
      </c>
      <c r="E1229" s="1" t="s">
        <v>4143</v>
      </c>
      <c r="F1229" s="1" t="s">
        <v>4144</v>
      </c>
      <c r="G1229" s="1" t="s">
        <v>1840</v>
      </c>
      <c r="H1229" s="1" t="s">
        <v>1812</v>
      </c>
      <c r="I1229" s="10" t="str">
        <f>IF(H1229="T26",1,IF(H1229="T26",3,IF(H1229="T42",6,IF(H1229="T42",10,IF(H1229="T74",14,IF(H1229="T74",18,IF(H1229="T42",22,"")))))))</f>
        <v/>
      </c>
      <c r="J1229" s="1" t="s">
        <v>1808</v>
      </c>
      <c r="K1229" s="10">
        <v>2</v>
      </c>
      <c r="L1229" s="10">
        <v>1</v>
      </c>
      <c r="O1229" s="6"/>
      <c r="Q1229" s="42" t="s">
        <v>2962</v>
      </c>
      <c r="R1229" s="42"/>
      <c r="S1229" s="1"/>
    </row>
    <row r="1230" spans="1:19" ht="18.75" hidden="1" customHeight="1" x14ac:dyDescent="0.3">
      <c r="A1230" s="10">
        <v>1229</v>
      </c>
      <c r="B1230" s="10">
        <f>_xlfn.XLOOKUP(1,(VALUE(D1230)&gt;=VALUE(block!$C$3:$C$500))*(VALUE(D1230)&lt;VALUE(block!$C$3:$C$500)+VALUE(block!$D$3:$D$500)),block!$A$3:$A$500,"无匹配",0,1)</f>
        <v>33</v>
      </c>
      <c r="C1230" s="3" t="str">
        <f>B1230 &amp; "-" &amp; COUNTIF($B$2:B1230, B1230)</f>
        <v>33-19</v>
      </c>
      <c r="D1230" s="10">
        <v>11150</v>
      </c>
      <c r="E1230" s="1" t="s">
        <v>4145</v>
      </c>
      <c r="F1230" s="1" t="s">
        <v>4146</v>
      </c>
      <c r="G1230" s="1" t="s">
        <v>1840</v>
      </c>
      <c r="H1230" s="1" t="s">
        <v>1812</v>
      </c>
      <c r="I1230" s="10" t="str">
        <f>IF(H1230="T27",1,IF(H1230="T27",3,IF(H1230="T43",6,IF(H1230="T43",10,IF(H1230="T75",14,IF(H1230="T75",18,IF(H1230="T43",22,"")))))))</f>
        <v/>
      </c>
      <c r="J1230" s="1" t="s">
        <v>1808</v>
      </c>
      <c r="K1230" s="10">
        <v>2</v>
      </c>
      <c r="L1230" s="10">
        <v>1</v>
      </c>
      <c r="O1230" s="6"/>
      <c r="Q1230" s="42" t="s">
        <v>2962</v>
      </c>
      <c r="R1230" s="42"/>
      <c r="S1230" s="1"/>
    </row>
    <row r="1231" spans="1:19" ht="18.75" hidden="1" customHeight="1" x14ac:dyDescent="0.3">
      <c r="A1231" s="10">
        <v>1230</v>
      </c>
      <c r="B1231" s="10">
        <f>_xlfn.XLOOKUP(1,(VALUE(D1231)&gt;=VALUE(block!$C$3:$C$500))*(VALUE(D1231)&lt;VALUE(block!$C$3:$C$500)+VALUE(block!$D$3:$D$500)),block!$A$3:$A$500,"无匹配",0,1)</f>
        <v>33</v>
      </c>
      <c r="C1231" s="3" t="str">
        <f>B1231 &amp; "-" &amp; COUNTIF($B$2:B1231, B1231)</f>
        <v>33-20</v>
      </c>
      <c r="D1231" s="10">
        <v>11152</v>
      </c>
      <c r="E1231" s="1" t="s">
        <v>4147</v>
      </c>
      <c r="F1231" s="1" t="s">
        <v>4148</v>
      </c>
      <c r="G1231" s="1" t="s">
        <v>1840</v>
      </c>
      <c r="H1231" s="1" t="s">
        <v>1812</v>
      </c>
      <c r="I1231" s="10" t="str">
        <f>IF(H1231="T28",1,IF(H1231="T28",3,IF(H1231="T44",6,IF(H1231="T44",10,IF(H1231="T76",14,IF(H1231="T76",18,IF(H1231="T44",22,"")))))))</f>
        <v/>
      </c>
      <c r="J1231" s="1" t="s">
        <v>1808</v>
      </c>
      <c r="K1231" s="10">
        <v>2</v>
      </c>
      <c r="L1231" s="10">
        <v>1</v>
      </c>
      <c r="O1231" s="6"/>
      <c r="Q1231" s="42" t="s">
        <v>2962</v>
      </c>
      <c r="R1231" s="42"/>
      <c r="S1231" s="1"/>
    </row>
    <row r="1232" spans="1:19" ht="18.75" hidden="1" customHeight="1" x14ac:dyDescent="0.3">
      <c r="A1232" s="10">
        <v>1231</v>
      </c>
      <c r="B1232" s="10">
        <f>_xlfn.XLOOKUP(1,(VALUE(D1232)&gt;=VALUE(block!$C$3:$C$500))*(VALUE(D1232)&lt;VALUE(block!$C$3:$C$500)+VALUE(block!$D$3:$D$500)),block!$A$3:$A$500,"无匹配",0,1)</f>
        <v>33</v>
      </c>
      <c r="C1232" s="3" t="str">
        <f>B1232 &amp; "-" &amp; COUNTIF($B$2:B1232, B1232)</f>
        <v>33-21</v>
      </c>
      <c r="D1232" s="10">
        <v>11154</v>
      </c>
      <c r="E1232" s="1" t="s">
        <v>4149</v>
      </c>
      <c r="F1232" s="1" t="s">
        <v>4150</v>
      </c>
      <c r="G1232" s="1" t="s">
        <v>1840</v>
      </c>
      <c r="H1232" s="1" t="s">
        <v>1812</v>
      </c>
      <c r="I1232" s="10" t="str">
        <f>IF(H1232="T29",1,IF(H1232="T29",3,IF(H1232="T45",6,IF(H1232="T45",10,IF(H1232="T77",14,IF(H1232="T77",18,IF(H1232="T45",22,"")))))))</f>
        <v/>
      </c>
      <c r="J1232" s="1" t="s">
        <v>1808</v>
      </c>
      <c r="K1232" s="10">
        <v>2</v>
      </c>
      <c r="L1232" s="10">
        <v>1</v>
      </c>
      <c r="O1232" s="6"/>
      <c r="Q1232" s="42" t="s">
        <v>2962</v>
      </c>
      <c r="R1232" s="42"/>
      <c r="S1232" s="1"/>
    </row>
    <row r="1233" spans="1:19" ht="18.75" hidden="1" customHeight="1" x14ac:dyDescent="0.3">
      <c r="A1233" s="10">
        <v>1232</v>
      </c>
      <c r="B1233" s="10">
        <f>_xlfn.XLOOKUP(1,(VALUE(D1233)&gt;=VALUE(block!$C$3:$C$500))*(VALUE(D1233)&lt;VALUE(block!$C$3:$C$500)+VALUE(block!$D$3:$D$500)),block!$A$3:$A$500,"无匹配",0,1)</f>
        <v>33</v>
      </c>
      <c r="C1233" s="3" t="str">
        <f>B1233 &amp; "-" &amp; COUNTIF($B$2:B1233, B1233)</f>
        <v>33-22</v>
      </c>
      <c r="D1233" s="10">
        <v>11156</v>
      </c>
      <c r="E1233" s="1" t="s">
        <v>4151</v>
      </c>
      <c r="F1233" s="1" t="s">
        <v>4152</v>
      </c>
      <c r="G1233" s="1" t="s">
        <v>1840</v>
      </c>
      <c r="H1233" s="1" t="s">
        <v>1812</v>
      </c>
      <c r="I1233" s="10" t="str">
        <f>IF(H1233="T30",1,IF(H1233="T30",3,IF(H1233="T46",6,IF(H1233="T46",10,IF(H1233="T78",14,IF(H1233="T78",18,IF(H1233="T46",22,"")))))))</f>
        <v/>
      </c>
      <c r="J1233" s="1" t="s">
        <v>1808</v>
      </c>
      <c r="K1233" s="10">
        <v>2</v>
      </c>
      <c r="L1233" s="10">
        <v>1</v>
      </c>
      <c r="O1233" s="6"/>
      <c r="Q1233" s="42" t="s">
        <v>2962</v>
      </c>
      <c r="R1233" s="42"/>
      <c r="S1233" s="1"/>
    </row>
    <row r="1234" spans="1:19" ht="18.75" hidden="1" customHeight="1" x14ac:dyDescent="0.3">
      <c r="A1234" s="10">
        <v>1233</v>
      </c>
      <c r="B1234" s="10">
        <f>_xlfn.XLOOKUP(1,(VALUE(D1234)&gt;=VALUE(block!$C$3:$C$500))*(VALUE(D1234)&lt;VALUE(block!$C$3:$C$500)+VALUE(block!$D$3:$D$500)),block!$A$3:$A$500,"无匹配",0,1)</f>
        <v>33</v>
      </c>
      <c r="C1234" s="3" t="str">
        <f>B1234 &amp; "-" &amp; COUNTIF($B$2:B1234, B1234)</f>
        <v>33-23</v>
      </c>
      <c r="D1234" s="10">
        <v>11158</v>
      </c>
      <c r="E1234" s="1" t="s">
        <v>4153</v>
      </c>
      <c r="F1234" s="1" t="s">
        <v>4154</v>
      </c>
      <c r="G1234" s="1" t="s">
        <v>1840</v>
      </c>
      <c r="H1234" s="1" t="s">
        <v>1812</v>
      </c>
      <c r="I1234" s="10" t="str">
        <f>IF(H1234="T31",1,IF(H1234="T31",3,IF(H1234="T47",6,IF(H1234="T47",10,IF(H1234="T79",14,IF(H1234="T79",18,IF(H1234="T47",22,"")))))))</f>
        <v/>
      </c>
      <c r="J1234" s="1" t="s">
        <v>1808</v>
      </c>
      <c r="K1234" s="10">
        <v>2</v>
      </c>
      <c r="L1234" s="10">
        <v>1</v>
      </c>
      <c r="O1234" s="6"/>
      <c r="Q1234" s="42" t="s">
        <v>2962</v>
      </c>
      <c r="R1234" s="42"/>
      <c r="S1234" s="1"/>
    </row>
    <row r="1235" spans="1:19" ht="18.75" hidden="1" customHeight="1" x14ac:dyDescent="0.3">
      <c r="A1235" s="10">
        <v>1234</v>
      </c>
      <c r="B1235" s="10">
        <f>_xlfn.XLOOKUP(1,(VALUE(D1235)&gt;=VALUE(block!$C$3:$C$500))*(VALUE(D1235)&lt;VALUE(block!$C$3:$C$500)+VALUE(block!$D$3:$D$500)),block!$A$3:$A$500,"无匹配",0,1)</f>
        <v>33</v>
      </c>
      <c r="C1235" s="3" t="str">
        <f>B1235 &amp; "-" &amp; COUNTIF($B$2:B1235, B1235)</f>
        <v>33-24</v>
      </c>
      <c r="D1235" s="10">
        <v>11160</v>
      </c>
      <c r="E1235" s="1" t="s">
        <v>4155</v>
      </c>
      <c r="F1235" s="1" t="s">
        <v>4156</v>
      </c>
      <c r="G1235" s="1" t="s">
        <v>1840</v>
      </c>
      <c r="H1235" s="1" t="s">
        <v>1812</v>
      </c>
      <c r="I1235" s="10" t="str">
        <f>IF(H1235="T32",1,IF(H1235="T32",3,IF(H1235="T48",6,IF(H1235="T48",10,IF(H1235="T80",14,IF(H1235="T80",18,IF(H1235="T48",22,"")))))))</f>
        <v/>
      </c>
      <c r="J1235" s="1" t="s">
        <v>1808</v>
      </c>
      <c r="K1235" s="10">
        <v>2</v>
      </c>
      <c r="L1235" s="10">
        <v>1</v>
      </c>
      <c r="O1235" s="6"/>
      <c r="Q1235" s="42" t="s">
        <v>2962</v>
      </c>
      <c r="R1235" s="42"/>
      <c r="S1235" s="1"/>
    </row>
    <row r="1236" spans="1:19" ht="18.75" hidden="1" customHeight="1" x14ac:dyDescent="0.3">
      <c r="A1236" s="10">
        <v>1235</v>
      </c>
      <c r="B1236" s="10">
        <f>_xlfn.XLOOKUP(1,(VALUE(D1236)&gt;=VALUE(block!$C$3:$C$500))*(VALUE(D1236)&lt;VALUE(block!$C$3:$C$500)+VALUE(block!$D$3:$D$500)),block!$A$3:$A$500,"无匹配",0,1)</f>
        <v>33</v>
      </c>
      <c r="C1236" s="3" t="str">
        <f>B1236 &amp; "-" &amp; COUNTIF($B$2:B1236, B1236)</f>
        <v>33-25</v>
      </c>
      <c r="D1236" s="10">
        <v>11162</v>
      </c>
      <c r="E1236" s="1" t="s">
        <v>4157</v>
      </c>
      <c r="F1236" s="1" t="s">
        <v>4158</v>
      </c>
      <c r="G1236" s="1" t="s">
        <v>1840</v>
      </c>
      <c r="H1236" s="1" t="s">
        <v>1812</v>
      </c>
      <c r="I1236" s="10" t="str">
        <f>IF(H1236="T33",1,IF(H1236="T33",3,IF(H1236="T49",6,IF(H1236="T49",10,IF(H1236="T81",14,IF(H1236="T81",18,IF(H1236="T49",22,"")))))))</f>
        <v/>
      </c>
      <c r="J1236" s="1" t="s">
        <v>1808</v>
      </c>
      <c r="K1236" s="10">
        <v>2</v>
      </c>
      <c r="L1236" s="10">
        <v>1</v>
      </c>
      <c r="O1236" s="6"/>
      <c r="Q1236" s="42" t="s">
        <v>2962</v>
      </c>
      <c r="R1236" s="42"/>
      <c r="S1236" s="1"/>
    </row>
    <row r="1237" spans="1:19" ht="18.75" hidden="1" customHeight="1" x14ac:dyDescent="0.3">
      <c r="A1237" s="10">
        <v>1236</v>
      </c>
      <c r="B1237" s="10">
        <f>_xlfn.XLOOKUP(1,(VALUE(D1237)&gt;=VALUE(block!$C$3:$C$500))*(VALUE(D1237)&lt;VALUE(block!$C$3:$C$500)+VALUE(block!$D$3:$D$500)),block!$A$3:$A$500,"无匹配",0,1)</f>
        <v>33</v>
      </c>
      <c r="C1237" s="3" t="str">
        <f>B1237 &amp; "-" &amp; COUNTIF($B$2:B1237, B1237)</f>
        <v>33-26</v>
      </c>
      <c r="D1237" s="10">
        <v>11164</v>
      </c>
      <c r="E1237" s="1" t="s">
        <v>4159</v>
      </c>
      <c r="F1237" s="1" t="s">
        <v>4160</v>
      </c>
      <c r="G1237" s="1" t="s">
        <v>1840</v>
      </c>
      <c r="H1237" s="1" t="s">
        <v>1812</v>
      </c>
      <c r="I1237" s="10" t="str">
        <f>IF(H1237="T34",1,IF(H1237="T34",3,IF(H1237="T50",6,IF(H1237="T50",10,IF(H1237="T82",14,IF(H1237="T82",18,IF(H1237="T50",22,"")))))))</f>
        <v/>
      </c>
      <c r="J1237" s="1" t="s">
        <v>1808</v>
      </c>
      <c r="K1237" s="10">
        <v>2</v>
      </c>
      <c r="L1237" s="10">
        <v>1</v>
      </c>
      <c r="O1237" s="6"/>
      <c r="Q1237" s="42" t="s">
        <v>2962</v>
      </c>
      <c r="R1237" s="42"/>
      <c r="S1237" s="1"/>
    </row>
    <row r="1238" spans="1:19" ht="18.75" hidden="1" customHeight="1" x14ac:dyDescent="0.3">
      <c r="A1238" s="10">
        <v>1237</v>
      </c>
      <c r="B1238" s="10">
        <f>_xlfn.XLOOKUP(1,(VALUE(D1238)&gt;=VALUE(block!$C$3:$C$500))*(VALUE(D1238)&lt;VALUE(block!$C$3:$C$500)+VALUE(block!$D$3:$D$500)),block!$A$3:$A$500,"无匹配",0,1)</f>
        <v>33</v>
      </c>
      <c r="C1238" s="3" t="str">
        <f>B1238 &amp; "-" &amp; COUNTIF($B$2:B1238, B1238)</f>
        <v>33-27</v>
      </c>
      <c r="D1238" s="10">
        <v>11166</v>
      </c>
      <c r="E1238" s="1" t="s">
        <v>4161</v>
      </c>
      <c r="F1238" s="1" t="s">
        <v>4162</v>
      </c>
      <c r="G1238" s="1" t="s">
        <v>1840</v>
      </c>
      <c r="H1238" s="1" t="s">
        <v>1812</v>
      </c>
      <c r="I1238" s="10" t="str">
        <f>IF(H1238="T35",1,IF(H1238="T35",3,IF(H1238="T51",6,IF(H1238="T51",10,IF(H1238="T83",14,IF(H1238="T83",18,IF(H1238="T51",22,"")))))))</f>
        <v/>
      </c>
      <c r="J1238" s="1" t="s">
        <v>1808</v>
      </c>
      <c r="K1238" s="10">
        <v>2</v>
      </c>
      <c r="L1238" s="10">
        <v>1</v>
      </c>
      <c r="O1238" s="6"/>
      <c r="Q1238" s="42" t="s">
        <v>2962</v>
      </c>
      <c r="R1238" s="42"/>
      <c r="S1238" s="1"/>
    </row>
    <row r="1239" spans="1:19" ht="18.75" hidden="1" customHeight="1" x14ac:dyDescent="0.3">
      <c r="A1239" s="10">
        <v>1238</v>
      </c>
      <c r="B1239" s="10">
        <f>_xlfn.XLOOKUP(1,(VALUE(D1239)&gt;=VALUE(block!$C$3:$C$500))*(VALUE(D1239)&lt;VALUE(block!$C$3:$C$500)+VALUE(block!$D$3:$D$500)),block!$A$3:$A$500,"无匹配",0,1)</f>
        <v>33</v>
      </c>
      <c r="C1239" s="3" t="str">
        <f>B1239 &amp; "-" &amp; COUNTIF($B$2:B1239, B1239)</f>
        <v>33-28</v>
      </c>
      <c r="D1239" s="10">
        <v>11168</v>
      </c>
      <c r="E1239" s="1" t="s">
        <v>4163</v>
      </c>
      <c r="F1239" s="1" t="s">
        <v>4164</v>
      </c>
      <c r="G1239" s="1" t="s">
        <v>1840</v>
      </c>
      <c r="H1239" s="1" t="s">
        <v>1812</v>
      </c>
      <c r="I1239" s="10" t="str">
        <f>IF(H1239="T36",1,IF(H1239="T36",3,IF(H1239="T52",6,IF(H1239="T52",10,IF(H1239="T84",14,IF(H1239="T84",18,IF(H1239="T52",22,"")))))))</f>
        <v/>
      </c>
      <c r="J1239" s="1" t="s">
        <v>1808</v>
      </c>
      <c r="K1239" s="10">
        <v>2</v>
      </c>
      <c r="L1239" s="10">
        <v>1</v>
      </c>
      <c r="O1239" s="6"/>
      <c r="Q1239" s="42" t="s">
        <v>2962</v>
      </c>
      <c r="R1239" s="42"/>
      <c r="S1239" s="1"/>
    </row>
    <row r="1240" spans="1:19" ht="18.75" hidden="1" customHeight="1" x14ac:dyDescent="0.3">
      <c r="A1240" s="10">
        <v>1239</v>
      </c>
      <c r="B1240" s="10">
        <f>_xlfn.XLOOKUP(1,(VALUE(D1240)&gt;=VALUE(block!$C$3:$C$500))*(VALUE(D1240)&lt;VALUE(block!$C$3:$C$500)+VALUE(block!$D$3:$D$500)),block!$A$3:$A$500,"无匹配",0,1)</f>
        <v>33</v>
      </c>
      <c r="C1240" s="3" t="str">
        <f>B1240 &amp; "-" &amp; COUNTIF($B$2:B1240, B1240)</f>
        <v>33-29</v>
      </c>
      <c r="D1240" s="10">
        <v>11170</v>
      </c>
      <c r="E1240" s="1" t="s">
        <v>4165</v>
      </c>
      <c r="F1240" s="1" t="s">
        <v>4166</v>
      </c>
      <c r="G1240" s="1" t="s">
        <v>1840</v>
      </c>
      <c r="H1240" s="1" t="s">
        <v>1812</v>
      </c>
      <c r="I1240" s="10" t="str">
        <f>IF(H1240="T37",1,IF(H1240="T37",3,IF(H1240="T53",6,IF(H1240="T53",10,IF(H1240="T85",14,IF(H1240="T85",18,IF(H1240="T53",22,"")))))))</f>
        <v/>
      </c>
      <c r="J1240" s="1" t="s">
        <v>1808</v>
      </c>
      <c r="K1240" s="10">
        <v>2</v>
      </c>
      <c r="L1240" s="10">
        <v>1</v>
      </c>
      <c r="O1240" s="6"/>
      <c r="Q1240" s="42" t="s">
        <v>2962</v>
      </c>
      <c r="R1240" s="42"/>
      <c r="S1240" s="1"/>
    </row>
    <row r="1241" spans="1:19" ht="18.75" hidden="1" customHeight="1" x14ac:dyDescent="0.3">
      <c r="A1241" s="10">
        <v>1240</v>
      </c>
      <c r="B1241" s="10">
        <f>_xlfn.XLOOKUP(1,(VALUE(D1241)&gt;=VALUE(block!$C$3:$C$500))*(VALUE(D1241)&lt;VALUE(block!$C$3:$C$500)+VALUE(block!$D$3:$D$500)),block!$A$3:$A$500,"无匹配",0,1)</f>
        <v>33</v>
      </c>
      <c r="C1241" s="3" t="str">
        <f>B1241 &amp; "-" &amp; COUNTIF($B$2:B1241, B1241)</f>
        <v>33-30</v>
      </c>
      <c r="D1241" s="10">
        <v>11172</v>
      </c>
      <c r="E1241" s="1" t="s">
        <v>4167</v>
      </c>
      <c r="F1241" s="1" t="s">
        <v>4168</v>
      </c>
      <c r="G1241" s="1" t="s">
        <v>1840</v>
      </c>
      <c r="H1241" s="1" t="s">
        <v>1812</v>
      </c>
      <c r="I1241" s="10" t="str">
        <f>IF(H1241="T38",1,IF(H1241="T38",3,IF(H1241="T54",6,IF(H1241="T54",10,IF(H1241="T86",14,IF(H1241="T86",18,IF(H1241="T54",22,"")))))))</f>
        <v/>
      </c>
      <c r="J1241" s="1" t="s">
        <v>1808</v>
      </c>
      <c r="K1241" s="10">
        <v>2</v>
      </c>
      <c r="L1241" s="10">
        <v>1</v>
      </c>
      <c r="O1241" s="6"/>
      <c r="Q1241" s="42" t="s">
        <v>2962</v>
      </c>
      <c r="R1241" s="42"/>
      <c r="S1241" s="1"/>
    </row>
    <row r="1242" spans="1:19" ht="18.75" hidden="1" customHeight="1" x14ac:dyDescent="0.3">
      <c r="A1242" s="10">
        <v>1241</v>
      </c>
      <c r="B1242" s="10">
        <f>_xlfn.XLOOKUP(1,(VALUE(D1242)&gt;=VALUE(block!$C$3:$C$500))*(VALUE(D1242)&lt;VALUE(block!$C$3:$C$500)+VALUE(block!$D$3:$D$500)),block!$A$3:$A$500,"无匹配",0,1)</f>
        <v>33</v>
      </c>
      <c r="C1242" s="3" t="str">
        <f>B1242 &amp; "-" &amp; COUNTIF($B$2:B1242, B1242)</f>
        <v>33-31</v>
      </c>
      <c r="D1242" s="10">
        <v>11174</v>
      </c>
      <c r="E1242" s="1" t="s">
        <v>4169</v>
      </c>
      <c r="F1242" s="1" t="s">
        <v>4170</v>
      </c>
      <c r="G1242" s="1" t="s">
        <v>1840</v>
      </c>
      <c r="H1242" s="1" t="s">
        <v>1812</v>
      </c>
      <c r="I1242" s="10" t="str">
        <f>IF(H1242="T39",1,IF(H1242="T39",3,IF(H1242="T55",6,IF(H1242="T55",10,IF(H1242="T87",14,IF(H1242="T87",18,IF(H1242="T55",22,"")))))))</f>
        <v/>
      </c>
      <c r="J1242" s="1" t="s">
        <v>1808</v>
      </c>
      <c r="K1242" s="10">
        <v>2</v>
      </c>
      <c r="L1242" s="10">
        <v>1</v>
      </c>
      <c r="O1242" s="6"/>
      <c r="Q1242" s="42" t="s">
        <v>2962</v>
      </c>
      <c r="R1242" s="42"/>
      <c r="S1242" s="1"/>
    </row>
    <row r="1243" spans="1:19" ht="18.75" hidden="1" customHeight="1" x14ac:dyDescent="0.3">
      <c r="A1243" s="10">
        <v>1242</v>
      </c>
      <c r="B1243" s="10">
        <f>_xlfn.XLOOKUP(1,(VALUE(D1243)&gt;=VALUE(block!$C$3:$C$500))*(VALUE(D1243)&lt;VALUE(block!$C$3:$C$500)+VALUE(block!$D$3:$D$500)),block!$A$3:$A$500,"无匹配",0,1)</f>
        <v>33</v>
      </c>
      <c r="C1243" s="3" t="str">
        <f>B1243 &amp; "-" &amp; COUNTIF($B$2:B1243, B1243)</f>
        <v>33-32</v>
      </c>
      <c r="D1243" s="10">
        <v>11176</v>
      </c>
      <c r="E1243" s="1" t="s">
        <v>4171</v>
      </c>
      <c r="F1243" s="1" t="s">
        <v>4172</v>
      </c>
      <c r="G1243" s="1" t="s">
        <v>1840</v>
      </c>
      <c r="H1243" s="1" t="s">
        <v>1812</v>
      </c>
      <c r="I1243" s="10" t="str">
        <f>IF(H1243="T40",1,IF(H1243="T40",3,IF(H1243="T56",6,IF(H1243="T56",10,IF(H1243="T88",14,IF(H1243="T88",18,IF(H1243="T56",22,"")))))))</f>
        <v/>
      </c>
      <c r="J1243" s="1" t="s">
        <v>1808</v>
      </c>
      <c r="K1243" s="10">
        <v>2</v>
      </c>
      <c r="L1243" s="10">
        <v>1</v>
      </c>
      <c r="O1243" s="6"/>
      <c r="Q1243" s="42" t="s">
        <v>2962</v>
      </c>
      <c r="R1243" s="42"/>
      <c r="S1243" s="1"/>
    </row>
    <row r="1244" spans="1:19" ht="18.75" hidden="1" customHeight="1" x14ac:dyDescent="0.3">
      <c r="A1244" s="10">
        <v>1243</v>
      </c>
      <c r="B1244" s="10">
        <f>_xlfn.XLOOKUP(1,(VALUE(D1244)&gt;=VALUE(block!$C$3:$C$500))*(VALUE(D1244)&lt;VALUE(block!$C$3:$C$500)+VALUE(block!$D$3:$D$500)),block!$A$3:$A$500,"无匹配",0,1)</f>
        <v>33</v>
      </c>
      <c r="C1244" s="3" t="str">
        <f>B1244 &amp; "-" &amp; COUNTIF($B$2:B1244, B1244)</f>
        <v>33-33</v>
      </c>
      <c r="D1244" s="10">
        <v>11178</v>
      </c>
      <c r="E1244" s="1" t="s">
        <v>4173</v>
      </c>
      <c r="F1244" s="1" t="s">
        <v>4174</v>
      </c>
      <c r="G1244" s="1" t="s">
        <v>1840</v>
      </c>
      <c r="H1244" s="1" t="s">
        <v>1812</v>
      </c>
      <c r="I1244" s="10" t="str">
        <f>IF(H1244="T41",1,IF(H1244="T41",3,IF(H1244="T57",6,IF(H1244="T57",10,IF(H1244="T89",14,IF(H1244="T89",18,IF(H1244="T57",22,"")))))))</f>
        <v/>
      </c>
      <c r="J1244" s="1" t="s">
        <v>1808</v>
      </c>
      <c r="K1244" s="10">
        <v>2</v>
      </c>
      <c r="L1244" s="10">
        <v>1</v>
      </c>
      <c r="O1244" s="6"/>
      <c r="Q1244" s="42" t="s">
        <v>2962</v>
      </c>
      <c r="R1244" s="42"/>
      <c r="S1244" s="1"/>
    </row>
    <row r="1245" spans="1:19" ht="18.75" hidden="1" customHeight="1" x14ac:dyDescent="0.3">
      <c r="A1245" s="10">
        <v>1244</v>
      </c>
      <c r="B1245" s="10">
        <f>_xlfn.XLOOKUP(1,(VALUE(D1245)&gt;=VALUE(block!$C$3:$C$500))*(VALUE(D1245)&lt;VALUE(block!$C$3:$C$500)+VALUE(block!$D$3:$D$500)),block!$A$3:$A$500,"无匹配",0,1)</f>
        <v>33</v>
      </c>
      <c r="C1245" s="3" t="str">
        <f>B1245 &amp; "-" &amp; COUNTIF($B$2:B1245, B1245)</f>
        <v>33-34</v>
      </c>
      <c r="D1245" s="10">
        <v>11180</v>
      </c>
      <c r="E1245" s="1" t="s">
        <v>4175</v>
      </c>
      <c r="F1245" s="1" t="s">
        <v>4176</v>
      </c>
      <c r="G1245" s="1" t="s">
        <v>1840</v>
      </c>
      <c r="H1245" s="1" t="s">
        <v>1812</v>
      </c>
      <c r="I1245" s="10" t="str">
        <f>IF(H1245="T42",1,IF(H1245="T42",3,IF(H1245="T58",6,IF(H1245="T58",10,IF(H1245="T90",14,IF(H1245="T90",18,IF(H1245="T58",22,"")))))))</f>
        <v/>
      </c>
      <c r="J1245" s="1" t="s">
        <v>1808</v>
      </c>
      <c r="K1245" s="10">
        <v>2</v>
      </c>
      <c r="L1245" s="10">
        <v>1</v>
      </c>
      <c r="O1245" s="6"/>
      <c r="Q1245" s="42" t="s">
        <v>2962</v>
      </c>
      <c r="R1245" s="42"/>
      <c r="S1245" s="1"/>
    </row>
    <row r="1246" spans="1:19" ht="18.75" customHeight="1" x14ac:dyDescent="0.3">
      <c r="A1246" s="10">
        <v>1245</v>
      </c>
      <c r="B1246" s="10">
        <f>_xlfn.XLOOKUP(1,(VALUE(D1246)&gt;=VALUE(block!$C$3:$C$500))*(VALUE(D1246)&lt;VALUE(block!$C$3:$C$500)+VALUE(block!$D$3:$D$500)),block!$A$3:$A$500,"无匹配",0,1)</f>
        <v>34</v>
      </c>
      <c r="C1246" s="3" t="str">
        <f>B1246 &amp; "-" &amp; COUNTIF($B$2:B1246, B1246)</f>
        <v>34-1</v>
      </c>
      <c r="D1246" s="10">
        <v>11182</v>
      </c>
      <c r="E1246" s="1" t="s">
        <v>4177</v>
      </c>
      <c r="F1246" s="1" t="s">
        <v>4178</v>
      </c>
      <c r="G1246" s="1" t="s">
        <v>1840</v>
      </c>
      <c r="H1246" s="1" t="s">
        <v>1812</v>
      </c>
      <c r="I1246" s="10" t="str">
        <f>IF(H1246="T43",1,IF(H1246="T43",3,IF(H1246="T59",6,IF(H1246="T59",10,IF(H1246="T91",14,IF(H1246="T91",18,IF(H1246="T59",22,"")))))))</f>
        <v/>
      </c>
      <c r="J1246" s="1" t="s">
        <v>1808</v>
      </c>
      <c r="K1246" s="10">
        <v>2</v>
      </c>
      <c r="L1246" s="10">
        <v>1</v>
      </c>
      <c r="N1246" s="10">
        <v>4</v>
      </c>
      <c r="O1246" s="6"/>
      <c r="P1246" s="45" t="s">
        <v>2826</v>
      </c>
      <c r="Q1246" s="6">
        <v>14</v>
      </c>
      <c r="R1246" s="6"/>
      <c r="S1246" s="1" t="s">
        <v>4178</v>
      </c>
    </row>
    <row r="1247" spans="1:19" ht="18.75" customHeight="1" x14ac:dyDescent="0.3">
      <c r="A1247" s="10">
        <v>1246</v>
      </c>
      <c r="B1247" s="10">
        <f>_xlfn.XLOOKUP(1,(VALUE(D1247)&gt;=VALUE(block!$C$3:$C$500))*(VALUE(D1247)&lt;VALUE(block!$C$3:$C$500)+VALUE(block!$D$3:$D$500)),block!$A$3:$A$500,"无匹配",0,1)</f>
        <v>34</v>
      </c>
      <c r="C1247" s="3" t="str">
        <f>B1247 &amp; "-" &amp; COUNTIF($B$2:B1247, B1247)</f>
        <v>34-2</v>
      </c>
      <c r="D1247" s="10">
        <v>11184</v>
      </c>
      <c r="E1247" s="1" t="s">
        <v>4179</v>
      </c>
      <c r="F1247" s="1" t="s">
        <v>4180</v>
      </c>
      <c r="G1247" s="1" t="s">
        <v>1840</v>
      </c>
      <c r="H1247" s="1" t="s">
        <v>1812</v>
      </c>
      <c r="I1247" s="10" t="str">
        <f>IF(H1247="T44",1,IF(H1247="T44",3,IF(H1247="T60",6,IF(H1247="T60",10,IF(H1247="T92",14,IF(H1247="T92",18,IF(H1247="T60",22,"")))))))</f>
        <v/>
      </c>
      <c r="J1247" s="1" t="s">
        <v>1808</v>
      </c>
      <c r="K1247" s="10">
        <v>2</v>
      </c>
      <c r="L1247" s="10">
        <v>1</v>
      </c>
      <c r="N1247" s="10">
        <v>4</v>
      </c>
      <c r="O1247" s="6"/>
      <c r="P1247" s="45" t="s">
        <v>2826</v>
      </c>
      <c r="Q1247" s="6">
        <v>14</v>
      </c>
      <c r="R1247" s="6"/>
      <c r="S1247" s="1" t="s">
        <v>4180</v>
      </c>
    </row>
    <row r="1248" spans="1:19" ht="18.75" customHeight="1" x14ac:dyDescent="0.3">
      <c r="A1248" s="10">
        <v>1247</v>
      </c>
      <c r="B1248" s="10">
        <f>_xlfn.XLOOKUP(1,(VALUE(D1248)&gt;=VALUE(block!$C$3:$C$500))*(VALUE(D1248)&lt;VALUE(block!$C$3:$C$500)+VALUE(block!$D$3:$D$500)),block!$A$3:$A$500,"无匹配",0,1)</f>
        <v>34</v>
      </c>
      <c r="C1248" s="3" t="str">
        <f>B1248 &amp; "-" &amp; COUNTIF($B$2:B1248, B1248)</f>
        <v>34-3</v>
      </c>
      <c r="D1248" s="10">
        <v>11186</v>
      </c>
      <c r="E1248" s="1" t="s">
        <v>4181</v>
      </c>
      <c r="F1248" s="1" t="s">
        <v>4182</v>
      </c>
      <c r="G1248" s="1" t="s">
        <v>1840</v>
      </c>
      <c r="H1248" s="1" t="s">
        <v>1812</v>
      </c>
      <c r="I1248" s="10" t="str">
        <f>IF(H1248="T45",1,IF(H1248="T45",3,IF(H1248="T61",6,IF(H1248="T61",10,IF(H1248="T93",14,IF(H1248="T93",18,IF(H1248="T61",22,"")))))))</f>
        <v/>
      </c>
      <c r="J1248" s="1" t="s">
        <v>1808</v>
      </c>
      <c r="K1248" s="10">
        <v>2</v>
      </c>
      <c r="L1248" s="10">
        <v>1</v>
      </c>
      <c r="N1248" s="10">
        <v>4</v>
      </c>
      <c r="O1248" s="6"/>
      <c r="P1248" s="45" t="s">
        <v>2826</v>
      </c>
      <c r="Q1248" s="6">
        <v>14</v>
      </c>
      <c r="R1248" s="6"/>
      <c r="S1248" s="1" t="s">
        <v>4182</v>
      </c>
    </row>
    <row r="1249" spans="1:19" ht="18.75" customHeight="1" x14ac:dyDescent="0.3">
      <c r="A1249" s="10">
        <v>1248</v>
      </c>
      <c r="B1249" s="10">
        <f>_xlfn.XLOOKUP(1,(VALUE(D1249)&gt;=VALUE(block!$C$3:$C$500))*(VALUE(D1249)&lt;VALUE(block!$C$3:$C$500)+VALUE(block!$D$3:$D$500)),block!$A$3:$A$500,"无匹配",0,1)</f>
        <v>34</v>
      </c>
      <c r="C1249" s="3" t="str">
        <f>B1249 &amp; "-" &amp; COUNTIF($B$2:B1249, B1249)</f>
        <v>34-4</v>
      </c>
      <c r="D1249" s="10">
        <v>11188</v>
      </c>
      <c r="E1249" s="1" t="s">
        <v>4183</v>
      </c>
      <c r="F1249" s="1" t="s">
        <v>4184</v>
      </c>
      <c r="G1249" s="1" t="s">
        <v>1840</v>
      </c>
      <c r="H1249" s="1" t="s">
        <v>1812</v>
      </c>
      <c r="I1249" s="10" t="str">
        <f>IF(H1249="T46",1,IF(H1249="T46",3,IF(H1249="T62",6,IF(H1249="T62",10,IF(H1249="T94",14,IF(H1249="T94",18,IF(H1249="T62",22,"")))))))</f>
        <v/>
      </c>
      <c r="J1249" s="1" t="s">
        <v>1808</v>
      </c>
      <c r="K1249" s="10">
        <v>2</v>
      </c>
      <c r="L1249" s="10">
        <v>1</v>
      </c>
      <c r="N1249" s="10">
        <v>4</v>
      </c>
      <c r="O1249" s="6"/>
      <c r="P1249" s="45" t="s">
        <v>2826</v>
      </c>
      <c r="Q1249" s="6">
        <v>14</v>
      </c>
      <c r="R1249" s="6"/>
      <c r="S1249" s="1" t="s">
        <v>4184</v>
      </c>
    </row>
    <row r="1250" spans="1:19" ht="18.75" hidden="1" customHeight="1" x14ac:dyDescent="0.3">
      <c r="A1250" s="10">
        <v>1249</v>
      </c>
      <c r="B1250" s="10">
        <f>_xlfn.XLOOKUP(1,(VALUE(D1250)&gt;=VALUE(block!$C$3:$C$500))*(VALUE(D1250)&lt;VALUE(block!$C$3:$C$500)+VALUE(block!$D$3:$D$500)),block!$A$3:$A$500,"无匹配",0,1)</f>
        <v>34</v>
      </c>
      <c r="C1250" s="3" t="str">
        <f>B1250 &amp; "-" &amp; COUNTIF($B$2:B1250, B1250)</f>
        <v>34-5</v>
      </c>
      <c r="D1250" s="10">
        <v>11190</v>
      </c>
      <c r="E1250" s="1" t="s">
        <v>4185</v>
      </c>
      <c r="F1250" s="1" t="s">
        <v>4186</v>
      </c>
      <c r="G1250" s="1" t="s">
        <v>1840</v>
      </c>
      <c r="H1250" s="1" t="s">
        <v>1812</v>
      </c>
      <c r="I1250" s="10" t="str">
        <f>IF(H1250="T47",1,IF(H1250="T47",3,IF(H1250="T63",6,IF(H1250="T63",10,IF(H1250="T95",14,IF(H1250="T95",18,IF(H1250="T63",22,"")))))))</f>
        <v/>
      </c>
      <c r="J1250" s="1" t="s">
        <v>1808</v>
      </c>
      <c r="K1250" s="10">
        <v>2</v>
      </c>
      <c r="L1250" s="10">
        <v>1</v>
      </c>
      <c r="O1250" s="6"/>
      <c r="Q1250" s="42" t="s">
        <v>2962</v>
      </c>
      <c r="R1250" s="42"/>
      <c r="S1250" s="1"/>
    </row>
    <row r="1251" spans="1:19" ht="18.75" hidden="1" customHeight="1" x14ac:dyDescent="0.3">
      <c r="A1251" s="10">
        <v>1250</v>
      </c>
      <c r="B1251" s="10">
        <f>_xlfn.XLOOKUP(1,(VALUE(D1251)&gt;=VALUE(block!$C$3:$C$500))*(VALUE(D1251)&lt;VALUE(block!$C$3:$C$500)+VALUE(block!$D$3:$D$500)),block!$A$3:$A$500,"无匹配",0,1)</f>
        <v>34</v>
      </c>
      <c r="C1251" s="3" t="str">
        <f>B1251 &amp; "-" &amp; COUNTIF($B$2:B1251, B1251)</f>
        <v>34-6</v>
      </c>
      <c r="D1251" s="10">
        <v>11192</v>
      </c>
      <c r="E1251" s="1" t="s">
        <v>4187</v>
      </c>
      <c r="F1251" s="1" t="s">
        <v>4188</v>
      </c>
      <c r="G1251" s="1" t="s">
        <v>1840</v>
      </c>
      <c r="H1251" s="1" t="s">
        <v>1812</v>
      </c>
      <c r="I1251" s="10" t="str">
        <f>IF(H1251="T48",1,IF(H1251="T48",3,IF(H1251="T64",6,IF(H1251="T64",10,IF(H1251="T96",14,IF(H1251="T96",18,IF(H1251="T64",22,"")))))))</f>
        <v/>
      </c>
      <c r="J1251" s="1" t="s">
        <v>1808</v>
      </c>
      <c r="K1251" s="10">
        <v>2</v>
      </c>
      <c r="L1251" s="10">
        <v>1</v>
      </c>
      <c r="O1251" s="6"/>
      <c r="Q1251" s="42" t="s">
        <v>2962</v>
      </c>
      <c r="R1251" s="42"/>
      <c r="S1251" s="1"/>
    </row>
    <row r="1252" spans="1:19" ht="18.75" hidden="1" customHeight="1" x14ac:dyDescent="0.3">
      <c r="A1252" s="10">
        <v>1251</v>
      </c>
      <c r="B1252" s="10">
        <f>_xlfn.XLOOKUP(1,(VALUE(D1252)&gt;=VALUE(block!$C$3:$C$500))*(VALUE(D1252)&lt;VALUE(block!$C$3:$C$500)+VALUE(block!$D$3:$D$500)),block!$A$3:$A$500,"无匹配",0,1)</f>
        <v>34</v>
      </c>
      <c r="C1252" s="3" t="str">
        <f>B1252 &amp; "-" &amp; COUNTIF($B$2:B1252, B1252)</f>
        <v>34-7</v>
      </c>
      <c r="D1252" s="10">
        <v>11194</v>
      </c>
      <c r="E1252" s="1" t="s">
        <v>4189</v>
      </c>
      <c r="F1252" s="1" t="s">
        <v>4190</v>
      </c>
      <c r="G1252" s="1" t="s">
        <v>1840</v>
      </c>
      <c r="H1252" s="1" t="s">
        <v>1812</v>
      </c>
      <c r="I1252" s="10" t="str">
        <f>IF(H1252="T49",1,IF(H1252="T49",3,IF(H1252="T65",6,IF(H1252="T65",10,IF(H1252="T97",14,IF(H1252="T97",18,IF(H1252="T65",22,"")))))))</f>
        <v/>
      </c>
      <c r="J1252" s="1" t="s">
        <v>1808</v>
      </c>
      <c r="K1252" s="10">
        <v>2</v>
      </c>
      <c r="L1252" s="10">
        <v>1</v>
      </c>
      <c r="O1252" s="6"/>
      <c r="Q1252" s="42" t="s">
        <v>2962</v>
      </c>
      <c r="R1252" s="42"/>
      <c r="S1252" s="1"/>
    </row>
    <row r="1253" spans="1:19" ht="18.75" hidden="1" customHeight="1" x14ac:dyDescent="0.3">
      <c r="A1253" s="10">
        <v>1252</v>
      </c>
      <c r="B1253" s="10">
        <f>_xlfn.XLOOKUP(1,(VALUE(D1253)&gt;=VALUE(block!$C$3:$C$500))*(VALUE(D1253)&lt;VALUE(block!$C$3:$C$500)+VALUE(block!$D$3:$D$500)),block!$A$3:$A$500,"无匹配",0,1)</f>
        <v>34</v>
      </c>
      <c r="C1253" s="3" t="str">
        <f>B1253 &amp; "-" &amp; COUNTIF($B$2:B1253, B1253)</f>
        <v>34-8</v>
      </c>
      <c r="D1253" s="10">
        <v>11196</v>
      </c>
      <c r="E1253" s="1" t="s">
        <v>4191</v>
      </c>
      <c r="F1253" s="1" t="s">
        <v>4192</v>
      </c>
      <c r="G1253" s="1" t="s">
        <v>1840</v>
      </c>
      <c r="H1253" s="1" t="s">
        <v>1812</v>
      </c>
      <c r="I1253" s="10" t="str">
        <f>IF(H1253="T50",1,IF(H1253="T50",3,IF(H1253="T66",6,IF(H1253="T66",10,IF(H1253="T98",14,IF(H1253="T98",18,IF(H1253="T66",22,"")))))))</f>
        <v/>
      </c>
      <c r="J1253" s="1" t="s">
        <v>1808</v>
      </c>
      <c r="K1253" s="10">
        <v>2</v>
      </c>
      <c r="L1253" s="10">
        <v>1</v>
      </c>
      <c r="O1253" s="6"/>
      <c r="Q1253" s="42" t="s">
        <v>2962</v>
      </c>
      <c r="R1253" s="42"/>
      <c r="S1253" s="1"/>
    </row>
    <row r="1254" spans="1:19" ht="18.75" hidden="1" customHeight="1" x14ac:dyDescent="0.3">
      <c r="A1254" s="10">
        <v>1253</v>
      </c>
      <c r="B1254" s="10">
        <f>_xlfn.XLOOKUP(1,(VALUE(D1254)&gt;=VALUE(block!$C$3:$C$500))*(VALUE(D1254)&lt;VALUE(block!$C$3:$C$500)+VALUE(block!$D$3:$D$500)),block!$A$3:$A$500,"无匹配",0,1)</f>
        <v>34</v>
      </c>
      <c r="C1254" s="3" t="str">
        <f>B1254 &amp; "-" &amp; COUNTIF($B$2:B1254, B1254)</f>
        <v>34-9</v>
      </c>
      <c r="D1254" s="10">
        <v>11198</v>
      </c>
      <c r="E1254" s="1" t="s">
        <v>4193</v>
      </c>
      <c r="F1254" s="1" t="s">
        <v>4194</v>
      </c>
      <c r="G1254" s="1" t="s">
        <v>1840</v>
      </c>
      <c r="H1254" s="1" t="s">
        <v>1812</v>
      </c>
      <c r="I1254" s="10" t="str">
        <f>IF(H1254="T51",1,IF(H1254="T51",3,IF(H1254="T67",6,IF(H1254="T67",10,IF(H1254="T99",14,IF(H1254="T99",18,IF(H1254="T67",22,"")))))))</f>
        <v/>
      </c>
      <c r="J1254" s="1" t="s">
        <v>1808</v>
      </c>
      <c r="K1254" s="10">
        <v>2</v>
      </c>
      <c r="L1254" s="10">
        <v>1</v>
      </c>
      <c r="O1254" s="6"/>
      <c r="Q1254" s="42" t="s">
        <v>2962</v>
      </c>
      <c r="R1254" s="42"/>
      <c r="S1254" s="1"/>
    </row>
    <row r="1255" spans="1:19" ht="18.75" hidden="1" customHeight="1" x14ac:dyDescent="0.3">
      <c r="A1255" s="10">
        <v>1254</v>
      </c>
      <c r="B1255" s="10">
        <f>_xlfn.XLOOKUP(1,(VALUE(D1255)&gt;=VALUE(block!$C$3:$C$500))*(VALUE(D1255)&lt;VALUE(block!$C$3:$C$500)+VALUE(block!$D$3:$D$500)),block!$A$3:$A$500,"无匹配",0,1)</f>
        <v>34</v>
      </c>
      <c r="C1255" s="3" t="str">
        <f>B1255 &amp; "-" &amp; COUNTIF($B$2:B1255, B1255)</f>
        <v>34-10</v>
      </c>
      <c r="D1255" s="10">
        <v>11200</v>
      </c>
      <c r="E1255" s="1" t="s">
        <v>4195</v>
      </c>
      <c r="F1255" s="1" t="s">
        <v>4196</v>
      </c>
      <c r="G1255" s="1" t="s">
        <v>1840</v>
      </c>
      <c r="H1255" s="1" t="s">
        <v>1812</v>
      </c>
      <c r="I1255" s="10" t="str">
        <f>IF(H1255="T52",1,IF(H1255="T52",3,IF(H1255="T68",6,IF(H1255="T68",10,IF(H1255="T100",14,IF(H1255="T100",18,IF(H1255="T68",22,"")))))))</f>
        <v/>
      </c>
      <c r="J1255" s="1" t="s">
        <v>1808</v>
      </c>
      <c r="K1255" s="10">
        <v>2</v>
      </c>
      <c r="L1255" s="10">
        <v>1</v>
      </c>
      <c r="O1255" s="6"/>
      <c r="Q1255" s="42" t="s">
        <v>2962</v>
      </c>
      <c r="R1255" s="42"/>
      <c r="S1255" s="1"/>
    </row>
    <row r="1256" spans="1:19" ht="18.75" hidden="1" customHeight="1" x14ac:dyDescent="0.3">
      <c r="A1256" s="10">
        <v>1255</v>
      </c>
      <c r="B1256" s="10">
        <f>_xlfn.XLOOKUP(1,(VALUE(D1256)&gt;=VALUE(block!$C$3:$C$500))*(VALUE(D1256)&lt;VALUE(block!$C$3:$C$500)+VALUE(block!$D$3:$D$500)),block!$A$3:$A$500,"无匹配",0,1)</f>
        <v>34</v>
      </c>
      <c r="C1256" s="3" t="str">
        <f>B1256 &amp; "-" &amp; COUNTIF($B$2:B1256, B1256)</f>
        <v>34-11</v>
      </c>
      <c r="D1256" s="10">
        <v>11202</v>
      </c>
      <c r="E1256" s="1" t="s">
        <v>4197</v>
      </c>
      <c r="F1256" s="1" t="s">
        <v>4198</v>
      </c>
      <c r="G1256" s="1" t="s">
        <v>1840</v>
      </c>
      <c r="H1256" s="1" t="s">
        <v>1812</v>
      </c>
      <c r="I1256" s="10" t="str">
        <f>IF(H1256="T53",1,IF(H1256="T53",3,IF(H1256="T69",6,IF(H1256="T69",10,IF(H1256="T101",14,IF(H1256="T101",18,IF(H1256="T69",22,"")))))))</f>
        <v/>
      </c>
      <c r="J1256" s="1" t="s">
        <v>1808</v>
      </c>
      <c r="K1256" s="10">
        <v>2</v>
      </c>
      <c r="L1256" s="10">
        <v>1</v>
      </c>
      <c r="O1256" s="6"/>
      <c r="Q1256" s="42" t="s">
        <v>2962</v>
      </c>
      <c r="R1256" s="42"/>
      <c r="S1256" s="1"/>
    </row>
    <row r="1257" spans="1:19" ht="18.75" hidden="1" customHeight="1" x14ac:dyDescent="0.3">
      <c r="A1257" s="10">
        <v>1256</v>
      </c>
      <c r="B1257" s="10">
        <f>_xlfn.XLOOKUP(1,(VALUE(D1257)&gt;=VALUE(block!$C$3:$C$500))*(VALUE(D1257)&lt;VALUE(block!$C$3:$C$500)+VALUE(block!$D$3:$D$500)),block!$A$3:$A$500,"无匹配",0,1)</f>
        <v>34</v>
      </c>
      <c r="C1257" s="3" t="str">
        <f>B1257 &amp; "-" &amp; COUNTIF($B$2:B1257, B1257)</f>
        <v>34-12</v>
      </c>
      <c r="D1257" s="10">
        <v>11204</v>
      </c>
      <c r="E1257" s="1" t="s">
        <v>4199</v>
      </c>
      <c r="F1257" s="1" t="s">
        <v>4200</v>
      </c>
      <c r="G1257" s="1" t="s">
        <v>1840</v>
      </c>
      <c r="H1257" s="1" t="s">
        <v>1812</v>
      </c>
      <c r="I1257" s="10" t="str">
        <f>IF(H1257="T54",1,IF(H1257="T54",3,IF(H1257="T70",6,IF(H1257="T70",10,IF(H1257="T102",14,IF(H1257="T102",18,IF(H1257="T70",22,"")))))))</f>
        <v/>
      </c>
      <c r="J1257" s="1" t="s">
        <v>1808</v>
      </c>
      <c r="K1257" s="10">
        <v>2</v>
      </c>
      <c r="L1257" s="10">
        <v>1</v>
      </c>
      <c r="O1257" s="6"/>
      <c r="Q1257" s="42" t="s">
        <v>2962</v>
      </c>
      <c r="R1257" s="42"/>
      <c r="S1257" s="1"/>
    </row>
    <row r="1258" spans="1:19" ht="18.75" hidden="1" customHeight="1" x14ac:dyDescent="0.3">
      <c r="A1258" s="10">
        <v>1257</v>
      </c>
      <c r="B1258" s="10">
        <f>_xlfn.XLOOKUP(1,(VALUE(D1258)&gt;=VALUE(block!$C$3:$C$500))*(VALUE(D1258)&lt;VALUE(block!$C$3:$C$500)+VALUE(block!$D$3:$D$500)),block!$A$3:$A$500,"无匹配",0,1)</f>
        <v>34</v>
      </c>
      <c r="C1258" s="3" t="str">
        <f>B1258 &amp; "-" &amp; COUNTIF($B$2:B1258, B1258)</f>
        <v>34-13</v>
      </c>
      <c r="D1258" s="10">
        <v>11206</v>
      </c>
      <c r="E1258" s="1" t="s">
        <v>4201</v>
      </c>
      <c r="F1258" s="1" t="s">
        <v>4202</v>
      </c>
      <c r="G1258" s="1" t="s">
        <v>1840</v>
      </c>
      <c r="H1258" s="1" t="s">
        <v>1812</v>
      </c>
      <c r="I1258" s="10" t="str">
        <f>IF(H1258="T55",1,IF(H1258="T55",3,IF(H1258="T71",6,IF(H1258="T71",10,IF(H1258="T103",14,IF(H1258="T103",18,IF(H1258="T71",22,"")))))))</f>
        <v/>
      </c>
      <c r="J1258" s="1" t="s">
        <v>1808</v>
      </c>
      <c r="K1258" s="10">
        <v>2</v>
      </c>
      <c r="L1258" s="10">
        <v>1</v>
      </c>
      <c r="O1258" s="6"/>
      <c r="Q1258" s="42" t="s">
        <v>2962</v>
      </c>
      <c r="R1258" s="42"/>
      <c r="S1258" s="1"/>
    </row>
    <row r="1259" spans="1:19" ht="18.75" hidden="1" customHeight="1" x14ac:dyDescent="0.3">
      <c r="A1259" s="10">
        <v>1258</v>
      </c>
      <c r="B1259" s="10">
        <f>_xlfn.XLOOKUP(1,(VALUE(D1259)&gt;=VALUE(block!$C$3:$C$500))*(VALUE(D1259)&lt;VALUE(block!$C$3:$C$500)+VALUE(block!$D$3:$D$500)),block!$A$3:$A$500,"无匹配",0,1)</f>
        <v>34</v>
      </c>
      <c r="C1259" s="3" t="str">
        <f>B1259 &amp; "-" &amp; COUNTIF($B$2:B1259, B1259)</f>
        <v>34-14</v>
      </c>
      <c r="D1259" s="10">
        <v>11208</v>
      </c>
      <c r="E1259" s="1" t="s">
        <v>4203</v>
      </c>
      <c r="F1259" s="1" t="s">
        <v>4204</v>
      </c>
      <c r="G1259" s="1" t="s">
        <v>1840</v>
      </c>
      <c r="H1259" s="1" t="s">
        <v>1812</v>
      </c>
      <c r="I1259" s="10" t="str">
        <f>IF(H1259="T56",1,IF(H1259="T56",3,IF(H1259="T72",6,IF(H1259="T72",10,IF(H1259="T104",14,IF(H1259="T104",18,IF(H1259="T72",22,"")))))))</f>
        <v/>
      </c>
      <c r="J1259" s="1" t="s">
        <v>1808</v>
      </c>
      <c r="K1259" s="10">
        <v>2</v>
      </c>
      <c r="L1259" s="10">
        <v>1</v>
      </c>
      <c r="O1259" s="6"/>
      <c r="Q1259" s="42" t="s">
        <v>2962</v>
      </c>
      <c r="R1259" s="42"/>
      <c r="S1259" s="1"/>
    </row>
    <row r="1260" spans="1:19" ht="18.75" hidden="1" customHeight="1" x14ac:dyDescent="0.3">
      <c r="A1260" s="10">
        <v>1259</v>
      </c>
      <c r="B1260" s="10">
        <f>_xlfn.XLOOKUP(1,(VALUE(D1260)&gt;=VALUE(block!$C$3:$C$500))*(VALUE(D1260)&lt;VALUE(block!$C$3:$C$500)+VALUE(block!$D$3:$D$500)),block!$A$3:$A$500,"无匹配",0,1)</f>
        <v>34</v>
      </c>
      <c r="C1260" s="3" t="str">
        <f>B1260 &amp; "-" &amp; COUNTIF($B$2:B1260, B1260)</f>
        <v>34-15</v>
      </c>
      <c r="D1260" s="10">
        <v>11210</v>
      </c>
      <c r="E1260" s="1" t="s">
        <v>4205</v>
      </c>
      <c r="F1260" s="1" t="s">
        <v>4206</v>
      </c>
      <c r="G1260" s="1" t="s">
        <v>1840</v>
      </c>
      <c r="H1260" s="1" t="s">
        <v>1812</v>
      </c>
      <c r="I1260" s="10" t="str">
        <f>IF(H1260="T57",1,IF(H1260="T57",3,IF(H1260="T73",6,IF(H1260="T73",10,IF(H1260="T105",14,IF(H1260="T105",18,IF(H1260="T73",22,"")))))))</f>
        <v/>
      </c>
      <c r="J1260" s="1" t="s">
        <v>1808</v>
      </c>
      <c r="K1260" s="10">
        <v>2</v>
      </c>
      <c r="L1260" s="10">
        <v>1</v>
      </c>
      <c r="O1260" s="6"/>
      <c r="Q1260" s="42" t="s">
        <v>2962</v>
      </c>
      <c r="R1260" s="42"/>
      <c r="S1260" s="1"/>
    </row>
    <row r="1261" spans="1:19" ht="18.75" hidden="1" customHeight="1" x14ac:dyDescent="0.3">
      <c r="A1261" s="10">
        <v>1260</v>
      </c>
      <c r="B1261" s="10">
        <f>_xlfn.XLOOKUP(1,(VALUE(D1261)&gt;=VALUE(block!$C$3:$C$500))*(VALUE(D1261)&lt;VALUE(block!$C$3:$C$500)+VALUE(block!$D$3:$D$500)),block!$A$3:$A$500,"无匹配",0,1)</f>
        <v>34</v>
      </c>
      <c r="C1261" s="3" t="str">
        <f>B1261 &amp; "-" &amp; COUNTIF($B$2:B1261, B1261)</f>
        <v>34-16</v>
      </c>
      <c r="D1261" s="10">
        <v>11212</v>
      </c>
      <c r="E1261" s="1" t="s">
        <v>4207</v>
      </c>
      <c r="F1261" s="1" t="s">
        <v>4208</v>
      </c>
      <c r="G1261" s="1" t="s">
        <v>1840</v>
      </c>
      <c r="H1261" s="1" t="s">
        <v>1812</v>
      </c>
      <c r="I1261" s="10" t="str">
        <f>IF(H1261="T58",1,IF(H1261="T58",3,IF(H1261="T74",6,IF(H1261="T74",10,IF(H1261="T106",14,IF(H1261="T106",18,IF(H1261="T74",22,"")))))))</f>
        <v/>
      </c>
      <c r="J1261" s="1" t="s">
        <v>1808</v>
      </c>
      <c r="K1261" s="10">
        <v>2</v>
      </c>
      <c r="L1261" s="10">
        <v>1</v>
      </c>
      <c r="O1261" s="6"/>
      <c r="Q1261" s="42" t="s">
        <v>2962</v>
      </c>
      <c r="R1261" s="42"/>
      <c r="S1261" s="1"/>
    </row>
    <row r="1262" spans="1:19" ht="18.75" hidden="1" customHeight="1" x14ac:dyDescent="0.3">
      <c r="A1262" s="10">
        <v>1261</v>
      </c>
      <c r="B1262" s="10">
        <f>_xlfn.XLOOKUP(1,(VALUE(D1262)&gt;=VALUE(block!$C$3:$C$500))*(VALUE(D1262)&lt;VALUE(block!$C$3:$C$500)+VALUE(block!$D$3:$D$500)),block!$A$3:$A$500,"无匹配",0,1)</f>
        <v>34</v>
      </c>
      <c r="C1262" s="3" t="str">
        <f>B1262 &amp; "-" &amp; COUNTIF($B$2:B1262, B1262)</f>
        <v>34-17</v>
      </c>
      <c r="D1262" s="10">
        <v>11214</v>
      </c>
      <c r="E1262" s="1" t="s">
        <v>4209</v>
      </c>
      <c r="F1262" s="1" t="s">
        <v>4210</v>
      </c>
      <c r="G1262" s="1" t="s">
        <v>1840</v>
      </c>
      <c r="H1262" s="1" t="s">
        <v>1812</v>
      </c>
      <c r="I1262" s="10" t="str">
        <f>IF(H1262="T59",1,IF(H1262="T59",3,IF(H1262="T75",6,IF(H1262="T75",10,IF(H1262="T107",14,IF(H1262="T107",18,IF(H1262="T75",22,"")))))))</f>
        <v/>
      </c>
      <c r="J1262" s="1" t="s">
        <v>1808</v>
      </c>
      <c r="K1262" s="10">
        <v>2</v>
      </c>
      <c r="L1262" s="10">
        <v>1</v>
      </c>
      <c r="O1262" s="6"/>
      <c r="Q1262" s="42" t="s">
        <v>2962</v>
      </c>
      <c r="R1262" s="42"/>
      <c r="S1262" s="1"/>
    </row>
    <row r="1263" spans="1:19" ht="18.75" hidden="1" customHeight="1" x14ac:dyDescent="0.3">
      <c r="A1263" s="10">
        <v>1262</v>
      </c>
      <c r="B1263" s="10">
        <f>_xlfn.XLOOKUP(1,(VALUE(D1263)&gt;=VALUE(block!$C$3:$C$500))*(VALUE(D1263)&lt;VALUE(block!$C$3:$C$500)+VALUE(block!$D$3:$D$500)),block!$A$3:$A$500,"无匹配",0,1)</f>
        <v>34</v>
      </c>
      <c r="C1263" s="3" t="str">
        <f>B1263 &amp; "-" &amp; COUNTIF($B$2:B1263, B1263)</f>
        <v>34-18</v>
      </c>
      <c r="D1263" s="10">
        <v>11216</v>
      </c>
      <c r="E1263" s="1" t="s">
        <v>4211</v>
      </c>
      <c r="F1263" s="1" t="s">
        <v>4212</v>
      </c>
      <c r="G1263" s="1" t="s">
        <v>1840</v>
      </c>
      <c r="H1263" s="1" t="s">
        <v>1812</v>
      </c>
      <c r="I1263" s="10" t="str">
        <f>IF(H1263="T60",1,IF(H1263="T60",3,IF(H1263="T76",6,IF(H1263="T76",10,IF(H1263="T108",14,IF(H1263="T108",18,IF(H1263="T76",22,"")))))))</f>
        <v/>
      </c>
      <c r="J1263" s="1" t="s">
        <v>1808</v>
      </c>
      <c r="K1263" s="10">
        <v>2</v>
      </c>
      <c r="L1263" s="10">
        <v>1</v>
      </c>
      <c r="O1263" s="6"/>
      <c r="Q1263" s="42" t="s">
        <v>2962</v>
      </c>
      <c r="R1263" s="42"/>
      <c r="S1263" s="1"/>
    </row>
    <row r="1264" spans="1:19" ht="18.75" hidden="1" customHeight="1" x14ac:dyDescent="0.3">
      <c r="A1264" s="10">
        <v>1263</v>
      </c>
      <c r="B1264" s="10">
        <f>_xlfn.XLOOKUP(1,(VALUE(D1264)&gt;=VALUE(block!$C$3:$C$500))*(VALUE(D1264)&lt;VALUE(block!$C$3:$C$500)+VALUE(block!$D$3:$D$500)),block!$A$3:$A$500,"无匹配",0,1)</f>
        <v>34</v>
      </c>
      <c r="C1264" s="3" t="str">
        <f>B1264 &amp; "-" &amp; COUNTIF($B$2:B1264, B1264)</f>
        <v>34-19</v>
      </c>
      <c r="D1264" s="10">
        <v>11218</v>
      </c>
      <c r="E1264" s="1" t="s">
        <v>4213</v>
      </c>
      <c r="F1264" s="1" t="s">
        <v>4214</v>
      </c>
      <c r="G1264" s="1" t="s">
        <v>1840</v>
      </c>
      <c r="H1264" s="1" t="s">
        <v>1812</v>
      </c>
      <c r="I1264" s="10" t="str">
        <f>IF(H1264="T61",1,IF(H1264="T61",3,IF(H1264="T77",6,IF(H1264="T77",10,IF(H1264="T109",14,IF(H1264="T109",18,IF(H1264="T77",22,"")))))))</f>
        <v/>
      </c>
      <c r="J1264" s="1" t="s">
        <v>1808</v>
      </c>
      <c r="K1264" s="10">
        <v>2</v>
      </c>
      <c r="L1264" s="10">
        <v>1</v>
      </c>
      <c r="O1264" s="6"/>
      <c r="Q1264" s="42" t="s">
        <v>2962</v>
      </c>
      <c r="R1264" s="42"/>
      <c r="S1264" s="1"/>
    </row>
    <row r="1265" spans="1:19" ht="18.75" hidden="1" customHeight="1" x14ac:dyDescent="0.3">
      <c r="A1265" s="10">
        <v>1264</v>
      </c>
      <c r="B1265" s="10">
        <f>_xlfn.XLOOKUP(1,(VALUE(D1265)&gt;=VALUE(block!$C$3:$C$500))*(VALUE(D1265)&lt;VALUE(block!$C$3:$C$500)+VALUE(block!$D$3:$D$500)),block!$A$3:$A$500,"无匹配",0,1)</f>
        <v>34</v>
      </c>
      <c r="C1265" s="3" t="str">
        <f>B1265 &amp; "-" &amp; COUNTIF($B$2:B1265, B1265)</f>
        <v>34-20</v>
      </c>
      <c r="D1265" s="10">
        <v>11220</v>
      </c>
      <c r="E1265" s="1" t="s">
        <v>4215</v>
      </c>
      <c r="F1265" s="1" t="s">
        <v>4216</v>
      </c>
      <c r="G1265" s="1" t="s">
        <v>1840</v>
      </c>
      <c r="H1265" s="1" t="s">
        <v>1812</v>
      </c>
      <c r="I1265" s="10" t="str">
        <f>IF(H1265="T62",1,IF(H1265="T62",3,IF(H1265="T78",6,IF(H1265="T78",10,IF(H1265="T110",14,IF(H1265="T110",18,IF(H1265="T78",22,"")))))))</f>
        <v/>
      </c>
      <c r="J1265" s="1" t="s">
        <v>1808</v>
      </c>
      <c r="K1265" s="10">
        <v>2</v>
      </c>
      <c r="L1265" s="10">
        <v>1</v>
      </c>
      <c r="O1265" s="6"/>
      <c r="Q1265" s="42" t="s">
        <v>2962</v>
      </c>
      <c r="R1265" s="42"/>
      <c r="S1265" s="1"/>
    </row>
    <row r="1266" spans="1:19" ht="18.75" hidden="1" customHeight="1" x14ac:dyDescent="0.3">
      <c r="A1266" s="10">
        <v>1265</v>
      </c>
      <c r="B1266" s="10">
        <f>_xlfn.XLOOKUP(1,(VALUE(D1266)&gt;=VALUE(block!$C$3:$C$500))*(VALUE(D1266)&lt;VALUE(block!$C$3:$C$500)+VALUE(block!$D$3:$D$500)),block!$A$3:$A$500,"无匹配",0,1)</f>
        <v>34</v>
      </c>
      <c r="C1266" s="3" t="str">
        <f>B1266 &amp; "-" &amp; COUNTIF($B$2:B1266, B1266)</f>
        <v>34-21</v>
      </c>
      <c r="D1266" s="10">
        <v>11222</v>
      </c>
      <c r="E1266" s="1" t="s">
        <v>4217</v>
      </c>
      <c r="F1266" s="1" t="s">
        <v>4218</v>
      </c>
      <c r="G1266" s="1" t="s">
        <v>1840</v>
      </c>
      <c r="H1266" s="1" t="s">
        <v>1812</v>
      </c>
      <c r="I1266" s="10" t="str">
        <f>IF(H1266="T63",1,IF(H1266="T63",3,IF(H1266="T79",6,IF(H1266="T79",10,IF(H1266="T111",14,IF(H1266="T111",18,IF(H1266="T79",22,"")))))))</f>
        <v/>
      </c>
      <c r="J1266" s="1" t="s">
        <v>1808</v>
      </c>
      <c r="K1266" s="10">
        <v>2</v>
      </c>
      <c r="L1266" s="10">
        <v>1</v>
      </c>
      <c r="O1266" s="6"/>
      <c r="Q1266" s="42" t="s">
        <v>2962</v>
      </c>
      <c r="R1266" s="42"/>
      <c r="S1266" s="1"/>
    </row>
    <row r="1267" spans="1:19" ht="18.75" hidden="1" customHeight="1" x14ac:dyDescent="0.3">
      <c r="A1267" s="10">
        <v>1266</v>
      </c>
      <c r="B1267" s="10">
        <f>_xlfn.XLOOKUP(1,(VALUE(D1267)&gt;=VALUE(block!$C$3:$C$500))*(VALUE(D1267)&lt;VALUE(block!$C$3:$C$500)+VALUE(block!$D$3:$D$500)),block!$A$3:$A$500,"无匹配",0,1)</f>
        <v>34</v>
      </c>
      <c r="C1267" s="3" t="str">
        <f>B1267 &amp; "-" &amp; COUNTIF($B$2:B1267, B1267)</f>
        <v>34-22</v>
      </c>
      <c r="D1267" s="10">
        <v>11224</v>
      </c>
      <c r="E1267" s="1" t="s">
        <v>4219</v>
      </c>
      <c r="F1267" s="1" t="s">
        <v>4220</v>
      </c>
      <c r="G1267" s="1" t="s">
        <v>1840</v>
      </c>
      <c r="H1267" s="1" t="s">
        <v>1812</v>
      </c>
      <c r="I1267" s="10" t="str">
        <f>IF(H1267="T64",1,IF(H1267="T64",3,IF(H1267="T80",6,IF(H1267="T80",10,IF(H1267="T112",14,IF(H1267="T112",18,IF(H1267="T80",22,"")))))))</f>
        <v/>
      </c>
      <c r="J1267" s="1" t="s">
        <v>1808</v>
      </c>
      <c r="K1267" s="10">
        <v>2</v>
      </c>
      <c r="L1267" s="10">
        <v>1</v>
      </c>
      <c r="O1267" s="6"/>
      <c r="Q1267" s="42" t="s">
        <v>2962</v>
      </c>
      <c r="R1267" s="42"/>
      <c r="S1267" s="1"/>
    </row>
    <row r="1268" spans="1:19" ht="18.75" hidden="1" customHeight="1" x14ac:dyDescent="0.3">
      <c r="A1268" s="10">
        <v>1267</v>
      </c>
      <c r="B1268" s="10">
        <f>_xlfn.XLOOKUP(1,(VALUE(D1268)&gt;=VALUE(block!$C$3:$C$500))*(VALUE(D1268)&lt;VALUE(block!$C$3:$C$500)+VALUE(block!$D$3:$D$500)),block!$A$3:$A$500,"无匹配",0,1)</f>
        <v>34</v>
      </c>
      <c r="C1268" s="3" t="str">
        <f>B1268 &amp; "-" &amp; COUNTIF($B$2:B1268, B1268)</f>
        <v>34-23</v>
      </c>
      <c r="D1268" s="10">
        <v>11226</v>
      </c>
      <c r="E1268" s="1" t="s">
        <v>4221</v>
      </c>
      <c r="F1268" s="1" t="s">
        <v>4222</v>
      </c>
      <c r="G1268" s="1" t="s">
        <v>1840</v>
      </c>
      <c r="H1268" s="1" t="s">
        <v>1812</v>
      </c>
      <c r="I1268" s="10" t="str">
        <f>IF(H1268="T65",1,IF(H1268="T65",3,IF(H1268="T81",6,IF(H1268="T81",10,IF(H1268="T113",14,IF(H1268="T113",18,IF(H1268="T81",22,"")))))))</f>
        <v/>
      </c>
      <c r="J1268" s="1" t="s">
        <v>1808</v>
      </c>
      <c r="K1268" s="10">
        <v>2</v>
      </c>
      <c r="L1268" s="10">
        <v>1</v>
      </c>
      <c r="O1268" s="6"/>
      <c r="Q1268" s="42" t="s">
        <v>2962</v>
      </c>
      <c r="R1268" s="42"/>
      <c r="S1268" s="1"/>
    </row>
    <row r="1269" spans="1:19" ht="18.75" hidden="1" customHeight="1" x14ac:dyDescent="0.3">
      <c r="A1269" s="10">
        <v>1268</v>
      </c>
      <c r="B1269" s="10">
        <f>_xlfn.XLOOKUP(1,(VALUE(D1269)&gt;=VALUE(block!$C$3:$C$500))*(VALUE(D1269)&lt;VALUE(block!$C$3:$C$500)+VALUE(block!$D$3:$D$500)),block!$A$3:$A$500,"无匹配",0,1)</f>
        <v>34</v>
      </c>
      <c r="C1269" s="3" t="str">
        <f>B1269 &amp; "-" &amp; COUNTIF($B$2:B1269, B1269)</f>
        <v>34-24</v>
      </c>
      <c r="D1269" s="10">
        <v>11228</v>
      </c>
      <c r="E1269" s="1" t="s">
        <v>4223</v>
      </c>
      <c r="F1269" s="1" t="s">
        <v>4224</v>
      </c>
      <c r="G1269" s="1" t="s">
        <v>1840</v>
      </c>
      <c r="H1269" s="1" t="s">
        <v>1812</v>
      </c>
      <c r="I1269" s="10" t="str">
        <f>IF(H1269="T66",1,IF(H1269="T66",3,IF(H1269="T82",6,IF(H1269="T82",10,IF(H1269="T114",14,IF(H1269="T114",18,IF(H1269="T82",22,"")))))))</f>
        <v/>
      </c>
      <c r="J1269" s="1" t="s">
        <v>1808</v>
      </c>
      <c r="K1269" s="10">
        <v>2</v>
      </c>
      <c r="L1269" s="10">
        <v>1</v>
      </c>
      <c r="O1269" s="6"/>
      <c r="Q1269" s="42" t="s">
        <v>2962</v>
      </c>
      <c r="R1269" s="42"/>
      <c r="S1269" s="1"/>
    </row>
    <row r="1270" spans="1:19" ht="18.75" hidden="1" customHeight="1" x14ac:dyDescent="0.3">
      <c r="A1270" s="10">
        <v>1269</v>
      </c>
      <c r="B1270" s="10">
        <f>_xlfn.XLOOKUP(1,(VALUE(D1270)&gt;=VALUE(block!$C$3:$C$500))*(VALUE(D1270)&lt;VALUE(block!$C$3:$C$500)+VALUE(block!$D$3:$D$500)),block!$A$3:$A$500,"无匹配",0,1)</f>
        <v>34</v>
      </c>
      <c r="C1270" s="3" t="str">
        <f>B1270 &amp; "-" &amp; COUNTIF($B$2:B1270, B1270)</f>
        <v>34-25</v>
      </c>
      <c r="D1270" s="10">
        <v>11230</v>
      </c>
      <c r="E1270" s="1" t="s">
        <v>4225</v>
      </c>
      <c r="F1270" s="1" t="s">
        <v>4226</v>
      </c>
      <c r="G1270" s="1" t="s">
        <v>1840</v>
      </c>
      <c r="H1270" s="1" t="s">
        <v>1812</v>
      </c>
      <c r="I1270" s="10" t="str">
        <f>IF(H1270="T67",1,IF(H1270="T67",3,IF(H1270="T83",6,IF(H1270="T83",10,IF(H1270="T115",14,IF(H1270="T115",18,IF(H1270="T83",22,"")))))))</f>
        <v/>
      </c>
      <c r="J1270" s="1" t="s">
        <v>1808</v>
      </c>
      <c r="K1270" s="10">
        <v>2</v>
      </c>
      <c r="L1270" s="10">
        <v>1</v>
      </c>
      <c r="O1270" s="6"/>
      <c r="Q1270" s="42" t="s">
        <v>2962</v>
      </c>
      <c r="R1270" s="42"/>
      <c r="S1270" s="1"/>
    </row>
    <row r="1271" spans="1:19" ht="18.75" hidden="1" customHeight="1" x14ac:dyDescent="0.3">
      <c r="A1271" s="10">
        <v>1270</v>
      </c>
      <c r="B1271" s="10">
        <f>_xlfn.XLOOKUP(1,(VALUE(D1271)&gt;=VALUE(block!$C$3:$C$500))*(VALUE(D1271)&lt;VALUE(block!$C$3:$C$500)+VALUE(block!$D$3:$D$500)),block!$A$3:$A$500,"无匹配",0,1)</f>
        <v>34</v>
      </c>
      <c r="C1271" s="3" t="str">
        <f>B1271 &amp; "-" &amp; COUNTIF($B$2:B1271, B1271)</f>
        <v>34-26</v>
      </c>
      <c r="D1271" s="10">
        <v>11232</v>
      </c>
      <c r="E1271" s="1" t="s">
        <v>4227</v>
      </c>
      <c r="F1271" s="1" t="s">
        <v>4228</v>
      </c>
      <c r="G1271" s="1" t="s">
        <v>1840</v>
      </c>
      <c r="H1271" s="1" t="s">
        <v>1812</v>
      </c>
      <c r="I1271" s="10" t="str">
        <f>IF(H1271="T68",1,IF(H1271="T68",3,IF(H1271="T84",6,IF(H1271="T84",10,IF(H1271="T116",14,IF(H1271="T116",18,IF(H1271="T84",22,"")))))))</f>
        <v/>
      </c>
      <c r="J1271" s="1" t="s">
        <v>1808</v>
      </c>
      <c r="K1271" s="10">
        <v>2</v>
      </c>
      <c r="L1271" s="10">
        <v>1</v>
      </c>
      <c r="O1271" s="6"/>
      <c r="Q1271" s="42" t="s">
        <v>2962</v>
      </c>
      <c r="R1271" s="42"/>
      <c r="S1271" s="1"/>
    </row>
    <row r="1272" spans="1:19" ht="18.75" hidden="1" customHeight="1" x14ac:dyDescent="0.3">
      <c r="A1272" s="10">
        <v>1271</v>
      </c>
      <c r="B1272" s="10">
        <f>_xlfn.XLOOKUP(1,(VALUE(D1272)&gt;=VALUE(block!$C$3:$C$500))*(VALUE(D1272)&lt;VALUE(block!$C$3:$C$500)+VALUE(block!$D$3:$D$500)),block!$A$3:$A$500,"无匹配",0,1)</f>
        <v>34</v>
      </c>
      <c r="C1272" s="3" t="str">
        <f>B1272 &amp; "-" &amp; COUNTIF($B$2:B1272, B1272)</f>
        <v>34-27</v>
      </c>
      <c r="D1272" s="10">
        <v>11234</v>
      </c>
      <c r="E1272" s="1" t="s">
        <v>4229</v>
      </c>
      <c r="F1272" s="1" t="s">
        <v>4230</v>
      </c>
      <c r="G1272" s="1" t="s">
        <v>1840</v>
      </c>
      <c r="H1272" s="1" t="s">
        <v>1812</v>
      </c>
      <c r="I1272" s="10" t="str">
        <f>IF(H1272="T69",1,IF(H1272="T69",3,IF(H1272="T85",6,IF(H1272="T85",10,IF(H1272="T117",14,IF(H1272="T117",18,IF(H1272="T85",22,"")))))))</f>
        <v/>
      </c>
      <c r="J1272" s="1" t="s">
        <v>1808</v>
      </c>
      <c r="K1272" s="10">
        <v>2</v>
      </c>
      <c r="L1272" s="10">
        <v>1</v>
      </c>
      <c r="O1272" s="6"/>
      <c r="Q1272" s="42" t="s">
        <v>2962</v>
      </c>
      <c r="R1272" s="42"/>
      <c r="S1272" s="1"/>
    </row>
    <row r="1273" spans="1:19" ht="18.75" hidden="1" customHeight="1" x14ac:dyDescent="0.3">
      <c r="A1273" s="10">
        <v>1272</v>
      </c>
      <c r="B1273" s="10">
        <f>_xlfn.XLOOKUP(1,(VALUE(D1273)&gt;=VALUE(block!$C$3:$C$500))*(VALUE(D1273)&lt;VALUE(block!$C$3:$C$500)+VALUE(block!$D$3:$D$500)),block!$A$3:$A$500,"无匹配",0,1)</f>
        <v>34</v>
      </c>
      <c r="C1273" s="3" t="str">
        <f>B1273 &amp; "-" &amp; COUNTIF($B$2:B1273, B1273)</f>
        <v>34-28</v>
      </c>
      <c r="D1273" s="10">
        <v>11236</v>
      </c>
      <c r="E1273" s="1" t="s">
        <v>4231</v>
      </c>
      <c r="F1273" s="1" t="s">
        <v>4232</v>
      </c>
      <c r="G1273" s="1" t="s">
        <v>1840</v>
      </c>
      <c r="H1273" s="1" t="s">
        <v>1812</v>
      </c>
      <c r="I1273" s="10" t="str">
        <f>IF(H1273="T70",1,IF(H1273="T70",3,IF(H1273="T86",6,IF(H1273="T86",10,IF(H1273="T118",14,IF(H1273="T118",18,IF(H1273="T86",22,"")))))))</f>
        <v/>
      </c>
      <c r="J1273" s="1" t="s">
        <v>1808</v>
      </c>
      <c r="K1273" s="10">
        <v>2</v>
      </c>
      <c r="L1273" s="10">
        <v>1</v>
      </c>
      <c r="O1273" s="6"/>
      <c r="Q1273" s="42" t="s">
        <v>2962</v>
      </c>
      <c r="R1273" s="42"/>
      <c r="S1273" s="1"/>
    </row>
    <row r="1274" spans="1:19" ht="18.75" hidden="1" customHeight="1" x14ac:dyDescent="0.3">
      <c r="A1274" s="10">
        <v>1273</v>
      </c>
      <c r="B1274" s="10">
        <f>_xlfn.XLOOKUP(1,(VALUE(D1274)&gt;=VALUE(block!$C$3:$C$500))*(VALUE(D1274)&lt;VALUE(block!$C$3:$C$500)+VALUE(block!$D$3:$D$500)),block!$A$3:$A$500,"无匹配",0,1)</f>
        <v>34</v>
      </c>
      <c r="C1274" s="3" t="str">
        <f>B1274 &amp; "-" &amp; COUNTIF($B$2:B1274, B1274)</f>
        <v>34-29</v>
      </c>
      <c r="D1274" s="10">
        <v>11238</v>
      </c>
      <c r="E1274" s="1" t="s">
        <v>4233</v>
      </c>
      <c r="F1274" s="1" t="s">
        <v>4234</v>
      </c>
      <c r="G1274" s="1" t="s">
        <v>1840</v>
      </c>
      <c r="H1274" s="1" t="s">
        <v>1812</v>
      </c>
      <c r="I1274" s="10" t="str">
        <f>IF(H1274="T71",1,IF(H1274="T71",3,IF(H1274="T87",6,IF(H1274="T87",10,IF(H1274="T119",14,IF(H1274="T119",18,IF(H1274="T87",22,"")))))))</f>
        <v/>
      </c>
      <c r="J1274" s="1" t="s">
        <v>1808</v>
      </c>
      <c r="K1274" s="10">
        <v>2</v>
      </c>
      <c r="L1274" s="10">
        <v>1</v>
      </c>
      <c r="O1274" s="6"/>
      <c r="Q1274" s="42" t="s">
        <v>2962</v>
      </c>
      <c r="R1274" s="42"/>
      <c r="S1274" s="1"/>
    </row>
    <row r="1275" spans="1:19" ht="18.75" hidden="1" customHeight="1" x14ac:dyDescent="0.3">
      <c r="A1275" s="10">
        <v>1274</v>
      </c>
      <c r="B1275" s="10">
        <f>_xlfn.XLOOKUP(1,(VALUE(D1275)&gt;=VALUE(block!$C$3:$C$500))*(VALUE(D1275)&lt;VALUE(block!$C$3:$C$500)+VALUE(block!$D$3:$D$500)),block!$A$3:$A$500,"无匹配",0,1)</f>
        <v>34</v>
      </c>
      <c r="C1275" s="3" t="str">
        <f>B1275 &amp; "-" &amp; COUNTIF($B$2:B1275, B1275)</f>
        <v>34-30</v>
      </c>
      <c r="D1275" s="10">
        <v>11240</v>
      </c>
      <c r="E1275" s="1" t="s">
        <v>4235</v>
      </c>
      <c r="F1275" s="1" t="s">
        <v>4236</v>
      </c>
      <c r="G1275" s="1" t="s">
        <v>1840</v>
      </c>
      <c r="H1275" s="1" t="s">
        <v>1812</v>
      </c>
      <c r="I1275" s="10" t="str">
        <f>IF(H1275="T72",1,IF(H1275="T72",3,IF(H1275="T88",6,IF(H1275="T88",10,IF(H1275="T120",14,IF(H1275="T120",18,IF(H1275="T88",22,"")))))))</f>
        <v/>
      </c>
      <c r="J1275" s="1" t="s">
        <v>1808</v>
      </c>
      <c r="K1275" s="10">
        <v>2</v>
      </c>
      <c r="L1275" s="10">
        <v>1</v>
      </c>
      <c r="O1275" s="6"/>
      <c r="Q1275" s="42" t="s">
        <v>2962</v>
      </c>
      <c r="R1275" s="42"/>
      <c r="S1275" s="1"/>
    </row>
    <row r="1276" spans="1:19" ht="18.75" hidden="1" customHeight="1" x14ac:dyDescent="0.3">
      <c r="A1276" s="10">
        <v>1275</v>
      </c>
      <c r="B1276" s="10">
        <f>_xlfn.XLOOKUP(1,(VALUE(D1276)&gt;=VALUE(block!$C$3:$C$500))*(VALUE(D1276)&lt;VALUE(block!$C$3:$C$500)+VALUE(block!$D$3:$D$500)),block!$A$3:$A$500,"无匹配",0,1)</f>
        <v>34</v>
      </c>
      <c r="C1276" s="3" t="str">
        <f>B1276 &amp; "-" &amp; COUNTIF($B$2:B1276, B1276)</f>
        <v>34-31</v>
      </c>
      <c r="D1276" s="10">
        <v>11242</v>
      </c>
      <c r="E1276" s="1" t="s">
        <v>4237</v>
      </c>
      <c r="F1276" s="1" t="s">
        <v>4238</v>
      </c>
      <c r="G1276" s="1" t="s">
        <v>1840</v>
      </c>
      <c r="H1276" s="1" t="s">
        <v>1812</v>
      </c>
      <c r="I1276" s="10" t="str">
        <f>IF(H1276="T73",1,IF(H1276="T73",3,IF(H1276="T89",6,IF(H1276="T89",10,IF(H1276="T121",14,IF(H1276="T121",18,IF(H1276="T89",22,"")))))))</f>
        <v/>
      </c>
      <c r="J1276" s="1" t="s">
        <v>1808</v>
      </c>
      <c r="K1276" s="10">
        <v>2</v>
      </c>
      <c r="L1276" s="10">
        <v>1</v>
      </c>
      <c r="O1276" s="6"/>
      <c r="Q1276" s="42" t="s">
        <v>2962</v>
      </c>
      <c r="R1276" s="42"/>
      <c r="S1276" s="1"/>
    </row>
    <row r="1277" spans="1:19" ht="18.75" hidden="1" customHeight="1" x14ac:dyDescent="0.3">
      <c r="A1277" s="10">
        <v>1276</v>
      </c>
      <c r="B1277" s="10">
        <f>_xlfn.XLOOKUP(1,(VALUE(D1277)&gt;=VALUE(block!$C$3:$C$500))*(VALUE(D1277)&lt;VALUE(block!$C$3:$C$500)+VALUE(block!$D$3:$D$500)),block!$A$3:$A$500,"无匹配",0,1)</f>
        <v>34</v>
      </c>
      <c r="C1277" s="3" t="str">
        <f>B1277 &amp; "-" &amp; COUNTIF($B$2:B1277, B1277)</f>
        <v>34-32</v>
      </c>
      <c r="D1277" s="10">
        <v>11244</v>
      </c>
      <c r="E1277" s="1" t="s">
        <v>4239</v>
      </c>
      <c r="F1277" s="1" t="s">
        <v>4240</v>
      </c>
      <c r="G1277" s="1" t="s">
        <v>1840</v>
      </c>
      <c r="H1277" s="1" t="s">
        <v>1812</v>
      </c>
      <c r="I1277" s="10" t="str">
        <f>IF(H1277="T74",1,IF(H1277="T74",3,IF(H1277="T90",6,IF(H1277="T90",10,IF(H1277="T122",14,IF(H1277="T122",18,IF(H1277="T90",22,"")))))))</f>
        <v/>
      </c>
      <c r="J1277" s="1" t="s">
        <v>1808</v>
      </c>
      <c r="K1277" s="10">
        <v>2</v>
      </c>
      <c r="L1277" s="10">
        <v>1</v>
      </c>
      <c r="O1277" s="6"/>
      <c r="Q1277" s="42" t="s">
        <v>2962</v>
      </c>
      <c r="R1277" s="42"/>
      <c r="S1277" s="1"/>
    </row>
    <row r="1278" spans="1:19" ht="18.75" hidden="1" customHeight="1" x14ac:dyDescent="0.3">
      <c r="A1278" s="10">
        <v>1277</v>
      </c>
      <c r="B1278" s="10">
        <f>_xlfn.XLOOKUP(1,(VALUE(D1278)&gt;=VALUE(block!$C$3:$C$500))*(VALUE(D1278)&lt;VALUE(block!$C$3:$C$500)+VALUE(block!$D$3:$D$500)),block!$A$3:$A$500,"无匹配",0,1)</f>
        <v>34</v>
      </c>
      <c r="C1278" s="3" t="str">
        <f>B1278 &amp; "-" &amp; COUNTIF($B$2:B1278, B1278)</f>
        <v>34-33</v>
      </c>
      <c r="D1278" s="10">
        <v>11246</v>
      </c>
      <c r="E1278" s="1" t="s">
        <v>4241</v>
      </c>
      <c r="F1278" s="1" t="s">
        <v>4242</v>
      </c>
      <c r="G1278" s="1" t="s">
        <v>1840</v>
      </c>
      <c r="H1278" s="1" t="s">
        <v>1812</v>
      </c>
      <c r="I1278" s="10" t="str">
        <f>IF(H1278="T75",1,IF(H1278="T75",3,IF(H1278="T91",6,IF(H1278="T91",10,IF(H1278="T123",14,IF(H1278="T123",18,IF(H1278="T91",22,"")))))))</f>
        <v/>
      </c>
      <c r="J1278" s="1" t="s">
        <v>1808</v>
      </c>
      <c r="K1278" s="10">
        <v>2</v>
      </c>
      <c r="L1278" s="10">
        <v>1</v>
      </c>
      <c r="O1278" s="6"/>
      <c r="Q1278" s="42" t="s">
        <v>2962</v>
      </c>
      <c r="R1278" s="42"/>
      <c r="S1278" s="1"/>
    </row>
    <row r="1279" spans="1:19" ht="18.75" hidden="1" customHeight="1" x14ac:dyDescent="0.3">
      <c r="A1279" s="10">
        <v>1278</v>
      </c>
      <c r="B1279" s="10">
        <f>_xlfn.XLOOKUP(1,(VALUE(D1279)&gt;=VALUE(block!$C$3:$C$500))*(VALUE(D1279)&lt;VALUE(block!$C$3:$C$500)+VALUE(block!$D$3:$D$500)),block!$A$3:$A$500,"无匹配",0,1)</f>
        <v>34</v>
      </c>
      <c r="C1279" s="3" t="str">
        <f>B1279 &amp; "-" &amp; COUNTIF($B$2:B1279, B1279)</f>
        <v>34-34</v>
      </c>
      <c r="D1279" s="10">
        <v>11248</v>
      </c>
      <c r="E1279" s="1" t="s">
        <v>4243</v>
      </c>
      <c r="F1279" s="1" t="s">
        <v>4244</v>
      </c>
      <c r="G1279" s="1" t="s">
        <v>1840</v>
      </c>
      <c r="H1279" s="1" t="s">
        <v>1812</v>
      </c>
      <c r="I1279" s="10" t="str">
        <f>IF(H1279="T76",1,IF(H1279="T76",3,IF(H1279="T92",6,IF(H1279="T92",10,IF(H1279="T124",14,IF(H1279="T124",18,IF(H1279="T92",22,"")))))))</f>
        <v/>
      </c>
      <c r="J1279" s="1" t="s">
        <v>1808</v>
      </c>
      <c r="K1279" s="10">
        <v>2</v>
      </c>
      <c r="L1279" s="10">
        <v>1</v>
      </c>
      <c r="O1279" s="6"/>
      <c r="Q1279" s="42" t="s">
        <v>2962</v>
      </c>
      <c r="R1279" s="42"/>
      <c r="S1279" s="1"/>
    </row>
    <row r="1280" spans="1:19" ht="18.75" customHeight="1" x14ac:dyDescent="0.3">
      <c r="A1280" s="10">
        <v>1279</v>
      </c>
      <c r="B1280" s="10">
        <f>_xlfn.XLOOKUP(1,(VALUE(D1280)&gt;=VALUE(block!$C$3:$C$500))*(VALUE(D1280)&lt;VALUE(block!$C$3:$C$500)+VALUE(block!$D$3:$D$500)),block!$A$3:$A$500,"无匹配",0,1)</f>
        <v>35</v>
      </c>
      <c r="C1280" s="3" t="str">
        <f>B1280 &amp; "-" &amp; COUNTIF($B$2:B1280, B1280)</f>
        <v>35-1</v>
      </c>
      <c r="D1280" s="10">
        <v>11250</v>
      </c>
      <c r="E1280" s="1" t="s">
        <v>4245</v>
      </c>
      <c r="F1280" s="1" t="s">
        <v>4246</v>
      </c>
      <c r="G1280" s="1" t="s">
        <v>1840</v>
      </c>
      <c r="H1280" s="1" t="s">
        <v>1812</v>
      </c>
      <c r="I1280" s="10" t="str">
        <f>IF(H1280="T77",1,IF(H1280="T77",3,IF(H1280="T93",6,IF(H1280="T93",10,IF(H1280="T125",14,IF(H1280="T125",18,IF(H1280="T93",22,"")))))))</f>
        <v/>
      </c>
      <c r="J1280" s="1" t="s">
        <v>1808</v>
      </c>
      <c r="K1280" s="10">
        <v>2</v>
      </c>
      <c r="L1280" s="10">
        <v>1</v>
      </c>
      <c r="N1280" s="10">
        <v>4</v>
      </c>
      <c r="O1280" s="6"/>
      <c r="P1280" s="45" t="s">
        <v>2826</v>
      </c>
      <c r="Q1280" s="6">
        <v>14</v>
      </c>
      <c r="R1280" s="6"/>
      <c r="S1280" s="1" t="s">
        <v>4246</v>
      </c>
    </row>
    <row r="1281" spans="1:19" ht="18.75" customHeight="1" x14ac:dyDescent="0.3">
      <c r="A1281" s="10">
        <v>1280</v>
      </c>
      <c r="B1281" s="10">
        <f>_xlfn.XLOOKUP(1,(VALUE(D1281)&gt;=VALUE(block!$C$3:$C$500))*(VALUE(D1281)&lt;VALUE(block!$C$3:$C$500)+VALUE(block!$D$3:$D$500)),block!$A$3:$A$500,"无匹配",0,1)</f>
        <v>35</v>
      </c>
      <c r="C1281" s="3" t="str">
        <f>B1281 &amp; "-" &amp; COUNTIF($B$2:B1281, B1281)</f>
        <v>35-2</v>
      </c>
      <c r="D1281" s="10">
        <v>11252</v>
      </c>
      <c r="E1281" s="1" t="s">
        <v>4247</v>
      </c>
      <c r="F1281" s="1" t="s">
        <v>4248</v>
      </c>
      <c r="G1281" s="1" t="s">
        <v>1840</v>
      </c>
      <c r="H1281" s="1" t="s">
        <v>1812</v>
      </c>
      <c r="I1281" s="10" t="str">
        <f>IF(H1281="T78",1,IF(H1281="T78",3,IF(H1281="T94",6,IF(H1281="T94",10,IF(H1281="T126",14,IF(H1281="T126",18,IF(H1281="T94",22,"")))))))</f>
        <v/>
      </c>
      <c r="J1281" s="1" t="s">
        <v>1808</v>
      </c>
      <c r="K1281" s="10">
        <v>2</v>
      </c>
      <c r="L1281" s="10">
        <v>1</v>
      </c>
      <c r="N1281" s="10">
        <v>4</v>
      </c>
      <c r="O1281" s="6"/>
      <c r="P1281" s="45" t="s">
        <v>2826</v>
      </c>
      <c r="Q1281" s="6">
        <v>14</v>
      </c>
      <c r="R1281" s="6"/>
      <c r="S1281" s="1" t="s">
        <v>4248</v>
      </c>
    </row>
    <row r="1282" spans="1:19" ht="18.75" customHeight="1" x14ac:dyDescent="0.3">
      <c r="A1282" s="10">
        <v>1281</v>
      </c>
      <c r="B1282" s="10">
        <f>_xlfn.XLOOKUP(1,(VALUE(D1282)&gt;=VALUE(block!$C$3:$C$500))*(VALUE(D1282)&lt;VALUE(block!$C$3:$C$500)+VALUE(block!$D$3:$D$500)),block!$A$3:$A$500,"无匹配",0,1)</f>
        <v>35</v>
      </c>
      <c r="C1282" s="3" t="str">
        <f>B1282 &amp; "-" &amp; COUNTIF($B$2:B1282, B1282)</f>
        <v>35-3</v>
      </c>
      <c r="D1282" s="10">
        <v>11254</v>
      </c>
      <c r="E1282" s="1" t="s">
        <v>4249</v>
      </c>
      <c r="F1282" s="1" t="s">
        <v>4250</v>
      </c>
      <c r="G1282" s="1" t="s">
        <v>1840</v>
      </c>
      <c r="H1282" s="1" t="s">
        <v>1812</v>
      </c>
      <c r="I1282" s="10" t="str">
        <f>IF(H1282="T79",1,IF(H1282="T79",3,IF(H1282="T95",6,IF(H1282="T95",10,IF(H1282="T127",14,IF(H1282="T127",18,IF(H1282="T95",22,"")))))))</f>
        <v/>
      </c>
      <c r="J1282" s="1" t="s">
        <v>1808</v>
      </c>
      <c r="K1282" s="10">
        <v>2</v>
      </c>
      <c r="L1282" s="10">
        <v>1</v>
      </c>
      <c r="N1282" s="10">
        <v>4</v>
      </c>
      <c r="O1282" s="6"/>
      <c r="P1282" s="45" t="s">
        <v>2826</v>
      </c>
      <c r="Q1282" s="6">
        <v>14</v>
      </c>
      <c r="R1282" s="6"/>
      <c r="S1282" s="1" t="s">
        <v>4250</v>
      </c>
    </row>
    <row r="1283" spans="1:19" ht="18.75" customHeight="1" x14ac:dyDescent="0.3">
      <c r="A1283" s="10">
        <v>1282</v>
      </c>
      <c r="B1283" s="10">
        <f>_xlfn.XLOOKUP(1,(VALUE(D1283)&gt;=VALUE(block!$C$3:$C$500))*(VALUE(D1283)&lt;VALUE(block!$C$3:$C$500)+VALUE(block!$D$3:$D$500)),block!$A$3:$A$500,"无匹配",0,1)</f>
        <v>35</v>
      </c>
      <c r="C1283" s="3" t="str">
        <f>B1283 &amp; "-" &amp; COUNTIF($B$2:B1283, B1283)</f>
        <v>35-4</v>
      </c>
      <c r="D1283" s="10">
        <v>11256</v>
      </c>
      <c r="E1283" s="1" t="s">
        <v>4251</v>
      </c>
      <c r="F1283" s="1" t="s">
        <v>4252</v>
      </c>
      <c r="G1283" s="1" t="s">
        <v>1840</v>
      </c>
      <c r="H1283" s="1" t="s">
        <v>1812</v>
      </c>
      <c r="I1283" s="10">
        <f>IF(H1283="uint16",1,IF(H1283="int16",3,IF(H1283="uint32",6,IF(H1283="int32",10,IF(H1283="uint64",14,IF(H1283="int64",18,IF(H1283="float32",22,"")))))))</f>
        <v>22</v>
      </c>
      <c r="J1283" s="1" t="s">
        <v>1808</v>
      </c>
      <c r="K1283" s="10">
        <v>2</v>
      </c>
      <c r="L1283" s="10">
        <v>1</v>
      </c>
      <c r="N1283" s="10">
        <v>4</v>
      </c>
      <c r="O1283" s="6"/>
      <c r="P1283" s="45" t="s">
        <v>2826</v>
      </c>
      <c r="Q1283" s="6">
        <v>14</v>
      </c>
      <c r="R1283" s="6"/>
      <c r="S1283" s="1" t="s">
        <v>4252</v>
      </c>
    </row>
    <row r="1284" spans="1:19" ht="18.75" hidden="1" customHeight="1" x14ac:dyDescent="0.3">
      <c r="A1284" s="10">
        <v>1283</v>
      </c>
      <c r="B1284" s="10">
        <f>_xlfn.XLOOKUP(1,(VALUE(D1284)&gt;=VALUE(block!$C$3:$C$500))*(VALUE(D1284)&lt;VALUE(block!$C$3:$C$500)+VALUE(block!$D$3:$D$500)),block!$A$3:$A$500,"无匹配",0,1)</f>
        <v>35</v>
      </c>
      <c r="C1284" s="3" t="str">
        <f>B1284 &amp; "-" &amp; COUNTIF($B$2:B1284, B1284)</f>
        <v>35-5</v>
      </c>
      <c r="D1284" s="10">
        <v>11258</v>
      </c>
      <c r="E1284" s="1" t="s">
        <v>4253</v>
      </c>
      <c r="F1284" s="1" t="s">
        <v>4254</v>
      </c>
      <c r="G1284" s="1" t="s">
        <v>1840</v>
      </c>
      <c r="H1284" s="1" t="s">
        <v>1812</v>
      </c>
      <c r="I1284" s="10" t="str">
        <f>IF(H1284="T17",1,IF(H1284="T17",3,IF(H1284="T33",6,IF(H1284="T33",10,IF(H1284="T65",14,IF(H1284="T65",18,IF(H1284="T33",22,"")))))))</f>
        <v/>
      </c>
      <c r="J1284" s="1" t="s">
        <v>1808</v>
      </c>
      <c r="K1284" s="10">
        <v>2</v>
      </c>
      <c r="L1284" s="10">
        <v>1</v>
      </c>
      <c r="O1284" s="6"/>
      <c r="Q1284" s="42" t="s">
        <v>2962</v>
      </c>
      <c r="R1284" s="42"/>
      <c r="S1284" s="1"/>
    </row>
    <row r="1285" spans="1:19" ht="18.75" hidden="1" customHeight="1" x14ac:dyDescent="0.3">
      <c r="A1285" s="10">
        <v>1284</v>
      </c>
      <c r="B1285" s="10">
        <f>_xlfn.XLOOKUP(1,(VALUE(D1285)&gt;=VALUE(block!$C$3:$C$500))*(VALUE(D1285)&lt;VALUE(block!$C$3:$C$500)+VALUE(block!$D$3:$D$500)),block!$A$3:$A$500,"无匹配",0,1)</f>
        <v>35</v>
      </c>
      <c r="C1285" s="3" t="str">
        <f>B1285 &amp; "-" &amp; COUNTIF($B$2:B1285, B1285)</f>
        <v>35-6</v>
      </c>
      <c r="D1285" s="10">
        <v>11260</v>
      </c>
      <c r="E1285" s="1" t="s">
        <v>4255</v>
      </c>
      <c r="F1285" s="1" t="s">
        <v>4256</v>
      </c>
      <c r="G1285" s="1" t="s">
        <v>1840</v>
      </c>
      <c r="H1285" s="1" t="s">
        <v>1812</v>
      </c>
      <c r="I1285" s="10" t="str">
        <f>IF(H1285="T18",1,IF(H1285="T18",3,IF(H1285="T34",6,IF(H1285="T34",10,IF(H1285="T66",14,IF(H1285="T66",18,IF(H1285="T34",22,"")))))))</f>
        <v/>
      </c>
      <c r="J1285" s="1" t="s">
        <v>1808</v>
      </c>
      <c r="K1285" s="10">
        <v>2</v>
      </c>
      <c r="L1285" s="10">
        <v>1</v>
      </c>
      <c r="O1285" s="6"/>
      <c r="Q1285" s="42" t="s">
        <v>2962</v>
      </c>
      <c r="R1285" s="42"/>
      <c r="S1285" s="1"/>
    </row>
    <row r="1286" spans="1:19" ht="18.75" hidden="1" customHeight="1" x14ac:dyDescent="0.3">
      <c r="A1286" s="10">
        <v>1285</v>
      </c>
      <c r="B1286" s="10">
        <f>_xlfn.XLOOKUP(1,(VALUE(D1286)&gt;=VALUE(block!$C$3:$C$500))*(VALUE(D1286)&lt;VALUE(block!$C$3:$C$500)+VALUE(block!$D$3:$D$500)),block!$A$3:$A$500,"无匹配",0,1)</f>
        <v>35</v>
      </c>
      <c r="C1286" s="3" t="str">
        <f>B1286 &amp; "-" &amp; COUNTIF($B$2:B1286, B1286)</f>
        <v>35-7</v>
      </c>
      <c r="D1286" s="10">
        <v>11262</v>
      </c>
      <c r="E1286" s="1" t="s">
        <v>4257</v>
      </c>
      <c r="F1286" s="1" t="s">
        <v>4258</v>
      </c>
      <c r="G1286" s="1" t="s">
        <v>1840</v>
      </c>
      <c r="H1286" s="1" t="s">
        <v>1812</v>
      </c>
      <c r="I1286" s="10" t="str">
        <f>IF(H1286="T19",1,IF(H1286="T19",3,IF(H1286="T35",6,IF(H1286="T35",10,IF(H1286="T67",14,IF(H1286="T67",18,IF(H1286="T35",22,"")))))))</f>
        <v/>
      </c>
      <c r="J1286" s="1" t="s">
        <v>1808</v>
      </c>
      <c r="K1286" s="10">
        <v>2</v>
      </c>
      <c r="L1286" s="10">
        <v>1</v>
      </c>
      <c r="O1286" s="6"/>
      <c r="Q1286" s="42" t="s">
        <v>2962</v>
      </c>
      <c r="R1286" s="42"/>
      <c r="S1286" s="1"/>
    </row>
    <row r="1287" spans="1:19" ht="18.75" hidden="1" customHeight="1" x14ac:dyDescent="0.3">
      <c r="A1287" s="10">
        <v>1286</v>
      </c>
      <c r="B1287" s="10">
        <f>_xlfn.XLOOKUP(1,(VALUE(D1287)&gt;=VALUE(block!$C$3:$C$500))*(VALUE(D1287)&lt;VALUE(block!$C$3:$C$500)+VALUE(block!$D$3:$D$500)),block!$A$3:$A$500,"无匹配",0,1)</f>
        <v>35</v>
      </c>
      <c r="C1287" s="3" t="str">
        <f>B1287 &amp; "-" &amp; COUNTIF($B$2:B1287, B1287)</f>
        <v>35-8</v>
      </c>
      <c r="D1287" s="10">
        <v>11264</v>
      </c>
      <c r="E1287" s="1" t="s">
        <v>4259</v>
      </c>
      <c r="F1287" s="1" t="s">
        <v>4260</v>
      </c>
      <c r="G1287" s="1" t="s">
        <v>1840</v>
      </c>
      <c r="H1287" s="1" t="s">
        <v>1812</v>
      </c>
      <c r="I1287" s="10" t="str">
        <f>IF(H1287="T20",1,IF(H1287="T20",3,IF(H1287="T36",6,IF(H1287="T36",10,IF(H1287="T68",14,IF(H1287="T68",18,IF(H1287="T36",22,"")))))))</f>
        <v/>
      </c>
      <c r="J1287" s="1" t="s">
        <v>1808</v>
      </c>
      <c r="K1287" s="10">
        <v>2</v>
      </c>
      <c r="L1287" s="10">
        <v>1</v>
      </c>
      <c r="O1287" s="6"/>
      <c r="Q1287" s="42" t="s">
        <v>2962</v>
      </c>
      <c r="R1287" s="42"/>
      <c r="S1287" s="1"/>
    </row>
    <row r="1288" spans="1:19" ht="18.75" hidden="1" customHeight="1" x14ac:dyDescent="0.3">
      <c r="A1288" s="10">
        <v>1287</v>
      </c>
      <c r="B1288" s="10">
        <f>_xlfn.XLOOKUP(1,(VALUE(D1288)&gt;=VALUE(block!$C$3:$C$500))*(VALUE(D1288)&lt;VALUE(block!$C$3:$C$500)+VALUE(block!$D$3:$D$500)),block!$A$3:$A$500,"无匹配",0,1)</f>
        <v>35</v>
      </c>
      <c r="C1288" s="3" t="str">
        <f>B1288 &amp; "-" &amp; COUNTIF($B$2:B1288, B1288)</f>
        <v>35-9</v>
      </c>
      <c r="D1288" s="10">
        <v>11266</v>
      </c>
      <c r="E1288" s="1" t="s">
        <v>4261</v>
      </c>
      <c r="F1288" s="1" t="s">
        <v>4262</v>
      </c>
      <c r="G1288" s="1" t="s">
        <v>1840</v>
      </c>
      <c r="H1288" s="1" t="s">
        <v>1812</v>
      </c>
      <c r="I1288" s="10" t="str">
        <f>IF(H1288="T21",1,IF(H1288="T21",3,IF(H1288="T37",6,IF(H1288="T37",10,IF(H1288="T69",14,IF(H1288="T69",18,IF(H1288="T37",22,"")))))))</f>
        <v/>
      </c>
      <c r="J1288" s="1" t="s">
        <v>1808</v>
      </c>
      <c r="K1288" s="10">
        <v>2</v>
      </c>
      <c r="L1288" s="10">
        <v>1</v>
      </c>
      <c r="O1288" s="6"/>
      <c r="Q1288" s="42" t="s">
        <v>2962</v>
      </c>
      <c r="R1288" s="42"/>
      <c r="S1288" s="1"/>
    </row>
    <row r="1289" spans="1:19" ht="18.75" hidden="1" customHeight="1" x14ac:dyDescent="0.3">
      <c r="A1289" s="10">
        <v>1288</v>
      </c>
      <c r="B1289" s="10">
        <f>_xlfn.XLOOKUP(1,(VALUE(D1289)&gt;=VALUE(block!$C$3:$C$500))*(VALUE(D1289)&lt;VALUE(block!$C$3:$C$500)+VALUE(block!$D$3:$D$500)),block!$A$3:$A$500,"无匹配",0,1)</f>
        <v>35</v>
      </c>
      <c r="C1289" s="3" t="str">
        <f>B1289 &amp; "-" &amp; COUNTIF($B$2:B1289, B1289)</f>
        <v>35-10</v>
      </c>
      <c r="D1289" s="10">
        <v>11268</v>
      </c>
      <c r="E1289" s="1" t="s">
        <v>4263</v>
      </c>
      <c r="F1289" s="1" t="s">
        <v>4264</v>
      </c>
      <c r="G1289" s="1" t="s">
        <v>1840</v>
      </c>
      <c r="H1289" s="1" t="s">
        <v>1812</v>
      </c>
      <c r="I1289" s="10" t="str">
        <f>IF(H1289="T22",1,IF(H1289="T22",3,IF(H1289="T38",6,IF(H1289="T38",10,IF(H1289="T70",14,IF(H1289="T70",18,IF(H1289="T38",22,"")))))))</f>
        <v/>
      </c>
      <c r="J1289" s="1" t="s">
        <v>1808</v>
      </c>
      <c r="K1289" s="10">
        <v>2</v>
      </c>
      <c r="L1289" s="10">
        <v>1</v>
      </c>
      <c r="O1289" s="6"/>
      <c r="Q1289" s="42" t="s">
        <v>2962</v>
      </c>
      <c r="R1289" s="42"/>
      <c r="S1289" s="1"/>
    </row>
    <row r="1290" spans="1:19" ht="18.75" hidden="1" customHeight="1" x14ac:dyDescent="0.3">
      <c r="A1290" s="10">
        <v>1289</v>
      </c>
      <c r="B1290" s="10">
        <f>_xlfn.XLOOKUP(1,(VALUE(D1290)&gt;=VALUE(block!$C$3:$C$500))*(VALUE(D1290)&lt;VALUE(block!$C$3:$C$500)+VALUE(block!$D$3:$D$500)),block!$A$3:$A$500,"无匹配",0,1)</f>
        <v>35</v>
      </c>
      <c r="C1290" s="3" t="str">
        <f>B1290 &amp; "-" &amp; COUNTIF($B$2:B1290, B1290)</f>
        <v>35-11</v>
      </c>
      <c r="D1290" s="10">
        <v>11270</v>
      </c>
      <c r="E1290" s="1" t="s">
        <v>4265</v>
      </c>
      <c r="F1290" s="1" t="s">
        <v>4266</v>
      </c>
      <c r="G1290" s="1" t="s">
        <v>1840</v>
      </c>
      <c r="H1290" s="1" t="s">
        <v>1812</v>
      </c>
      <c r="I1290" s="10" t="str">
        <f>IF(H1290="T23",1,IF(H1290="T23",3,IF(H1290="T39",6,IF(H1290="T39",10,IF(H1290="T71",14,IF(H1290="T71",18,IF(H1290="T39",22,"")))))))</f>
        <v/>
      </c>
      <c r="J1290" s="1" t="s">
        <v>1808</v>
      </c>
      <c r="K1290" s="10">
        <v>2</v>
      </c>
      <c r="L1290" s="10">
        <v>1</v>
      </c>
      <c r="O1290" s="6"/>
      <c r="Q1290" s="42" t="s">
        <v>2962</v>
      </c>
      <c r="R1290" s="42"/>
      <c r="S1290" s="1"/>
    </row>
    <row r="1291" spans="1:19" ht="18.75" hidden="1" customHeight="1" x14ac:dyDescent="0.3">
      <c r="A1291" s="10">
        <v>1290</v>
      </c>
      <c r="B1291" s="10">
        <f>_xlfn.XLOOKUP(1,(VALUE(D1291)&gt;=VALUE(block!$C$3:$C$500))*(VALUE(D1291)&lt;VALUE(block!$C$3:$C$500)+VALUE(block!$D$3:$D$500)),block!$A$3:$A$500,"无匹配",0,1)</f>
        <v>35</v>
      </c>
      <c r="C1291" s="3" t="str">
        <f>B1291 &amp; "-" &amp; COUNTIF($B$2:B1291, B1291)</f>
        <v>35-12</v>
      </c>
      <c r="D1291" s="10">
        <v>11272</v>
      </c>
      <c r="E1291" s="1" t="s">
        <v>4267</v>
      </c>
      <c r="F1291" s="1" t="s">
        <v>4268</v>
      </c>
      <c r="G1291" s="1" t="s">
        <v>1840</v>
      </c>
      <c r="H1291" s="1" t="s">
        <v>1812</v>
      </c>
      <c r="I1291" s="10" t="str">
        <f>IF(H1291="T24",1,IF(H1291="T24",3,IF(H1291="T40",6,IF(H1291="T40",10,IF(H1291="T72",14,IF(H1291="T72",18,IF(H1291="T40",22,"")))))))</f>
        <v/>
      </c>
      <c r="J1291" s="1" t="s">
        <v>1808</v>
      </c>
      <c r="K1291" s="10">
        <v>2</v>
      </c>
      <c r="L1291" s="10">
        <v>1</v>
      </c>
      <c r="O1291" s="6"/>
      <c r="Q1291" s="42" t="s">
        <v>2962</v>
      </c>
      <c r="R1291" s="42"/>
      <c r="S1291" s="1"/>
    </row>
    <row r="1292" spans="1:19" ht="18.75" hidden="1" customHeight="1" x14ac:dyDescent="0.3">
      <c r="A1292" s="10">
        <v>1291</v>
      </c>
      <c r="B1292" s="10">
        <f>_xlfn.XLOOKUP(1,(VALUE(D1292)&gt;=VALUE(block!$C$3:$C$500))*(VALUE(D1292)&lt;VALUE(block!$C$3:$C$500)+VALUE(block!$D$3:$D$500)),block!$A$3:$A$500,"无匹配",0,1)</f>
        <v>35</v>
      </c>
      <c r="C1292" s="3" t="str">
        <f>B1292 &amp; "-" &amp; COUNTIF($B$2:B1292, B1292)</f>
        <v>35-13</v>
      </c>
      <c r="D1292" s="10">
        <v>11274</v>
      </c>
      <c r="E1292" s="1" t="s">
        <v>4269</v>
      </c>
      <c r="F1292" s="1" t="s">
        <v>4270</v>
      </c>
      <c r="G1292" s="1" t="s">
        <v>1840</v>
      </c>
      <c r="H1292" s="1" t="s">
        <v>1812</v>
      </c>
      <c r="I1292" s="10" t="str">
        <f>IF(H1292="T25",1,IF(H1292="T25",3,IF(H1292="T41",6,IF(H1292="T41",10,IF(H1292="T73",14,IF(H1292="T73",18,IF(H1292="T41",22,"")))))))</f>
        <v/>
      </c>
      <c r="J1292" s="1" t="s">
        <v>1808</v>
      </c>
      <c r="K1292" s="10">
        <v>2</v>
      </c>
      <c r="L1292" s="10">
        <v>1</v>
      </c>
      <c r="O1292" s="6"/>
      <c r="Q1292" s="42" t="s">
        <v>2962</v>
      </c>
      <c r="R1292" s="42"/>
      <c r="S1292" s="1"/>
    </row>
    <row r="1293" spans="1:19" ht="18.75" hidden="1" customHeight="1" x14ac:dyDescent="0.3">
      <c r="A1293" s="10">
        <v>1292</v>
      </c>
      <c r="B1293" s="10">
        <f>_xlfn.XLOOKUP(1,(VALUE(D1293)&gt;=VALUE(block!$C$3:$C$500))*(VALUE(D1293)&lt;VALUE(block!$C$3:$C$500)+VALUE(block!$D$3:$D$500)),block!$A$3:$A$500,"无匹配",0,1)</f>
        <v>35</v>
      </c>
      <c r="C1293" s="3" t="str">
        <f>B1293 &amp; "-" &amp; COUNTIF($B$2:B1293, B1293)</f>
        <v>35-14</v>
      </c>
      <c r="D1293" s="10">
        <v>11276</v>
      </c>
      <c r="E1293" s="1" t="s">
        <v>4271</v>
      </c>
      <c r="F1293" s="1" t="s">
        <v>4272</v>
      </c>
      <c r="G1293" s="1" t="s">
        <v>1840</v>
      </c>
      <c r="H1293" s="1" t="s">
        <v>1812</v>
      </c>
      <c r="I1293" s="10" t="str">
        <f>IF(H1293="T26",1,IF(H1293="T26",3,IF(H1293="T42",6,IF(H1293="T42",10,IF(H1293="T74",14,IF(H1293="T74",18,IF(H1293="T42",22,"")))))))</f>
        <v/>
      </c>
      <c r="J1293" s="1" t="s">
        <v>1808</v>
      </c>
      <c r="K1293" s="10">
        <v>2</v>
      </c>
      <c r="L1293" s="10">
        <v>1</v>
      </c>
      <c r="O1293" s="6"/>
      <c r="Q1293" s="42" t="s">
        <v>2962</v>
      </c>
      <c r="R1293" s="42"/>
      <c r="S1293" s="1"/>
    </row>
    <row r="1294" spans="1:19" ht="18.75" hidden="1" customHeight="1" x14ac:dyDescent="0.3">
      <c r="A1294" s="10">
        <v>1293</v>
      </c>
      <c r="B1294" s="10">
        <f>_xlfn.XLOOKUP(1,(VALUE(D1294)&gt;=VALUE(block!$C$3:$C$500))*(VALUE(D1294)&lt;VALUE(block!$C$3:$C$500)+VALUE(block!$D$3:$D$500)),block!$A$3:$A$500,"无匹配",0,1)</f>
        <v>35</v>
      </c>
      <c r="C1294" s="3" t="str">
        <f>B1294 &amp; "-" &amp; COUNTIF($B$2:B1294, B1294)</f>
        <v>35-15</v>
      </c>
      <c r="D1294" s="10">
        <v>11278</v>
      </c>
      <c r="E1294" s="1" t="s">
        <v>4273</v>
      </c>
      <c r="F1294" s="1" t="s">
        <v>4274</v>
      </c>
      <c r="G1294" s="1" t="s">
        <v>1840</v>
      </c>
      <c r="H1294" s="1" t="s">
        <v>1812</v>
      </c>
      <c r="I1294" s="10" t="str">
        <f>IF(H1294="T27",1,IF(H1294="T27",3,IF(H1294="T43",6,IF(H1294="T43",10,IF(H1294="T75",14,IF(H1294="T75",18,IF(H1294="T43",22,"")))))))</f>
        <v/>
      </c>
      <c r="J1294" s="1" t="s">
        <v>1808</v>
      </c>
      <c r="K1294" s="10">
        <v>2</v>
      </c>
      <c r="L1294" s="10">
        <v>1</v>
      </c>
      <c r="O1294" s="6"/>
      <c r="Q1294" s="42" t="s">
        <v>2962</v>
      </c>
      <c r="R1294" s="42"/>
      <c r="S1294" s="1"/>
    </row>
    <row r="1295" spans="1:19" ht="18.75" hidden="1" customHeight="1" x14ac:dyDescent="0.3">
      <c r="A1295" s="10">
        <v>1294</v>
      </c>
      <c r="B1295" s="10">
        <f>_xlfn.XLOOKUP(1,(VALUE(D1295)&gt;=VALUE(block!$C$3:$C$500))*(VALUE(D1295)&lt;VALUE(block!$C$3:$C$500)+VALUE(block!$D$3:$D$500)),block!$A$3:$A$500,"无匹配",0,1)</f>
        <v>35</v>
      </c>
      <c r="C1295" s="3" t="str">
        <f>B1295 &amp; "-" &amp; COUNTIF($B$2:B1295, B1295)</f>
        <v>35-16</v>
      </c>
      <c r="D1295" s="10">
        <v>11280</v>
      </c>
      <c r="E1295" s="1" t="s">
        <v>4275</v>
      </c>
      <c r="F1295" s="1" t="s">
        <v>4276</v>
      </c>
      <c r="G1295" s="1" t="s">
        <v>1840</v>
      </c>
      <c r="H1295" s="1" t="s">
        <v>1812</v>
      </c>
      <c r="I1295" s="10" t="str">
        <f>IF(H1295="T28",1,IF(H1295="T28",3,IF(H1295="T44",6,IF(H1295="T44",10,IF(H1295="T76",14,IF(H1295="T76",18,IF(H1295="T44",22,"")))))))</f>
        <v/>
      </c>
      <c r="J1295" s="1" t="s">
        <v>1808</v>
      </c>
      <c r="K1295" s="10">
        <v>2</v>
      </c>
      <c r="L1295" s="10">
        <v>1</v>
      </c>
      <c r="O1295" s="6"/>
      <c r="Q1295" s="42" t="s">
        <v>2962</v>
      </c>
      <c r="R1295" s="42"/>
      <c r="S1295" s="1"/>
    </row>
    <row r="1296" spans="1:19" ht="18.75" hidden="1" customHeight="1" x14ac:dyDescent="0.3">
      <c r="A1296" s="10">
        <v>1295</v>
      </c>
      <c r="B1296" s="10">
        <f>_xlfn.XLOOKUP(1,(VALUE(D1296)&gt;=VALUE(block!$C$3:$C$500))*(VALUE(D1296)&lt;VALUE(block!$C$3:$C$500)+VALUE(block!$D$3:$D$500)),block!$A$3:$A$500,"无匹配",0,1)</f>
        <v>35</v>
      </c>
      <c r="C1296" s="3" t="str">
        <f>B1296 &amp; "-" &amp; COUNTIF($B$2:B1296, B1296)</f>
        <v>35-17</v>
      </c>
      <c r="D1296" s="10">
        <v>11282</v>
      </c>
      <c r="E1296" s="1" t="s">
        <v>4277</v>
      </c>
      <c r="F1296" s="1" t="s">
        <v>4278</v>
      </c>
      <c r="G1296" s="1" t="s">
        <v>1840</v>
      </c>
      <c r="H1296" s="1" t="s">
        <v>1812</v>
      </c>
      <c r="I1296" s="10" t="str">
        <f>IF(H1296="T29",1,IF(H1296="T29",3,IF(H1296="T45",6,IF(H1296="T45",10,IF(H1296="T77",14,IF(H1296="T77",18,IF(H1296="T45",22,"")))))))</f>
        <v/>
      </c>
      <c r="J1296" s="1" t="s">
        <v>1808</v>
      </c>
      <c r="K1296" s="10">
        <v>2</v>
      </c>
      <c r="L1296" s="10">
        <v>1</v>
      </c>
      <c r="O1296" s="6"/>
      <c r="Q1296" s="42" t="s">
        <v>2962</v>
      </c>
      <c r="R1296" s="42"/>
      <c r="S1296" s="1"/>
    </row>
    <row r="1297" spans="1:19" ht="18.75" hidden="1" customHeight="1" x14ac:dyDescent="0.3">
      <c r="A1297" s="10">
        <v>1296</v>
      </c>
      <c r="B1297" s="10">
        <f>_xlfn.XLOOKUP(1,(VALUE(D1297)&gt;=VALUE(block!$C$3:$C$500))*(VALUE(D1297)&lt;VALUE(block!$C$3:$C$500)+VALUE(block!$D$3:$D$500)),block!$A$3:$A$500,"无匹配",0,1)</f>
        <v>35</v>
      </c>
      <c r="C1297" s="3" t="str">
        <f>B1297 &amp; "-" &amp; COUNTIF($B$2:B1297, B1297)</f>
        <v>35-18</v>
      </c>
      <c r="D1297" s="10">
        <v>11284</v>
      </c>
      <c r="E1297" s="1" t="s">
        <v>4279</v>
      </c>
      <c r="F1297" s="1" t="s">
        <v>4280</v>
      </c>
      <c r="G1297" s="1" t="s">
        <v>1840</v>
      </c>
      <c r="H1297" s="1" t="s">
        <v>1812</v>
      </c>
      <c r="I1297" s="10" t="str">
        <f>IF(H1297="T30",1,IF(H1297="T30",3,IF(H1297="T46",6,IF(H1297="T46",10,IF(H1297="T78",14,IF(H1297="T78",18,IF(H1297="T46",22,"")))))))</f>
        <v/>
      </c>
      <c r="J1297" s="1" t="s">
        <v>1808</v>
      </c>
      <c r="K1297" s="10">
        <v>2</v>
      </c>
      <c r="L1297" s="10">
        <v>1</v>
      </c>
      <c r="O1297" s="6"/>
      <c r="Q1297" s="42" t="s">
        <v>2962</v>
      </c>
      <c r="R1297" s="42"/>
      <c r="S1297" s="1"/>
    </row>
    <row r="1298" spans="1:19" ht="18.75" hidden="1" customHeight="1" x14ac:dyDescent="0.3">
      <c r="A1298" s="10">
        <v>1297</v>
      </c>
      <c r="B1298" s="10">
        <f>_xlfn.XLOOKUP(1,(VALUE(D1298)&gt;=VALUE(block!$C$3:$C$500))*(VALUE(D1298)&lt;VALUE(block!$C$3:$C$500)+VALUE(block!$D$3:$D$500)),block!$A$3:$A$500,"无匹配",0,1)</f>
        <v>35</v>
      </c>
      <c r="C1298" s="3" t="str">
        <f>B1298 &amp; "-" &amp; COUNTIF($B$2:B1298, B1298)</f>
        <v>35-19</v>
      </c>
      <c r="D1298" s="10">
        <v>11286</v>
      </c>
      <c r="E1298" s="1" t="s">
        <v>4281</v>
      </c>
      <c r="F1298" s="1" t="s">
        <v>4282</v>
      </c>
      <c r="G1298" s="1" t="s">
        <v>1840</v>
      </c>
      <c r="H1298" s="1" t="s">
        <v>1812</v>
      </c>
      <c r="I1298" s="10" t="str">
        <f>IF(H1298="T31",1,IF(H1298="T31",3,IF(H1298="T47",6,IF(H1298="T47",10,IF(H1298="T79",14,IF(H1298="T79",18,IF(H1298="T47",22,"")))))))</f>
        <v/>
      </c>
      <c r="J1298" s="1" t="s">
        <v>1808</v>
      </c>
      <c r="K1298" s="10">
        <v>2</v>
      </c>
      <c r="L1298" s="10">
        <v>1</v>
      </c>
      <c r="O1298" s="6"/>
      <c r="Q1298" s="42" t="s">
        <v>2962</v>
      </c>
      <c r="R1298" s="42"/>
      <c r="S1298" s="1"/>
    </row>
    <row r="1299" spans="1:19" ht="18.75" hidden="1" customHeight="1" x14ac:dyDescent="0.3">
      <c r="A1299" s="10">
        <v>1298</v>
      </c>
      <c r="B1299" s="10">
        <f>_xlfn.XLOOKUP(1,(VALUE(D1299)&gt;=VALUE(block!$C$3:$C$500))*(VALUE(D1299)&lt;VALUE(block!$C$3:$C$500)+VALUE(block!$D$3:$D$500)),block!$A$3:$A$500,"无匹配",0,1)</f>
        <v>35</v>
      </c>
      <c r="C1299" s="3" t="str">
        <f>B1299 &amp; "-" &amp; COUNTIF($B$2:B1299, B1299)</f>
        <v>35-20</v>
      </c>
      <c r="D1299" s="10">
        <v>11288</v>
      </c>
      <c r="E1299" s="1" t="s">
        <v>4283</v>
      </c>
      <c r="F1299" s="1" t="s">
        <v>4284</v>
      </c>
      <c r="G1299" s="1" t="s">
        <v>1840</v>
      </c>
      <c r="H1299" s="1" t="s">
        <v>1812</v>
      </c>
      <c r="I1299" s="10" t="str">
        <f>IF(H1299="T32",1,IF(H1299="T32",3,IF(H1299="T48",6,IF(H1299="T48",10,IF(H1299="T80",14,IF(H1299="T80",18,IF(H1299="T48",22,"")))))))</f>
        <v/>
      </c>
      <c r="J1299" s="1" t="s">
        <v>1808</v>
      </c>
      <c r="K1299" s="10">
        <v>2</v>
      </c>
      <c r="L1299" s="10">
        <v>1</v>
      </c>
      <c r="O1299" s="6"/>
      <c r="Q1299" s="42" t="s">
        <v>2962</v>
      </c>
      <c r="R1299" s="42"/>
      <c r="S1299" s="1"/>
    </row>
    <row r="1300" spans="1:19" ht="18.75" hidden="1" customHeight="1" x14ac:dyDescent="0.3">
      <c r="A1300" s="10">
        <v>1299</v>
      </c>
      <c r="B1300" s="10">
        <f>_xlfn.XLOOKUP(1,(VALUE(D1300)&gt;=VALUE(block!$C$3:$C$500))*(VALUE(D1300)&lt;VALUE(block!$C$3:$C$500)+VALUE(block!$D$3:$D$500)),block!$A$3:$A$500,"无匹配",0,1)</f>
        <v>35</v>
      </c>
      <c r="C1300" s="3" t="str">
        <f>B1300 &amp; "-" &amp; COUNTIF($B$2:B1300, B1300)</f>
        <v>35-21</v>
      </c>
      <c r="D1300" s="10">
        <v>11290</v>
      </c>
      <c r="E1300" s="1" t="s">
        <v>4285</v>
      </c>
      <c r="F1300" s="1" t="s">
        <v>4286</v>
      </c>
      <c r="G1300" s="1" t="s">
        <v>1840</v>
      </c>
      <c r="H1300" s="1" t="s">
        <v>1812</v>
      </c>
      <c r="I1300" s="10" t="str">
        <f>IF(H1300="T33",1,IF(H1300="T33",3,IF(H1300="T49",6,IF(H1300="T49",10,IF(H1300="T81",14,IF(H1300="T81",18,IF(H1300="T49",22,"")))))))</f>
        <v/>
      </c>
      <c r="J1300" s="1" t="s">
        <v>1808</v>
      </c>
      <c r="K1300" s="10">
        <v>2</v>
      </c>
      <c r="L1300" s="10">
        <v>1</v>
      </c>
      <c r="O1300" s="6"/>
      <c r="Q1300" s="42" t="s">
        <v>2962</v>
      </c>
      <c r="R1300" s="42"/>
      <c r="S1300" s="1"/>
    </row>
    <row r="1301" spans="1:19" ht="18.75" hidden="1" customHeight="1" x14ac:dyDescent="0.3">
      <c r="A1301" s="10">
        <v>1300</v>
      </c>
      <c r="B1301" s="10">
        <f>_xlfn.XLOOKUP(1,(VALUE(D1301)&gt;=VALUE(block!$C$3:$C$500))*(VALUE(D1301)&lt;VALUE(block!$C$3:$C$500)+VALUE(block!$D$3:$D$500)),block!$A$3:$A$500,"无匹配",0,1)</f>
        <v>35</v>
      </c>
      <c r="C1301" s="3" t="str">
        <f>B1301 &amp; "-" &amp; COUNTIF($B$2:B1301, B1301)</f>
        <v>35-22</v>
      </c>
      <c r="D1301" s="10">
        <v>11292</v>
      </c>
      <c r="E1301" s="1" t="s">
        <v>4287</v>
      </c>
      <c r="F1301" s="1" t="s">
        <v>4288</v>
      </c>
      <c r="G1301" s="1" t="s">
        <v>1840</v>
      </c>
      <c r="H1301" s="1" t="s">
        <v>1812</v>
      </c>
      <c r="I1301" s="10" t="str">
        <f>IF(H1301="T34",1,IF(H1301="T34",3,IF(H1301="T50",6,IF(H1301="T50",10,IF(H1301="T82",14,IF(H1301="T82",18,IF(H1301="T50",22,"")))))))</f>
        <v/>
      </c>
      <c r="J1301" s="1" t="s">
        <v>1808</v>
      </c>
      <c r="K1301" s="10">
        <v>2</v>
      </c>
      <c r="L1301" s="10">
        <v>1</v>
      </c>
      <c r="O1301" s="6"/>
      <c r="Q1301" s="42" t="s">
        <v>2962</v>
      </c>
      <c r="R1301" s="42"/>
      <c r="S1301" s="1"/>
    </row>
    <row r="1302" spans="1:19" ht="18.75" hidden="1" customHeight="1" x14ac:dyDescent="0.3">
      <c r="A1302" s="10">
        <v>1301</v>
      </c>
      <c r="B1302" s="10">
        <f>_xlfn.XLOOKUP(1,(VALUE(D1302)&gt;=VALUE(block!$C$3:$C$500))*(VALUE(D1302)&lt;VALUE(block!$C$3:$C$500)+VALUE(block!$D$3:$D$500)),block!$A$3:$A$500,"无匹配",0,1)</f>
        <v>35</v>
      </c>
      <c r="C1302" s="3" t="str">
        <f>B1302 &amp; "-" &amp; COUNTIF($B$2:B1302, B1302)</f>
        <v>35-23</v>
      </c>
      <c r="D1302" s="10">
        <v>11294</v>
      </c>
      <c r="E1302" s="1" t="s">
        <v>4289</v>
      </c>
      <c r="F1302" s="1" t="s">
        <v>4290</v>
      </c>
      <c r="G1302" s="1" t="s">
        <v>1840</v>
      </c>
      <c r="H1302" s="1" t="s">
        <v>1812</v>
      </c>
      <c r="I1302" s="10" t="str">
        <f>IF(H1302="T35",1,IF(H1302="T35",3,IF(H1302="T51",6,IF(H1302="T51",10,IF(H1302="T83",14,IF(H1302="T83",18,IF(H1302="T51",22,"")))))))</f>
        <v/>
      </c>
      <c r="J1302" s="1" t="s">
        <v>1808</v>
      </c>
      <c r="K1302" s="10">
        <v>2</v>
      </c>
      <c r="L1302" s="10">
        <v>1</v>
      </c>
      <c r="O1302" s="6"/>
      <c r="Q1302" s="42" t="s">
        <v>2962</v>
      </c>
      <c r="R1302" s="42"/>
      <c r="S1302" s="1"/>
    </row>
    <row r="1303" spans="1:19" ht="18.75" hidden="1" customHeight="1" x14ac:dyDescent="0.3">
      <c r="A1303" s="10">
        <v>1302</v>
      </c>
      <c r="B1303" s="10">
        <f>_xlfn.XLOOKUP(1,(VALUE(D1303)&gt;=VALUE(block!$C$3:$C$500))*(VALUE(D1303)&lt;VALUE(block!$C$3:$C$500)+VALUE(block!$D$3:$D$500)),block!$A$3:$A$500,"无匹配",0,1)</f>
        <v>35</v>
      </c>
      <c r="C1303" s="3" t="str">
        <f>B1303 &amp; "-" &amp; COUNTIF($B$2:B1303, B1303)</f>
        <v>35-24</v>
      </c>
      <c r="D1303" s="10">
        <v>11296</v>
      </c>
      <c r="E1303" s="1" t="s">
        <v>4291</v>
      </c>
      <c r="F1303" s="1" t="s">
        <v>4292</v>
      </c>
      <c r="G1303" s="1" t="s">
        <v>1840</v>
      </c>
      <c r="H1303" s="1" t="s">
        <v>1812</v>
      </c>
      <c r="I1303" s="10" t="str">
        <f>IF(H1303="T36",1,IF(H1303="T36",3,IF(H1303="T52",6,IF(H1303="T52",10,IF(H1303="T84",14,IF(H1303="T84",18,IF(H1303="T52",22,"")))))))</f>
        <v/>
      </c>
      <c r="J1303" s="1" t="s">
        <v>1808</v>
      </c>
      <c r="K1303" s="10">
        <v>2</v>
      </c>
      <c r="L1303" s="10">
        <v>1</v>
      </c>
      <c r="O1303" s="6"/>
      <c r="Q1303" s="42" t="s">
        <v>2962</v>
      </c>
      <c r="R1303" s="42"/>
      <c r="S1303" s="1"/>
    </row>
    <row r="1304" spans="1:19" ht="18.75" hidden="1" customHeight="1" x14ac:dyDescent="0.3">
      <c r="A1304" s="10">
        <v>1303</v>
      </c>
      <c r="B1304" s="10">
        <f>_xlfn.XLOOKUP(1,(VALUE(D1304)&gt;=VALUE(block!$C$3:$C$500))*(VALUE(D1304)&lt;VALUE(block!$C$3:$C$500)+VALUE(block!$D$3:$D$500)),block!$A$3:$A$500,"无匹配",0,1)</f>
        <v>35</v>
      </c>
      <c r="C1304" s="3" t="str">
        <f>B1304 &amp; "-" &amp; COUNTIF($B$2:B1304, B1304)</f>
        <v>35-25</v>
      </c>
      <c r="D1304" s="10">
        <v>11298</v>
      </c>
      <c r="E1304" s="1" t="s">
        <v>4293</v>
      </c>
      <c r="F1304" s="1" t="s">
        <v>4294</v>
      </c>
      <c r="G1304" s="1" t="s">
        <v>1840</v>
      </c>
      <c r="H1304" s="1" t="s">
        <v>1812</v>
      </c>
      <c r="I1304" s="10" t="str">
        <f>IF(H1304="T37",1,IF(H1304="T37",3,IF(H1304="T53",6,IF(H1304="T53",10,IF(H1304="T85",14,IF(H1304="T85",18,IF(H1304="T53",22,"")))))))</f>
        <v/>
      </c>
      <c r="J1304" s="1" t="s">
        <v>1808</v>
      </c>
      <c r="K1304" s="10">
        <v>2</v>
      </c>
      <c r="L1304" s="10">
        <v>1</v>
      </c>
      <c r="O1304" s="6"/>
      <c r="Q1304" s="42" t="s">
        <v>2962</v>
      </c>
      <c r="R1304" s="42"/>
      <c r="S1304" s="1"/>
    </row>
    <row r="1305" spans="1:19" ht="18.75" hidden="1" customHeight="1" x14ac:dyDescent="0.3">
      <c r="A1305" s="10">
        <v>1304</v>
      </c>
      <c r="B1305" s="10">
        <f>_xlfn.XLOOKUP(1,(VALUE(D1305)&gt;=VALUE(block!$C$3:$C$500))*(VALUE(D1305)&lt;VALUE(block!$C$3:$C$500)+VALUE(block!$D$3:$D$500)),block!$A$3:$A$500,"无匹配",0,1)</f>
        <v>35</v>
      </c>
      <c r="C1305" s="3" t="str">
        <f>B1305 &amp; "-" &amp; COUNTIF($B$2:B1305, B1305)</f>
        <v>35-26</v>
      </c>
      <c r="D1305" s="10">
        <v>11300</v>
      </c>
      <c r="E1305" s="1" t="s">
        <v>4295</v>
      </c>
      <c r="F1305" s="1" t="s">
        <v>4296</v>
      </c>
      <c r="G1305" s="1" t="s">
        <v>1840</v>
      </c>
      <c r="H1305" s="1" t="s">
        <v>1812</v>
      </c>
      <c r="I1305" s="10" t="str">
        <f>IF(H1305="T38",1,IF(H1305="T38",3,IF(H1305="T54",6,IF(H1305="T54",10,IF(H1305="T86",14,IF(H1305="T86",18,IF(H1305="T54",22,"")))))))</f>
        <v/>
      </c>
      <c r="J1305" s="1" t="s">
        <v>1808</v>
      </c>
      <c r="K1305" s="10">
        <v>2</v>
      </c>
      <c r="L1305" s="10">
        <v>1</v>
      </c>
      <c r="O1305" s="6"/>
      <c r="Q1305" s="42" t="s">
        <v>2962</v>
      </c>
      <c r="R1305" s="42"/>
      <c r="S1305" s="1"/>
    </row>
    <row r="1306" spans="1:19" ht="18.75" hidden="1" customHeight="1" x14ac:dyDescent="0.3">
      <c r="A1306" s="10">
        <v>1305</v>
      </c>
      <c r="B1306" s="10">
        <f>_xlfn.XLOOKUP(1,(VALUE(D1306)&gt;=VALUE(block!$C$3:$C$500))*(VALUE(D1306)&lt;VALUE(block!$C$3:$C$500)+VALUE(block!$D$3:$D$500)),block!$A$3:$A$500,"无匹配",0,1)</f>
        <v>35</v>
      </c>
      <c r="C1306" s="3" t="str">
        <f>B1306 &amp; "-" &amp; COUNTIF($B$2:B1306, B1306)</f>
        <v>35-27</v>
      </c>
      <c r="D1306" s="10">
        <v>11302</v>
      </c>
      <c r="E1306" s="1" t="s">
        <v>4297</v>
      </c>
      <c r="F1306" s="1" t="s">
        <v>4298</v>
      </c>
      <c r="G1306" s="1" t="s">
        <v>1840</v>
      </c>
      <c r="H1306" s="1" t="s">
        <v>1812</v>
      </c>
      <c r="I1306" s="10" t="str">
        <f>IF(H1306="T39",1,IF(H1306="T39",3,IF(H1306="T55",6,IF(H1306="T55",10,IF(H1306="T87",14,IF(H1306="T87",18,IF(H1306="T55",22,"")))))))</f>
        <v/>
      </c>
      <c r="J1306" s="1" t="s">
        <v>1808</v>
      </c>
      <c r="K1306" s="10">
        <v>2</v>
      </c>
      <c r="L1306" s="10">
        <v>1</v>
      </c>
      <c r="O1306" s="6"/>
      <c r="Q1306" s="42" t="s">
        <v>2962</v>
      </c>
      <c r="R1306" s="42"/>
      <c r="S1306" s="1"/>
    </row>
    <row r="1307" spans="1:19" ht="18.75" hidden="1" customHeight="1" x14ac:dyDescent="0.3">
      <c r="A1307" s="10">
        <v>1306</v>
      </c>
      <c r="B1307" s="10">
        <f>_xlfn.XLOOKUP(1,(VALUE(D1307)&gt;=VALUE(block!$C$3:$C$500))*(VALUE(D1307)&lt;VALUE(block!$C$3:$C$500)+VALUE(block!$D$3:$D$500)),block!$A$3:$A$500,"无匹配",0,1)</f>
        <v>35</v>
      </c>
      <c r="C1307" s="3" t="str">
        <f>B1307 &amp; "-" &amp; COUNTIF($B$2:B1307, B1307)</f>
        <v>35-28</v>
      </c>
      <c r="D1307" s="10">
        <v>11304</v>
      </c>
      <c r="E1307" s="1" t="s">
        <v>4299</v>
      </c>
      <c r="F1307" s="1" t="s">
        <v>4300</v>
      </c>
      <c r="G1307" s="1" t="s">
        <v>1840</v>
      </c>
      <c r="H1307" s="1" t="s">
        <v>1812</v>
      </c>
      <c r="I1307" s="10" t="str">
        <f>IF(H1307="T40",1,IF(H1307="T40",3,IF(H1307="T56",6,IF(H1307="T56",10,IF(H1307="T88",14,IF(H1307="T88",18,IF(H1307="T56",22,"")))))))</f>
        <v/>
      </c>
      <c r="J1307" s="1" t="s">
        <v>1808</v>
      </c>
      <c r="K1307" s="10">
        <v>2</v>
      </c>
      <c r="L1307" s="10">
        <v>1</v>
      </c>
      <c r="O1307" s="6"/>
      <c r="Q1307" s="42" t="s">
        <v>2962</v>
      </c>
      <c r="R1307" s="42"/>
      <c r="S1307" s="1"/>
    </row>
    <row r="1308" spans="1:19" ht="18.75" hidden="1" customHeight="1" x14ac:dyDescent="0.3">
      <c r="A1308" s="10">
        <v>1307</v>
      </c>
      <c r="B1308" s="10">
        <f>_xlfn.XLOOKUP(1,(VALUE(D1308)&gt;=VALUE(block!$C$3:$C$500))*(VALUE(D1308)&lt;VALUE(block!$C$3:$C$500)+VALUE(block!$D$3:$D$500)),block!$A$3:$A$500,"无匹配",0,1)</f>
        <v>35</v>
      </c>
      <c r="C1308" s="3" t="str">
        <f>B1308 &amp; "-" &amp; COUNTIF($B$2:B1308, B1308)</f>
        <v>35-29</v>
      </c>
      <c r="D1308" s="10">
        <v>11306</v>
      </c>
      <c r="E1308" s="1" t="s">
        <v>4301</v>
      </c>
      <c r="F1308" s="1" t="s">
        <v>4302</v>
      </c>
      <c r="G1308" s="1" t="s">
        <v>1840</v>
      </c>
      <c r="H1308" s="1" t="s">
        <v>1812</v>
      </c>
      <c r="I1308" s="10" t="str">
        <f>IF(H1308="T41",1,IF(H1308="T41",3,IF(H1308="T57",6,IF(H1308="T57",10,IF(H1308="T89",14,IF(H1308="T89",18,IF(H1308="T57",22,"")))))))</f>
        <v/>
      </c>
      <c r="J1308" s="1" t="s">
        <v>1808</v>
      </c>
      <c r="K1308" s="10">
        <v>2</v>
      </c>
      <c r="L1308" s="10">
        <v>1</v>
      </c>
      <c r="O1308" s="6"/>
      <c r="Q1308" s="42" t="s">
        <v>2962</v>
      </c>
      <c r="R1308" s="42"/>
      <c r="S1308" s="1"/>
    </row>
    <row r="1309" spans="1:19" ht="18.75" hidden="1" customHeight="1" x14ac:dyDescent="0.3">
      <c r="A1309" s="10">
        <v>1308</v>
      </c>
      <c r="B1309" s="10">
        <f>_xlfn.XLOOKUP(1,(VALUE(D1309)&gt;=VALUE(block!$C$3:$C$500))*(VALUE(D1309)&lt;VALUE(block!$C$3:$C$500)+VALUE(block!$D$3:$D$500)),block!$A$3:$A$500,"无匹配",0,1)</f>
        <v>35</v>
      </c>
      <c r="C1309" s="3" t="str">
        <f>B1309 &amp; "-" &amp; COUNTIF($B$2:B1309, B1309)</f>
        <v>35-30</v>
      </c>
      <c r="D1309" s="10">
        <v>11308</v>
      </c>
      <c r="E1309" s="1" t="s">
        <v>4303</v>
      </c>
      <c r="F1309" s="1" t="s">
        <v>4304</v>
      </c>
      <c r="G1309" s="1" t="s">
        <v>1840</v>
      </c>
      <c r="H1309" s="1" t="s">
        <v>1812</v>
      </c>
      <c r="I1309" s="10" t="str">
        <f>IF(H1309="T42",1,IF(H1309="T42",3,IF(H1309="T58",6,IF(H1309="T58",10,IF(H1309="T90",14,IF(H1309="T90",18,IF(H1309="T58",22,"")))))))</f>
        <v/>
      </c>
      <c r="J1309" s="1" t="s">
        <v>1808</v>
      </c>
      <c r="K1309" s="10">
        <v>2</v>
      </c>
      <c r="L1309" s="10">
        <v>1</v>
      </c>
      <c r="O1309" s="6"/>
      <c r="Q1309" s="42" t="s">
        <v>2962</v>
      </c>
      <c r="R1309" s="42"/>
      <c r="S1309" s="1"/>
    </row>
    <row r="1310" spans="1:19" ht="18.75" hidden="1" customHeight="1" x14ac:dyDescent="0.3">
      <c r="A1310" s="10">
        <v>1309</v>
      </c>
      <c r="B1310" s="10">
        <f>_xlfn.XLOOKUP(1,(VALUE(D1310)&gt;=VALUE(block!$C$3:$C$500))*(VALUE(D1310)&lt;VALUE(block!$C$3:$C$500)+VALUE(block!$D$3:$D$500)),block!$A$3:$A$500,"无匹配",0,1)</f>
        <v>35</v>
      </c>
      <c r="C1310" s="3" t="str">
        <f>B1310 &amp; "-" &amp; COUNTIF($B$2:B1310, B1310)</f>
        <v>35-31</v>
      </c>
      <c r="D1310" s="10">
        <v>11310</v>
      </c>
      <c r="E1310" s="1" t="s">
        <v>4305</v>
      </c>
      <c r="F1310" s="1" t="s">
        <v>4306</v>
      </c>
      <c r="G1310" s="1" t="s">
        <v>1840</v>
      </c>
      <c r="H1310" s="1" t="s">
        <v>1812</v>
      </c>
      <c r="I1310" s="10" t="str">
        <f>IF(H1310="T43",1,IF(H1310="T43",3,IF(H1310="T59",6,IF(H1310="T59",10,IF(H1310="T91",14,IF(H1310="T91",18,IF(H1310="T59",22,"")))))))</f>
        <v/>
      </c>
      <c r="J1310" s="1" t="s">
        <v>1808</v>
      </c>
      <c r="K1310" s="10">
        <v>2</v>
      </c>
      <c r="L1310" s="10">
        <v>1</v>
      </c>
      <c r="O1310" s="6"/>
      <c r="Q1310" s="42" t="s">
        <v>2962</v>
      </c>
      <c r="R1310" s="42"/>
      <c r="S1310" s="1"/>
    </row>
    <row r="1311" spans="1:19" ht="18.75" hidden="1" customHeight="1" x14ac:dyDescent="0.3">
      <c r="A1311" s="10">
        <v>1310</v>
      </c>
      <c r="B1311" s="10">
        <f>_xlfn.XLOOKUP(1,(VALUE(D1311)&gt;=VALUE(block!$C$3:$C$500))*(VALUE(D1311)&lt;VALUE(block!$C$3:$C$500)+VALUE(block!$D$3:$D$500)),block!$A$3:$A$500,"无匹配",0,1)</f>
        <v>35</v>
      </c>
      <c r="C1311" s="3" t="str">
        <f>B1311 &amp; "-" &amp; COUNTIF($B$2:B1311, B1311)</f>
        <v>35-32</v>
      </c>
      <c r="D1311" s="10">
        <v>11312</v>
      </c>
      <c r="E1311" s="1" t="s">
        <v>4307</v>
      </c>
      <c r="F1311" s="1" t="s">
        <v>4308</v>
      </c>
      <c r="G1311" s="1" t="s">
        <v>1840</v>
      </c>
      <c r="H1311" s="1" t="s">
        <v>1812</v>
      </c>
      <c r="I1311" s="10" t="str">
        <f>IF(H1311="T44",1,IF(H1311="T44",3,IF(H1311="T60",6,IF(H1311="T60",10,IF(H1311="T92",14,IF(H1311="T92",18,IF(H1311="T60",22,"")))))))</f>
        <v/>
      </c>
      <c r="J1311" s="1" t="s">
        <v>1808</v>
      </c>
      <c r="K1311" s="10">
        <v>2</v>
      </c>
      <c r="L1311" s="10">
        <v>1</v>
      </c>
      <c r="O1311" s="6"/>
      <c r="Q1311" s="42" t="s">
        <v>2962</v>
      </c>
      <c r="R1311" s="42"/>
      <c r="S1311" s="1"/>
    </row>
    <row r="1312" spans="1:19" ht="18.75" hidden="1" customHeight="1" x14ac:dyDescent="0.3">
      <c r="A1312" s="10">
        <v>1311</v>
      </c>
      <c r="B1312" s="10">
        <f>_xlfn.XLOOKUP(1,(VALUE(D1312)&gt;=VALUE(block!$C$3:$C$500))*(VALUE(D1312)&lt;VALUE(block!$C$3:$C$500)+VALUE(block!$D$3:$D$500)),block!$A$3:$A$500,"无匹配",0,1)</f>
        <v>35</v>
      </c>
      <c r="C1312" s="3" t="str">
        <f>B1312 &amp; "-" &amp; COUNTIF($B$2:B1312, B1312)</f>
        <v>35-33</v>
      </c>
      <c r="D1312" s="10">
        <v>11314</v>
      </c>
      <c r="E1312" s="1" t="s">
        <v>4309</v>
      </c>
      <c r="F1312" s="1" t="s">
        <v>4310</v>
      </c>
      <c r="G1312" s="1" t="s">
        <v>1840</v>
      </c>
      <c r="H1312" s="1" t="s">
        <v>1812</v>
      </c>
      <c r="I1312" s="10" t="str">
        <f>IF(H1312="T45",1,IF(H1312="T45",3,IF(H1312="T61",6,IF(H1312="T61",10,IF(H1312="T93",14,IF(H1312="T93",18,IF(H1312="T61",22,"")))))))</f>
        <v/>
      </c>
      <c r="J1312" s="1" t="s">
        <v>1808</v>
      </c>
      <c r="K1312" s="10">
        <v>2</v>
      </c>
      <c r="L1312" s="10">
        <v>1</v>
      </c>
      <c r="O1312" s="6"/>
      <c r="Q1312" s="42" t="s">
        <v>2962</v>
      </c>
      <c r="R1312" s="42"/>
      <c r="S1312" s="1"/>
    </row>
    <row r="1313" spans="1:19" ht="18.75" hidden="1" customHeight="1" x14ac:dyDescent="0.3">
      <c r="A1313" s="10">
        <v>1312</v>
      </c>
      <c r="B1313" s="10">
        <f>_xlfn.XLOOKUP(1,(VALUE(D1313)&gt;=VALUE(block!$C$3:$C$500))*(VALUE(D1313)&lt;VALUE(block!$C$3:$C$500)+VALUE(block!$D$3:$D$500)),block!$A$3:$A$500,"无匹配",0,1)</f>
        <v>35</v>
      </c>
      <c r="C1313" s="3" t="str">
        <f>B1313 &amp; "-" &amp; COUNTIF($B$2:B1313, B1313)</f>
        <v>35-34</v>
      </c>
      <c r="D1313" s="10">
        <v>11316</v>
      </c>
      <c r="E1313" s="1" t="s">
        <v>4311</v>
      </c>
      <c r="F1313" s="1" t="s">
        <v>4312</v>
      </c>
      <c r="G1313" s="1" t="s">
        <v>1840</v>
      </c>
      <c r="H1313" s="1" t="s">
        <v>1812</v>
      </c>
      <c r="I1313" s="10" t="str">
        <f>IF(H1313="T46",1,IF(H1313="T46",3,IF(H1313="T62",6,IF(H1313="T62",10,IF(H1313="T94",14,IF(H1313="T94",18,IF(H1313="T62",22,"")))))))</f>
        <v/>
      </c>
      <c r="J1313" s="1" t="s">
        <v>1808</v>
      </c>
      <c r="K1313" s="10">
        <v>2</v>
      </c>
      <c r="L1313" s="10">
        <v>1</v>
      </c>
      <c r="O1313" s="6"/>
      <c r="Q1313" s="42" t="s">
        <v>2962</v>
      </c>
      <c r="R1313" s="42"/>
      <c r="S1313" s="1"/>
    </row>
    <row r="1314" spans="1:19" ht="18.75" customHeight="1" x14ac:dyDescent="0.3">
      <c r="A1314" s="10">
        <v>1313</v>
      </c>
      <c r="B1314" s="10">
        <f>_xlfn.XLOOKUP(1,(VALUE(D1314)&gt;=VALUE(block!$C$3:$C$500))*(VALUE(D1314)&lt;VALUE(block!$C$3:$C$500)+VALUE(block!$D$3:$D$500)),block!$A$3:$A$500,"无匹配",0,1)</f>
        <v>36</v>
      </c>
      <c r="C1314" s="3" t="str">
        <f>B1314 &amp; "-" &amp; COUNTIF($B$2:B1314, B1314)</f>
        <v>36-1</v>
      </c>
      <c r="D1314" s="10">
        <v>11318</v>
      </c>
      <c r="E1314" s="1" t="s">
        <v>4313</v>
      </c>
      <c r="F1314" s="1" t="s">
        <v>4314</v>
      </c>
      <c r="G1314" s="1" t="s">
        <v>1840</v>
      </c>
      <c r="H1314" s="1" t="s">
        <v>1812</v>
      </c>
      <c r="I1314" s="10" t="str">
        <f>IF(H1314="T47",1,IF(H1314="T47",3,IF(H1314="T63",6,IF(H1314="T63",10,IF(H1314="T95",14,IF(H1314="T95",18,IF(H1314="T63",22,"")))))))</f>
        <v/>
      </c>
      <c r="J1314" s="1" t="s">
        <v>1808</v>
      </c>
      <c r="K1314" s="10">
        <v>2</v>
      </c>
      <c r="L1314" s="10">
        <v>1</v>
      </c>
      <c r="N1314" s="10">
        <v>4</v>
      </c>
      <c r="O1314" s="6"/>
      <c r="P1314" s="45" t="s">
        <v>2826</v>
      </c>
      <c r="Q1314" s="6">
        <v>14</v>
      </c>
      <c r="R1314" s="6"/>
      <c r="S1314" s="1" t="s">
        <v>4314</v>
      </c>
    </row>
    <row r="1315" spans="1:19" ht="18.75" customHeight="1" x14ac:dyDescent="0.3">
      <c r="A1315" s="10">
        <v>1314</v>
      </c>
      <c r="B1315" s="10">
        <f>_xlfn.XLOOKUP(1,(VALUE(D1315)&gt;=VALUE(block!$C$3:$C$500))*(VALUE(D1315)&lt;VALUE(block!$C$3:$C$500)+VALUE(block!$D$3:$D$500)),block!$A$3:$A$500,"无匹配",0,1)</f>
        <v>36</v>
      </c>
      <c r="C1315" s="3" t="str">
        <f>B1315 &amp; "-" &amp; COUNTIF($B$2:B1315, B1315)</f>
        <v>36-2</v>
      </c>
      <c r="D1315" s="10">
        <v>11320</v>
      </c>
      <c r="E1315" s="1" t="s">
        <v>4315</v>
      </c>
      <c r="F1315" s="1" t="s">
        <v>4316</v>
      </c>
      <c r="G1315" s="1" t="s">
        <v>1840</v>
      </c>
      <c r="H1315" s="1" t="s">
        <v>1812</v>
      </c>
      <c r="I1315" s="10" t="str">
        <f>IF(H1315="T48",1,IF(H1315="T48",3,IF(H1315="T64",6,IF(H1315="T64",10,IF(H1315="T96",14,IF(H1315="T96",18,IF(H1315="T64",22,"")))))))</f>
        <v/>
      </c>
      <c r="J1315" s="1" t="s">
        <v>1808</v>
      </c>
      <c r="K1315" s="10">
        <v>2</v>
      </c>
      <c r="L1315" s="10">
        <v>1</v>
      </c>
      <c r="N1315" s="10">
        <v>4</v>
      </c>
      <c r="O1315" s="6"/>
      <c r="P1315" s="45" t="s">
        <v>2826</v>
      </c>
      <c r="Q1315" s="6">
        <v>14</v>
      </c>
      <c r="R1315" s="6"/>
      <c r="S1315" s="1" t="s">
        <v>4316</v>
      </c>
    </row>
    <row r="1316" spans="1:19" ht="18.75" customHeight="1" x14ac:dyDescent="0.3">
      <c r="A1316" s="10">
        <v>1315</v>
      </c>
      <c r="B1316" s="10">
        <f>_xlfn.XLOOKUP(1,(VALUE(D1316)&gt;=VALUE(block!$C$3:$C$500))*(VALUE(D1316)&lt;VALUE(block!$C$3:$C$500)+VALUE(block!$D$3:$D$500)),block!$A$3:$A$500,"无匹配",0,1)</f>
        <v>36</v>
      </c>
      <c r="C1316" s="3" t="str">
        <f>B1316 &amp; "-" &amp; COUNTIF($B$2:B1316, B1316)</f>
        <v>36-3</v>
      </c>
      <c r="D1316" s="10">
        <v>11322</v>
      </c>
      <c r="E1316" s="1" t="s">
        <v>4317</v>
      </c>
      <c r="F1316" s="1" t="s">
        <v>4318</v>
      </c>
      <c r="G1316" s="1" t="s">
        <v>1840</v>
      </c>
      <c r="H1316" s="1" t="s">
        <v>1812</v>
      </c>
      <c r="I1316" s="10" t="str">
        <f>IF(H1316="T49",1,IF(H1316="T49",3,IF(H1316="T65",6,IF(H1316="T65",10,IF(H1316="T97",14,IF(H1316="T97",18,IF(H1316="T65",22,"")))))))</f>
        <v/>
      </c>
      <c r="J1316" s="1" t="s">
        <v>1808</v>
      </c>
      <c r="K1316" s="10">
        <v>2</v>
      </c>
      <c r="L1316" s="10">
        <v>1</v>
      </c>
      <c r="N1316" s="10">
        <v>4</v>
      </c>
      <c r="O1316" s="6"/>
      <c r="P1316" s="45" t="s">
        <v>2826</v>
      </c>
      <c r="Q1316" s="6">
        <v>14</v>
      </c>
      <c r="R1316" s="6"/>
      <c r="S1316" s="1" t="s">
        <v>4318</v>
      </c>
    </row>
    <row r="1317" spans="1:19" ht="18.75" customHeight="1" x14ac:dyDescent="0.3">
      <c r="A1317" s="10">
        <v>1316</v>
      </c>
      <c r="B1317" s="10">
        <f>_xlfn.XLOOKUP(1,(VALUE(D1317)&gt;=VALUE(block!$C$3:$C$500))*(VALUE(D1317)&lt;VALUE(block!$C$3:$C$500)+VALUE(block!$D$3:$D$500)),block!$A$3:$A$500,"无匹配",0,1)</f>
        <v>36</v>
      </c>
      <c r="C1317" s="3" t="str">
        <f>B1317 &amp; "-" &amp; COUNTIF($B$2:B1317, B1317)</f>
        <v>36-4</v>
      </c>
      <c r="D1317" s="10">
        <v>11324</v>
      </c>
      <c r="E1317" s="1" t="s">
        <v>4319</v>
      </c>
      <c r="F1317" s="1" t="s">
        <v>4320</v>
      </c>
      <c r="G1317" s="1" t="s">
        <v>1840</v>
      </c>
      <c r="H1317" s="1" t="s">
        <v>1812</v>
      </c>
      <c r="I1317" s="10" t="str">
        <f>IF(H1317="T50",1,IF(H1317="T50",3,IF(H1317="T66",6,IF(H1317="T66",10,IF(H1317="T98",14,IF(H1317="T98",18,IF(H1317="T66",22,"")))))))</f>
        <v/>
      </c>
      <c r="J1317" s="1" t="s">
        <v>1808</v>
      </c>
      <c r="K1317" s="10">
        <v>2</v>
      </c>
      <c r="L1317" s="10">
        <v>1</v>
      </c>
      <c r="N1317" s="10">
        <v>4</v>
      </c>
      <c r="O1317" s="6"/>
      <c r="P1317" s="45" t="s">
        <v>2826</v>
      </c>
      <c r="Q1317" s="6">
        <v>14</v>
      </c>
      <c r="R1317" s="6"/>
      <c r="S1317" s="1" t="s">
        <v>4320</v>
      </c>
    </row>
    <row r="1318" spans="1:19" ht="18.75" hidden="1" customHeight="1" x14ac:dyDescent="0.3">
      <c r="A1318" s="10">
        <v>1317</v>
      </c>
      <c r="B1318" s="10">
        <f>_xlfn.XLOOKUP(1,(VALUE(D1318)&gt;=VALUE(block!$C$3:$C$500))*(VALUE(D1318)&lt;VALUE(block!$C$3:$C$500)+VALUE(block!$D$3:$D$500)),block!$A$3:$A$500,"无匹配",0,1)</f>
        <v>36</v>
      </c>
      <c r="C1318" s="3" t="str">
        <f>B1318 &amp; "-" &amp; COUNTIF($B$2:B1318, B1318)</f>
        <v>36-5</v>
      </c>
      <c r="D1318" s="10">
        <v>11326</v>
      </c>
      <c r="E1318" s="1" t="s">
        <v>4321</v>
      </c>
      <c r="F1318" s="1" t="s">
        <v>4322</v>
      </c>
      <c r="G1318" s="1" t="s">
        <v>1840</v>
      </c>
      <c r="H1318" s="1" t="s">
        <v>1812</v>
      </c>
      <c r="I1318" s="10" t="str">
        <f>IF(H1318="T51",1,IF(H1318="T51",3,IF(H1318="T67",6,IF(H1318="T67",10,IF(H1318="T99",14,IF(H1318="T99",18,IF(H1318="T67",22,"")))))))</f>
        <v/>
      </c>
      <c r="J1318" s="1" t="s">
        <v>1808</v>
      </c>
      <c r="K1318" s="10">
        <v>2</v>
      </c>
      <c r="L1318" s="10">
        <v>1</v>
      </c>
      <c r="O1318" s="6"/>
      <c r="Q1318" s="42" t="s">
        <v>2962</v>
      </c>
      <c r="R1318" s="42"/>
      <c r="S1318" s="1"/>
    </row>
    <row r="1319" spans="1:19" ht="18.75" hidden="1" customHeight="1" x14ac:dyDescent="0.3">
      <c r="A1319" s="10">
        <v>1318</v>
      </c>
      <c r="B1319" s="10">
        <f>_xlfn.XLOOKUP(1,(VALUE(D1319)&gt;=VALUE(block!$C$3:$C$500))*(VALUE(D1319)&lt;VALUE(block!$C$3:$C$500)+VALUE(block!$D$3:$D$500)),block!$A$3:$A$500,"无匹配",0,1)</f>
        <v>36</v>
      </c>
      <c r="C1319" s="3" t="str">
        <f>B1319 &amp; "-" &amp; COUNTIF($B$2:B1319, B1319)</f>
        <v>36-6</v>
      </c>
      <c r="D1319" s="10">
        <v>11328</v>
      </c>
      <c r="E1319" s="1" t="s">
        <v>4323</v>
      </c>
      <c r="F1319" s="1" t="s">
        <v>4324</v>
      </c>
      <c r="G1319" s="1" t="s">
        <v>1840</v>
      </c>
      <c r="H1319" s="1" t="s">
        <v>1812</v>
      </c>
      <c r="I1319" s="10" t="str">
        <f>IF(H1319="T52",1,IF(H1319="T52",3,IF(H1319="T68",6,IF(H1319="T68",10,IF(H1319="T100",14,IF(H1319="T100",18,IF(H1319="T68",22,"")))))))</f>
        <v/>
      </c>
      <c r="J1319" s="1" t="s">
        <v>1808</v>
      </c>
      <c r="K1319" s="10">
        <v>2</v>
      </c>
      <c r="L1319" s="10">
        <v>1</v>
      </c>
      <c r="O1319" s="6"/>
      <c r="Q1319" s="42" t="s">
        <v>2962</v>
      </c>
      <c r="R1319" s="42"/>
      <c r="S1319" s="1"/>
    </row>
    <row r="1320" spans="1:19" ht="18.75" hidden="1" customHeight="1" x14ac:dyDescent="0.3">
      <c r="A1320" s="10">
        <v>1319</v>
      </c>
      <c r="B1320" s="10">
        <f>_xlfn.XLOOKUP(1,(VALUE(D1320)&gt;=VALUE(block!$C$3:$C$500))*(VALUE(D1320)&lt;VALUE(block!$C$3:$C$500)+VALUE(block!$D$3:$D$500)),block!$A$3:$A$500,"无匹配",0,1)</f>
        <v>36</v>
      </c>
      <c r="C1320" s="3" t="str">
        <f>B1320 &amp; "-" &amp; COUNTIF($B$2:B1320, B1320)</f>
        <v>36-7</v>
      </c>
      <c r="D1320" s="10">
        <v>11330</v>
      </c>
      <c r="E1320" s="1" t="s">
        <v>4325</v>
      </c>
      <c r="F1320" s="1" t="s">
        <v>4326</v>
      </c>
      <c r="G1320" s="1" t="s">
        <v>1840</v>
      </c>
      <c r="H1320" s="1" t="s">
        <v>1812</v>
      </c>
      <c r="I1320" s="10" t="str">
        <f>IF(H1320="T53",1,IF(H1320="T53",3,IF(H1320="T69",6,IF(H1320="T69",10,IF(H1320="T101",14,IF(H1320="T101",18,IF(H1320="T69",22,"")))))))</f>
        <v/>
      </c>
      <c r="J1320" s="1" t="s">
        <v>1808</v>
      </c>
      <c r="K1320" s="10">
        <v>2</v>
      </c>
      <c r="L1320" s="10">
        <v>1</v>
      </c>
      <c r="O1320" s="6"/>
      <c r="Q1320" s="42" t="s">
        <v>2962</v>
      </c>
      <c r="R1320" s="42"/>
      <c r="S1320" s="1"/>
    </row>
    <row r="1321" spans="1:19" ht="18.75" hidden="1" customHeight="1" x14ac:dyDescent="0.3">
      <c r="A1321" s="10">
        <v>1320</v>
      </c>
      <c r="B1321" s="10">
        <f>_xlfn.XLOOKUP(1,(VALUE(D1321)&gt;=VALUE(block!$C$3:$C$500))*(VALUE(D1321)&lt;VALUE(block!$C$3:$C$500)+VALUE(block!$D$3:$D$500)),block!$A$3:$A$500,"无匹配",0,1)</f>
        <v>36</v>
      </c>
      <c r="C1321" s="3" t="str">
        <f>B1321 &amp; "-" &amp; COUNTIF($B$2:B1321, B1321)</f>
        <v>36-8</v>
      </c>
      <c r="D1321" s="10">
        <v>11332</v>
      </c>
      <c r="E1321" s="1" t="s">
        <v>4327</v>
      </c>
      <c r="F1321" s="1" t="s">
        <v>4328</v>
      </c>
      <c r="G1321" s="1" t="s">
        <v>1840</v>
      </c>
      <c r="H1321" s="1" t="s">
        <v>1812</v>
      </c>
      <c r="I1321" s="10" t="str">
        <f>IF(H1321="T54",1,IF(H1321="T54",3,IF(H1321="T70",6,IF(H1321="T70",10,IF(H1321="T102",14,IF(H1321="T102",18,IF(H1321="T70",22,"")))))))</f>
        <v/>
      </c>
      <c r="J1321" s="1" t="s">
        <v>1808</v>
      </c>
      <c r="K1321" s="10">
        <v>2</v>
      </c>
      <c r="L1321" s="10">
        <v>1</v>
      </c>
      <c r="O1321" s="6"/>
      <c r="Q1321" s="42" t="s">
        <v>2962</v>
      </c>
      <c r="R1321" s="42"/>
      <c r="S1321" s="1"/>
    </row>
    <row r="1322" spans="1:19" ht="18.75" hidden="1" customHeight="1" x14ac:dyDescent="0.3">
      <c r="A1322" s="10">
        <v>1321</v>
      </c>
      <c r="B1322" s="10">
        <f>_xlfn.XLOOKUP(1,(VALUE(D1322)&gt;=VALUE(block!$C$3:$C$500))*(VALUE(D1322)&lt;VALUE(block!$C$3:$C$500)+VALUE(block!$D$3:$D$500)),block!$A$3:$A$500,"无匹配",0,1)</f>
        <v>36</v>
      </c>
      <c r="C1322" s="3" t="str">
        <f>B1322 &amp; "-" &amp; COUNTIF($B$2:B1322, B1322)</f>
        <v>36-9</v>
      </c>
      <c r="D1322" s="10">
        <v>11334</v>
      </c>
      <c r="E1322" s="1" t="s">
        <v>4329</v>
      </c>
      <c r="F1322" s="1" t="s">
        <v>4330</v>
      </c>
      <c r="G1322" s="1" t="s">
        <v>1840</v>
      </c>
      <c r="H1322" s="1" t="s">
        <v>1812</v>
      </c>
      <c r="I1322" s="10" t="str">
        <f>IF(H1322="T55",1,IF(H1322="T55",3,IF(H1322="T71",6,IF(H1322="T71",10,IF(H1322="T103",14,IF(H1322="T103",18,IF(H1322="T71",22,"")))))))</f>
        <v/>
      </c>
      <c r="J1322" s="1" t="s">
        <v>1808</v>
      </c>
      <c r="K1322" s="10">
        <v>2</v>
      </c>
      <c r="L1322" s="10">
        <v>1</v>
      </c>
      <c r="O1322" s="6"/>
      <c r="Q1322" s="42" t="s">
        <v>2962</v>
      </c>
      <c r="R1322" s="42"/>
      <c r="S1322" s="1"/>
    </row>
    <row r="1323" spans="1:19" ht="18.75" hidden="1" customHeight="1" x14ac:dyDescent="0.3">
      <c r="A1323" s="10">
        <v>1322</v>
      </c>
      <c r="B1323" s="10">
        <f>_xlfn.XLOOKUP(1,(VALUE(D1323)&gt;=VALUE(block!$C$3:$C$500))*(VALUE(D1323)&lt;VALUE(block!$C$3:$C$500)+VALUE(block!$D$3:$D$500)),block!$A$3:$A$500,"无匹配",0,1)</f>
        <v>36</v>
      </c>
      <c r="C1323" s="3" t="str">
        <f>B1323 &amp; "-" &amp; COUNTIF($B$2:B1323, B1323)</f>
        <v>36-10</v>
      </c>
      <c r="D1323" s="10">
        <v>11336</v>
      </c>
      <c r="E1323" s="1" t="s">
        <v>4331</v>
      </c>
      <c r="F1323" s="1" t="s">
        <v>4332</v>
      </c>
      <c r="G1323" s="1" t="s">
        <v>1840</v>
      </c>
      <c r="H1323" s="1" t="s">
        <v>1812</v>
      </c>
      <c r="I1323" s="10" t="str">
        <f>IF(H1323="T56",1,IF(H1323="T56",3,IF(H1323="T72",6,IF(H1323="T72",10,IF(H1323="T104",14,IF(H1323="T104",18,IF(H1323="T72",22,"")))))))</f>
        <v/>
      </c>
      <c r="J1323" s="1" t="s">
        <v>1808</v>
      </c>
      <c r="K1323" s="10">
        <v>2</v>
      </c>
      <c r="L1323" s="10">
        <v>1</v>
      </c>
      <c r="O1323" s="6"/>
      <c r="Q1323" s="42" t="s">
        <v>2962</v>
      </c>
      <c r="R1323" s="42"/>
      <c r="S1323" s="1"/>
    </row>
    <row r="1324" spans="1:19" ht="18.75" hidden="1" customHeight="1" x14ac:dyDescent="0.3">
      <c r="A1324" s="10">
        <v>1323</v>
      </c>
      <c r="B1324" s="10">
        <f>_xlfn.XLOOKUP(1,(VALUE(D1324)&gt;=VALUE(block!$C$3:$C$500))*(VALUE(D1324)&lt;VALUE(block!$C$3:$C$500)+VALUE(block!$D$3:$D$500)),block!$A$3:$A$500,"无匹配",0,1)</f>
        <v>36</v>
      </c>
      <c r="C1324" s="3" t="str">
        <f>B1324 &amp; "-" &amp; COUNTIF($B$2:B1324, B1324)</f>
        <v>36-11</v>
      </c>
      <c r="D1324" s="10">
        <v>11338</v>
      </c>
      <c r="E1324" s="1" t="s">
        <v>4333</v>
      </c>
      <c r="F1324" s="1" t="s">
        <v>4334</v>
      </c>
      <c r="G1324" s="1" t="s">
        <v>1840</v>
      </c>
      <c r="H1324" s="1" t="s">
        <v>1812</v>
      </c>
      <c r="I1324" s="10" t="str">
        <f>IF(H1324="T57",1,IF(H1324="T57",3,IF(H1324="T73",6,IF(H1324="T73",10,IF(H1324="T105",14,IF(H1324="T105",18,IF(H1324="T73",22,"")))))))</f>
        <v/>
      </c>
      <c r="J1324" s="1" t="s">
        <v>1808</v>
      </c>
      <c r="K1324" s="10">
        <v>2</v>
      </c>
      <c r="L1324" s="10">
        <v>1</v>
      </c>
      <c r="O1324" s="6"/>
      <c r="Q1324" s="42" t="s">
        <v>2962</v>
      </c>
      <c r="R1324" s="42"/>
      <c r="S1324" s="1"/>
    </row>
    <row r="1325" spans="1:19" ht="18.75" hidden="1" customHeight="1" x14ac:dyDescent="0.3">
      <c r="A1325" s="10">
        <v>1324</v>
      </c>
      <c r="B1325" s="10">
        <f>_xlfn.XLOOKUP(1,(VALUE(D1325)&gt;=VALUE(block!$C$3:$C$500))*(VALUE(D1325)&lt;VALUE(block!$C$3:$C$500)+VALUE(block!$D$3:$D$500)),block!$A$3:$A$500,"无匹配",0,1)</f>
        <v>36</v>
      </c>
      <c r="C1325" s="3" t="str">
        <f>B1325 &amp; "-" &amp; COUNTIF($B$2:B1325, B1325)</f>
        <v>36-12</v>
      </c>
      <c r="D1325" s="10">
        <v>11340</v>
      </c>
      <c r="E1325" s="1" t="s">
        <v>4335</v>
      </c>
      <c r="F1325" s="1" t="s">
        <v>4336</v>
      </c>
      <c r="G1325" s="1" t="s">
        <v>1840</v>
      </c>
      <c r="H1325" s="1" t="s">
        <v>1812</v>
      </c>
      <c r="I1325" s="10" t="str">
        <f>IF(H1325="T58",1,IF(H1325="T58",3,IF(H1325="T74",6,IF(H1325="T74",10,IF(H1325="T106",14,IF(H1325="T106",18,IF(H1325="T74",22,"")))))))</f>
        <v/>
      </c>
      <c r="J1325" s="1" t="s">
        <v>1808</v>
      </c>
      <c r="K1325" s="10">
        <v>2</v>
      </c>
      <c r="L1325" s="10">
        <v>1</v>
      </c>
      <c r="O1325" s="6"/>
      <c r="Q1325" s="42" t="s">
        <v>2962</v>
      </c>
      <c r="R1325" s="42"/>
      <c r="S1325" s="1"/>
    </row>
    <row r="1326" spans="1:19" ht="18.75" hidden="1" customHeight="1" x14ac:dyDescent="0.3">
      <c r="A1326" s="10">
        <v>1325</v>
      </c>
      <c r="B1326" s="10">
        <f>_xlfn.XLOOKUP(1,(VALUE(D1326)&gt;=VALUE(block!$C$3:$C$500))*(VALUE(D1326)&lt;VALUE(block!$C$3:$C$500)+VALUE(block!$D$3:$D$500)),block!$A$3:$A$500,"无匹配",0,1)</f>
        <v>36</v>
      </c>
      <c r="C1326" s="3" t="str">
        <f>B1326 &amp; "-" &amp; COUNTIF($B$2:B1326, B1326)</f>
        <v>36-13</v>
      </c>
      <c r="D1326" s="10">
        <v>11342</v>
      </c>
      <c r="E1326" s="1" t="s">
        <v>4337</v>
      </c>
      <c r="F1326" s="1" t="s">
        <v>4338</v>
      </c>
      <c r="G1326" s="1" t="s">
        <v>1840</v>
      </c>
      <c r="H1326" s="1" t="s">
        <v>1812</v>
      </c>
      <c r="I1326" s="10" t="str">
        <f>IF(H1326="T59",1,IF(H1326="T59",3,IF(H1326="T75",6,IF(H1326="T75",10,IF(H1326="T107",14,IF(H1326="T107",18,IF(H1326="T75",22,"")))))))</f>
        <v/>
      </c>
      <c r="J1326" s="1" t="s">
        <v>1808</v>
      </c>
      <c r="K1326" s="10">
        <v>2</v>
      </c>
      <c r="L1326" s="10">
        <v>1</v>
      </c>
      <c r="O1326" s="6"/>
      <c r="Q1326" s="42" t="s">
        <v>2962</v>
      </c>
      <c r="R1326" s="42"/>
      <c r="S1326" s="1"/>
    </row>
    <row r="1327" spans="1:19" ht="18.75" hidden="1" customHeight="1" x14ac:dyDescent="0.3">
      <c r="A1327" s="10">
        <v>1326</v>
      </c>
      <c r="B1327" s="10">
        <f>_xlfn.XLOOKUP(1,(VALUE(D1327)&gt;=VALUE(block!$C$3:$C$500))*(VALUE(D1327)&lt;VALUE(block!$C$3:$C$500)+VALUE(block!$D$3:$D$500)),block!$A$3:$A$500,"无匹配",0,1)</f>
        <v>36</v>
      </c>
      <c r="C1327" s="3" t="str">
        <f>B1327 &amp; "-" &amp; COUNTIF($B$2:B1327, B1327)</f>
        <v>36-14</v>
      </c>
      <c r="D1327" s="10">
        <v>11344</v>
      </c>
      <c r="E1327" s="1" t="s">
        <v>4339</v>
      </c>
      <c r="F1327" s="1" t="s">
        <v>4340</v>
      </c>
      <c r="G1327" s="1" t="s">
        <v>1840</v>
      </c>
      <c r="H1327" s="1" t="s">
        <v>1812</v>
      </c>
      <c r="I1327" s="10" t="str">
        <f>IF(H1327="T60",1,IF(H1327="T60",3,IF(H1327="T76",6,IF(H1327="T76",10,IF(H1327="T108",14,IF(H1327="T108",18,IF(H1327="T76",22,"")))))))</f>
        <v/>
      </c>
      <c r="J1327" s="1" t="s">
        <v>1808</v>
      </c>
      <c r="K1327" s="10">
        <v>2</v>
      </c>
      <c r="L1327" s="10">
        <v>1</v>
      </c>
      <c r="O1327" s="6"/>
      <c r="Q1327" s="42" t="s">
        <v>2962</v>
      </c>
      <c r="R1327" s="42"/>
      <c r="S1327" s="1"/>
    </row>
    <row r="1328" spans="1:19" ht="18.75" hidden="1" customHeight="1" x14ac:dyDescent="0.3">
      <c r="A1328" s="10">
        <v>1327</v>
      </c>
      <c r="B1328" s="10">
        <f>_xlfn.XLOOKUP(1,(VALUE(D1328)&gt;=VALUE(block!$C$3:$C$500))*(VALUE(D1328)&lt;VALUE(block!$C$3:$C$500)+VALUE(block!$D$3:$D$500)),block!$A$3:$A$500,"无匹配",0,1)</f>
        <v>36</v>
      </c>
      <c r="C1328" s="3" t="str">
        <f>B1328 &amp; "-" &amp; COUNTIF($B$2:B1328, B1328)</f>
        <v>36-15</v>
      </c>
      <c r="D1328" s="10">
        <v>11346</v>
      </c>
      <c r="E1328" s="1" t="s">
        <v>4341</v>
      </c>
      <c r="F1328" s="1" t="s">
        <v>4342</v>
      </c>
      <c r="G1328" s="1" t="s">
        <v>1840</v>
      </c>
      <c r="H1328" s="1" t="s">
        <v>1812</v>
      </c>
      <c r="I1328" s="10" t="str">
        <f>IF(H1328="T61",1,IF(H1328="T61",3,IF(H1328="T77",6,IF(H1328="T77",10,IF(H1328="T109",14,IF(H1328="T109",18,IF(H1328="T77",22,"")))))))</f>
        <v/>
      </c>
      <c r="J1328" s="1" t="s">
        <v>1808</v>
      </c>
      <c r="K1328" s="10">
        <v>2</v>
      </c>
      <c r="L1328" s="10">
        <v>1</v>
      </c>
      <c r="O1328" s="6"/>
      <c r="Q1328" s="42" t="s">
        <v>2962</v>
      </c>
      <c r="R1328" s="42"/>
      <c r="S1328" s="1"/>
    </row>
    <row r="1329" spans="1:19" ht="18.75" hidden="1" customHeight="1" x14ac:dyDescent="0.3">
      <c r="A1329" s="10">
        <v>1328</v>
      </c>
      <c r="B1329" s="10">
        <f>_xlfn.XLOOKUP(1,(VALUE(D1329)&gt;=VALUE(block!$C$3:$C$500))*(VALUE(D1329)&lt;VALUE(block!$C$3:$C$500)+VALUE(block!$D$3:$D$500)),block!$A$3:$A$500,"无匹配",0,1)</f>
        <v>36</v>
      </c>
      <c r="C1329" s="3" t="str">
        <f>B1329 &amp; "-" &amp; COUNTIF($B$2:B1329, B1329)</f>
        <v>36-16</v>
      </c>
      <c r="D1329" s="10">
        <v>11348</v>
      </c>
      <c r="E1329" s="1" t="s">
        <v>4343</v>
      </c>
      <c r="F1329" s="1" t="s">
        <v>4344</v>
      </c>
      <c r="G1329" s="1" t="s">
        <v>1840</v>
      </c>
      <c r="H1329" s="1" t="s">
        <v>1812</v>
      </c>
      <c r="I1329" s="10" t="str">
        <f>IF(H1329="T62",1,IF(H1329="T62",3,IF(H1329="T78",6,IF(H1329="T78",10,IF(H1329="T110",14,IF(H1329="T110",18,IF(H1329="T78",22,"")))))))</f>
        <v/>
      </c>
      <c r="J1329" s="1" t="s">
        <v>1808</v>
      </c>
      <c r="K1329" s="10">
        <v>2</v>
      </c>
      <c r="L1329" s="10">
        <v>1</v>
      </c>
      <c r="O1329" s="6"/>
      <c r="Q1329" s="42" t="s">
        <v>2962</v>
      </c>
      <c r="R1329" s="42"/>
      <c r="S1329" s="1"/>
    </row>
    <row r="1330" spans="1:19" ht="18.75" hidden="1" customHeight="1" x14ac:dyDescent="0.3">
      <c r="A1330" s="10">
        <v>1329</v>
      </c>
      <c r="B1330" s="10">
        <f>_xlfn.XLOOKUP(1,(VALUE(D1330)&gt;=VALUE(block!$C$3:$C$500))*(VALUE(D1330)&lt;VALUE(block!$C$3:$C$500)+VALUE(block!$D$3:$D$500)),block!$A$3:$A$500,"无匹配",0,1)</f>
        <v>36</v>
      </c>
      <c r="C1330" s="3" t="str">
        <f>B1330 &amp; "-" &amp; COUNTIF($B$2:B1330, B1330)</f>
        <v>36-17</v>
      </c>
      <c r="D1330" s="10">
        <v>11350</v>
      </c>
      <c r="E1330" s="1" t="s">
        <v>4345</v>
      </c>
      <c r="F1330" s="1" t="s">
        <v>4346</v>
      </c>
      <c r="G1330" s="1" t="s">
        <v>1840</v>
      </c>
      <c r="H1330" s="1" t="s">
        <v>1812</v>
      </c>
      <c r="I1330" s="10" t="str">
        <f>IF(H1330="T63",1,IF(H1330="T63",3,IF(H1330="T79",6,IF(H1330="T79",10,IF(H1330="T111",14,IF(H1330="T111",18,IF(H1330="T79",22,"")))))))</f>
        <v/>
      </c>
      <c r="J1330" s="1" t="s">
        <v>1808</v>
      </c>
      <c r="K1330" s="10">
        <v>2</v>
      </c>
      <c r="L1330" s="10">
        <v>1</v>
      </c>
      <c r="O1330" s="6"/>
      <c r="Q1330" s="42" t="s">
        <v>2962</v>
      </c>
      <c r="R1330" s="42"/>
      <c r="S1330" s="1"/>
    </row>
    <row r="1331" spans="1:19" ht="18.75" hidden="1" customHeight="1" x14ac:dyDescent="0.3">
      <c r="A1331" s="10">
        <v>1330</v>
      </c>
      <c r="B1331" s="10">
        <f>_xlfn.XLOOKUP(1,(VALUE(D1331)&gt;=VALUE(block!$C$3:$C$500))*(VALUE(D1331)&lt;VALUE(block!$C$3:$C$500)+VALUE(block!$D$3:$D$500)),block!$A$3:$A$500,"无匹配",0,1)</f>
        <v>36</v>
      </c>
      <c r="C1331" s="3" t="str">
        <f>B1331 &amp; "-" &amp; COUNTIF($B$2:B1331, B1331)</f>
        <v>36-18</v>
      </c>
      <c r="D1331" s="10">
        <v>11352</v>
      </c>
      <c r="E1331" s="1" t="s">
        <v>4347</v>
      </c>
      <c r="F1331" s="1" t="s">
        <v>4348</v>
      </c>
      <c r="G1331" s="1" t="s">
        <v>1840</v>
      </c>
      <c r="H1331" s="1" t="s">
        <v>1812</v>
      </c>
      <c r="I1331" s="10" t="str">
        <f>IF(H1331="T64",1,IF(H1331="T64",3,IF(H1331="T80",6,IF(H1331="T80",10,IF(H1331="T112",14,IF(H1331="T112",18,IF(H1331="T80",22,"")))))))</f>
        <v/>
      </c>
      <c r="J1331" s="1" t="s">
        <v>1808</v>
      </c>
      <c r="K1331" s="10">
        <v>2</v>
      </c>
      <c r="L1331" s="10">
        <v>1</v>
      </c>
      <c r="O1331" s="6"/>
      <c r="Q1331" s="42" t="s">
        <v>2962</v>
      </c>
      <c r="R1331" s="42"/>
      <c r="S1331" s="1"/>
    </row>
    <row r="1332" spans="1:19" ht="18.75" hidden="1" customHeight="1" x14ac:dyDescent="0.3">
      <c r="A1332" s="10">
        <v>1331</v>
      </c>
      <c r="B1332" s="10">
        <f>_xlfn.XLOOKUP(1,(VALUE(D1332)&gt;=VALUE(block!$C$3:$C$500))*(VALUE(D1332)&lt;VALUE(block!$C$3:$C$500)+VALUE(block!$D$3:$D$500)),block!$A$3:$A$500,"无匹配",0,1)</f>
        <v>36</v>
      </c>
      <c r="C1332" s="3" t="str">
        <f>B1332 &amp; "-" &amp; COUNTIF($B$2:B1332, B1332)</f>
        <v>36-19</v>
      </c>
      <c r="D1332" s="10">
        <v>11354</v>
      </c>
      <c r="E1332" s="1" t="s">
        <v>4349</v>
      </c>
      <c r="F1332" s="1" t="s">
        <v>4350</v>
      </c>
      <c r="G1332" s="1" t="s">
        <v>1840</v>
      </c>
      <c r="H1332" s="1" t="s">
        <v>1812</v>
      </c>
      <c r="I1332" s="10" t="str">
        <f>IF(H1332="T65",1,IF(H1332="T65",3,IF(H1332="T81",6,IF(H1332="T81",10,IF(H1332="T113",14,IF(H1332="T113",18,IF(H1332="T81",22,"")))))))</f>
        <v/>
      </c>
      <c r="J1332" s="1" t="s">
        <v>1808</v>
      </c>
      <c r="K1332" s="10">
        <v>2</v>
      </c>
      <c r="L1332" s="10">
        <v>1</v>
      </c>
      <c r="O1332" s="6"/>
      <c r="Q1332" s="42" t="s">
        <v>2962</v>
      </c>
      <c r="R1332" s="42"/>
      <c r="S1332" s="1"/>
    </row>
    <row r="1333" spans="1:19" ht="18.75" hidden="1" customHeight="1" x14ac:dyDescent="0.3">
      <c r="A1333" s="10">
        <v>1332</v>
      </c>
      <c r="B1333" s="10">
        <f>_xlfn.XLOOKUP(1,(VALUE(D1333)&gt;=VALUE(block!$C$3:$C$500))*(VALUE(D1333)&lt;VALUE(block!$C$3:$C$500)+VALUE(block!$D$3:$D$500)),block!$A$3:$A$500,"无匹配",0,1)</f>
        <v>36</v>
      </c>
      <c r="C1333" s="3" t="str">
        <f>B1333 &amp; "-" &amp; COUNTIF($B$2:B1333, B1333)</f>
        <v>36-20</v>
      </c>
      <c r="D1333" s="10">
        <v>11356</v>
      </c>
      <c r="E1333" s="1" t="s">
        <v>4351</v>
      </c>
      <c r="F1333" s="1" t="s">
        <v>4352</v>
      </c>
      <c r="G1333" s="1" t="s">
        <v>1840</v>
      </c>
      <c r="H1333" s="1" t="s">
        <v>1812</v>
      </c>
      <c r="I1333" s="10" t="str">
        <f>IF(H1333="T66",1,IF(H1333="T66",3,IF(H1333="T82",6,IF(H1333="T82",10,IF(H1333="T114",14,IF(H1333="T114",18,IF(H1333="T82",22,"")))))))</f>
        <v/>
      </c>
      <c r="J1333" s="1" t="s">
        <v>1808</v>
      </c>
      <c r="K1333" s="10">
        <v>2</v>
      </c>
      <c r="L1333" s="10">
        <v>1</v>
      </c>
      <c r="O1333" s="6"/>
      <c r="Q1333" s="42" t="s">
        <v>2962</v>
      </c>
      <c r="R1333" s="42"/>
      <c r="S1333" s="1"/>
    </row>
    <row r="1334" spans="1:19" ht="18.75" hidden="1" customHeight="1" x14ac:dyDescent="0.3">
      <c r="A1334" s="10">
        <v>1333</v>
      </c>
      <c r="B1334" s="10">
        <f>_xlfn.XLOOKUP(1,(VALUE(D1334)&gt;=VALUE(block!$C$3:$C$500))*(VALUE(D1334)&lt;VALUE(block!$C$3:$C$500)+VALUE(block!$D$3:$D$500)),block!$A$3:$A$500,"无匹配",0,1)</f>
        <v>36</v>
      </c>
      <c r="C1334" s="3" t="str">
        <f>B1334 &amp; "-" &amp; COUNTIF($B$2:B1334, B1334)</f>
        <v>36-21</v>
      </c>
      <c r="D1334" s="10">
        <v>11358</v>
      </c>
      <c r="E1334" s="1" t="s">
        <v>4353</v>
      </c>
      <c r="F1334" s="1" t="s">
        <v>4354</v>
      </c>
      <c r="G1334" s="1" t="s">
        <v>1840</v>
      </c>
      <c r="H1334" s="1" t="s">
        <v>1812</v>
      </c>
      <c r="I1334" s="10" t="str">
        <f>IF(H1334="T67",1,IF(H1334="T67",3,IF(H1334="T83",6,IF(H1334="T83",10,IF(H1334="T115",14,IF(H1334="T115",18,IF(H1334="T83",22,"")))))))</f>
        <v/>
      </c>
      <c r="J1334" s="1" t="s">
        <v>1808</v>
      </c>
      <c r="K1334" s="10">
        <v>2</v>
      </c>
      <c r="L1334" s="10">
        <v>1</v>
      </c>
      <c r="O1334" s="6"/>
      <c r="Q1334" s="42" t="s">
        <v>2962</v>
      </c>
      <c r="R1334" s="42"/>
      <c r="S1334" s="1"/>
    </row>
    <row r="1335" spans="1:19" ht="18.75" hidden="1" customHeight="1" x14ac:dyDescent="0.3">
      <c r="A1335" s="10">
        <v>1334</v>
      </c>
      <c r="B1335" s="10">
        <f>_xlfn.XLOOKUP(1,(VALUE(D1335)&gt;=VALUE(block!$C$3:$C$500))*(VALUE(D1335)&lt;VALUE(block!$C$3:$C$500)+VALUE(block!$D$3:$D$500)),block!$A$3:$A$500,"无匹配",0,1)</f>
        <v>36</v>
      </c>
      <c r="C1335" s="3" t="str">
        <f>B1335 &amp; "-" &amp; COUNTIF($B$2:B1335, B1335)</f>
        <v>36-22</v>
      </c>
      <c r="D1335" s="10">
        <v>11360</v>
      </c>
      <c r="E1335" s="1" t="s">
        <v>4355</v>
      </c>
      <c r="F1335" s="1" t="s">
        <v>4356</v>
      </c>
      <c r="G1335" s="1" t="s">
        <v>1840</v>
      </c>
      <c r="H1335" s="1" t="s">
        <v>1812</v>
      </c>
      <c r="I1335" s="10" t="str">
        <f>IF(H1335="T68",1,IF(H1335="T68",3,IF(H1335="T84",6,IF(H1335="T84",10,IF(H1335="T116",14,IF(H1335="T116",18,IF(H1335="T84",22,"")))))))</f>
        <v/>
      </c>
      <c r="J1335" s="1" t="s">
        <v>1808</v>
      </c>
      <c r="K1335" s="10">
        <v>2</v>
      </c>
      <c r="L1335" s="10">
        <v>1</v>
      </c>
      <c r="O1335" s="6"/>
      <c r="Q1335" s="42" t="s">
        <v>2962</v>
      </c>
      <c r="R1335" s="42"/>
      <c r="S1335" s="1"/>
    </row>
    <row r="1336" spans="1:19" ht="18.75" hidden="1" customHeight="1" x14ac:dyDescent="0.3">
      <c r="A1336" s="10">
        <v>1335</v>
      </c>
      <c r="B1336" s="10">
        <f>_xlfn.XLOOKUP(1,(VALUE(D1336)&gt;=VALUE(block!$C$3:$C$500))*(VALUE(D1336)&lt;VALUE(block!$C$3:$C$500)+VALUE(block!$D$3:$D$500)),block!$A$3:$A$500,"无匹配",0,1)</f>
        <v>36</v>
      </c>
      <c r="C1336" s="3" t="str">
        <f>B1336 &amp; "-" &amp; COUNTIF($B$2:B1336, B1336)</f>
        <v>36-23</v>
      </c>
      <c r="D1336" s="10">
        <v>11362</v>
      </c>
      <c r="E1336" s="1" t="s">
        <v>4357</v>
      </c>
      <c r="F1336" s="1" t="s">
        <v>4358</v>
      </c>
      <c r="G1336" s="1" t="s">
        <v>1840</v>
      </c>
      <c r="H1336" s="1" t="s">
        <v>1812</v>
      </c>
      <c r="I1336" s="10" t="str">
        <f>IF(H1336="T69",1,IF(H1336="T69",3,IF(H1336="T85",6,IF(H1336="T85",10,IF(H1336="T117",14,IF(H1336="T117",18,IF(H1336="T85",22,"")))))))</f>
        <v/>
      </c>
      <c r="J1336" s="1" t="s">
        <v>1808</v>
      </c>
      <c r="K1336" s="10">
        <v>2</v>
      </c>
      <c r="L1336" s="10">
        <v>1</v>
      </c>
      <c r="O1336" s="6"/>
      <c r="Q1336" s="42" t="s">
        <v>2962</v>
      </c>
      <c r="R1336" s="42"/>
      <c r="S1336" s="1"/>
    </row>
    <row r="1337" spans="1:19" ht="18.75" hidden="1" customHeight="1" x14ac:dyDescent="0.3">
      <c r="A1337" s="10">
        <v>1336</v>
      </c>
      <c r="B1337" s="10">
        <f>_xlfn.XLOOKUP(1,(VALUE(D1337)&gt;=VALUE(block!$C$3:$C$500))*(VALUE(D1337)&lt;VALUE(block!$C$3:$C$500)+VALUE(block!$D$3:$D$500)),block!$A$3:$A$500,"无匹配",0,1)</f>
        <v>36</v>
      </c>
      <c r="C1337" s="3" t="str">
        <f>B1337 &amp; "-" &amp; COUNTIF($B$2:B1337, B1337)</f>
        <v>36-24</v>
      </c>
      <c r="D1337" s="10">
        <v>11364</v>
      </c>
      <c r="E1337" s="1" t="s">
        <v>4359</v>
      </c>
      <c r="F1337" s="1" t="s">
        <v>4360</v>
      </c>
      <c r="G1337" s="1" t="s">
        <v>1840</v>
      </c>
      <c r="H1337" s="1" t="s">
        <v>1812</v>
      </c>
      <c r="I1337" s="10" t="str">
        <f>IF(H1337="T70",1,IF(H1337="T70",3,IF(H1337="T86",6,IF(H1337="T86",10,IF(H1337="T118",14,IF(H1337="T118",18,IF(H1337="T86",22,"")))))))</f>
        <v/>
      </c>
      <c r="J1337" s="1" t="s">
        <v>1808</v>
      </c>
      <c r="K1337" s="10">
        <v>2</v>
      </c>
      <c r="L1337" s="10">
        <v>1</v>
      </c>
      <c r="O1337" s="6"/>
      <c r="Q1337" s="42" t="s">
        <v>2962</v>
      </c>
      <c r="R1337" s="42"/>
      <c r="S1337" s="1"/>
    </row>
    <row r="1338" spans="1:19" ht="18.75" hidden="1" customHeight="1" x14ac:dyDescent="0.3">
      <c r="A1338" s="10">
        <v>1337</v>
      </c>
      <c r="B1338" s="10">
        <f>_xlfn.XLOOKUP(1,(VALUE(D1338)&gt;=VALUE(block!$C$3:$C$500))*(VALUE(D1338)&lt;VALUE(block!$C$3:$C$500)+VALUE(block!$D$3:$D$500)),block!$A$3:$A$500,"无匹配",0,1)</f>
        <v>36</v>
      </c>
      <c r="C1338" s="3" t="str">
        <f>B1338 &amp; "-" &amp; COUNTIF($B$2:B1338, B1338)</f>
        <v>36-25</v>
      </c>
      <c r="D1338" s="10">
        <v>11366</v>
      </c>
      <c r="E1338" s="1" t="s">
        <v>4361</v>
      </c>
      <c r="F1338" s="1" t="s">
        <v>4362</v>
      </c>
      <c r="G1338" s="1" t="s">
        <v>1840</v>
      </c>
      <c r="H1338" s="1" t="s">
        <v>1812</v>
      </c>
      <c r="I1338" s="10" t="str">
        <f>IF(H1338="T71",1,IF(H1338="T71",3,IF(H1338="T87",6,IF(H1338="T87",10,IF(H1338="T119",14,IF(H1338="T119",18,IF(H1338="T87",22,"")))))))</f>
        <v/>
      </c>
      <c r="J1338" s="1" t="s">
        <v>1808</v>
      </c>
      <c r="K1338" s="10">
        <v>2</v>
      </c>
      <c r="L1338" s="10">
        <v>1</v>
      </c>
      <c r="O1338" s="6"/>
      <c r="Q1338" s="42" t="s">
        <v>2962</v>
      </c>
      <c r="R1338" s="42"/>
      <c r="S1338" s="1"/>
    </row>
    <row r="1339" spans="1:19" ht="18.75" hidden="1" customHeight="1" x14ac:dyDescent="0.3">
      <c r="A1339" s="10">
        <v>1338</v>
      </c>
      <c r="B1339" s="10">
        <f>_xlfn.XLOOKUP(1,(VALUE(D1339)&gt;=VALUE(block!$C$3:$C$500))*(VALUE(D1339)&lt;VALUE(block!$C$3:$C$500)+VALUE(block!$D$3:$D$500)),block!$A$3:$A$500,"无匹配",0,1)</f>
        <v>36</v>
      </c>
      <c r="C1339" s="3" t="str">
        <f>B1339 &amp; "-" &amp; COUNTIF($B$2:B1339, B1339)</f>
        <v>36-26</v>
      </c>
      <c r="D1339" s="10">
        <v>11368</v>
      </c>
      <c r="E1339" s="1" t="s">
        <v>4363</v>
      </c>
      <c r="F1339" s="1" t="s">
        <v>4364</v>
      </c>
      <c r="G1339" s="1" t="s">
        <v>1840</v>
      </c>
      <c r="H1339" s="1" t="s">
        <v>1812</v>
      </c>
      <c r="I1339" s="10" t="str">
        <f>IF(H1339="T72",1,IF(H1339="T72",3,IF(H1339="T88",6,IF(H1339="T88",10,IF(H1339="T120",14,IF(H1339="T120",18,IF(H1339="T88",22,"")))))))</f>
        <v/>
      </c>
      <c r="J1339" s="1" t="s">
        <v>1808</v>
      </c>
      <c r="K1339" s="10">
        <v>2</v>
      </c>
      <c r="L1339" s="10">
        <v>1</v>
      </c>
      <c r="O1339" s="6"/>
      <c r="Q1339" s="42" t="s">
        <v>2962</v>
      </c>
      <c r="R1339" s="42"/>
      <c r="S1339" s="1"/>
    </row>
    <row r="1340" spans="1:19" ht="18.75" hidden="1" customHeight="1" x14ac:dyDescent="0.3">
      <c r="A1340" s="10">
        <v>1339</v>
      </c>
      <c r="B1340" s="10">
        <f>_xlfn.XLOOKUP(1,(VALUE(D1340)&gt;=VALUE(block!$C$3:$C$500))*(VALUE(D1340)&lt;VALUE(block!$C$3:$C$500)+VALUE(block!$D$3:$D$500)),block!$A$3:$A$500,"无匹配",0,1)</f>
        <v>36</v>
      </c>
      <c r="C1340" s="3" t="str">
        <f>B1340 &amp; "-" &amp; COUNTIF($B$2:B1340, B1340)</f>
        <v>36-27</v>
      </c>
      <c r="D1340" s="10">
        <v>11370</v>
      </c>
      <c r="E1340" s="1" t="s">
        <v>4365</v>
      </c>
      <c r="F1340" s="1" t="s">
        <v>4366</v>
      </c>
      <c r="G1340" s="1" t="s">
        <v>1840</v>
      </c>
      <c r="H1340" s="1" t="s">
        <v>1812</v>
      </c>
      <c r="I1340" s="10" t="str">
        <f>IF(H1340="T73",1,IF(H1340="T73",3,IF(H1340="T89",6,IF(H1340="T89",10,IF(H1340="T121",14,IF(H1340="T121",18,IF(H1340="T89",22,"")))))))</f>
        <v/>
      </c>
      <c r="J1340" s="1" t="s">
        <v>1808</v>
      </c>
      <c r="K1340" s="10">
        <v>2</v>
      </c>
      <c r="L1340" s="10">
        <v>1</v>
      </c>
      <c r="O1340" s="6"/>
      <c r="Q1340" s="42" t="s">
        <v>2962</v>
      </c>
      <c r="R1340" s="42"/>
      <c r="S1340" s="1"/>
    </row>
    <row r="1341" spans="1:19" ht="18.75" hidden="1" customHeight="1" x14ac:dyDescent="0.3">
      <c r="A1341" s="10">
        <v>1340</v>
      </c>
      <c r="B1341" s="10">
        <f>_xlfn.XLOOKUP(1,(VALUE(D1341)&gt;=VALUE(block!$C$3:$C$500))*(VALUE(D1341)&lt;VALUE(block!$C$3:$C$500)+VALUE(block!$D$3:$D$500)),block!$A$3:$A$500,"无匹配",0,1)</f>
        <v>36</v>
      </c>
      <c r="C1341" s="3" t="str">
        <f>B1341 &amp; "-" &amp; COUNTIF($B$2:B1341, B1341)</f>
        <v>36-28</v>
      </c>
      <c r="D1341" s="10">
        <v>11372</v>
      </c>
      <c r="E1341" s="1" t="s">
        <v>4367</v>
      </c>
      <c r="F1341" s="1" t="s">
        <v>4368</v>
      </c>
      <c r="G1341" s="1" t="s">
        <v>1840</v>
      </c>
      <c r="H1341" s="1" t="s">
        <v>1812</v>
      </c>
      <c r="I1341" s="10" t="str">
        <f>IF(H1341="T74",1,IF(H1341="T74",3,IF(H1341="T90",6,IF(H1341="T90",10,IF(H1341="T122",14,IF(H1341="T122",18,IF(H1341="T90",22,"")))))))</f>
        <v/>
      </c>
      <c r="J1341" s="1" t="s">
        <v>1808</v>
      </c>
      <c r="K1341" s="10">
        <v>2</v>
      </c>
      <c r="L1341" s="10">
        <v>1</v>
      </c>
      <c r="O1341" s="6"/>
      <c r="Q1341" s="42" t="s">
        <v>2962</v>
      </c>
      <c r="R1341" s="42"/>
      <c r="S1341" s="1"/>
    </row>
    <row r="1342" spans="1:19" ht="18.75" hidden="1" customHeight="1" x14ac:dyDescent="0.3">
      <c r="A1342" s="10">
        <v>1341</v>
      </c>
      <c r="B1342" s="10">
        <f>_xlfn.XLOOKUP(1,(VALUE(D1342)&gt;=VALUE(block!$C$3:$C$500))*(VALUE(D1342)&lt;VALUE(block!$C$3:$C$500)+VALUE(block!$D$3:$D$500)),block!$A$3:$A$500,"无匹配",0,1)</f>
        <v>36</v>
      </c>
      <c r="C1342" s="3" t="str">
        <f>B1342 &amp; "-" &amp; COUNTIF($B$2:B1342, B1342)</f>
        <v>36-29</v>
      </c>
      <c r="D1342" s="10">
        <v>11374</v>
      </c>
      <c r="E1342" s="1" t="s">
        <v>4369</v>
      </c>
      <c r="F1342" s="1" t="s">
        <v>4370</v>
      </c>
      <c r="G1342" s="1" t="s">
        <v>1840</v>
      </c>
      <c r="H1342" s="1" t="s">
        <v>1812</v>
      </c>
      <c r="I1342" s="10" t="str">
        <f>IF(H1342="T75",1,IF(H1342="T75",3,IF(H1342="T91",6,IF(H1342="T91",10,IF(H1342="T123",14,IF(H1342="T123",18,IF(H1342="T91",22,"")))))))</f>
        <v/>
      </c>
      <c r="J1342" s="1" t="s">
        <v>1808</v>
      </c>
      <c r="K1342" s="10">
        <v>2</v>
      </c>
      <c r="L1342" s="10">
        <v>1</v>
      </c>
      <c r="O1342" s="6"/>
      <c r="Q1342" s="42" t="s">
        <v>2962</v>
      </c>
      <c r="R1342" s="42"/>
      <c r="S1342" s="1"/>
    </row>
    <row r="1343" spans="1:19" ht="18.75" hidden="1" customHeight="1" x14ac:dyDescent="0.3">
      <c r="A1343" s="10">
        <v>1342</v>
      </c>
      <c r="B1343" s="10">
        <f>_xlfn.XLOOKUP(1,(VALUE(D1343)&gt;=VALUE(block!$C$3:$C$500))*(VALUE(D1343)&lt;VALUE(block!$C$3:$C$500)+VALUE(block!$D$3:$D$500)),block!$A$3:$A$500,"无匹配",0,1)</f>
        <v>36</v>
      </c>
      <c r="C1343" s="3" t="str">
        <f>B1343 &amp; "-" &amp; COUNTIF($B$2:B1343, B1343)</f>
        <v>36-30</v>
      </c>
      <c r="D1343" s="10">
        <v>11376</v>
      </c>
      <c r="E1343" s="1" t="s">
        <v>4371</v>
      </c>
      <c r="F1343" s="1" t="s">
        <v>4372</v>
      </c>
      <c r="G1343" s="1" t="s">
        <v>1840</v>
      </c>
      <c r="H1343" s="1" t="s">
        <v>1812</v>
      </c>
      <c r="I1343" s="10" t="str">
        <f>IF(H1343="T76",1,IF(H1343="T76",3,IF(H1343="T92",6,IF(H1343="T92",10,IF(H1343="T124",14,IF(H1343="T124",18,IF(H1343="T92",22,"")))))))</f>
        <v/>
      </c>
      <c r="J1343" s="1" t="s">
        <v>1808</v>
      </c>
      <c r="K1343" s="10">
        <v>2</v>
      </c>
      <c r="L1343" s="10">
        <v>1</v>
      </c>
      <c r="O1343" s="6"/>
      <c r="Q1343" s="42" t="s">
        <v>2962</v>
      </c>
      <c r="R1343" s="42"/>
      <c r="S1343" s="1"/>
    </row>
    <row r="1344" spans="1:19" ht="18.75" hidden="1" customHeight="1" x14ac:dyDescent="0.3">
      <c r="A1344" s="10">
        <v>1343</v>
      </c>
      <c r="B1344" s="10">
        <f>_xlfn.XLOOKUP(1,(VALUE(D1344)&gt;=VALUE(block!$C$3:$C$500))*(VALUE(D1344)&lt;VALUE(block!$C$3:$C$500)+VALUE(block!$D$3:$D$500)),block!$A$3:$A$500,"无匹配",0,1)</f>
        <v>36</v>
      </c>
      <c r="C1344" s="3" t="str">
        <f>B1344 &amp; "-" &amp; COUNTIF($B$2:B1344, B1344)</f>
        <v>36-31</v>
      </c>
      <c r="D1344" s="10">
        <v>11378</v>
      </c>
      <c r="E1344" s="1" t="s">
        <v>4373</v>
      </c>
      <c r="F1344" s="1" t="s">
        <v>4374</v>
      </c>
      <c r="G1344" s="1" t="s">
        <v>1840</v>
      </c>
      <c r="H1344" s="1" t="s">
        <v>1812</v>
      </c>
      <c r="I1344" s="10" t="str">
        <f>IF(H1344="T77",1,IF(H1344="T77",3,IF(H1344="T93",6,IF(H1344="T93",10,IF(H1344="T125",14,IF(H1344="T125",18,IF(H1344="T93",22,"")))))))</f>
        <v/>
      </c>
      <c r="J1344" s="1" t="s">
        <v>1808</v>
      </c>
      <c r="K1344" s="10">
        <v>2</v>
      </c>
      <c r="L1344" s="10">
        <v>1</v>
      </c>
      <c r="O1344" s="6"/>
      <c r="Q1344" s="42" t="s">
        <v>2962</v>
      </c>
      <c r="R1344" s="42"/>
      <c r="S1344" s="1"/>
    </row>
    <row r="1345" spans="1:19" ht="18.75" hidden="1" customHeight="1" x14ac:dyDescent="0.3">
      <c r="A1345" s="10">
        <v>1344</v>
      </c>
      <c r="B1345" s="10">
        <f>_xlfn.XLOOKUP(1,(VALUE(D1345)&gt;=VALUE(block!$C$3:$C$500))*(VALUE(D1345)&lt;VALUE(block!$C$3:$C$500)+VALUE(block!$D$3:$D$500)),block!$A$3:$A$500,"无匹配",0,1)</f>
        <v>36</v>
      </c>
      <c r="C1345" s="3" t="str">
        <f>B1345 &amp; "-" &amp; COUNTIF($B$2:B1345, B1345)</f>
        <v>36-32</v>
      </c>
      <c r="D1345" s="10">
        <v>11380</v>
      </c>
      <c r="E1345" s="1" t="s">
        <v>4375</v>
      </c>
      <c r="F1345" s="1" t="s">
        <v>4376</v>
      </c>
      <c r="G1345" s="1" t="s">
        <v>1840</v>
      </c>
      <c r="H1345" s="1" t="s">
        <v>1812</v>
      </c>
      <c r="I1345" s="10" t="str">
        <f>IF(H1345="T78",1,IF(H1345="T78",3,IF(H1345="T94",6,IF(H1345="T94",10,IF(H1345="T126",14,IF(H1345="T126",18,IF(H1345="T94",22,"")))))))</f>
        <v/>
      </c>
      <c r="J1345" s="1" t="s">
        <v>1808</v>
      </c>
      <c r="K1345" s="10">
        <v>2</v>
      </c>
      <c r="L1345" s="10">
        <v>1</v>
      </c>
      <c r="O1345" s="6"/>
      <c r="Q1345" s="42" t="s">
        <v>2962</v>
      </c>
      <c r="R1345" s="42"/>
      <c r="S1345" s="1"/>
    </row>
    <row r="1346" spans="1:19" ht="18.75" hidden="1" customHeight="1" x14ac:dyDescent="0.3">
      <c r="A1346" s="10">
        <v>1345</v>
      </c>
      <c r="B1346" s="10">
        <f>_xlfn.XLOOKUP(1,(VALUE(D1346)&gt;=VALUE(block!$C$3:$C$500))*(VALUE(D1346)&lt;VALUE(block!$C$3:$C$500)+VALUE(block!$D$3:$D$500)),block!$A$3:$A$500,"无匹配",0,1)</f>
        <v>36</v>
      </c>
      <c r="C1346" s="3" t="str">
        <f>B1346 &amp; "-" &amp; COUNTIF($B$2:B1346, B1346)</f>
        <v>36-33</v>
      </c>
      <c r="D1346" s="10">
        <v>11382</v>
      </c>
      <c r="E1346" s="1" t="s">
        <v>4377</v>
      </c>
      <c r="F1346" s="1" t="s">
        <v>4378</v>
      </c>
      <c r="G1346" s="1" t="s">
        <v>1840</v>
      </c>
      <c r="H1346" s="1" t="s">
        <v>1812</v>
      </c>
      <c r="I1346" s="10" t="str">
        <f>IF(H1346="T79",1,IF(H1346="T79",3,IF(H1346="T95",6,IF(H1346="T95",10,IF(H1346="T127",14,IF(H1346="T127",18,IF(H1346="T95",22,"")))))))</f>
        <v/>
      </c>
      <c r="J1346" s="1" t="s">
        <v>1808</v>
      </c>
      <c r="K1346" s="10">
        <v>2</v>
      </c>
      <c r="L1346" s="10">
        <v>1</v>
      </c>
      <c r="O1346" s="6"/>
      <c r="Q1346" s="42" t="s">
        <v>2962</v>
      </c>
      <c r="R1346" s="42"/>
      <c r="S1346" s="1"/>
    </row>
    <row r="1347" spans="1:19" ht="18.75" hidden="1" customHeight="1" x14ac:dyDescent="0.3">
      <c r="A1347" s="10">
        <v>1346</v>
      </c>
      <c r="B1347" s="10">
        <f>_xlfn.XLOOKUP(1,(VALUE(D1347)&gt;=VALUE(block!$C$3:$C$500))*(VALUE(D1347)&lt;VALUE(block!$C$3:$C$500)+VALUE(block!$D$3:$D$500)),block!$A$3:$A$500,"无匹配",0,1)</f>
        <v>36</v>
      </c>
      <c r="C1347" s="3" t="str">
        <f>B1347 &amp; "-" &amp; COUNTIF($B$2:B1347, B1347)</f>
        <v>36-34</v>
      </c>
      <c r="D1347" s="10">
        <v>11384</v>
      </c>
      <c r="E1347" s="1" t="s">
        <v>4379</v>
      </c>
      <c r="F1347" s="1" t="s">
        <v>4380</v>
      </c>
      <c r="G1347" s="1" t="s">
        <v>1840</v>
      </c>
      <c r="H1347" s="1" t="s">
        <v>1812</v>
      </c>
      <c r="I1347" s="10">
        <f>IF(H1347="uint16",1,IF(H1347="int16",3,IF(H1347="uint32",6,IF(H1347="int32",10,IF(H1347="uint64",14,IF(H1347="int64",18,IF(H1347="float32",22,"")))))))</f>
        <v>22</v>
      </c>
      <c r="J1347" s="1" t="s">
        <v>1808</v>
      </c>
      <c r="K1347" s="10">
        <v>2</v>
      </c>
      <c r="L1347" s="10">
        <v>1</v>
      </c>
      <c r="O1347" s="6"/>
      <c r="Q1347" s="42" t="s">
        <v>2962</v>
      </c>
      <c r="R1347" s="42"/>
      <c r="S1347" s="1"/>
    </row>
    <row r="1348" spans="1:19" ht="18.75" customHeight="1" x14ac:dyDescent="0.3">
      <c r="A1348" s="10">
        <v>1347</v>
      </c>
      <c r="B1348" s="10">
        <f>_xlfn.XLOOKUP(1,(VALUE(D1348)&gt;=VALUE(block!$C$3:$C$500))*(VALUE(D1348)&lt;VALUE(block!$C$3:$C$500)+VALUE(block!$D$3:$D$500)),block!$A$3:$A$500,"无匹配",0,1)</f>
        <v>37</v>
      </c>
      <c r="C1348" s="3" t="str">
        <f>B1348 &amp; "-" &amp; COUNTIF($B$2:B1348, B1348)</f>
        <v>37-1</v>
      </c>
      <c r="D1348" s="10">
        <v>11386</v>
      </c>
      <c r="E1348" s="1" t="s">
        <v>4381</v>
      </c>
      <c r="F1348" s="1" t="s">
        <v>4382</v>
      </c>
      <c r="G1348" s="1" t="s">
        <v>1840</v>
      </c>
      <c r="H1348" s="1" t="s">
        <v>1812</v>
      </c>
      <c r="I1348" s="10" t="str">
        <f>IF(H1348="T17",1,IF(H1348="T17",3,IF(H1348="T33",6,IF(H1348="T33",10,IF(H1348="T65",14,IF(H1348="T65",18,IF(H1348="T33",22,"")))))))</f>
        <v/>
      </c>
      <c r="J1348" s="1" t="s">
        <v>1808</v>
      </c>
      <c r="K1348" s="10">
        <v>2</v>
      </c>
      <c r="L1348" s="10">
        <v>1</v>
      </c>
      <c r="N1348" s="10">
        <v>4</v>
      </c>
      <c r="O1348" s="6"/>
      <c r="P1348" s="45" t="s">
        <v>2826</v>
      </c>
      <c r="Q1348" s="6">
        <v>14</v>
      </c>
      <c r="R1348" s="6"/>
      <c r="S1348" s="1" t="s">
        <v>4382</v>
      </c>
    </row>
    <row r="1349" spans="1:19" ht="18.75" customHeight="1" x14ac:dyDescent="0.3">
      <c r="A1349" s="10">
        <v>1348</v>
      </c>
      <c r="B1349" s="10">
        <f>_xlfn.XLOOKUP(1,(VALUE(D1349)&gt;=VALUE(block!$C$3:$C$500))*(VALUE(D1349)&lt;VALUE(block!$C$3:$C$500)+VALUE(block!$D$3:$D$500)),block!$A$3:$A$500,"无匹配",0,1)</f>
        <v>37</v>
      </c>
      <c r="C1349" s="3" t="str">
        <f>B1349 &amp; "-" &amp; COUNTIF($B$2:B1349, B1349)</f>
        <v>37-2</v>
      </c>
      <c r="D1349" s="10">
        <v>11388</v>
      </c>
      <c r="E1349" s="1" t="s">
        <v>4383</v>
      </c>
      <c r="F1349" s="1" t="s">
        <v>4384</v>
      </c>
      <c r="G1349" s="1" t="s">
        <v>1840</v>
      </c>
      <c r="H1349" s="1" t="s">
        <v>1812</v>
      </c>
      <c r="I1349" s="10" t="str">
        <f>IF(H1349="T18",1,IF(H1349="T18",3,IF(H1349="T34",6,IF(H1349="T34",10,IF(H1349="T66",14,IF(H1349="T66",18,IF(H1349="T34",22,"")))))))</f>
        <v/>
      </c>
      <c r="J1349" s="1" t="s">
        <v>1808</v>
      </c>
      <c r="K1349" s="10">
        <v>2</v>
      </c>
      <c r="L1349" s="10">
        <v>1</v>
      </c>
      <c r="N1349" s="10">
        <v>4</v>
      </c>
      <c r="O1349" s="6"/>
      <c r="P1349" s="45" t="s">
        <v>2826</v>
      </c>
      <c r="Q1349" s="6">
        <v>14</v>
      </c>
      <c r="R1349" s="6"/>
      <c r="S1349" s="1" t="s">
        <v>4384</v>
      </c>
    </row>
    <row r="1350" spans="1:19" ht="18.75" customHeight="1" x14ac:dyDescent="0.3">
      <c r="A1350" s="10">
        <v>1349</v>
      </c>
      <c r="B1350" s="10">
        <f>_xlfn.XLOOKUP(1,(VALUE(D1350)&gt;=VALUE(block!$C$3:$C$500))*(VALUE(D1350)&lt;VALUE(block!$C$3:$C$500)+VALUE(block!$D$3:$D$500)),block!$A$3:$A$500,"无匹配",0,1)</f>
        <v>37</v>
      </c>
      <c r="C1350" s="3" t="str">
        <f>B1350 &amp; "-" &amp; COUNTIF($B$2:B1350, B1350)</f>
        <v>37-3</v>
      </c>
      <c r="D1350" s="10">
        <v>11390</v>
      </c>
      <c r="E1350" s="1" t="s">
        <v>4385</v>
      </c>
      <c r="F1350" s="1" t="s">
        <v>4386</v>
      </c>
      <c r="G1350" s="1" t="s">
        <v>1840</v>
      </c>
      <c r="H1350" s="1" t="s">
        <v>1812</v>
      </c>
      <c r="I1350" s="10" t="str">
        <f>IF(H1350="T19",1,IF(H1350="T19",3,IF(H1350="T35",6,IF(H1350="T35",10,IF(H1350="T67",14,IF(H1350="T67",18,IF(H1350="T35",22,"")))))))</f>
        <v/>
      </c>
      <c r="J1350" s="1" t="s">
        <v>1808</v>
      </c>
      <c r="K1350" s="10">
        <v>2</v>
      </c>
      <c r="L1350" s="10">
        <v>1</v>
      </c>
      <c r="N1350" s="10">
        <v>4</v>
      </c>
      <c r="O1350" s="6"/>
      <c r="P1350" s="45" t="s">
        <v>2826</v>
      </c>
      <c r="Q1350" s="6">
        <v>14</v>
      </c>
      <c r="R1350" s="6"/>
      <c r="S1350" s="1" t="s">
        <v>4386</v>
      </c>
    </row>
    <row r="1351" spans="1:19" ht="18.75" customHeight="1" x14ac:dyDescent="0.3">
      <c r="A1351" s="10">
        <v>1350</v>
      </c>
      <c r="B1351" s="10">
        <f>_xlfn.XLOOKUP(1,(VALUE(D1351)&gt;=VALUE(block!$C$3:$C$500))*(VALUE(D1351)&lt;VALUE(block!$C$3:$C$500)+VALUE(block!$D$3:$D$500)),block!$A$3:$A$500,"无匹配",0,1)</f>
        <v>37</v>
      </c>
      <c r="C1351" s="3" t="str">
        <f>B1351 &amp; "-" &amp; COUNTIF($B$2:B1351, B1351)</f>
        <v>37-4</v>
      </c>
      <c r="D1351" s="10">
        <v>11392</v>
      </c>
      <c r="E1351" s="1" t="s">
        <v>4387</v>
      </c>
      <c r="F1351" s="1" t="s">
        <v>4388</v>
      </c>
      <c r="G1351" s="1" t="s">
        <v>1840</v>
      </c>
      <c r="H1351" s="1" t="s">
        <v>1812</v>
      </c>
      <c r="I1351" s="10" t="str">
        <f>IF(H1351="T20",1,IF(H1351="T20",3,IF(H1351="T36",6,IF(H1351="T36",10,IF(H1351="T68",14,IF(H1351="T68",18,IF(H1351="T36",22,"")))))))</f>
        <v/>
      </c>
      <c r="J1351" s="1" t="s">
        <v>1808</v>
      </c>
      <c r="K1351" s="10">
        <v>2</v>
      </c>
      <c r="L1351" s="10">
        <v>1</v>
      </c>
      <c r="N1351" s="10">
        <v>4</v>
      </c>
      <c r="O1351" s="6"/>
      <c r="P1351" s="45" t="s">
        <v>2826</v>
      </c>
      <c r="Q1351" s="6">
        <v>14</v>
      </c>
      <c r="R1351" s="6"/>
      <c r="S1351" s="1" t="s">
        <v>4388</v>
      </c>
    </row>
    <row r="1352" spans="1:19" ht="18.75" hidden="1" customHeight="1" x14ac:dyDescent="0.3">
      <c r="A1352" s="10">
        <v>1351</v>
      </c>
      <c r="B1352" s="10">
        <f>_xlfn.XLOOKUP(1,(VALUE(D1352)&gt;=VALUE(block!$C$3:$C$500))*(VALUE(D1352)&lt;VALUE(block!$C$3:$C$500)+VALUE(block!$D$3:$D$500)),block!$A$3:$A$500,"无匹配",0,1)</f>
        <v>37</v>
      </c>
      <c r="C1352" s="3" t="str">
        <f>B1352 &amp; "-" &amp; COUNTIF($B$2:B1352, B1352)</f>
        <v>37-5</v>
      </c>
      <c r="D1352" s="10">
        <v>11394</v>
      </c>
      <c r="E1352" s="1" t="s">
        <v>4389</v>
      </c>
      <c r="F1352" s="1" t="s">
        <v>4390</v>
      </c>
      <c r="G1352" s="1" t="s">
        <v>1840</v>
      </c>
      <c r="H1352" s="1" t="s">
        <v>1812</v>
      </c>
      <c r="I1352" s="10" t="str">
        <f>IF(H1352="T21",1,IF(H1352="T21",3,IF(H1352="T37",6,IF(H1352="T37",10,IF(H1352="T69",14,IF(H1352="T69",18,IF(H1352="T37",22,"")))))))</f>
        <v/>
      </c>
      <c r="J1352" s="1" t="s">
        <v>1808</v>
      </c>
      <c r="K1352" s="10">
        <v>2</v>
      </c>
      <c r="L1352" s="10">
        <v>1</v>
      </c>
      <c r="O1352" s="6"/>
      <c r="Q1352" s="42" t="s">
        <v>2962</v>
      </c>
      <c r="R1352" s="42"/>
      <c r="S1352" s="1"/>
    </row>
    <row r="1353" spans="1:19" ht="18.75" hidden="1" customHeight="1" x14ac:dyDescent="0.3">
      <c r="A1353" s="10">
        <v>1352</v>
      </c>
      <c r="B1353" s="10">
        <f>_xlfn.XLOOKUP(1,(VALUE(D1353)&gt;=VALUE(block!$C$3:$C$500))*(VALUE(D1353)&lt;VALUE(block!$C$3:$C$500)+VALUE(block!$D$3:$D$500)),block!$A$3:$A$500,"无匹配",0,1)</f>
        <v>37</v>
      </c>
      <c r="C1353" s="3" t="str">
        <f>B1353 &amp; "-" &amp; COUNTIF($B$2:B1353, B1353)</f>
        <v>37-6</v>
      </c>
      <c r="D1353" s="10">
        <v>11396</v>
      </c>
      <c r="E1353" s="1" t="s">
        <v>4391</v>
      </c>
      <c r="F1353" s="1" t="s">
        <v>4392</v>
      </c>
      <c r="G1353" s="1" t="s">
        <v>1840</v>
      </c>
      <c r="H1353" s="1" t="s">
        <v>1812</v>
      </c>
      <c r="I1353" s="10" t="str">
        <f>IF(H1353="T22",1,IF(H1353="T22",3,IF(H1353="T38",6,IF(H1353="T38",10,IF(H1353="T70",14,IF(H1353="T70",18,IF(H1353="T38",22,"")))))))</f>
        <v/>
      </c>
      <c r="J1353" s="1" t="s">
        <v>1808</v>
      </c>
      <c r="K1353" s="10">
        <v>2</v>
      </c>
      <c r="L1353" s="10">
        <v>1</v>
      </c>
      <c r="O1353" s="6"/>
      <c r="Q1353" s="42" t="s">
        <v>2962</v>
      </c>
      <c r="R1353" s="42"/>
      <c r="S1353" s="1"/>
    </row>
    <row r="1354" spans="1:19" ht="18.75" hidden="1" customHeight="1" x14ac:dyDescent="0.3">
      <c r="A1354" s="10">
        <v>1353</v>
      </c>
      <c r="B1354" s="10">
        <f>_xlfn.XLOOKUP(1,(VALUE(D1354)&gt;=VALUE(block!$C$3:$C$500))*(VALUE(D1354)&lt;VALUE(block!$C$3:$C$500)+VALUE(block!$D$3:$D$500)),block!$A$3:$A$500,"无匹配",0,1)</f>
        <v>37</v>
      </c>
      <c r="C1354" s="3" t="str">
        <f>B1354 &amp; "-" &amp; COUNTIF($B$2:B1354, B1354)</f>
        <v>37-7</v>
      </c>
      <c r="D1354" s="10">
        <v>11398</v>
      </c>
      <c r="E1354" s="1" t="s">
        <v>4393</v>
      </c>
      <c r="F1354" s="1" t="s">
        <v>4394</v>
      </c>
      <c r="G1354" s="1" t="s">
        <v>1840</v>
      </c>
      <c r="H1354" s="1" t="s">
        <v>1812</v>
      </c>
      <c r="I1354" s="10" t="str">
        <f>IF(H1354="T23",1,IF(H1354="T23",3,IF(H1354="T39",6,IF(H1354="T39",10,IF(H1354="T71",14,IF(H1354="T71",18,IF(H1354="T39",22,"")))))))</f>
        <v/>
      </c>
      <c r="J1354" s="1" t="s">
        <v>1808</v>
      </c>
      <c r="K1354" s="10">
        <v>2</v>
      </c>
      <c r="L1354" s="10">
        <v>1</v>
      </c>
      <c r="O1354" s="6"/>
      <c r="Q1354" s="42" t="s">
        <v>2962</v>
      </c>
      <c r="R1354" s="42"/>
      <c r="S1354" s="1"/>
    </row>
    <row r="1355" spans="1:19" ht="18.75" hidden="1" customHeight="1" x14ac:dyDescent="0.3">
      <c r="A1355" s="10">
        <v>1354</v>
      </c>
      <c r="B1355" s="10">
        <f>_xlfn.XLOOKUP(1,(VALUE(D1355)&gt;=VALUE(block!$C$3:$C$500))*(VALUE(D1355)&lt;VALUE(block!$C$3:$C$500)+VALUE(block!$D$3:$D$500)),block!$A$3:$A$500,"无匹配",0,1)</f>
        <v>37</v>
      </c>
      <c r="C1355" s="3" t="str">
        <f>B1355 &amp; "-" &amp; COUNTIF($B$2:B1355, B1355)</f>
        <v>37-8</v>
      </c>
      <c r="D1355" s="10">
        <v>11400</v>
      </c>
      <c r="E1355" s="1" t="s">
        <v>4395</v>
      </c>
      <c r="F1355" s="1" t="s">
        <v>4396</v>
      </c>
      <c r="G1355" s="1" t="s">
        <v>1840</v>
      </c>
      <c r="H1355" s="1" t="s">
        <v>1812</v>
      </c>
      <c r="I1355" s="10" t="str">
        <f>IF(H1355="T24",1,IF(H1355="T24",3,IF(H1355="T40",6,IF(H1355="T40",10,IF(H1355="T72",14,IF(H1355="T72",18,IF(H1355="T40",22,"")))))))</f>
        <v/>
      </c>
      <c r="J1355" s="1" t="s">
        <v>1808</v>
      </c>
      <c r="K1355" s="10">
        <v>2</v>
      </c>
      <c r="L1355" s="10">
        <v>1</v>
      </c>
      <c r="O1355" s="6"/>
      <c r="Q1355" s="42" t="s">
        <v>2962</v>
      </c>
      <c r="R1355" s="42"/>
      <c r="S1355" s="1"/>
    </row>
    <row r="1356" spans="1:19" ht="18.75" hidden="1" customHeight="1" x14ac:dyDescent="0.3">
      <c r="A1356" s="10">
        <v>1355</v>
      </c>
      <c r="B1356" s="10">
        <f>_xlfn.XLOOKUP(1,(VALUE(D1356)&gt;=VALUE(block!$C$3:$C$500))*(VALUE(D1356)&lt;VALUE(block!$C$3:$C$500)+VALUE(block!$D$3:$D$500)),block!$A$3:$A$500,"无匹配",0,1)</f>
        <v>37</v>
      </c>
      <c r="C1356" s="3" t="str">
        <f>B1356 &amp; "-" &amp; COUNTIF($B$2:B1356, B1356)</f>
        <v>37-9</v>
      </c>
      <c r="D1356" s="10">
        <v>11402</v>
      </c>
      <c r="E1356" s="1" t="s">
        <v>4397</v>
      </c>
      <c r="F1356" s="1" t="s">
        <v>4398</v>
      </c>
      <c r="G1356" s="1" t="s">
        <v>1840</v>
      </c>
      <c r="H1356" s="1" t="s">
        <v>1812</v>
      </c>
      <c r="I1356" s="10" t="str">
        <f>IF(H1356="T25",1,IF(H1356="T25",3,IF(H1356="T41",6,IF(H1356="T41",10,IF(H1356="T73",14,IF(H1356="T73",18,IF(H1356="T41",22,"")))))))</f>
        <v/>
      </c>
      <c r="J1356" s="1" t="s">
        <v>1808</v>
      </c>
      <c r="K1356" s="10">
        <v>2</v>
      </c>
      <c r="L1356" s="10">
        <v>1</v>
      </c>
      <c r="O1356" s="6"/>
      <c r="Q1356" s="42" t="s">
        <v>2962</v>
      </c>
      <c r="R1356" s="42"/>
      <c r="S1356" s="1"/>
    </row>
    <row r="1357" spans="1:19" ht="18.75" hidden="1" customHeight="1" x14ac:dyDescent="0.3">
      <c r="A1357" s="10">
        <v>1356</v>
      </c>
      <c r="B1357" s="10">
        <f>_xlfn.XLOOKUP(1,(VALUE(D1357)&gt;=VALUE(block!$C$3:$C$500))*(VALUE(D1357)&lt;VALUE(block!$C$3:$C$500)+VALUE(block!$D$3:$D$500)),block!$A$3:$A$500,"无匹配",0,1)</f>
        <v>37</v>
      </c>
      <c r="C1357" s="3" t="str">
        <f>B1357 &amp; "-" &amp; COUNTIF($B$2:B1357, B1357)</f>
        <v>37-10</v>
      </c>
      <c r="D1357" s="10">
        <v>11404</v>
      </c>
      <c r="E1357" s="1" t="s">
        <v>4399</v>
      </c>
      <c r="F1357" s="1" t="s">
        <v>4400</v>
      </c>
      <c r="G1357" s="1" t="s">
        <v>1840</v>
      </c>
      <c r="H1357" s="1" t="s">
        <v>1812</v>
      </c>
      <c r="I1357" s="10" t="str">
        <f>IF(H1357="T26",1,IF(H1357="T26",3,IF(H1357="T42",6,IF(H1357="T42",10,IF(H1357="T74",14,IF(H1357="T74",18,IF(H1357="T42",22,"")))))))</f>
        <v/>
      </c>
      <c r="J1357" s="1" t="s">
        <v>1808</v>
      </c>
      <c r="K1357" s="10">
        <v>2</v>
      </c>
      <c r="L1357" s="10">
        <v>1</v>
      </c>
      <c r="O1357" s="6"/>
      <c r="Q1357" s="42" t="s">
        <v>2962</v>
      </c>
      <c r="R1357" s="42"/>
      <c r="S1357" s="1"/>
    </row>
    <row r="1358" spans="1:19" ht="18.75" hidden="1" customHeight="1" x14ac:dyDescent="0.3">
      <c r="A1358" s="10">
        <v>1357</v>
      </c>
      <c r="B1358" s="10">
        <f>_xlfn.XLOOKUP(1,(VALUE(D1358)&gt;=VALUE(block!$C$3:$C$500))*(VALUE(D1358)&lt;VALUE(block!$C$3:$C$500)+VALUE(block!$D$3:$D$500)),block!$A$3:$A$500,"无匹配",0,1)</f>
        <v>37</v>
      </c>
      <c r="C1358" s="3" t="str">
        <f>B1358 &amp; "-" &amp; COUNTIF($B$2:B1358, B1358)</f>
        <v>37-11</v>
      </c>
      <c r="D1358" s="10">
        <v>11406</v>
      </c>
      <c r="E1358" s="1" t="s">
        <v>4401</v>
      </c>
      <c r="F1358" s="1" t="s">
        <v>4402</v>
      </c>
      <c r="G1358" s="1" t="s">
        <v>1840</v>
      </c>
      <c r="H1358" s="1" t="s">
        <v>1812</v>
      </c>
      <c r="I1358" s="10" t="str">
        <f>IF(H1358="T27",1,IF(H1358="T27",3,IF(H1358="T43",6,IF(H1358="T43",10,IF(H1358="T75",14,IF(H1358="T75",18,IF(H1358="T43",22,"")))))))</f>
        <v/>
      </c>
      <c r="J1358" s="1" t="s">
        <v>1808</v>
      </c>
      <c r="K1358" s="10">
        <v>2</v>
      </c>
      <c r="L1358" s="10">
        <v>1</v>
      </c>
      <c r="O1358" s="6"/>
      <c r="Q1358" s="42" t="s">
        <v>2962</v>
      </c>
      <c r="R1358" s="42"/>
      <c r="S1358" s="1"/>
    </row>
    <row r="1359" spans="1:19" ht="18.75" hidden="1" customHeight="1" x14ac:dyDescent="0.3">
      <c r="A1359" s="10">
        <v>1358</v>
      </c>
      <c r="B1359" s="10">
        <f>_xlfn.XLOOKUP(1,(VALUE(D1359)&gt;=VALUE(block!$C$3:$C$500))*(VALUE(D1359)&lt;VALUE(block!$C$3:$C$500)+VALUE(block!$D$3:$D$500)),block!$A$3:$A$500,"无匹配",0,1)</f>
        <v>37</v>
      </c>
      <c r="C1359" s="3" t="str">
        <f>B1359 &amp; "-" &amp; COUNTIF($B$2:B1359, B1359)</f>
        <v>37-12</v>
      </c>
      <c r="D1359" s="10">
        <v>11408</v>
      </c>
      <c r="E1359" s="1" t="s">
        <v>4403</v>
      </c>
      <c r="F1359" s="1" t="s">
        <v>4404</v>
      </c>
      <c r="G1359" s="1" t="s">
        <v>1840</v>
      </c>
      <c r="H1359" s="1" t="s">
        <v>1812</v>
      </c>
      <c r="I1359" s="10" t="str">
        <f>IF(H1359="T28",1,IF(H1359="T28",3,IF(H1359="T44",6,IF(H1359="T44",10,IF(H1359="T76",14,IF(H1359="T76",18,IF(H1359="T44",22,"")))))))</f>
        <v/>
      </c>
      <c r="J1359" s="1" t="s">
        <v>1808</v>
      </c>
      <c r="K1359" s="10">
        <v>2</v>
      </c>
      <c r="L1359" s="10">
        <v>1</v>
      </c>
      <c r="O1359" s="6"/>
      <c r="Q1359" s="42" t="s">
        <v>2962</v>
      </c>
      <c r="R1359" s="42"/>
      <c r="S1359" s="1"/>
    </row>
    <row r="1360" spans="1:19" ht="18.75" hidden="1" customHeight="1" x14ac:dyDescent="0.3">
      <c r="A1360" s="10">
        <v>1359</v>
      </c>
      <c r="B1360" s="10">
        <f>_xlfn.XLOOKUP(1,(VALUE(D1360)&gt;=VALUE(block!$C$3:$C$500))*(VALUE(D1360)&lt;VALUE(block!$C$3:$C$500)+VALUE(block!$D$3:$D$500)),block!$A$3:$A$500,"无匹配",0,1)</f>
        <v>37</v>
      </c>
      <c r="C1360" s="3" t="str">
        <f>B1360 &amp; "-" &amp; COUNTIF($B$2:B1360, B1360)</f>
        <v>37-13</v>
      </c>
      <c r="D1360" s="10">
        <v>11410</v>
      </c>
      <c r="E1360" s="1" t="s">
        <v>4405</v>
      </c>
      <c r="F1360" s="1" t="s">
        <v>4406</v>
      </c>
      <c r="G1360" s="1" t="s">
        <v>1840</v>
      </c>
      <c r="H1360" s="1" t="s">
        <v>1812</v>
      </c>
      <c r="I1360" s="10" t="str">
        <f>IF(H1360="T29",1,IF(H1360="T29",3,IF(H1360="T45",6,IF(H1360="T45",10,IF(H1360="T77",14,IF(H1360="T77",18,IF(H1360="T45",22,"")))))))</f>
        <v/>
      </c>
      <c r="J1360" s="1" t="s">
        <v>1808</v>
      </c>
      <c r="K1360" s="10">
        <v>2</v>
      </c>
      <c r="L1360" s="10">
        <v>1</v>
      </c>
      <c r="O1360" s="6"/>
      <c r="Q1360" s="42" t="s">
        <v>2962</v>
      </c>
      <c r="R1360" s="42"/>
      <c r="S1360" s="1"/>
    </row>
    <row r="1361" spans="1:19" ht="18.75" hidden="1" customHeight="1" x14ac:dyDescent="0.3">
      <c r="A1361" s="10">
        <v>1360</v>
      </c>
      <c r="B1361" s="10">
        <f>_xlfn.XLOOKUP(1,(VALUE(D1361)&gt;=VALUE(block!$C$3:$C$500))*(VALUE(D1361)&lt;VALUE(block!$C$3:$C$500)+VALUE(block!$D$3:$D$500)),block!$A$3:$A$500,"无匹配",0,1)</f>
        <v>37</v>
      </c>
      <c r="C1361" s="3" t="str">
        <f>B1361 &amp; "-" &amp; COUNTIF($B$2:B1361, B1361)</f>
        <v>37-14</v>
      </c>
      <c r="D1361" s="10">
        <v>11412</v>
      </c>
      <c r="E1361" s="1" t="s">
        <v>4407</v>
      </c>
      <c r="F1361" s="1" t="s">
        <v>4408</v>
      </c>
      <c r="G1361" s="1" t="s">
        <v>1840</v>
      </c>
      <c r="H1361" s="1" t="s">
        <v>1812</v>
      </c>
      <c r="I1361" s="10" t="str">
        <f>IF(H1361="T30",1,IF(H1361="T30",3,IF(H1361="T46",6,IF(H1361="T46",10,IF(H1361="T78",14,IF(H1361="T78",18,IF(H1361="T46",22,"")))))))</f>
        <v/>
      </c>
      <c r="J1361" s="1" t="s">
        <v>1808</v>
      </c>
      <c r="K1361" s="10">
        <v>2</v>
      </c>
      <c r="L1361" s="10">
        <v>1</v>
      </c>
      <c r="O1361" s="6"/>
      <c r="Q1361" s="42" t="s">
        <v>2962</v>
      </c>
      <c r="R1361" s="42"/>
      <c r="S1361" s="1"/>
    </row>
    <row r="1362" spans="1:19" ht="18.75" hidden="1" customHeight="1" x14ac:dyDescent="0.3">
      <c r="A1362" s="10">
        <v>1361</v>
      </c>
      <c r="B1362" s="10">
        <f>_xlfn.XLOOKUP(1,(VALUE(D1362)&gt;=VALUE(block!$C$3:$C$500))*(VALUE(D1362)&lt;VALUE(block!$C$3:$C$500)+VALUE(block!$D$3:$D$500)),block!$A$3:$A$500,"无匹配",0,1)</f>
        <v>37</v>
      </c>
      <c r="C1362" s="3" t="str">
        <f>B1362 &amp; "-" &amp; COUNTIF($B$2:B1362, B1362)</f>
        <v>37-15</v>
      </c>
      <c r="D1362" s="10">
        <v>11414</v>
      </c>
      <c r="E1362" s="1" t="s">
        <v>4409</v>
      </c>
      <c r="F1362" s="1" t="s">
        <v>4410</v>
      </c>
      <c r="G1362" s="1" t="s">
        <v>1840</v>
      </c>
      <c r="H1362" s="1" t="s">
        <v>1812</v>
      </c>
      <c r="I1362" s="10" t="str">
        <f>IF(H1362="T31",1,IF(H1362="T31",3,IF(H1362="T47",6,IF(H1362="T47",10,IF(H1362="T79",14,IF(H1362="T79",18,IF(H1362="T47",22,"")))))))</f>
        <v/>
      </c>
      <c r="J1362" s="1" t="s">
        <v>1808</v>
      </c>
      <c r="K1362" s="10">
        <v>2</v>
      </c>
      <c r="L1362" s="10">
        <v>1</v>
      </c>
      <c r="O1362" s="6"/>
      <c r="Q1362" s="42" t="s">
        <v>2962</v>
      </c>
      <c r="R1362" s="42"/>
      <c r="S1362" s="1"/>
    </row>
    <row r="1363" spans="1:19" ht="18.75" hidden="1" customHeight="1" x14ac:dyDescent="0.3">
      <c r="A1363" s="10">
        <v>1362</v>
      </c>
      <c r="B1363" s="10">
        <f>_xlfn.XLOOKUP(1,(VALUE(D1363)&gt;=VALUE(block!$C$3:$C$500))*(VALUE(D1363)&lt;VALUE(block!$C$3:$C$500)+VALUE(block!$D$3:$D$500)),block!$A$3:$A$500,"无匹配",0,1)</f>
        <v>37</v>
      </c>
      <c r="C1363" s="3" t="str">
        <f>B1363 &amp; "-" &amp; COUNTIF($B$2:B1363, B1363)</f>
        <v>37-16</v>
      </c>
      <c r="D1363" s="10">
        <v>11416</v>
      </c>
      <c r="E1363" s="1" t="s">
        <v>4411</v>
      </c>
      <c r="F1363" s="1" t="s">
        <v>4412</v>
      </c>
      <c r="G1363" s="1" t="s">
        <v>1840</v>
      </c>
      <c r="H1363" s="1" t="s">
        <v>1812</v>
      </c>
      <c r="I1363" s="10" t="str">
        <f>IF(H1363="T32",1,IF(H1363="T32",3,IF(H1363="T48",6,IF(H1363="T48",10,IF(H1363="T80",14,IF(H1363="T80",18,IF(H1363="T48",22,"")))))))</f>
        <v/>
      </c>
      <c r="J1363" s="1" t="s">
        <v>1808</v>
      </c>
      <c r="K1363" s="10">
        <v>2</v>
      </c>
      <c r="L1363" s="10">
        <v>1</v>
      </c>
      <c r="O1363" s="6"/>
      <c r="Q1363" s="42" t="s">
        <v>2962</v>
      </c>
      <c r="R1363" s="42"/>
      <c r="S1363" s="1"/>
    </row>
    <row r="1364" spans="1:19" ht="18.75" hidden="1" customHeight="1" x14ac:dyDescent="0.3">
      <c r="A1364" s="10">
        <v>1363</v>
      </c>
      <c r="B1364" s="10">
        <f>_xlfn.XLOOKUP(1,(VALUE(D1364)&gt;=VALUE(block!$C$3:$C$500))*(VALUE(D1364)&lt;VALUE(block!$C$3:$C$500)+VALUE(block!$D$3:$D$500)),block!$A$3:$A$500,"无匹配",0,1)</f>
        <v>37</v>
      </c>
      <c r="C1364" s="3" t="str">
        <f>B1364 &amp; "-" &amp; COUNTIF($B$2:B1364, B1364)</f>
        <v>37-17</v>
      </c>
      <c r="D1364" s="10">
        <v>11418</v>
      </c>
      <c r="E1364" s="1" t="s">
        <v>4413</v>
      </c>
      <c r="F1364" s="1" t="s">
        <v>4414</v>
      </c>
      <c r="G1364" s="1" t="s">
        <v>1840</v>
      </c>
      <c r="H1364" s="1" t="s">
        <v>1812</v>
      </c>
      <c r="I1364" s="10" t="str">
        <f>IF(H1364="T33",1,IF(H1364="T33",3,IF(H1364="T49",6,IF(H1364="T49",10,IF(H1364="T81",14,IF(H1364="T81",18,IF(H1364="T49",22,"")))))))</f>
        <v/>
      </c>
      <c r="J1364" s="1" t="s">
        <v>1808</v>
      </c>
      <c r="K1364" s="10">
        <v>2</v>
      </c>
      <c r="L1364" s="10">
        <v>1</v>
      </c>
      <c r="O1364" s="6"/>
      <c r="Q1364" s="42" t="s">
        <v>2962</v>
      </c>
      <c r="R1364" s="42"/>
      <c r="S1364" s="1"/>
    </row>
    <row r="1365" spans="1:19" ht="18.75" hidden="1" customHeight="1" x14ac:dyDescent="0.3">
      <c r="A1365" s="10">
        <v>1364</v>
      </c>
      <c r="B1365" s="10">
        <f>_xlfn.XLOOKUP(1,(VALUE(D1365)&gt;=VALUE(block!$C$3:$C$500))*(VALUE(D1365)&lt;VALUE(block!$C$3:$C$500)+VALUE(block!$D$3:$D$500)),block!$A$3:$A$500,"无匹配",0,1)</f>
        <v>37</v>
      </c>
      <c r="C1365" s="3" t="str">
        <f>B1365 &amp; "-" &amp; COUNTIF($B$2:B1365, B1365)</f>
        <v>37-18</v>
      </c>
      <c r="D1365" s="10">
        <v>11420</v>
      </c>
      <c r="E1365" s="1" t="s">
        <v>4415</v>
      </c>
      <c r="F1365" s="1" t="s">
        <v>4416</v>
      </c>
      <c r="G1365" s="1" t="s">
        <v>1840</v>
      </c>
      <c r="H1365" s="1" t="s">
        <v>1812</v>
      </c>
      <c r="I1365" s="10" t="str">
        <f>IF(H1365="T34",1,IF(H1365="T34",3,IF(H1365="T50",6,IF(H1365="T50",10,IF(H1365="T82",14,IF(H1365="T82",18,IF(H1365="T50",22,"")))))))</f>
        <v/>
      </c>
      <c r="J1365" s="1" t="s">
        <v>1808</v>
      </c>
      <c r="K1365" s="10">
        <v>2</v>
      </c>
      <c r="L1365" s="10">
        <v>1</v>
      </c>
      <c r="O1365" s="6"/>
      <c r="Q1365" s="42" t="s">
        <v>2962</v>
      </c>
      <c r="R1365" s="42"/>
      <c r="S1365" s="1"/>
    </row>
    <row r="1366" spans="1:19" ht="18.75" hidden="1" customHeight="1" x14ac:dyDescent="0.3">
      <c r="A1366" s="10">
        <v>1365</v>
      </c>
      <c r="B1366" s="10">
        <f>_xlfn.XLOOKUP(1,(VALUE(D1366)&gt;=VALUE(block!$C$3:$C$500))*(VALUE(D1366)&lt;VALUE(block!$C$3:$C$500)+VALUE(block!$D$3:$D$500)),block!$A$3:$A$500,"无匹配",0,1)</f>
        <v>37</v>
      </c>
      <c r="C1366" s="3" t="str">
        <f>B1366 &amp; "-" &amp; COUNTIF($B$2:B1366, B1366)</f>
        <v>37-19</v>
      </c>
      <c r="D1366" s="10">
        <v>11422</v>
      </c>
      <c r="E1366" s="1" t="s">
        <v>4417</v>
      </c>
      <c r="F1366" s="1" t="s">
        <v>4418</v>
      </c>
      <c r="G1366" s="1" t="s">
        <v>1840</v>
      </c>
      <c r="H1366" s="1" t="s">
        <v>1812</v>
      </c>
      <c r="I1366" s="10" t="str">
        <f>IF(H1366="T35",1,IF(H1366="T35",3,IF(H1366="T51",6,IF(H1366="T51",10,IF(H1366="T83",14,IF(H1366="T83",18,IF(H1366="T51",22,"")))))))</f>
        <v/>
      </c>
      <c r="J1366" s="1" t="s">
        <v>1808</v>
      </c>
      <c r="K1366" s="10">
        <v>2</v>
      </c>
      <c r="L1366" s="10">
        <v>1</v>
      </c>
      <c r="O1366" s="6"/>
      <c r="Q1366" s="42" t="s">
        <v>2962</v>
      </c>
      <c r="R1366" s="42"/>
      <c r="S1366" s="1"/>
    </row>
    <row r="1367" spans="1:19" ht="18.75" hidden="1" customHeight="1" x14ac:dyDescent="0.3">
      <c r="A1367" s="10">
        <v>1366</v>
      </c>
      <c r="B1367" s="10">
        <f>_xlfn.XLOOKUP(1,(VALUE(D1367)&gt;=VALUE(block!$C$3:$C$500))*(VALUE(D1367)&lt;VALUE(block!$C$3:$C$500)+VALUE(block!$D$3:$D$500)),block!$A$3:$A$500,"无匹配",0,1)</f>
        <v>37</v>
      </c>
      <c r="C1367" s="3" t="str">
        <f>B1367 &amp; "-" &amp; COUNTIF($B$2:B1367, B1367)</f>
        <v>37-20</v>
      </c>
      <c r="D1367" s="10">
        <v>11424</v>
      </c>
      <c r="E1367" s="1" t="s">
        <v>4419</v>
      </c>
      <c r="F1367" s="1" t="s">
        <v>4420</v>
      </c>
      <c r="G1367" s="1" t="s">
        <v>1840</v>
      </c>
      <c r="H1367" s="1" t="s">
        <v>1812</v>
      </c>
      <c r="I1367" s="10" t="str">
        <f>IF(H1367="T36",1,IF(H1367="T36",3,IF(H1367="T52",6,IF(H1367="T52",10,IF(H1367="T84",14,IF(H1367="T84",18,IF(H1367="T52",22,"")))))))</f>
        <v/>
      </c>
      <c r="J1367" s="1" t="s">
        <v>1808</v>
      </c>
      <c r="K1367" s="10">
        <v>2</v>
      </c>
      <c r="L1367" s="10">
        <v>1</v>
      </c>
      <c r="O1367" s="6"/>
      <c r="Q1367" s="42" t="s">
        <v>2962</v>
      </c>
      <c r="R1367" s="42"/>
      <c r="S1367" s="1"/>
    </row>
    <row r="1368" spans="1:19" ht="18.75" hidden="1" customHeight="1" x14ac:dyDescent="0.3">
      <c r="A1368" s="10">
        <v>1367</v>
      </c>
      <c r="B1368" s="10">
        <f>_xlfn.XLOOKUP(1,(VALUE(D1368)&gt;=VALUE(block!$C$3:$C$500))*(VALUE(D1368)&lt;VALUE(block!$C$3:$C$500)+VALUE(block!$D$3:$D$500)),block!$A$3:$A$500,"无匹配",0,1)</f>
        <v>37</v>
      </c>
      <c r="C1368" s="3" t="str">
        <f>B1368 &amp; "-" &amp; COUNTIF($B$2:B1368, B1368)</f>
        <v>37-21</v>
      </c>
      <c r="D1368" s="10">
        <v>11426</v>
      </c>
      <c r="E1368" s="1" t="s">
        <v>4421</v>
      </c>
      <c r="F1368" s="1" t="s">
        <v>4422</v>
      </c>
      <c r="G1368" s="1" t="s">
        <v>1840</v>
      </c>
      <c r="H1368" s="1" t="s">
        <v>1812</v>
      </c>
      <c r="I1368" s="10" t="str">
        <f>IF(H1368="T37",1,IF(H1368="T37",3,IF(H1368="T53",6,IF(H1368="T53",10,IF(H1368="T85",14,IF(H1368="T85",18,IF(H1368="T53",22,"")))))))</f>
        <v/>
      </c>
      <c r="J1368" s="1" t="s">
        <v>1808</v>
      </c>
      <c r="K1368" s="10">
        <v>2</v>
      </c>
      <c r="L1368" s="10">
        <v>1</v>
      </c>
      <c r="O1368" s="6"/>
      <c r="Q1368" s="42" t="s">
        <v>2962</v>
      </c>
      <c r="R1368" s="42"/>
      <c r="S1368" s="1"/>
    </row>
    <row r="1369" spans="1:19" ht="18.75" hidden="1" customHeight="1" x14ac:dyDescent="0.3">
      <c r="A1369" s="10">
        <v>1368</v>
      </c>
      <c r="B1369" s="10">
        <f>_xlfn.XLOOKUP(1,(VALUE(D1369)&gt;=VALUE(block!$C$3:$C$500))*(VALUE(D1369)&lt;VALUE(block!$C$3:$C$500)+VALUE(block!$D$3:$D$500)),block!$A$3:$A$500,"无匹配",0,1)</f>
        <v>37</v>
      </c>
      <c r="C1369" s="3" t="str">
        <f>B1369 &amp; "-" &amp; COUNTIF($B$2:B1369, B1369)</f>
        <v>37-22</v>
      </c>
      <c r="D1369" s="10">
        <v>11428</v>
      </c>
      <c r="E1369" s="1" t="s">
        <v>4423</v>
      </c>
      <c r="F1369" s="1" t="s">
        <v>4424</v>
      </c>
      <c r="G1369" s="1" t="s">
        <v>1840</v>
      </c>
      <c r="H1369" s="1" t="s">
        <v>1812</v>
      </c>
      <c r="I1369" s="10" t="str">
        <f>IF(H1369="T38",1,IF(H1369="T38",3,IF(H1369="T54",6,IF(H1369="T54",10,IF(H1369="T86",14,IF(H1369="T86",18,IF(H1369="T54",22,"")))))))</f>
        <v/>
      </c>
      <c r="J1369" s="1" t="s">
        <v>1808</v>
      </c>
      <c r="K1369" s="10">
        <v>2</v>
      </c>
      <c r="L1369" s="10">
        <v>1</v>
      </c>
      <c r="O1369" s="6"/>
      <c r="Q1369" s="42" t="s">
        <v>2962</v>
      </c>
      <c r="R1369" s="42"/>
      <c r="S1369" s="1"/>
    </row>
    <row r="1370" spans="1:19" ht="18.75" hidden="1" customHeight="1" x14ac:dyDescent="0.3">
      <c r="A1370" s="10">
        <v>1369</v>
      </c>
      <c r="B1370" s="10">
        <f>_xlfn.XLOOKUP(1,(VALUE(D1370)&gt;=VALUE(block!$C$3:$C$500))*(VALUE(D1370)&lt;VALUE(block!$C$3:$C$500)+VALUE(block!$D$3:$D$500)),block!$A$3:$A$500,"无匹配",0,1)</f>
        <v>37</v>
      </c>
      <c r="C1370" s="3" t="str">
        <f>B1370 &amp; "-" &amp; COUNTIF($B$2:B1370, B1370)</f>
        <v>37-23</v>
      </c>
      <c r="D1370" s="10">
        <v>11430</v>
      </c>
      <c r="E1370" s="1" t="s">
        <v>4425</v>
      </c>
      <c r="F1370" s="1" t="s">
        <v>4426</v>
      </c>
      <c r="G1370" s="1" t="s">
        <v>1840</v>
      </c>
      <c r="H1370" s="1" t="s">
        <v>1812</v>
      </c>
      <c r="I1370" s="10" t="str">
        <f>IF(H1370="T39",1,IF(H1370="T39",3,IF(H1370="T55",6,IF(H1370="T55",10,IF(H1370="T87",14,IF(H1370="T87",18,IF(H1370="T55",22,"")))))))</f>
        <v/>
      </c>
      <c r="J1370" s="1" t="s">
        <v>1808</v>
      </c>
      <c r="K1370" s="10">
        <v>2</v>
      </c>
      <c r="L1370" s="10">
        <v>1</v>
      </c>
      <c r="O1370" s="6"/>
      <c r="Q1370" s="42" t="s">
        <v>2962</v>
      </c>
      <c r="R1370" s="42"/>
      <c r="S1370" s="1"/>
    </row>
    <row r="1371" spans="1:19" ht="18.75" hidden="1" customHeight="1" x14ac:dyDescent="0.3">
      <c r="A1371" s="10">
        <v>1370</v>
      </c>
      <c r="B1371" s="10">
        <f>_xlfn.XLOOKUP(1,(VALUE(D1371)&gt;=VALUE(block!$C$3:$C$500))*(VALUE(D1371)&lt;VALUE(block!$C$3:$C$500)+VALUE(block!$D$3:$D$500)),block!$A$3:$A$500,"无匹配",0,1)</f>
        <v>37</v>
      </c>
      <c r="C1371" s="3" t="str">
        <f>B1371 &amp; "-" &amp; COUNTIF($B$2:B1371, B1371)</f>
        <v>37-24</v>
      </c>
      <c r="D1371" s="10">
        <v>11432</v>
      </c>
      <c r="E1371" s="1" t="s">
        <v>4427</v>
      </c>
      <c r="F1371" s="1" t="s">
        <v>4428</v>
      </c>
      <c r="G1371" s="1" t="s">
        <v>1840</v>
      </c>
      <c r="H1371" s="1" t="s">
        <v>1812</v>
      </c>
      <c r="I1371" s="10" t="str">
        <f>IF(H1371="T40",1,IF(H1371="T40",3,IF(H1371="T56",6,IF(H1371="T56",10,IF(H1371="T88",14,IF(H1371="T88",18,IF(H1371="T56",22,"")))))))</f>
        <v/>
      </c>
      <c r="J1371" s="1" t="s">
        <v>1808</v>
      </c>
      <c r="K1371" s="10">
        <v>2</v>
      </c>
      <c r="L1371" s="10">
        <v>1</v>
      </c>
      <c r="O1371" s="6"/>
      <c r="Q1371" s="42" t="s">
        <v>2962</v>
      </c>
      <c r="R1371" s="42"/>
      <c r="S1371" s="1"/>
    </row>
    <row r="1372" spans="1:19" ht="18.75" hidden="1" customHeight="1" x14ac:dyDescent="0.3">
      <c r="A1372" s="10">
        <v>1371</v>
      </c>
      <c r="B1372" s="10">
        <f>_xlfn.XLOOKUP(1,(VALUE(D1372)&gt;=VALUE(block!$C$3:$C$500))*(VALUE(D1372)&lt;VALUE(block!$C$3:$C$500)+VALUE(block!$D$3:$D$500)),block!$A$3:$A$500,"无匹配",0,1)</f>
        <v>37</v>
      </c>
      <c r="C1372" s="3" t="str">
        <f>B1372 &amp; "-" &amp; COUNTIF($B$2:B1372, B1372)</f>
        <v>37-25</v>
      </c>
      <c r="D1372" s="10">
        <v>11434</v>
      </c>
      <c r="E1372" s="1" t="s">
        <v>4429</v>
      </c>
      <c r="F1372" s="1" t="s">
        <v>4430</v>
      </c>
      <c r="G1372" s="1" t="s">
        <v>1840</v>
      </c>
      <c r="H1372" s="1" t="s">
        <v>1812</v>
      </c>
      <c r="I1372" s="10" t="str">
        <f>IF(H1372="T41",1,IF(H1372="T41",3,IF(H1372="T57",6,IF(H1372="T57",10,IF(H1372="T89",14,IF(H1372="T89",18,IF(H1372="T57",22,"")))))))</f>
        <v/>
      </c>
      <c r="J1372" s="1" t="s">
        <v>1808</v>
      </c>
      <c r="K1372" s="10">
        <v>2</v>
      </c>
      <c r="L1372" s="10">
        <v>1</v>
      </c>
      <c r="O1372" s="6"/>
      <c r="Q1372" s="42" t="s">
        <v>2962</v>
      </c>
      <c r="R1372" s="42"/>
      <c r="S1372" s="1"/>
    </row>
    <row r="1373" spans="1:19" ht="18.75" hidden="1" customHeight="1" x14ac:dyDescent="0.3">
      <c r="A1373" s="10">
        <v>1372</v>
      </c>
      <c r="B1373" s="10">
        <f>_xlfn.XLOOKUP(1,(VALUE(D1373)&gt;=VALUE(block!$C$3:$C$500))*(VALUE(D1373)&lt;VALUE(block!$C$3:$C$500)+VALUE(block!$D$3:$D$500)),block!$A$3:$A$500,"无匹配",0,1)</f>
        <v>37</v>
      </c>
      <c r="C1373" s="3" t="str">
        <f>B1373 &amp; "-" &amp; COUNTIF($B$2:B1373, B1373)</f>
        <v>37-26</v>
      </c>
      <c r="D1373" s="10">
        <v>11436</v>
      </c>
      <c r="E1373" s="1" t="s">
        <v>4431</v>
      </c>
      <c r="F1373" s="1" t="s">
        <v>4432</v>
      </c>
      <c r="G1373" s="1" t="s">
        <v>1840</v>
      </c>
      <c r="H1373" s="1" t="s">
        <v>1812</v>
      </c>
      <c r="I1373" s="10" t="str">
        <f>IF(H1373="T42",1,IF(H1373="T42",3,IF(H1373="T58",6,IF(H1373="T58",10,IF(H1373="T90",14,IF(H1373="T90",18,IF(H1373="T58",22,"")))))))</f>
        <v/>
      </c>
      <c r="J1373" s="1" t="s">
        <v>1808</v>
      </c>
      <c r="K1373" s="10">
        <v>2</v>
      </c>
      <c r="L1373" s="10">
        <v>1</v>
      </c>
      <c r="O1373" s="6"/>
      <c r="Q1373" s="42" t="s">
        <v>2962</v>
      </c>
      <c r="R1373" s="42"/>
      <c r="S1373" s="1"/>
    </row>
    <row r="1374" spans="1:19" ht="18.75" hidden="1" customHeight="1" x14ac:dyDescent="0.3">
      <c r="A1374" s="10">
        <v>1373</v>
      </c>
      <c r="B1374" s="10">
        <f>_xlfn.XLOOKUP(1,(VALUE(D1374)&gt;=VALUE(block!$C$3:$C$500))*(VALUE(D1374)&lt;VALUE(block!$C$3:$C$500)+VALUE(block!$D$3:$D$500)),block!$A$3:$A$500,"无匹配",0,1)</f>
        <v>37</v>
      </c>
      <c r="C1374" s="3" t="str">
        <f>B1374 &amp; "-" &amp; COUNTIF($B$2:B1374, B1374)</f>
        <v>37-27</v>
      </c>
      <c r="D1374" s="10">
        <v>11438</v>
      </c>
      <c r="E1374" s="1" t="s">
        <v>4433</v>
      </c>
      <c r="F1374" s="1" t="s">
        <v>4434</v>
      </c>
      <c r="G1374" s="1" t="s">
        <v>1840</v>
      </c>
      <c r="H1374" s="1" t="s">
        <v>1812</v>
      </c>
      <c r="I1374" s="10" t="str">
        <f>IF(H1374="T43",1,IF(H1374="T43",3,IF(H1374="T59",6,IF(H1374="T59",10,IF(H1374="T91",14,IF(H1374="T91",18,IF(H1374="T59",22,"")))))))</f>
        <v/>
      </c>
      <c r="J1374" s="1" t="s">
        <v>1808</v>
      </c>
      <c r="K1374" s="10">
        <v>2</v>
      </c>
      <c r="L1374" s="10">
        <v>1</v>
      </c>
      <c r="O1374" s="6"/>
      <c r="Q1374" s="42" t="s">
        <v>2962</v>
      </c>
      <c r="R1374" s="42"/>
      <c r="S1374" s="1"/>
    </row>
    <row r="1375" spans="1:19" ht="18.75" hidden="1" customHeight="1" x14ac:dyDescent="0.3">
      <c r="A1375" s="10">
        <v>1374</v>
      </c>
      <c r="B1375" s="10">
        <f>_xlfn.XLOOKUP(1,(VALUE(D1375)&gt;=VALUE(block!$C$3:$C$500))*(VALUE(D1375)&lt;VALUE(block!$C$3:$C$500)+VALUE(block!$D$3:$D$500)),block!$A$3:$A$500,"无匹配",0,1)</f>
        <v>37</v>
      </c>
      <c r="C1375" s="3" t="str">
        <f>B1375 &amp; "-" &amp; COUNTIF($B$2:B1375, B1375)</f>
        <v>37-28</v>
      </c>
      <c r="D1375" s="10">
        <v>11440</v>
      </c>
      <c r="E1375" s="1" t="s">
        <v>4435</v>
      </c>
      <c r="F1375" s="1" t="s">
        <v>4436</v>
      </c>
      <c r="G1375" s="1" t="s">
        <v>1840</v>
      </c>
      <c r="H1375" s="1" t="s">
        <v>1812</v>
      </c>
      <c r="I1375" s="10" t="str">
        <f>IF(H1375="T44",1,IF(H1375="T44",3,IF(H1375="T60",6,IF(H1375="T60",10,IF(H1375="T92",14,IF(H1375="T92",18,IF(H1375="T60",22,"")))))))</f>
        <v/>
      </c>
      <c r="J1375" s="1" t="s">
        <v>1808</v>
      </c>
      <c r="K1375" s="10">
        <v>2</v>
      </c>
      <c r="L1375" s="10">
        <v>1</v>
      </c>
      <c r="O1375" s="6"/>
      <c r="Q1375" s="42" t="s">
        <v>2962</v>
      </c>
      <c r="R1375" s="42"/>
      <c r="S1375" s="1"/>
    </row>
    <row r="1376" spans="1:19" ht="18.75" hidden="1" customHeight="1" x14ac:dyDescent="0.3">
      <c r="A1376" s="10">
        <v>1375</v>
      </c>
      <c r="B1376" s="10">
        <f>_xlfn.XLOOKUP(1,(VALUE(D1376)&gt;=VALUE(block!$C$3:$C$500))*(VALUE(D1376)&lt;VALUE(block!$C$3:$C$500)+VALUE(block!$D$3:$D$500)),block!$A$3:$A$500,"无匹配",0,1)</f>
        <v>37</v>
      </c>
      <c r="C1376" s="3" t="str">
        <f>B1376 &amp; "-" &amp; COUNTIF($B$2:B1376, B1376)</f>
        <v>37-29</v>
      </c>
      <c r="D1376" s="10">
        <v>11442</v>
      </c>
      <c r="E1376" s="1" t="s">
        <v>4437</v>
      </c>
      <c r="F1376" s="1" t="s">
        <v>4438</v>
      </c>
      <c r="G1376" s="1" t="s">
        <v>1840</v>
      </c>
      <c r="H1376" s="1" t="s">
        <v>1812</v>
      </c>
      <c r="I1376" s="10" t="str">
        <f>IF(H1376="T45",1,IF(H1376="T45",3,IF(H1376="T61",6,IF(H1376="T61",10,IF(H1376="T93",14,IF(H1376="T93",18,IF(H1376="T61",22,"")))))))</f>
        <v/>
      </c>
      <c r="J1376" s="1" t="s">
        <v>1808</v>
      </c>
      <c r="K1376" s="10">
        <v>2</v>
      </c>
      <c r="L1376" s="10">
        <v>1</v>
      </c>
      <c r="O1376" s="6"/>
      <c r="Q1376" s="42" t="s">
        <v>2962</v>
      </c>
      <c r="R1376" s="42"/>
      <c r="S1376" s="1"/>
    </row>
    <row r="1377" spans="1:19" ht="18.75" hidden="1" customHeight="1" x14ac:dyDescent="0.3">
      <c r="A1377" s="10">
        <v>1376</v>
      </c>
      <c r="B1377" s="10">
        <f>_xlfn.XLOOKUP(1,(VALUE(D1377)&gt;=VALUE(block!$C$3:$C$500))*(VALUE(D1377)&lt;VALUE(block!$C$3:$C$500)+VALUE(block!$D$3:$D$500)),block!$A$3:$A$500,"无匹配",0,1)</f>
        <v>37</v>
      </c>
      <c r="C1377" s="3" t="str">
        <f>B1377 &amp; "-" &amp; COUNTIF($B$2:B1377, B1377)</f>
        <v>37-30</v>
      </c>
      <c r="D1377" s="10">
        <v>11444</v>
      </c>
      <c r="E1377" s="1" t="s">
        <v>4439</v>
      </c>
      <c r="F1377" s="1" t="s">
        <v>4440</v>
      </c>
      <c r="G1377" s="1" t="s">
        <v>1840</v>
      </c>
      <c r="H1377" s="1" t="s">
        <v>1812</v>
      </c>
      <c r="I1377" s="10" t="str">
        <f>IF(H1377="T46",1,IF(H1377="T46",3,IF(H1377="T62",6,IF(H1377="T62",10,IF(H1377="T94",14,IF(H1377="T94",18,IF(H1377="T62",22,"")))))))</f>
        <v/>
      </c>
      <c r="J1377" s="1" t="s">
        <v>1808</v>
      </c>
      <c r="K1377" s="10">
        <v>2</v>
      </c>
      <c r="L1377" s="10">
        <v>1</v>
      </c>
      <c r="O1377" s="6"/>
      <c r="Q1377" s="42" t="s">
        <v>2962</v>
      </c>
      <c r="R1377" s="42"/>
      <c r="S1377" s="1"/>
    </row>
    <row r="1378" spans="1:19" ht="18.75" hidden="1" customHeight="1" x14ac:dyDescent="0.3">
      <c r="A1378" s="10">
        <v>1377</v>
      </c>
      <c r="B1378" s="10">
        <f>_xlfn.XLOOKUP(1,(VALUE(D1378)&gt;=VALUE(block!$C$3:$C$500))*(VALUE(D1378)&lt;VALUE(block!$C$3:$C$500)+VALUE(block!$D$3:$D$500)),block!$A$3:$A$500,"无匹配",0,1)</f>
        <v>37</v>
      </c>
      <c r="C1378" s="3" t="str">
        <f>B1378 &amp; "-" &amp; COUNTIF($B$2:B1378, B1378)</f>
        <v>37-31</v>
      </c>
      <c r="D1378" s="10">
        <v>11446</v>
      </c>
      <c r="E1378" s="1" t="s">
        <v>4441</v>
      </c>
      <c r="F1378" s="1" t="s">
        <v>4442</v>
      </c>
      <c r="G1378" s="1" t="s">
        <v>1840</v>
      </c>
      <c r="H1378" s="1" t="s">
        <v>1812</v>
      </c>
      <c r="I1378" s="10" t="str">
        <f>IF(H1378="T47",1,IF(H1378="T47",3,IF(H1378="T63",6,IF(H1378="T63",10,IF(H1378="T95",14,IF(H1378="T95",18,IF(H1378="T63",22,"")))))))</f>
        <v/>
      </c>
      <c r="J1378" s="1" t="s">
        <v>1808</v>
      </c>
      <c r="K1378" s="10">
        <v>2</v>
      </c>
      <c r="L1378" s="10">
        <v>1</v>
      </c>
      <c r="O1378" s="6"/>
      <c r="Q1378" s="42" t="s">
        <v>2962</v>
      </c>
      <c r="R1378" s="42"/>
      <c r="S1378" s="1"/>
    </row>
    <row r="1379" spans="1:19" ht="18.75" hidden="1" customHeight="1" x14ac:dyDescent="0.3">
      <c r="A1379" s="10">
        <v>1378</v>
      </c>
      <c r="B1379" s="10">
        <f>_xlfn.XLOOKUP(1,(VALUE(D1379)&gt;=VALUE(block!$C$3:$C$500))*(VALUE(D1379)&lt;VALUE(block!$C$3:$C$500)+VALUE(block!$D$3:$D$500)),block!$A$3:$A$500,"无匹配",0,1)</f>
        <v>37</v>
      </c>
      <c r="C1379" s="3" t="str">
        <f>B1379 &amp; "-" &amp; COUNTIF($B$2:B1379, B1379)</f>
        <v>37-32</v>
      </c>
      <c r="D1379" s="10">
        <v>11448</v>
      </c>
      <c r="E1379" s="1" t="s">
        <v>4443</v>
      </c>
      <c r="F1379" s="1" t="s">
        <v>4444</v>
      </c>
      <c r="G1379" s="1" t="s">
        <v>1840</v>
      </c>
      <c r="H1379" s="1" t="s">
        <v>1812</v>
      </c>
      <c r="I1379" s="10" t="str">
        <f>IF(H1379="T48",1,IF(H1379="T48",3,IF(H1379="T64",6,IF(H1379="T64",10,IF(H1379="T96",14,IF(H1379="T96",18,IF(H1379="T64",22,"")))))))</f>
        <v/>
      </c>
      <c r="J1379" s="1" t="s">
        <v>1808</v>
      </c>
      <c r="K1379" s="10">
        <v>2</v>
      </c>
      <c r="L1379" s="10">
        <v>1</v>
      </c>
      <c r="O1379" s="6"/>
      <c r="Q1379" s="42" t="s">
        <v>2962</v>
      </c>
      <c r="R1379" s="42"/>
      <c r="S1379" s="1"/>
    </row>
    <row r="1380" spans="1:19" ht="18.75" hidden="1" customHeight="1" x14ac:dyDescent="0.3">
      <c r="A1380" s="10">
        <v>1379</v>
      </c>
      <c r="B1380" s="10">
        <f>_xlfn.XLOOKUP(1,(VALUE(D1380)&gt;=VALUE(block!$C$3:$C$500))*(VALUE(D1380)&lt;VALUE(block!$C$3:$C$500)+VALUE(block!$D$3:$D$500)),block!$A$3:$A$500,"无匹配",0,1)</f>
        <v>37</v>
      </c>
      <c r="C1380" s="3" t="str">
        <f>B1380 &amp; "-" &amp; COUNTIF($B$2:B1380, B1380)</f>
        <v>37-33</v>
      </c>
      <c r="D1380" s="10">
        <v>11450</v>
      </c>
      <c r="E1380" s="1" t="s">
        <v>4445</v>
      </c>
      <c r="F1380" s="1" t="s">
        <v>4446</v>
      </c>
      <c r="G1380" s="1" t="s">
        <v>1840</v>
      </c>
      <c r="H1380" s="1" t="s">
        <v>1812</v>
      </c>
      <c r="I1380" s="10" t="str">
        <f>IF(H1380="T49",1,IF(H1380="T49",3,IF(H1380="T65",6,IF(H1380="T65",10,IF(H1380="T97",14,IF(H1380="T97",18,IF(H1380="T65",22,"")))))))</f>
        <v/>
      </c>
      <c r="J1380" s="1" t="s">
        <v>1808</v>
      </c>
      <c r="K1380" s="10">
        <v>2</v>
      </c>
      <c r="L1380" s="10">
        <v>1</v>
      </c>
      <c r="O1380" s="6"/>
      <c r="Q1380" s="42" t="s">
        <v>2962</v>
      </c>
      <c r="R1380" s="42"/>
      <c r="S1380" s="1"/>
    </row>
    <row r="1381" spans="1:19" ht="18.75" hidden="1" customHeight="1" x14ac:dyDescent="0.3">
      <c r="A1381" s="10">
        <v>1380</v>
      </c>
      <c r="B1381" s="10">
        <f>_xlfn.XLOOKUP(1,(VALUE(D1381)&gt;=VALUE(block!$C$3:$C$500))*(VALUE(D1381)&lt;VALUE(block!$C$3:$C$500)+VALUE(block!$D$3:$D$500)),block!$A$3:$A$500,"无匹配",0,1)</f>
        <v>37</v>
      </c>
      <c r="C1381" s="3" t="str">
        <f>B1381 &amp; "-" &amp; COUNTIF($B$2:B1381, B1381)</f>
        <v>37-34</v>
      </c>
      <c r="D1381" s="10">
        <v>11452</v>
      </c>
      <c r="E1381" s="1" t="s">
        <v>4447</v>
      </c>
      <c r="F1381" s="1" t="s">
        <v>4448</v>
      </c>
      <c r="G1381" s="1" t="s">
        <v>1840</v>
      </c>
      <c r="H1381" s="1" t="s">
        <v>1812</v>
      </c>
      <c r="I1381" s="10" t="str">
        <f>IF(H1381="T50",1,IF(H1381="T50",3,IF(H1381="T66",6,IF(H1381="T66",10,IF(H1381="T98",14,IF(H1381="T98",18,IF(H1381="T66",22,"")))))))</f>
        <v/>
      </c>
      <c r="J1381" s="1" t="s">
        <v>1808</v>
      </c>
      <c r="K1381" s="10">
        <v>2</v>
      </c>
      <c r="L1381" s="10">
        <v>1</v>
      </c>
      <c r="O1381" s="6"/>
      <c r="Q1381" s="42" t="s">
        <v>2962</v>
      </c>
      <c r="R1381" s="42"/>
      <c r="S1381" s="1"/>
    </row>
    <row r="1382" spans="1:19" ht="18.75" customHeight="1" x14ac:dyDescent="0.3">
      <c r="A1382" s="10">
        <v>1381</v>
      </c>
      <c r="B1382" s="10">
        <f>_xlfn.XLOOKUP(1,(VALUE(D1382)&gt;=VALUE(block!$C$3:$C$500))*(VALUE(D1382)&lt;VALUE(block!$C$3:$C$500)+VALUE(block!$D$3:$D$500)),block!$A$3:$A$500,"无匹配",0,1)</f>
        <v>38</v>
      </c>
      <c r="C1382" s="3" t="str">
        <f>B1382 &amp; "-" &amp; COUNTIF($B$2:B1382, B1382)</f>
        <v>38-1</v>
      </c>
      <c r="D1382" s="10">
        <v>11454</v>
      </c>
      <c r="E1382" s="1" t="s">
        <v>4449</v>
      </c>
      <c r="F1382" s="1" t="s">
        <v>4450</v>
      </c>
      <c r="G1382" s="1" t="s">
        <v>1840</v>
      </c>
      <c r="H1382" s="1" t="s">
        <v>1812</v>
      </c>
      <c r="I1382" s="10" t="str">
        <f>IF(H1382="T51",1,IF(H1382="T51",3,IF(H1382="T67",6,IF(H1382="T67",10,IF(H1382="T99",14,IF(H1382="T99",18,IF(H1382="T67",22,"")))))))</f>
        <v/>
      </c>
      <c r="J1382" s="1" t="s">
        <v>1808</v>
      </c>
      <c r="K1382" s="10">
        <v>2</v>
      </c>
      <c r="L1382" s="10">
        <v>1</v>
      </c>
      <c r="N1382" s="10">
        <v>4</v>
      </c>
      <c r="O1382" s="6"/>
      <c r="P1382" s="45" t="s">
        <v>2826</v>
      </c>
      <c r="Q1382" s="6">
        <v>14</v>
      </c>
      <c r="R1382" s="6"/>
      <c r="S1382" s="1" t="s">
        <v>4450</v>
      </c>
    </row>
    <row r="1383" spans="1:19" ht="18.75" customHeight="1" x14ac:dyDescent="0.3">
      <c r="A1383" s="10">
        <v>1382</v>
      </c>
      <c r="B1383" s="10">
        <f>_xlfn.XLOOKUP(1,(VALUE(D1383)&gt;=VALUE(block!$C$3:$C$500))*(VALUE(D1383)&lt;VALUE(block!$C$3:$C$500)+VALUE(block!$D$3:$D$500)),block!$A$3:$A$500,"无匹配",0,1)</f>
        <v>38</v>
      </c>
      <c r="C1383" s="3" t="str">
        <f>B1383 &amp; "-" &amp; COUNTIF($B$2:B1383, B1383)</f>
        <v>38-2</v>
      </c>
      <c r="D1383" s="10">
        <v>11456</v>
      </c>
      <c r="E1383" s="1" t="s">
        <v>4451</v>
      </c>
      <c r="F1383" s="1" t="s">
        <v>4452</v>
      </c>
      <c r="G1383" s="1" t="s">
        <v>1840</v>
      </c>
      <c r="H1383" s="1" t="s">
        <v>1812</v>
      </c>
      <c r="I1383" s="10" t="str">
        <f>IF(H1383="T52",1,IF(H1383="T52",3,IF(H1383="T68",6,IF(H1383="T68",10,IF(H1383="T100",14,IF(H1383="T100",18,IF(H1383="T68",22,"")))))))</f>
        <v/>
      </c>
      <c r="J1383" s="1" t="s">
        <v>1808</v>
      </c>
      <c r="K1383" s="10">
        <v>2</v>
      </c>
      <c r="L1383" s="10">
        <v>1</v>
      </c>
      <c r="N1383" s="10">
        <v>4</v>
      </c>
      <c r="O1383" s="6"/>
      <c r="P1383" s="45" t="s">
        <v>2826</v>
      </c>
      <c r="Q1383" s="6">
        <v>14</v>
      </c>
      <c r="R1383" s="6"/>
      <c r="S1383" s="1" t="s">
        <v>4452</v>
      </c>
    </row>
    <row r="1384" spans="1:19" ht="18.75" customHeight="1" x14ac:dyDescent="0.3">
      <c r="A1384" s="10">
        <v>1383</v>
      </c>
      <c r="B1384" s="10">
        <f>_xlfn.XLOOKUP(1,(VALUE(D1384)&gt;=VALUE(block!$C$3:$C$500))*(VALUE(D1384)&lt;VALUE(block!$C$3:$C$500)+VALUE(block!$D$3:$D$500)),block!$A$3:$A$500,"无匹配",0,1)</f>
        <v>38</v>
      </c>
      <c r="C1384" s="3" t="str">
        <f>B1384 &amp; "-" &amp; COUNTIF($B$2:B1384, B1384)</f>
        <v>38-3</v>
      </c>
      <c r="D1384" s="10">
        <v>11458</v>
      </c>
      <c r="E1384" s="1" t="s">
        <v>4453</v>
      </c>
      <c r="F1384" s="1" t="s">
        <v>4454</v>
      </c>
      <c r="G1384" s="1" t="s">
        <v>1840</v>
      </c>
      <c r="H1384" s="1" t="s">
        <v>1812</v>
      </c>
      <c r="I1384" s="10" t="str">
        <f>IF(H1384="T53",1,IF(H1384="T53",3,IF(H1384="T69",6,IF(H1384="T69",10,IF(H1384="T101",14,IF(H1384="T101",18,IF(H1384="T69",22,"")))))))</f>
        <v/>
      </c>
      <c r="J1384" s="1" t="s">
        <v>1808</v>
      </c>
      <c r="K1384" s="10">
        <v>2</v>
      </c>
      <c r="L1384" s="10">
        <v>1</v>
      </c>
      <c r="N1384" s="10">
        <v>4</v>
      </c>
      <c r="O1384" s="6"/>
      <c r="P1384" s="45" t="s">
        <v>2826</v>
      </c>
      <c r="Q1384" s="6">
        <v>14</v>
      </c>
      <c r="R1384" s="6"/>
      <c r="S1384" s="1" t="s">
        <v>4454</v>
      </c>
    </row>
    <row r="1385" spans="1:19" ht="18.75" customHeight="1" x14ac:dyDescent="0.3">
      <c r="A1385" s="10">
        <v>1384</v>
      </c>
      <c r="B1385" s="10">
        <f>_xlfn.XLOOKUP(1,(VALUE(D1385)&gt;=VALUE(block!$C$3:$C$500))*(VALUE(D1385)&lt;VALUE(block!$C$3:$C$500)+VALUE(block!$D$3:$D$500)),block!$A$3:$A$500,"无匹配",0,1)</f>
        <v>38</v>
      </c>
      <c r="C1385" s="3" t="str">
        <f>B1385 &amp; "-" &amp; COUNTIF($B$2:B1385, B1385)</f>
        <v>38-4</v>
      </c>
      <c r="D1385" s="10">
        <v>11460</v>
      </c>
      <c r="E1385" s="1" t="s">
        <v>4455</v>
      </c>
      <c r="F1385" s="1" t="s">
        <v>4456</v>
      </c>
      <c r="G1385" s="1" t="s">
        <v>1840</v>
      </c>
      <c r="H1385" s="1" t="s">
        <v>1812</v>
      </c>
      <c r="I1385" s="10" t="str">
        <f>IF(H1385="T54",1,IF(H1385="T54",3,IF(H1385="T70",6,IF(H1385="T70",10,IF(H1385="T102",14,IF(H1385="T102",18,IF(H1385="T70",22,"")))))))</f>
        <v/>
      </c>
      <c r="J1385" s="1" t="s">
        <v>1808</v>
      </c>
      <c r="K1385" s="10">
        <v>2</v>
      </c>
      <c r="L1385" s="10">
        <v>1</v>
      </c>
      <c r="N1385" s="10">
        <v>4</v>
      </c>
      <c r="O1385" s="6"/>
      <c r="P1385" s="45" t="s">
        <v>2826</v>
      </c>
      <c r="Q1385" s="6">
        <v>14</v>
      </c>
      <c r="R1385" s="6"/>
      <c r="S1385" s="1" t="s">
        <v>4456</v>
      </c>
    </row>
    <row r="1386" spans="1:19" ht="18.75" hidden="1" customHeight="1" x14ac:dyDescent="0.3">
      <c r="A1386" s="10">
        <v>1385</v>
      </c>
      <c r="B1386" s="10">
        <f>_xlfn.XLOOKUP(1,(VALUE(D1386)&gt;=VALUE(block!$C$3:$C$500))*(VALUE(D1386)&lt;VALUE(block!$C$3:$C$500)+VALUE(block!$D$3:$D$500)),block!$A$3:$A$500,"无匹配",0,1)</f>
        <v>38</v>
      </c>
      <c r="C1386" s="3" t="str">
        <f>B1386 &amp; "-" &amp; COUNTIF($B$2:B1386, B1386)</f>
        <v>38-5</v>
      </c>
      <c r="D1386" s="10">
        <v>11462</v>
      </c>
      <c r="E1386" s="1" t="s">
        <v>4457</v>
      </c>
      <c r="F1386" s="1" t="s">
        <v>4458</v>
      </c>
      <c r="G1386" s="1" t="s">
        <v>1840</v>
      </c>
      <c r="H1386" s="1" t="s">
        <v>1812</v>
      </c>
      <c r="I1386" s="10" t="str">
        <f>IF(H1386="T55",1,IF(H1386="T55",3,IF(H1386="T71",6,IF(H1386="T71",10,IF(H1386="T103",14,IF(H1386="T103",18,IF(H1386="T71",22,"")))))))</f>
        <v/>
      </c>
      <c r="J1386" s="1" t="s">
        <v>1808</v>
      </c>
      <c r="K1386" s="10">
        <v>2</v>
      </c>
      <c r="L1386" s="10">
        <v>1</v>
      </c>
      <c r="O1386" s="6"/>
      <c r="Q1386" s="42" t="s">
        <v>2962</v>
      </c>
      <c r="R1386" s="42"/>
      <c r="S1386" s="1"/>
    </row>
    <row r="1387" spans="1:19" ht="18.75" hidden="1" customHeight="1" x14ac:dyDescent="0.3">
      <c r="A1387" s="10">
        <v>1386</v>
      </c>
      <c r="B1387" s="10">
        <f>_xlfn.XLOOKUP(1,(VALUE(D1387)&gt;=VALUE(block!$C$3:$C$500))*(VALUE(D1387)&lt;VALUE(block!$C$3:$C$500)+VALUE(block!$D$3:$D$500)),block!$A$3:$A$500,"无匹配",0,1)</f>
        <v>38</v>
      </c>
      <c r="C1387" s="3" t="str">
        <f>B1387 &amp; "-" &amp; COUNTIF($B$2:B1387, B1387)</f>
        <v>38-6</v>
      </c>
      <c r="D1387" s="10">
        <v>11464</v>
      </c>
      <c r="E1387" s="1" t="s">
        <v>4459</v>
      </c>
      <c r="F1387" s="1" t="s">
        <v>4460</v>
      </c>
      <c r="G1387" s="1" t="s">
        <v>1840</v>
      </c>
      <c r="H1387" s="1" t="s">
        <v>1812</v>
      </c>
      <c r="I1387" s="10" t="str">
        <f>IF(H1387="T56",1,IF(H1387="T56",3,IF(H1387="T72",6,IF(H1387="T72",10,IF(H1387="T104",14,IF(H1387="T104",18,IF(H1387="T72",22,"")))))))</f>
        <v/>
      </c>
      <c r="J1387" s="1" t="s">
        <v>1808</v>
      </c>
      <c r="K1387" s="10">
        <v>2</v>
      </c>
      <c r="L1387" s="10">
        <v>1</v>
      </c>
      <c r="O1387" s="6"/>
      <c r="Q1387" s="42" t="s">
        <v>2962</v>
      </c>
      <c r="R1387" s="42"/>
      <c r="S1387" s="1"/>
    </row>
    <row r="1388" spans="1:19" ht="18.75" hidden="1" customHeight="1" x14ac:dyDescent="0.3">
      <c r="A1388" s="10">
        <v>1387</v>
      </c>
      <c r="B1388" s="10">
        <f>_xlfn.XLOOKUP(1,(VALUE(D1388)&gt;=VALUE(block!$C$3:$C$500))*(VALUE(D1388)&lt;VALUE(block!$C$3:$C$500)+VALUE(block!$D$3:$D$500)),block!$A$3:$A$500,"无匹配",0,1)</f>
        <v>38</v>
      </c>
      <c r="C1388" s="3" t="str">
        <f>B1388 &amp; "-" &amp; COUNTIF($B$2:B1388, B1388)</f>
        <v>38-7</v>
      </c>
      <c r="D1388" s="10">
        <v>11466</v>
      </c>
      <c r="E1388" s="1" t="s">
        <v>4461</v>
      </c>
      <c r="F1388" s="1" t="s">
        <v>4462</v>
      </c>
      <c r="G1388" s="1" t="s">
        <v>1840</v>
      </c>
      <c r="H1388" s="1" t="s">
        <v>1812</v>
      </c>
      <c r="I1388" s="10" t="str">
        <f>IF(H1388="T57",1,IF(H1388="T57",3,IF(H1388="T73",6,IF(H1388="T73",10,IF(H1388="T105",14,IF(H1388="T105",18,IF(H1388="T73",22,"")))))))</f>
        <v/>
      </c>
      <c r="J1388" s="1" t="s">
        <v>1808</v>
      </c>
      <c r="K1388" s="10">
        <v>2</v>
      </c>
      <c r="L1388" s="10">
        <v>1</v>
      </c>
      <c r="O1388" s="6"/>
      <c r="Q1388" s="42" t="s">
        <v>2962</v>
      </c>
      <c r="R1388" s="42"/>
      <c r="S1388" s="1"/>
    </row>
    <row r="1389" spans="1:19" ht="18.75" hidden="1" customHeight="1" x14ac:dyDescent="0.3">
      <c r="A1389" s="10">
        <v>1388</v>
      </c>
      <c r="B1389" s="10">
        <f>_xlfn.XLOOKUP(1,(VALUE(D1389)&gt;=VALUE(block!$C$3:$C$500))*(VALUE(D1389)&lt;VALUE(block!$C$3:$C$500)+VALUE(block!$D$3:$D$500)),block!$A$3:$A$500,"无匹配",0,1)</f>
        <v>38</v>
      </c>
      <c r="C1389" s="3" t="str">
        <f>B1389 &amp; "-" &amp; COUNTIF($B$2:B1389, B1389)</f>
        <v>38-8</v>
      </c>
      <c r="D1389" s="10">
        <v>11468</v>
      </c>
      <c r="E1389" s="1" t="s">
        <v>4463</v>
      </c>
      <c r="F1389" s="1" t="s">
        <v>4464</v>
      </c>
      <c r="G1389" s="1" t="s">
        <v>1840</v>
      </c>
      <c r="H1389" s="1" t="s">
        <v>1812</v>
      </c>
      <c r="I1389" s="10" t="str">
        <f>IF(H1389="T58",1,IF(H1389="T58",3,IF(H1389="T74",6,IF(H1389="T74",10,IF(H1389="T106",14,IF(H1389="T106",18,IF(H1389="T74",22,"")))))))</f>
        <v/>
      </c>
      <c r="J1389" s="1" t="s">
        <v>1808</v>
      </c>
      <c r="K1389" s="10">
        <v>2</v>
      </c>
      <c r="L1389" s="10">
        <v>1</v>
      </c>
      <c r="O1389" s="6"/>
      <c r="Q1389" s="42" t="s">
        <v>2962</v>
      </c>
      <c r="R1389" s="42"/>
      <c r="S1389" s="1"/>
    </row>
    <row r="1390" spans="1:19" ht="18.75" hidden="1" customHeight="1" x14ac:dyDescent="0.3">
      <c r="A1390" s="10">
        <v>1389</v>
      </c>
      <c r="B1390" s="10">
        <f>_xlfn.XLOOKUP(1,(VALUE(D1390)&gt;=VALUE(block!$C$3:$C$500))*(VALUE(D1390)&lt;VALUE(block!$C$3:$C$500)+VALUE(block!$D$3:$D$500)),block!$A$3:$A$500,"无匹配",0,1)</f>
        <v>38</v>
      </c>
      <c r="C1390" s="3" t="str">
        <f>B1390 &amp; "-" &amp; COUNTIF($B$2:B1390, B1390)</f>
        <v>38-9</v>
      </c>
      <c r="D1390" s="10">
        <v>11470</v>
      </c>
      <c r="E1390" s="1" t="s">
        <v>4465</v>
      </c>
      <c r="F1390" s="1" t="s">
        <v>4466</v>
      </c>
      <c r="G1390" s="1" t="s">
        <v>1840</v>
      </c>
      <c r="H1390" s="1" t="s">
        <v>1812</v>
      </c>
      <c r="I1390" s="10" t="str">
        <f>IF(H1390="T59",1,IF(H1390="T59",3,IF(H1390="T75",6,IF(H1390="T75",10,IF(H1390="T107",14,IF(H1390="T107",18,IF(H1390="T75",22,"")))))))</f>
        <v/>
      </c>
      <c r="J1390" s="1" t="s">
        <v>1808</v>
      </c>
      <c r="K1390" s="10">
        <v>2</v>
      </c>
      <c r="L1390" s="10">
        <v>1</v>
      </c>
      <c r="O1390" s="6"/>
      <c r="Q1390" s="42" t="s">
        <v>2962</v>
      </c>
      <c r="R1390" s="42"/>
      <c r="S1390" s="1"/>
    </row>
    <row r="1391" spans="1:19" ht="18.75" hidden="1" customHeight="1" x14ac:dyDescent="0.3">
      <c r="A1391" s="10">
        <v>1390</v>
      </c>
      <c r="B1391" s="10">
        <f>_xlfn.XLOOKUP(1,(VALUE(D1391)&gt;=VALUE(block!$C$3:$C$500))*(VALUE(D1391)&lt;VALUE(block!$C$3:$C$500)+VALUE(block!$D$3:$D$500)),block!$A$3:$A$500,"无匹配",0,1)</f>
        <v>38</v>
      </c>
      <c r="C1391" s="3" t="str">
        <f>B1391 &amp; "-" &amp; COUNTIF($B$2:B1391, B1391)</f>
        <v>38-10</v>
      </c>
      <c r="D1391" s="10">
        <v>11472</v>
      </c>
      <c r="E1391" s="1" t="s">
        <v>4467</v>
      </c>
      <c r="F1391" s="1" t="s">
        <v>4468</v>
      </c>
      <c r="G1391" s="1" t="s">
        <v>1840</v>
      </c>
      <c r="H1391" s="1" t="s">
        <v>1812</v>
      </c>
      <c r="I1391" s="10" t="str">
        <f>IF(H1391="T60",1,IF(H1391="T60",3,IF(H1391="T76",6,IF(H1391="T76",10,IF(H1391="T108",14,IF(H1391="T108",18,IF(H1391="T76",22,"")))))))</f>
        <v/>
      </c>
      <c r="J1391" s="1" t="s">
        <v>1808</v>
      </c>
      <c r="K1391" s="10">
        <v>2</v>
      </c>
      <c r="L1391" s="10">
        <v>1</v>
      </c>
      <c r="O1391" s="6"/>
      <c r="Q1391" s="42" t="s">
        <v>2962</v>
      </c>
      <c r="R1391" s="42"/>
      <c r="S1391" s="1"/>
    </row>
    <row r="1392" spans="1:19" ht="18.75" hidden="1" customHeight="1" x14ac:dyDescent="0.3">
      <c r="A1392" s="10">
        <v>1391</v>
      </c>
      <c r="B1392" s="10">
        <f>_xlfn.XLOOKUP(1,(VALUE(D1392)&gt;=VALUE(block!$C$3:$C$500))*(VALUE(D1392)&lt;VALUE(block!$C$3:$C$500)+VALUE(block!$D$3:$D$500)),block!$A$3:$A$500,"无匹配",0,1)</f>
        <v>38</v>
      </c>
      <c r="C1392" s="3" t="str">
        <f>B1392 &amp; "-" &amp; COUNTIF($B$2:B1392, B1392)</f>
        <v>38-11</v>
      </c>
      <c r="D1392" s="10">
        <v>11474</v>
      </c>
      <c r="E1392" s="1" t="s">
        <v>4469</v>
      </c>
      <c r="F1392" s="1" t="s">
        <v>4470</v>
      </c>
      <c r="G1392" s="1" t="s">
        <v>1840</v>
      </c>
      <c r="H1392" s="1" t="s">
        <v>1812</v>
      </c>
      <c r="I1392" s="10" t="str">
        <f>IF(H1392="T61",1,IF(H1392="T61",3,IF(H1392="T77",6,IF(H1392="T77",10,IF(H1392="T109",14,IF(H1392="T109",18,IF(H1392="T77",22,"")))))))</f>
        <v/>
      </c>
      <c r="J1392" s="1" t="s">
        <v>1808</v>
      </c>
      <c r="K1392" s="10">
        <v>2</v>
      </c>
      <c r="L1392" s="10">
        <v>1</v>
      </c>
      <c r="O1392" s="6"/>
      <c r="Q1392" s="42" t="s">
        <v>2962</v>
      </c>
      <c r="R1392" s="42"/>
      <c r="S1392" s="1"/>
    </row>
    <row r="1393" spans="1:19" ht="18.75" hidden="1" customHeight="1" x14ac:dyDescent="0.3">
      <c r="A1393" s="10">
        <v>1392</v>
      </c>
      <c r="B1393" s="10">
        <f>_xlfn.XLOOKUP(1,(VALUE(D1393)&gt;=VALUE(block!$C$3:$C$500))*(VALUE(D1393)&lt;VALUE(block!$C$3:$C$500)+VALUE(block!$D$3:$D$500)),block!$A$3:$A$500,"无匹配",0,1)</f>
        <v>38</v>
      </c>
      <c r="C1393" s="3" t="str">
        <f>B1393 &amp; "-" &amp; COUNTIF($B$2:B1393, B1393)</f>
        <v>38-12</v>
      </c>
      <c r="D1393" s="10">
        <v>11476</v>
      </c>
      <c r="E1393" s="1" t="s">
        <v>4471</v>
      </c>
      <c r="F1393" s="1" t="s">
        <v>4472</v>
      </c>
      <c r="G1393" s="1" t="s">
        <v>1840</v>
      </c>
      <c r="H1393" s="1" t="s">
        <v>1812</v>
      </c>
      <c r="I1393" s="10" t="str">
        <f>IF(H1393="T62",1,IF(H1393="T62",3,IF(H1393="T78",6,IF(H1393="T78",10,IF(H1393="T110",14,IF(H1393="T110",18,IF(H1393="T78",22,"")))))))</f>
        <v/>
      </c>
      <c r="J1393" s="1" t="s">
        <v>1808</v>
      </c>
      <c r="K1393" s="10">
        <v>2</v>
      </c>
      <c r="L1393" s="10">
        <v>1</v>
      </c>
      <c r="O1393" s="6"/>
      <c r="Q1393" s="42" t="s">
        <v>2962</v>
      </c>
      <c r="R1393" s="42"/>
      <c r="S1393" s="1"/>
    </row>
    <row r="1394" spans="1:19" ht="18.75" hidden="1" customHeight="1" x14ac:dyDescent="0.3">
      <c r="A1394" s="10">
        <v>1393</v>
      </c>
      <c r="B1394" s="10">
        <f>_xlfn.XLOOKUP(1,(VALUE(D1394)&gt;=VALUE(block!$C$3:$C$500))*(VALUE(D1394)&lt;VALUE(block!$C$3:$C$500)+VALUE(block!$D$3:$D$500)),block!$A$3:$A$500,"无匹配",0,1)</f>
        <v>38</v>
      </c>
      <c r="C1394" s="3" t="str">
        <f>B1394 &amp; "-" &amp; COUNTIF($B$2:B1394, B1394)</f>
        <v>38-13</v>
      </c>
      <c r="D1394" s="10">
        <v>11478</v>
      </c>
      <c r="E1394" s="1" t="s">
        <v>4473</v>
      </c>
      <c r="F1394" s="1" t="s">
        <v>4474</v>
      </c>
      <c r="G1394" s="1" t="s">
        <v>1840</v>
      </c>
      <c r="H1394" s="1" t="s">
        <v>1812</v>
      </c>
      <c r="I1394" s="10" t="str">
        <f>IF(H1394="T63",1,IF(H1394="T63",3,IF(H1394="T79",6,IF(H1394="T79",10,IF(H1394="T111",14,IF(H1394="T111",18,IF(H1394="T79",22,"")))))))</f>
        <v/>
      </c>
      <c r="J1394" s="1" t="s">
        <v>1808</v>
      </c>
      <c r="K1394" s="10">
        <v>2</v>
      </c>
      <c r="L1394" s="10">
        <v>1</v>
      </c>
      <c r="O1394" s="6"/>
      <c r="Q1394" s="42" t="s">
        <v>2962</v>
      </c>
      <c r="R1394" s="42"/>
      <c r="S1394" s="1"/>
    </row>
    <row r="1395" spans="1:19" ht="18.75" hidden="1" customHeight="1" x14ac:dyDescent="0.3">
      <c r="A1395" s="10">
        <v>1394</v>
      </c>
      <c r="B1395" s="10">
        <f>_xlfn.XLOOKUP(1,(VALUE(D1395)&gt;=VALUE(block!$C$3:$C$500))*(VALUE(D1395)&lt;VALUE(block!$C$3:$C$500)+VALUE(block!$D$3:$D$500)),block!$A$3:$A$500,"无匹配",0,1)</f>
        <v>38</v>
      </c>
      <c r="C1395" s="3" t="str">
        <f>B1395 &amp; "-" &amp; COUNTIF($B$2:B1395, B1395)</f>
        <v>38-14</v>
      </c>
      <c r="D1395" s="10">
        <v>11480</v>
      </c>
      <c r="E1395" s="1" t="s">
        <v>4475</v>
      </c>
      <c r="F1395" s="1" t="s">
        <v>4476</v>
      </c>
      <c r="G1395" s="1" t="s">
        <v>1840</v>
      </c>
      <c r="H1395" s="1" t="s">
        <v>1812</v>
      </c>
      <c r="I1395" s="10" t="str">
        <f>IF(H1395="T64",1,IF(H1395="T64",3,IF(H1395="T80",6,IF(H1395="T80",10,IF(H1395="T112",14,IF(H1395="T112",18,IF(H1395="T80",22,"")))))))</f>
        <v/>
      </c>
      <c r="J1395" s="1" t="s">
        <v>1808</v>
      </c>
      <c r="K1395" s="10">
        <v>2</v>
      </c>
      <c r="L1395" s="10">
        <v>1</v>
      </c>
      <c r="O1395" s="6"/>
      <c r="Q1395" s="42" t="s">
        <v>2962</v>
      </c>
      <c r="R1395" s="42"/>
      <c r="S1395" s="1"/>
    </row>
    <row r="1396" spans="1:19" ht="18.75" hidden="1" customHeight="1" x14ac:dyDescent="0.3">
      <c r="A1396" s="10">
        <v>1395</v>
      </c>
      <c r="B1396" s="10">
        <f>_xlfn.XLOOKUP(1,(VALUE(D1396)&gt;=VALUE(block!$C$3:$C$500))*(VALUE(D1396)&lt;VALUE(block!$C$3:$C$500)+VALUE(block!$D$3:$D$500)),block!$A$3:$A$500,"无匹配",0,1)</f>
        <v>38</v>
      </c>
      <c r="C1396" s="3" t="str">
        <f>B1396 &amp; "-" &amp; COUNTIF($B$2:B1396, B1396)</f>
        <v>38-15</v>
      </c>
      <c r="D1396" s="10">
        <v>11482</v>
      </c>
      <c r="E1396" s="1" t="s">
        <v>4477</v>
      </c>
      <c r="F1396" s="1" t="s">
        <v>4478</v>
      </c>
      <c r="G1396" s="1" t="s">
        <v>1840</v>
      </c>
      <c r="H1396" s="1" t="s">
        <v>1812</v>
      </c>
      <c r="I1396" s="10" t="str">
        <f>IF(H1396="T65",1,IF(H1396="T65",3,IF(H1396="T81",6,IF(H1396="T81",10,IF(H1396="T113",14,IF(H1396="T113",18,IF(H1396="T81",22,"")))))))</f>
        <v/>
      </c>
      <c r="J1396" s="1" t="s">
        <v>1808</v>
      </c>
      <c r="K1396" s="10">
        <v>2</v>
      </c>
      <c r="L1396" s="10">
        <v>1</v>
      </c>
      <c r="O1396" s="6"/>
      <c r="Q1396" s="42" t="s">
        <v>2962</v>
      </c>
      <c r="R1396" s="42"/>
      <c r="S1396" s="1"/>
    </row>
    <row r="1397" spans="1:19" ht="18.75" hidden="1" customHeight="1" x14ac:dyDescent="0.3">
      <c r="A1397" s="10">
        <v>1396</v>
      </c>
      <c r="B1397" s="10">
        <f>_xlfn.XLOOKUP(1,(VALUE(D1397)&gt;=VALUE(block!$C$3:$C$500))*(VALUE(D1397)&lt;VALUE(block!$C$3:$C$500)+VALUE(block!$D$3:$D$500)),block!$A$3:$A$500,"无匹配",0,1)</f>
        <v>38</v>
      </c>
      <c r="C1397" s="3" t="str">
        <f>B1397 &amp; "-" &amp; COUNTIF($B$2:B1397, B1397)</f>
        <v>38-16</v>
      </c>
      <c r="D1397" s="10">
        <v>11484</v>
      </c>
      <c r="E1397" s="1" t="s">
        <v>4479</v>
      </c>
      <c r="F1397" s="1" t="s">
        <v>4480</v>
      </c>
      <c r="G1397" s="1" t="s">
        <v>1840</v>
      </c>
      <c r="H1397" s="1" t="s">
        <v>1812</v>
      </c>
      <c r="I1397" s="10" t="str">
        <f>IF(H1397="T66",1,IF(H1397="T66",3,IF(H1397="T82",6,IF(H1397="T82",10,IF(H1397="T114",14,IF(H1397="T114",18,IF(H1397="T82",22,"")))))))</f>
        <v/>
      </c>
      <c r="J1397" s="1" t="s">
        <v>1808</v>
      </c>
      <c r="K1397" s="10">
        <v>2</v>
      </c>
      <c r="L1397" s="10">
        <v>1</v>
      </c>
      <c r="O1397" s="6"/>
      <c r="Q1397" s="42" t="s">
        <v>2962</v>
      </c>
      <c r="R1397" s="42"/>
      <c r="S1397" s="1"/>
    </row>
    <row r="1398" spans="1:19" ht="18.75" hidden="1" customHeight="1" x14ac:dyDescent="0.3">
      <c r="A1398" s="10">
        <v>1397</v>
      </c>
      <c r="B1398" s="10">
        <f>_xlfn.XLOOKUP(1,(VALUE(D1398)&gt;=VALUE(block!$C$3:$C$500))*(VALUE(D1398)&lt;VALUE(block!$C$3:$C$500)+VALUE(block!$D$3:$D$500)),block!$A$3:$A$500,"无匹配",0,1)</f>
        <v>38</v>
      </c>
      <c r="C1398" s="3" t="str">
        <f>B1398 &amp; "-" &amp; COUNTIF($B$2:B1398, B1398)</f>
        <v>38-17</v>
      </c>
      <c r="D1398" s="10">
        <v>11486</v>
      </c>
      <c r="E1398" s="1" t="s">
        <v>4481</v>
      </c>
      <c r="F1398" s="1" t="s">
        <v>4482</v>
      </c>
      <c r="G1398" s="1" t="s">
        <v>1840</v>
      </c>
      <c r="H1398" s="1" t="s">
        <v>1812</v>
      </c>
      <c r="I1398" s="10" t="str">
        <f>IF(H1398="T67",1,IF(H1398="T67",3,IF(H1398="T83",6,IF(H1398="T83",10,IF(H1398="T115",14,IF(H1398="T115",18,IF(H1398="T83",22,"")))))))</f>
        <v/>
      </c>
      <c r="J1398" s="1" t="s">
        <v>1808</v>
      </c>
      <c r="K1398" s="10">
        <v>2</v>
      </c>
      <c r="L1398" s="10">
        <v>1</v>
      </c>
      <c r="O1398" s="6"/>
      <c r="Q1398" s="42" t="s">
        <v>2962</v>
      </c>
      <c r="R1398" s="42"/>
      <c r="S1398" s="1"/>
    </row>
    <row r="1399" spans="1:19" ht="18.75" hidden="1" customHeight="1" x14ac:dyDescent="0.3">
      <c r="A1399" s="10">
        <v>1398</v>
      </c>
      <c r="B1399" s="10">
        <f>_xlfn.XLOOKUP(1,(VALUE(D1399)&gt;=VALUE(block!$C$3:$C$500))*(VALUE(D1399)&lt;VALUE(block!$C$3:$C$500)+VALUE(block!$D$3:$D$500)),block!$A$3:$A$500,"无匹配",0,1)</f>
        <v>38</v>
      </c>
      <c r="C1399" s="3" t="str">
        <f>B1399 &amp; "-" &amp; COUNTIF($B$2:B1399, B1399)</f>
        <v>38-18</v>
      </c>
      <c r="D1399" s="10">
        <v>11488</v>
      </c>
      <c r="E1399" s="1" t="s">
        <v>4483</v>
      </c>
      <c r="F1399" s="1" t="s">
        <v>4484</v>
      </c>
      <c r="G1399" s="1" t="s">
        <v>1840</v>
      </c>
      <c r="H1399" s="1" t="s">
        <v>1812</v>
      </c>
      <c r="I1399" s="10" t="str">
        <f>IF(H1399="T68",1,IF(H1399="T68",3,IF(H1399="T84",6,IF(H1399="T84",10,IF(H1399="T116",14,IF(H1399="T116",18,IF(H1399="T84",22,"")))))))</f>
        <v/>
      </c>
      <c r="J1399" s="1" t="s">
        <v>1808</v>
      </c>
      <c r="K1399" s="10">
        <v>2</v>
      </c>
      <c r="L1399" s="10">
        <v>1</v>
      </c>
      <c r="O1399" s="6"/>
      <c r="Q1399" s="42" t="s">
        <v>2962</v>
      </c>
      <c r="R1399" s="42"/>
      <c r="S1399" s="1"/>
    </row>
    <row r="1400" spans="1:19" ht="18.75" hidden="1" customHeight="1" x14ac:dyDescent="0.3">
      <c r="A1400" s="10">
        <v>1399</v>
      </c>
      <c r="B1400" s="10">
        <f>_xlfn.XLOOKUP(1,(VALUE(D1400)&gt;=VALUE(block!$C$3:$C$500))*(VALUE(D1400)&lt;VALUE(block!$C$3:$C$500)+VALUE(block!$D$3:$D$500)),block!$A$3:$A$500,"无匹配",0,1)</f>
        <v>38</v>
      </c>
      <c r="C1400" s="3" t="str">
        <f>B1400 &amp; "-" &amp; COUNTIF($B$2:B1400, B1400)</f>
        <v>38-19</v>
      </c>
      <c r="D1400" s="10">
        <v>11490</v>
      </c>
      <c r="E1400" s="1" t="s">
        <v>4485</v>
      </c>
      <c r="F1400" s="1" t="s">
        <v>4486</v>
      </c>
      <c r="G1400" s="1" t="s">
        <v>1840</v>
      </c>
      <c r="H1400" s="1" t="s">
        <v>1812</v>
      </c>
      <c r="I1400" s="10" t="str">
        <f>IF(H1400="T69",1,IF(H1400="T69",3,IF(H1400="T85",6,IF(H1400="T85",10,IF(H1400="T117",14,IF(H1400="T117",18,IF(H1400="T85",22,"")))))))</f>
        <v/>
      </c>
      <c r="J1400" s="1" t="s">
        <v>1808</v>
      </c>
      <c r="K1400" s="10">
        <v>2</v>
      </c>
      <c r="L1400" s="10">
        <v>1</v>
      </c>
      <c r="O1400" s="6"/>
      <c r="Q1400" s="42" t="s">
        <v>2962</v>
      </c>
      <c r="R1400" s="42"/>
      <c r="S1400" s="1"/>
    </row>
    <row r="1401" spans="1:19" ht="18.75" hidden="1" customHeight="1" x14ac:dyDescent="0.3">
      <c r="A1401" s="10">
        <v>1400</v>
      </c>
      <c r="B1401" s="10">
        <f>_xlfn.XLOOKUP(1,(VALUE(D1401)&gt;=VALUE(block!$C$3:$C$500))*(VALUE(D1401)&lt;VALUE(block!$C$3:$C$500)+VALUE(block!$D$3:$D$500)),block!$A$3:$A$500,"无匹配",0,1)</f>
        <v>38</v>
      </c>
      <c r="C1401" s="3" t="str">
        <f>B1401 &amp; "-" &amp; COUNTIF($B$2:B1401, B1401)</f>
        <v>38-20</v>
      </c>
      <c r="D1401" s="10">
        <v>11492</v>
      </c>
      <c r="E1401" s="1" t="s">
        <v>4487</v>
      </c>
      <c r="F1401" s="1" t="s">
        <v>4488</v>
      </c>
      <c r="G1401" s="1" t="s">
        <v>1840</v>
      </c>
      <c r="H1401" s="1" t="s">
        <v>1812</v>
      </c>
      <c r="I1401" s="10" t="str">
        <f>IF(H1401="T70",1,IF(H1401="T70",3,IF(H1401="T86",6,IF(H1401="T86",10,IF(H1401="T118",14,IF(H1401="T118",18,IF(H1401="T86",22,"")))))))</f>
        <v/>
      </c>
      <c r="J1401" s="1" t="s">
        <v>1808</v>
      </c>
      <c r="K1401" s="10">
        <v>2</v>
      </c>
      <c r="L1401" s="10">
        <v>1</v>
      </c>
      <c r="O1401" s="6"/>
      <c r="Q1401" s="42" t="s">
        <v>2962</v>
      </c>
      <c r="R1401" s="42"/>
      <c r="S1401" s="1"/>
    </row>
    <row r="1402" spans="1:19" ht="18.75" hidden="1" customHeight="1" x14ac:dyDescent="0.3">
      <c r="A1402" s="10">
        <v>1401</v>
      </c>
      <c r="B1402" s="10">
        <f>_xlfn.XLOOKUP(1,(VALUE(D1402)&gt;=VALUE(block!$C$3:$C$500))*(VALUE(D1402)&lt;VALUE(block!$C$3:$C$500)+VALUE(block!$D$3:$D$500)),block!$A$3:$A$500,"无匹配",0,1)</f>
        <v>38</v>
      </c>
      <c r="C1402" s="3" t="str">
        <f>B1402 &amp; "-" &amp; COUNTIF($B$2:B1402, B1402)</f>
        <v>38-21</v>
      </c>
      <c r="D1402" s="10">
        <v>11494</v>
      </c>
      <c r="E1402" s="1" t="s">
        <v>4489</v>
      </c>
      <c r="F1402" s="1" t="s">
        <v>4490</v>
      </c>
      <c r="G1402" s="1" t="s">
        <v>1840</v>
      </c>
      <c r="H1402" s="1" t="s">
        <v>1812</v>
      </c>
      <c r="I1402" s="10" t="str">
        <f>IF(H1402="T71",1,IF(H1402="T71",3,IF(H1402="T87",6,IF(H1402="T87",10,IF(H1402="T119",14,IF(H1402="T119",18,IF(H1402="T87",22,"")))))))</f>
        <v/>
      </c>
      <c r="J1402" s="1" t="s">
        <v>1808</v>
      </c>
      <c r="K1402" s="10">
        <v>2</v>
      </c>
      <c r="L1402" s="10">
        <v>1</v>
      </c>
      <c r="O1402" s="6"/>
      <c r="Q1402" s="42" t="s">
        <v>2962</v>
      </c>
      <c r="R1402" s="42"/>
      <c r="S1402" s="1"/>
    </row>
    <row r="1403" spans="1:19" ht="18.75" hidden="1" customHeight="1" x14ac:dyDescent="0.3">
      <c r="A1403" s="10">
        <v>1402</v>
      </c>
      <c r="B1403" s="10">
        <f>_xlfn.XLOOKUP(1,(VALUE(D1403)&gt;=VALUE(block!$C$3:$C$500))*(VALUE(D1403)&lt;VALUE(block!$C$3:$C$500)+VALUE(block!$D$3:$D$500)),block!$A$3:$A$500,"无匹配",0,1)</f>
        <v>38</v>
      </c>
      <c r="C1403" s="3" t="str">
        <f>B1403 &amp; "-" &amp; COUNTIF($B$2:B1403, B1403)</f>
        <v>38-22</v>
      </c>
      <c r="D1403" s="10">
        <v>11496</v>
      </c>
      <c r="E1403" s="1" t="s">
        <v>4491</v>
      </c>
      <c r="F1403" s="1" t="s">
        <v>4492</v>
      </c>
      <c r="G1403" s="1" t="s">
        <v>1840</v>
      </c>
      <c r="H1403" s="1" t="s">
        <v>1812</v>
      </c>
      <c r="I1403" s="10" t="str">
        <f>IF(H1403="T72",1,IF(H1403="T72",3,IF(H1403="T88",6,IF(H1403="T88",10,IF(H1403="T120",14,IF(H1403="T120",18,IF(H1403="T88",22,"")))))))</f>
        <v/>
      </c>
      <c r="J1403" s="1" t="s">
        <v>1808</v>
      </c>
      <c r="K1403" s="10">
        <v>2</v>
      </c>
      <c r="L1403" s="10">
        <v>1</v>
      </c>
      <c r="O1403" s="6"/>
      <c r="Q1403" s="42" t="s">
        <v>2962</v>
      </c>
      <c r="R1403" s="42"/>
      <c r="S1403" s="1"/>
    </row>
    <row r="1404" spans="1:19" ht="18.75" hidden="1" customHeight="1" x14ac:dyDescent="0.3">
      <c r="A1404" s="10">
        <v>1403</v>
      </c>
      <c r="B1404" s="10">
        <f>_xlfn.XLOOKUP(1,(VALUE(D1404)&gt;=VALUE(block!$C$3:$C$500))*(VALUE(D1404)&lt;VALUE(block!$C$3:$C$500)+VALUE(block!$D$3:$D$500)),block!$A$3:$A$500,"无匹配",0,1)</f>
        <v>38</v>
      </c>
      <c r="C1404" s="3" t="str">
        <f>B1404 &amp; "-" &amp; COUNTIF($B$2:B1404, B1404)</f>
        <v>38-23</v>
      </c>
      <c r="D1404" s="10">
        <v>11498</v>
      </c>
      <c r="E1404" s="1" t="s">
        <v>4493</v>
      </c>
      <c r="F1404" s="1" t="s">
        <v>4494</v>
      </c>
      <c r="G1404" s="1" t="s">
        <v>1840</v>
      </c>
      <c r="H1404" s="1" t="s">
        <v>1812</v>
      </c>
      <c r="I1404" s="10" t="str">
        <f>IF(H1404="T73",1,IF(H1404="T73",3,IF(H1404="T89",6,IF(H1404="T89",10,IF(H1404="T121",14,IF(H1404="T121",18,IF(H1404="T89",22,"")))))))</f>
        <v/>
      </c>
      <c r="J1404" s="1" t="s">
        <v>1808</v>
      </c>
      <c r="K1404" s="10">
        <v>2</v>
      </c>
      <c r="L1404" s="10">
        <v>1</v>
      </c>
      <c r="O1404" s="6"/>
      <c r="Q1404" s="42" t="s">
        <v>2962</v>
      </c>
      <c r="R1404" s="42"/>
      <c r="S1404" s="1"/>
    </row>
    <row r="1405" spans="1:19" ht="18.75" hidden="1" customHeight="1" x14ac:dyDescent="0.3">
      <c r="A1405" s="10">
        <v>1404</v>
      </c>
      <c r="B1405" s="10">
        <f>_xlfn.XLOOKUP(1,(VALUE(D1405)&gt;=VALUE(block!$C$3:$C$500))*(VALUE(D1405)&lt;VALUE(block!$C$3:$C$500)+VALUE(block!$D$3:$D$500)),block!$A$3:$A$500,"无匹配",0,1)</f>
        <v>38</v>
      </c>
      <c r="C1405" s="3" t="str">
        <f>B1405 &amp; "-" &amp; COUNTIF($B$2:B1405, B1405)</f>
        <v>38-24</v>
      </c>
      <c r="D1405" s="10">
        <v>11500</v>
      </c>
      <c r="E1405" s="1" t="s">
        <v>4495</v>
      </c>
      <c r="F1405" s="1" t="s">
        <v>4496</v>
      </c>
      <c r="G1405" s="1" t="s">
        <v>1840</v>
      </c>
      <c r="H1405" s="1" t="s">
        <v>1812</v>
      </c>
      <c r="I1405" s="10" t="str">
        <f>IF(H1405="T74",1,IF(H1405="T74",3,IF(H1405="T90",6,IF(H1405="T90",10,IF(H1405="T122",14,IF(H1405="T122",18,IF(H1405="T90",22,"")))))))</f>
        <v/>
      </c>
      <c r="J1405" s="1" t="s">
        <v>1808</v>
      </c>
      <c r="K1405" s="10">
        <v>2</v>
      </c>
      <c r="L1405" s="10">
        <v>1</v>
      </c>
      <c r="O1405" s="6"/>
      <c r="Q1405" s="42" t="s">
        <v>2962</v>
      </c>
      <c r="R1405" s="42"/>
      <c r="S1405" s="1"/>
    </row>
    <row r="1406" spans="1:19" ht="18.75" hidden="1" customHeight="1" x14ac:dyDescent="0.3">
      <c r="A1406" s="10">
        <v>1405</v>
      </c>
      <c r="B1406" s="10">
        <f>_xlfn.XLOOKUP(1,(VALUE(D1406)&gt;=VALUE(block!$C$3:$C$500))*(VALUE(D1406)&lt;VALUE(block!$C$3:$C$500)+VALUE(block!$D$3:$D$500)),block!$A$3:$A$500,"无匹配",0,1)</f>
        <v>38</v>
      </c>
      <c r="C1406" s="3" t="str">
        <f>B1406 &amp; "-" &amp; COUNTIF($B$2:B1406, B1406)</f>
        <v>38-25</v>
      </c>
      <c r="D1406" s="10">
        <v>11502</v>
      </c>
      <c r="E1406" s="1" t="s">
        <v>4497</v>
      </c>
      <c r="F1406" s="1" t="s">
        <v>4498</v>
      </c>
      <c r="G1406" s="1" t="s">
        <v>1840</v>
      </c>
      <c r="H1406" s="1" t="s">
        <v>1812</v>
      </c>
      <c r="I1406" s="10" t="str">
        <f>IF(H1406="T75",1,IF(H1406="T75",3,IF(H1406="T91",6,IF(H1406="T91",10,IF(H1406="T123",14,IF(H1406="T123",18,IF(H1406="T91",22,"")))))))</f>
        <v/>
      </c>
      <c r="J1406" s="1" t="s">
        <v>1808</v>
      </c>
      <c r="K1406" s="10">
        <v>2</v>
      </c>
      <c r="L1406" s="10">
        <v>1</v>
      </c>
      <c r="O1406" s="6"/>
      <c r="Q1406" s="42" t="s">
        <v>2962</v>
      </c>
      <c r="R1406" s="42"/>
      <c r="S1406" s="1"/>
    </row>
    <row r="1407" spans="1:19" ht="18.75" hidden="1" customHeight="1" x14ac:dyDescent="0.3">
      <c r="A1407" s="10">
        <v>1406</v>
      </c>
      <c r="B1407" s="10">
        <f>_xlfn.XLOOKUP(1,(VALUE(D1407)&gt;=VALUE(block!$C$3:$C$500))*(VALUE(D1407)&lt;VALUE(block!$C$3:$C$500)+VALUE(block!$D$3:$D$500)),block!$A$3:$A$500,"无匹配",0,1)</f>
        <v>38</v>
      </c>
      <c r="C1407" s="3" t="str">
        <f>B1407 &amp; "-" &amp; COUNTIF($B$2:B1407, B1407)</f>
        <v>38-26</v>
      </c>
      <c r="D1407" s="10">
        <v>11504</v>
      </c>
      <c r="E1407" s="1" t="s">
        <v>4499</v>
      </c>
      <c r="F1407" s="1" t="s">
        <v>4500</v>
      </c>
      <c r="G1407" s="1" t="s">
        <v>1840</v>
      </c>
      <c r="H1407" s="1" t="s">
        <v>1812</v>
      </c>
      <c r="I1407" s="10" t="str">
        <f>IF(H1407="T76",1,IF(H1407="T76",3,IF(H1407="T92",6,IF(H1407="T92",10,IF(H1407="T124",14,IF(H1407="T124",18,IF(H1407="T92",22,"")))))))</f>
        <v/>
      </c>
      <c r="J1407" s="1" t="s">
        <v>1808</v>
      </c>
      <c r="K1407" s="10">
        <v>2</v>
      </c>
      <c r="L1407" s="10">
        <v>1</v>
      </c>
      <c r="O1407" s="6"/>
      <c r="Q1407" s="42" t="s">
        <v>2962</v>
      </c>
      <c r="R1407" s="42"/>
      <c r="S1407" s="1"/>
    </row>
    <row r="1408" spans="1:19" ht="18.75" hidden="1" customHeight="1" x14ac:dyDescent="0.3">
      <c r="A1408" s="10">
        <v>1407</v>
      </c>
      <c r="B1408" s="10">
        <f>_xlfn.XLOOKUP(1,(VALUE(D1408)&gt;=VALUE(block!$C$3:$C$500))*(VALUE(D1408)&lt;VALUE(block!$C$3:$C$500)+VALUE(block!$D$3:$D$500)),block!$A$3:$A$500,"无匹配",0,1)</f>
        <v>38</v>
      </c>
      <c r="C1408" s="3" t="str">
        <f>B1408 &amp; "-" &amp; COUNTIF($B$2:B1408, B1408)</f>
        <v>38-27</v>
      </c>
      <c r="D1408" s="10">
        <v>11506</v>
      </c>
      <c r="E1408" s="1" t="s">
        <v>4501</v>
      </c>
      <c r="F1408" s="1" t="s">
        <v>4502</v>
      </c>
      <c r="G1408" s="1" t="s">
        <v>1840</v>
      </c>
      <c r="H1408" s="1" t="s">
        <v>1812</v>
      </c>
      <c r="I1408" s="10" t="str">
        <f>IF(H1408="T77",1,IF(H1408="T77",3,IF(H1408="T93",6,IF(H1408="T93",10,IF(H1408="T125",14,IF(H1408="T125",18,IF(H1408="T93",22,"")))))))</f>
        <v/>
      </c>
      <c r="J1408" s="1" t="s">
        <v>1808</v>
      </c>
      <c r="K1408" s="10">
        <v>2</v>
      </c>
      <c r="L1408" s="10">
        <v>1</v>
      </c>
      <c r="O1408" s="6"/>
      <c r="Q1408" s="42" t="s">
        <v>2962</v>
      </c>
      <c r="R1408" s="42"/>
      <c r="S1408" s="1"/>
    </row>
    <row r="1409" spans="1:19" ht="18.75" hidden="1" customHeight="1" x14ac:dyDescent="0.3">
      <c r="A1409" s="10">
        <v>1408</v>
      </c>
      <c r="B1409" s="10">
        <f>_xlfn.XLOOKUP(1,(VALUE(D1409)&gt;=VALUE(block!$C$3:$C$500))*(VALUE(D1409)&lt;VALUE(block!$C$3:$C$500)+VALUE(block!$D$3:$D$500)),block!$A$3:$A$500,"无匹配",0,1)</f>
        <v>38</v>
      </c>
      <c r="C1409" s="3" t="str">
        <f>B1409 &amp; "-" &amp; COUNTIF($B$2:B1409, B1409)</f>
        <v>38-28</v>
      </c>
      <c r="D1409" s="10">
        <v>11508</v>
      </c>
      <c r="E1409" s="1" t="s">
        <v>4503</v>
      </c>
      <c r="F1409" s="1" t="s">
        <v>4504</v>
      </c>
      <c r="G1409" s="1" t="s">
        <v>1840</v>
      </c>
      <c r="H1409" s="1" t="s">
        <v>1812</v>
      </c>
      <c r="I1409" s="10" t="str">
        <f>IF(H1409="T78",1,IF(H1409="T78",3,IF(H1409="T94",6,IF(H1409="T94",10,IF(H1409="T126",14,IF(H1409="T126",18,IF(H1409="T94",22,"")))))))</f>
        <v/>
      </c>
      <c r="J1409" s="1" t="s">
        <v>1808</v>
      </c>
      <c r="K1409" s="10">
        <v>2</v>
      </c>
      <c r="L1409" s="10">
        <v>1</v>
      </c>
      <c r="O1409" s="6"/>
      <c r="Q1409" s="42" t="s">
        <v>2962</v>
      </c>
      <c r="R1409" s="42"/>
      <c r="S1409" s="1"/>
    </row>
    <row r="1410" spans="1:19" ht="18.75" hidden="1" customHeight="1" x14ac:dyDescent="0.3">
      <c r="A1410" s="10">
        <v>1409</v>
      </c>
      <c r="B1410" s="10">
        <f>_xlfn.XLOOKUP(1,(VALUE(D1410)&gt;=VALUE(block!$C$3:$C$500))*(VALUE(D1410)&lt;VALUE(block!$C$3:$C$500)+VALUE(block!$D$3:$D$500)),block!$A$3:$A$500,"无匹配",0,1)</f>
        <v>38</v>
      </c>
      <c r="C1410" s="3" t="str">
        <f>B1410 &amp; "-" &amp; COUNTIF($B$2:B1410, B1410)</f>
        <v>38-29</v>
      </c>
      <c r="D1410" s="10">
        <v>11510</v>
      </c>
      <c r="E1410" s="1" t="s">
        <v>4505</v>
      </c>
      <c r="F1410" s="1" t="s">
        <v>4506</v>
      </c>
      <c r="G1410" s="1" t="s">
        <v>1840</v>
      </c>
      <c r="H1410" s="1" t="s">
        <v>1812</v>
      </c>
      <c r="I1410" s="10" t="str">
        <f>IF(H1410="T79",1,IF(H1410="T79",3,IF(H1410="T95",6,IF(H1410="T95",10,IF(H1410="T127",14,IF(H1410="T127",18,IF(H1410="T95",22,"")))))))</f>
        <v/>
      </c>
      <c r="J1410" s="1" t="s">
        <v>1808</v>
      </c>
      <c r="K1410" s="10">
        <v>2</v>
      </c>
      <c r="L1410" s="10">
        <v>1</v>
      </c>
      <c r="O1410" s="6"/>
      <c r="Q1410" s="42" t="s">
        <v>2962</v>
      </c>
      <c r="R1410" s="42"/>
      <c r="S1410" s="1"/>
    </row>
    <row r="1411" spans="1:19" ht="18.75" hidden="1" customHeight="1" x14ac:dyDescent="0.3">
      <c r="A1411" s="10">
        <v>1410</v>
      </c>
      <c r="B1411" s="10">
        <f>_xlfn.XLOOKUP(1,(VALUE(D1411)&gt;=VALUE(block!$C$3:$C$500))*(VALUE(D1411)&lt;VALUE(block!$C$3:$C$500)+VALUE(block!$D$3:$D$500)),block!$A$3:$A$500,"无匹配",0,1)</f>
        <v>38</v>
      </c>
      <c r="C1411" s="3" t="str">
        <f>B1411 &amp; "-" &amp; COUNTIF($B$2:B1411, B1411)</f>
        <v>38-30</v>
      </c>
      <c r="D1411" s="10">
        <v>11512</v>
      </c>
      <c r="E1411" s="1" t="s">
        <v>4507</v>
      </c>
      <c r="F1411" s="1" t="s">
        <v>4508</v>
      </c>
      <c r="G1411" s="1" t="s">
        <v>1840</v>
      </c>
      <c r="H1411" s="1" t="s">
        <v>1812</v>
      </c>
      <c r="I1411" s="10">
        <f>IF(H1411="uint16",1,IF(H1411="int16",3,IF(H1411="uint32",6,IF(H1411="int32",10,IF(H1411="uint64",14,IF(H1411="int64",18,IF(H1411="float32",22,"")))))))</f>
        <v>22</v>
      </c>
      <c r="J1411" s="1" t="s">
        <v>1808</v>
      </c>
      <c r="K1411" s="10">
        <v>2</v>
      </c>
      <c r="L1411" s="10">
        <v>1</v>
      </c>
      <c r="O1411" s="6"/>
      <c r="Q1411" s="42" t="s">
        <v>2962</v>
      </c>
      <c r="R1411" s="42"/>
      <c r="S1411" s="1"/>
    </row>
    <row r="1412" spans="1:19" ht="18.75" hidden="1" customHeight="1" x14ac:dyDescent="0.3">
      <c r="A1412" s="10">
        <v>1411</v>
      </c>
      <c r="B1412" s="10">
        <f>_xlfn.XLOOKUP(1,(VALUE(D1412)&gt;=VALUE(block!$C$3:$C$500))*(VALUE(D1412)&lt;VALUE(block!$C$3:$C$500)+VALUE(block!$D$3:$D$500)),block!$A$3:$A$500,"无匹配",0,1)</f>
        <v>38</v>
      </c>
      <c r="C1412" s="3" t="str">
        <f>B1412 &amp; "-" &amp; COUNTIF($B$2:B1412, B1412)</f>
        <v>38-31</v>
      </c>
      <c r="D1412" s="10">
        <v>11514</v>
      </c>
      <c r="E1412" s="1" t="s">
        <v>4509</v>
      </c>
      <c r="F1412" s="1" t="s">
        <v>4510</v>
      </c>
      <c r="G1412" s="1" t="s">
        <v>1840</v>
      </c>
      <c r="H1412" s="1" t="s">
        <v>1812</v>
      </c>
      <c r="I1412" s="10" t="str">
        <f>IF(H1412="T17",1,IF(H1412="T17",3,IF(H1412="T33",6,IF(H1412="T33",10,IF(H1412="T65",14,IF(H1412="T65",18,IF(H1412="T33",22,"")))))))</f>
        <v/>
      </c>
      <c r="J1412" s="1" t="s">
        <v>1808</v>
      </c>
      <c r="K1412" s="10">
        <v>2</v>
      </c>
      <c r="L1412" s="10">
        <v>1</v>
      </c>
      <c r="O1412" s="6"/>
      <c r="Q1412" s="42" t="s">
        <v>2962</v>
      </c>
      <c r="R1412" s="42"/>
      <c r="S1412" s="1"/>
    </row>
    <row r="1413" spans="1:19" ht="18.75" hidden="1" customHeight="1" x14ac:dyDescent="0.3">
      <c r="A1413" s="10">
        <v>1412</v>
      </c>
      <c r="B1413" s="10">
        <f>_xlfn.XLOOKUP(1,(VALUE(D1413)&gt;=VALUE(block!$C$3:$C$500))*(VALUE(D1413)&lt;VALUE(block!$C$3:$C$500)+VALUE(block!$D$3:$D$500)),block!$A$3:$A$500,"无匹配",0,1)</f>
        <v>38</v>
      </c>
      <c r="C1413" s="3" t="str">
        <f>B1413 &amp; "-" &amp; COUNTIF($B$2:B1413, B1413)</f>
        <v>38-32</v>
      </c>
      <c r="D1413" s="10">
        <v>11516</v>
      </c>
      <c r="E1413" s="1" t="s">
        <v>4511</v>
      </c>
      <c r="F1413" s="1" t="s">
        <v>4512</v>
      </c>
      <c r="G1413" s="1" t="s">
        <v>1840</v>
      </c>
      <c r="H1413" s="1" t="s">
        <v>1812</v>
      </c>
      <c r="I1413" s="10" t="str">
        <f>IF(H1413="T18",1,IF(H1413="T18",3,IF(H1413="T34",6,IF(H1413="T34",10,IF(H1413="T66",14,IF(H1413="T66",18,IF(H1413="T34",22,"")))))))</f>
        <v/>
      </c>
      <c r="J1413" s="1" t="s">
        <v>1808</v>
      </c>
      <c r="K1413" s="10">
        <v>2</v>
      </c>
      <c r="L1413" s="10">
        <v>1</v>
      </c>
      <c r="O1413" s="6"/>
      <c r="Q1413" s="42" t="s">
        <v>2962</v>
      </c>
      <c r="R1413" s="42"/>
      <c r="S1413" s="1"/>
    </row>
    <row r="1414" spans="1:19" ht="18.75" hidden="1" customHeight="1" x14ac:dyDescent="0.3">
      <c r="A1414" s="10">
        <v>1413</v>
      </c>
      <c r="B1414" s="10">
        <f>_xlfn.XLOOKUP(1,(VALUE(D1414)&gt;=VALUE(block!$C$3:$C$500))*(VALUE(D1414)&lt;VALUE(block!$C$3:$C$500)+VALUE(block!$D$3:$D$500)),block!$A$3:$A$500,"无匹配",0,1)</f>
        <v>38</v>
      </c>
      <c r="C1414" s="3" t="str">
        <f>B1414 &amp; "-" &amp; COUNTIF($B$2:B1414, B1414)</f>
        <v>38-33</v>
      </c>
      <c r="D1414" s="10">
        <v>11518</v>
      </c>
      <c r="E1414" s="1" t="s">
        <v>4513</v>
      </c>
      <c r="F1414" s="1" t="s">
        <v>4514</v>
      </c>
      <c r="G1414" s="1" t="s">
        <v>1840</v>
      </c>
      <c r="H1414" s="1" t="s">
        <v>1812</v>
      </c>
      <c r="I1414" s="10" t="str">
        <f>IF(H1414="T19",1,IF(H1414="T19",3,IF(H1414="T35",6,IF(H1414="T35",10,IF(H1414="T67",14,IF(H1414="T67",18,IF(H1414="T35",22,"")))))))</f>
        <v/>
      </c>
      <c r="J1414" s="1" t="s">
        <v>1808</v>
      </c>
      <c r="K1414" s="10">
        <v>2</v>
      </c>
      <c r="L1414" s="10">
        <v>1</v>
      </c>
      <c r="O1414" s="6"/>
      <c r="Q1414" s="42" t="s">
        <v>2962</v>
      </c>
      <c r="R1414" s="42"/>
      <c r="S1414" s="1"/>
    </row>
    <row r="1415" spans="1:19" ht="18.75" hidden="1" customHeight="1" x14ac:dyDescent="0.3">
      <c r="A1415" s="10">
        <v>1414</v>
      </c>
      <c r="B1415" s="10">
        <f>_xlfn.XLOOKUP(1,(VALUE(D1415)&gt;=VALUE(block!$C$3:$C$500))*(VALUE(D1415)&lt;VALUE(block!$C$3:$C$500)+VALUE(block!$D$3:$D$500)),block!$A$3:$A$500,"无匹配",0,1)</f>
        <v>38</v>
      </c>
      <c r="C1415" s="3" t="str">
        <f>B1415 &amp; "-" &amp; COUNTIF($B$2:B1415, B1415)</f>
        <v>38-34</v>
      </c>
      <c r="D1415" s="10">
        <v>11520</v>
      </c>
      <c r="E1415" s="1" t="s">
        <v>4515</v>
      </c>
      <c r="F1415" s="1" t="s">
        <v>4516</v>
      </c>
      <c r="G1415" s="1" t="s">
        <v>1840</v>
      </c>
      <c r="H1415" s="1" t="s">
        <v>1812</v>
      </c>
      <c r="I1415" s="10" t="str">
        <f>IF(H1415="T20",1,IF(H1415="T20",3,IF(H1415="T36",6,IF(H1415="T36",10,IF(H1415="T68",14,IF(H1415="T68",18,IF(H1415="T36",22,"")))))))</f>
        <v/>
      </c>
      <c r="J1415" s="1" t="s">
        <v>1808</v>
      </c>
      <c r="K1415" s="10">
        <v>2</v>
      </c>
      <c r="L1415" s="10">
        <v>1</v>
      </c>
      <c r="O1415" s="6"/>
      <c r="Q1415" s="42" t="s">
        <v>2962</v>
      </c>
      <c r="R1415" s="42"/>
      <c r="S1415" s="1"/>
    </row>
    <row r="1416" spans="1:19" ht="18.75" customHeight="1" x14ac:dyDescent="0.3">
      <c r="A1416" s="10">
        <v>1415</v>
      </c>
      <c r="B1416" s="10">
        <f>_xlfn.XLOOKUP(1,(VALUE(D1416)&gt;=VALUE(block!$C$3:$C$500))*(VALUE(D1416)&lt;VALUE(block!$C$3:$C$500)+VALUE(block!$D$3:$D$500)),block!$A$3:$A$500,"无匹配",0,1)</f>
        <v>39</v>
      </c>
      <c r="C1416" s="3" t="str">
        <f>B1416 &amp; "-" &amp; COUNTIF($B$2:B1416, B1416)</f>
        <v>39-1</v>
      </c>
      <c r="D1416" s="10">
        <v>11522</v>
      </c>
      <c r="E1416" s="1" t="s">
        <v>4517</v>
      </c>
      <c r="F1416" s="1" t="s">
        <v>4518</v>
      </c>
      <c r="G1416" s="1" t="s">
        <v>1840</v>
      </c>
      <c r="H1416" s="1" t="s">
        <v>1812</v>
      </c>
      <c r="I1416" s="10" t="str">
        <f>IF(H1416="T21",1,IF(H1416="T21",3,IF(H1416="T37",6,IF(H1416="T37",10,IF(H1416="T69",14,IF(H1416="T69",18,IF(H1416="T37",22,"")))))))</f>
        <v/>
      </c>
      <c r="J1416" s="1" t="s">
        <v>1808</v>
      </c>
      <c r="K1416" s="10">
        <v>2</v>
      </c>
      <c r="L1416" s="10">
        <v>1</v>
      </c>
      <c r="N1416" s="10">
        <v>4</v>
      </c>
      <c r="O1416" s="6"/>
      <c r="P1416" s="45" t="s">
        <v>2826</v>
      </c>
      <c r="Q1416" s="6">
        <v>14</v>
      </c>
      <c r="R1416" s="6"/>
      <c r="S1416" s="1" t="s">
        <v>4518</v>
      </c>
    </row>
    <row r="1417" spans="1:19" ht="18.75" customHeight="1" x14ac:dyDescent="0.3">
      <c r="A1417" s="10">
        <v>1416</v>
      </c>
      <c r="B1417" s="10">
        <f>_xlfn.XLOOKUP(1,(VALUE(D1417)&gt;=VALUE(block!$C$3:$C$500))*(VALUE(D1417)&lt;VALUE(block!$C$3:$C$500)+VALUE(block!$D$3:$D$500)),block!$A$3:$A$500,"无匹配",0,1)</f>
        <v>39</v>
      </c>
      <c r="C1417" s="3" t="str">
        <f>B1417 &amp; "-" &amp; COUNTIF($B$2:B1417, B1417)</f>
        <v>39-2</v>
      </c>
      <c r="D1417" s="10">
        <v>11524</v>
      </c>
      <c r="E1417" s="1" t="s">
        <v>4519</v>
      </c>
      <c r="F1417" s="1" t="s">
        <v>4520</v>
      </c>
      <c r="G1417" s="1" t="s">
        <v>1840</v>
      </c>
      <c r="H1417" s="1" t="s">
        <v>1812</v>
      </c>
      <c r="I1417" s="10" t="str">
        <f>IF(H1417="T22",1,IF(H1417="T22",3,IF(H1417="T38",6,IF(H1417="T38",10,IF(H1417="T70",14,IF(H1417="T70",18,IF(H1417="T38",22,"")))))))</f>
        <v/>
      </c>
      <c r="J1417" s="1" t="s">
        <v>1808</v>
      </c>
      <c r="K1417" s="10">
        <v>2</v>
      </c>
      <c r="L1417" s="10">
        <v>1</v>
      </c>
      <c r="N1417" s="10">
        <v>4</v>
      </c>
      <c r="O1417" s="6"/>
      <c r="P1417" s="45" t="s">
        <v>2826</v>
      </c>
      <c r="Q1417" s="6">
        <v>14</v>
      </c>
      <c r="R1417" s="6"/>
      <c r="S1417" s="1" t="s">
        <v>4520</v>
      </c>
    </row>
    <row r="1418" spans="1:19" ht="18.75" customHeight="1" x14ac:dyDescent="0.3">
      <c r="A1418" s="10">
        <v>1417</v>
      </c>
      <c r="B1418" s="10">
        <f>_xlfn.XLOOKUP(1,(VALUE(D1418)&gt;=VALUE(block!$C$3:$C$500))*(VALUE(D1418)&lt;VALUE(block!$C$3:$C$500)+VALUE(block!$D$3:$D$500)),block!$A$3:$A$500,"无匹配",0,1)</f>
        <v>39</v>
      </c>
      <c r="C1418" s="3" t="str">
        <f>B1418 &amp; "-" &amp; COUNTIF($B$2:B1418, B1418)</f>
        <v>39-3</v>
      </c>
      <c r="D1418" s="10">
        <v>11526</v>
      </c>
      <c r="E1418" s="1" t="s">
        <v>4521</v>
      </c>
      <c r="F1418" s="1" t="s">
        <v>4522</v>
      </c>
      <c r="G1418" s="1" t="s">
        <v>1840</v>
      </c>
      <c r="H1418" s="1" t="s">
        <v>1812</v>
      </c>
      <c r="I1418" s="10" t="str">
        <f>IF(H1418="T23",1,IF(H1418="T23",3,IF(H1418="T39",6,IF(H1418="T39",10,IF(H1418="T71",14,IF(H1418="T71",18,IF(H1418="T39",22,"")))))))</f>
        <v/>
      </c>
      <c r="J1418" s="1" t="s">
        <v>1808</v>
      </c>
      <c r="K1418" s="10">
        <v>2</v>
      </c>
      <c r="L1418" s="10">
        <v>1</v>
      </c>
      <c r="N1418" s="10">
        <v>4</v>
      </c>
      <c r="O1418" s="6"/>
      <c r="P1418" s="45" t="s">
        <v>2826</v>
      </c>
      <c r="Q1418" s="6">
        <v>14</v>
      </c>
      <c r="R1418" s="6"/>
      <c r="S1418" s="1" t="s">
        <v>4522</v>
      </c>
    </row>
    <row r="1419" spans="1:19" ht="18.75" customHeight="1" x14ac:dyDescent="0.3">
      <c r="A1419" s="10">
        <v>1418</v>
      </c>
      <c r="B1419" s="10">
        <f>_xlfn.XLOOKUP(1,(VALUE(D1419)&gt;=VALUE(block!$C$3:$C$500))*(VALUE(D1419)&lt;VALUE(block!$C$3:$C$500)+VALUE(block!$D$3:$D$500)),block!$A$3:$A$500,"无匹配",0,1)</f>
        <v>39</v>
      </c>
      <c r="C1419" s="3" t="str">
        <f>B1419 &amp; "-" &amp; COUNTIF($B$2:B1419, B1419)</f>
        <v>39-4</v>
      </c>
      <c r="D1419" s="10">
        <v>11528</v>
      </c>
      <c r="E1419" s="1" t="s">
        <v>4523</v>
      </c>
      <c r="F1419" s="1" t="s">
        <v>4524</v>
      </c>
      <c r="G1419" s="1" t="s">
        <v>1840</v>
      </c>
      <c r="H1419" s="1" t="s">
        <v>1812</v>
      </c>
      <c r="I1419" s="10" t="str">
        <f>IF(H1419="T24",1,IF(H1419="T24",3,IF(H1419="T40",6,IF(H1419="T40",10,IF(H1419="T72",14,IF(H1419="T72",18,IF(H1419="T40",22,"")))))))</f>
        <v/>
      </c>
      <c r="J1419" s="1" t="s">
        <v>1808</v>
      </c>
      <c r="K1419" s="10">
        <v>2</v>
      </c>
      <c r="L1419" s="10">
        <v>1</v>
      </c>
      <c r="N1419" s="10">
        <v>4</v>
      </c>
      <c r="O1419" s="6"/>
      <c r="P1419" s="45" t="s">
        <v>2826</v>
      </c>
      <c r="Q1419" s="6">
        <v>14</v>
      </c>
      <c r="R1419" s="6"/>
      <c r="S1419" s="1" t="s">
        <v>4524</v>
      </c>
    </row>
    <row r="1420" spans="1:19" ht="18.75" hidden="1" customHeight="1" x14ac:dyDescent="0.3">
      <c r="A1420" s="10">
        <v>1419</v>
      </c>
      <c r="B1420" s="10">
        <f>_xlfn.XLOOKUP(1,(VALUE(D1420)&gt;=VALUE(block!$C$3:$C$500))*(VALUE(D1420)&lt;VALUE(block!$C$3:$C$500)+VALUE(block!$D$3:$D$500)),block!$A$3:$A$500,"无匹配",0,1)</f>
        <v>39</v>
      </c>
      <c r="C1420" s="3" t="str">
        <f>B1420 &amp; "-" &amp; COUNTIF($B$2:B1420, B1420)</f>
        <v>39-5</v>
      </c>
      <c r="D1420" s="10">
        <v>11530</v>
      </c>
      <c r="E1420" s="1" t="s">
        <v>4525</v>
      </c>
      <c r="F1420" s="1" t="s">
        <v>4526</v>
      </c>
      <c r="G1420" s="1" t="s">
        <v>1840</v>
      </c>
      <c r="H1420" s="1" t="s">
        <v>1812</v>
      </c>
      <c r="I1420" s="10" t="str">
        <f>IF(H1420="T25",1,IF(H1420="T25",3,IF(H1420="T41",6,IF(H1420="T41",10,IF(H1420="T73",14,IF(H1420="T73",18,IF(H1420="T41",22,"")))))))</f>
        <v/>
      </c>
      <c r="J1420" s="1" t="s">
        <v>1808</v>
      </c>
      <c r="K1420" s="10">
        <v>2</v>
      </c>
      <c r="L1420" s="10">
        <v>1</v>
      </c>
      <c r="O1420" s="6"/>
      <c r="Q1420" s="42" t="s">
        <v>2962</v>
      </c>
      <c r="R1420" s="42"/>
      <c r="S1420" s="1"/>
    </row>
    <row r="1421" spans="1:19" ht="18.75" hidden="1" customHeight="1" x14ac:dyDescent="0.3">
      <c r="A1421" s="10">
        <v>1420</v>
      </c>
      <c r="B1421" s="10">
        <f>_xlfn.XLOOKUP(1,(VALUE(D1421)&gt;=VALUE(block!$C$3:$C$500))*(VALUE(D1421)&lt;VALUE(block!$C$3:$C$500)+VALUE(block!$D$3:$D$500)),block!$A$3:$A$500,"无匹配",0,1)</f>
        <v>39</v>
      </c>
      <c r="C1421" s="3" t="str">
        <f>B1421 &amp; "-" &amp; COUNTIF($B$2:B1421, B1421)</f>
        <v>39-6</v>
      </c>
      <c r="D1421" s="10">
        <v>11532</v>
      </c>
      <c r="E1421" s="1" t="s">
        <v>4527</v>
      </c>
      <c r="F1421" s="1" t="s">
        <v>4528</v>
      </c>
      <c r="G1421" s="1" t="s">
        <v>1840</v>
      </c>
      <c r="H1421" s="1" t="s">
        <v>1812</v>
      </c>
      <c r="I1421" s="10" t="str">
        <f>IF(H1421="T26",1,IF(H1421="T26",3,IF(H1421="T42",6,IF(H1421="T42",10,IF(H1421="T74",14,IF(H1421="T74",18,IF(H1421="T42",22,"")))))))</f>
        <v/>
      </c>
      <c r="J1421" s="1" t="s">
        <v>1808</v>
      </c>
      <c r="K1421" s="10">
        <v>2</v>
      </c>
      <c r="L1421" s="10">
        <v>1</v>
      </c>
      <c r="O1421" s="6"/>
      <c r="Q1421" s="42" t="s">
        <v>2962</v>
      </c>
      <c r="R1421" s="42"/>
      <c r="S1421" s="1"/>
    </row>
    <row r="1422" spans="1:19" ht="18.75" hidden="1" customHeight="1" x14ac:dyDescent="0.3">
      <c r="A1422" s="10">
        <v>1421</v>
      </c>
      <c r="B1422" s="10">
        <f>_xlfn.XLOOKUP(1,(VALUE(D1422)&gt;=VALUE(block!$C$3:$C$500))*(VALUE(D1422)&lt;VALUE(block!$C$3:$C$500)+VALUE(block!$D$3:$D$500)),block!$A$3:$A$500,"无匹配",0,1)</f>
        <v>39</v>
      </c>
      <c r="C1422" s="3" t="str">
        <f>B1422 &amp; "-" &amp; COUNTIF($B$2:B1422, B1422)</f>
        <v>39-7</v>
      </c>
      <c r="D1422" s="10">
        <v>11534</v>
      </c>
      <c r="E1422" s="1" t="s">
        <v>4529</v>
      </c>
      <c r="F1422" s="1" t="s">
        <v>4530</v>
      </c>
      <c r="G1422" s="1" t="s">
        <v>1840</v>
      </c>
      <c r="H1422" s="1" t="s">
        <v>1812</v>
      </c>
      <c r="I1422" s="10" t="str">
        <f>IF(H1422="T27",1,IF(H1422="T27",3,IF(H1422="T43",6,IF(H1422="T43",10,IF(H1422="T75",14,IF(H1422="T75",18,IF(H1422="T43",22,"")))))))</f>
        <v/>
      </c>
      <c r="J1422" s="1" t="s">
        <v>1808</v>
      </c>
      <c r="K1422" s="10">
        <v>2</v>
      </c>
      <c r="L1422" s="10">
        <v>1</v>
      </c>
      <c r="O1422" s="6"/>
      <c r="Q1422" s="42" t="s">
        <v>2962</v>
      </c>
      <c r="R1422" s="42"/>
      <c r="S1422" s="1"/>
    </row>
    <row r="1423" spans="1:19" ht="18.75" hidden="1" customHeight="1" x14ac:dyDescent="0.3">
      <c r="A1423" s="10">
        <v>1422</v>
      </c>
      <c r="B1423" s="10">
        <f>_xlfn.XLOOKUP(1,(VALUE(D1423)&gt;=VALUE(block!$C$3:$C$500))*(VALUE(D1423)&lt;VALUE(block!$C$3:$C$500)+VALUE(block!$D$3:$D$500)),block!$A$3:$A$500,"无匹配",0,1)</f>
        <v>39</v>
      </c>
      <c r="C1423" s="3" t="str">
        <f>B1423 &amp; "-" &amp; COUNTIF($B$2:B1423, B1423)</f>
        <v>39-8</v>
      </c>
      <c r="D1423" s="10">
        <v>11536</v>
      </c>
      <c r="E1423" s="1" t="s">
        <v>4531</v>
      </c>
      <c r="F1423" s="1" t="s">
        <v>4532</v>
      </c>
      <c r="G1423" s="1" t="s">
        <v>1840</v>
      </c>
      <c r="H1423" s="1" t="s">
        <v>1812</v>
      </c>
      <c r="I1423" s="10" t="str">
        <f>IF(H1423="T28",1,IF(H1423="T28",3,IF(H1423="T44",6,IF(H1423="T44",10,IF(H1423="T76",14,IF(H1423="T76",18,IF(H1423="T44",22,"")))))))</f>
        <v/>
      </c>
      <c r="J1423" s="1" t="s">
        <v>1808</v>
      </c>
      <c r="K1423" s="10">
        <v>2</v>
      </c>
      <c r="L1423" s="10">
        <v>1</v>
      </c>
      <c r="O1423" s="6"/>
      <c r="Q1423" s="42" t="s">
        <v>2962</v>
      </c>
      <c r="R1423" s="42"/>
      <c r="S1423" s="1"/>
    </row>
    <row r="1424" spans="1:19" ht="18.75" hidden="1" customHeight="1" x14ac:dyDescent="0.3">
      <c r="A1424" s="10">
        <v>1423</v>
      </c>
      <c r="B1424" s="10">
        <f>_xlfn.XLOOKUP(1,(VALUE(D1424)&gt;=VALUE(block!$C$3:$C$500))*(VALUE(D1424)&lt;VALUE(block!$C$3:$C$500)+VALUE(block!$D$3:$D$500)),block!$A$3:$A$500,"无匹配",0,1)</f>
        <v>39</v>
      </c>
      <c r="C1424" s="3" t="str">
        <f>B1424 &amp; "-" &amp; COUNTIF($B$2:B1424, B1424)</f>
        <v>39-9</v>
      </c>
      <c r="D1424" s="10">
        <v>11538</v>
      </c>
      <c r="E1424" s="1" t="s">
        <v>4533</v>
      </c>
      <c r="F1424" s="1" t="s">
        <v>4534</v>
      </c>
      <c r="G1424" s="1" t="s">
        <v>1840</v>
      </c>
      <c r="H1424" s="1" t="s">
        <v>1812</v>
      </c>
      <c r="I1424" s="10" t="str">
        <f>IF(H1424="T29",1,IF(H1424="T29",3,IF(H1424="T45",6,IF(H1424="T45",10,IF(H1424="T77",14,IF(H1424="T77",18,IF(H1424="T45",22,"")))))))</f>
        <v/>
      </c>
      <c r="J1424" s="1" t="s">
        <v>1808</v>
      </c>
      <c r="K1424" s="10">
        <v>2</v>
      </c>
      <c r="L1424" s="10">
        <v>1</v>
      </c>
      <c r="O1424" s="6"/>
      <c r="Q1424" s="42" t="s">
        <v>2962</v>
      </c>
      <c r="R1424" s="42"/>
      <c r="S1424" s="1"/>
    </row>
    <row r="1425" spans="1:19" ht="18.75" hidden="1" customHeight="1" x14ac:dyDescent="0.3">
      <c r="A1425" s="10">
        <v>1424</v>
      </c>
      <c r="B1425" s="10">
        <f>_xlfn.XLOOKUP(1,(VALUE(D1425)&gt;=VALUE(block!$C$3:$C$500))*(VALUE(D1425)&lt;VALUE(block!$C$3:$C$500)+VALUE(block!$D$3:$D$500)),block!$A$3:$A$500,"无匹配",0,1)</f>
        <v>39</v>
      </c>
      <c r="C1425" s="3" t="str">
        <f>B1425 &amp; "-" &amp; COUNTIF($B$2:B1425, B1425)</f>
        <v>39-10</v>
      </c>
      <c r="D1425" s="10">
        <v>11540</v>
      </c>
      <c r="E1425" s="1" t="s">
        <v>4535</v>
      </c>
      <c r="F1425" s="1" t="s">
        <v>4536</v>
      </c>
      <c r="G1425" s="1" t="s">
        <v>1840</v>
      </c>
      <c r="H1425" s="1" t="s">
        <v>1812</v>
      </c>
      <c r="I1425" s="10" t="str">
        <f>IF(H1425="T30",1,IF(H1425="T30",3,IF(H1425="T46",6,IF(H1425="T46",10,IF(H1425="T78",14,IF(H1425="T78",18,IF(H1425="T46",22,"")))))))</f>
        <v/>
      </c>
      <c r="J1425" s="1" t="s">
        <v>1808</v>
      </c>
      <c r="K1425" s="10">
        <v>2</v>
      </c>
      <c r="L1425" s="10">
        <v>1</v>
      </c>
      <c r="O1425" s="6"/>
      <c r="Q1425" s="42" t="s">
        <v>2962</v>
      </c>
      <c r="R1425" s="42"/>
      <c r="S1425" s="1"/>
    </row>
    <row r="1426" spans="1:19" ht="18.75" hidden="1" customHeight="1" x14ac:dyDescent="0.3">
      <c r="A1426" s="10">
        <v>1425</v>
      </c>
      <c r="B1426" s="10">
        <f>_xlfn.XLOOKUP(1,(VALUE(D1426)&gt;=VALUE(block!$C$3:$C$500))*(VALUE(D1426)&lt;VALUE(block!$C$3:$C$500)+VALUE(block!$D$3:$D$500)),block!$A$3:$A$500,"无匹配",0,1)</f>
        <v>39</v>
      </c>
      <c r="C1426" s="3" t="str">
        <f>B1426 &amp; "-" &amp; COUNTIF($B$2:B1426, B1426)</f>
        <v>39-11</v>
      </c>
      <c r="D1426" s="10">
        <v>11542</v>
      </c>
      <c r="E1426" s="1" t="s">
        <v>4537</v>
      </c>
      <c r="F1426" s="1" t="s">
        <v>4538</v>
      </c>
      <c r="G1426" s="1" t="s">
        <v>1840</v>
      </c>
      <c r="H1426" s="1" t="s">
        <v>1812</v>
      </c>
      <c r="I1426" s="10" t="str">
        <f>IF(H1426="T31",1,IF(H1426="T31",3,IF(H1426="T47",6,IF(H1426="T47",10,IF(H1426="T79",14,IF(H1426="T79",18,IF(H1426="T47",22,"")))))))</f>
        <v/>
      </c>
      <c r="J1426" s="1" t="s">
        <v>1808</v>
      </c>
      <c r="K1426" s="10">
        <v>2</v>
      </c>
      <c r="L1426" s="10">
        <v>1</v>
      </c>
      <c r="O1426" s="6"/>
      <c r="Q1426" s="42" t="s">
        <v>2962</v>
      </c>
      <c r="R1426" s="42"/>
      <c r="S1426" s="1"/>
    </row>
    <row r="1427" spans="1:19" ht="18.75" hidden="1" customHeight="1" x14ac:dyDescent="0.3">
      <c r="A1427" s="10">
        <v>1426</v>
      </c>
      <c r="B1427" s="10">
        <f>_xlfn.XLOOKUP(1,(VALUE(D1427)&gt;=VALUE(block!$C$3:$C$500))*(VALUE(D1427)&lt;VALUE(block!$C$3:$C$500)+VALUE(block!$D$3:$D$500)),block!$A$3:$A$500,"无匹配",0,1)</f>
        <v>39</v>
      </c>
      <c r="C1427" s="3" t="str">
        <f>B1427 &amp; "-" &amp; COUNTIF($B$2:B1427, B1427)</f>
        <v>39-12</v>
      </c>
      <c r="D1427" s="10">
        <v>11544</v>
      </c>
      <c r="E1427" s="1" t="s">
        <v>4539</v>
      </c>
      <c r="F1427" s="1" t="s">
        <v>4540</v>
      </c>
      <c r="G1427" s="1" t="s">
        <v>1840</v>
      </c>
      <c r="H1427" s="1" t="s">
        <v>1812</v>
      </c>
      <c r="I1427" s="10" t="str">
        <f>IF(H1427="T32",1,IF(H1427="T32",3,IF(H1427="T48",6,IF(H1427="T48",10,IF(H1427="T80",14,IF(H1427="T80",18,IF(H1427="T48",22,"")))))))</f>
        <v/>
      </c>
      <c r="J1427" s="1" t="s">
        <v>1808</v>
      </c>
      <c r="K1427" s="10">
        <v>2</v>
      </c>
      <c r="L1427" s="10">
        <v>1</v>
      </c>
      <c r="O1427" s="6"/>
      <c r="Q1427" s="42" t="s">
        <v>2962</v>
      </c>
      <c r="R1427" s="42"/>
      <c r="S1427" s="1"/>
    </row>
    <row r="1428" spans="1:19" ht="18.75" hidden="1" customHeight="1" x14ac:dyDescent="0.3">
      <c r="A1428" s="10">
        <v>1427</v>
      </c>
      <c r="B1428" s="10">
        <f>_xlfn.XLOOKUP(1,(VALUE(D1428)&gt;=VALUE(block!$C$3:$C$500))*(VALUE(D1428)&lt;VALUE(block!$C$3:$C$500)+VALUE(block!$D$3:$D$500)),block!$A$3:$A$500,"无匹配",0,1)</f>
        <v>39</v>
      </c>
      <c r="C1428" s="3" t="str">
        <f>B1428 &amp; "-" &amp; COUNTIF($B$2:B1428, B1428)</f>
        <v>39-13</v>
      </c>
      <c r="D1428" s="10">
        <v>11546</v>
      </c>
      <c r="E1428" s="1" t="s">
        <v>4541</v>
      </c>
      <c r="F1428" s="1" t="s">
        <v>4542</v>
      </c>
      <c r="G1428" s="1" t="s">
        <v>1840</v>
      </c>
      <c r="H1428" s="1" t="s">
        <v>1812</v>
      </c>
      <c r="I1428" s="10" t="str">
        <f>IF(H1428="T33",1,IF(H1428="T33",3,IF(H1428="T49",6,IF(H1428="T49",10,IF(H1428="T81",14,IF(H1428="T81",18,IF(H1428="T49",22,"")))))))</f>
        <v/>
      </c>
      <c r="J1428" s="1" t="s">
        <v>1808</v>
      </c>
      <c r="K1428" s="10">
        <v>2</v>
      </c>
      <c r="L1428" s="10">
        <v>1</v>
      </c>
      <c r="O1428" s="6"/>
      <c r="Q1428" s="42" t="s">
        <v>2962</v>
      </c>
      <c r="R1428" s="42"/>
      <c r="S1428" s="1"/>
    </row>
    <row r="1429" spans="1:19" ht="18.75" hidden="1" customHeight="1" x14ac:dyDescent="0.3">
      <c r="A1429" s="10">
        <v>1428</v>
      </c>
      <c r="B1429" s="10">
        <f>_xlfn.XLOOKUP(1,(VALUE(D1429)&gt;=VALUE(block!$C$3:$C$500))*(VALUE(D1429)&lt;VALUE(block!$C$3:$C$500)+VALUE(block!$D$3:$D$500)),block!$A$3:$A$500,"无匹配",0,1)</f>
        <v>39</v>
      </c>
      <c r="C1429" s="3" t="str">
        <f>B1429 &amp; "-" &amp; COUNTIF($B$2:B1429, B1429)</f>
        <v>39-14</v>
      </c>
      <c r="D1429" s="10">
        <v>11548</v>
      </c>
      <c r="E1429" s="1" t="s">
        <v>4543</v>
      </c>
      <c r="F1429" s="1" t="s">
        <v>4544</v>
      </c>
      <c r="G1429" s="1" t="s">
        <v>1840</v>
      </c>
      <c r="H1429" s="1" t="s">
        <v>1812</v>
      </c>
      <c r="I1429" s="10" t="str">
        <f>IF(H1429="T34",1,IF(H1429="T34",3,IF(H1429="T50",6,IF(H1429="T50",10,IF(H1429="T82",14,IF(H1429="T82",18,IF(H1429="T50",22,"")))))))</f>
        <v/>
      </c>
      <c r="J1429" s="1" t="s">
        <v>1808</v>
      </c>
      <c r="K1429" s="10">
        <v>2</v>
      </c>
      <c r="L1429" s="10">
        <v>1</v>
      </c>
      <c r="O1429" s="6"/>
      <c r="Q1429" s="42" t="s">
        <v>2962</v>
      </c>
      <c r="R1429" s="42"/>
      <c r="S1429" s="1"/>
    </row>
    <row r="1430" spans="1:19" ht="18.75" hidden="1" customHeight="1" x14ac:dyDescent="0.3">
      <c r="A1430" s="10">
        <v>1429</v>
      </c>
      <c r="B1430" s="10">
        <f>_xlfn.XLOOKUP(1,(VALUE(D1430)&gt;=VALUE(block!$C$3:$C$500))*(VALUE(D1430)&lt;VALUE(block!$C$3:$C$500)+VALUE(block!$D$3:$D$500)),block!$A$3:$A$500,"无匹配",0,1)</f>
        <v>39</v>
      </c>
      <c r="C1430" s="3" t="str">
        <f>B1430 &amp; "-" &amp; COUNTIF($B$2:B1430, B1430)</f>
        <v>39-15</v>
      </c>
      <c r="D1430" s="10">
        <v>11550</v>
      </c>
      <c r="E1430" s="1" t="s">
        <v>4545</v>
      </c>
      <c r="F1430" s="1" t="s">
        <v>4546</v>
      </c>
      <c r="G1430" s="1" t="s">
        <v>1840</v>
      </c>
      <c r="H1430" s="1" t="s">
        <v>1812</v>
      </c>
      <c r="I1430" s="10" t="str">
        <f>IF(H1430="T35",1,IF(H1430="T35",3,IF(H1430="T51",6,IF(H1430="T51",10,IF(H1430="T83",14,IF(H1430="T83",18,IF(H1430="T51",22,"")))))))</f>
        <v/>
      </c>
      <c r="J1430" s="1" t="s">
        <v>1808</v>
      </c>
      <c r="K1430" s="10">
        <v>2</v>
      </c>
      <c r="L1430" s="10">
        <v>1</v>
      </c>
      <c r="O1430" s="6"/>
      <c r="Q1430" s="42" t="s">
        <v>2962</v>
      </c>
      <c r="R1430" s="42"/>
      <c r="S1430" s="1"/>
    </row>
    <row r="1431" spans="1:19" ht="18.75" hidden="1" customHeight="1" x14ac:dyDescent="0.3">
      <c r="A1431" s="10">
        <v>1430</v>
      </c>
      <c r="B1431" s="10">
        <f>_xlfn.XLOOKUP(1,(VALUE(D1431)&gt;=VALUE(block!$C$3:$C$500))*(VALUE(D1431)&lt;VALUE(block!$C$3:$C$500)+VALUE(block!$D$3:$D$500)),block!$A$3:$A$500,"无匹配",0,1)</f>
        <v>39</v>
      </c>
      <c r="C1431" s="3" t="str">
        <f>B1431 &amp; "-" &amp; COUNTIF($B$2:B1431, B1431)</f>
        <v>39-16</v>
      </c>
      <c r="D1431" s="10">
        <v>11552</v>
      </c>
      <c r="E1431" s="1" t="s">
        <v>9290</v>
      </c>
      <c r="F1431" s="1" t="s">
        <v>4547</v>
      </c>
      <c r="G1431" s="1" t="s">
        <v>1840</v>
      </c>
      <c r="H1431" s="1" t="s">
        <v>1812</v>
      </c>
      <c r="I1431" s="10" t="str">
        <f>IF(H1431="T36",1,IF(H1431="T36",3,IF(H1431="T52",6,IF(H1431="T52",10,IF(H1431="T84",14,IF(H1431="T84",18,IF(H1431="T52",22,"")))))))</f>
        <v/>
      </c>
      <c r="J1431" s="1" t="s">
        <v>1808</v>
      </c>
      <c r="K1431" s="10">
        <v>2</v>
      </c>
      <c r="L1431" s="10">
        <v>1</v>
      </c>
      <c r="O1431" s="6"/>
      <c r="Q1431" s="42" t="s">
        <v>2962</v>
      </c>
      <c r="R1431" s="42"/>
      <c r="S1431" s="1"/>
    </row>
    <row r="1432" spans="1:19" ht="18.75" hidden="1" customHeight="1" x14ac:dyDescent="0.3">
      <c r="A1432" s="10">
        <v>1431</v>
      </c>
      <c r="B1432" s="10">
        <f>_xlfn.XLOOKUP(1,(VALUE(D1432)&gt;=VALUE(block!$C$3:$C$500))*(VALUE(D1432)&lt;VALUE(block!$C$3:$C$500)+VALUE(block!$D$3:$D$500)),block!$A$3:$A$500,"无匹配",0,1)</f>
        <v>39</v>
      </c>
      <c r="C1432" s="3" t="str">
        <f>B1432 &amp; "-" &amp; COUNTIF($B$2:B1432, B1432)</f>
        <v>39-17</v>
      </c>
      <c r="D1432" s="10">
        <v>11554</v>
      </c>
      <c r="E1432" s="1" t="s">
        <v>4548</v>
      </c>
      <c r="F1432" s="1" t="s">
        <v>4549</v>
      </c>
      <c r="G1432" s="1" t="s">
        <v>1840</v>
      </c>
      <c r="H1432" s="1" t="s">
        <v>1812</v>
      </c>
      <c r="I1432" s="10" t="str">
        <f>IF(H1432="T37",1,IF(H1432="T37",3,IF(H1432="T53",6,IF(H1432="T53",10,IF(H1432="T85",14,IF(H1432="T85",18,IF(H1432="T53",22,"")))))))</f>
        <v/>
      </c>
      <c r="J1432" s="1" t="s">
        <v>1808</v>
      </c>
      <c r="K1432" s="10">
        <v>2</v>
      </c>
      <c r="L1432" s="10">
        <v>1</v>
      </c>
      <c r="O1432" s="6"/>
      <c r="Q1432" s="42" t="s">
        <v>2962</v>
      </c>
      <c r="R1432" s="42"/>
      <c r="S1432" s="1"/>
    </row>
    <row r="1433" spans="1:19" ht="18.75" hidden="1" customHeight="1" x14ac:dyDescent="0.3">
      <c r="A1433" s="10">
        <v>1432</v>
      </c>
      <c r="B1433" s="10">
        <f>_xlfn.XLOOKUP(1,(VALUE(D1433)&gt;=VALUE(block!$C$3:$C$500))*(VALUE(D1433)&lt;VALUE(block!$C$3:$C$500)+VALUE(block!$D$3:$D$500)),block!$A$3:$A$500,"无匹配",0,1)</f>
        <v>39</v>
      </c>
      <c r="C1433" s="3" t="str">
        <f>B1433 &amp; "-" &amp; COUNTIF($B$2:B1433, B1433)</f>
        <v>39-18</v>
      </c>
      <c r="D1433" s="10">
        <v>11556</v>
      </c>
      <c r="E1433" s="1" t="s">
        <v>4550</v>
      </c>
      <c r="F1433" s="1" t="s">
        <v>4551</v>
      </c>
      <c r="G1433" s="1" t="s">
        <v>1840</v>
      </c>
      <c r="H1433" s="1" t="s">
        <v>1812</v>
      </c>
      <c r="I1433" s="10" t="str">
        <f>IF(H1433="T38",1,IF(H1433="T38",3,IF(H1433="T54",6,IF(H1433="T54",10,IF(H1433="T86",14,IF(H1433="T86",18,IF(H1433="T54",22,"")))))))</f>
        <v/>
      </c>
      <c r="J1433" s="1" t="s">
        <v>1808</v>
      </c>
      <c r="K1433" s="10">
        <v>2</v>
      </c>
      <c r="L1433" s="10">
        <v>1</v>
      </c>
      <c r="O1433" s="6"/>
      <c r="Q1433" s="42" t="s">
        <v>2962</v>
      </c>
      <c r="R1433" s="42"/>
      <c r="S1433" s="1"/>
    </row>
    <row r="1434" spans="1:19" ht="18.75" hidden="1" customHeight="1" x14ac:dyDescent="0.3">
      <c r="A1434" s="10">
        <v>1433</v>
      </c>
      <c r="B1434" s="10">
        <f>_xlfn.XLOOKUP(1,(VALUE(D1434)&gt;=VALUE(block!$C$3:$C$500))*(VALUE(D1434)&lt;VALUE(block!$C$3:$C$500)+VALUE(block!$D$3:$D$500)),block!$A$3:$A$500,"无匹配",0,1)</f>
        <v>39</v>
      </c>
      <c r="C1434" s="3" t="str">
        <f>B1434 &amp; "-" &amp; COUNTIF($B$2:B1434, B1434)</f>
        <v>39-19</v>
      </c>
      <c r="D1434" s="10">
        <v>11558</v>
      </c>
      <c r="E1434" s="1" t="s">
        <v>4552</v>
      </c>
      <c r="F1434" s="1" t="s">
        <v>4553</v>
      </c>
      <c r="G1434" s="1" t="s">
        <v>1840</v>
      </c>
      <c r="H1434" s="1" t="s">
        <v>1812</v>
      </c>
      <c r="I1434" s="10" t="str">
        <f>IF(H1434="T39",1,IF(H1434="T39",3,IF(H1434="T55",6,IF(H1434="T55",10,IF(H1434="T87",14,IF(H1434="T87",18,IF(H1434="T55",22,"")))))))</f>
        <v/>
      </c>
      <c r="J1434" s="1" t="s">
        <v>1808</v>
      </c>
      <c r="K1434" s="10">
        <v>2</v>
      </c>
      <c r="L1434" s="10">
        <v>1</v>
      </c>
      <c r="O1434" s="6"/>
      <c r="Q1434" s="42" t="s">
        <v>2962</v>
      </c>
      <c r="R1434" s="42"/>
      <c r="S1434" s="1"/>
    </row>
    <row r="1435" spans="1:19" ht="18.75" hidden="1" customHeight="1" x14ac:dyDescent="0.3">
      <c r="A1435" s="10">
        <v>1434</v>
      </c>
      <c r="B1435" s="10">
        <f>_xlfn.XLOOKUP(1,(VALUE(D1435)&gt;=VALUE(block!$C$3:$C$500))*(VALUE(D1435)&lt;VALUE(block!$C$3:$C$500)+VALUE(block!$D$3:$D$500)),block!$A$3:$A$500,"无匹配",0,1)</f>
        <v>39</v>
      </c>
      <c r="C1435" s="3" t="str">
        <f>B1435 &amp; "-" &amp; COUNTIF($B$2:B1435, B1435)</f>
        <v>39-20</v>
      </c>
      <c r="D1435" s="10">
        <v>11560</v>
      </c>
      <c r="E1435" s="1" t="s">
        <v>4554</v>
      </c>
      <c r="F1435" s="1" t="s">
        <v>4555</v>
      </c>
      <c r="G1435" s="1" t="s">
        <v>1840</v>
      </c>
      <c r="H1435" s="1" t="s">
        <v>1812</v>
      </c>
      <c r="I1435" s="10" t="str">
        <f>IF(H1435="T40",1,IF(H1435="T40",3,IF(H1435="T56",6,IF(H1435="T56",10,IF(H1435="T88",14,IF(H1435="T88",18,IF(H1435="T56",22,"")))))))</f>
        <v/>
      </c>
      <c r="J1435" s="1" t="s">
        <v>1808</v>
      </c>
      <c r="K1435" s="10">
        <v>2</v>
      </c>
      <c r="L1435" s="10">
        <v>1</v>
      </c>
      <c r="O1435" s="6"/>
      <c r="Q1435" s="42" t="s">
        <v>2962</v>
      </c>
      <c r="R1435" s="42"/>
      <c r="S1435" s="1"/>
    </row>
    <row r="1436" spans="1:19" ht="18.75" hidden="1" customHeight="1" x14ac:dyDescent="0.3">
      <c r="A1436" s="10">
        <v>1435</v>
      </c>
      <c r="B1436" s="10">
        <f>_xlfn.XLOOKUP(1,(VALUE(D1436)&gt;=VALUE(block!$C$3:$C$500))*(VALUE(D1436)&lt;VALUE(block!$C$3:$C$500)+VALUE(block!$D$3:$D$500)),block!$A$3:$A$500,"无匹配",0,1)</f>
        <v>39</v>
      </c>
      <c r="C1436" s="3" t="str">
        <f>B1436 &amp; "-" &amp; COUNTIF($B$2:B1436, B1436)</f>
        <v>39-21</v>
      </c>
      <c r="D1436" s="10">
        <v>11562</v>
      </c>
      <c r="E1436" s="1" t="s">
        <v>4556</v>
      </c>
      <c r="F1436" s="1" t="s">
        <v>4557</v>
      </c>
      <c r="G1436" s="1" t="s">
        <v>1840</v>
      </c>
      <c r="H1436" s="1" t="s">
        <v>1812</v>
      </c>
      <c r="I1436" s="10" t="str">
        <f>IF(H1436="T41",1,IF(H1436="T41",3,IF(H1436="T57",6,IF(H1436="T57",10,IF(H1436="T89",14,IF(H1436="T89",18,IF(H1436="T57",22,"")))))))</f>
        <v/>
      </c>
      <c r="J1436" s="1" t="s">
        <v>1808</v>
      </c>
      <c r="K1436" s="10">
        <v>2</v>
      </c>
      <c r="L1436" s="10">
        <v>1</v>
      </c>
      <c r="O1436" s="6"/>
      <c r="Q1436" s="42" t="s">
        <v>2962</v>
      </c>
      <c r="R1436" s="42"/>
      <c r="S1436" s="1"/>
    </row>
    <row r="1437" spans="1:19" ht="18.75" hidden="1" customHeight="1" x14ac:dyDescent="0.3">
      <c r="A1437" s="10">
        <v>1436</v>
      </c>
      <c r="B1437" s="10">
        <f>_xlfn.XLOOKUP(1,(VALUE(D1437)&gt;=VALUE(block!$C$3:$C$500))*(VALUE(D1437)&lt;VALUE(block!$C$3:$C$500)+VALUE(block!$D$3:$D$500)),block!$A$3:$A$500,"无匹配",0,1)</f>
        <v>39</v>
      </c>
      <c r="C1437" s="3" t="str">
        <f>B1437 &amp; "-" &amp; COUNTIF($B$2:B1437, B1437)</f>
        <v>39-22</v>
      </c>
      <c r="D1437" s="10">
        <v>11564</v>
      </c>
      <c r="E1437" s="1" t="s">
        <v>4558</v>
      </c>
      <c r="F1437" s="1" t="s">
        <v>4559</v>
      </c>
      <c r="G1437" s="1" t="s">
        <v>1840</v>
      </c>
      <c r="H1437" s="1" t="s">
        <v>1812</v>
      </c>
      <c r="I1437" s="10" t="str">
        <f>IF(H1437="T42",1,IF(H1437="T42",3,IF(H1437="T58",6,IF(H1437="T58",10,IF(H1437="T90",14,IF(H1437="T90",18,IF(H1437="T58",22,"")))))))</f>
        <v/>
      </c>
      <c r="J1437" s="1" t="s">
        <v>1808</v>
      </c>
      <c r="K1437" s="10">
        <v>2</v>
      </c>
      <c r="L1437" s="10">
        <v>1</v>
      </c>
      <c r="O1437" s="6"/>
      <c r="Q1437" s="42" t="s">
        <v>2962</v>
      </c>
      <c r="R1437" s="42"/>
      <c r="S1437" s="1"/>
    </row>
    <row r="1438" spans="1:19" ht="18.75" hidden="1" customHeight="1" x14ac:dyDescent="0.3">
      <c r="A1438" s="10">
        <v>1437</v>
      </c>
      <c r="B1438" s="10">
        <f>_xlfn.XLOOKUP(1,(VALUE(D1438)&gt;=VALUE(block!$C$3:$C$500))*(VALUE(D1438)&lt;VALUE(block!$C$3:$C$500)+VALUE(block!$D$3:$D$500)),block!$A$3:$A$500,"无匹配",0,1)</f>
        <v>39</v>
      </c>
      <c r="C1438" s="3" t="str">
        <f>B1438 &amp; "-" &amp; COUNTIF($B$2:B1438, B1438)</f>
        <v>39-23</v>
      </c>
      <c r="D1438" s="10">
        <v>11566</v>
      </c>
      <c r="E1438" s="1" t="s">
        <v>4560</v>
      </c>
      <c r="F1438" s="1" t="s">
        <v>4561</v>
      </c>
      <c r="G1438" s="1" t="s">
        <v>1840</v>
      </c>
      <c r="H1438" s="1" t="s">
        <v>1812</v>
      </c>
      <c r="I1438" s="10" t="str">
        <f>IF(H1438="T43",1,IF(H1438="T43",3,IF(H1438="T59",6,IF(H1438="T59",10,IF(H1438="T91",14,IF(H1438="T91",18,IF(H1438="T59",22,"")))))))</f>
        <v/>
      </c>
      <c r="J1438" s="1" t="s">
        <v>1808</v>
      </c>
      <c r="K1438" s="10">
        <v>2</v>
      </c>
      <c r="L1438" s="10">
        <v>1</v>
      </c>
      <c r="O1438" s="6"/>
      <c r="Q1438" s="42" t="s">
        <v>2962</v>
      </c>
      <c r="R1438" s="42"/>
      <c r="S1438" s="1"/>
    </row>
    <row r="1439" spans="1:19" ht="18.75" hidden="1" customHeight="1" x14ac:dyDescent="0.3">
      <c r="A1439" s="10">
        <v>1438</v>
      </c>
      <c r="B1439" s="10">
        <f>_xlfn.XLOOKUP(1,(VALUE(D1439)&gt;=VALUE(block!$C$3:$C$500))*(VALUE(D1439)&lt;VALUE(block!$C$3:$C$500)+VALUE(block!$D$3:$D$500)),block!$A$3:$A$500,"无匹配",0,1)</f>
        <v>39</v>
      </c>
      <c r="C1439" s="3" t="str">
        <f>B1439 &amp; "-" &amp; COUNTIF($B$2:B1439, B1439)</f>
        <v>39-24</v>
      </c>
      <c r="D1439" s="10">
        <v>11568</v>
      </c>
      <c r="E1439" s="1" t="s">
        <v>4562</v>
      </c>
      <c r="F1439" s="1" t="s">
        <v>4563</v>
      </c>
      <c r="G1439" s="1" t="s">
        <v>1840</v>
      </c>
      <c r="H1439" s="1" t="s">
        <v>1812</v>
      </c>
      <c r="I1439" s="10" t="str">
        <f>IF(H1439="T44",1,IF(H1439="T44",3,IF(H1439="T60",6,IF(H1439="T60",10,IF(H1439="T92",14,IF(H1439="T92",18,IF(H1439="T60",22,"")))))))</f>
        <v/>
      </c>
      <c r="J1439" s="1" t="s">
        <v>1808</v>
      </c>
      <c r="K1439" s="10">
        <v>2</v>
      </c>
      <c r="L1439" s="10">
        <v>1</v>
      </c>
      <c r="O1439" s="6"/>
      <c r="Q1439" s="42" t="s">
        <v>2962</v>
      </c>
      <c r="R1439" s="42"/>
      <c r="S1439" s="1"/>
    </row>
    <row r="1440" spans="1:19" ht="18.75" hidden="1" customHeight="1" x14ac:dyDescent="0.3">
      <c r="A1440" s="10">
        <v>1439</v>
      </c>
      <c r="B1440" s="10">
        <f>_xlfn.XLOOKUP(1,(VALUE(D1440)&gt;=VALUE(block!$C$3:$C$500))*(VALUE(D1440)&lt;VALUE(block!$C$3:$C$500)+VALUE(block!$D$3:$D$500)),block!$A$3:$A$500,"无匹配",0,1)</f>
        <v>39</v>
      </c>
      <c r="C1440" s="3" t="str">
        <f>B1440 &amp; "-" &amp; COUNTIF($B$2:B1440, B1440)</f>
        <v>39-25</v>
      </c>
      <c r="D1440" s="10">
        <v>11570</v>
      </c>
      <c r="E1440" s="1" t="s">
        <v>4564</v>
      </c>
      <c r="F1440" s="1" t="s">
        <v>4565</v>
      </c>
      <c r="G1440" s="1" t="s">
        <v>1840</v>
      </c>
      <c r="H1440" s="1" t="s">
        <v>1812</v>
      </c>
      <c r="I1440" s="10" t="str">
        <f>IF(H1440="T45",1,IF(H1440="T45",3,IF(H1440="T61",6,IF(H1440="T61",10,IF(H1440="T93",14,IF(H1440="T93",18,IF(H1440="T61",22,"")))))))</f>
        <v/>
      </c>
      <c r="J1440" s="1" t="s">
        <v>1808</v>
      </c>
      <c r="K1440" s="10">
        <v>2</v>
      </c>
      <c r="L1440" s="10">
        <v>1</v>
      </c>
      <c r="O1440" s="6"/>
      <c r="Q1440" s="42" t="s">
        <v>2962</v>
      </c>
      <c r="R1440" s="42"/>
      <c r="S1440" s="1"/>
    </row>
    <row r="1441" spans="1:19" ht="18.75" hidden="1" customHeight="1" x14ac:dyDescent="0.3">
      <c r="A1441" s="10">
        <v>1440</v>
      </c>
      <c r="B1441" s="10">
        <f>_xlfn.XLOOKUP(1,(VALUE(D1441)&gt;=VALUE(block!$C$3:$C$500))*(VALUE(D1441)&lt;VALUE(block!$C$3:$C$500)+VALUE(block!$D$3:$D$500)),block!$A$3:$A$500,"无匹配",0,1)</f>
        <v>39</v>
      </c>
      <c r="C1441" s="3" t="str">
        <f>B1441 &amp; "-" &amp; COUNTIF($B$2:B1441, B1441)</f>
        <v>39-26</v>
      </c>
      <c r="D1441" s="10">
        <v>11572</v>
      </c>
      <c r="E1441" s="1" t="s">
        <v>4566</v>
      </c>
      <c r="F1441" s="1" t="s">
        <v>4567</v>
      </c>
      <c r="G1441" s="1" t="s">
        <v>1840</v>
      </c>
      <c r="H1441" s="1" t="s">
        <v>1812</v>
      </c>
      <c r="I1441" s="10" t="str">
        <f>IF(H1441="T46",1,IF(H1441="T46",3,IF(H1441="T62",6,IF(H1441="T62",10,IF(H1441="T94",14,IF(H1441="T94",18,IF(H1441="T62",22,"")))))))</f>
        <v/>
      </c>
      <c r="J1441" s="1" t="s">
        <v>1808</v>
      </c>
      <c r="K1441" s="10">
        <v>2</v>
      </c>
      <c r="L1441" s="10">
        <v>1</v>
      </c>
      <c r="O1441" s="6"/>
      <c r="Q1441" s="42" t="s">
        <v>2962</v>
      </c>
      <c r="R1441" s="42"/>
      <c r="S1441" s="1"/>
    </row>
    <row r="1442" spans="1:19" ht="18.75" hidden="1" customHeight="1" x14ac:dyDescent="0.3">
      <c r="A1442" s="10">
        <v>1441</v>
      </c>
      <c r="B1442" s="10">
        <f>_xlfn.XLOOKUP(1,(VALUE(D1442)&gt;=VALUE(block!$C$3:$C$500))*(VALUE(D1442)&lt;VALUE(block!$C$3:$C$500)+VALUE(block!$D$3:$D$500)),block!$A$3:$A$500,"无匹配",0,1)</f>
        <v>39</v>
      </c>
      <c r="C1442" s="3" t="str">
        <f>B1442 &amp; "-" &amp; COUNTIF($B$2:B1442, B1442)</f>
        <v>39-27</v>
      </c>
      <c r="D1442" s="10">
        <v>11574</v>
      </c>
      <c r="E1442" s="1" t="s">
        <v>4568</v>
      </c>
      <c r="F1442" s="1" t="s">
        <v>4569</v>
      </c>
      <c r="G1442" s="1" t="s">
        <v>1840</v>
      </c>
      <c r="H1442" s="1" t="s">
        <v>1812</v>
      </c>
      <c r="I1442" s="10" t="str">
        <f>IF(H1442="T47",1,IF(H1442="T47",3,IF(H1442="T63",6,IF(H1442="T63",10,IF(H1442="T95",14,IF(H1442="T95",18,IF(H1442="T63",22,"")))))))</f>
        <v/>
      </c>
      <c r="J1442" s="1" t="s">
        <v>1808</v>
      </c>
      <c r="K1442" s="10">
        <v>2</v>
      </c>
      <c r="L1442" s="10">
        <v>1</v>
      </c>
      <c r="O1442" s="6"/>
      <c r="Q1442" s="42" t="s">
        <v>2962</v>
      </c>
      <c r="R1442" s="42"/>
      <c r="S1442" s="1"/>
    </row>
    <row r="1443" spans="1:19" ht="18.75" hidden="1" customHeight="1" x14ac:dyDescent="0.3">
      <c r="A1443" s="10">
        <v>1442</v>
      </c>
      <c r="B1443" s="10">
        <f>_xlfn.XLOOKUP(1,(VALUE(D1443)&gt;=VALUE(block!$C$3:$C$500))*(VALUE(D1443)&lt;VALUE(block!$C$3:$C$500)+VALUE(block!$D$3:$D$500)),block!$A$3:$A$500,"无匹配",0,1)</f>
        <v>39</v>
      </c>
      <c r="C1443" s="3" t="str">
        <f>B1443 &amp; "-" &amp; COUNTIF($B$2:B1443, B1443)</f>
        <v>39-28</v>
      </c>
      <c r="D1443" s="10">
        <v>11576</v>
      </c>
      <c r="E1443" s="1" t="s">
        <v>4570</v>
      </c>
      <c r="F1443" s="1" t="s">
        <v>4571</v>
      </c>
      <c r="G1443" s="1" t="s">
        <v>1840</v>
      </c>
      <c r="H1443" s="1" t="s">
        <v>1812</v>
      </c>
      <c r="I1443" s="10" t="str">
        <f>IF(H1443="T48",1,IF(H1443="T48",3,IF(H1443="T64",6,IF(H1443="T64",10,IF(H1443="T96",14,IF(H1443="T96",18,IF(H1443="T64",22,"")))))))</f>
        <v/>
      </c>
      <c r="J1443" s="1" t="s">
        <v>1808</v>
      </c>
      <c r="K1443" s="10">
        <v>2</v>
      </c>
      <c r="L1443" s="10">
        <v>1</v>
      </c>
      <c r="O1443" s="6"/>
      <c r="Q1443" s="42" t="s">
        <v>2962</v>
      </c>
      <c r="R1443" s="42"/>
      <c r="S1443" s="1"/>
    </row>
    <row r="1444" spans="1:19" ht="18.75" hidden="1" customHeight="1" x14ac:dyDescent="0.3">
      <c r="A1444" s="10">
        <v>1443</v>
      </c>
      <c r="B1444" s="10">
        <f>_xlfn.XLOOKUP(1,(VALUE(D1444)&gt;=VALUE(block!$C$3:$C$500))*(VALUE(D1444)&lt;VALUE(block!$C$3:$C$500)+VALUE(block!$D$3:$D$500)),block!$A$3:$A$500,"无匹配",0,1)</f>
        <v>39</v>
      </c>
      <c r="C1444" s="3" t="str">
        <f>B1444 &amp; "-" &amp; COUNTIF($B$2:B1444, B1444)</f>
        <v>39-29</v>
      </c>
      <c r="D1444" s="10">
        <v>11578</v>
      </c>
      <c r="E1444" s="1" t="s">
        <v>4572</v>
      </c>
      <c r="F1444" s="1" t="s">
        <v>4573</v>
      </c>
      <c r="G1444" s="1" t="s">
        <v>1840</v>
      </c>
      <c r="H1444" s="1" t="s">
        <v>1812</v>
      </c>
      <c r="I1444" s="10" t="str">
        <f>IF(H1444="T49",1,IF(H1444="T49",3,IF(H1444="T65",6,IF(H1444="T65",10,IF(H1444="T97",14,IF(H1444="T97",18,IF(H1444="T65",22,"")))))))</f>
        <v/>
      </c>
      <c r="J1444" s="1" t="s">
        <v>1808</v>
      </c>
      <c r="K1444" s="10">
        <v>2</v>
      </c>
      <c r="L1444" s="10">
        <v>1</v>
      </c>
      <c r="O1444" s="6"/>
      <c r="Q1444" s="42" t="s">
        <v>2962</v>
      </c>
      <c r="R1444" s="42"/>
      <c r="S1444" s="1"/>
    </row>
    <row r="1445" spans="1:19" ht="18.75" hidden="1" customHeight="1" x14ac:dyDescent="0.3">
      <c r="A1445" s="10">
        <v>1444</v>
      </c>
      <c r="B1445" s="10">
        <f>_xlfn.XLOOKUP(1,(VALUE(D1445)&gt;=VALUE(block!$C$3:$C$500))*(VALUE(D1445)&lt;VALUE(block!$C$3:$C$500)+VALUE(block!$D$3:$D$500)),block!$A$3:$A$500,"无匹配",0,1)</f>
        <v>39</v>
      </c>
      <c r="C1445" s="3" t="str">
        <f>B1445 &amp; "-" &amp; COUNTIF($B$2:B1445, B1445)</f>
        <v>39-30</v>
      </c>
      <c r="D1445" s="10">
        <v>11580</v>
      </c>
      <c r="E1445" s="1" t="s">
        <v>4574</v>
      </c>
      <c r="F1445" s="1" t="s">
        <v>4575</v>
      </c>
      <c r="G1445" s="1" t="s">
        <v>1840</v>
      </c>
      <c r="H1445" s="1" t="s">
        <v>1812</v>
      </c>
      <c r="I1445" s="10" t="str">
        <f>IF(H1445="T50",1,IF(H1445="T50",3,IF(H1445="T66",6,IF(H1445="T66",10,IF(H1445="T98",14,IF(H1445="T98",18,IF(H1445="T66",22,"")))))))</f>
        <v/>
      </c>
      <c r="J1445" s="1" t="s">
        <v>1808</v>
      </c>
      <c r="K1445" s="10">
        <v>2</v>
      </c>
      <c r="L1445" s="10">
        <v>1</v>
      </c>
      <c r="O1445" s="6"/>
      <c r="Q1445" s="42" t="s">
        <v>2962</v>
      </c>
      <c r="R1445" s="42"/>
      <c r="S1445" s="1"/>
    </row>
    <row r="1446" spans="1:19" ht="18.75" hidden="1" customHeight="1" x14ac:dyDescent="0.3">
      <c r="A1446" s="10">
        <v>1445</v>
      </c>
      <c r="B1446" s="10">
        <f>_xlfn.XLOOKUP(1,(VALUE(D1446)&gt;=VALUE(block!$C$3:$C$500))*(VALUE(D1446)&lt;VALUE(block!$C$3:$C$500)+VALUE(block!$D$3:$D$500)),block!$A$3:$A$500,"无匹配",0,1)</f>
        <v>39</v>
      </c>
      <c r="C1446" s="3" t="str">
        <f>B1446 &amp; "-" &amp; COUNTIF($B$2:B1446, B1446)</f>
        <v>39-31</v>
      </c>
      <c r="D1446" s="10">
        <v>11582</v>
      </c>
      <c r="E1446" s="1" t="s">
        <v>4576</v>
      </c>
      <c r="F1446" s="1" t="s">
        <v>4577</v>
      </c>
      <c r="G1446" s="1" t="s">
        <v>1840</v>
      </c>
      <c r="H1446" s="1" t="s">
        <v>1812</v>
      </c>
      <c r="I1446" s="10" t="str">
        <f>IF(H1446="T51",1,IF(H1446="T51",3,IF(H1446="T67",6,IF(H1446="T67",10,IF(H1446="T99",14,IF(H1446="T99",18,IF(H1446="T67",22,"")))))))</f>
        <v/>
      </c>
      <c r="J1446" s="1" t="s">
        <v>1808</v>
      </c>
      <c r="K1446" s="10">
        <v>2</v>
      </c>
      <c r="L1446" s="10">
        <v>1</v>
      </c>
      <c r="O1446" s="6"/>
      <c r="Q1446" s="42" t="s">
        <v>2962</v>
      </c>
      <c r="R1446" s="42"/>
      <c r="S1446" s="1"/>
    </row>
    <row r="1447" spans="1:19" ht="18.75" hidden="1" customHeight="1" x14ac:dyDescent="0.3">
      <c r="A1447" s="10">
        <v>1446</v>
      </c>
      <c r="B1447" s="10">
        <f>_xlfn.XLOOKUP(1,(VALUE(D1447)&gt;=VALUE(block!$C$3:$C$500))*(VALUE(D1447)&lt;VALUE(block!$C$3:$C$500)+VALUE(block!$D$3:$D$500)),block!$A$3:$A$500,"无匹配",0,1)</f>
        <v>39</v>
      </c>
      <c r="C1447" s="3" t="str">
        <f>B1447 &amp; "-" &amp; COUNTIF($B$2:B1447, B1447)</f>
        <v>39-32</v>
      </c>
      <c r="D1447" s="10">
        <v>11584</v>
      </c>
      <c r="E1447" s="1" t="s">
        <v>4578</v>
      </c>
      <c r="F1447" s="1" t="s">
        <v>4579</v>
      </c>
      <c r="G1447" s="1" t="s">
        <v>1840</v>
      </c>
      <c r="H1447" s="1" t="s">
        <v>1812</v>
      </c>
      <c r="I1447" s="10" t="str">
        <f>IF(H1447="T52",1,IF(H1447="T52",3,IF(H1447="T68",6,IF(H1447="T68",10,IF(H1447="T100",14,IF(H1447="T100",18,IF(H1447="T68",22,"")))))))</f>
        <v/>
      </c>
      <c r="J1447" s="1" t="s">
        <v>1808</v>
      </c>
      <c r="K1447" s="10">
        <v>2</v>
      </c>
      <c r="L1447" s="10">
        <v>1</v>
      </c>
      <c r="O1447" s="6"/>
      <c r="Q1447" s="42" t="s">
        <v>2962</v>
      </c>
      <c r="R1447" s="42"/>
      <c r="S1447" s="1"/>
    </row>
    <row r="1448" spans="1:19" ht="18.75" hidden="1" customHeight="1" x14ac:dyDescent="0.3">
      <c r="A1448" s="10">
        <v>1447</v>
      </c>
      <c r="B1448" s="10">
        <f>_xlfn.XLOOKUP(1,(VALUE(D1448)&gt;=VALUE(block!$C$3:$C$500))*(VALUE(D1448)&lt;VALUE(block!$C$3:$C$500)+VALUE(block!$D$3:$D$500)),block!$A$3:$A$500,"无匹配",0,1)</f>
        <v>39</v>
      </c>
      <c r="C1448" s="3" t="str">
        <f>B1448 &amp; "-" &amp; COUNTIF($B$2:B1448, B1448)</f>
        <v>39-33</v>
      </c>
      <c r="D1448" s="10">
        <v>11586</v>
      </c>
      <c r="E1448" s="1" t="s">
        <v>4580</v>
      </c>
      <c r="F1448" s="1" t="s">
        <v>4581</v>
      </c>
      <c r="G1448" s="1" t="s">
        <v>1840</v>
      </c>
      <c r="H1448" s="1" t="s">
        <v>1812</v>
      </c>
      <c r="I1448" s="10" t="str">
        <f>IF(H1448="T53",1,IF(H1448="T53",3,IF(H1448="T69",6,IF(H1448="T69",10,IF(H1448="T101",14,IF(H1448="T101",18,IF(H1448="T69",22,"")))))))</f>
        <v/>
      </c>
      <c r="J1448" s="1" t="s">
        <v>1808</v>
      </c>
      <c r="K1448" s="10">
        <v>2</v>
      </c>
      <c r="L1448" s="10">
        <v>1</v>
      </c>
      <c r="O1448" s="6"/>
      <c r="Q1448" s="42" t="s">
        <v>2962</v>
      </c>
      <c r="R1448" s="42"/>
      <c r="S1448" s="1"/>
    </row>
    <row r="1449" spans="1:19" ht="18.75" hidden="1" customHeight="1" x14ac:dyDescent="0.3">
      <c r="A1449" s="10">
        <v>1448</v>
      </c>
      <c r="B1449" s="10">
        <f>_xlfn.XLOOKUP(1,(VALUE(D1449)&gt;=VALUE(block!$C$3:$C$500))*(VALUE(D1449)&lt;VALUE(block!$C$3:$C$500)+VALUE(block!$D$3:$D$500)),block!$A$3:$A$500,"无匹配",0,1)</f>
        <v>39</v>
      </c>
      <c r="C1449" s="3" t="str">
        <f>B1449 &amp; "-" &amp; COUNTIF($B$2:B1449, B1449)</f>
        <v>39-34</v>
      </c>
      <c r="D1449" s="10">
        <v>11588</v>
      </c>
      <c r="E1449" s="1" t="s">
        <v>4582</v>
      </c>
      <c r="F1449" s="1" t="s">
        <v>4583</v>
      </c>
      <c r="G1449" s="1" t="s">
        <v>1840</v>
      </c>
      <c r="H1449" s="1" t="s">
        <v>1812</v>
      </c>
      <c r="I1449" s="10" t="str">
        <f>IF(H1449="T54",1,IF(H1449="T54",3,IF(H1449="T70",6,IF(H1449="T70",10,IF(H1449="T102",14,IF(H1449="T102",18,IF(H1449="T70",22,"")))))))</f>
        <v/>
      </c>
      <c r="J1449" s="1" t="s">
        <v>1808</v>
      </c>
      <c r="K1449" s="10">
        <v>2</v>
      </c>
      <c r="L1449" s="10">
        <v>1</v>
      </c>
      <c r="O1449" s="6"/>
      <c r="Q1449" s="42" t="s">
        <v>2962</v>
      </c>
      <c r="R1449" s="42"/>
      <c r="S1449" s="1"/>
    </row>
    <row r="1450" spans="1:19" ht="18.75" customHeight="1" x14ac:dyDescent="0.3">
      <c r="A1450" s="10">
        <v>1449</v>
      </c>
      <c r="B1450" s="10">
        <f>_xlfn.XLOOKUP(1,(VALUE(D1450)&gt;=VALUE(block!$C$3:$C$500))*(VALUE(D1450)&lt;VALUE(block!$C$3:$C$500)+VALUE(block!$D$3:$D$500)),block!$A$3:$A$500,"无匹配",0,1)</f>
        <v>40</v>
      </c>
      <c r="C1450" s="3" t="str">
        <f>B1450 &amp; "-" &amp; COUNTIF($B$2:B1450, B1450)</f>
        <v>40-1</v>
      </c>
      <c r="D1450" s="10">
        <v>11590</v>
      </c>
      <c r="E1450" s="1" t="s">
        <v>4584</v>
      </c>
      <c r="F1450" s="44" t="s">
        <v>4585</v>
      </c>
      <c r="G1450" s="1" t="s">
        <v>1830</v>
      </c>
      <c r="H1450" s="1" t="s">
        <v>1812</v>
      </c>
      <c r="I1450" s="10" t="str">
        <f>IF(H1450="T55",1,IF(H1450="T55",3,IF(H1450="T71",6,IF(H1450="T71",10,IF(H1450="T103",14,IF(H1450="T103",18,IF(H1450="T71",22,"")))))))</f>
        <v/>
      </c>
      <c r="J1450" s="1" t="s">
        <v>1808</v>
      </c>
      <c r="K1450" s="10">
        <v>2</v>
      </c>
      <c r="L1450" s="10">
        <v>1</v>
      </c>
      <c r="N1450" s="10">
        <v>4</v>
      </c>
      <c r="O1450" s="6"/>
      <c r="P1450" s="45" t="s">
        <v>2826</v>
      </c>
      <c r="Q1450" s="42" t="s">
        <v>4586</v>
      </c>
      <c r="R1450" s="42"/>
      <c r="S1450" s="44" t="s">
        <v>4585</v>
      </c>
    </row>
    <row r="1451" spans="1:19" ht="18.75" customHeight="1" x14ac:dyDescent="0.3">
      <c r="A1451" s="10">
        <v>1450</v>
      </c>
      <c r="B1451" s="10">
        <f>_xlfn.XLOOKUP(1,(VALUE(D1451)&gt;=VALUE(block!$C$3:$C$500))*(VALUE(D1451)&lt;VALUE(block!$C$3:$C$500)+VALUE(block!$D$3:$D$500)),block!$A$3:$A$500,"无匹配",0,1)</f>
        <v>40</v>
      </c>
      <c r="C1451" s="3" t="str">
        <f>B1451 &amp; "-" &amp; COUNTIF($B$2:B1451, B1451)</f>
        <v>40-2</v>
      </c>
      <c r="D1451" s="10">
        <v>11592</v>
      </c>
      <c r="E1451" s="1" t="s">
        <v>4587</v>
      </c>
      <c r="F1451" s="44" t="s">
        <v>4588</v>
      </c>
      <c r="G1451" s="1" t="s">
        <v>1830</v>
      </c>
      <c r="H1451" s="1" t="s">
        <v>1812</v>
      </c>
      <c r="I1451" s="10" t="str">
        <f>IF(H1451="T56",1,IF(H1451="T56",3,IF(H1451="T72",6,IF(H1451="T72",10,IF(H1451="T104",14,IF(H1451="T104",18,IF(H1451="T72",22,"")))))))</f>
        <v/>
      </c>
      <c r="J1451" s="1" t="s">
        <v>1808</v>
      </c>
      <c r="K1451" s="10">
        <v>2</v>
      </c>
      <c r="L1451" s="10">
        <v>1</v>
      </c>
      <c r="N1451" s="10">
        <v>4</v>
      </c>
      <c r="O1451" s="6"/>
      <c r="P1451" s="45" t="s">
        <v>2826</v>
      </c>
      <c r="Q1451" s="42" t="s">
        <v>4586</v>
      </c>
      <c r="R1451" s="42"/>
      <c r="S1451" s="44" t="s">
        <v>4588</v>
      </c>
    </row>
    <row r="1452" spans="1:19" ht="18.75" customHeight="1" x14ac:dyDescent="0.3">
      <c r="A1452" s="10">
        <v>1451</v>
      </c>
      <c r="B1452" s="10">
        <f>_xlfn.XLOOKUP(1,(VALUE(D1452)&gt;=VALUE(block!$C$3:$C$500))*(VALUE(D1452)&lt;VALUE(block!$C$3:$C$500)+VALUE(block!$D$3:$D$500)),block!$A$3:$A$500,"无匹配",0,1)</f>
        <v>40</v>
      </c>
      <c r="C1452" s="3" t="str">
        <f>B1452 &amp; "-" &amp; COUNTIF($B$2:B1452, B1452)</f>
        <v>40-3</v>
      </c>
      <c r="D1452" s="10">
        <v>11594</v>
      </c>
      <c r="E1452" s="1" t="s">
        <v>4589</v>
      </c>
      <c r="F1452" s="44" t="s">
        <v>4590</v>
      </c>
      <c r="G1452" s="1" t="s">
        <v>1830</v>
      </c>
      <c r="H1452" s="1" t="s">
        <v>1812</v>
      </c>
      <c r="I1452" s="10" t="str">
        <f>IF(H1452="T57",1,IF(H1452="T57",3,IF(H1452="T73",6,IF(H1452="T73",10,IF(H1452="T105",14,IF(H1452="T105",18,IF(H1452="T73",22,"")))))))</f>
        <v/>
      </c>
      <c r="J1452" s="1" t="s">
        <v>1808</v>
      </c>
      <c r="K1452" s="10">
        <v>2</v>
      </c>
      <c r="L1452" s="10">
        <v>1</v>
      </c>
      <c r="N1452" s="10">
        <v>4</v>
      </c>
      <c r="O1452" s="6"/>
      <c r="P1452" s="45" t="s">
        <v>2826</v>
      </c>
      <c r="Q1452" s="42" t="s">
        <v>4586</v>
      </c>
      <c r="R1452" s="42"/>
      <c r="S1452" s="44" t="s">
        <v>4590</v>
      </c>
    </row>
    <row r="1453" spans="1:19" ht="18.75" customHeight="1" x14ac:dyDescent="0.3">
      <c r="A1453" s="10">
        <v>1452</v>
      </c>
      <c r="B1453" s="10">
        <f>_xlfn.XLOOKUP(1,(VALUE(D1453)&gt;=VALUE(block!$C$3:$C$500))*(VALUE(D1453)&lt;VALUE(block!$C$3:$C$500)+VALUE(block!$D$3:$D$500)),block!$A$3:$A$500,"无匹配",0,1)</f>
        <v>40</v>
      </c>
      <c r="C1453" s="3" t="str">
        <f>B1453 &amp; "-" &amp; COUNTIF($B$2:B1453, B1453)</f>
        <v>40-4</v>
      </c>
      <c r="D1453" s="10">
        <v>11596</v>
      </c>
      <c r="E1453" s="1" t="s">
        <v>4591</v>
      </c>
      <c r="F1453" s="44" t="s">
        <v>4592</v>
      </c>
      <c r="G1453" s="1" t="s">
        <v>1830</v>
      </c>
      <c r="H1453" s="1" t="s">
        <v>1812</v>
      </c>
      <c r="I1453" s="10" t="str">
        <f>IF(H1453="T58",1,IF(H1453="T58",3,IF(H1453="T74",6,IF(H1453="T74",10,IF(H1453="T106",14,IF(H1453="T106",18,IF(H1453="T74",22,"")))))))</f>
        <v/>
      </c>
      <c r="J1453" s="1" t="s">
        <v>1808</v>
      </c>
      <c r="K1453" s="10">
        <v>2</v>
      </c>
      <c r="L1453" s="10">
        <v>1</v>
      </c>
      <c r="N1453" s="10">
        <v>4</v>
      </c>
      <c r="O1453" s="6"/>
      <c r="P1453" s="45" t="s">
        <v>2826</v>
      </c>
      <c r="Q1453" s="42" t="s">
        <v>4586</v>
      </c>
      <c r="R1453" s="42"/>
      <c r="S1453" s="44" t="s">
        <v>4592</v>
      </c>
    </row>
    <row r="1454" spans="1:19" ht="18.75" customHeight="1" x14ac:dyDescent="0.3">
      <c r="A1454" s="10">
        <v>1453</v>
      </c>
      <c r="B1454" s="10">
        <f>_xlfn.XLOOKUP(1,(VALUE(D1454)&gt;=VALUE(block!$C$3:$C$500))*(VALUE(D1454)&lt;VALUE(block!$C$3:$C$500)+VALUE(block!$D$3:$D$500)),block!$A$3:$A$500,"无匹配",0,1)</f>
        <v>40</v>
      </c>
      <c r="C1454" s="3" t="str">
        <f>B1454 &amp; "-" &amp; COUNTIF($B$2:B1454, B1454)</f>
        <v>40-5</v>
      </c>
      <c r="D1454" s="10">
        <v>11598</v>
      </c>
      <c r="E1454" s="1" t="s">
        <v>4593</v>
      </c>
      <c r="F1454" s="44" t="s">
        <v>4594</v>
      </c>
      <c r="G1454" s="1" t="s">
        <v>1830</v>
      </c>
      <c r="H1454" s="1" t="s">
        <v>1812</v>
      </c>
      <c r="I1454" s="10" t="str">
        <f>IF(H1454="T59",1,IF(H1454="T59",3,IF(H1454="T75",6,IF(H1454="T75",10,IF(H1454="T107",14,IF(H1454="T107",18,IF(H1454="T75",22,"")))))))</f>
        <v/>
      </c>
      <c r="J1454" s="1" t="s">
        <v>1808</v>
      </c>
      <c r="K1454" s="10">
        <v>2</v>
      </c>
      <c r="L1454" s="10">
        <v>1</v>
      </c>
      <c r="N1454" s="10">
        <v>4</v>
      </c>
      <c r="O1454" s="6"/>
      <c r="P1454" s="45" t="s">
        <v>2826</v>
      </c>
      <c r="Q1454" s="42" t="s">
        <v>4586</v>
      </c>
      <c r="R1454" s="42"/>
      <c r="S1454" s="44" t="s">
        <v>4594</v>
      </c>
    </row>
    <row r="1455" spans="1:19" ht="18.75" customHeight="1" x14ac:dyDescent="0.3">
      <c r="A1455" s="10">
        <v>1454</v>
      </c>
      <c r="B1455" s="10">
        <f>_xlfn.XLOOKUP(1,(VALUE(D1455)&gt;=VALUE(block!$C$3:$C$500))*(VALUE(D1455)&lt;VALUE(block!$C$3:$C$500)+VALUE(block!$D$3:$D$500)),block!$A$3:$A$500,"无匹配",0,1)</f>
        <v>40</v>
      </c>
      <c r="C1455" s="3" t="str">
        <f>B1455 &amp; "-" &amp; COUNTIF($B$2:B1455, B1455)</f>
        <v>40-6</v>
      </c>
      <c r="D1455" s="10">
        <v>11600</v>
      </c>
      <c r="E1455" s="1" t="s">
        <v>4595</v>
      </c>
      <c r="F1455" s="44" t="s">
        <v>4596</v>
      </c>
      <c r="G1455" s="1" t="s">
        <v>1830</v>
      </c>
      <c r="H1455" s="1" t="s">
        <v>1812</v>
      </c>
      <c r="I1455" s="10" t="str">
        <f>IF(H1455="T60",1,IF(H1455="T60",3,IF(H1455="T76",6,IF(H1455="T76",10,IF(H1455="T108",14,IF(H1455="T108",18,IF(H1455="T76",22,"")))))))</f>
        <v/>
      </c>
      <c r="J1455" s="1" t="s">
        <v>1808</v>
      </c>
      <c r="K1455" s="10">
        <v>2</v>
      </c>
      <c r="L1455" s="10">
        <v>1</v>
      </c>
      <c r="N1455" s="10">
        <v>4</v>
      </c>
      <c r="O1455" s="6"/>
      <c r="P1455" s="45" t="s">
        <v>2826</v>
      </c>
      <c r="Q1455" s="42" t="s">
        <v>4586</v>
      </c>
      <c r="R1455" s="42"/>
      <c r="S1455" s="44" t="s">
        <v>4596</v>
      </c>
    </row>
    <row r="1456" spans="1:19" ht="18.75" customHeight="1" x14ac:dyDescent="0.3">
      <c r="A1456" s="10">
        <v>1455</v>
      </c>
      <c r="B1456" s="10">
        <f>_xlfn.XLOOKUP(1,(VALUE(D1456)&gt;=VALUE(block!$C$3:$C$500))*(VALUE(D1456)&lt;VALUE(block!$C$3:$C$500)+VALUE(block!$D$3:$D$500)),block!$A$3:$A$500,"无匹配",0,1)</f>
        <v>40</v>
      </c>
      <c r="C1456" s="3" t="str">
        <f>B1456 &amp; "-" &amp; COUNTIF($B$2:B1456, B1456)</f>
        <v>40-7</v>
      </c>
      <c r="D1456" s="10">
        <v>11602</v>
      </c>
      <c r="E1456" s="1" t="s">
        <v>4597</v>
      </c>
      <c r="F1456" s="44" t="s">
        <v>4598</v>
      </c>
      <c r="G1456" s="1" t="s">
        <v>1840</v>
      </c>
      <c r="H1456" s="1" t="s">
        <v>1812</v>
      </c>
      <c r="I1456" s="10" t="str">
        <f>IF(H1456="T61",1,IF(H1456="T61",3,IF(H1456="T77",6,IF(H1456="T77",10,IF(H1456="T109",14,IF(H1456="T109",18,IF(H1456="T77",22,"")))))))</f>
        <v/>
      </c>
      <c r="J1456" s="1" t="s">
        <v>1808</v>
      </c>
      <c r="K1456" s="10">
        <v>2</v>
      </c>
      <c r="L1456" s="10">
        <v>1</v>
      </c>
      <c r="N1456" s="10">
        <v>4</v>
      </c>
      <c r="O1456" s="6"/>
      <c r="P1456" s="45" t="s">
        <v>2826</v>
      </c>
      <c r="Q1456" s="42" t="s">
        <v>4586</v>
      </c>
      <c r="R1456" s="42"/>
      <c r="S1456" s="44" t="s">
        <v>4598</v>
      </c>
    </row>
    <row r="1457" spans="1:19" ht="18.75" customHeight="1" x14ac:dyDescent="0.3">
      <c r="A1457" s="10">
        <v>1456</v>
      </c>
      <c r="B1457" s="10">
        <f>_xlfn.XLOOKUP(1,(VALUE(D1457)&gt;=VALUE(block!$C$3:$C$500))*(VALUE(D1457)&lt;VALUE(block!$C$3:$C$500)+VALUE(block!$D$3:$D$500)),block!$A$3:$A$500,"无匹配",0,1)</f>
        <v>40</v>
      </c>
      <c r="C1457" s="3" t="str">
        <f>B1457 &amp; "-" &amp; COUNTIF($B$2:B1457, B1457)</f>
        <v>40-8</v>
      </c>
      <c r="D1457" s="10">
        <v>11604</v>
      </c>
      <c r="E1457" s="1" t="s">
        <v>4599</v>
      </c>
      <c r="F1457" s="44" t="s">
        <v>4600</v>
      </c>
      <c r="G1457" s="1" t="s">
        <v>1830</v>
      </c>
      <c r="H1457" s="1" t="s">
        <v>1812</v>
      </c>
      <c r="I1457" s="10" t="str">
        <f>IF(H1457="T62",1,IF(H1457="T62",3,IF(H1457="T78",6,IF(H1457="T78",10,IF(H1457="T110",14,IF(H1457="T110",18,IF(H1457="T78",22,"")))))))</f>
        <v/>
      </c>
      <c r="J1457" s="1" t="s">
        <v>1808</v>
      </c>
      <c r="K1457" s="10">
        <v>2</v>
      </c>
      <c r="L1457" s="10">
        <v>1</v>
      </c>
      <c r="N1457" s="10">
        <v>4</v>
      </c>
      <c r="O1457" s="6"/>
      <c r="P1457" s="45" t="s">
        <v>2826</v>
      </c>
      <c r="Q1457" s="42" t="s">
        <v>4586</v>
      </c>
      <c r="R1457" s="42"/>
      <c r="S1457" s="44" t="s">
        <v>4600</v>
      </c>
    </row>
    <row r="1458" spans="1:19" ht="18.75" customHeight="1" x14ac:dyDescent="0.3">
      <c r="A1458" s="10">
        <v>1457</v>
      </c>
      <c r="B1458" s="10">
        <f>_xlfn.XLOOKUP(1,(VALUE(D1458)&gt;=VALUE(block!$C$3:$C$500))*(VALUE(D1458)&lt;VALUE(block!$C$3:$C$500)+VALUE(block!$D$3:$D$500)),block!$A$3:$A$500,"无匹配",0,1)</f>
        <v>40</v>
      </c>
      <c r="C1458" s="3" t="str">
        <f>B1458 &amp; "-" &amp; COUNTIF($B$2:B1458, B1458)</f>
        <v>40-9</v>
      </c>
      <c r="D1458" s="10">
        <v>11606</v>
      </c>
      <c r="E1458" s="1" t="s">
        <v>4601</v>
      </c>
      <c r="F1458" s="44" t="s">
        <v>4602</v>
      </c>
      <c r="G1458" s="1" t="s">
        <v>1830</v>
      </c>
      <c r="H1458" s="1" t="s">
        <v>1812</v>
      </c>
      <c r="I1458" s="10" t="str">
        <f>IF(H1458="T63",1,IF(H1458="T63",3,IF(H1458="T79",6,IF(H1458="T79",10,IF(H1458="T111",14,IF(H1458="T111",18,IF(H1458="T79",22,"")))))))</f>
        <v/>
      </c>
      <c r="J1458" s="1" t="s">
        <v>1808</v>
      </c>
      <c r="K1458" s="10">
        <v>2</v>
      </c>
      <c r="L1458" s="10">
        <v>1</v>
      </c>
      <c r="N1458" s="10">
        <v>4</v>
      </c>
      <c r="O1458" s="6"/>
      <c r="P1458" s="45" t="s">
        <v>2826</v>
      </c>
      <c r="Q1458" s="42" t="s">
        <v>4586</v>
      </c>
      <c r="R1458" s="42"/>
      <c r="S1458" s="44" t="s">
        <v>4602</v>
      </c>
    </row>
    <row r="1459" spans="1:19" ht="18.75" customHeight="1" x14ac:dyDescent="0.3">
      <c r="A1459" s="10">
        <v>1458</v>
      </c>
      <c r="B1459" s="10">
        <f>_xlfn.XLOOKUP(1,(VALUE(D1459)&gt;=VALUE(block!$C$3:$C$500))*(VALUE(D1459)&lt;VALUE(block!$C$3:$C$500)+VALUE(block!$D$3:$D$500)),block!$A$3:$A$500,"无匹配",0,1)</f>
        <v>40</v>
      </c>
      <c r="C1459" s="3" t="str">
        <f>B1459 &amp; "-" &amp; COUNTIF($B$2:B1459, B1459)</f>
        <v>40-10</v>
      </c>
      <c r="D1459" s="10">
        <v>11608</v>
      </c>
      <c r="E1459" s="1" t="s">
        <v>4603</v>
      </c>
      <c r="F1459" s="44" t="s">
        <v>4604</v>
      </c>
      <c r="G1459" s="1" t="s">
        <v>1830</v>
      </c>
      <c r="H1459" s="1" t="s">
        <v>1812</v>
      </c>
      <c r="I1459" s="10" t="str">
        <f>IF(H1459="T64",1,IF(H1459="T64",3,IF(H1459="T80",6,IF(H1459="T80",10,IF(H1459="T112",14,IF(H1459="T112",18,IF(H1459="T80",22,"")))))))</f>
        <v/>
      </c>
      <c r="J1459" s="1" t="s">
        <v>1808</v>
      </c>
      <c r="K1459" s="10">
        <v>2</v>
      </c>
      <c r="L1459" s="10">
        <v>1</v>
      </c>
      <c r="N1459" s="10">
        <v>4</v>
      </c>
      <c r="O1459" s="6"/>
      <c r="P1459" s="45" t="s">
        <v>2826</v>
      </c>
      <c r="Q1459" s="42" t="s">
        <v>4586</v>
      </c>
      <c r="R1459" s="42"/>
      <c r="S1459" s="44" t="s">
        <v>4604</v>
      </c>
    </row>
    <row r="1460" spans="1:19" ht="18.75" customHeight="1" x14ac:dyDescent="0.3">
      <c r="A1460" s="10">
        <v>1459</v>
      </c>
      <c r="B1460" s="10">
        <f>_xlfn.XLOOKUP(1,(VALUE(D1460)&gt;=VALUE(block!$C$3:$C$500))*(VALUE(D1460)&lt;VALUE(block!$C$3:$C$500)+VALUE(block!$D$3:$D$500)),block!$A$3:$A$500,"无匹配",0,1)</f>
        <v>40</v>
      </c>
      <c r="C1460" s="3" t="str">
        <f>B1460 &amp; "-" &amp; COUNTIF($B$2:B1460, B1460)</f>
        <v>40-11</v>
      </c>
      <c r="D1460" s="10">
        <v>11610</v>
      </c>
      <c r="E1460" s="1" t="s">
        <v>4605</v>
      </c>
      <c r="F1460" s="44" t="s">
        <v>4606</v>
      </c>
      <c r="G1460" s="1" t="s">
        <v>1830</v>
      </c>
      <c r="H1460" s="1" t="s">
        <v>1812</v>
      </c>
      <c r="I1460" s="10" t="str">
        <f>IF(H1460="T65",1,IF(H1460="T65",3,IF(H1460="T81",6,IF(H1460="T81",10,IF(H1460="T113",14,IF(H1460="T113",18,IF(H1460="T81",22,"")))))))</f>
        <v/>
      </c>
      <c r="J1460" s="1" t="s">
        <v>1808</v>
      </c>
      <c r="K1460" s="10">
        <v>2</v>
      </c>
      <c r="L1460" s="10">
        <v>1</v>
      </c>
      <c r="N1460" s="10">
        <v>4</v>
      </c>
      <c r="O1460" s="6"/>
      <c r="P1460" s="45" t="s">
        <v>2826</v>
      </c>
      <c r="Q1460" s="42" t="s">
        <v>4586</v>
      </c>
      <c r="R1460" s="42"/>
      <c r="S1460" s="44" t="s">
        <v>4606</v>
      </c>
    </row>
    <row r="1461" spans="1:19" ht="18.75" customHeight="1" x14ac:dyDescent="0.3">
      <c r="A1461" s="10">
        <v>1460</v>
      </c>
      <c r="B1461" s="10">
        <f>_xlfn.XLOOKUP(1,(VALUE(D1461)&gt;=VALUE(block!$C$3:$C$500))*(VALUE(D1461)&lt;VALUE(block!$C$3:$C$500)+VALUE(block!$D$3:$D$500)),block!$A$3:$A$500,"无匹配",0,1)</f>
        <v>40</v>
      </c>
      <c r="C1461" s="3" t="str">
        <f>B1461 &amp; "-" &amp; COUNTIF($B$2:B1461, B1461)</f>
        <v>40-12</v>
      </c>
      <c r="D1461" s="10">
        <v>11612</v>
      </c>
      <c r="E1461" s="1" t="s">
        <v>4607</v>
      </c>
      <c r="F1461" s="44" t="s">
        <v>4608</v>
      </c>
      <c r="G1461" s="1" t="s">
        <v>1830</v>
      </c>
      <c r="H1461" s="1" t="s">
        <v>1812</v>
      </c>
      <c r="I1461" s="10" t="str">
        <f>IF(H1461="T66",1,IF(H1461="T66",3,IF(H1461="T82",6,IF(H1461="T82",10,IF(H1461="T114",14,IF(H1461="T114",18,IF(H1461="T82",22,"")))))))</f>
        <v/>
      </c>
      <c r="J1461" s="1" t="s">
        <v>1808</v>
      </c>
      <c r="K1461" s="10">
        <v>2</v>
      </c>
      <c r="L1461" s="10">
        <v>1</v>
      </c>
      <c r="N1461" s="10">
        <v>4</v>
      </c>
      <c r="O1461" s="6"/>
      <c r="P1461" s="45" t="s">
        <v>2826</v>
      </c>
      <c r="Q1461" s="42" t="s">
        <v>4586</v>
      </c>
      <c r="R1461" s="42"/>
      <c r="S1461" s="44" t="s">
        <v>4608</v>
      </c>
    </row>
    <row r="1462" spans="1:19" ht="18.75" customHeight="1" x14ac:dyDescent="0.3">
      <c r="A1462" s="10">
        <v>1461</v>
      </c>
      <c r="B1462" s="10">
        <f>_xlfn.XLOOKUP(1,(VALUE(D1462)&gt;=VALUE(block!$C$3:$C$500))*(VALUE(D1462)&lt;VALUE(block!$C$3:$C$500)+VALUE(block!$D$3:$D$500)),block!$A$3:$A$500,"无匹配",0,1)</f>
        <v>40</v>
      </c>
      <c r="C1462" s="3" t="str">
        <f>B1462 &amp; "-" &amp; COUNTIF($B$2:B1462, B1462)</f>
        <v>40-13</v>
      </c>
      <c r="D1462" s="10">
        <v>11614</v>
      </c>
      <c r="E1462" s="1" t="s">
        <v>4609</v>
      </c>
      <c r="F1462" s="44" t="s">
        <v>4610</v>
      </c>
      <c r="G1462" s="1" t="s">
        <v>1830</v>
      </c>
      <c r="H1462" s="1" t="s">
        <v>1812</v>
      </c>
      <c r="I1462" s="10" t="str">
        <f>IF(H1462="T67",1,IF(H1462="T67",3,IF(H1462="T83",6,IF(H1462="T83",10,IF(H1462="T115",14,IF(H1462="T115",18,IF(H1462="T83",22,"")))))))</f>
        <v/>
      </c>
      <c r="J1462" s="1" t="s">
        <v>1808</v>
      </c>
      <c r="K1462" s="10">
        <v>2</v>
      </c>
      <c r="L1462" s="10">
        <v>1</v>
      </c>
      <c r="N1462" s="10">
        <v>4</v>
      </c>
      <c r="O1462" s="6"/>
      <c r="P1462" s="45" t="s">
        <v>2826</v>
      </c>
      <c r="Q1462" s="42" t="s">
        <v>4586</v>
      </c>
      <c r="R1462" s="42"/>
      <c r="S1462" s="44" t="s">
        <v>4610</v>
      </c>
    </row>
    <row r="1463" spans="1:19" ht="18.75" customHeight="1" x14ac:dyDescent="0.3">
      <c r="A1463" s="10">
        <v>1462</v>
      </c>
      <c r="B1463" s="10">
        <f>_xlfn.XLOOKUP(1,(VALUE(D1463)&gt;=VALUE(block!$C$3:$C$500))*(VALUE(D1463)&lt;VALUE(block!$C$3:$C$500)+VALUE(block!$D$3:$D$500)),block!$A$3:$A$500,"无匹配",0,1)</f>
        <v>40</v>
      </c>
      <c r="C1463" s="3" t="str">
        <f>B1463 &amp; "-" &amp; COUNTIF($B$2:B1463, B1463)</f>
        <v>40-14</v>
      </c>
      <c r="D1463" s="10">
        <v>11616</v>
      </c>
      <c r="E1463" s="1" t="s">
        <v>4611</v>
      </c>
      <c r="F1463" s="44" t="s">
        <v>4612</v>
      </c>
      <c r="G1463" s="1" t="s">
        <v>1840</v>
      </c>
      <c r="H1463" s="1" t="s">
        <v>1812</v>
      </c>
      <c r="I1463" s="10" t="str">
        <f>IF(H1463="T68",1,IF(H1463="T68",3,IF(H1463="T84",6,IF(H1463="T84",10,IF(H1463="T116",14,IF(H1463="T116",18,IF(H1463="T84",22,"")))))))</f>
        <v/>
      </c>
      <c r="J1463" s="1" t="s">
        <v>1808</v>
      </c>
      <c r="K1463" s="10">
        <v>2</v>
      </c>
      <c r="L1463" s="10">
        <v>1</v>
      </c>
      <c r="N1463" s="10">
        <v>4</v>
      </c>
      <c r="O1463" s="6"/>
      <c r="P1463" s="45" t="s">
        <v>2826</v>
      </c>
      <c r="Q1463" s="42" t="s">
        <v>4586</v>
      </c>
      <c r="R1463" s="42"/>
      <c r="S1463" s="44" t="s">
        <v>4612</v>
      </c>
    </row>
    <row r="1464" spans="1:19" ht="18.75" customHeight="1" x14ac:dyDescent="0.3">
      <c r="A1464" s="10">
        <v>1463</v>
      </c>
      <c r="B1464" s="10">
        <f>_xlfn.XLOOKUP(1,(VALUE(D1464)&gt;=VALUE(block!$C$3:$C$500))*(VALUE(D1464)&lt;VALUE(block!$C$3:$C$500)+VALUE(block!$D$3:$D$500)),block!$A$3:$A$500,"无匹配",0,1)</f>
        <v>40</v>
      </c>
      <c r="C1464" s="3" t="str">
        <f>B1464 &amp; "-" &amp; COUNTIF($B$2:B1464, B1464)</f>
        <v>40-15</v>
      </c>
      <c r="D1464" s="10">
        <v>11618</v>
      </c>
      <c r="E1464" s="1" t="s">
        <v>4613</v>
      </c>
      <c r="F1464" s="44" t="s">
        <v>4614</v>
      </c>
      <c r="G1464" s="1" t="s">
        <v>1830</v>
      </c>
      <c r="H1464" s="1" t="s">
        <v>1812</v>
      </c>
      <c r="I1464" s="10" t="str">
        <f>IF(H1464="T69",1,IF(H1464="T69",3,IF(H1464="T85",6,IF(H1464="T85",10,IF(H1464="T117",14,IF(H1464="T117",18,IF(H1464="T85",22,"")))))))</f>
        <v/>
      </c>
      <c r="J1464" s="1" t="s">
        <v>1808</v>
      </c>
      <c r="K1464" s="10">
        <v>2</v>
      </c>
      <c r="L1464" s="10">
        <v>1</v>
      </c>
      <c r="N1464" s="10">
        <v>4</v>
      </c>
      <c r="O1464" s="6"/>
      <c r="P1464" s="45" t="s">
        <v>2826</v>
      </c>
      <c r="Q1464" s="42" t="s">
        <v>4586</v>
      </c>
      <c r="R1464" s="42"/>
      <c r="S1464" s="44" t="s">
        <v>4614</v>
      </c>
    </row>
    <row r="1465" spans="1:19" ht="18.75" customHeight="1" x14ac:dyDescent="0.3">
      <c r="A1465" s="10">
        <v>1464</v>
      </c>
      <c r="B1465" s="10">
        <f>_xlfn.XLOOKUP(1,(VALUE(D1465)&gt;=VALUE(block!$C$3:$C$500))*(VALUE(D1465)&lt;VALUE(block!$C$3:$C$500)+VALUE(block!$D$3:$D$500)),block!$A$3:$A$500,"无匹配",0,1)</f>
        <v>40</v>
      </c>
      <c r="C1465" s="3" t="str">
        <f>B1465 &amp; "-" &amp; COUNTIF($B$2:B1465, B1465)</f>
        <v>40-16</v>
      </c>
      <c r="D1465" s="10">
        <v>11620</v>
      </c>
      <c r="E1465" s="1" t="s">
        <v>4615</v>
      </c>
      <c r="F1465" s="44" t="s">
        <v>4616</v>
      </c>
      <c r="G1465" s="1" t="s">
        <v>1830</v>
      </c>
      <c r="H1465" s="1" t="s">
        <v>1812</v>
      </c>
      <c r="I1465" s="10" t="str">
        <f>IF(H1465="T70",1,IF(H1465="T70",3,IF(H1465="T86",6,IF(H1465="T86",10,IF(H1465="T118",14,IF(H1465="T118",18,IF(H1465="T86",22,"")))))))</f>
        <v/>
      </c>
      <c r="J1465" s="1" t="s">
        <v>1808</v>
      </c>
      <c r="K1465" s="10">
        <v>2</v>
      </c>
      <c r="L1465" s="10">
        <v>1</v>
      </c>
      <c r="N1465" s="10">
        <v>4</v>
      </c>
      <c r="O1465" s="6"/>
      <c r="P1465" s="45" t="s">
        <v>2826</v>
      </c>
      <c r="Q1465" s="42" t="s">
        <v>4586</v>
      </c>
      <c r="R1465" s="42"/>
      <c r="S1465" s="44" t="s">
        <v>4616</v>
      </c>
    </row>
    <row r="1466" spans="1:19" ht="18.75" customHeight="1" x14ac:dyDescent="0.3">
      <c r="A1466" s="10">
        <v>1465</v>
      </c>
      <c r="B1466" s="10">
        <f>_xlfn.XLOOKUP(1,(VALUE(D1466)&gt;=VALUE(block!$C$3:$C$500))*(VALUE(D1466)&lt;VALUE(block!$C$3:$C$500)+VALUE(block!$D$3:$D$500)),block!$A$3:$A$500,"无匹配",0,1)</f>
        <v>40</v>
      </c>
      <c r="C1466" s="3" t="str">
        <f>B1466 &amp; "-" &amp; COUNTIF($B$2:B1466, B1466)</f>
        <v>40-17</v>
      </c>
      <c r="D1466" s="10">
        <v>11622</v>
      </c>
      <c r="E1466" s="1" t="s">
        <v>4617</v>
      </c>
      <c r="F1466" s="44" t="s">
        <v>4618</v>
      </c>
      <c r="G1466" s="1" t="s">
        <v>1830</v>
      </c>
      <c r="H1466" s="1" t="s">
        <v>1812</v>
      </c>
      <c r="I1466" s="10" t="str">
        <f>IF(H1466="T71",1,IF(H1466="T71",3,IF(H1466="T87",6,IF(H1466="T87",10,IF(H1466="T119",14,IF(H1466="T119",18,IF(H1466="T87",22,"")))))))</f>
        <v/>
      </c>
      <c r="J1466" s="1" t="s">
        <v>1808</v>
      </c>
      <c r="K1466" s="10">
        <v>2</v>
      </c>
      <c r="L1466" s="10">
        <v>1</v>
      </c>
      <c r="N1466" s="10">
        <v>4</v>
      </c>
      <c r="O1466" s="6"/>
      <c r="P1466" s="45" t="s">
        <v>2826</v>
      </c>
      <c r="Q1466" s="42" t="s">
        <v>4586</v>
      </c>
      <c r="R1466" s="42"/>
      <c r="S1466" s="44" t="s">
        <v>4618</v>
      </c>
    </row>
    <row r="1467" spans="1:19" ht="18.75" customHeight="1" x14ac:dyDescent="0.3">
      <c r="A1467" s="10">
        <v>1466</v>
      </c>
      <c r="B1467" s="10">
        <f>_xlfn.XLOOKUP(1,(VALUE(D1467)&gt;=VALUE(block!$C$3:$C$500))*(VALUE(D1467)&lt;VALUE(block!$C$3:$C$500)+VALUE(block!$D$3:$D$500)),block!$A$3:$A$500,"无匹配",0,1)</f>
        <v>40</v>
      </c>
      <c r="C1467" s="3" t="str">
        <f>B1467 &amp; "-" &amp; COUNTIF($B$2:B1467, B1467)</f>
        <v>40-18</v>
      </c>
      <c r="D1467" s="10">
        <v>11624</v>
      </c>
      <c r="E1467" s="1" t="s">
        <v>4619</v>
      </c>
      <c r="F1467" s="44" t="s">
        <v>4620</v>
      </c>
      <c r="G1467" s="1" t="s">
        <v>1830</v>
      </c>
      <c r="H1467" s="1" t="s">
        <v>1812</v>
      </c>
      <c r="I1467" s="10" t="str">
        <f>IF(H1467="T72",1,IF(H1467="T72",3,IF(H1467="T88",6,IF(H1467="T88",10,IF(H1467="T120",14,IF(H1467="T120",18,IF(H1467="T88",22,"")))))))</f>
        <v/>
      </c>
      <c r="J1467" s="1" t="s">
        <v>1808</v>
      </c>
      <c r="K1467" s="10">
        <v>2</v>
      </c>
      <c r="L1467" s="10">
        <v>1</v>
      </c>
      <c r="N1467" s="10">
        <v>4</v>
      </c>
      <c r="O1467" s="6"/>
      <c r="P1467" s="45" t="s">
        <v>2826</v>
      </c>
      <c r="Q1467" s="42" t="s">
        <v>4586</v>
      </c>
      <c r="R1467" s="42"/>
      <c r="S1467" s="44" t="s">
        <v>4620</v>
      </c>
    </row>
    <row r="1468" spans="1:19" ht="18.75" customHeight="1" x14ac:dyDescent="0.3">
      <c r="A1468" s="10">
        <v>1467</v>
      </c>
      <c r="B1468" s="10">
        <f>_xlfn.XLOOKUP(1,(VALUE(D1468)&gt;=VALUE(block!$C$3:$C$500))*(VALUE(D1468)&lt;VALUE(block!$C$3:$C$500)+VALUE(block!$D$3:$D$500)),block!$A$3:$A$500,"无匹配",0,1)</f>
        <v>40</v>
      </c>
      <c r="C1468" s="3" t="str">
        <f>B1468 &amp; "-" &amp; COUNTIF($B$2:B1468, B1468)</f>
        <v>40-19</v>
      </c>
      <c r="D1468" s="10">
        <v>11626</v>
      </c>
      <c r="E1468" s="1" t="s">
        <v>4621</v>
      </c>
      <c r="F1468" s="44" t="s">
        <v>4622</v>
      </c>
      <c r="G1468" s="1" t="s">
        <v>1830</v>
      </c>
      <c r="H1468" s="1" t="s">
        <v>1812</v>
      </c>
      <c r="I1468" s="10" t="str">
        <f>IF(H1468="T73",1,IF(H1468="T73",3,IF(H1468="T89",6,IF(H1468="T89",10,IF(H1468="T121",14,IF(H1468="T121",18,IF(H1468="T89",22,"")))))))</f>
        <v/>
      </c>
      <c r="J1468" s="1" t="s">
        <v>1808</v>
      </c>
      <c r="K1468" s="10">
        <v>2</v>
      </c>
      <c r="L1468" s="10">
        <v>1</v>
      </c>
      <c r="N1468" s="10">
        <v>4</v>
      </c>
      <c r="O1468" s="6"/>
      <c r="P1468" s="45" t="s">
        <v>2826</v>
      </c>
      <c r="Q1468" s="42" t="s">
        <v>4586</v>
      </c>
      <c r="R1468" s="42"/>
      <c r="S1468" s="44" t="s">
        <v>4622</v>
      </c>
    </row>
    <row r="1469" spans="1:19" ht="18.75" customHeight="1" x14ac:dyDescent="0.3">
      <c r="A1469" s="10">
        <v>1468</v>
      </c>
      <c r="B1469" s="10">
        <f>_xlfn.XLOOKUP(1,(VALUE(D1469)&gt;=VALUE(block!$C$3:$C$500))*(VALUE(D1469)&lt;VALUE(block!$C$3:$C$500)+VALUE(block!$D$3:$D$500)),block!$A$3:$A$500,"无匹配",0,1)</f>
        <v>40</v>
      </c>
      <c r="C1469" s="3" t="str">
        <f>B1469 &amp; "-" &amp; COUNTIF($B$2:B1469, B1469)</f>
        <v>40-20</v>
      </c>
      <c r="D1469" s="10">
        <v>11628</v>
      </c>
      <c r="E1469" s="1" t="s">
        <v>4623</v>
      </c>
      <c r="F1469" s="44" t="s">
        <v>4624</v>
      </c>
      <c r="G1469" s="1" t="s">
        <v>1830</v>
      </c>
      <c r="H1469" s="1" t="s">
        <v>1812</v>
      </c>
      <c r="I1469" s="10" t="str">
        <f>IF(H1469="T74",1,IF(H1469="T74",3,IF(H1469="T90",6,IF(H1469="T90",10,IF(H1469="T122",14,IF(H1469="T122",18,IF(H1469="T90",22,"")))))))</f>
        <v/>
      </c>
      <c r="J1469" s="1" t="s">
        <v>1808</v>
      </c>
      <c r="K1469" s="10">
        <v>2</v>
      </c>
      <c r="L1469" s="10">
        <v>1</v>
      </c>
      <c r="N1469" s="10">
        <v>4</v>
      </c>
      <c r="O1469" s="6"/>
      <c r="P1469" s="45" t="s">
        <v>2826</v>
      </c>
      <c r="Q1469" s="42" t="s">
        <v>4586</v>
      </c>
      <c r="R1469" s="42"/>
      <c r="S1469" s="44" t="s">
        <v>4624</v>
      </c>
    </row>
    <row r="1470" spans="1:19" ht="18.75" customHeight="1" x14ac:dyDescent="0.3">
      <c r="A1470" s="10">
        <v>1469</v>
      </c>
      <c r="B1470" s="10">
        <f>_xlfn.XLOOKUP(1,(VALUE(D1470)&gt;=VALUE(block!$C$3:$C$500))*(VALUE(D1470)&lt;VALUE(block!$C$3:$C$500)+VALUE(block!$D$3:$D$500)),block!$A$3:$A$500,"无匹配",0,1)</f>
        <v>40</v>
      </c>
      <c r="C1470" s="3" t="str">
        <f>B1470 &amp; "-" &amp; COUNTIF($B$2:B1470, B1470)</f>
        <v>40-21</v>
      </c>
      <c r="D1470" s="10">
        <v>11630</v>
      </c>
      <c r="E1470" s="1" t="s">
        <v>4625</v>
      </c>
      <c r="F1470" s="44" t="s">
        <v>4626</v>
      </c>
      <c r="G1470" s="1" t="s">
        <v>1840</v>
      </c>
      <c r="H1470" s="1" t="s">
        <v>1812</v>
      </c>
      <c r="I1470" s="10" t="str">
        <f>IF(H1470="T75",1,IF(H1470="T75",3,IF(H1470="T91",6,IF(H1470="T91",10,IF(H1470="T123",14,IF(H1470="T123",18,IF(H1470="T91",22,"")))))))</f>
        <v/>
      </c>
      <c r="J1470" s="1" t="s">
        <v>1808</v>
      </c>
      <c r="K1470" s="10">
        <v>2</v>
      </c>
      <c r="L1470" s="10">
        <v>1</v>
      </c>
      <c r="N1470" s="10">
        <v>4</v>
      </c>
      <c r="O1470" s="6"/>
      <c r="P1470" s="45" t="s">
        <v>2826</v>
      </c>
      <c r="Q1470" s="42" t="s">
        <v>4586</v>
      </c>
      <c r="R1470" s="42"/>
      <c r="S1470" s="44" t="s">
        <v>4626</v>
      </c>
    </row>
    <row r="1471" spans="1:19" ht="18.75" customHeight="1" x14ac:dyDescent="0.3">
      <c r="A1471" s="10">
        <v>1470</v>
      </c>
      <c r="B1471" s="10">
        <f>_xlfn.XLOOKUP(1,(VALUE(D1471)&gt;=VALUE(block!$C$3:$C$500))*(VALUE(D1471)&lt;VALUE(block!$C$3:$C$500)+VALUE(block!$D$3:$D$500)),block!$A$3:$A$500,"无匹配",0,1)</f>
        <v>40</v>
      </c>
      <c r="C1471" s="3" t="str">
        <f>B1471 &amp; "-" &amp; COUNTIF($B$2:B1471, B1471)</f>
        <v>40-22</v>
      </c>
      <c r="D1471" s="10">
        <v>11632</v>
      </c>
      <c r="E1471" s="1" t="s">
        <v>4627</v>
      </c>
      <c r="F1471" s="44" t="s">
        <v>4628</v>
      </c>
      <c r="G1471" s="1" t="s">
        <v>1830</v>
      </c>
      <c r="H1471" s="1" t="s">
        <v>1812</v>
      </c>
      <c r="I1471" s="10" t="str">
        <f>IF(H1471="T76",1,IF(H1471="T76",3,IF(H1471="T92",6,IF(H1471="T92",10,IF(H1471="T124",14,IF(H1471="T124",18,IF(H1471="T92",22,"")))))))</f>
        <v/>
      </c>
      <c r="J1471" s="1" t="s">
        <v>1808</v>
      </c>
      <c r="K1471" s="10">
        <v>2</v>
      </c>
      <c r="L1471" s="10">
        <v>1</v>
      </c>
      <c r="N1471" s="10">
        <v>4</v>
      </c>
      <c r="O1471" s="6"/>
      <c r="P1471" s="45" t="s">
        <v>2826</v>
      </c>
      <c r="Q1471" s="42" t="s">
        <v>4586</v>
      </c>
      <c r="R1471" s="42"/>
      <c r="S1471" s="44" t="s">
        <v>4628</v>
      </c>
    </row>
    <row r="1472" spans="1:19" ht="18.75" customHeight="1" x14ac:dyDescent="0.3">
      <c r="A1472" s="10">
        <v>1471</v>
      </c>
      <c r="B1472" s="10">
        <f>_xlfn.XLOOKUP(1,(VALUE(D1472)&gt;=VALUE(block!$C$3:$C$500))*(VALUE(D1472)&lt;VALUE(block!$C$3:$C$500)+VALUE(block!$D$3:$D$500)),block!$A$3:$A$500,"无匹配",0,1)</f>
        <v>40</v>
      </c>
      <c r="C1472" s="3" t="str">
        <f>B1472 &amp; "-" &amp; COUNTIF($B$2:B1472, B1472)</f>
        <v>40-23</v>
      </c>
      <c r="D1472" s="10">
        <v>11634</v>
      </c>
      <c r="E1472" s="1" t="s">
        <v>4629</v>
      </c>
      <c r="F1472" s="44" t="s">
        <v>4630</v>
      </c>
      <c r="G1472" s="1" t="s">
        <v>1830</v>
      </c>
      <c r="H1472" s="1" t="s">
        <v>1812</v>
      </c>
      <c r="I1472" s="10" t="str">
        <f>IF(H1472="T77",1,IF(H1472="T77",3,IF(H1472="T93",6,IF(H1472="T93",10,IF(H1472="T125",14,IF(H1472="T125",18,IF(H1472="T93",22,"")))))))</f>
        <v/>
      </c>
      <c r="J1472" s="1" t="s">
        <v>1808</v>
      </c>
      <c r="K1472" s="10">
        <v>2</v>
      </c>
      <c r="L1472" s="10">
        <v>1</v>
      </c>
      <c r="N1472" s="10">
        <v>4</v>
      </c>
      <c r="O1472" s="6"/>
      <c r="P1472" s="45" t="s">
        <v>2826</v>
      </c>
      <c r="Q1472" s="42" t="s">
        <v>4586</v>
      </c>
      <c r="R1472" s="42"/>
      <c r="S1472" s="44" t="s">
        <v>4630</v>
      </c>
    </row>
    <row r="1473" spans="1:19" ht="18.75" customHeight="1" x14ac:dyDescent="0.3">
      <c r="A1473" s="10">
        <v>1472</v>
      </c>
      <c r="B1473" s="10">
        <f>_xlfn.XLOOKUP(1,(VALUE(D1473)&gt;=VALUE(block!$C$3:$C$500))*(VALUE(D1473)&lt;VALUE(block!$C$3:$C$500)+VALUE(block!$D$3:$D$500)),block!$A$3:$A$500,"无匹配",0,1)</f>
        <v>40</v>
      </c>
      <c r="C1473" s="3" t="str">
        <f>B1473 &amp; "-" &amp; COUNTIF($B$2:B1473, B1473)</f>
        <v>40-24</v>
      </c>
      <c r="D1473" s="10">
        <v>11636</v>
      </c>
      <c r="E1473" s="1" t="s">
        <v>4631</v>
      </c>
      <c r="F1473" s="44" t="s">
        <v>4632</v>
      </c>
      <c r="G1473" s="1" t="s">
        <v>1830</v>
      </c>
      <c r="H1473" s="1" t="s">
        <v>1812</v>
      </c>
      <c r="I1473" s="10" t="str">
        <f>IF(H1473="T78",1,IF(H1473="T78",3,IF(H1473="T94",6,IF(H1473="T94",10,IF(H1473="T126",14,IF(H1473="T126",18,IF(H1473="T94",22,"")))))))</f>
        <v/>
      </c>
      <c r="J1473" s="1" t="s">
        <v>1808</v>
      </c>
      <c r="K1473" s="10">
        <v>2</v>
      </c>
      <c r="L1473" s="10">
        <v>1</v>
      </c>
      <c r="N1473" s="10">
        <v>4</v>
      </c>
      <c r="O1473" s="6"/>
      <c r="P1473" s="45" t="s">
        <v>2826</v>
      </c>
      <c r="Q1473" s="42" t="s">
        <v>4586</v>
      </c>
      <c r="R1473" s="42"/>
      <c r="S1473" s="44" t="s">
        <v>4632</v>
      </c>
    </row>
    <row r="1474" spans="1:19" ht="18.75" customHeight="1" x14ac:dyDescent="0.3">
      <c r="A1474" s="10">
        <v>1473</v>
      </c>
      <c r="B1474" s="10">
        <f>_xlfn.XLOOKUP(1,(VALUE(D1474)&gt;=VALUE(block!$C$3:$C$500))*(VALUE(D1474)&lt;VALUE(block!$C$3:$C$500)+VALUE(block!$D$3:$D$500)),block!$A$3:$A$500,"无匹配",0,1)</f>
        <v>40</v>
      </c>
      <c r="C1474" s="3" t="str">
        <f>B1474 &amp; "-" &amp; COUNTIF($B$2:B1474, B1474)</f>
        <v>40-25</v>
      </c>
      <c r="D1474" s="10">
        <v>11638</v>
      </c>
      <c r="E1474" s="1" t="s">
        <v>4633</v>
      </c>
      <c r="F1474" s="44" t="s">
        <v>4634</v>
      </c>
      <c r="G1474" s="1" t="s">
        <v>1830</v>
      </c>
      <c r="H1474" s="1" t="s">
        <v>1812</v>
      </c>
      <c r="I1474" s="10" t="str">
        <f>IF(H1474="T79",1,IF(H1474="T79",3,IF(H1474="T95",6,IF(H1474="T95",10,IF(H1474="T127",14,IF(H1474="T127",18,IF(H1474="T95",22,"")))))))</f>
        <v/>
      </c>
      <c r="J1474" s="1" t="s">
        <v>1808</v>
      </c>
      <c r="K1474" s="10">
        <v>2</v>
      </c>
      <c r="L1474" s="10">
        <v>1</v>
      </c>
      <c r="N1474" s="10">
        <v>4</v>
      </c>
      <c r="O1474" s="6"/>
      <c r="P1474" s="45" t="s">
        <v>2826</v>
      </c>
      <c r="Q1474" s="42" t="s">
        <v>4586</v>
      </c>
      <c r="R1474" s="42"/>
      <c r="S1474" s="44" t="s">
        <v>4634</v>
      </c>
    </row>
    <row r="1475" spans="1:19" ht="18.75" customHeight="1" x14ac:dyDescent="0.3">
      <c r="A1475" s="10">
        <v>1474</v>
      </c>
      <c r="B1475" s="10">
        <f>_xlfn.XLOOKUP(1,(VALUE(D1475)&gt;=VALUE(block!$C$3:$C$500))*(VALUE(D1475)&lt;VALUE(block!$C$3:$C$500)+VALUE(block!$D$3:$D$500)),block!$A$3:$A$500,"无匹配",0,1)</f>
        <v>40</v>
      </c>
      <c r="C1475" s="3" t="str">
        <f>B1475 &amp; "-" &amp; COUNTIF($B$2:B1475, B1475)</f>
        <v>40-26</v>
      </c>
      <c r="D1475" s="10">
        <v>11640</v>
      </c>
      <c r="E1475" s="1" t="s">
        <v>4635</v>
      </c>
      <c r="F1475" s="44" t="s">
        <v>4636</v>
      </c>
      <c r="G1475" s="1" t="s">
        <v>1830</v>
      </c>
      <c r="H1475" s="1" t="s">
        <v>1812</v>
      </c>
      <c r="I1475" s="10">
        <f>IF(H1475="uint16",1,IF(H1475="int16",3,IF(H1475="uint32",6,IF(H1475="int32",10,IF(H1475="uint64",14,IF(H1475="int64",18,IF(H1475="float32",22,"")))))))</f>
        <v>22</v>
      </c>
      <c r="J1475" s="1" t="s">
        <v>1808</v>
      </c>
      <c r="K1475" s="10">
        <v>2</v>
      </c>
      <c r="L1475" s="10">
        <v>1</v>
      </c>
      <c r="N1475" s="10">
        <v>4</v>
      </c>
      <c r="O1475" s="6"/>
      <c r="P1475" s="45" t="s">
        <v>2826</v>
      </c>
      <c r="Q1475" s="42" t="s">
        <v>4586</v>
      </c>
      <c r="R1475" s="42"/>
      <c r="S1475" s="44" t="s">
        <v>4636</v>
      </c>
    </row>
    <row r="1476" spans="1:19" ht="18.75" customHeight="1" x14ac:dyDescent="0.3">
      <c r="A1476" s="10">
        <v>1475</v>
      </c>
      <c r="B1476" s="10">
        <f>_xlfn.XLOOKUP(1,(VALUE(D1476)&gt;=VALUE(block!$C$3:$C$500))*(VALUE(D1476)&lt;VALUE(block!$C$3:$C$500)+VALUE(block!$D$3:$D$500)),block!$A$3:$A$500,"无匹配",0,1)</f>
        <v>40</v>
      </c>
      <c r="C1476" s="3" t="str">
        <f>B1476 &amp; "-" &amp; COUNTIF($B$2:B1476, B1476)</f>
        <v>40-27</v>
      </c>
      <c r="D1476" s="10">
        <v>11642</v>
      </c>
      <c r="E1476" s="1" t="s">
        <v>4637</v>
      </c>
      <c r="F1476" s="44" t="s">
        <v>4638</v>
      </c>
      <c r="G1476" s="1" t="s">
        <v>1830</v>
      </c>
      <c r="H1476" s="1" t="s">
        <v>1812</v>
      </c>
      <c r="I1476" s="10" t="str">
        <f>IF(H1476="T17",1,IF(H1476="T17",3,IF(H1476="T33",6,IF(H1476="T33",10,IF(H1476="T65",14,IF(H1476="T65",18,IF(H1476="T33",22,"")))))))</f>
        <v/>
      </c>
      <c r="J1476" s="1" t="s">
        <v>1808</v>
      </c>
      <c r="K1476" s="10">
        <v>2</v>
      </c>
      <c r="L1476" s="10">
        <v>1</v>
      </c>
      <c r="N1476" s="10">
        <v>4</v>
      </c>
      <c r="O1476" s="6"/>
      <c r="P1476" s="45" t="s">
        <v>2826</v>
      </c>
      <c r="Q1476" s="42" t="s">
        <v>4586</v>
      </c>
      <c r="R1476" s="42"/>
      <c r="S1476" s="44" t="s">
        <v>4638</v>
      </c>
    </row>
    <row r="1477" spans="1:19" ht="18.75" customHeight="1" x14ac:dyDescent="0.3">
      <c r="A1477" s="10">
        <v>1476</v>
      </c>
      <c r="B1477" s="10">
        <f>_xlfn.XLOOKUP(1,(VALUE(D1477)&gt;=VALUE(block!$C$3:$C$500))*(VALUE(D1477)&lt;VALUE(block!$C$3:$C$500)+VALUE(block!$D$3:$D$500)),block!$A$3:$A$500,"无匹配",0,1)</f>
        <v>40</v>
      </c>
      <c r="C1477" s="3" t="str">
        <f>B1477 &amp; "-" &amp; COUNTIF($B$2:B1477, B1477)</f>
        <v>40-28</v>
      </c>
      <c r="D1477" s="10">
        <v>11644</v>
      </c>
      <c r="E1477" s="1" t="s">
        <v>4639</v>
      </c>
      <c r="F1477" s="44" t="s">
        <v>4640</v>
      </c>
      <c r="G1477" s="1" t="s">
        <v>1840</v>
      </c>
      <c r="H1477" s="1" t="s">
        <v>1812</v>
      </c>
      <c r="I1477" s="10" t="str">
        <f>IF(H1477="T18",1,IF(H1477="T18",3,IF(H1477="T34",6,IF(H1477="T34",10,IF(H1477="T66",14,IF(H1477="T66",18,IF(H1477="T34",22,"")))))))</f>
        <v/>
      </c>
      <c r="J1477" s="1" t="s">
        <v>1808</v>
      </c>
      <c r="K1477" s="10">
        <v>2</v>
      </c>
      <c r="L1477" s="10">
        <v>1</v>
      </c>
      <c r="N1477" s="10">
        <v>4</v>
      </c>
      <c r="O1477" s="6"/>
      <c r="P1477" s="45" t="s">
        <v>2826</v>
      </c>
      <c r="Q1477" s="42" t="s">
        <v>4586</v>
      </c>
      <c r="R1477" s="42"/>
      <c r="S1477" s="44" t="s">
        <v>4640</v>
      </c>
    </row>
    <row r="1478" spans="1:19" ht="18.75" customHeight="1" x14ac:dyDescent="0.3">
      <c r="A1478" s="10">
        <v>1477</v>
      </c>
      <c r="B1478" s="10">
        <f>_xlfn.XLOOKUP(1,(VALUE(D1478)&gt;=VALUE(block!$C$3:$C$500))*(VALUE(D1478)&lt;VALUE(block!$C$3:$C$500)+VALUE(block!$D$3:$D$500)),block!$A$3:$A$500,"无匹配",0,1)</f>
        <v>40</v>
      </c>
      <c r="C1478" s="3" t="str">
        <f>B1478 &amp; "-" &amp; COUNTIF($B$2:B1478, B1478)</f>
        <v>40-29</v>
      </c>
      <c r="D1478" s="10">
        <v>11646</v>
      </c>
      <c r="E1478" s="1" t="s">
        <v>4641</v>
      </c>
      <c r="F1478" s="44" t="s">
        <v>4642</v>
      </c>
      <c r="G1478" s="1" t="s">
        <v>1830</v>
      </c>
      <c r="H1478" s="1" t="s">
        <v>1812</v>
      </c>
      <c r="I1478" s="10" t="str">
        <f>IF(H1478="T19",1,IF(H1478="T19",3,IF(H1478="T35",6,IF(H1478="T35",10,IF(H1478="T67",14,IF(H1478="T67",18,IF(H1478="T35",22,"")))))))</f>
        <v/>
      </c>
      <c r="J1478" s="1" t="s">
        <v>1808</v>
      </c>
      <c r="K1478" s="10">
        <v>2</v>
      </c>
      <c r="L1478" s="10">
        <v>1</v>
      </c>
      <c r="N1478" s="10">
        <v>4</v>
      </c>
      <c r="O1478" s="6"/>
      <c r="P1478" s="45" t="s">
        <v>2826</v>
      </c>
      <c r="Q1478" s="42" t="s">
        <v>4586</v>
      </c>
      <c r="R1478" s="42"/>
      <c r="S1478" s="44" t="s">
        <v>4642</v>
      </c>
    </row>
    <row r="1479" spans="1:19" ht="18.75" customHeight="1" x14ac:dyDescent="0.3">
      <c r="A1479" s="10">
        <v>1478</v>
      </c>
      <c r="B1479" s="10">
        <f>_xlfn.XLOOKUP(1,(VALUE(D1479)&gt;=VALUE(block!$C$3:$C$500))*(VALUE(D1479)&lt;VALUE(block!$C$3:$C$500)+VALUE(block!$D$3:$D$500)),block!$A$3:$A$500,"无匹配",0,1)</f>
        <v>40</v>
      </c>
      <c r="C1479" s="3" t="str">
        <f>B1479 &amp; "-" &amp; COUNTIF($B$2:B1479, B1479)</f>
        <v>40-30</v>
      </c>
      <c r="D1479" s="10">
        <v>11648</v>
      </c>
      <c r="E1479" s="1" t="s">
        <v>4643</v>
      </c>
      <c r="F1479" s="44" t="s">
        <v>4644</v>
      </c>
      <c r="G1479" s="1" t="s">
        <v>1830</v>
      </c>
      <c r="H1479" s="1" t="s">
        <v>1812</v>
      </c>
      <c r="I1479" s="10" t="str">
        <f>IF(H1479="T20",1,IF(H1479="T20",3,IF(H1479="T36",6,IF(H1479="T36",10,IF(H1479="T68",14,IF(H1479="T68",18,IF(H1479="T36",22,"")))))))</f>
        <v/>
      </c>
      <c r="J1479" s="1" t="s">
        <v>1808</v>
      </c>
      <c r="K1479" s="10">
        <v>2</v>
      </c>
      <c r="L1479" s="10">
        <v>1</v>
      </c>
      <c r="N1479" s="10">
        <v>4</v>
      </c>
      <c r="O1479" s="6"/>
      <c r="P1479" s="45" t="s">
        <v>2826</v>
      </c>
      <c r="Q1479" s="42" t="s">
        <v>4586</v>
      </c>
      <c r="R1479" s="42"/>
      <c r="S1479" s="44" t="s">
        <v>4644</v>
      </c>
    </row>
    <row r="1480" spans="1:19" ht="18.75" customHeight="1" x14ac:dyDescent="0.3">
      <c r="A1480" s="10">
        <v>1479</v>
      </c>
      <c r="B1480" s="10">
        <f>_xlfn.XLOOKUP(1,(VALUE(D1480)&gt;=VALUE(block!$C$3:$C$500))*(VALUE(D1480)&lt;VALUE(block!$C$3:$C$500)+VALUE(block!$D$3:$D$500)),block!$A$3:$A$500,"无匹配",0,1)</f>
        <v>40</v>
      </c>
      <c r="C1480" s="3" t="str">
        <f>B1480 &amp; "-" &amp; COUNTIF($B$2:B1480, B1480)</f>
        <v>40-31</v>
      </c>
      <c r="D1480" s="10">
        <v>11650</v>
      </c>
      <c r="E1480" s="1" t="s">
        <v>4645</v>
      </c>
      <c r="F1480" s="44" t="s">
        <v>4646</v>
      </c>
      <c r="G1480" s="1" t="s">
        <v>1830</v>
      </c>
      <c r="H1480" s="1" t="s">
        <v>1812</v>
      </c>
      <c r="I1480" s="10" t="str">
        <f>IF(H1480="T21",1,IF(H1480="T21",3,IF(H1480="T37",6,IF(H1480="T37",10,IF(H1480="T69",14,IF(H1480="T69",18,IF(H1480="T37",22,"")))))))</f>
        <v/>
      </c>
      <c r="J1480" s="1" t="s">
        <v>1808</v>
      </c>
      <c r="K1480" s="10">
        <v>2</v>
      </c>
      <c r="L1480" s="10">
        <v>1</v>
      </c>
      <c r="N1480" s="10">
        <v>4</v>
      </c>
      <c r="O1480" s="6"/>
      <c r="P1480" s="45" t="s">
        <v>2826</v>
      </c>
      <c r="Q1480" s="42" t="s">
        <v>4586</v>
      </c>
      <c r="R1480" s="42"/>
      <c r="S1480" s="44" t="s">
        <v>4646</v>
      </c>
    </row>
    <row r="1481" spans="1:19" ht="18.75" customHeight="1" x14ac:dyDescent="0.3">
      <c r="A1481" s="10">
        <v>1480</v>
      </c>
      <c r="B1481" s="10">
        <f>_xlfn.XLOOKUP(1,(VALUE(D1481)&gt;=VALUE(block!$C$3:$C$500))*(VALUE(D1481)&lt;VALUE(block!$C$3:$C$500)+VALUE(block!$D$3:$D$500)),block!$A$3:$A$500,"无匹配",0,1)</f>
        <v>40</v>
      </c>
      <c r="C1481" s="3" t="str">
        <f>B1481 &amp; "-" &amp; COUNTIF($B$2:B1481, B1481)</f>
        <v>40-32</v>
      </c>
      <c r="D1481" s="10">
        <v>11652</v>
      </c>
      <c r="E1481" s="1" t="s">
        <v>4647</v>
      </c>
      <c r="F1481" s="44" t="s">
        <v>4648</v>
      </c>
      <c r="G1481" s="1" t="s">
        <v>1830</v>
      </c>
      <c r="H1481" s="1" t="s">
        <v>1812</v>
      </c>
      <c r="I1481" s="10" t="str">
        <f>IF(H1481="T22",1,IF(H1481="T22",3,IF(H1481="T38",6,IF(H1481="T38",10,IF(H1481="T70",14,IF(H1481="T70",18,IF(H1481="T38",22,"")))))))</f>
        <v/>
      </c>
      <c r="J1481" s="1" t="s">
        <v>1808</v>
      </c>
      <c r="K1481" s="10">
        <v>2</v>
      </c>
      <c r="L1481" s="10">
        <v>1</v>
      </c>
      <c r="N1481" s="10">
        <v>4</v>
      </c>
      <c r="O1481" s="6"/>
      <c r="P1481" s="45" t="s">
        <v>2826</v>
      </c>
      <c r="Q1481" s="42" t="s">
        <v>4586</v>
      </c>
      <c r="R1481" s="42"/>
      <c r="S1481" s="44" t="s">
        <v>4648</v>
      </c>
    </row>
    <row r="1482" spans="1:19" ht="18.75" customHeight="1" x14ac:dyDescent="0.3">
      <c r="A1482" s="10">
        <v>1481</v>
      </c>
      <c r="B1482" s="10">
        <f>_xlfn.XLOOKUP(1,(VALUE(D1482)&gt;=VALUE(block!$C$3:$C$500))*(VALUE(D1482)&lt;VALUE(block!$C$3:$C$500)+VALUE(block!$D$3:$D$500)),block!$A$3:$A$500,"无匹配",0,1)</f>
        <v>40</v>
      </c>
      <c r="C1482" s="3" t="str">
        <f>B1482 &amp; "-" &amp; COUNTIF($B$2:B1482, B1482)</f>
        <v>40-33</v>
      </c>
      <c r="D1482" s="10">
        <v>11654</v>
      </c>
      <c r="E1482" s="1" t="s">
        <v>4649</v>
      </c>
      <c r="F1482" s="44" t="s">
        <v>4650</v>
      </c>
      <c r="G1482" s="1" t="s">
        <v>1830</v>
      </c>
      <c r="H1482" s="1" t="s">
        <v>1812</v>
      </c>
      <c r="I1482" s="10" t="str">
        <f>IF(H1482="T23",1,IF(H1482="T23",3,IF(H1482="T39",6,IF(H1482="T39",10,IF(H1482="T71",14,IF(H1482="T71",18,IF(H1482="T39",22,"")))))))</f>
        <v/>
      </c>
      <c r="J1482" s="1" t="s">
        <v>1808</v>
      </c>
      <c r="K1482" s="10">
        <v>2</v>
      </c>
      <c r="L1482" s="10">
        <v>1</v>
      </c>
      <c r="N1482" s="10">
        <v>4</v>
      </c>
      <c r="O1482" s="6"/>
      <c r="P1482" s="45" t="s">
        <v>2826</v>
      </c>
      <c r="Q1482" s="42" t="s">
        <v>4586</v>
      </c>
      <c r="R1482" s="42"/>
      <c r="S1482" s="44" t="s">
        <v>4650</v>
      </c>
    </row>
    <row r="1483" spans="1:19" ht="18.75" customHeight="1" x14ac:dyDescent="0.3">
      <c r="A1483" s="10">
        <v>1482</v>
      </c>
      <c r="B1483" s="10">
        <f>_xlfn.XLOOKUP(1,(VALUE(D1483)&gt;=VALUE(block!$C$3:$C$500))*(VALUE(D1483)&lt;VALUE(block!$C$3:$C$500)+VALUE(block!$D$3:$D$500)),block!$A$3:$A$500,"无匹配",0,1)</f>
        <v>40</v>
      </c>
      <c r="C1483" s="3" t="str">
        <f>B1483 &amp; "-" &amp; COUNTIF($B$2:B1483, B1483)</f>
        <v>40-34</v>
      </c>
      <c r="D1483" s="10">
        <v>11656</v>
      </c>
      <c r="E1483" s="1" t="s">
        <v>4651</v>
      </c>
      <c r="F1483" s="44" t="s">
        <v>4652</v>
      </c>
      <c r="G1483" s="1" t="s">
        <v>1830</v>
      </c>
      <c r="H1483" s="1" t="s">
        <v>1812</v>
      </c>
      <c r="I1483" s="10" t="str">
        <f>IF(H1483="T24",1,IF(H1483="T24",3,IF(H1483="T40",6,IF(H1483="T40",10,IF(H1483="T72",14,IF(H1483="T72",18,IF(H1483="T40",22,"")))))))</f>
        <v/>
      </c>
      <c r="J1483" s="1" t="s">
        <v>1808</v>
      </c>
      <c r="K1483" s="10">
        <v>2</v>
      </c>
      <c r="L1483" s="10">
        <v>1</v>
      </c>
      <c r="N1483" s="10">
        <v>4</v>
      </c>
      <c r="O1483" s="6"/>
      <c r="P1483" s="45" t="s">
        <v>2826</v>
      </c>
      <c r="Q1483" s="42" t="s">
        <v>4586</v>
      </c>
      <c r="R1483" s="42"/>
      <c r="S1483" s="44" t="s">
        <v>4652</v>
      </c>
    </row>
    <row r="1484" spans="1:19" ht="18.75" customHeight="1" x14ac:dyDescent="0.3">
      <c r="A1484" s="10">
        <v>1483</v>
      </c>
      <c r="B1484" s="10">
        <f>_xlfn.XLOOKUP(1,(VALUE(D1484)&gt;=VALUE(block!$C$3:$C$500))*(VALUE(D1484)&lt;VALUE(block!$C$3:$C$500)+VALUE(block!$D$3:$D$500)),block!$A$3:$A$500,"无匹配",0,1)</f>
        <v>40</v>
      </c>
      <c r="C1484" s="3" t="str">
        <f>B1484 &amp; "-" &amp; COUNTIF($B$2:B1484, B1484)</f>
        <v>40-35</v>
      </c>
      <c r="D1484" s="10">
        <v>11658</v>
      </c>
      <c r="E1484" s="1" t="s">
        <v>4653</v>
      </c>
      <c r="F1484" s="44" t="s">
        <v>4654</v>
      </c>
      <c r="G1484" s="1" t="s">
        <v>1840</v>
      </c>
      <c r="H1484" s="1" t="s">
        <v>1812</v>
      </c>
      <c r="I1484" s="10" t="str">
        <f>IF(H1484="T25",1,IF(H1484="T25",3,IF(H1484="T41",6,IF(H1484="T41",10,IF(H1484="T73",14,IF(H1484="T73",18,IF(H1484="T41",22,"")))))))</f>
        <v/>
      </c>
      <c r="J1484" s="1" t="s">
        <v>1808</v>
      </c>
      <c r="K1484" s="10">
        <v>2</v>
      </c>
      <c r="L1484" s="10">
        <v>1</v>
      </c>
      <c r="N1484" s="10">
        <v>4</v>
      </c>
      <c r="O1484" s="6"/>
      <c r="P1484" s="45" t="s">
        <v>2826</v>
      </c>
      <c r="Q1484" s="42" t="s">
        <v>4586</v>
      </c>
      <c r="R1484" s="42"/>
      <c r="S1484" s="44" t="s">
        <v>4654</v>
      </c>
    </row>
    <row r="1485" spans="1:19" ht="18.75" customHeight="1" x14ac:dyDescent="0.3">
      <c r="A1485" s="10">
        <v>1484</v>
      </c>
      <c r="B1485" s="10">
        <f>_xlfn.XLOOKUP(1,(VALUE(D1485)&gt;=VALUE(block!$C$3:$C$500))*(VALUE(D1485)&lt;VALUE(block!$C$3:$C$500)+VALUE(block!$D$3:$D$500)),block!$A$3:$A$500,"无匹配",0,1)</f>
        <v>40</v>
      </c>
      <c r="C1485" s="3" t="str">
        <f>B1485 &amp; "-" &amp; COUNTIF($B$2:B1485, B1485)</f>
        <v>40-36</v>
      </c>
      <c r="D1485" s="10">
        <v>11660</v>
      </c>
      <c r="E1485" s="1" t="s">
        <v>4655</v>
      </c>
      <c r="F1485" s="44" t="s">
        <v>4656</v>
      </c>
      <c r="G1485" s="1" t="s">
        <v>1830</v>
      </c>
      <c r="H1485" s="1" t="s">
        <v>1812</v>
      </c>
      <c r="I1485" s="10" t="str">
        <f>IF(H1485="T26",1,IF(H1485="T26",3,IF(H1485="T42",6,IF(H1485="T42",10,IF(H1485="T74",14,IF(H1485="T74",18,IF(H1485="T42",22,"")))))))</f>
        <v/>
      </c>
      <c r="J1485" s="1" t="s">
        <v>1808</v>
      </c>
      <c r="K1485" s="10">
        <v>2</v>
      </c>
      <c r="L1485" s="10">
        <v>1</v>
      </c>
      <c r="N1485" s="10">
        <v>4</v>
      </c>
      <c r="O1485" s="6"/>
      <c r="P1485" s="45" t="s">
        <v>2826</v>
      </c>
      <c r="Q1485" s="42" t="s">
        <v>4586</v>
      </c>
      <c r="R1485" s="42"/>
      <c r="S1485" s="44" t="s">
        <v>4656</v>
      </c>
    </row>
    <row r="1486" spans="1:19" ht="18.75" customHeight="1" x14ac:dyDescent="0.3">
      <c r="A1486" s="10">
        <v>1485</v>
      </c>
      <c r="B1486" s="10">
        <f>_xlfn.XLOOKUP(1,(VALUE(D1486)&gt;=VALUE(block!$C$3:$C$500))*(VALUE(D1486)&lt;VALUE(block!$C$3:$C$500)+VALUE(block!$D$3:$D$500)),block!$A$3:$A$500,"无匹配",0,1)</f>
        <v>40</v>
      </c>
      <c r="C1486" s="3" t="str">
        <f>B1486 &amp; "-" &amp; COUNTIF($B$2:B1486, B1486)</f>
        <v>40-37</v>
      </c>
      <c r="D1486" s="10">
        <v>11662</v>
      </c>
      <c r="E1486" s="1" t="s">
        <v>4657</v>
      </c>
      <c r="F1486" s="44" t="s">
        <v>4658</v>
      </c>
      <c r="G1486" s="1" t="s">
        <v>1830</v>
      </c>
      <c r="H1486" s="1" t="s">
        <v>1812</v>
      </c>
      <c r="I1486" s="10" t="str">
        <f>IF(H1486="T27",1,IF(H1486="T27",3,IF(H1486="T43",6,IF(H1486="T43",10,IF(H1486="T75",14,IF(H1486="T75",18,IF(H1486="T43",22,"")))))))</f>
        <v/>
      </c>
      <c r="J1486" s="1" t="s">
        <v>1808</v>
      </c>
      <c r="K1486" s="10">
        <v>2</v>
      </c>
      <c r="L1486" s="10">
        <v>1</v>
      </c>
      <c r="N1486" s="10">
        <v>4</v>
      </c>
      <c r="O1486" s="6"/>
      <c r="P1486" s="45" t="s">
        <v>2826</v>
      </c>
      <c r="Q1486" s="42" t="s">
        <v>4586</v>
      </c>
      <c r="R1486" s="42"/>
      <c r="S1486" s="44" t="s">
        <v>4658</v>
      </c>
    </row>
    <row r="1487" spans="1:19" ht="18.75" customHeight="1" x14ac:dyDescent="0.3">
      <c r="A1487" s="10">
        <v>1486</v>
      </c>
      <c r="B1487" s="10">
        <f>_xlfn.XLOOKUP(1,(VALUE(D1487)&gt;=VALUE(block!$C$3:$C$500))*(VALUE(D1487)&lt;VALUE(block!$C$3:$C$500)+VALUE(block!$D$3:$D$500)),block!$A$3:$A$500,"无匹配",0,1)</f>
        <v>40</v>
      </c>
      <c r="C1487" s="3" t="str">
        <f>B1487 &amp; "-" &amp; COUNTIF($B$2:B1487, B1487)</f>
        <v>40-38</v>
      </c>
      <c r="D1487" s="10">
        <v>11664</v>
      </c>
      <c r="E1487" s="1" t="s">
        <v>4659</v>
      </c>
      <c r="F1487" s="44" t="s">
        <v>4660</v>
      </c>
      <c r="G1487" s="1" t="s">
        <v>1830</v>
      </c>
      <c r="H1487" s="1" t="s">
        <v>1812</v>
      </c>
      <c r="I1487" s="10" t="str">
        <f>IF(H1487="T28",1,IF(H1487="T28",3,IF(H1487="T44",6,IF(H1487="T44",10,IF(H1487="T76",14,IF(H1487="T76",18,IF(H1487="T44",22,"")))))))</f>
        <v/>
      </c>
      <c r="J1487" s="1" t="s">
        <v>1808</v>
      </c>
      <c r="K1487" s="10">
        <v>2</v>
      </c>
      <c r="L1487" s="10">
        <v>1</v>
      </c>
      <c r="N1487" s="10">
        <v>4</v>
      </c>
      <c r="O1487" s="6"/>
      <c r="P1487" s="45" t="s">
        <v>2826</v>
      </c>
      <c r="Q1487" s="42" t="s">
        <v>4586</v>
      </c>
      <c r="R1487" s="42"/>
      <c r="S1487" s="44" t="s">
        <v>4660</v>
      </c>
    </row>
    <row r="1488" spans="1:19" ht="18.75" customHeight="1" x14ac:dyDescent="0.3">
      <c r="A1488" s="10">
        <v>1487</v>
      </c>
      <c r="B1488" s="10">
        <f>_xlfn.XLOOKUP(1,(VALUE(D1488)&gt;=VALUE(block!$C$3:$C$500))*(VALUE(D1488)&lt;VALUE(block!$C$3:$C$500)+VALUE(block!$D$3:$D$500)),block!$A$3:$A$500,"无匹配",0,1)</f>
        <v>40</v>
      </c>
      <c r="C1488" s="3" t="str">
        <f>B1488 &amp; "-" &amp; COUNTIF($B$2:B1488, B1488)</f>
        <v>40-39</v>
      </c>
      <c r="D1488" s="10">
        <v>11666</v>
      </c>
      <c r="E1488" s="1" t="s">
        <v>4661</v>
      </c>
      <c r="F1488" s="44" t="s">
        <v>4662</v>
      </c>
      <c r="G1488" s="1" t="s">
        <v>1830</v>
      </c>
      <c r="H1488" s="1" t="s">
        <v>1812</v>
      </c>
      <c r="I1488" s="10" t="str">
        <f>IF(H1488="T29",1,IF(H1488="T29",3,IF(H1488="T45",6,IF(H1488="T45",10,IF(H1488="T77",14,IF(H1488="T77",18,IF(H1488="T45",22,"")))))))</f>
        <v/>
      </c>
      <c r="J1488" s="1" t="s">
        <v>1808</v>
      </c>
      <c r="K1488" s="10">
        <v>2</v>
      </c>
      <c r="L1488" s="10">
        <v>1</v>
      </c>
      <c r="N1488" s="10">
        <v>4</v>
      </c>
      <c r="O1488" s="6"/>
      <c r="P1488" s="45" t="s">
        <v>2826</v>
      </c>
      <c r="Q1488" s="42" t="s">
        <v>4586</v>
      </c>
      <c r="R1488" s="42"/>
      <c r="S1488" s="44" t="s">
        <v>4662</v>
      </c>
    </row>
    <row r="1489" spans="1:19" ht="18.75" customHeight="1" x14ac:dyDescent="0.3">
      <c r="A1489" s="10">
        <v>1488</v>
      </c>
      <c r="B1489" s="10">
        <f>_xlfn.XLOOKUP(1,(VALUE(D1489)&gt;=VALUE(block!$C$3:$C$500))*(VALUE(D1489)&lt;VALUE(block!$C$3:$C$500)+VALUE(block!$D$3:$D$500)),block!$A$3:$A$500,"无匹配",0,1)</f>
        <v>40</v>
      </c>
      <c r="C1489" s="3" t="str">
        <f>B1489 &amp; "-" &amp; COUNTIF($B$2:B1489, B1489)</f>
        <v>40-40</v>
      </c>
      <c r="D1489" s="10">
        <v>11668</v>
      </c>
      <c r="E1489" s="1" t="s">
        <v>4663</v>
      </c>
      <c r="F1489" s="44" t="s">
        <v>4664</v>
      </c>
      <c r="G1489" s="1" t="s">
        <v>1830</v>
      </c>
      <c r="H1489" s="1" t="s">
        <v>1812</v>
      </c>
      <c r="I1489" s="10" t="str">
        <f>IF(H1489="T30",1,IF(H1489="T30",3,IF(H1489="T46",6,IF(H1489="T46",10,IF(H1489="T78",14,IF(H1489="T78",18,IF(H1489="T46",22,"")))))))</f>
        <v/>
      </c>
      <c r="J1489" s="1" t="s">
        <v>1808</v>
      </c>
      <c r="K1489" s="10">
        <v>2</v>
      </c>
      <c r="L1489" s="10">
        <v>1</v>
      </c>
      <c r="N1489" s="10">
        <v>4</v>
      </c>
      <c r="O1489" s="6"/>
      <c r="P1489" s="45" t="s">
        <v>2826</v>
      </c>
      <c r="Q1489" s="42" t="s">
        <v>4586</v>
      </c>
      <c r="R1489" s="42"/>
      <c r="S1489" s="44" t="s">
        <v>4664</v>
      </c>
    </row>
    <row r="1490" spans="1:19" ht="18.75" customHeight="1" x14ac:dyDescent="0.3">
      <c r="A1490" s="10">
        <v>1489</v>
      </c>
      <c r="B1490" s="10">
        <f>_xlfn.XLOOKUP(1,(VALUE(D1490)&gt;=VALUE(block!$C$3:$C$500))*(VALUE(D1490)&lt;VALUE(block!$C$3:$C$500)+VALUE(block!$D$3:$D$500)),block!$A$3:$A$500,"无匹配",0,1)</f>
        <v>40</v>
      </c>
      <c r="C1490" s="3" t="str">
        <f>B1490 &amp; "-" &amp; COUNTIF($B$2:B1490, B1490)</f>
        <v>40-41</v>
      </c>
      <c r="D1490" s="10">
        <v>11670</v>
      </c>
      <c r="E1490" s="1" t="s">
        <v>4665</v>
      </c>
      <c r="F1490" s="44" t="s">
        <v>4666</v>
      </c>
      <c r="G1490" s="1" t="s">
        <v>1830</v>
      </c>
      <c r="H1490" s="1" t="s">
        <v>1812</v>
      </c>
      <c r="I1490" s="10" t="str">
        <f>IF(H1490="T31",1,IF(H1490="T31",3,IF(H1490="T47",6,IF(H1490="T47",10,IF(H1490="T79",14,IF(H1490="T79",18,IF(H1490="T47",22,"")))))))</f>
        <v/>
      </c>
      <c r="J1490" s="1" t="s">
        <v>1808</v>
      </c>
      <c r="K1490" s="10">
        <v>2</v>
      </c>
      <c r="L1490" s="10">
        <v>1</v>
      </c>
      <c r="N1490" s="10">
        <v>4</v>
      </c>
      <c r="O1490" s="6"/>
      <c r="P1490" s="45" t="s">
        <v>2826</v>
      </c>
      <c r="Q1490" s="42" t="s">
        <v>4586</v>
      </c>
      <c r="R1490" s="42"/>
      <c r="S1490" s="44" t="s">
        <v>4666</v>
      </c>
    </row>
    <row r="1491" spans="1:19" ht="18.75" customHeight="1" x14ac:dyDescent="0.3">
      <c r="A1491" s="10">
        <v>1490</v>
      </c>
      <c r="B1491" s="10">
        <f>_xlfn.XLOOKUP(1,(VALUE(D1491)&gt;=VALUE(block!$C$3:$C$500))*(VALUE(D1491)&lt;VALUE(block!$C$3:$C$500)+VALUE(block!$D$3:$D$500)),block!$A$3:$A$500,"无匹配",0,1)</f>
        <v>40</v>
      </c>
      <c r="C1491" s="3" t="str">
        <f>B1491 &amp; "-" &amp; COUNTIF($B$2:B1491, B1491)</f>
        <v>40-42</v>
      </c>
      <c r="D1491" s="10">
        <v>11672</v>
      </c>
      <c r="E1491" s="1" t="s">
        <v>4667</v>
      </c>
      <c r="F1491" s="44" t="s">
        <v>4668</v>
      </c>
      <c r="G1491" s="1" t="s">
        <v>1840</v>
      </c>
      <c r="H1491" s="1" t="s">
        <v>1812</v>
      </c>
      <c r="I1491" s="10" t="str">
        <f>IF(H1491="T32",1,IF(H1491="T32",3,IF(H1491="T48",6,IF(H1491="T48",10,IF(H1491="T80",14,IF(H1491="T80",18,IF(H1491="T48",22,"")))))))</f>
        <v/>
      </c>
      <c r="J1491" s="1" t="s">
        <v>1808</v>
      </c>
      <c r="K1491" s="10">
        <v>2</v>
      </c>
      <c r="L1491" s="10">
        <v>1</v>
      </c>
      <c r="N1491" s="10">
        <v>4</v>
      </c>
      <c r="O1491" s="6"/>
      <c r="P1491" s="45" t="s">
        <v>2826</v>
      </c>
      <c r="Q1491" s="42" t="s">
        <v>4586</v>
      </c>
      <c r="R1491" s="42"/>
      <c r="S1491" s="44" t="s">
        <v>4668</v>
      </c>
    </row>
    <row r="1492" spans="1:19" ht="18.75" customHeight="1" x14ac:dyDescent="0.3">
      <c r="A1492" s="10">
        <v>1491</v>
      </c>
      <c r="B1492" s="10">
        <f>_xlfn.XLOOKUP(1,(VALUE(D1492)&gt;=VALUE(block!$C$3:$C$500))*(VALUE(D1492)&lt;VALUE(block!$C$3:$C$500)+VALUE(block!$D$3:$D$500)),block!$A$3:$A$500,"无匹配",0,1)</f>
        <v>41</v>
      </c>
      <c r="C1492" s="3" t="str">
        <f>B1492 &amp; "-" &amp; COUNTIF($B$2:B1492, B1492)</f>
        <v>41-1</v>
      </c>
      <c r="D1492" s="10">
        <v>11674</v>
      </c>
      <c r="E1492" s="1" t="s">
        <v>4669</v>
      </c>
      <c r="F1492" s="44" t="s">
        <v>4670</v>
      </c>
      <c r="G1492" s="1" t="s">
        <v>1830</v>
      </c>
      <c r="H1492" s="1" t="s">
        <v>1812</v>
      </c>
      <c r="I1492" s="10" t="str">
        <f>IF(H1492="T33",1,IF(H1492="T33",3,IF(H1492="T49",6,IF(H1492="T49",10,IF(H1492="T81",14,IF(H1492="T81",18,IF(H1492="T49",22,"")))))))</f>
        <v/>
      </c>
      <c r="J1492" s="1" t="s">
        <v>1808</v>
      </c>
      <c r="K1492" s="10">
        <v>2</v>
      </c>
      <c r="L1492" s="10">
        <v>1</v>
      </c>
      <c r="N1492" s="10">
        <v>4</v>
      </c>
      <c r="O1492" s="6"/>
      <c r="P1492" s="45" t="s">
        <v>2826</v>
      </c>
      <c r="Q1492" s="42" t="s">
        <v>4586</v>
      </c>
      <c r="R1492" s="42"/>
      <c r="S1492" s="44" t="s">
        <v>4670</v>
      </c>
    </row>
    <row r="1493" spans="1:19" ht="18.75" customHeight="1" x14ac:dyDescent="0.3">
      <c r="A1493" s="10">
        <v>1492</v>
      </c>
      <c r="B1493" s="10">
        <f>_xlfn.XLOOKUP(1,(VALUE(D1493)&gt;=VALUE(block!$C$3:$C$500))*(VALUE(D1493)&lt;VALUE(block!$C$3:$C$500)+VALUE(block!$D$3:$D$500)),block!$A$3:$A$500,"无匹配",0,1)</f>
        <v>41</v>
      </c>
      <c r="C1493" s="3" t="str">
        <f>B1493 &amp; "-" &amp; COUNTIF($B$2:B1493, B1493)</f>
        <v>41-2</v>
      </c>
      <c r="D1493" s="10">
        <v>11676</v>
      </c>
      <c r="E1493" s="1" t="s">
        <v>4671</v>
      </c>
      <c r="F1493" s="44" t="s">
        <v>4672</v>
      </c>
      <c r="G1493" s="1" t="s">
        <v>1830</v>
      </c>
      <c r="H1493" s="1" t="s">
        <v>1812</v>
      </c>
      <c r="I1493" s="10" t="str">
        <f>IF(H1493="T34",1,IF(H1493="T34",3,IF(H1493="T50",6,IF(H1493="T50",10,IF(H1493="T82",14,IF(H1493="T82",18,IF(H1493="T50",22,"")))))))</f>
        <v/>
      </c>
      <c r="J1493" s="1" t="s">
        <v>1808</v>
      </c>
      <c r="K1493" s="10">
        <v>2</v>
      </c>
      <c r="L1493" s="10">
        <v>1</v>
      </c>
      <c r="N1493" s="10">
        <v>4</v>
      </c>
      <c r="O1493" s="6"/>
      <c r="P1493" s="45" t="s">
        <v>2826</v>
      </c>
      <c r="Q1493" s="42" t="s">
        <v>4586</v>
      </c>
      <c r="R1493" s="42"/>
      <c r="S1493" s="44" t="s">
        <v>4672</v>
      </c>
    </row>
    <row r="1494" spans="1:19" ht="18.75" customHeight="1" x14ac:dyDescent="0.3">
      <c r="A1494" s="10">
        <v>1493</v>
      </c>
      <c r="B1494" s="10">
        <f>_xlfn.XLOOKUP(1,(VALUE(D1494)&gt;=VALUE(block!$C$3:$C$500))*(VALUE(D1494)&lt;VALUE(block!$C$3:$C$500)+VALUE(block!$D$3:$D$500)),block!$A$3:$A$500,"无匹配",0,1)</f>
        <v>41</v>
      </c>
      <c r="C1494" s="3" t="str">
        <f>B1494 &amp; "-" &amp; COUNTIF($B$2:B1494, B1494)</f>
        <v>41-3</v>
      </c>
      <c r="D1494" s="10">
        <v>11678</v>
      </c>
      <c r="E1494" s="1" t="s">
        <v>4673</v>
      </c>
      <c r="F1494" s="44" t="s">
        <v>4674</v>
      </c>
      <c r="G1494" s="1" t="s">
        <v>1830</v>
      </c>
      <c r="H1494" s="1" t="s">
        <v>1812</v>
      </c>
      <c r="I1494" s="10" t="str">
        <f>IF(H1494="T35",1,IF(H1494="T35",3,IF(H1494="T51",6,IF(H1494="T51",10,IF(H1494="T83",14,IF(H1494="T83",18,IF(H1494="T51",22,"")))))))</f>
        <v/>
      </c>
      <c r="J1494" s="1" t="s">
        <v>1808</v>
      </c>
      <c r="K1494" s="10">
        <v>2</v>
      </c>
      <c r="L1494" s="10">
        <v>1</v>
      </c>
      <c r="N1494" s="10">
        <v>4</v>
      </c>
      <c r="O1494" s="6"/>
      <c r="P1494" s="45" t="s">
        <v>2826</v>
      </c>
      <c r="Q1494" s="42" t="s">
        <v>4586</v>
      </c>
      <c r="R1494" s="42"/>
      <c r="S1494" s="44" t="s">
        <v>4674</v>
      </c>
    </row>
    <row r="1495" spans="1:19" ht="18.75" customHeight="1" x14ac:dyDescent="0.3">
      <c r="A1495" s="10">
        <v>1494</v>
      </c>
      <c r="B1495" s="10">
        <f>_xlfn.XLOOKUP(1,(VALUE(D1495)&gt;=VALUE(block!$C$3:$C$500))*(VALUE(D1495)&lt;VALUE(block!$C$3:$C$500)+VALUE(block!$D$3:$D$500)),block!$A$3:$A$500,"无匹配",0,1)</f>
        <v>41</v>
      </c>
      <c r="C1495" s="3" t="str">
        <f>B1495 &amp; "-" &amp; COUNTIF($B$2:B1495, B1495)</f>
        <v>41-4</v>
      </c>
      <c r="D1495" s="10">
        <v>11680</v>
      </c>
      <c r="E1495" s="1" t="s">
        <v>4675</v>
      </c>
      <c r="F1495" s="44" t="s">
        <v>4676</v>
      </c>
      <c r="G1495" s="1" t="s">
        <v>1830</v>
      </c>
      <c r="H1495" s="1" t="s">
        <v>1812</v>
      </c>
      <c r="I1495" s="10" t="str">
        <f>IF(H1495="T36",1,IF(H1495="T36",3,IF(H1495="T52",6,IF(H1495="T52",10,IF(H1495="T84",14,IF(H1495="T84",18,IF(H1495="T52",22,"")))))))</f>
        <v/>
      </c>
      <c r="J1495" s="1" t="s">
        <v>1808</v>
      </c>
      <c r="K1495" s="10">
        <v>2</v>
      </c>
      <c r="L1495" s="10">
        <v>1</v>
      </c>
      <c r="N1495" s="10">
        <v>4</v>
      </c>
      <c r="O1495" s="6"/>
      <c r="P1495" s="45" t="s">
        <v>2826</v>
      </c>
      <c r="Q1495" s="42" t="s">
        <v>4586</v>
      </c>
      <c r="R1495" s="42"/>
      <c r="S1495" s="44" t="s">
        <v>4676</v>
      </c>
    </row>
    <row r="1496" spans="1:19" ht="18.75" customHeight="1" x14ac:dyDescent="0.3">
      <c r="A1496" s="10">
        <v>1495</v>
      </c>
      <c r="B1496" s="10">
        <f>_xlfn.XLOOKUP(1,(VALUE(D1496)&gt;=VALUE(block!$C$3:$C$500))*(VALUE(D1496)&lt;VALUE(block!$C$3:$C$500)+VALUE(block!$D$3:$D$500)),block!$A$3:$A$500,"无匹配",0,1)</f>
        <v>41</v>
      </c>
      <c r="C1496" s="3" t="str">
        <f>B1496 &amp; "-" &amp; COUNTIF($B$2:B1496, B1496)</f>
        <v>41-5</v>
      </c>
      <c r="D1496" s="10">
        <v>11682</v>
      </c>
      <c r="E1496" s="1" t="s">
        <v>4677</v>
      </c>
      <c r="F1496" s="44" t="s">
        <v>4678</v>
      </c>
      <c r="G1496" s="1" t="s">
        <v>1830</v>
      </c>
      <c r="H1496" s="1" t="s">
        <v>1812</v>
      </c>
      <c r="I1496" s="10" t="str">
        <f>IF(H1496="T37",1,IF(H1496="T37",3,IF(H1496="T53",6,IF(H1496="T53",10,IF(H1496="T85",14,IF(H1496="T85",18,IF(H1496="T53",22,"")))))))</f>
        <v/>
      </c>
      <c r="J1496" s="1" t="s">
        <v>1808</v>
      </c>
      <c r="K1496" s="10">
        <v>2</v>
      </c>
      <c r="L1496" s="10">
        <v>1</v>
      </c>
      <c r="N1496" s="10">
        <v>4</v>
      </c>
      <c r="O1496" s="6"/>
      <c r="P1496" s="45" t="s">
        <v>2826</v>
      </c>
      <c r="Q1496" s="42" t="s">
        <v>4586</v>
      </c>
      <c r="R1496" s="42"/>
      <c r="S1496" s="44" t="s">
        <v>4678</v>
      </c>
    </row>
    <row r="1497" spans="1:19" ht="18.75" customHeight="1" x14ac:dyDescent="0.3">
      <c r="A1497" s="10">
        <v>1496</v>
      </c>
      <c r="B1497" s="10">
        <f>_xlfn.XLOOKUP(1,(VALUE(D1497)&gt;=VALUE(block!$C$3:$C$500))*(VALUE(D1497)&lt;VALUE(block!$C$3:$C$500)+VALUE(block!$D$3:$D$500)),block!$A$3:$A$500,"无匹配",0,1)</f>
        <v>41</v>
      </c>
      <c r="C1497" s="3" t="str">
        <f>B1497 &amp; "-" &amp; COUNTIF($B$2:B1497, B1497)</f>
        <v>41-6</v>
      </c>
      <c r="D1497" s="10">
        <v>11684</v>
      </c>
      <c r="E1497" s="1" t="s">
        <v>4679</v>
      </c>
      <c r="F1497" s="44" t="s">
        <v>4680</v>
      </c>
      <c r="G1497" s="1" t="s">
        <v>1830</v>
      </c>
      <c r="H1497" s="1" t="s">
        <v>1812</v>
      </c>
      <c r="I1497" s="10" t="str">
        <f>IF(H1497="T38",1,IF(H1497="T38",3,IF(H1497="T54",6,IF(H1497="T54",10,IF(H1497="T86",14,IF(H1497="T86",18,IF(H1497="T54",22,"")))))))</f>
        <v/>
      </c>
      <c r="J1497" s="1" t="s">
        <v>1808</v>
      </c>
      <c r="K1497" s="10">
        <v>2</v>
      </c>
      <c r="L1497" s="10">
        <v>1</v>
      </c>
      <c r="N1497" s="10">
        <v>4</v>
      </c>
      <c r="O1497" s="6"/>
      <c r="P1497" s="45" t="s">
        <v>2826</v>
      </c>
      <c r="Q1497" s="42" t="s">
        <v>4586</v>
      </c>
      <c r="R1497" s="42"/>
      <c r="S1497" s="44" t="s">
        <v>4680</v>
      </c>
    </row>
    <row r="1498" spans="1:19" ht="18.75" customHeight="1" x14ac:dyDescent="0.3">
      <c r="A1498" s="10">
        <v>1497</v>
      </c>
      <c r="B1498" s="10">
        <f>_xlfn.XLOOKUP(1,(VALUE(D1498)&gt;=VALUE(block!$C$3:$C$500))*(VALUE(D1498)&lt;VALUE(block!$C$3:$C$500)+VALUE(block!$D$3:$D$500)),block!$A$3:$A$500,"无匹配",0,1)</f>
        <v>41</v>
      </c>
      <c r="C1498" s="3" t="str">
        <f>B1498 &amp; "-" &amp; COUNTIF($B$2:B1498, B1498)</f>
        <v>41-7</v>
      </c>
      <c r="D1498" s="10">
        <v>11686</v>
      </c>
      <c r="E1498" s="1" t="s">
        <v>4681</v>
      </c>
      <c r="F1498" s="44" t="s">
        <v>4682</v>
      </c>
      <c r="G1498" s="1" t="s">
        <v>1840</v>
      </c>
      <c r="H1498" s="1" t="s">
        <v>1812</v>
      </c>
      <c r="I1498" s="10" t="str">
        <f>IF(H1498="T39",1,IF(H1498="T39",3,IF(H1498="T55",6,IF(H1498="T55",10,IF(H1498="T87",14,IF(H1498="T87",18,IF(H1498="T55",22,"")))))))</f>
        <v/>
      </c>
      <c r="J1498" s="1" t="s">
        <v>1808</v>
      </c>
      <c r="K1498" s="10">
        <v>2</v>
      </c>
      <c r="L1498" s="10">
        <v>1</v>
      </c>
      <c r="N1498" s="10">
        <v>4</v>
      </c>
      <c r="O1498" s="6"/>
      <c r="P1498" s="45" t="s">
        <v>2826</v>
      </c>
      <c r="Q1498" s="42" t="s">
        <v>4586</v>
      </c>
      <c r="R1498" s="42"/>
      <c r="S1498" s="44" t="s">
        <v>4682</v>
      </c>
    </row>
    <row r="1499" spans="1:19" ht="18.75" customHeight="1" x14ac:dyDescent="0.3">
      <c r="A1499" s="10">
        <v>1498</v>
      </c>
      <c r="B1499" s="10">
        <f>_xlfn.XLOOKUP(1,(VALUE(D1499)&gt;=VALUE(block!$C$3:$C$500))*(VALUE(D1499)&lt;VALUE(block!$C$3:$C$500)+VALUE(block!$D$3:$D$500)),block!$A$3:$A$500,"无匹配",0,1)</f>
        <v>41</v>
      </c>
      <c r="C1499" s="3" t="str">
        <f>B1499 &amp; "-" &amp; COUNTIF($B$2:B1499, B1499)</f>
        <v>41-8</v>
      </c>
      <c r="D1499" s="10">
        <v>11688</v>
      </c>
      <c r="E1499" s="1" t="s">
        <v>4683</v>
      </c>
      <c r="F1499" s="44" t="s">
        <v>4684</v>
      </c>
      <c r="G1499" s="1" t="s">
        <v>1830</v>
      </c>
      <c r="H1499" s="1" t="s">
        <v>1812</v>
      </c>
      <c r="I1499" s="10" t="str">
        <f>IF(H1499="T40",1,IF(H1499="T40",3,IF(H1499="T56",6,IF(H1499="T56",10,IF(H1499="T88",14,IF(H1499="T88",18,IF(H1499="T56",22,"")))))))</f>
        <v/>
      </c>
      <c r="J1499" s="1" t="s">
        <v>1808</v>
      </c>
      <c r="K1499" s="10">
        <v>2</v>
      </c>
      <c r="L1499" s="10">
        <v>1</v>
      </c>
      <c r="N1499" s="10">
        <v>4</v>
      </c>
      <c r="O1499" s="6"/>
      <c r="P1499" s="45" t="s">
        <v>2826</v>
      </c>
      <c r="Q1499" s="42" t="s">
        <v>4586</v>
      </c>
      <c r="R1499" s="42"/>
      <c r="S1499" s="44" t="s">
        <v>4684</v>
      </c>
    </row>
    <row r="1500" spans="1:19" ht="18.75" customHeight="1" x14ac:dyDescent="0.3">
      <c r="A1500" s="10">
        <v>1499</v>
      </c>
      <c r="B1500" s="10">
        <f>_xlfn.XLOOKUP(1,(VALUE(D1500)&gt;=VALUE(block!$C$3:$C$500))*(VALUE(D1500)&lt;VALUE(block!$C$3:$C$500)+VALUE(block!$D$3:$D$500)),block!$A$3:$A$500,"无匹配",0,1)</f>
        <v>41</v>
      </c>
      <c r="C1500" s="3" t="str">
        <f>B1500 &amp; "-" &amp; COUNTIF($B$2:B1500, B1500)</f>
        <v>41-9</v>
      </c>
      <c r="D1500" s="10">
        <v>11690</v>
      </c>
      <c r="E1500" s="1" t="s">
        <v>4685</v>
      </c>
      <c r="F1500" s="44" t="s">
        <v>4686</v>
      </c>
      <c r="G1500" s="1" t="s">
        <v>1830</v>
      </c>
      <c r="H1500" s="1" t="s">
        <v>1812</v>
      </c>
      <c r="I1500" s="10" t="str">
        <f>IF(H1500="T41",1,IF(H1500="T41",3,IF(H1500="T57",6,IF(H1500="T57",10,IF(H1500="T89",14,IF(H1500="T89",18,IF(H1500="T57",22,"")))))))</f>
        <v/>
      </c>
      <c r="J1500" s="1" t="s">
        <v>1808</v>
      </c>
      <c r="K1500" s="10">
        <v>2</v>
      </c>
      <c r="L1500" s="10">
        <v>1</v>
      </c>
      <c r="N1500" s="10">
        <v>4</v>
      </c>
      <c r="O1500" s="6"/>
      <c r="P1500" s="45" t="s">
        <v>2826</v>
      </c>
      <c r="Q1500" s="42" t="s">
        <v>4586</v>
      </c>
      <c r="R1500" s="42"/>
      <c r="S1500" s="44" t="s">
        <v>4686</v>
      </c>
    </row>
    <row r="1501" spans="1:19" ht="18.75" customHeight="1" x14ac:dyDescent="0.3">
      <c r="A1501" s="10">
        <v>1500</v>
      </c>
      <c r="B1501" s="10">
        <f>_xlfn.XLOOKUP(1,(VALUE(D1501)&gt;=VALUE(block!$C$3:$C$500))*(VALUE(D1501)&lt;VALUE(block!$C$3:$C$500)+VALUE(block!$D$3:$D$500)),block!$A$3:$A$500,"无匹配",0,1)</f>
        <v>41</v>
      </c>
      <c r="C1501" s="3" t="str">
        <f>B1501 &amp; "-" &amp; COUNTIF($B$2:B1501, B1501)</f>
        <v>41-10</v>
      </c>
      <c r="D1501" s="10">
        <v>11692</v>
      </c>
      <c r="E1501" s="1" t="s">
        <v>4687</v>
      </c>
      <c r="F1501" s="44" t="s">
        <v>4688</v>
      </c>
      <c r="G1501" s="1" t="s">
        <v>1830</v>
      </c>
      <c r="H1501" s="1" t="s">
        <v>1812</v>
      </c>
      <c r="I1501" s="10" t="str">
        <f>IF(H1501="T42",1,IF(H1501="T42",3,IF(H1501="T58",6,IF(H1501="T58",10,IF(H1501="T90",14,IF(H1501="T90",18,IF(H1501="T58",22,"")))))))</f>
        <v/>
      </c>
      <c r="J1501" s="1" t="s">
        <v>1808</v>
      </c>
      <c r="K1501" s="10">
        <v>2</v>
      </c>
      <c r="L1501" s="10">
        <v>1</v>
      </c>
      <c r="N1501" s="10">
        <v>4</v>
      </c>
      <c r="O1501" s="6"/>
      <c r="P1501" s="45" t="s">
        <v>2826</v>
      </c>
      <c r="Q1501" s="42" t="s">
        <v>4586</v>
      </c>
      <c r="R1501" s="42"/>
      <c r="S1501" s="44" t="s">
        <v>4688</v>
      </c>
    </row>
    <row r="1502" spans="1:19" ht="18.75" customHeight="1" x14ac:dyDescent="0.3">
      <c r="A1502" s="10">
        <v>1501</v>
      </c>
      <c r="B1502" s="10">
        <f>_xlfn.XLOOKUP(1,(VALUE(D1502)&gt;=VALUE(block!$C$3:$C$500))*(VALUE(D1502)&lt;VALUE(block!$C$3:$C$500)+VALUE(block!$D$3:$D$500)),block!$A$3:$A$500,"无匹配",0,1)</f>
        <v>41</v>
      </c>
      <c r="C1502" s="3" t="str">
        <f>B1502 &amp; "-" &amp; COUNTIF($B$2:B1502, B1502)</f>
        <v>41-11</v>
      </c>
      <c r="D1502" s="10">
        <v>11694</v>
      </c>
      <c r="E1502" s="1" t="s">
        <v>4689</v>
      </c>
      <c r="F1502" s="44" t="s">
        <v>4690</v>
      </c>
      <c r="G1502" s="1" t="s">
        <v>1830</v>
      </c>
      <c r="H1502" s="1" t="s">
        <v>1812</v>
      </c>
      <c r="I1502" s="10" t="str">
        <f>IF(H1502="T43",1,IF(H1502="T43",3,IF(H1502="T59",6,IF(H1502="T59",10,IF(H1502="T91",14,IF(H1502="T91",18,IF(H1502="T59",22,"")))))))</f>
        <v/>
      </c>
      <c r="J1502" s="1" t="s">
        <v>1808</v>
      </c>
      <c r="K1502" s="10">
        <v>2</v>
      </c>
      <c r="L1502" s="10">
        <v>1</v>
      </c>
      <c r="N1502" s="10">
        <v>4</v>
      </c>
      <c r="O1502" s="6"/>
      <c r="P1502" s="45" t="s">
        <v>2826</v>
      </c>
      <c r="Q1502" s="42" t="s">
        <v>4586</v>
      </c>
      <c r="R1502" s="42"/>
      <c r="S1502" s="44" t="s">
        <v>4690</v>
      </c>
    </row>
    <row r="1503" spans="1:19" ht="18.75" customHeight="1" x14ac:dyDescent="0.3">
      <c r="A1503" s="10">
        <v>1502</v>
      </c>
      <c r="B1503" s="10">
        <f>_xlfn.XLOOKUP(1,(VALUE(D1503)&gt;=VALUE(block!$C$3:$C$500))*(VALUE(D1503)&lt;VALUE(block!$C$3:$C$500)+VALUE(block!$D$3:$D$500)),block!$A$3:$A$500,"无匹配",0,1)</f>
        <v>41</v>
      </c>
      <c r="C1503" s="3" t="str">
        <f>B1503 &amp; "-" &amp; COUNTIF($B$2:B1503, B1503)</f>
        <v>41-12</v>
      </c>
      <c r="D1503" s="10">
        <v>11696</v>
      </c>
      <c r="E1503" s="1" t="s">
        <v>4691</v>
      </c>
      <c r="F1503" s="44" t="s">
        <v>4692</v>
      </c>
      <c r="G1503" s="1" t="s">
        <v>1830</v>
      </c>
      <c r="H1503" s="1" t="s">
        <v>1812</v>
      </c>
      <c r="I1503" s="10" t="str">
        <f>IF(H1503="T44",1,IF(H1503="T44",3,IF(H1503="T60",6,IF(H1503="T60",10,IF(H1503="T92",14,IF(H1503="T92",18,IF(H1503="T60",22,"")))))))</f>
        <v/>
      </c>
      <c r="J1503" s="1" t="s">
        <v>1808</v>
      </c>
      <c r="K1503" s="10">
        <v>2</v>
      </c>
      <c r="L1503" s="10">
        <v>1</v>
      </c>
      <c r="N1503" s="10">
        <v>4</v>
      </c>
      <c r="O1503" s="6"/>
      <c r="P1503" s="45" t="s">
        <v>2826</v>
      </c>
      <c r="Q1503" s="42" t="s">
        <v>4586</v>
      </c>
      <c r="R1503" s="42"/>
      <c r="S1503" s="44" t="s">
        <v>4692</v>
      </c>
    </row>
    <row r="1504" spans="1:19" ht="18.75" customHeight="1" x14ac:dyDescent="0.3">
      <c r="A1504" s="10">
        <v>1503</v>
      </c>
      <c r="B1504" s="10">
        <f>_xlfn.XLOOKUP(1,(VALUE(D1504)&gt;=VALUE(block!$C$3:$C$500))*(VALUE(D1504)&lt;VALUE(block!$C$3:$C$500)+VALUE(block!$D$3:$D$500)),block!$A$3:$A$500,"无匹配",0,1)</f>
        <v>41</v>
      </c>
      <c r="C1504" s="3" t="str">
        <f>B1504 &amp; "-" &amp; COUNTIF($B$2:B1504, B1504)</f>
        <v>41-13</v>
      </c>
      <c r="D1504" s="10">
        <v>11698</v>
      </c>
      <c r="E1504" s="1" t="s">
        <v>4693</v>
      </c>
      <c r="F1504" s="44" t="s">
        <v>4694</v>
      </c>
      <c r="G1504" s="1" t="s">
        <v>1830</v>
      </c>
      <c r="H1504" s="1" t="s">
        <v>1812</v>
      </c>
      <c r="I1504" s="10" t="str">
        <f>IF(H1504="T45",1,IF(H1504="T45",3,IF(H1504="T61",6,IF(H1504="T61",10,IF(H1504="T93",14,IF(H1504="T93",18,IF(H1504="T61",22,"")))))))</f>
        <v/>
      </c>
      <c r="J1504" s="1" t="s">
        <v>1808</v>
      </c>
      <c r="K1504" s="10">
        <v>2</v>
      </c>
      <c r="L1504" s="10">
        <v>1</v>
      </c>
      <c r="N1504" s="10">
        <v>4</v>
      </c>
      <c r="O1504" s="6"/>
      <c r="P1504" s="45" t="s">
        <v>2826</v>
      </c>
      <c r="Q1504" s="42" t="s">
        <v>4586</v>
      </c>
      <c r="R1504" s="42"/>
      <c r="S1504" s="44" t="s">
        <v>4694</v>
      </c>
    </row>
    <row r="1505" spans="1:19" ht="18.75" customHeight="1" x14ac:dyDescent="0.3">
      <c r="A1505" s="10">
        <v>1504</v>
      </c>
      <c r="B1505" s="10">
        <f>_xlfn.XLOOKUP(1,(VALUE(D1505)&gt;=VALUE(block!$C$3:$C$500))*(VALUE(D1505)&lt;VALUE(block!$C$3:$C$500)+VALUE(block!$D$3:$D$500)),block!$A$3:$A$500,"无匹配",0,1)</f>
        <v>41</v>
      </c>
      <c r="C1505" s="3" t="str">
        <f>B1505 &amp; "-" &amp; COUNTIF($B$2:B1505, B1505)</f>
        <v>41-14</v>
      </c>
      <c r="D1505" s="10">
        <v>11700</v>
      </c>
      <c r="E1505" s="1" t="s">
        <v>4695</v>
      </c>
      <c r="F1505" s="44" t="s">
        <v>4696</v>
      </c>
      <c r="G1505" s="1" t="s">
        <v>1840</v>
      </c>
      <c r="H1505" s="1" t="s">
        <v>1812</v>
      </c>
      <c r="I1505" s="10" t="str">
        <f>IF(H1505="T46",1,IF(H1505="T46",3,IF(H1505="T62",6,IF(H1505="T62",10,IF(H1505="T94",14,IF(H1505="T94",18,IF(H1505="T62",22,"")))))))</f>
        <v/>
      </c>
      <c r="J1505" s="1" t="s">
        <v>1808</v>
      </c>
      <c r="K1505" s="10">
        <v>2</v>
      </c>
      <c r="L1505" s="10">
        <v>1</v>
      </c>
      <c r="N1505" s="10">
        <v>4</v>
      </c>
      <c r="O1505" s="6"/>
      <c r="P1505" s="45" t="s">
        <v>2826</v>
      </c>
      <c r="Q1505" s="42" t="s">
        <v>4586</v>
      </c>
      <c r="R1505" s="42"/>
      <c r="S1505" s="44" t="s">
        <v>4696</v>
      </c>
    </row>
    <row r="1506" spans="1:19" ht="18.75" customHeight="1" x14ac:dyDescent="0.3">
      <c r="A1506" s="10">
        <v>1505</v>
      </c>
      <c r="B1506" s="10">
        <f>_xlfn.XLOOKUP(1,(VALUE(D1506)&gt;=VALUE(block!$C$3:$C$500))*(VALUE(D1506)&lt;VALUE(block!$C$3:$C$500)+VALUE(block!$D$3:$D$500)),block!$A$3:$A$500,"无匹配",0,1)</f>
        <v>41</v>
      </c>
      <c r="C1506" s="3" t="str">
        <f>B1506 &amp; "-" &amp; COUNTIF($B$2:B1506, B1506)</f>
        <v>41-15</v>
      </c>
      <c r="D1506" s="10">
        <v>11702</v>
      </c>
      <c r="E1506" s="1" t="s">
        <v>4697</v>
      </c>
      <c r="F1506" s="44" t="s">
        <v>4698</v>
      </c>
      <c r="G1506" s="1" t="s">
        <v>1830</v>
      </c>
      <c r="H1506" s="1" t="s">
        <v>1812</v>
      </c>
      <c r="I1506" s="10" t="str">
        <f>IF(H1506="T47",1,IF(H1506="T47",3,IF(H1506="T63",6,IF(H1506="T63",10,IF(H1506="T95",14,IF(H1506="T95",18,IF(H1506="T63",22,"")))))))</f>
        <v/>
      </c>
      <c r="J1506" s="1" t="s">
        <v>1808</v>
      </c>
      <c r="K1506" s="10">
        <v>2</v>
      </c>
      <c r="L1506" s="10">
        <v>1</v>
      </c>
      <c r="N1506" s="10">
        <v>4</v>
      </c>
      <c r="O1506" s="6"/>
      <c r="P1506" s="45" t="s">
        <v>2826</v>
      </c>
      <c r="Q1506" s="42" t="s">
        <v>4586</v>
      </c>
      <c r="R1506" s="42"/>
      <c r="S1506" s="44" t="s">
        <v>4698</v>
      </c>
    </row>
    <row r="1507" spans="1:19" ht="18.75" customHeight="1" x14ac:dyDescent="0.3">
      <c r="A1507" s="10">
        <v>1506</v>
      </c>
      <c r="B1507" s="10">
        <f>_xlfn.XLOOKUP(1,(VALUE(D1507)&gt;=VALUE(block!$C$3:$C$500))*(VALUE(D1507)&lt;VALUE(block!$C$3:$C$500)+VALUE(block!$D$3:$D$500)),block!$A$3:$A$500,"无匹配",0,1)</f>
        <v>41</v>
      </c>
      <c r="C1507" s="3" t="str">
        <f>B1507 &amp; "-" &amp; COUNTIF($B$2:B1507, B1507)</f>
        <v>41-16</v>
      </c>
      <c r="D1507" s="10">
        <v>11704</v>
      </c>
      <c r="E1507" s="1" t="s">
        <v>4699</v>
      </c>
      <c r="F1507" s="44" t="s">
        <v>4700</v>
      </c>
      <c r="G1507" s="1" t="s">
        <v>1830</v>
      </c>
      <c r="H1507" s="1" t="s">
        <v>1812</v>
      </c>
      <c r="I1507" s="10" t="str">
        <f>IF(H1507="T48",1,IF(H1507="T48",3,IF(H1507="T64",6,IF(H1507="T64",10,IF(H1507="T96",14,IF(H1507="T96",18,IF(H1507="T64",22,"")))))))</f>
        <v/>
      </c>
      <c r="J1507" s="1" t="s">
        <v>1808</v>
      </c>
      <c r="K1507" s="10">
        <v>2</v>
      </c>
      <c r="L1507" s="10">
        <v>1</v>
      </c>
      <c r="N1507" s="10">
        <v>4</v>
      </c>
      <c r="O1507" s="6"/>
      <c r="P1507" s="45" t="s">
        <v>2826</v>
      </c>
      <c r="Q1507" s="42" t="s">
        <v>4586</v>
      </c>
      <c r="R1507" s="42"/>
      <c r="S1507" s="44" t="s">
        <v>4700</v>
      </c>
    </row>
    <row r="1508" spans="1:19" ht="18.75" customHeight="1" x14ac:dyDescent="0.3">
      <c r="A1508" s="10">
        <v>1507</v>
      </c>
      <c r="B1508" s="10">
        <f>_xlfn.XLOOKUP(1,(VALUE(D1508)&gt;=VALUE(block!$C$3:$C$500))*(VALUE(D1508)&lt;VALUE(block!$C$3:$C$500)+VALUE(block!$D$3:$D$500)),block!$A$3:$A$500,"无匹配",0,1)</f>
        <v>41</v>
      </c>
      <c r="C1508" s="3" t="str">
        <f>B1508 &amp; "-" &amp; COUNTIF($B$2:B1508, B1508)</f>
        <v>41-17</v>
      </c>
      <c r="D1508" s="10">
        <v>11706</v>
      </c>
      <c r="E1508" s="1" t="s">
        <v>4701</v>
      </c>
      <c r="F1508" s="44" t="s">
        <v>4702</v>
      </c>
      <c r="G1508" s="1" t="s">
        <v>1830</v>
      </c>
      <c r="H1508" s="1" t="s">
        <v>1812</v>
      </c>
      <c r="I1508" s="10" t="str">
        <f>IF(H1508="T49",1,IF(H1508="T49",3,IF(H1508="T65",6,IF(H1508="T65",10,IF(H1508="T97",14,IF(H1508="T97",18,IF(H1508="T65",22,"")))))))</f>
        <v/>
      </c>
      <c r="J1508" s="1" t="s">
        <v>1808</v>
      </c>
      <c r="K1508" s="10">
        <v>2</v>
      </c>
      <c r="L1508" s="10">
        <v>1</v>
      </c>
      <c r="N1508" s="10">
        <v>4</v>
      </c>
      <c r="O1508" s="6"/>
      <c r="P1508" s="45" t="s">
        <v>2826</v>
      </c>
      <c r="Q1508" s="42" t="s">
        <v>4586</v>
      </c>
      <c r="R1508" s="42"/>
      <c r="S1508" s="44" t="s">
        <v>4702</v>
      </c>
    </row>
    <row r="1509" spans="1:19" ht="18.75" customHeight="1" x14ac:dyDescent="0.3">
      <c r="A1509" s="10">
        <v>1508</v>
      </c>
      <c r="B1509" s="10">
        <f>_xlfn.XLOOKUP(1,(VALUE(D1509)&gt;=VALUE(block!$C$3:$C$500))*(VALUE(D1509)&lt;VALUE(block!$C$3:$C$500)+VALUE(block!$D$3:$D$500)),block!$A$3:$A$500,"无匹配",0,1)</f>
        <v>41</v>
      </c>
      <c r="C1509" s="3" t="str">
        <f>B1509 &amp; "-" &amp; COUNTIF($B$2:B1509, B1509)</f>
        <v>41-18</v>
      </c>
      <c r="D1509" s="10">
        <v>11708</v>
      </c>
      <c r="E1509" s="1" t="s">
        <v>4703</v>
      </c>
      <c r="F1509" s="44" t="s">
        <v>4704</v>
      </c>
      <c r="G1509" s="1" t="s">
        <v>1830</v>
      </c>
      <c r="H1509" s="1" t="s">
        <v>1812</v>
      </c>
      <c r="I1509" s="10" t="str">
        <f>IF(H1509="T50",1,IF(H1509="T50",3,IF(H1509="T66",6,IF(H1509="T66",10,IF(H1509="T98",14,IF(H1509="T98",18,IF(H1509="T66",22,"")))))))</f>
        <v/>
      </c>
      <c r="J1509" s="1" t="s">
        <v>1808</v>
      </c>
      <c r="K1509" s="10">
        <v>2</v>
      </c>
      <c r="L1509" s="10">
        <v>1</v>
      </c>
      <c r="N1509" s="10">
        <v>4</v>
      </c>
      <c r="O1509" s="6"/>
      <c r="P1509" s="45" t="s">
        <v>2826</v>
      </c>
      <c r="Q1509" s="42" t="s">
        <v>4586</v>
      </c>
      <c r="R1509" s="42"/>
      <c r="S1509" s="44" t="s">
        <v>4704</v>
      </c>
    </row>
    <row r="1510" spans="1:19" ht="18.75" customHeight="1" x14ac:dyDescent="0.3">
      <c r="A1510" s="10">
        <v>1509</v>
      </c>
      <c r="B1510" s="10">
        <f>_xlfn.XLOOKUP(1,(VALUE(D1510)&gt;=VALUE(block!$C$3:$C$500))*(VALUE(D1510)&lt;VALUE(block!$C$3:$C$500)+VALUE(block!$D$3:$D$500)),block!$A$3:$A$500,"无匹配",0,1)</f>
        <v>41</v>
      </c>
      <c r="C1510" s="3" t="str">
        <f>B1510 &amp; "-" &amp; COUNTIF($B$2:B1510, B1510)</f>
        <v>41-19</v>
      </c>
      <c r="D1510" s="10">
        <v>11710</v>
      </c>
      <c r="E1510" s="1" t="s">
        <v>4705</v>
      </c>
      <c r="F1510" s="44" t="s">
        <v>4706</v>
      </c>
      <c r="G1510" s="1" t="s">
        <v>1830</v>
      </c>
      <c r="H1510" s="1" t="s">
        <v>1812</v>
      </c>
      <c r="I1510" s="10" t="str">
        <f>IF(H1510="T51",1,IF(H1510="T51",3,IF(H1510="T67",6,IF(H1510="T67",10,IF(H1510="T99",14,IF(H1510="T99",18,IF(H1510="T67",22,"")))))))</f>
        <v/>
      </c>
      <c r="J1510" s="1" t="s">
        <v>1808</v>
      </c>
      <c r="K1510" s="10">
        <v>2</v>
      </c>
      <c r="L1510" s="10">
        <v>1</v>
      </c>
      <c r="N1510" s="10">
        <v>4</v>
      </c>
      <c r="O1510" s="6"/>
      <c r="P1510" s="45" t="s">
        <v>2826</v>
      </c>
      <c r="Q1510" s="42" t="s">
        <v>4586</v>
      </c>
      <c r="R1510" s="42"/>
      <c r="S1510" s="44" t="s">
        <v>4706</v>
      </c>
    </row>
    <row r="1511" spans="1:19" ht="18.75" customHeight="1" x14ac:dyDescent="0.3">
      <c r="A1511" s="10">
        <v>1510</v>
      </c>
      <c r="B1511" s="10">
        <f>_xlfn.XLOOKUP(1,(VALUE(D1511)&gt;=VALUE(block!$C$3:$C$500))*(VALUE(D1511)&lt;VALUE(block!$C$3:$C$500)+VALUE(block!$D$3:$D$500)),block!$A$3:$A$500,"无匹配",0,1)</f>
        <v>41</v>
      </c>
      <c r="C1511" s="3" t="str">
        <f>B1511 &amp; "-" &amp; COUNTIF($B$2:B1511, B1511)</f>
        <v>41-20</v>
      </c>
      <c r="D1511" s="10">
        <v>11712</v>
      </c>
      <c r="E1511" s="1" t="s">
        <v>4707</v>
      </c>
      <c r="F1511" s="44" t="s">
        <v>4708</v>
      </c>
      <c r="G1511" s="1" t="s">
        <v>1830</v>
      </c>
      <c r="H1511" s="1" t="s">
        <v>1812</v>
      </c>
      <c r="I1511" s="10" t="str">
        <f>IF(H1511="T52",1,IF(H1511="T52",3,IF(H1511="T68",6,IF(H1511="T68",10,IF(H1511="T100",14,IF(H1511="T100",18,IF(H1511="T68",22,"")))))))</f>
        <v/>
      </c>
      <c r="J1511" s="1" t="s">
        <v>1808</v>
      </c>
      <c r="K1511" s="10">
        <v>2</v>
      </c>
      <c r="L1511" s="10">
        <v>1</v>
      </c>
      <c r="N1511" s="10">
        <v>4</v>
      </c>
      <c r="O1511" s="6"/>
      <c r="P1511" s="45" t="s">
        <v>2826</v>
      </c>
      <c r="Q1511" s="42" t="s">
        <v>4586</v>
      </c>
      <c r="R1511" s="42"/>
      <c r="S1511" s="44" t="s">
        <v>4708</v>
      </c>
    </row>
    <row r="1512" spans="1:19" ht="18.75" customHeight="1" x14ac:dyDescent="0.3">
      <c r="A1512" s="10">
        <v>1511</v>
      </c>
      <c r="B1512" s="10">
        <f>_xlfn.XLOOKUP(1,(VALUE(D1512)&gt;=VALUE(block!$C$3:$C$500))*(VALUE(D1512)&lt;VALUE(block!$C$3:$C$500)+VALUE(block!$D$3:$D$500)),block!$A$3:$A$500,"无匹配",0,1)</f>
        <v>41</v>
      </c>
      <c r="C1512" s="3" t="str">
        <f>B1512 &amp; "-" &amp; COUNTIF($B$2:B1512, B1512)</f>
        <v>41-21</v>
      </c>
      <c r="D1512" s="10">
        <v>11714</v>
      </c>
      <c r="E1512" s="1" t="s">
        <v>4709</v>
      </c>
      <c r="F1512" s="44" t="s">
        <v>4710</v>
      </c>
      <c r="G1512" s="1" t="s">
        <v>1840</v>
      </c>
      <c r="H1512" s="1" t="s">
        <v>1812</v>
      </c>
      <c r="I1512" s="10" t="str">
        <f>IF(H1512="T53",1,IF(H1512="T53",3,IF(H1512="T69",6,IF(H1512="T69",10,IF(H1512="T101",14,IF(H1512="T101",18,IF(H1512="T69",22,"")))))))</f>
        <v/>
      </c>
      <c r="J1512" s="1" t="s">
        <v>1808</v>
      </c>
      <c r="K1512" s="10">
        <v>2</v>
      </c>
      <c r="L1512" s="10">
        <v>1</v>
      </c>
      <c r="N1512" s="10">
        <v>4</v>
      </c>
      <c r="O1512" s="6"/>
      <c r="P1512" s="45" t="s">
        <v>2826</v>
      </c>
      <c r="Q1512" s="42" t="s">
        <v>4586</v>
      </c>
      <c r="R1512" s="42"/>
      <c r="S1512" s="44" t="s">
        <v>4710</v>
      </c>
    </row>
    <row r="1513" spans="1:19" ht="18.75" customHeight="1" x14ac:dyDescent="0.3">
      <c r="A1513" s="10">
        <v>1512</v>
      </c>
      <c r="B1513" s="10">
        <f>_xlfn.XLOOKUP(1,(VALUE(D1513)&gt;=VALUE(block!$C$3:$C$500))*(VALUE(D1513)&lt;VALUE(block!$C$3:$C$500)+VALUE(block!$D$3:$D$500)),block!$A$3:$A$500,"无匹配",0,1)</f>
        <v>41</v>
      </c>
      <c r="C1513" s="3" t="str">
        <f>B1513 &amp; "-" &amp; COUNTIF($B$2:B1513, B1513)</f>
        <v>41-22</v>
      </c>
      <c r="D1513" s="10">
        <v>11716</v>
      </c>
      <c r="E1513" s="1" t="s">
        <v>4711</v>
      </c>
      <c r="F1513" s="44" t="s">
        <v>4712</v>
      </c>
      <c r="G1513" s="1" t="s">
        <v>1830</v>
      </c>
      <c r="H1513" s="1" t="s">
        <v>1812</v>
      </c>
      <c r="I1513" s="10" t="str">
        <f>IF(H1513="T54",1,IF(H1513="T54",3,IF(H1513="T70",6,IF(H1513="T70",10,IF(H1513="T102",14,IF(H1513="T102",18,IF(H1513="T70",22,"")))))))</f>
        <v/>
      </c>
      <c r="J1513" s="1" t="s">
        <v>1808</v>
      </c>
      <c r="K1513" s="10">
        <v>2</v>
      </c>
      <c r="L1513" s="10">
        <v>1</v>
      </c>
      <c r="N1513" s="10">
        <v>4</v>
      </c>
      <c r="O1513" s="6"/>
      <c r="P1513" s="45" t="s">
        <v>2826</v>
      </c>
      <c r="Q1513" s="42" t="s">
        <v>4586</v>
      </c>
      <c r="R1513" s="42"/>
      <c r="S1513" s="44" t="s">
        <v>4712</v>
      </c>
    </row>
    <row r="1514" spans="1:19" ht="18.75" customHeight="1" x14ac:dyDescent="0.3">
      <c r="A1514" s="10">
        <v>1513</v>
      </c>
      <c r="B1514" s="10">
        <f>_xlfn.XLOOKUP(1,(VALUE(D1514)&gt;=VALUE(block!$C$3:$C$500))*(VALUE(D1514)&lt;VALUE(block!$C$3:$C$500)+VALUE(block!$D$3:$D$500)),block!$A$3:$A$500,"无匹配",0,1)</f>
        <v>41</v>
      </c>
      <c r="C1514" s="3" t="str">
        <f>B1514 &amp; "-" &amp; COUNTIF($B$2:B1514, B1514)</f>
        <v>41-23</v>
      </c>
      <c r="D1514" s="10">
        <v>11718</v>
      </c>
      <c r="E1514" s="1" t="s">
        <v>4713</v>
      </c>
      <c r="F1514" s="44" t="s">
        <v>4714</v>
      </c>
      <c r="G1514" s="1" t="s">
        <v>1830</v>
      </c>
      <c r="H1514" s="1" t="s">
        <v>1812</v>
      </c>
      <c r="I1514" s="10" t="str">
        <f>IF(H1514="T55",1,IF(H1514="T55",3,IF(H1514="T71",6,IF(H1514="T71",10,IF(H1514="T103",14,IF(H1514="T103",18,IF(H1514="T71",22,"")))))))</f>
        <v/>
      </c>
      <c r="J1514" s="1" t="s">
        <v>1808</v>
      </c>
      <c r="K1514" s="10">
        <v>2</v>
      </c>
      <c r="L1514" s="10">
        <v>1</v>
      </c>
      <c r="N1514" s="10">
        <v>4</v>
      </c>
      <c r="O1514" s="6"/>
      <c r="P1514" s="45" t="s">
        <v>2826</v>
      </c>
      <c r="Q1514" s="42" t="s">
        <v>4586</v>
      </c>
      <c r="R1514" s="42"/>
      <c r="S1514" s="44" t="s">
        <v>4714</v>
      </c>
    </row>
    <row r="1515" spans="1:19" ht="18.75" customHeight="1" x14ac:dyDescent="0.3">
      <c r="A1515" s="10">
        <v>1514</v>
      </c>
      <c r="B1515" s="10">
        <f>_xlfn.XLOOKUP(1,(VALUE(D1515)&gt;=VALUE(block!$C$3:$C$500))*(VALUE(D1515)&lt;VALUE(block!$C$3:$C$500)+VALUE(block!$D$3:$D$500)),block!$A$3:$A$500,"无匹配",0,1)</f>
        <v>41</v>
      </c>
      <c r="C1515" s="3" t="str">
        <f>B1515 &amp; "-" &amp; COUNTIF($B$2:B1515, B1515)</f>
        <v>41-24</v>
      </c>
      <c r="D1515" s="10">
        <v>11720</v>
      </c>
      <c r="E1515" s="1" t="s">
        <v>4715</v>
      </c>
      <c r="F1515" s="44" t="s">
        <v>4716</v>
      </c>
      <c r="G1515" s="1" t="s">
        <v>1830</v>
      </c>
      <c r="H1515" s="1" t="s">
        <v>1812</v>
      </c>
      <c r="I1515" s="10" t="str">
        <f>IF(H1515="T56",1,IF(H1515="T56",3,IF(H1515="T72",6,IF(H1515="T72",10,IF(H1515="T104",14,IF(H1515="T104",18,IF(H1515="T72",22,"")))))))</f>
        <v/>
      </c>
      <c r="J1515" s="1" t="s">
        <v>1808</v>
      </c>
      <c r="K1515" s="10">
        <v>2</v>
      </c>
      <c r="L1515" s="10">
        <v>1</v>
      </c>
      <c r="N1515" s="10">
        <v>4</v>
      </c>
      <c r="O1515" s="6"/>
      <c r="P1515" s="45" t="s">
        <v>2826</v>
      </c>
      <c r="Q1515" s="42" t="s">
        <v>4586</v>
      </c>
      <c r="R1515" s="42"/>
      <c r="S1515" s="44" t="s">
        <v>4716</v>
      </c>
    </row>
    <row r="1516" spans="1:19" ht="18.75" customHeight="1" x14ac:dyDescent="0.3">
      <c r="A1516" s="10">
        <v>1515</v>
      </c>
      <c r="B1516" s="10">
        <f>_xlfn.XLOOKUP(1,(VALUE(D1516)&gt;=VALUE(block!$C$3:$C$500))*(VALUE(D1516)&lt;VALUE(block!$C$3:$C$500)+VALUE(block!$D$3:$D$500)),block!$A$3:$A$500,"无匹配",0,1)</f>
        <v>41</v>
      </c>
      <c r="C1516" s="3" t="str">
        <f>B1516 &amp; "-" &amp; COUNTIF($B$2:B1516, B1516)</f>
        <v>41-25</v>
      </c>
      <c r="D1516" s="10">
        <v>11722</v>
      </c>
      <c r="E1516" s="1" t="s">
        <v>4717</v>
      </c>
      <c r="F1516" s="44" t="s">
        <v>4718</v>
      </c>
      <c r="G1516" s="1" t="s">
        <v>1830</v>
      </c>
      <c r="H1516" s="1" t="s">
        <v>1812</v>
      </c>
      <c r="I1516" s="10" t="str">
        <f>IF(H1516="T57",1,IF(H1516="T57",3,IF(H1516="T73",6,IF(H1516="T73",10,IF(H1516="T105",14,IF(H1516="T105",18,IF(H1516="T73",22,"")))))))</f>
        <v/>
      </c>
      <c r="J1516" s="1" t="s">
        <v>1808</v>
      </c>
      <c r="K1516" s="10">
        <v>2</v>
      </c>
      <c r="L1516" s="10">
        <v>1</v>
      </c>
      <c r="N1516" s="10">
        <v>4</v>
      </c>
      <c r="O1516" s="6"/>
      <c r="P1516" s="45" t="s">
        <v>2826</v>
      </c>
      <c r="Q1516" s="42" t="s">
        <v>4586</v>
      </c>
      <c r="R1516" s="42"/>
      <c r="S1516" s="44" t="s">
        <v>4718</v>
      </c>
    </row>
    <row r="1517" spans="1:19" ht="18.75" customHeight="1" x14ac:dyDescent="0.3">
      <c r="A1517" s="10">
        <v>1516</v>
      </c>
      <c r="B1517" s="10">
        <f>_xlfn.XLOOKUP(1,(VALUE(D1517)&gt;=VALUE(block!$C$3:$C$500))*(VALUE(D1517)&lt;VALUE(block!$C$3:$C$500)+VALUE(block!$D$3:$D$500)),block!$A$3:$A$500,"无匹配",0,1)</f>
        <v>41</v>
      </c>
      <c r="C1517" s="3" t="str">
        <f>B1517 &amp; "-" &amp; COUNTIF($B$2:B1517, B1517)</f>
        <v>41-26</v>
      </c>
      <c r="D1517" s="10">
        <v>11724</v>
      </c>
      <c r="E1517" s="1" t="s">
        <v>4719</v>
      </c>
      <c r="F1517" s="44" t="s">
        <v>4720</v>
      </c>
      <c r="G1517" s="1" t="s">
        <v>1830</v>
      </c>
      <c r="H1517" s="1" t="s">
        <v>1812</v>
      </c>
      <c r="I1517" s="10" t="str">
        <f>IF(H1517="T58",1,IF(H1517="T58",3,IF(H1517="T74",6,IF(H1517="T74",10,IF(H1517="T106",14,IF(H1517="T106",18,IF(H1517="T74",22,"")))))))</f>
        <v/>
      </c>
      <c r="J1517" s="1" t="s">
        <v>1808</v>
      </c>
      <c r="K1517" s="10">
        <v>2</v>
      </c>
      <c r="L1517" s="10">
        <v>1</v>
      </c>
      <c r="N1517" s="10">
        <v>4</v>
      </c>
      <c r="O1517" s="6"/>
      <c r="P1517" s="45" t="s">
        <v>2826</v>
      </c>
      <c r="Q1517" s="42" t="s">
        <v>4586</v>
      </c>
      <c r="R1517" s="42"/>
      <c r="S1517" s="44" t="s">
        <v>4720</v>
      </c>
    </row>
    <row r="1518" spans="1:19" ht="18.75" customHeight="1" x14ac:dyDescent="0.3">
      <c r="A1518" s="10">
        <v>1517</v>
      </c>
      <c r="B1518" s="10">
        <f>_xlfn.XLOOKUP(1,(VALUE(D1518)&gt;=VALUE(block!$C$3:$C$500))*(VALUE(D1518)&lt;VALUE(block!$C$3:$C$500)+VALUE(block!$D$3:$D$500)),block!$A$3:$A$500,"无匹配",0,1)</f>
        <v>41</v>
      </c>
      <c r="C1518" s="3" t="str">
        <f>B1518 &amp; "-" &amp; COUNTIF($B$2:B1518, B1518)</f>
        <v>41-27</v>
      </c>
      <c r="D1518" s="10">
        <v>11726</v>
      </c>
      <c r="E1518" s="1" t="s">
        <v>4721</v>
      </c>
      <c r="F1518" s="44" t="s">
        <v>4722</v>
      </c>
      <c r="G1518" s="1" t="s">
        <v>1830</v>
      </c>
      <c r="H1518" s="1" t="s">
        <v>1812</v>
      </c>
      <c r="I1518" s="10" t="str">
        <f>IF(H1518="T59",1,IF(H1518="T59",3,IF(H1518="T75",6,IF(H1518="T75",10,IF(H1518="T107",14,IF(H1518="T107",18,IF(H1518="T75",22,"")))))))</f>
        <v/>
      </c>
      <c r="J1518" s="1" t="s">
        <v>1808</v>
      </c>
      <c r="K1518" s="10">
        <v>2</v>
      </c>
      <c r="L1518" s="10">
        <v>1</v>
      </c>
      <c r="N1518" s="10">
        <v>4</v>
      </c>
      <c r="O1518" s="6"/>
      <c r="P1518" s="45" t="s">
        <v>2826</v>
      </c>
      <c r="Q1518" s="42" t="s">
        <v>4586</v>
      </c>
      <c r="R1518" s="42"/>
      <c r="S1518" s="44" t="s">
        <v>4722</v>
      </c>
    </row>
    <row r="1519" spans="1:19" ht="18.75" customHeight="1" x14ac:dyDescent="0.3">
      <c r="A1519" s="10">
        <v>1518</v>
      </c>
      <c r="B1519" s="10">
        <f>_xlfn.XLOOKUP(1,(VALUE(D1519)&gt;=VALUE(block!$C$3:$C$500))*(VALUE(D1519)&lt;VALUE(block!$C$3:$C$500)+VALUE(block!$D$3:$D$500)),block!$A$3:$A$500,"无匹配",0,1)</f>
        <v>41</v>
      </c>
      <c r="C1519" s="3" t="str">
        <f>B1519 &amp; "-" &amp; COUNTIF($B$2:B1519, B1519)</f>
        <v>41-28</v>
      </c>
      <c r="D1519" s="10">
        <v>11728</v>
      </c>
      <c r="E1519" s="1" t="s">
        <v>4723</v>
      </c>
      <c r="F1519" s="44" t="s">
        <v>4724</v>
      </c>
      <c r="G1519" s="1" t="s">
        <v>1840</v>
      </c>
      <c r="H1519" s="1" t="s">
        <v>1812</v>
      </c>
      <c r="I1519" s="10" t="str">
        <f>IF(H1519="T60",1,IF(H1519="T60",3,IF(H1519="T76",6,IF(H1519="T76",10,IF(H1519="T108",14,IF(H1519="T108",18,IF(H1519="T76",22,"")))))))</f>
        <v/>
      </c>
      <c r="J1519" s="1" t="s">
        <v>1808</v>
      </c>
      <c r="K1519" s="10">
        <v>2</v>
      </c>
      <c r="L1519" s="10">
        <v>1</v>
      </c>
      <c r="N1519" s="10">
        <v>4</v>
      </c>
      <c r="O1519" s="6"/>
      <c r="P1519" s="45" t="s">
        <v>2826</v>
      </c>
      <c r="Q1519" s="42" t="s">
        <v>4586</v>
      </c>
      <c r="R1519" s="42"/>
      <c r="S1519" s="44" t="s">
        <v>4724</v>
      </c>
    </row>
    <row r="1520" spans="1:19" ht="18.75" customHeight="1" x14ac:dyDescent="0.3">
      <c r="A1520" s="10">
        <v>1519</v>
      </c>
      <c r="B1520" s="10">
        <f>_xlfn.XLOOKUP(1,(VALUE(D1520)&gt;=VALUE(block!$C$3:$C$500))*(VALUE(D1520)&lt;VALUE(block!$C$3:$C$500)+VALUE(block!$D$3:$D$500)),block!$A$3:$A$500,"无匹配",0,1)</f>
        <v>41</v>
      </c>
      <c r="C1520" s="3" t="str">
        <f>B1520 &amp; "-" &amp; COUNTIF($B$2:B1520, B1520)</f>
        <v>41-29</v>
      </c>
      <c r="D1520" s="10">
        <v>11730</v>
      </c>
      <c r="E1520" s="1" t="s">
        <v>4725</v>
      </c>
      <c r="F1520" s="44" t="s">
        <v>4726</v>
      </c>
      <c r="G1520" s="1" t="s">
        <v>1830</v>
      </c>
      <c r="H1520" s="1" t="s">
        <v>1812</v>
      </c>
      <c r="I1520" s="10" t="str">
        <f>IF(H1520="T61",1,IF(H1520="T61",3,IF(H1520="T77",6,IF(H1520="T77",10,IF(H1520="T109",14,IF(H1520="T109",18,IF(H1520="T77",22,"")))))))</f>
        <v/>
      </c>
      <c r="J1520" s="1" t="s">
        <v>1808</v>
      </c>
      <c r="K1520" s="10">
        <v>2</v>
      </c>
      <c r="L1520" s="10">
        <v>1</v>
      </c>
      <c r="N1520" s="10">
        <v>4</v>
      </c>
      <c r="O1520" s="6"/>
      <c r="P1520" s="45" t="s">
        <v>2826</v>
      </c>
      <c r="Q1520" s="42" t="s">
        <v>4586</v>
      </c>
      <c r="R1520" s="42"/>
      <c r="S1520" s="44" t="s">
        <v>4726</v>
      </c>
    </row>
    <row r="1521" spans="1:19" ht="18.75" customHeight="1" x14ac:dyDescent="0.3">
      <c r="A1521" s="10">
        <v>1520</v>
      </c>
      <c r="B1521" s="10">
        <f>_xlfn.XLOOKUP(1,(VALUE(D1521)&gt;=VALUE(block!$C$3:$C$500))*(VALUE(D1521)&lt;VALUE(block!$C$3:$C$500)+VALUE(block!$D$3:$D$500)),block!$A$3:$A$500,"无匹配",0,1)</f>
        <v>41</v>
      </c>
      <c r="C1521" s="3" t="str">
        <f>B1521 &amp; "-" &amp; COUNTIF($B$2:B1521, B1521)</f>
        <v>41-30</v>
      </c>
      <c r="D1521" s="10">
        <v>11732</v>
      </c>
      <c r="E1521" s="1" t="s">
        <v>4727</v>
      </c>
      <c r="F1521" s="44" t="s">
        <v>4728</v>
      </c>
      <c r="G1521" s="1" t="s">
        <v>1830</v>
      </c>
      <c r="H1521" s="1" t="s">
        <v>1812</v>
      </c>
      <c r="I1521" s="10" t="str">
        <f>IF(H1521="T62",1,IF(H1521="T62",3,IF(H1521="T78",6,IF(H1521="T78",10,IF(H1521="T110",14,IF(H1521="T110",18,IF(H1521="T78",22,"")))))))</f>
        <v/>
      </c>
      <c r="J1521" s="1" t="s">
        <v>1808</v>
      </c>
      <c r="K1521" s="10">
        <v>2</v>
      </c>
      <c r="L1521" s="10">
        <v>1</v>
      </c>
      <c r="N1521" s="10">
        <v>4</v>
      </c>
      <c r="O1521" s="6"/>
      <c r="P1521" s="45" t="s">
        <v>2826</v>
      </c>
      <c r="Q1521" s="42" t="s">
        <v>4586</v>
      </c>
      <c r="R1521" s="42"/>
      <c r="S1521" s="44" t="s">
        <v>4728</v>
      </c>
    </row>
    <row r="1522" spans="1:19" ht="18.75" customHeight="1" x14ac:dyDescent="0.3">
      <c r="A1522" s="10">
        <v>1521</v>
      </c>
      <c r="B1522" s="10">
        <f>_xlfn.XLOOKUP(1,(VALUE(D1522)&gt;=VALUE(block!$C$3:$C$500))*(VALUE(D1522)&lt;VALUE(block!$C$3:$C$500)+VALUE(block!$D$3:$D$500)),block!$A$3:$A$500,"无匹配",0,1)</f>
        <v>41</v>
      </c>
      <c r="C1522" s="3" t="str">
        <f>B1522 &amp; "-" &amp; COUNTIF($B$2:B1522, B1522)</f>
        <v>41-31</v>
      </c>
      <c r="D1522" s="10">
        <v>11734</v>
      </c>
      <c r="E1522" s="1" t="s">
        <v>4729</v>
      </c>
      <c r="F1522" s="44" t="s">
        <v>4730</v>
      </c>
      <c r="G1522" s="1" t="s">
        <v>1830</v>
      </c>
      <c r="H1522" s="1" t="s">
        <v>1812</v>
      </c>
      <c r="I1522" s="10" t="str">
        <f>IF(H1522="T63",1,IF(H1522="T63",3,IF(H1522="T79",6,IF(H1522="T79",10,IF(H1522="T111",14,IF(H1522="T111",18,IF(H1522="T79",22,"")))))))</f>
        <v/>
      </c>
      <c r="J1522" s="1" t="s">
        <v>1808</v>
      </c>
      <c r="K1522" s="10">
        <v>2</v>
      </c>
      <c r="L1522" s="10">
        <v>1</v>
      </c>
      <c r="N1522" s="10">
        <v>4</v>
      </c>
      <c r="O1522" s="6"/>
      <c r="P1522" s="45" t="s">
        <v>2826</v>
      </c>
      <c r="Q1522" s="42" t="s">
        <v>4586</v>
      </c>
      <c r="R1522" s="42"/>
      <c r="S1522" s="44" t="s">
        <v>4730</v>
      </c>
    </row>
    <row r="1523" spans="1:19" ht="18.75" customHeight="1" x14ac:dyDescent="0.3">
      <c r="A1523" s="10">
        <v>1522</v>
      </c>
      <c r="B1523" s="10">
        <f>_xlfn.XLOOKUP(1,(VALUE(D1523)&gt;=VALUE(block!$C$3:$C$500))*(VALUE(D1523)&lt;VALUE(block!$C$3:$C$500)+VALUE(block!$D$3:$D$500)),block!$A$3:$A$500,"无匹配",0,1)</f>
        <v>41</v>
      </c>
      <c r="C1523" s="3" t="str">
        <f>B1523 &amp; "-" &amp; COUNTIF($B$2:B1523, B1523)</f>
        <v>41-32</v>
      </c>
      <c r="D1523" s="10">
        <v>11736</v>
      </c>
      <c r="E1523" s="1" t="s">
        <v>4731</v>
      </c>
      <c r="F1523" s="44" t="s">
        <v>4732</v>
      </c>
      <c r="G1523" s="1" t="s">
        <v>1830</v>
      </c>
      <c r="H1523" s="1" t="s">
        <v>1812</v>
      </c>
      <c r="I1523" s="10" t="str">
        <f>IF(H1523="T64",1,IF(H1523="T64",3,IF(H1523="T80",6,IF(H1523="T80",10,IF(H1523="T112",14,IF(H1523="T112",18,IF(H1523="T80",22,"")))))))</f>
        <v/>
      </c>
      <c r="J1523" s="1" t="s">
        <v>1808</v>
      </c>
      <c r="K1523" s="10">
        <v>2</v>
      </c>
      <c r="L1523" s="10">
        <v>1</v>
      </c>
      <c r="N1523" s="10">
        <v>4</v>
      </c>
      <c r="O1523" s="6"/>
      <c r="P1523" s="45" t="s">
        <v>2826</v>
      </c>
      <c r="Q1523" s="42" t="s">
        <v>4586</v>
      </c>
      <c r="R1523" s="42"/>
      <c r="S1523" s="44" t="s">
        <v>4732</v>
      </c>
    </row>
    <row r="1524" spans="1:19" ht="18.75" customHeight="1" x14ac:dyDescent="0.3">
      <c r="A1524" s="10">
        <v>1523</v>
      </c>
      <c r="B1524" s="10">
        <f>_xlfn.XLOOKUP(1,(VALUE(D1524)&gt;=VALUE(block!$C$3:$C$500))*(VALUE(D1524)&lt;VALUE(block!$C$3:$C$500)+VALUE(block!$D$3:$D$500)),block!$A$3:$A$500,"无匹配",0,1)</f>
        <v>41</v>
      </c>
      <c r="C1524" s="3" t="str">
        <f>B1524 &amp; "-" &amp; COUNTIF($B$2:B1524, B1524)</f>
        <v>41-33</v>
      </c>
      <c r="D1524" s="10">
        <v>11738</v>
      </c>
      <c r="E1524" s="1" t="s">
        <v>4733</v>
      </c>
      <c r="F1524" s="44" t="s">
        <v>4734</v>
      </c>
      <c r="G1524" s="1" t="s">
        <v>1830</v>
      </c>
      <c r="H1524" s="1" t="s">
        <v>1812</v>
      </c>
      <c r="I1524" s="10" t="str">
        <f>IF(H1524="T65",1,IF(H1524="T65",3,IF(H1524="T81",6,IF(H1524="T81",10,IF(H1524="T113",14,IF(H1524="T113",18,IF(H1524="T81",22,"")))))))</f>
        <v/>
      </c>
      <c r="J1524" s="1" t="s">
        <v>1808</v>
      </c>
      <c r="K1524" s="10">
        <v>2</v>
      </c>
      <c r="L1524" s="10">
        <v>1</v>
      </c>
      <c r="N1524" s="10">
        <v>4</v>
      </c>
      <c r="O1524" s="6"/>
      <c r="P1524" s="45" t="s">
        <v>2826</v>
      </c>
      <c r="Q1524" s="42" t="s">
        <v>4586</v>
      </c>
      <c r="R1524" s="42"/>
      <c r="S1524" s="44" t="s">
        <v>4734</v>
      </c>
    </row>
    <row r="1525" spans="1:19" ht="18.75" customHeight="1" x14ac:dyDescent="0.3">
      <c r="A1525" s="10">
        <v>1524</v>
      </c>
      <c r="B1525" s="10">
        <f>_xlfn.XLOOKUP(1,(VALUE(D1525)&gt;=VALUE(block!$C$3:$C$500))*(VALUE(D1525)&lt;VALUE(block!$C$3:$C$500)+VALUE(block!$D$3:$D$500)),block!$A$3:$A$500,"无匹配",0,1)</f>
        <v>41</v>
      </c>
      <c r="C1525" s="3" t="str">
        <f>B1525 &amp; "-" &amp; COUNTIF($B$2:B1525, B1525)</f>
        <v>41-34</v>
      </c>
      <c r="D1525" s="10">
        <v>11740</v>
      </c>
      <c r="E1525" s="1" t="s">
        <v>4735</v>
      </c>
      <c r="F1525" s="44" t="s">
        <v>4736</v>
      </c>
      <c r="G1525" s="1" t="s">
        <v>1830</v>
      </c>
      <c r="H1525" s="1" t="s">
        <v>1812</v>
      </c>
      <c r="I1525" s="10" t="str">
        <f>IF(H1525="T66",1,IF(H1525="T66",3,IF(H1525="T82",6,IF(H1525="T82",10,IF(H1525="T114",14,IF(H1525="T114",18,IF(H1525="T82",22,"")))))))</f>
        <v/>
      </c>
      <c r="J1525" s="1" t="s">
        <v>1808</v>
      </c>
      <c r="K1525" s="10">
        <v>2</v>
      </c>
      <c r="L1525" s="10">
        <v>1</v>
      </c>
      <c r="N1525" s="10">
        <v>4</v>
      </c>
      <c r="O1525" s="6"/>
      <c r="P1525" s="45" t="s">
        <v>2826</v>
      </c>
      <c r="Q1525" s="42" t="s">
        <v>4586</v>
      </c>
      <c r="R1525" s="42"/>
      <c r="S1525" s="44" t="s">
        <v>4736</v>
      </c>
    </row>
    <row r="1526" spans="1:19" ht="18.75" customHeight="1" x14ac:dyDescent="0.3">
      <c r="A1526" s="10">
        <v>1525</v>
      </c>
      <c r="B1526" s="10">
        <f>_xlfn.XLOOKUP(1,(VALUE(D1526)&gt;=VALUE(block!$C$3:$C$500))*(VALUE(D1526)&lt;VALUE(block!$C$3:$C$500)+VALUE(block!$D$3:$D$500)),block!$A$3:$A$500,"无匹配",0,1)</f>
        <v>41</v>
      </c>
      <c r="C1526" s="3" t="str">
        <f>B1526 &amp; "-" &amp; COUNTIF($B$2:B1526, B1526)</f>
        <v>41-35</v>
      </c>
      <c r="D1526" s="10">
        <v>11742</v>
      </c>
      <c r="E1526" s="1" t="s">
        <v>4737</v>
      </c>
      <c r="F1526" s="44" t="s">
        <v>4738</v>
      </c>
      <c r="G1526" s="1" t="s">
        <v>1840</v>
      </c>
      <c r="H1526" s="1" t="s">
        <v>1812</v>
      </c>
      <c r="I1526" s="10" t="str">
        <f>IF(H1526="T67",1,IF(H1526="T67",3,IF(H1526="T83",6,IF(H1526="T83",10,IF(H1526="T115",14,IF(H1526="T115",18,IF(H1526="T83",22,"")))))))</f>
        <v/>
      </c>
      <c r="J1526" s="1" t="s">
        <v>1808</v>
      </c>
      <c r="K1526" s="10">
        <v>2</v>
      </c>
      <c r="L1526" s="10">
        <v>1</v>
      </c>
      <c r="N1526" s="10">
        <v>4</v>
      </c>
      <c r="O1526" s="6"/>
      <c r="P1526" s="45" t="s">
        <v>2826</v>
      </c>
      <c r="Q1526" s="42" t="s">
        <v>4586</v>
      </c>
      <c r="R1526" s="42"/>
      <c r="S1526" s="44" t="s">
        <v>4738</v>
      </c>
    </row>
    <row r="1527" spans="1:19" ht="18.75" customHeight="1" x14ac:dyDescent="0.3">
      <c r="A1527" s="10">
        <v>1526</v>
      </c>
      <c r="B1527" s="10">
        <f>_xlfn.XLOOKUP(1,(VALUE(D1527)&gt;=VALUE(block!$C$3:$C$500))*(VALUE(D1527)&lt;VALUE(block!$C$3:$C$500)+VALUE(block!$D$3:$D$500)),block!$A$3:$A$500,"无匹配",0,1)</f>
        <v>41</v>
      </c>
      <c r="C1527" s="3" t="str">
        <f>B1527 &amp; "-" &amp; COUNTIF($B$2:B1527, B1527)</f>
        <v>41-36</v>
      </c>
      <c r="D1527" s="10">
        <v>11744</v>
      </c>
      <c r="E1527" s="1" t="s">
        <v>4739</v>
      </c>
      <c r="F1527" s="44" t="s">
        <v>4740</v>
      </c>
      <c r="G1527" s="1" t="s">
        <v>1830</v>
      </c>
      <c r="H1527" s="1" t="s">
        <v>1812</v>
      </c>
      <c r="I1527" s="10" t="str">
        <f>IF(H1527="T68",1,IF(H1527="T68",3,IF(H1527="T84",6,IF(H1527="T84",10,IF(H1527="T116",14,IF(H1527="T116",18,IF(H1527="T84",22,"")))))))</f>
        <v/>
      </c>
      <c r="J1527" s="1" t="s">
        <v>1808</v>
      </c>
      <c r="K1527" s="10">
        <v>2</v>
      </c>
      <c r="L1527" s="10">
        <v>1</v>
      </c>
      <c r="N1527" s="10">
        <v>4</v>
      </c>
      <c r="O1527" s="6"/>
      <c r="P1527" s="45" t="s">
        <v>2826</v>
      </c>
      <c r="Q1527" s="42" t="s">
        <v>4586</v>
      </c>
      <c r="R1527" s="42"/>
      <c r="S1527" s="44" t="s">
        <v>4740</v>
      </c>
    </row>
    <row r="1528" spans="1:19" ht="18.75" customHeight="1" x14ac:dyDescent="0.3">
      <c r="A1528" s="10">
        <v>1527</v>
      </c>
      <c r="B1528" s="10">
        <f>_xlfn.XLOOKUP(1,(VALUE(D1528)&gt;=VALUE(block!$C$3:$C$500))*(VALUE(D1528)&lt;VALUE(block!$C$3:$C$500)+VALUE(block!$D$3:$D$500)),block!$A$3:$A$500,"无匹配",0,1)</f>
        <v>41</v>
      </c>
      <c r="C1528" s="3" t="str">
        <f>B1528 &amp; "-" &amp; COUNTIF($B$2:B1528, B1528)</f>
        <v>41-37</v>
      </c>
      <c r="D1528" s="10">
        <v>11746</v>
      </c>
      <c r="E1528" s="1" t="s">
        <v>4741</v>
      </c>
      <c r="F1528" s="44" t="s">
        <v>4742</v>
      </c>
      <c r="G1528" s="1" t="s">
        <v>1830</v>
      </c>
      <c r="H1528" s="1" t="s">
        <v>1812</v>
      </c>
      <c r="I1528" s="10" t="str">
        <f>IF(H1528="T69",1,IF(H1528="T69",3,IF(H1528="T85",6,IF(H1528="T85",10,IF(H1528="T117",14,IF(H1528="T117",18,IF(H1528="T85",22,"")))))))</f>
        <v/>
      </c>
      <c r="J1528" s="1" t="s">
        <v>1808</v>
      </c>
      <c r="K1528" s="10">
        <v>2</v>
      </c>
      <c r="L1528" s="10">
        <v>1</v>
      </c>
      <c r="N1528" s="10">
        <v>4</v>
      </c>
      <c r="O1528" s="6"/>
      <c r="P1528" s="45" t="s">
        <v>2826</v>
      </c>
      <c r="Q1528" s="42" t="s">
        <v>4586</v>
      </c>
      <c r="R1528" s="42"/>
      <c r="S1528" s="44" t="s">
        <v>4742</v>
      </c>
    </row>
    <row r="1529" spans="1:19" ht="18.75" customHeight="1" x14ac:dyDescent="0.3">
      <c r="A1529" s="10">
        <v>1528</v>
      </c>
      <c r="B1529" s="10">
        <f>_xlfn.XLOOKUP(1,(VALUE(D1529)&gt;=VALUE(block!$C$3:$C$500))*(VALUE(D1529)&lt;VALUE(block!$C$3:$C$500)+VALUE(block!$D$3:$D$500)),block!$A$3:$A$500,"无匹配",0,1)</f>
        <v>41</v>
      </c>
      <c r="C1529" s="3" t="str">
        <f>B1529 &amp; "-" &amp; COUNTIF($B$2:B1529, B1529)</f>
        <v>41-38</v>
      </c>
      <c r="D1529" s="10">
        <v>11748</v>
      </c>
      <c r="E1529" s="1" t="s">
        <v>4743</v>
      </c>
      <c r="F1529" s="44" t="s">
        <v>4744</v>
      </c>
      <c r="G1529" s="1" t="s">
        <v>1830</v>
      </c>
      <c r="H1529" s="1" t="s">
        <v>1812</v>
      </c>
      <c r="I1529" s="10" t="str">
        <f>IF(H1529="T70",1,IF(H1529="T70",3,IF(H1529="T86",6,IF(H1529="T86",10,IF(H1529="T118",14,IF(H1529="T118",18,IF(H1529="T86",22,"")))))))</f>
        <v/>
      </c>
      <c r="J1529" s="1" t="s">
        <v>1808</v>
      </c>
      <c r="K1529" s="10">
        <v>2</v>
      </c>
      <c r="L1529" s="10">
        <v>1</v>
      </c>
      <c r="N1529" s="10">
        <v>4</v>
      </c>
      <c r="O1529" s="6"/>
      <c r="P1529" s="45" t="s">
        <v>2826</v>
      </c>
      <c r="Q1529" s="42" t="s">
        <v>4586</v>
      </c>
      <c r="R1529" s="42"/>
      <c r="S1529" s="44" t="s">
        <v>4744</v>
      </c>
    </row>
    <row r="1530" spans="1:19" ht="18.75" customHeight="1" x14ac:dyDescent="0.3">
      <c r="A1530" s="10">
        <v>1529</v>
      </c>
      <c r="B1530" s="10">
        <f>_xlfn.XLOOKUP(1,(VALUE(D1530)&gt;=VALUE(block!$C$3:$C$500))*(VALUE(D1530)&lt;VALUE(block!$C$3:$C$500)+VALUE(block!$D$3:$D$500)),block!$A$3:$A$500,"无匹配",0,1)</f>
        <v>41</v>
      </c>
      <c r="C1530" s="3" t="str">
        <f>B1530 &amp; "-" &amp; COUNTIF($B$2:B1530, B1530)</f>
        <v>41-39</v>
      </c>
      <c r="D1530" s="10">
        <v>11750</v>
      </c>
      <c r="E1530" s="1" t="s">
        <v>4745</v>
      </c>
      <c r="F1530" s="44" t="s">
        <v>4746</v>
      </c>
      <c r="G1530" s="1" t="s">
        <v>1830</v>
      </c>
      <c r="H1530" s="1" t="s">
        <v>1812</v>
      </c>
      <c r="I1530" s="10" t="str">
        <f>IF(H1530="T71",1,IF(H1530="T71",3,IF(H1530="T87",6,IF(H1530="T87",10,IF(H1530="T119",14,IF(H1530="T119",18,IF(H1530="T87",22,"")))))))</f>
        <v/>
      </c>
      <c r="J1530" s="1" t="s">
        <v>1808</v>
      </c>
      <c r="K1530" s="10">
        <v>2</v>
      </c>
      <c r="L1530" s="10">
        <v>1</v>
      </c>
      <c r="N1530" s="10">
        <v>4</v>
      </c>
      <c r="O1530" s="6"/>
      <c r="P1530" s="45" t="s">
        <v>2826</v>
      </c>
      <c r="Q1530" s="42" t="s">
        <v>4586</v>
      </c>
      <c r="R1530" s="42"/>
      <c r="S1530" s="44" t="s">
        <v>4746</v>
      </c>
    </row>
    <row r="1531" spans="1:19" ht="18.75" customHeight="1" x14ac:dyDescent="0.3">
      <c r="A1531" s="10">
        <v>1530</v>
      </c>
      <c r="B1531" s="10">
        <f>_xlfn.XLOOKUP(1,(VALUE(D1531)&gt;=VALUE(block!$C$3:$C$500))*(VALUE(D1531)&lt;VALUE(block!$C$3:$C$500)+VALUE(block!$D$3:$D$500)),block!$A$3:$A$500,"无匹配",0,1)</f>
        <v>41</v>
      </c>
      <c r="C1531" s="3" t="str">
        <f>B1531 &amp; "-" &amp; COUNTIF($B$2:B1531, B1531)</f>
        <v>41-40</v>
      </c>
      <c r="D1531" s="10">
        <v>11752</v>
      </c>
      <c r="E1531" s="1" t="s">
        <v>4747</v>
      </c>
      <c r="F1531" s="44" t="s">
        <v>4748</v>
      </c>
      <c r="G1531" s="1" t="s">
        <v>1830</v>
      </c>
      <c r="H1531" s="1" t="s">
        <v>1812</v>
      </c>
      <c r="I1531" s="10" t="str">
        <f>IF(H1531="T72",1,IF(H1531="T72",3,IF(H1531="T88",6,IF(H1531="T88",10,IF(H1531="T120",14,IF(H1531="T120",18,IF(H1531="T88",22,"")))))))</f>
        <v/>
      </c>
      <c r="J1531" s="1" t="s">
        <v>1808</v>
      </c>
      <c r="K1531" s="10">
        <v>2</v>
      </c>
      <c r="L1531" s="10">
        <v>1</v>
      </c>
      <c r="N1531" s="10">
        <v>4</v>
      </c>
      <c r="O1531" s="6"/>
      <c r="P1531" s="45" t="s">
        <v>2826</v>
      </c>
      <c r="Q1531" s="42" t="s">
        <v>4586</v>
      </c>
      <c r="R1531" s="42"/>
      <c r="S1531" s="44" t="s">
        <v>4748</v>
      </c>
    </row>
    <row r="1532" spans="1:19" ht="18.75" customHeight="1" x14ac:dyDescent="0.3">
      <c r="A1532" s="10">
        <v>1531</v>
      </c>
      <c r="B1532" s="10">
        <f>_xlfn.XLOOKUP(1,(VALUE(D1532)&gt;=VALUE(block!$C$3:$C$500))*(VALUE(D1532)&lt;VALUE(block!$C$3:$C$500)+VALUE(block!$D$3:$D$500)),block!$A$3:$A$500,"无匹配",0,1)</f>
        <v>41</v>
      </c>
      <c r="C1532" s="3" t="str">
        <f>B1532 &amp; "-" &amp; COUNTIF($B$2:B1532, B1532)</f>
        <v>41-41</v>
      </c>
      <c r="D1532" s="10">
        <v>11754</v>
      </c>
      <c r="E1532" s="1" t="s">
        <v>4749</v>
      </c>
      <c r="F1532" s="44" t="s">
        <v>4750</v>
      </c>
      <c r="G1532" s="1" t="s">
        <v>1830</v>
      </c>
      <c r="H1532" s="1" t="s">
        <v>1812</v>
      </c>
      <c r="I1532" s="10" t="str">
        <f>IF(H1532="T73",1,IF(H1532="T73",3,IF(H1532="T89",6,IF(H1532="T89",10,IF(H1532="T121",14,IF(H1532="T121",18,IF(H1532="T89",22,"")))))))</f>
        <v/>
      </c>
      <c r="J1532" s="1" t="s">
        <v>1808</v>
      </c>
      <c r="K1532" s="10">
        <v>2</v>
      </c>
      <c r="L1532" s="10">
        <v>1</v>
      </c>
      <c r="N1532" s="10">
        <v>4</v>
      </c>
      <c r="O1532" s="6"/>
      <c r="P1532" s="45" t="s">
        <v>2826</v>
      </c>
      <c r="Q1532" s="42" t="s">
        <v>4586</v>
      </c>
      <c r="R1532" s="42"/>
      <c r="S1532" s="44" t="s">
        <v>4750</v>
      </c>
    </row>
    <row r="1533" spans="1:19" ht="18.75" customHeight="1" x14ac:dyDescent="0.3">
      <c r="A1533" s="10">
        <v>1532</v>
      </c>
      <c r="B1533" s="10">
        <f>_xlfn.XLOOKUP(1,(VALUE(D1533)&gt;=VALUE(block!$C$3:$C$500))*(VALUE(D1533)&lt;VALUE(block!$C$3:$C$500)+VALUE(block!$D$3:$D$500)),block!$A$3:$A$500,"无匹配",0,1)</f>
        <v>41</v>
      </c>
      <c r="C1533" s="3" t="str">
        <f>B1533 &amp; "-" &amp; COUNTIF($B$2:B1533, B1533)</f>
        <v>41-42</v>
      </c>
      <c r="D1533" s="10">
        <v>11756</v>
      </c>
      <c r="E1533" s="1" t="s">
        <v>4751</v>
      </c>
      <c r="F1533" s="44" t="s">
        <v>4752</v>
      </c>
      <c r="G1533" s="1" t="s">
        <v>1840</v>
      </c>
      <c r="H1533" s="1" t="s">
        <v>1812</v>
      </c>
      <c r="I1533" s="10" t="str">
        <f>IF(H1533="T74",1,IF(H1533="T74",3,IF(H1533="T90",6,IF(H1533="T90",10,IF(H1533="T122",14,IF(H1533="T122",18,IF(H1533="T90",22,"")))))))</f>
        <v/>
      </c>
      <c r="J1533" s="1" t="s">
        <v>1808</v>
      </c>
      <c r="K1533" s="10">
        <v>2</v>
      </c>
      <c r="L1533" s="10">
        <v>1</v>
      </c>
      <c r="N1533" s="10">
        <v>4</v>
      </c>
      <c r="O1533" s="6"/>
      <c r="P1533" s="45" t="s">
        <v>2826</v>
      </c>
      <c r="Q1533" s="42" t="s">
        <v>4586</v>
      </c>
      <c r="R1533" s="42"/>
      <c r="S1533" s="44" t="s">
        <v>4752</v>
      </c>
    </row>
    <row r="1534" spans="1:19" ht="18.75" customHeight="1" x14ac:dyDescent="0.3">
      <c r="A1534" s="10">
        <v>1533</v>
      </c>
      <c r="B1534" s="10">
        <f>_xlfn.XLOOKUP(1,(VALUE(D1534)&gt;=VALUE(block!$C$3:$C$500))*(VALUE(D1534)&lt;VALUE(block!$C$3:$C$500)+VALUE(block!$D$3:$D$500)),block!$A$3:$A$500,"无匹配",0,1)</f>
        <v>42</v>
      </c>
      <c r="C1534" s="3" t="str">
        <f>B1534 &amp; "-" &amp; COUNTIF($B$2:B1534, B1534)</f>
        <v>42-1</v>
      </c>
      <c r="D1534" s="10">
        <v>12288</v>
      </c>
      <c r="E1534" s="1" t="s">
        <v>4753</v>
      </c>
      <c r="F1534" s="1" t="s">
        <v>126</v>
      </c>
      <c r="G1534" s="1" t="s">
        <v>4754</v>
      </c>
      <c r="H1534" s="1" t="s">
        <v>4755</v>
      </c>
      <c r="I1534" s="6" t="str">
        <f>IF(H1534="T75",1,IF(H1534="T75",3,IF(H1534="T91",6,IF(H1534="T91",10,IF(H1534="T123",14,IF(H1534="T123",18,IF(H1534="T91",22,"")))))))</f>
        <v/>
      </c>
      <c r="J1534" s="1" t="s">
        <v>1808</v>
      </c>
      <c r="K1534" s="10">
        <v>4</v>
      </c>
      <c r="L1534" s="10">
        <v>1</v>
      </c>
      <c r="N1534" s="10">
        <v>4</v>
      </c>
      <c r="O1534" s="6"/>
      <c r="P1534" s="45" t="s">
        <v>4756</v>
      </c>
      <c r="Q1534" s="42" t="s">
        <v>4757</v>
      </c>
      <c r="R1534" s="42"/>
      <c r="S1534" s="1" t="s">
        <v>126</v>
      </c>
    </row>
    <row r="1535" spans="1:19" ht="18.75" customHeight="1" x14ac:dyDescent="0.3">
      <c r="A1535" s="10">
        <v>1534</v>
      </c>
      <c r="B1535" s="10">
        <f>_xlfn.XLOOKUP(1,(VALUE(D1535)&gt;=VALUE(block!$C$3:$C$500))*(VALUE(D1535)&lt;VALUE(block!$C$3:$C$500)+VALUE(block!$D$3:$D$500)),block!$A$3:$A$500,"无匹配",0,1)</f>
        <v>42</v>
      </c>
      <c r="C1535" s="3" t="str">
        <f>B1535 &amp; "-" &amp; COUNTIF($B$2:B1535, B1535)</f>
        <v>42-2</v>
      </c>
      <c r="D1535" s="10">
        <v>12292</v>
      </c>
      <c r="E1535" s="1" t="s">
        <v>4758</v>
      </c>
      <c r="F1535" s="1" t="s">
        <v>136</v>
      </c>
      <c r="G1535" s="1" t="s">
        <v>4754</v>
      </c>
      <c r="H1535" s="1" t="s">
        <v>4755</v>
      </c>
      <c r="I1535" s="6" t="str">
        <f>IF(H1535="T76",1,IF(H1535="T76",3,IF(H1535="T92",6,IF(H1535="T92",10,IF(H1535="T124",14,IF(H1535="T124",18,IF(H1535="T92",22,"")))))))</f>
        <v/>
      </c>
      <c r="J1535" s="1" t="s">
        <v>1808</v>
      </c>
      <c r="K1535" s="10">
        <v>4</v>
      </c>
      <c r="L1535" s="10">
        <v>1</v>
      </c>
      <c r="N1535" s="10">
        <v>4</v>
      </c>
      <c r="O1535" s="6"/>
      <c r="P1535" s="45" t="s">
        <v>4756</v>
      </c>
      <c r="Q1535" s="42" t="s">
        <v>4757</v>
      </c>
      <c r="R1535" s="42"/>
      <c r="S1535" s="1" t="s">
        <v>136</v>
      </c>
    </row>
    <row r="1536" spans="1:19" ht="18.75" customHeight="1" x14ac:dyDescent="0.3">
      <c r="A1536" s="10">
        <v>1535</v>
      </c>
      <c r="B1536" s="10">
        <f>_xlfn.XLOOKUP(1,(VALUE(D1536)&gt;=VALUE(block!$C$3:$C$500))*(VALUE(D1536)&lt;VALUE(block!$C$3:$C$500)+VALUE(block!$D$3:$D$500)),block!$A$3:$A$500,"无匹配",0,1)</f>
        <v>42</v>
      </c>
      <c r="C1536" s="3" t="str">
        <f>B1536 &amp; "-" &amp; COUNTIF($B$2:B1536, B1536)</f>
        <v>42-3</v>
      </c>
      <c r="D1536" s="10">
        <v>12296</v>
      </c>
      <c r="E1536" s="1" t="s">
        <v>4759</v>
      </c>
      <c r="F1536" s="1" t="s">
        <v>146</v>
      </c>
      <c r="G1536" s="1" t="s">
        <v>4754</v>
      </c>
      <c r="H1536" s="1" t="s">
        <v>4755</v>
      </c>
      <c r="I1536" s="6" t="str">
        <f>IF(H1536="T77",1,IF(H1536="T77",3,IF(H1536="T93",6,IF(H1536="T93",10,IF(H1536="T125",14,IF(H1536="T125",18,IF(H1536="T93",22,"")))))))</f>
        <v/>
      </c>
      <c r="J1536" s="1" t="s">
        <v>1808</v>
      </c>
      <c r="K1536" s="10">
        <v>4</v>
      </c>
      <c r="L1536" s="10">
        <v>1</v>
      </c>
      <c r="N1536" s="10">
        <v>4</v>
      </c>
      <c r="O1536" s="6"/>
      <c r="P1536" s="45" t="s">
        <v>4756</v>
      </c>
      <c r="Q1536" s="42" t="s">
        <v>4757</v>
      </c>
      <c r="R1536" s="42"/>
      <c r="S1536" s="1" t="s">
        <v>146</v>
      </c>
    </row>
    <row r="1537" spans="1:19" ht="18.75" customHeight="1" x14ac:dyDescent="0.3">
      <c r="A1537" s="10">
        <v>1536</v>
      </c>
      <c r="B1537" s="10">
        <f>_xlfn.XLOOKUP(1,(VALUE(D1537)&gt;=VALUE(block!$C$3:$C$500))*(VALUE(D1537)&lt;VALUE(block!$C$3:$C$500)+VALUE(block!$D$3:$D$500)),block!$A$3:$A$500,"无匹配",0,1)</f>
        <v>42</v>
      </c>
      <c r="C1537" s="3" t="str">
        <f>B1537 &amp; "-" &amp; COUNTIF($B$2:B1537, B1537)</f>
        <v>42-4</v>
      </c>
      <c r="D1537" s="10">
        <v>12300</v>
      </c>
      <c r="E1537" s="1" t="s">
        <v>4760</v>
      </c>
      <c r="F1537" s="1" t="s">
        <v>156</v>
      </c>
      <c r="G1537" s="1" t="s">
        <v>4754</v>
      </c>
      <c r="H1537" s="1" t="s">
        <v>4755</v>
      </c>
      <c r="I1537" s="6" t="str">
        <f>IF(H1537="T78",1,IF(H1537="T78",3,IF(H1537="T94",6,IF(H1537="T94",10,IF(H1537="T126",14,IF(H1537="T126",18,IF(H1537="T94",22,"")))))))</f>
        <v/>
      </c>
      <c r="J1537" s="1" t="s">
        <v>1808</v>
      </c>
      <c r="K1537" s="10">
        <v>4</v>
      </c>
      <c r="L1537" s="10">
        <v>1</v>
      </c>
      <c r="N1537" s="10">
        <v>4</v>
      </c>
      <c r="O1537" s="6"/>
      <c r="P1537" s="45" t="s">
        <v>4756</v>
      </c>
      <c r="Q1537" s="42" t="s">
        <v>4757</v>
      </c>
      <c r="R1537" s="42"/>
      <c r="S1537" s="1" t="s">
        <v>156</v>
      </c>
    </row>
    <row r="1538" spans="1:19" ht="18.75" customHeight="1" x14ac:dyDescent="0.3">
      <c r="A1538" s="10">
        <v>1537</v>
      </c>
      <c r="B1538" s="10">
        <f>_xlfn.XLOOKUP(1,(VALUE(D1538)&gt;=VALUE(block!$C$3:$C$500))*(VALUE(D1538)&lt;VALUE(block!$C$3:$C$500)+VALUE(block!$D$3:$D$500)),block!$A$3:$A$500,"无匹配",0,1)</f>
        <v>42</v>
      </c>
      <c r="C1538" s="3" t="str">
        <f>B1538 &amp; "-" &amp; COUNTIF($B$2:B1538, B1538)</f>
        <v>42-5</v>
      </c>
      <c r="D1538" s="10">
        <v>12304</v>
      </c>
      <c r="E1538" s="1" t="s">
        <v>4761</v>
      </c>
      <c r="F1538" s="1" t="s">
        <v>131</v>
      </c>
      <c r="G1538" s="1" t="s">
        <v>4762</v>
      </c>
      <c r="H1538" s="1" t="s">
        <v>4755</v>
      </c>
      <c r="I1538" s="6" t="str">
        <f>IF(H1538="T79",1,IF(H1538="T79",3,IF(H1538="T95",6,IF(H1538="T95",10,IF(H1538="T127",14,IF(H1538="T127",18,IF(H1538="T95",22,"")))))))</f>
        <v/>
      </c>
      <c r="J1538" s="1" t="s">
        <v>1808</v>
      </c>
      <c r="K1538" s="10">
        <v>4</v>
      </c>
      <c r="L1538" s="10">
        <v>1</v>
      </c>
      <c r="N1538" s="10">
        <v>4</v>
      </c>
      <c r="O1538" s="6"/>
      <c r="P1538" s="45" t="s">
        <v>4756</v>
      </c>
      <c r="Q1538" s="42" t="s">
        <v>4757</v>
      </c>
      <c r="R1538" s="42"/>
      <c r="S1538" s="1" t="s">
        <v>131</v>
      </c>
    </row>
    <row r="1539" spans="1:19" ht="18.75" customHeight="1" x14ac:dyDescent="0.3">
      <c r="A1539" s="10">
        <v>1538</v>
      </c>
      <c r="B1539" s="10">
        <f>_xlfn.XLOOKUP(1,(VALUE(D1539)&gt;=VALUE(block!$C$3:$C$500))*(VALUE(D1539)&lt;VALUE(block!$C$3:$C$500)+VALUE(block!$D$3:$D$500)),block!$A$3:$A$500,"无匹配",0,1)</f>
        <v>42</v>
      </c>
      <c r="C1539" s="3" t="str">
        <f>B1539 &amp; "-" &amp; COUNTIF($B$2:B1539, B1539)</f>
        <v>42-6</v>
      </c>
      <c r="D1539" s="10">
        <v>12308</v>
      </c>
      <c r="E1539" s="1" t="s">
        <v>4763</v>
      </c>
      <c r="F1539" s="1" t="s">
        <v>141</v>
      </c>
      <c r="G1539" s="1" t="s">
        <v>4762</v>
      </c>
      <c r="H1539" s="1" t="s">
        <v>4755</v>
      </c>
      <c r="I1539" s="6" t="str">
        <f>IF(H1539="uint16",1,IF(H1539="int16",3,IF(H1539="uint32",6,IF(H1539="int32",10,IF(H1539="uint64",14,IF(H1539="int64",18,IF(H1539="float32",22,"")))))))</f>
        <v/>
      </c>
      <c r="J1539" s="1" t="s">
        <v>1808</v>
      </c>
      <c r="K1539" s="10">
        <v>4</v>
      </c>
      <c r="L1539" s="10">
        <v>1</v>
      </c>
      <c r="N1539" s="10">
        <v>4</v>
      </c>
      <c r="O1539" s="6"/>
      <c r="P1539" s="45" t="s">
        <v>4756</v>
      </c>
      <c r="Q1539" s="42" t="s">
        <v>4757</v>
      </c>
      <c r="R1539" s="42"/>
      <c r="S1539" s="1" t="s">
        <v>141</v>
      </c>
    </row>
    <row r="1540" spans="1:19" ht="18.75" customHeight="1" x14ac:dyDescent="0.3">
      <c r="A1540" s="10">
        <v>1539</v>
      </c>
      <c r="B1540" s="10">
        <f>_xlfn.XLOOKUP(1,(VALUE(D1540)&gt;=VALUE(block!$C$3:$C$500))*(VALUE(D1540)&lt;VALUE(block!$C$3:$C$500)+VALUE(block!$D$3:$D$500)),block!$A$3:$A$500,"无匹配",0,1)</f>
        <v>42</v>
      </c>
      <c r="C1540" s="3" t="str">
        <f>B1540 &amp; "-" &amp; COUNTIF($B$2:B1540, B1540)</f>
        <v>42-7</v>
      </c>
      <c r="D1540" s="10">
        <v>12312</v>
      </c>
      <c r="E1540" s="1" t="s">
        <v>4764</v>
      </c>
      <c r="F1540" s="1" t="s">
        <v>151</v>
      </c>
      <c r="G1540" s="1" t="s">
        <v>4762</v>
      </c>
      <c r="H1540" s="1" t="s">
        <v>4755</v>
      </c>
      <c r="I1540" s="6" t="str">
        <f>IF(H1540="T17",1,IF(H1540="T17",3,IF(H1540="T33",6,IF(H1540="T33",10,IF(H1540="T65",14,IF(H1540="T65",18,IF(H1540="T33",22,"")))))))</f>
        <v/>
      </c>
      <c r="J1540" s="1" t="s">
        <v>1808</v>
      </c>
      <c r="K1540" s="10">
        <v>4</v>
      </c>
      <c r="L1540" s="10">
        <v>1</v>
      </c>
      <c r="N1540" s="10">
        <v>4</v>
      </c>
      <c r="O1540" s="6"/>
      <c r="P1540" s="45" t="s">
        <v>4756</v>
      </c>
      <c r="Q1540" s="42" t="s">
        <v>4757</v>
      </c>
      <c r="R1540" s="42"/>
      <c r="S1540" s="1" t="s">
        <v>151</v>
      </c>
    </row>
    <row r="1541" spans="1:19" ht="18.75" customHeight="1" x14ac:dyDescent="0.3">
      <c r="A1541" s="10">
        <v>1540</v>
      </c>
      <c r="B1541" s="10">
        <f>_xlfn.XLOOKUP(1,(VALUE(D1541)&gt;=VALUE(block!$C$3:$C$500))*(VALUE(D1541)&lt;VALUE(block!$C$3:$C$500)+VALUE(block!$D$3:$D$500)),block!$A$3:$A$500,"无匹配",0,1)</f>
        <v>42</v>
      </c>
      <c r="C1541" s="3" t="str">
        <f>B1541 &amp; "-" &amp; COUNTIF($B$2:B1541, B1541)</f>
        <v>42-8</v>
      </c>
      <c r="D1541" s="10">
        <v>12316</v>
      </c>
      <c r="E1541" s="1" t="s">
        <v>4765</v>
      </c>
      <c r="F1541" s="1" t="s">
        <v>161</v>
      </c>
      <c r="G1541" s="1" t="s">
        <v>4762</v>
      </c>
      <c r="H1541" s="1" t="s">
        <v>4755</v>
      </c>
      <c r="I1541" s="6" t="str">
        <f>IF(H1541="T18",1,IF(H1541="T18",3,IF(H1541="T34",6,IF(H1541="T34",10,IF(H1541="T66",14,IF(H1541="T66",18,IF(H1541="T34",22,"")))))))</f>
        <v/>
      </c>
      <c r="J1541" s="1" t="s">
        <v>1808</v>
      </c>
      <c r="K1541" s="10">
        <v>4</v>
      </c>
      <c r="L1541" s="10">
        <v>1</v>
      </c>
      <c r="N1541" s="10">
        <v>4</v>
      </c>
      <c r="O1541" s="6"/>
      <c r="P1541" s="45" t="s">
        <v>4756</v>
      </c>
      <c r="Q1541" s="42" t="s">
        <v>4757</v>
      </c>
      <c r="R1541" s="42"/>
      <c r="S1541" s="1" t="s">
        <v>161</v>
      </c>
    </row>
    <row r="1542" spans="1:19" ht="18.75" customHeight="1" x14ac:dyDescent="0.3">
      <c r="A1542" s="10">
        <v>1541</v>
      </c>
      <c r="B1542" s="10">
        <f>_xlfn.XLOOKUP(1,(VALUE(D1542)&gt;=VALUE(block!$C$3:$C$500))*(VALUE(D1542)&lt;VALUE(block!$C$3:$C$500)+VALUE(block!$D$3:$D$500)),block!$A$3:$A$500,"无匹配",0,1)</f>
        <v>42</v>
      </c>
      <c r="C1542" s="3" t="str">
        <f>B1542 &amp; "-" &amp; COUNTIF($B$2:B1542, B1542)</f>
        <v>42-9</v>
      </c>
      <c r="D1542" s="10">
        <v>12320</v>
      </c>
      <c r="E1542" s="1" t="s">
        <v>4766</v>
      </c>
      <c r="F1542" s="1" t="s">
        <v>166</v>
      </c>
      <c r="G1542" s="1" t="s">
        <v>4767</v>
      </c>
      <c r="H1542" s="1" t="s">
        <v>4755</v>
      </c>
      <c r="I1542" s="6" t="str">
        <f>IF(H1542="T19",1,IF(H1542="T19",3,IF(H1542="T35",6,IF(H1542="T35",10,IF(H1542="T67",14,IF(H1542="T67",18,IF(H1542="T35",22,"")))))))</f>
        <v/>
      </c>
      <c r="J1542" s="1" t="s">
        <v>1808</v>
      </c>
      <c r="K1542" s="10">
        <v>4</v>
      </c>
      <c r="L1542" s="10">
        <v>1</v>
      </c>
      <c r="N1542" s="10">
        <v>4</v>
      </c>
      <c r="O1542" s="6"/>
      <c r="P1542" s="45" t="s">
        <v>4756</v>
      </c>
      <c r="Q1542" s="42" t="s">
        <v>4757</v>
      </c>
      <c r="R1542" s="42"/>
      <c r="S1542" s="1" t="s">
        <v>166</v>
      </c>
    </row>
    <row r="1543" spans="1:19" ht="18.75" customHeight="1" x14ac:dyDescent="0.3">
      <c r="A1543" s="10">
        <v>1542</v>
      </c>
      <c r="B1543" s="10">
        <f>_xlfn.XLOOKUP(1,(VALUE(D1543)&gt;=VALUE(block!$C$3:$C$500))*(VALUE(D1543)&lt;VALUE(block!$C$3:$C$500)+VALUE(block!$D$3:$D$500)),block!$A$3:$A$500,"无匹配",0,1)</f>
        <v>42</v>
      </c>
      <c r="C1543" s="3" t="str">
        <f>B1543 &amp; "-" &amp; COUNTIF($B$2:B1543, B1543)</f>
        <v>42-10</v>
      </c>
      <c r="D1543" s="10">
        <v>12324</v>
      </c>
      <c r="E1543" s="1" t="s">
        <v>4768</v>
      </c>
      <c r="F1543" s="1" t="s">
        <v>171</v>
      </c>
      <c r="G1543" s="1" t="s">
        <v>4754</v>
      </c>
      <c r="H1543" s="1" t="s">
        <v>4755</v>
      </c>
      <c r="I1543" s="6" t="str">
        <f>IF(H1543="T20",1,IF(H1543="T20",3,IF(H1543="T36",6,IF(H1543="T36",10,IF(H1543="T68",14,IF(H1543="T68",18,IF(H1543="T36",22,"")))))))</f>
        <v/>
      </c>
      <c r="J1543" s="1" t="s">
        <v>1808</v>
      </c>
      <c r="K1543" s="10">
        <v>4</v>
      </c>
      <c r="L1543" s="10">
        <v>1</v>
      </c>
      <c r="N1543" s="10">
        <v>4</v>
      </c>
      <c r="O1543" s="6"/>
      <c r="P1543" s="45" t="s">
        <v>4756</v>
      </c>
      <c r="Q1543" s="42" t="s">
        <v>4757</v>
      </c>
      <c r="R1543" s="42"/>
      <c r="S1543" s="1" t="s">
        <v>171</v>
      </c>
    </row>
    <row r="1544" spans="1:19" ht="18.75" customHeight="1" x14ac:dyDescent="0.3">
      <c r="A1544" s="10">
        <v>1543</v>
      </c>
      <c r="B1544" s="10">
        <f>_xlfn.XLOOKUP(1,(VALUE(D1544)&gt;=VALUE(block!$C$3:$C$500))*(VALUE(D1544)&lt;VALUE(block!$C$3:$C$500)+VALUE(block!$D$3:$D$500)),block!$A$3:$A$500,"无匹配",0,1)</f>
        <v>42</v>
      </c>
      <c r="C1544" s="3" t="str">
        <f>B1544 &amp; "-" &amp; COUNTIF($B$2:B1544, B1544)</f>
        <v>42-11</v>
      </c>
      <c r="D1544" s="10">
        <v>12328</v>
      </c>
      <c r="E1544" s="1" t="s">
        <v>4769</v>
      </c>
      <c r="F1544" s="1" t="s">
        <v>181</v>
      </c>
      <c r="G1544" s="1" t="s">
        <v>4754</v>
      </c>
      <c r="H1544" s="1" t="s">
        <v>4755</v>
      </c>
      <c r="I1544" s="6" t="str">
        <f>IF(H1544="T21",1,IF(H1544="T21",3,IF(H1544="T37",6,IF(H1544="T37",10,IF(H1544="T69",14,IF(H1544="T69",18,IF(H1544="T37",22,"")))))))</f>
        <v/>
      </c>
      <c r="J1544" s="1" t="s">
        <v>1808</v>
      </c>
      <c r="K1544" s="10">
        <v>4</v>
      </c>
      <c r="L1544" s="10">
        <v>1</v>
      </c>
      <c r="N1544" s="10">
        <v>4</v>
      </c>
      <c r="O1544" s="6"/>
      <c r="P1544" s="45" t="s">
        <v>4756</v>
      </c>
      <c r="Q1544" s="42" t="s">
        <v>4757</v>
      </c>
      <c r="R1544" s="42"/>
      <c r="S1544" s="1" t="s">
        <v>181</v>
      </c>
    </row>
    <row r="1545" spans="1:19" ht="18.75" customHeight="1" x14ac:dyDescent="0.3">
      <c r="A1545" s="10">
        <v>1544</v>
      </c>
      <c r="B1545" s="10">
        <f>_xlfn.XLOOKUP(1,(VALUE(D1545)&gt;=VALUE(block!$C$3:$C$500))*(VALUE(D1545)&lt;VALUE(block!$C$3:$C$500)+VALUE(block!$D$3:$D$500)),block!$A$3:$A$500,"无匹配",0,1)</f>
        <v>42</v>
      </c>
      <c r="C1545" s="3" t="str">
        <f>B1545 &amp; "-" &amp; COUNTIF($B$2:B1545, B1545)</f>
        <v>42-12</v>
      </c>
      <c r="D1545" s="10">
        <v>12332</v>
      </c>
      <c r="E1545" s="1" t="s">
        <v>4770</v>
      </c>
      <c r="F1545" s="1" t="s">
        <v>191</v>
      </c>
      <c r="G1545" s="1" t="s">
        <v>4754</v>
      </c>
      <c r="H1545" s="1" t="s">
        <v>4755</v>
      </c>
      <c r="I1545" s="6" t="str">
        <f>IF(H1545="T22",1,IF(H1545="T22",3,IF(H1545="T38",6,IF(H1545="T38",10,IF(H1545="T70",14,IF(H1545="T70",18,IF(H1545="T38",22,"")))))))</f>
        <v/>
      </c>
      <c r="J1545" s="1" t="s">
        <v>1808</v>
      </c>
      <c r="K1545" s="10">
        <v>4</v>
      </c>
      <c r="L1545" s="10">
        <v>1</v>
      </c>
      <c r="N1545" s="10">
        <v>4</v>
      </c>
      <c r="O1545" s="6"/>
      <c r="P1545" s="45" t="s">
        <v>4756</v>
      </c>
      <c r="Q1545" s="42" t="s">
        <v>4757</v>
      </c>
      <c r="R1545" s="42"/>
      <c r="S1545" s="1" t="s">
        <v>191</v>
      </c>
    </row>
    <row r="1546" spans="1:19" ht="18.75" customHeight="1" x14ac:dyDescent="0.3">
      <c r="A1546" s="10">
        <v>1545</v>
      </c>
      <c r="B1546" s="10">
        <f>_xlfn.XLOOKUP(1,(VALUE(D1546)&gt;=VALUE(block!$C$3:$C$500))*(VALUE(D1546)&lt;VALUE(block!$C$3:$C$500)+VALUE(block!$D$3:$D$500)),block!$A$3:$A$500,"无匹配",0,1)</f>
        <v>42</v>
      </c>
      <c r="C1546" s="3" t="str">
        <f>B1546 &amp; "-" &amp; COUNTIF($B$2:B1546, B1546)</f>
        <v>42-13</v>
      </c>
      <c r="D1546" s="10">
        <v>12336</v>
      </c>
      <c r="E1546" s="1" t="s">
        <v>4771</v>
      </c>
      <c r="F1546" s="1" t="s">
        <v>201</v>
      </c>
      <c r="G1546" s="1" t="s">
        <v>4754</v>
      </c>
      <c r="H1546" s="1" t="s">
        <v>4755</v>
      </c>
      <c r="I1546" s="6" t="str">
        <f>IF(H1546="T23",1,IF(H1546="T23",3,IF(H1546="T39",6,IF(H1546="T39",10,IF(H1546="T71",14,IF(H1546="T71",18,IF(H1546="T39",22,"")))))))</f>
        <v/>
      </c>
      <c r="J1546" s="1" t="s">
        <v>1808</v>
      </c>
      <c r="K1546" s="10">
        <v>4</v>
      </c>
      <c r="L1546" s="10">
        <v>1</v>
      </c>
      <c r="N1546" s="10">
        <v>4</v>
      </c>
      <c r="O1546" s="6"/>
      <c r="P1546" s="45" t="s">
        <v>4756</v>
      </c>
      <c r="Q1546" s="42" t="s">
        <v>4757</v>
      </c>
      <c r="R1546" s="42"/>
      <c r="S1546" s="1" t="s">
        <v>201</v>
      </c>
    </row>
    <row r="1547" spans="1:19" ht="18.75" customHeight="1" x14ac:dyDescent="0.3">
      <c r="A1547" s="10">
        <v>1546</v>
      </c>
      <c r="B1547" s="10">
        <f>_xlfn.XLOOKUP(1,(VALUE(D1547)&gt;=VALUE(block!$C$3:$C$500))*(VALUE(D1547)&lt;VALUE(block!$C$3:$C$500)+VALUE(block!$D$3:$D$500)),block!$A$3:$A$500,"无匹配",0,1)</f>
        <v>42</v>
      </c>
      <c r="C1547" s="3" t="str">
        <f>B1547 &amp; "-" &amp; COUNTIF($B$2:B1547, B1547)</f>
        <v>42-14</v>
      </c>
      <c r="D1547" s="10">
        <v>12340</v>
      </c>
      <c r="E1547" s="1" t="s">
        <v>4772</v>
      </c>
      <c r="F1547" s="1" t="s">
        <v>176</v>
      </c>
      <c r="G1547" s="1" t="s">
        <v>4762</v>
      </c>
      <c r="H1547" s="1" t="s">
        <v>4755</v>
      </c>
      <c r="I1547" s="6" t="str">
        <f>IF(H1547="T24",1,IF(H1547="T24",3,IF(H1547="T40",6,IF(H1547="T40",10,IF(H1547="T72",14,IF(H1547="T72",18,IF(H1547="T40",22,"")))))))</f>
        <v/>
      </c>
      <c r="J1547" s="1" t="s">
        <v>1808</v>
      </c>
      <c r="K1547" s="10">
        <v>4</v>
      </c>
      <c r="L1547" s="10">
        <v>1</v>
      </c>
      <c r="N1547" s="10">
        <v>4</v>
      </c>
      <c r="O1547" s="6"/>
      <c r="P1547" s="45" t="s">
        <v>4756</v>
      </c>
      <c r="Q1547" s="42" t="s">
        <v>4757</v>
      </c>
      <c r="R1547" s="42"/>
      <c r="S1547" s="1" t="s">
        <v>176</v>
      </c>
    </row>
    <row r="1548" spans="1:19" ht="18.75" customHeight="1" x14ac:dyDescent="0.3">
      <c r="A1548" s="10">
        <v>1547</v>
      </c>
      <c r="B1548" s="10">
        <f>_xlfn.XLOOKUP(1,(VALUE(D1548)&gt;=VALUE(block!$C$3:$C$500))*(VALUE(D1548)&lt;VALUE(block!$C$3:$C$500)+VALUE(block!$D$3:$D$500)),block!$A$3:$A$500,"无匹配",0,1)</f>
        <v>42</v>
      </c>
      <c r="C1548" s="3" t="str">
        <f>B1548 &amp; "-" &amp; COUNTIF($B$2:B1548, B1548)</f>
        <v>42-15</v>
      </c>
      <c r="D1548" s="10">
        <v>12344</v>
      </c>
      <c r="E1548" s="1" t="s">
        <v>4773</v>
      </c>
      <c r="F1548" s="1" t="s">
        <v>186</v>
      </c>
      <c r="G1548" s="1" t="s">
        <v>4762</v>
      </c>
      <c r="H1548" s="1" t="s">
        <v>4755</v>
      </c>
      <c r="I1548" s="6" t="str">
        <f>IF(H1548="T25",1,IF(H1548="T25",3,IF(H1548="T41",6,IF(H1548="T41",10,IF(H1548="T73",14,IF(H1548="T73",18,IF(H1548="T41",22,"")))))))</f>
        <v/>
      </c>
      <c r="J1548" s="1" t="s">
        <v>1808</v>
      </c>
      <c r="K1548" s="10">
        <v>4</v>
      </c>
      <c r="L1548" s="10">
        <v>1</v>
      </c>
      <c r="N1548" s="10">
        <v>4</v>
      </c>
      <c r="O1548" s="6"/>
      <c r="P1548" s="45" t="s">
        <v>4756</v>
      </c>
      <c r="Q1548" s="42" t="s">
        <v>4757</v>
      </c>
      <c r="R1548" s="42"/>
      <c r="S1548" s="1" t="s">
        <v>186</v>
      </c>
    </row>
    <row r="1549" spans="1:19" ht="18.75" customHeight="1" x14ac:dyDescent="0.3">
      <c r="A1549" s="10">
        <v>1548</v>
      </c>
      <c r="B1549" s="10">
        <f>_xlfn.XLOOKUP(1,(VALUE(D1549)&gt;=VALUE(block!$C$3:$C$500))*(VALUE(D1549)&lt;VALUE(block!$C$3:$C$500)+VALUE(block!$D$3:$D$500)),block!$A$3:$A$500,"无匹配",0,1)</f>
        <v>42</v>
      </c>
      <c r="C1549" s="3" t="str">
        <f>B1549 &amp; "-" &amp; COUNTIF($B$2:B1549, B1549)</f>
        <v>42-16</v>
      </c>
      <c r="D1549" s="10">
        <v>12348</v>
      </c>
      <c r="E1549" s="1" t="s">
        <v>4774</v>
      </c>
      <c r="F1549" s="1" t="s">
        <v>196</v>
      </c>
      <c r="G1549" s="1" t="s">
        <v>4762</v>
      </c>
      <c r="H1549" s="1" t="s">
        <v>4755</v>
      </c>
      <c r="I1549" s="6" t="str">
        <f>IF(H1549="T26",1,IF(H1549="T26",3,IF(H1549="T42",6,IF(H1549="T42",10,IF(H1549="T74",14,IF(H1549="T74",18,IF(H1549="T42",22,"")))))))</f>
        <v/>
      </c>
      <c r="J1549" s="1" t="s">
        <v>1808</v>
      </c>
      <c r="K1549" s="10">
        <v>4</v>
      </c>
      <c r="L1549" s="10">
        <v>1</v>
      </c>
      <c r="N1549" s="10">
        <v>4</v>
      </c>
      <c r="O1549" s="6"/>
      <c r="P1549" s="45" t="s">
        <v>4756</v>
      </c>
      <c r="Q1549" s="42" t="s">
        <v>4757</v>
      </c>
      <c r="R1549" s="42"/>
      <c r="S1549" s="1" t="s">
        <v>196</v>
      </c>
    </row>
    <row r="1550" spans="1:19" ht="18.75" customHeight="1" x14ac:dyDescent="0.3">
      <c r="A1550" s="10">
        <v>1549</v>
      </c>
      <c r="B1550" s="10">
        <f>_xlfn.XLOOKUP(1,(VALUE(D1550)&gt;=VALUE(block!$C$3:$C$500))*(VALUE(D1550)&lt;VALUE(block!$C$3:$C$500)+VALUE(block!$D$3:$D$500)),block!$A$3:$A$500,"无匹配",0,1)</f>
        <v>42</v>
      </c>
      <c r="C1550" s="3" t="str">
        <f>B1550 &amp; "-" &amp; COUNTIF($B$2:B1550, B1550)</f>
        <v>42-17</v>
      </c>
      <c r="D1550" s="10">
        <v>12352</v>
      </c>
      <c r="E1550" s="1" t="s">
        <v>4775</v>
      </c>
      <c r="F1550" s="1" t="s">
        <v>206</v>
      </c>
      <c r="G1550" s="1" t="s">
        <v>4762</v>
      </c>
      <c r="H1550" s="1" t="s">
        <v>4755</v>
      </c>
      <c r="I1550" s="6" t="str">
        <f>IF(H1550="T27",1,IF(H1550="T27",3,IF(H1550="T43",6,IF(H1550="T43",10,IF(H1550="T75",14,IF(H1550="T75",18,IF(H1550="T43",22,"")))))))</f>
        <v/>
      </c>
      <c r="J1550" s="1" t="s">
        <v>1808</v>
      </c>
      <c r="K1550" s="10">
        <v>4</v>
      </c>
      <c r="L1550" s="10">
        <v>1</v>
      </c>
      <c r="N1550" s="10">
        <v>4</v>
      </c>
      <c r="O1550" s="6"/>
      <c r="P1550" s="45" t="s">
        <v>4756</v>
      </c>
      <c r="Q1550" s="42" t="s">
        <v>4757</v>
      </c>
      <c r="R1550" s="42"/>
      <c r="S1550" s="1" t="s">
        <v>206</v>
      </c>
    </row>
    <row r="1551" spans="1:19" ht="18.75" customHeight="1" x14ac:dyDescent="0.3">
      <c r="A1551" s="10">
        <v>1550</v>
      </c>
      <c r="B1551" s="10">
        <f>_xlfn.XLOOKUP(1,(VALUE(D1551)&gt;=VALUE(block!$C$3:$C$500))*(VALUE(D1551)&lt;VALUE(block!$C$3:$C$500)+VALUE(block!$D$3:$D$500)),block!$A$3:$A$500,"无匹配",0,1)</f>
        <v>42</v>
      </c>
      <c r="C1551" s="3" t="str">
        <f>B1551 &amp; "-" &amp; COUNTIF($B$2:B1551, B1551)</f>
        <v>42-18</v>
      </c>
      <c r="D1551" s="10">
        <v>12356</v>
      </c>
      <c r="E1551" s="1" t="s">
        <v>4776</v>
      </c>
      <c r="F1551" s="1" t="s">
        <v>210</v>
      </c>
      <c r="G1551" s="1" t="s">
        <v>4767</v>
      </c>
      <c r="H1551" s="1" t="s">
        <v>4755</v>
      </c>
      <c r="I1551" s="6" t="str">
        <f>IF(H1551="T28",1,IF(H1551="T28",3,IF(H1551="T44",6,IF(H1551="T44",10,IF(H1551="T76",14,IF(H1551="T76",18,IF(H1551="T44",22,"")))))))</f>
        <v/>
      </c>
      <c r="J1551" s="1" t="s">
        <v>1808</v>
      </c>
      <c r="K1551" s="10">
        <v>4</v>
      </c>
      <c r="L1551" s="10">
        <v>1</v>
      </c>
      <c r="N1551" s="10">
        <v>4</v>
      </c>
      <c r="O1551" s="6"/>
      <c r="P1551" s="45" t="s">
        <v>4756</v>
      </c>
      <c r="Q1551" s="42" t="s">
        <v>4757</v>
      </c>
      <c r="R1551" s="42"/>
      <c r="S1551" s="1" t="s">
        <v>210</v>
      </c>
    </row>
    <row r="1552" spans="1:19" ht="18.75" customHeight="1" x14ac:dyDescent="0.3">
      <c r="A1552" s="10">
        <v>1551</v>
      </c>
      <c r="B1552" s="10">
        <f>_xlfn.XLOOKUP(1,(VALUE(D1552)&gt;=VALUE(block!$C$3:$C$500))*(VALUE(D1552)&lt;VALUE(block!$C$3:$C$500)+VALUE(block!$D$3:$D$500)),block!$A$3:$A$500,"无匹配",0,1)</f>
        <v>42</v>
      </c>
      <c r="C1552" s="3" t="str">
        <f>B1552 &amp; "-" &amp; COUNTIF($B$2:B1552, B1552)</f>
        <v>42-19</v>
      </c>
      <c r="D1552" s="10">
        <v>12360</v>
      </c>
      <c r="E1552" s="1" t="s">
        <v>4777</v>
      </c>
      <c r="F1552" s="1" t="s">
        <v>214</v>
      </c>
      <c r="G1552" s="1" t="s">
        <v>4754</v>
      </c>
      <c r="H1552" s="1" t="s">
        <v>4755</v>
      </c>
      <c r="I1552" s="6" t="str">
        <f>IF(H1552="T29",1,IF(H1552="T29",3,IF(H1552="T45",6,IF(H1552="T45",10,IF(H1552="T77",14,IF(H1552="T77",18,IF(H1552="T45",22,"")))))))</f>
        <v/>
      </c>
      <c r="J1552" s="1" t="s">
        <v>1808</v>
      </c>
      <c r="K1552" s="10">
        <v>4</v>
      </c>
      <c r="L1552" s="10">
        <v>1</v>
      </c>
      <c r="N1552" s="10">
        <v>4</v>
      </c>
      <c r="O1552" s="6"/>
      <c r="P1552" s="45" t="s">
        <v>4756</v>
      </c>
      <c r="Q1552" s="42" t="s">
        <v>4757</v>
      </c>
      <c r="R1552" s="42"/>
      <c r="S1552" s="1" t="s">
        <v>214</v>
      </c>
    </row>
    <row r="1553" spans="1:19" ht="18.75" customHeight="1" x14ac:dyDescent="0.3">
      <c r="A1553" s="10">
        <v>1552</v>
      </c>
      <c r="B1553" s="10">
        <f>_xlfn.XLOOKUP(1,(VALUE(D1553)&gt;=VALUE(block!$C$3:$C$500))*(VALUE(D1553)&lt;VALUE(block!$C$3:$C$500)+VALUE(block!$D$3:$D$500)),block!$A$3:$A$500,"无匹配",0,1)</f>
        <v>42</v>
      </c>
      <c r="C1553" s="3" t="str">
        <f>B1553 &amp; "-" &amp; COUNTIF($B$2:B1553, B1553)</f>
        <v>42-20</v>
      </c>
      <c r="D1553" s="10">
        <v>12364</v>
      </c>
      <c r="E1553" s="1" t="s">
        <v>4778</v>
      </c>
      <c r="F1553" s="1" t="s">
        <v>222</v>
      </c>
      <c r="G1553" s="1" t="s">
        <v>4754</v>
      </c>
      <c r="H1553" s="1" t="s">
        <v>4755</v>
      </c>
      <c r="I1553" s="6" t="str">
        <f>IF(H1553="T30",1,IF(H1553="T30",3,IF(H1553="T46",6,IF(H1553="T46",10,IF(H1553="T78",14,IF(H1553="T78",18,IF(H1553="T46",22,"")))))))</f>
        <v/>
      </c>
      <c r="J1553" s="1" t="s">
        <v>1808</v>
      </c>
      <c r="K1553" s="10">
        <v>4</v>
      </c>
      <c r="L1553" s="10">
        <v>1</v>
      </c>
      <c r="N1553" s="10">
        <v>4</v>
      </c>
      <c r="O1553" s="6"/>
      <c r="P1553" s="45" t="s">
        <v>4756</v>
      </c>
      <c r="Q1553" s="42" t="s">
        <v>4757</v>
      </c>
      <c r="R1553" s="42"/>
      <c r="S1553" s="1" t="s">
        <v>222</v>
      </c>
    </row>
    <row r="1554" spans="1:19" ht="18.75" customHeight="1" x14ac:dyDescent="0.3">
      <c r="A1554" s="10">
        <v>1553</v>
      </c>
      <c r="B1554" s="10">
        <f>_xlfn.XLOOKUP(1,(VALUE(D1554)&gt;=VALUE(block!$C$3:$C$500))*(VALUE(D1554)&lt;VALUE(block!$C$3:$C$500)+VALUE(block!$D$3:$D$500)),block!$A$3:$A$500,"无匹配",0,1)</f>
        <v>42</v>
      </c>
      <c r="C1554" s="3" t="str">
        <f>B1554 &amp; "-" &amp; COUNTIF($B$2:B1554, B1554)</f>
        <v>42-21</v>
      </c>
      <c r="D1554" s="10">
        <v>12368</v>
      </c>
      <c r="E1554" s="1" t="s">
        <v>4779</v>
      </c>
      <c r="F1554" s="1" t="s">
        <v>230</v>
      </c>
      <c r="G1554" s="1" t="s">
        <v>4754</v>
      </c>
      <c r="H1554" s="1" t="s">
        <v>4755</v>
      </c>
      <c r="I1554" s="6" t="str">
        <f>IF(H1554="T31",1,IF(H1554="T31",3,IF(H1554="T47",6,IF(H1554="T47",10,IF(H1554="T79",14,IF(H1554="T79",18,IF(H1554="T47",22,"")))))))</f>
        <v/>
      </c>
      <c r="J1554" s="1" t="s">
        <v>1808</v>
      </c>
      <c r="K1554" s="10">
        <v>4</v>
      </c>
      <c r="L1554" s="10">
        <v>1</v>
      </c>
      <c r="N1554" s="10">
        <v>4</v>
      </c>
      <c r="O1554" s="6"/>
      <c r="P1554" s="45" t="s">
        <v>4756</v>
      </c>
      <c r="Q1554" s="42" t="s">
        <v>4757</v>
      </c>
      <c r="R1554" s="42"/>
      <c r="S1554" s="1" t="s">
        <v>230</v>
      </c>
    </row>
    <row r="1555" spans="1:19" ht="18.75" customHeight="1" x14ac:dyDescent="0.3">
      <c r="A1555" s="10">
        <v>1554</v>
      </c>
      <c r="B1555" s="10">
        <f>_xlfn.XLOOKUP(1,(VALUE(D1555)&gt;=VALUE(block!$C$3:$C$500))*(VALUE(D1555)&lt;VALUE(block!$C$3:$C$500)+VALUE(block!$D$3:$D$500)),block!$A$3:$A$500,"无匹配",0,1)</f>
        <v>42</v>
      </c>
      <c r="C1555" s="3" t="str">
        <f>B1555 &amp; "-" &amp; COUNTIF($B$2:B1555, B1555)</f>
        <v>42-22</v>
      </c>
      <c r="D1555" s="10">
        <v>12372</v>
      </c>
      <c r="E1555" s="1" t="s">
        <v>4780</v>
      </c>
      <c r="F1555" s="1" t="s">
        <v>238</v>
      </c>
      <c r="G1555" s="1" t="s">
        <v>4754</v>
      </c>
      <c r="H1555" s="1" t="s">
        <v>4755</v>
      </c>
      <c r="I1555" s="6" t="str">
        <f>IF(H1555="T32",1,IF(H1555="T32",3,IF(H1555="T48",6,IF(H1555="T48",10,IF(H1555="T80",14,IF(H1555="T80",18,IF(H1555="T48",22,"")))))))</f>
        <v/>
      </c>
      <c r="J1555" s="1" t="s">
        <v>1808</v>
      </c>
      <c r="K1555" s="10">
        <v>4</v>
      </c>
      <c r="L1555" s="10">
        <v>1</v>
      </c>
      <c r="N1555" s="10">
        <v>4</v>
      </c>
      <c r="O1555" s="6"/>
      <c r="P1555" s="45" t="s">
        <v>4756</v>
      </c>
      <c r="Q1555" s="42" t="s">
        <v>4757</v>
      </c>
      <c r="R1555" s="42"/>
      <c r="S1555" s="1" t="s">
        <v>238</v>
      </c>
    </row>
    <row r="1556" spans="1:19" ht="18.75" customHeight="1" x14ac:dyDescent="0.3">
      <c r="A1556" s="10">
        <v>1555</v>
      </c>
      <c r="B1556" s="10">
        <f>_xlfn.XLOOKUP(1,(VALUE(D1556)&gt;=VALUE(block!$C$3:$C$500))*(VALUE(D1556)&lt;VALUE(block!$C$3:$C$500)+VALUE(block!$D$3:$D$500)),block!$A$3:$A$500,"无匹配",0,1)</f>
        <v>42</v>
      </c>
      <c r="C1556" s="3" t="str">
        <f>B1556 &amp; "-" &amp; COUNTIF($B$2:B1556, B1556)</f>
        <v>42-23</v>
      </c>
      <c r="D1556" s="10">
        <v>12376</v>
      </c>
      <c r="E1556" s="1" t="s">
        <v>4781</v>
      </c>
      <c r="F1556" s="1" t="s">
        <v>218</v>
      </c>
      <c r="G1556" s="1" t="s">
        <v>4762</v>
      </c>
      <c r="H1556" s="1" t="s">
        <v>4755</v>
      </c>
      <c r="I1556" s="6" t="str">
        <f>IF(H1556="T33",1,IF(H1556="T33",3,IF(H1556="T49",6,IF(H1556="T49",10,IF(H1556="T81",14,IF(H1556="T81",18,IF(H1556="T49",22,"")))))))</f>
        <v/>
      </c>
      <c r="J1556" s="1" t="s">
        <v>1808</v>
      </c>
      <c r="K1556" s="10">
        <v>4</v>
      </c>
      <c r="L1556" s="10">
        <v>1</v>
      </c>
      <c r="N1556" s="10">
        <v>4</v>
      </c>
      <c r="O1556" s="6"/>
      <c r="P1556" s="45" t="s">
        <v>4756</v>
      </c>
      <c r="Q1556" s="42" t="s">
        <v>4757</v>
      </c>
      <c r="R1556" s="42"/>
      <c r="S1556" s="1" t="s">
        <v>218</v>
      </c>
    </row>
    <row r="1557" spans="1:19" ht="18.75" customHeight="1" x14ac:dyDescent="0.3">
      <c r="A1557" s="10">
        <v>1556</v>
      </c>
      <c r="B1557" s="10">
        <f>_xlfn.XLOOKUP(1,(VALUE(D1557)&gt;=VALUE(block!$C$3:$C$500))*(VALUE(D1557)&lt;VALUE(block!$C$3:$C$500)+VALUE(block!$D$3:$D$500)),block!$A$3:$A$500,"无匹配",0,1)</f>
        <v>42</v>
      </c>
      <c r="C1557" s="3" t="str">
        <f>B1557 &amp; "-" &amp; COUNTIF($B$2:B1557, B1557)</f>
        <v>42-24</v>
      </c>
      <c r="D1557" s="10">
        <v>12380</v>
      </c>
      <c r="E1557" s="1" t="s">
        <v>4782</v>
      </c>
      <c r="F1557" s="1" t="s">
        <v>226</v>
      </c>
      <c r="G1557" s="1" t="s">
        <v>4762</v>
      </c>
      <c r="H1557" s="1" t="s">
        <v>4755</v>
      </c>
      <c r="I1557" s="6" t="str">
        <f>IF(H1557="T34",1,IF(H1557="T34",3,IF(H1557="T50",6,IF(H1557="T50",10,IF(H1557="T82",14,IF(H1557="T82",18,IF(H1557="T50",22,"")))))))</f>
        <v/>
      </c>
      <c r="J1557" s="1" t="s">
        <v>1808</v>
      </c>
      <c r="K1557" s="10">
        <v>4</v>
      </c>
      <c r="L1557" s="10">
        <v>1</v>
      </c>
      <c r="N1557" s="10">
        <v>4</v>
      </c>
      <c r="O1557" s="6"/>
      <c r="P1557" s="45" t="s">
        <v>4756</v>
      </c>
      <c r="Q1557" s="42" t="s">
        <v>4757</v>
      </c>
      <c r="R1557" s="42"/>
      <c r="S1557" s="1" t="s">
        <v>226</v>
      </c>
    </row>
    <row r="1558" spans="1:19" ht="18.75" customHeight="1" x14ac:dyDescent="0.3">
      <c r="A1558" s="10">
        <v>1557</v>
      </c>
      <c r="B1558" s="10">
        <f>_xlfn.XLOOKUP(1,(VALUE(D1558)&gt;=VALUE(block!$C$3:$C$500))*(VALUE(D1558)&lt;VALUE(block!$C$3:$C$500)+VALUE(block!$D$3:$D$500)),block!$A$3:$A$500,"无匹配",0,1)</f>
        <v>42</v>
      </c>
      <c r="C1558" s="3" t="str">
        <f>B1558 &amp; "-" &amp; COUNTIF($B$2:B1558, B1558)</f>
        <v>42-25</v>
      </c>
      <c r="D1558" s="10">
        <v>12384</v>
      </c>
      <c r="E1558" s="1" t="s">
        <v>4783</v>
      </c>
      <c r="F1558" s="1" t="s">
        <v>234</v>
      </c>
      <c r="G1558" s="1" t="s">
        <v>4762</v>
      </c>
      <c r="H1558" s="1" t="s">
        <v>4755</v>
      </c>
      <c r="I1558" s="6" t="str">
        <f>IF(H1558="T35",1,IF(H1558="T35",3,IF(H1558="T51",6,IF(H1558="T51",10,IF(H1558="T83",14,IF(H1558="T83",18,IF(H1558="T51",22,"")))))))</f>
        <v/>
      </c>
      <c r="J1558" s="1" t="s">
        <v>1808</v>
      </c>
      <c r="K1558" s="10">
        <v>4</v>
      </c>
      <c r="L1558" s="10">
        <v>1</v>
      </c>
      <c r="N1558" s="10">
        <v>4</v>
      </c>
      <c r="O1558" s="6"/>
      <c r="P1558" s="45" t="s">
        <v>4756</v>
      </c>
      <c r="Q1558" s="42" t="s">
        <v>4757</v>
      </c>
      <c r="R1558" s="42"/>
      <c r="S1558" s="1" t="s">
        <v>234</v>
      </c>
    </row>
    <row r="1559" spans="1:19" ht="18.75" customHeight="1" x14ac:dyDescent="0.3">
      <c r="A1559" s="10">
        <v>1558</v>
      </c>
      <c r="B1559" s="10">
        <f>_xlfn.XLOOKUP(1,(VALUE(D1559)&gt;=VALUE(block!$C$3:$C$500))*(VALUE(D1559)&lt;VALUE(block!$C$3:$C$500)+VALUE(block!$D$3:$D$500)),block!$A$3:$A$500,"无匹配",0,1)</f>
        <v>42</v>
      </c>
      <c r="C1559" s="3" t="str">
        <f>B1559 &amp; "-" &amp; COUNTIF($B$2:B1559, B1559)</f>
        <v>42-26</v>
      </c>
      <c r="D1559" s="10">
        <v>12388</v>
      </c>
      <c r="E1559" s="1" t="s">
        <v>4784</v>
      </c>
      <c r="F1559" s="1" t="s">
        <v>242</v>
      </c>
      <c r="G1559" s="1" t="s">
        <v>4762</v>
      </c>
      <c r="H1559" s="1" t="s">
        <v>4755</v>
      </c>
      <c r="I1559" s="6" t="str">
        <f>IF(H1559="T36",1,IF(H1559="T36",3,IF(H1559="T52",6,IF(H1559="T52",10,IF(H1559="T84",14,IF(H1559="T84",18,IF(H1559="T52",22,"")))))))</f>
        <v/>
      </c>
      <c r="J1559" s="1" t="s">
        <v>1808</v>
      </c>
      <c r="K1559" s="10">
        <v>4</v>
      </c>
      <c r="L1559" s="10">
        <v>1</v>
      </c>
      <c r="N1559" s="10">
        <v>4</v>
      </c>
      <c r="O1559" s="6"/>
      <c r="P1559" s="45" t="s">
        <v>4756</v>
      </c>
      <c r="Q1559" s="42" t="s">
        <v>4757</v>
      </c>
      <c r="R1559" s="42"/>
      <c r="S1559" s="1" t="s">
        <v>242</v>
      </c>
    </row>
    <row r="1560" spans="1:19" ht="18.75" customHeight="1" x14ac:dyDescent="0.3">
      <c r="A1560" s="10">
        <v>1559</v>
      </c>
      <c r="B1560" s="10">
        <f>_xlfn.XLOOKUP(1,(VALUE(D1560)&gt;=VALUE(block!$C$3:$C$500))*(VALUE(D1560)&lt;VALUE(block!$C$3:$C$500)+VALUE(block!$D$3:$D$500)),block!$A$3:$A$500,"无匹配",0,1)</f>
        <v>42</v>
      </c>
      <c r="C1560" s="3" t="str">
        <f>B1560 &amp; "-" &amp; COUNTIF($B$2:B1560, B1560)</f>
        <v>42-27</v>
      </c>
      <c r="D1560" s="10">
        <v>12392</v>
      </c>
      <c r="E1560" s="1" t="s">
        <v>4785</v>
      </c>
      <c r="F1560" s="1" t="s">
        <v>246</v>
      </c>
      <c r="G1560" s="1" t="s">
        <v>4767</v>
      </c>
      <c r="H1560" s="1" t="s">
        <v>4755</v>
      </c>
      <c r="I1560" s="6" t="str">
        <f>IF(H1560="T37",1,IF(H1560="T37",3,IF(H1560="T53",6,IF(H1560="T53",10,IF(H1560="T85",14,IF(H1560="T85",18,IF(H1560="T53",22,"")))))))</f>
        <v/>
      </c>
      <c r="J1560" s="1" t="s">
        <v>1808</v>
      </c>
      <c r="K1560" s="10">
        <v>4</v>
      </c>
      <c r="L1560" s="10">
        <v>1</v>
      </c>
      <c r="N1560" s="10">
        <v>4</v>
      </c>
      <c r="O1560" s="6"/>
      <c r="P1560" s="45" t="s">
        <v>4756</v>
      </c>
      <c r="Q1560" s="42" t="s">
        <v>4757</v>
      </c>
      <c r="R1560" s="42"/>
      <c r="S1560" s="1" t="s">
        <v>246</v>
      </c>
    </row>
    <row r="1561" spans="1:19" ht="18.75" customHeight="1" x14ac:dyDescent="0.3">
      <c r="A1561" s="10">
        <v>1560</v>
      </c>
      <c r="B1561" s="10">
        <f>_xlfn.XLOOKUP(1,(VALUE(D1561)&gt;=VALUE(block!$C$3:$C$500))*(VALUE(D1561)&lt;VALUE(block!$C$3:$C$500)+VALUE(block!$D$3:$D$500)),block!$A$3:$A$500,"无匹配",0,1)</f>
        <v>42</v>
      </c>
      <c r="C1561" s="3" t="str">
        <f>B1561 &amp; "-" &amp; COUNTIF($B$2:B1561, B1561)</f>
        <v>42-28</v>
      </c>
      <c r="D1561" s="10">
        <v>12396</v>
      </c>
      <c r="E1561" s="1" t="s">
        <v>4786</v>
      </c>
      <c r="F1561" s="1" t="s">
        <v>250</v>
      </c>
      <c r="G1561" s="1" t="s">
        <v>4754</v>
      </c>
      <c r="H1561" s="1" t="s">
        <v>4755</v>
      </c>
      <c r="I1561" s="6" t="str">
        <f>IF(H1561="T38",1,IF(H1561="T38",3,IF(H1561="T54",6,IF(H1561="T54",10,IF(H1561="T86",14,IF(H1561="T86",18,IF(H1561="T54",22,"")))))))</f>
        <v/>
      </c>
      <c r="J1561" s="1" t="s">
        <v>1808</v>
      </c>
      <c r="K1561" s="10">
        <v>4</v>
      </c>
      <c r="L1561" s="10">
        <v>1</v>
      </c>
      <c r="N1561" s="10">
        <v>4</v>
      </c>
      <c r="O1561" s="6"/>
      <c r="P1561" s="45" t="s">
        <v>4756</v>
      </c>
      <c r="Q1561" s="42" t="s">
        <v>4787</v>
      </c>
      <c r="R1561" s="42"/>
      <c r="S1561" s="1" t="s">
        <v>250</v>
      </c>
    </row>
    <row r="1562" spans="1:19" ht="18.75" customHeight="1" x14ac:dyDescent="0.3">
      <c r="A1562" s="10">
        <v>1561</v>
      </c>
      <c r="B1562" s="10">
        <f>_xlfn.XLOOKUP(1,(VALUE(D1562)&gt;=VALUE(block!$C$3:$C$500))*(VALUE(D1562)&lt;VALUE(block!$C$3:$C$500)+VALUE(block!$D$3:$D$500)),block!$A$3:$A$500,"无匹配",0,1)</f>
        <v>42</v>
      </c>
      <c r="C1562" s="3" t="str">
        <f>B1562 &amp; "-" &amp; COUNTIF($B$2:B1562, B1562)</f>
        <v>42-29</v>
      </c>
      <c r="D1562" s="10">
        <v>12400</v>
      </c>
      <c r="E1562" s="1" t="s">
        <v>4788</v>
      </c>
      <c r="F1562" s="1" t="s">
        <v>258</v>
      </c>
      <c r="G1562" s="1" t="s">
        <v>4754</v>
      </c>
      <c r="H1562" s="1" t="s">
        <v>4755</v>
      </c>
      <c r="I1562" s="6" t="str">
        <f>IF(H1562="T39",1,IF(H1562="T39",3,IF(H1562="T55",6,IF(H1562="T55",10,IF(H1562="T87",14,IF(H1562="T87",18,IF(H1562="T55",22,"")))))))</f>
        <v/>
      </c>
      <c r="J1562" s="1" t="s">
        <v>1808</v>
      </c>
      <c r="K1562" s="10">
        <v>4</v>
      </c>
      <c r="L1562" s="10">
        <v>1</v>
      </c>
      <c r="N1562" s="10">
        <v>4</v>
      </c>
      <c r="O1562" s="6"/>
      <c r="P1562" s="45" t="s">
        <v>4756</v>
      </c>
      <c r="Q1562" s="42" t="s">
        <v>4787</v>
      </c>
      <c r="R1562" s="42"/>
      <c r="S1562" s="1" t="s">
        <v>258</v>
      </c>
    </row>
    <row r="1563" spans="1:19" ht="18.75" customHeight="1" x14ac:dyDescent="0.3">
      <c r="A1563" s="10">
        <v>1562</v>
      </c>
      <c r="B1563" s="10">
        <f>_xlfn.XLOOKUP(1,(VALUE(D1563)&gt;=VALUE(block!$C$3:$C$500))*(VALUE(D1563)&lt;VALUE(block!$C$3:$C$500)+VALUE(block!$D$3:$D$500)),block!$A$3:$A$500,"无匹配",0,1)</f>
        <v>42</v>
      </c>
      <c r="C1563" s="3" t="str">
        <f>B1563 &amp; "-" &amp; COUNTIF($B$2:B1563, B1563)</f>
        <v>42-30</v>
      </c>
      <c r="D1563" s="10">
        <v>12404</v>
      </c>
      <c r="E1563" s="1" t="s">
        <v>4789</v>
      </c>
      <c r="F1563" s="1" t="s">
        <v>266</v>
      </c>
      <c r="G1563" s="1" t="s">
        <v>4754</v>
      </c>
      <c r="H1563" s="1" t="s">
        <v>4755</v>
      </c>
      <c r="I1563" s="6" t="str">
        <f>IF(H1563="T40",1,IF(H1563="T40",3,IF(H1563="T56",6,IF(H1563="T56",10,IF(H1563="T88",14,IF(H1563="T88",18,IF(H1563="T56",22,"")))))))</f>
        <v/>
      </c>
      <c r="J1563" s="1" t="s">
        <v>1808</v>
      </c>
      <c r="K1563" s="10">
        <v>4</v>
      </c>
      <c r="L1563" s="10">
        <v>1</v>
      </c>
      <c r="N1563" s="10">
        <v>4</v>
      </c>
      <c r="O1563" s="6"/>
      <c r="P1563" s="45" t="s">
        <v>4756</v>
      </c>
      <c r="Q1563" s="42" t="s">
        <v>4787</v>
      </c>
      <c r="R1563" s="42"/>
      <c r="S1563" s="1" t="s">
        <v>266</v>
      </c>
    </row>
    <row r="1564" spans="1:19" ht="18.75" customHeight="1" x14ac:dyDescent="0.3">
      <c r="A1564" s="10">
        <v>1563</v>
      </c>
      <c r="B1564" s="10">
        <f>_xlfn.XLOOKUP(1,(VALUE(D1564)&gt;=VALUE(block!$C$3:$C$500))*(VALUE(D1564)&lt;VALUE(block!$C$3:$C$500)+VALUE(block!$D$3:$D$500)),block!$A$3:$A$500,"无匹配",0,1)</f>
        <v>42</v>
      </c>
      <c r="C1564" s="3" t="str">
        <f>B1564 &amp; "-" &amp; COUNTIF($B$2:B1564, B1564)</f>
        <v>42-31</v>
      </c>
      <c r="D1564" s="10">
        <v>12408</v>
      </c>
      <c r="E1564" s="1" t="s">
        <v>4790</v>
      </c>
      <c r="F1564" s="1" t="s">
        <v>274</v>
      </c>
      <c r="G1564" s="1" t="s">
        <v>4754</v>
      </c>
      <c r="H1564" s="1" t="s">
        <v>4755</v>
      </c>
      <c r="I1564" s="6" t="str">
        <f>IF(H1564="T41",1,IF(H1564="T41",3,IF(H1564="T57",6,IF(H1564="T57",10,IF(H1564="T89",14,IF(H1564="T89",18,IF(H1564="T57",22,"")))))))</f>
        <v/>
      </c>
      <c r="J1564" s="1" t="s">
        <v>1808</v>
      </c>
      <c r="K1564" s="10">
        <v>4</v>
      </c>
      <c r="L1564" s="10">
        <v>1</v>
      </c>
      <c r="N1564" s="10">
        <v>4</v>
      </c>
      <c r="O1564" s="6"/>
      <c r="P1564" s="45" t="s">
        <v>4756</v>
      </c>
      <c r="Q1564" s="42" t="s">
        <v>4787</v>
      </c>
      <c r="R1564" s="42"/>
      <c r="S1564" s="1" t="s">
        <v>274</v>
      </c>
    </row>
    <row r="1565" spans="1:19" ht="18.75" customHeight="1" x14ac:dyDescent="0.3">
      <c r="A1565" s="10">
        <v>1564</v>
      </c>
      <c r="B1565" s="10">
        <f>_xlfn.XLOOKUP(1,(VALUE(D1565)&gt;=VALUE(block!$C$3:$C$500))*(VALUE(D1565)&lt;VALUE(block!$C$3:$C$500)+VALUE(block!$D$3:$D$500)),block!$A$3:$A$500,"无匹配",0,1)</f>
        <v>43</v>
      </c>
      <c r="C1565" s="3" t="str">
        <f>B1565 &amp; "-" &amp; COUNTIF($B$2:B1565, B1565)</f>
        <v>43-1</v>
      </c>
      <c r="D1565" s="10">
        <v>12412</v>
      </c>
      <c r="E1565" s="1" t="s">
        <v>4791</v>
      </c>
      <c r="F1565" s="1" t="s">
        <v>254</v>
      </c>
      <c r="G1565" s="1" t="s">
        <v>4762</v>
      </c>
      <c r="H1565" s="1" t="s">
        <v>4755</v>
      </c>
      <c r="I1565" s="6" t="str">
        <f>IF(H1565="T42",1,IF(H1565="T42",3,IF(H1565="T58",6,IF(H1565="T58",10,IF(H1565="T90",14,IF(H1565="T90",18,IF(H1565="T58",22,"")))))))</f>
        <v/>
      </c>
      <c r="J1565" s="1" t="s">
        <v>1808</v>
      </c>
      <c r="K1565" s="10">
        <v>4</v>
      </c>
      <c r="L1565" s="10">
        <v>1</v>
      </c>
      <c r="N1565" s="10">
        <v>4</v>
      </c>
      <c r="O1565" s="6"/>
      <c r="P1565" s="45" t="s">
        <v>4756</v>
      </c>
      <c r="Q1565" s="42" t="s">
        <v>4787</v>
      </c>
      <c r="R1565" s="42"/>
      <c r="S1565" s="1" t="s">
        <v>254</v>
      </c>
    </row>
    <row r="1566" spans="1:19" ht="18.75" customHeight="1" x14ac:dyDescent="0.3">
      <c r="A1566" s="10">
        <v>1565</v>
      </c>
      <c r="B1566" s="10">
        <f>_xlfn.XLOOKUP(1,(VALUE(D1566)&gt;=VALUE(block!$C$3:$C$500))*(VALUE(D1566)&lt;VALUE(block!$C$3:$C$500)+VALUE(block!$D$3:$D$500)),block!$A$3:$A$500,"无匹配",0,1)</f>
        <v>43</v>
      </c>
      <c r="C1566" s="3" t="str">
        <f>B1566 &amp; "-" &amp; COUNTIF($B$2:B1566, B1566)</f>
        <v>43-2</v>
      </c>
      <c r="D1566" s="10">
        <v>12416</v>
      </c>
      <c r="E1566" s="1" t="s">
        <v>4792</v>
      </c>
      <c r="F1566" s="1" t="s">
        <v>262</v>
      </c>
      <c r="G1566" s="1" t="s">
        <v>4762</v>
      </c>
      <c r="H1566" s="1" t="s">
        <v>4755</v>
      </c>
      <c r="I1566" s="6" t="str">
        <f>IF(H1566="T43",1,IF(H1566="T43",3,IF(H1566="T59",6,IF(H1566="T59",10,IF(H1566="T91",14,IF(H1566="T91",18,IF(H1566="T59",22,"")))))))</f>
        <v/>
      </c>
      <c r="J1566" s="1" t="s">
        <v>1808</v>
      </c>
      <c r="K1566" s="10">
        <v>4</v>
      </c>
      <c r="L1566" s="10">
        <v>1</v>
      </c>
      <c r="N1566" s="10">
        <v>4</v>
      </c>
      <c r="O1566" s="6"/>
      <c r="P1566" s="45" t="s">
        <v>4756</v>
      </c>
      <c r="Q1566" s="42" t="s">
        <v>4787</v>
      </c>
      <c r="R1566" s="42"/>
      <c r="S1566" s="1" t="s">
        <v>262</v>
      </c>
    </row>
    <row r="1567" spans="1:19" ht="18.75" customHeight="1" x14ac:dyDescent="0.3">
      <c r="A1567" s="10">
        <v>1566</v>
      </c>
      <c r="B1567" s="10">
        <f>_xlfn.XLOOKUP(1,(VALUE(D1567)&gt;=VALUE(block!$C$3:$C$500))*(VALUE(D1567)&lt;VALUE(block!$C$3:$C$500)+VALUE(block!$D$3:$D$500)),block!$A$3:$A$500,"无匹配",0,1)</f>
        <v>43</v>
      </c>
      <c r="C1567" s="3" t="str">
        <f>B1567 &amp; "-" &amp; COUNTIF($B$2:B1567, B1567)</f>
        <v>43-3</v>
      </c>
      <c r="D1567" s="10">
        <v>12420</v>
      </c>
      <c r="E1567" s="1" t="s">
        <v>4793</v>
      </c>
      <c r="F1567" s="1" t="s">
        <v>270</v>
      </c>
      <c r="G1567" s="1" t="s">
        <v>4762</v>
      </c>
      <c r="H1567" s="1" t="s">
        <v>4755</v>
      </c>
      <c r="I1567" s="6" t="str">
        <f>IF(H1567="T44",1,IF(H1567="T44",3,IF(H1567="T60",6,IF(H1567="T60",10,IF(H1567="T92",14,IF(H1567="T92",18,IF(H1567="T60",22,"")))))))</f>
        <v/>
      </c>
      <c r="J1567" s="1" t="s">
        <v>1808</v>
      </c>
      <c r="K1567" s="10">
        <v>4</v>
      </c>
      <c r="L1567" s="10">
        <v>1</v>
      </c>
      <c r="N1567" s="10">
        <v>4</v>
      </c>
      <c r="O1567" s="6"/>
      <c r="P1567" s="45" t="s">
        <v>4756</v>
      </c>
      <c r="Q1567" s="42" t="s">
        <v>4787</v>
      </c>
      <c r="R1567" s="42"/>
      <c r="S1567" s="1" t="s">
        <v>270</v>
      </c>
    </row>
    <row r="1568" spans="1:19" ht="18.75" customHeight="1" x14ac:dyDescent="0.3">
      <c r="A1568" s="10">
        <v>1567</v>
      </c>
      <c r="B1568" s="10">
        <f>_xlfn.XLOOKUP(1,(VALUE(D1568)&gt;=VALUE(block!$C$3:$C$500))*(VALUE(D1568)&lt;VALUE(block!$C$3:$C$500)+VALUE(block!$D$3:$D$500)),block!$A$3:$A$500,"无匹配",0,1)</f>
        <v>43</v>
      </c>
      <c r="C1568" s="3" t="str">
        <f>B1568 &amp; "-" &amp; COUNTIF($B$2:B1568, B1568)</f>
        <v>43-4</v>
      </c>
      <c r="D1568" s="10">
        <v>12424</v>
      </c>
      <c r="E1568" s="1" t="s">
        <v>4794</v>
      </c>
      <c r="F1568" s="1" t="s">
        <v>278</v>
      </c>
      <c r="G1568" s="1" t="s">
        <v>4762</v>
      </c>
      <c r="H1568" s="1" t="s">
        <v>4755</v>
      </c>
      <c r="I1568" s="6" t="str">
        <f>IF(H1568="T45",1,IF(H1568="T45",3,IF(H1568="T61",6,IF(H1568="T61",10,IF(H1568="T93",14,IF(H1568="T93",18,IF(H1568="T61",22,"")))))))</f>
        <v/>
      </c>
      <c r="J1568" s="1" t="s">
        <v>1808</v>
      </c>
      <c r="K1568" s="10">
        <v>4</v>
      </c>
      <c r="L1568" s="10">
        <v>1</v>
      </c>
      <c r="N1568" s="10">
        <v>4</v>
      </c>
      <c r="O1568" s="6"/>
      <c r="P1568" s="45" t="s">
        <v>4756</v>
      </c>
      <c r="Q1568" s="42" t="s">
        <v>4787</v>
      </c>
      <c r="R1568" s="42"/>
      <c r="S1568" s="1" t="s">
        <v>278</v>
      </c>
    </row>
    <row r="1569" spans="1:19" ht="18.75" customHeight="1" x14ac:dyDescent="0.3">
      <c r="A1569" s="10">
        <v>1568</v>
      </c>
      <c r="B1569" s="10">
        <f>_xlfn.XLOOKUP(1,(VALUE(D1569)&gt;=VALUE(block!$C$3:$C$500))*(VALUE(D1569)&lt;VALUE(block!$C$3:$C$500)+VALUE(block!$D$3:$D$500)),block!$A$3:$A$500,"无匹配",0,1)</f>
        <v>43</v>
      </c>
      <c r="C1569" s="3" t="str">
        <f>B1569 &amp; "-" &amp; COUNTIF($B$2:B1569, B1569)</f>
        <v>43-5</v>
      </c>
      <c r="D1569" s="10">
        <v>12428</v>
      </c>
      <c r="E1569" s="1" t="s">
        <v>4795</v>
      </c>
      <c r="F1569" s="1" t="s">
        <v>282</v>
      </c>
      <c r="G1569" s="1" t="s">
        <v>4767</v>
      </c>
      <c r="H1569" s="1" t="s">
        <v>4755</v>
      </c>
      <c r="I1569" s="6" t="str">
        <f>IF(H1569="T46",1,IF(H1569="T46",3,IF(H1569="T62",6,IF(H1569="T62",10,IF(H1569="T94",14,IF(H1569="T94",18,IF(H1569="T62",22,"")))))))</f>
        <v/>
      </c>
      <c r="J1569" s="1" t="s">
        <v>1808</v>
      </c>
      <c r="K1569" s="10">
        <v>4</v>
      </c>
      <c r="L1569" s="10">
        <v>1</v>
      </c>
      <c r="N1569" s="10">
        <v>4</v>
      </c>
      <c r="O1569" s="6"/>
      <c r="P1569" s="45" t="s">
        <v>4756</v>
      </c>
      <c r="Q1569" s="42" t="s">
        <v>4787</v>
      </c>
      <c r="R1569" s="42"/>
      <c r="S1569" s="1" t="s">
        <v>282</v>
      </c>
    </row>
    <row r="1570" spans="1:19" ht="18.75" customHeight="1" x14ac:dyDescent="0.3">
      <c r="A1570" s="10">
        <v>1569</v>
      </c>
      <c r="B1570" s="10">
        <f>_xlfn.XLOOKUP(1,(VALUE(D1570)&gt;=VALUE(block!$C$3:$C$500))*(VALUE(D1570)&lt;VALUE(block!$C$3:$C$500)+VALUE(block!$D$3:$D$500)),block!$A$3:$A$500,"无匹配",0,1)</f>
        <v>43</v>
      </c>
      <c r="C1570" s="3" t="str">
        <f>B1570 &amp; "-" &amp; COUNTIF($B$2:B1570, B1570)</f>
        <v>43-6</v>
      </c>
      <c r="D1570" s="10">
        <v>12432</v>
      </c>
      <c r="E1570" s="1" t="s">
        <v>4796</v>
      </c>
      <c r="F1570" s="1" t="s">
        <v>4797</v>
      </c>
      <c r="G1570" s="1" t="s">
        <v>4754</v>
      </c>
      <c r="H1570" s="1" t="s">
        <v>4755</v>
      </c>
      <c r="I1570" s="6" t="str">
        <f>IF(H1570="T47",1,IF(H1570="T47",3,IF(H1570="T63",6,IF(H1570="T63",10,IF(H1570="T95",14,IF(H1570="T95",18,IF(H1570="T63",22,"")))))))</f>
        <v/>
      </c>
      <c r="J1570" s="1" t="s">
        <v>1808</v>
      </c>
      <c r="K1570" s="10">
        <v>4</v>
      </c>
      <c r="L1570" s="10">
        <v>1</v>
      </c>
      <c r="N1570" s="10">
        <v>4</v>
      </c>
      <c r="O1570" s="6"/>
      <c r="P1570" s="45" t="s">
        <v>4756</v>
      </c>
      <c r="Q1570" s="42" t="s">
        <v>4798</v>
      </c>
      <c r="R1570" s="42"/>
      <c r="S1570" s="1" t="s">
        <v>4797</v>
      </c>
    </row>
    <row r="1571" spans="1:19" ht="18.75" customHeight="1" x14ac:dyDescent="0.3">
      <c r="A1571" s="10">
        <v>1570</v>
      </c>
      <c r="B1571" s="10">
        <f>_xlfn.XLOOKUP(1,(VALUE(D1571)&gt;=VALUE(block!$C$3:$C$500))*(VALUE(D1571)&lt;VALUE(block!$C$3:$C$500)+VALUE(block!$D$3:$D$500)),block!$A$3:$A$500,"无匹配",0,1)</f>
        <v>43</v>
      </c>
      <c r="C1571" s="3" t="str">
        <f>B1571 &amp; "-" &amp; COUNTIF($B$2:B1571, B1571)</f>
        <v>43-7</v>
      </c>
      <c r="D1571" s="10">
        <v>12436</v>
      </c>
      <c r="E1571" s="1" t="s">
        <v>4799</v>
      </c>
      <c r="F1571" s="1" t="s">
        <v>4800</v>
      </c>
      <c r="G1571" s="1" t="s">
        <v>4754</v>
      </c>
      <c r="H1571" s="1" t="s">
        <v>4755</v>
      </c>
      <c r="I1571" s="6" t="str">
        <f>IF(H1571="T48",1,IF(H1571="T48",3,IF(H1571="T64",6,IF(H1571="T64",10,IF(H1571="T96",14,IF(H1571="T96",18,IF(H1571="T64",22,"")))))))</f>
        <v/>
      </c>
      <c r="J1571" s="1" t="s">
        <v>1808</v>
      </c>
      <c r="K1571" s="10">
        <v>4</v>
      </c>
      <c r="L1571" s="10">
        <v>1</v>
      </c>
      <c r="N1571" s="10">
        <v>4</v>
      </c>
      <c r="O1571" s="6"/>
      <c r="P1571" s="45" t="s">
        <v>4756</v>
      </c>
      <c r="Q1571" s="42" t="s">
        <v>4798</v>
      </c>
      <c r="R1571" s="42"/>
      <c r="S1571" s="1" t="s">
        <v>4800</v>
      </c>
    </row>
    <row r="1572" spans="1:19" ht="18.75" customHeight="1" x14ac:dyDescent="0.3">
      <c r="A1572" s="10">
        <v>1571</v>
      </c>
      <c r="B1572" s="10">
        <f>_xlfn.XLOOKUP(1,(VALUE(D1572)&gt;=VALUE(block!$C$3:$C$500))*(VALUE(D1572)&lt;VALUE(block!$C$3:$C$500)+VALUE(block!$D$3:$D$500)),block!$A$3:$A$500,"无匹配",0,1)</f>
        <v>43</v>
      </c>
      <c r="C1572" s="3" t="str">
        <f>B1572 &amp; "-" &amp; COUNTIF($B$2:B1572, B1572)</f>
        <v>43-8</v>
      </c>
      <c r="D1572" s="10">
        <v>12440</v>
      </c>
      <c r="E1572" s="1" t="s">
        <v>4801</v>
      </c>
      <c r="F1572" s="1" t="s">
        <v>4802</v>
      </c>
      <c r="G1572" s="1" t="s">
        <v>4754</v>
      </c>
      <c r="H1572" s="1" t="s">
        <v>4755</v>
      </c>
      <c r="I1572" s="6" t="str">
        <f>IF(H1572="T49",1,IF(H1572="T49",3,IF(H1572="T65",6,IF(H1572="T65",10,IF(H1572="T97",14,IF(H1572="T97",18,IF(H1572="T65",22,"")))))))</f>
        <v/>
      </c>
      <c r="J1572" s="1" t="s">
        <v>1808</v>
      </c>
      <c r="K1572" s="10">
        <v>4</v>
      </c>
      <c r="L1572" s="10">
        <v>1</v>
      </c>
      <c r="N1572" s="10">
        <v>4</v>
      </c>
      <c r="O1572" s="6"/>
      <c r="P1572" s="45" t="s">
        <v>4756</v>
      </c>
      <c r="Q1572" s="42" t="s">
        <v>4798</v>
      </c>
      <c r="R1572" s="42"/>
      <c r="S1572" s="1" t="s">
        <v>4802</v>
      </c>
    </row>
    <row r="1573" spans="1:19" ht="18.75" customHeight="1" x14ac:dyDescent="0.3">
      <c r="A1573" s="10">
        <v>1572</v>
      </c>
      <c r="B1573" s="10">
        <f>_xlfn.XLOOKUP(1,(VALUE(D1573)&gt;=VALUE(block!$C$3:$C$500))*(VALUE(D1573)&lt;VALUE(block!$C$3:$C$500)+VALUE(block!$D$3:$D$500)),block!$A$3:$A$500,"无匹配",0,1)</f>
        <v>43</v>
      </c>
      <c r="C1573" s="3" t="str">
        <f>B1573 &amp; "-" &amp; COUNTIF($B$2:B1573, B1573)</f>
        <v>43-9</v>
      </c>
      <c r="D1573" s="10">
        <v>12444</v>
      </c>
      <c r="E1573" s="1" t="s">
        <v>4803</v>
      </c>
      <c r="F1573" s="1" t="s">
        <v>4804</v>
      </c>
      <c r="G1573" s="1" t="s">
        <v>4754</v>
      </c>
      <c r="H1573" s="1" t="s">
        <v>4755</v>
      </c>
      <c r="I1573" s="6" t="str">
        <f>IF(H1573="T50",1,IF(H1573="T50",3,IF(H1573="T66",6,IF(H1573="T66",10,IF(H1573="T98",14,IF(H1573="T98",18,IF(H1573="T66",22,"")))))))</f>
        <v/>
      </c>
      <c r="J1573" s="1" t="s">
        <v>1808</v>
      </c>
      <c r="K1573" s="10">
        <v>4</v>
      </c>
      <c r="L1573" s="10">
        <v>1</v>
      </c>
      <c r="N1573" s="10">
        <v>4</v>
      </c>
      <c r="O1573" s="6"/>
      <c r="P1573" s="45" t="s">
        <v>4756</v>
      </c>
      <c r="Q1573" s="42" t="s">
        <v>4798</v>
      </c>
      <c r="R1573" s="42"/>
      <c r="S1573" s="1" t="s">
        <v>4804</v>
      </c>
    </row>
    <row r="1574" spans="1:19" ht="18.75" customHeight="1" x14ac:dyDescent="0.3">
      <c r="A1574" s="10">
        <v>1573</v>
      </c>
      <c r="B1574" s="10">
        <f>_xlfn.XLOOKUP(1,(VALUE(D1574)&gt;=VALUE(block!$C$3:$C$500))*(VALUE(D1574)&lt;VALUE(block!$C$3:$C$500)+VALUE(block!$D$3:$D$500)),block!$A$3:$A$500,"无匹配",0,1)</f>
        <v>43</v>
      </c>
      <c r="C1574" s="3" t="str">
        <f>B1574 &amp; "-" &amp; COUNTIF($B$2:B1574, B1574)</f>
        <v>43-10</v>
      </c>
      <c r="D1574" s="10">
        <v>12448</v>
      </c>
      <c r="E1574" s="1" t="s">
        <v>4805</v>
      </c>
      <c r="F1574" s="1" t="s">
        <v>4806</v>
      </c>
      <c r="G1574" s="1" t="s">
        <v>4762</v>
      </c>
      <c r="H1574" s="1" t="s">
        <v>4755</v>
      </c>
      <c r="I1574" s="6" t="str">
        <f>IF(H1574="T51",1,IF(H1574="T51",3,IF(H1574="T67",6,IF(H1574="T67",10,IF(H1574="T99",14,IF(H1574="T99",18,IF(H1574="T67",22,"")))))))</f>
        <v/>
      </c>
      <c r="J1574" s="1" t="s">
        <v>1808</v>
      </c>
      <c r="K1574" s="10">
        <v>4</v>
      </c>
      <c r="L1574" s="10">
        <v>1</v>
      </c>
      <c r="N1574" s="10">
        <v>4</v>
      </c>
      <c r="O1574" s="6"/>
      <c r="P1574" s="45" t="s">
        <v>4756</v>
      </c>
      <c r="Q1574" s="42" t="s">
        <v>4798</v>
      </c>
      <c r="R1574" s="42"/>
      <c r="S1574" s="1" t="s">
        <v>4806</v>
      </c>
    </row>
    <row r="1575" spans="1:19" ht="18.75" customHeight="1" x14ac:dyDescent="0.3">
      <c r="A1575" s="10">
        <v>1574</v>
      </c>
      <c r="B1575" s="10">
        <f>_xlfn.XLOOKUP(1,(VALUE(D1575)&gt;=VALUE(block!$C$3:$C$500))*(VALUE(D1575)&lt;VALUE(block!$C$3:$C$500)+VALUE(block!$D$3:$D$500)),block!$A$3:$A$500,"无匹配",0,1)</f>
        <v>43</v>
      </c>
      <c r="C1575" s="3" t="str">
        <f>B1575 &amp; "-" &amp; COUNTIF($B$2:B1575, B1575)</f>
        <v>43-11</v>
      </c>
      <c r="D1575" s="10">
        <v>12452</v>
      </c>
      <c r="E1575" s="1" t="s">
        <v>4807</v>
      </c>
      <c r="F1575" s="1" t="s">
        <v>4808</v>
      </c>
      <c r="G1575" s="1" t="s">
        <v>4762</v>
      </c>
      <c r="H1575" s="1" t="s">
        <v>4755</v>
      </c>
      <c r="I1575" s="6" t="str">
        <f>IF(H1575="T52",1,IF(H1575="T52",3,IF(H1575="T68",6,IF(H1575="T68",10,IF(H1575="T100",14,IF(H1575="T100",18,IF(H1575="T68",22,"")))))))</f>
        <v/>
      </c>
      <c r="J1575" s="1" t="s">
        <v>1808</v>
      </c>
      <c r="K1575" s="10">
        <v>4</v>
      </c>
      <c r="L1575" s="10">
        <v>1</v>
      </c>
      <c r="N1575" s="10">
        <v>4</v>
      </c>
      <c r="O1575" s="6"/>
      <c r="P1575" s="45" t="s">
        <v>4756</v>
      </c>
      <c r="Q1575" s="42" t="s">
        <v>4798</v>
      </c>
      <c r="R1575" s="42"/>
      <c r="S1575" s="1" t="s">
        <v>4808</v>
      </c>
    </row>
    <row r="1576" spans="1:19" ht="18.75" customHeight="1" x14ac:dyDescent="0.3">
      <c r="A1576" s="10">
        <v>1575</v>
      </c>
      <c r="B1576" s="10">
        <f>_xlfn.XLOOKUP(1,(VALUE(D1576)&gt;=VALUE(block!$C$3:$C$500))*(VALUE(D1576)&lt;VALUE(block!$C$3:$C$500)+VALUE(block!$D$3:$D$500)),block!$A$3:$A$500,"无匹配",0,1)</f>
        <v>43</v>
      </c>
      <c r="C1576" s="3" t="str">
        <f>B1576 &amp; "-" &amp; COUNTIF($B$2:B1576, B1576)</f>
        <v>43-12</v>
      </c>
      <c r="D1576" s="10">
        <v>12456</v>
      </c>
      <c r="E1576" s="1" t="s">
        <v>4809</v>
      </c>
      <c r="F1576" s="1" t="s">
        <v>4810</v>
      </c>
      <c r="G1576" s="1" t="s">
        <v>4762</v>
      </c>
      <c r="H1576" s="1" t="s">
        <v>4755</v>
      </c>
      <c r="I1576" s="6" t="str">
        <f>IF(H1576="T53",1,IF(H1576="T53",3,IF(H1576="T69",6,IF(H1576="T69",10,IF(H1576="T101",14,IF(H1576="T101",18,IF(H1576="T69",22,"")))))))</f>
        <v/>
      </c>
      <c r="J1576" s="1" t="s">
        <v>1808</v>
      </c>
      <c r="K1576" s="10">
        <v>4</v>
      </c>
      <c r="L1576" s="10">
        <v>1</v>
      </c>
      <c r="N1576" s="10">
        <v>4</v>
      </c>
      <c r="O1576" s="6"/>
      <c r="P1576" s="45" t="s">
        <v>4756</v>
      </c>
      <c r="Q1576" s="42" t="s">
        <v>4798</v>
      </c>
      <c r="R1576" s="42"/>
      <c r="S1576" s="1" t="s">
        <v>4810</v>
      </c>
    </row>
    <row r="1577" spans="1:19" ht="18.75" customHeight="1" x14ac:dyDescent="0.3">
      <c r="A1577" s="10">
        <v>1576</v>
      </c>
      <c r="B1577" s="10">
        <f>_xlfn.XLOOKUP(1,(VALUE(D1577)&gt;=VALUE(block!$C$3:$C$500))*(VALUE(D1577)&lt;VALUE(block!$C$3:$C$500)+VALUE(block!$D$3:$D$500)),block!$A$3:$A$500,"无匹配",0,1)</f>
        <v>43</v>
      </c>
      <c r="C1577" s="3" t="str">
        <f>B1577 &amp; "-" &amp; COUNTIF($B$2:B1577, B1577)</f>
        <v>43-13</v>
      </c>
      <c r="D1577" s="10">
        <v>12460</v>
      </c>
      <c r="E1577" s="1" t="s">
        <v>4811</v>
      </c>
      <c r="F1577" s="1" t="s">
        <v>4812</v>
      </c>
      <c r="G1577" s="1" t="s">
        <v>4762</v>
      </c>
      <c r="H1577" s="1" t="s">
        <v>4755</v>
      </c>
      <c r="I1577" s="6" t="str">
        <f>IF(H1577="T54",1,IF(H1577="T54",3,IF(H1577="T70",6,IF(H1577="T70",10,IF(H1577="T102",14,IF(H1577="T102",18,IF(H1577="T70",22,"")))))))</f>
        <v/>
      </c>
      <c r="J1577" s="1" t="s">
        <v>1808</v>
      </c>
      <c r="K1577" s="10">
        <v>4</v>
      </c>
      <c r="L1577" s="10">
        <v>1</v>
      </c>
      <c r="N1577" s="10">
        <v>4</v>
      </c>
      <c r="O1577" s="6"/>
      <c r="P1577" s="45" t="s">
        <v>4756</v>
      </c>
      <c r="Q1577" s="42" t="s">
        <v>4798</v>
      </c>
      <c r="R1577" s="42"/>
      <c r="S1577" s="1" t="s">
        <v>4812</v>
      </c>
    </row>
    <row r="1578" spans="1:19" ht="18.75" customHeight="1" x14ac:dyDescent="0.3">
      <c r="A1578" s="10">
        <v>1577</v>
      </c>
      <c r="B1578" s="10">
        <f>_xlfn.XLOOKUP(1,(VALUE(D1578)&gt;=VALUE(block!$C$3:$C$500))*(VALUE(D1578)&lt;VALUE(block!$C$3:$C$500)+VALUE(block!$D$3:$D$500)),block!$A$3:$A$500,"无匹配",0,1)</f>
        <v>43</v>
      </c>
      <c r="C1578" s="3" t="str">
        <f>B1578 &amp; "-" &amp; COUNTIF($B$2:B1578, B1578)</f>
        <v>43-14</v>
      </c>
      <c r="D1578" s="10">
        <v>12464</v>
      </c>
      <c r="E1578" s="1" t="s">
        <v>4813</v>
      </c>
      <c r="F1578" s="1" t="s">
        <v>4814</v>
      </c>
      <c r="G1578" s="1" t="s">
        <v>4767</v>
      </c>
      <c r="H1578" s="1" t="s">
        <v>4755</v>
      </c>
      <c r="I1578" s="6" t="str">
        <f>IF(H1578="T55",1,IF(H1578="T55",3,IF(H1578="T71",6,IF(H1578="T71",10,IF(H1578="T103",14,IF(H1578="T103",18,IF(H1578="T71",22,"")))))))</f>
        <v/>
      </c>
      <c r="J1578" s="1" t="s">
        <v>1808</v>
      </c>
      <c r="K1578" s="10">
        <v>4</v>
      </c>
      <c r="L1578" s="10">
        <v>1</v>
      </c>
      <c r="N1578" s="10">
        <v>4</v>
      </c>
      <c r="O1578" s="6"/>
      <c r="P1578" s="45" t="s">
        <v>4756</v>
      </c>
      <c r="Q1578" s="42" t="s">
        <v>4798</v>
      </c>
      <c r="R1578" s="42"/>
      <c r="S1578" s="1" t="s">
        <v>4814</v>
      </c>
    </row>
    <row r="1579" spans="1:19" ht="18.75" customHeight="1" x14ac:dyDescent="0.3">
      <c r="A1579" s="10">
        <v>1578</v>
      </c>
      <c r="B1579" s="10">
        <f>_xlfn.XLOOKUP(1,(VALUE(D1579)&gt;=VALUE(block!$C$3:$C$500))*(VALUE(D1579)&lt;VALUE(block!$C$3:$C$500)+VALUE(block!$D$3:$D$500)),block!$A$3:$A$500,"无匹配",0,1)</f>
        <v>43</v>
      </c>
      <c r="C1579" s="3" t="str">
        <f>B1579 &amp; "-" &amp; COUNTIF($B$2:B1579, B1579)</f>
        <v>43-15</v>
      </c>
      <c r="D1579" s="10">
        <v>12468</v>
      </c>
      <c r="E1579" s="1" t="s">
        <v>4815</v>
      </c>
      <c r="F1579" s="1" t="s">
        <v>4816</v>
      </c>
      <c r="G1579" s="1" t="s">
        <v>4754</v>
      </c>
      <c r="H1579" s="1" t="s">
        <v>4755</v>
      </c>
      <c r="I1579" s="6" t="str">
        <f>IF(H1579="T56",1,IF(H1579="T56",3,IF(H1579="T72",6,IF(H1579="T72",10,IF(H1579="T104",14,IF(H1579="T104",18,IF(H1579="T72",22,"")))))))</f>
        <v/>
      </c>
      <c r="J1579" s="1" t="s">
        <v>1808</v>
      </c>
      <c r="K1579" s="10">
        <v>4</v>
      </c>
      <c r="L1579" s="10">
        <v>1</v>
      </c>
      <c r="N1579" s="10">
        <v>4</v>
      </c>
      <c r="O1579" s="6"/>
      <c r="P1579" s="45" t="s">
        <v>4756</v>
      </c>
      <c r="Q1579" s="42" t="s">
        <v>4798</v>
      </c>
      <c r="R1579" s="42"/>
      <c r="S1579" s="1" t="s">
        <v>4816</v>
      </c>
    </row>
    <row r="1580" spans="1:19" ht="18.75" customHeight="1" x14ac:dyDescent="0.3">
      <c r="A1580" s="10">
        <v>1579</v>
      </c>
      <c r="B1580" s="10">
        <f>_xlfn.XLOOKUP(1,(VALUE(D1580)&gt;=VALUE(block!$C$3:$C$500))*(VALUE(D1580)&lt;VALUE(block!$C$3:$C$500)+VALUE(block!$D$3:$D$500)),block!$A$3:$A$500,"无匹配",0,1)</f>
        <v>43</v>
      </c>
      <c r="C1580" s="3" t="str">
        <f>B1580 &amp; "-" &amp; COUNTIF($B$2:B1580, B1580)</f>
        <v>43-16</v>
      </c>
      <c r="D1580" s="10">
        <v>12472</v>
      </c>
      <c r="E1580" s="1" t="s">
        <v>4817</v>
      </c>
      <c r="F1580" s="1" t="s">
        <v>4818</v>
      </c>
      <c r="G1580" s="1" t="s">
        <v>4754</v>
      </c>
      <c r="H1580" s="1" t="s">
        <v>4755</v>
      </c>
      <c r="I1580" s="6" t="str">
        <f>IF(H1580="T57",1,IF(H1580="T57",3,IF(H1580="T73",6,IF(H1580="T73",10,IF(H1580="T105",14,IF(H1580="T105",18,IF(H1580="T73",22,"")))))))</f>
        <v/>
      </c>
      <c r="J1580" s="1" t="s">
        <v>1808</v>
      </c>
      <c r="K1580" s="10">
        <v>4</v>
      </c>
      <c r="L1580" s="10">
        <v>1</v>
      </c>
      <c r="N1580" s="10">
        <v>4</v>
      </c>
      <c r="O1580" s="6"/>
      <c r="P1580" s="45" t="s">
        <v>4756</v>
      </c>
      <c r="Q1580" s="42" t="s">
        <v>4798</v>
      </c>
      <c r="R1580" s="42"/>
      <c r="S1580" s="1" t="s">
        <v>4818</v>
      </c>
    </row>
    <row r="1581" spans="1:19" ht="18.75" customHeight="1" x14ac:dyDescent="0.3">
      <c r="A1581" s="10">
        <v>1580</v>
      </c>
      <c r="B1581" s="10">
        <f>_xlfn.XLOOKUP(1,(VALUE(D1581)&gt;=VALUE(block!$C$3:$C$500))*(VALUE(D1581)&lt;VALUE(block!$C$3:$C$500)+VALUE(block!$D$3:$D$500)),block!$A$3:$A$500,"无匹配",0,1)</f>
        <v>43</v>
      </c>
      <c r="C1581" s="3" t="str">
        <f>B1581 &amp; "-" &amp; COUNTIF($B$2:B1581, B1581)</f>
        <v>43-17</v>
      </c>
      <c r="D1581" s="10">
        <v>12476</v>
      </c>
      <c r="E1581" s="1" t="s">
        <v>4819</v>
      </c>
      <c r="F1581" s="1" t="s">
        <v>4820</v>
      </c>
      <c r="G1581" s="1" t="s">
        <v>4754</v>
      </c>
      <c r="H1581" s="1" t="s">
        <v>4755</v>
      </c>
      <c r="I1581" s="6" t="str">
        <f>IF(H1581="T58",1,IF(H1581="T58",3,IF(H1581="T74",6,IF(H1581="T74",10,IF(H1581="T106",14,IF(H1581="T106",18,IF(H1581="T74",22,"")))))))</f>
        <v/>
      </c>
      <c r="J1581" s="1" t="s">
        <v>1808</v>
      </c>
      <c r="K1581" s="10">
        <v>4</v>
      </c>
      <c r="L1581" s="10">
        <v>1</v>
      </c>
      <c r="N1581" s="10">
        <v>4</v>
      </c>
      <c r="O1581" s="6"/>
      <c r="P1581" s="45" t="s">
        <v>4756</v>
      </c>
      <c r="Q1581" s="42" t="s">
        <v>4798</v>
      </c>
      <c r="R1581" s="42"/>
      <c r="S1581" s="1" t="s">
        <v>4820</v>
      </c>
    </row>
    <row r="1582" spans="1:19" ht="18.75" customHeight="1" x14ac:dyDescent="0.3">
      <c r="A1582" s="10">
        <v>1581</v>
      </c>
      <c r="B1582" s="10">
        <f>_xlfn.XLOOKUP(1,(VALUE(D1582)&gt;=VALUE(block!$C$3:$C$500))*(VALUE(D1582)&lt;VALUE(block!$C$3:$C$500)+VALUE(block!$D$3:$D$500)),block!$A$3:$A$500,"无匹配",0,1)</f>
        <v>43</v>
      </c>
      <c r="C1582" s="3" t="str">
        <f>B1582 &amp; "-" &amp; COUNTIF($B$2:B1582, B1582)</f>
        <v>43-18</v>
      </c>
      <c r="D1582" s="10">
        <v>12480</v>
      </c>
      <c r="E1582" s="1" t="s">
        <v>4821</v>
      </c>
      <c r="F1582" s="1" t="s">
        <v>4822</v>
      </c>
      <c r="G1582" s="1" t="s">
        <v>4754</v>
      </c>
      <c r="H1582" s="1" t="s">
        <v>4755</v>
      </c>
      <c r="I1582" s="6" t="str">
        <f>IF(H1582="T59",1,IF(H1582="T59",3,IF(H1582="T75",6,IF(H1582="T75",10,IF(H1582="T107",14,IF(H1582="T107",18,IF(H1582="T75",22,"")))))))</f>
        <v/>
      </c>
      <c r="J1582" s="1" t="s">
        <v>1808</v>
      </c>
      <c r="K1582" s="10">
        <v>4</v>
      </c>
      <c r="L1582" s="10">
        <v>1</v>
      </c>
      <c r="N1582" s="10">
        <v>4</v>
      </c>
      <c r="O1582" s="6"/>
      <c r="P1582" s="45" t="s">
        <v>4756</v>
      </c>
      <c r="Q1582" s="42" t="s">
        <v>4798</v>
      </c>
      <c r="R1582" s="42"/>
      <c r="S1582" s="1" t="s">
        <v>4822</v>
      </c>
    </row>
    <row r="1583" spans="1:19" ht="18.75" customHeight="1" x14ac:dyDescent="0.3">
      <c r="A1583" s="10">
        <v>1582</v>
      </c>
      <c r="B1583" s="10">
        <f>_xlfn.XLOOKUP(1,(VALUE(D1583)&gt;=VALUE(block!$C$3:$C$500))*(VALUE(D1583)&lt;VALUE(block!$C$3:$C$500)+VALUE(block!$D$3:$D$500)),block!$A$3:$A$500,"无匹配",0,1)</f>
        <v>43</v>
      </c>
      <c r="C1583" s="3" t="str">
        <f>B1583 &amp; "-" &amp; COUNTIF($B$2:B1583, B1583)</f>
        <v>43-19</v>
      </c>
      <c r="D1583" s="10">
        <v>12484</v>
      </c>
      <c r="E1583" s="1" t="s">
        <v>4823</v>
      </c>
      <c r="F1583" s="1" t="s">
        <v>4824</v>
      </c>
      <c r="G1583" s="1" t="s">
        <v>4762</v>
      </c>
      <c r="H1583" s="1" t="s">
        <v>4755</v>
      </c>
      <c r="I1583" s="6" t="str">
        <f>IF(H1583="T60",1,IF(H1583="T60",3,IF(H1583="T76",6,IF(H1583="T76",10,IF(H1583="T108",14,IF(H1583="T108",18,IF(H1583="T76",22,"")))))))</f>
        <v/>
      </c>
      <c r="J1583" s="1" t="s">
        <v>1808</v>
      </c>
      <c r="K1583" s="10">
        <v>4</v>
      </c>
      <c r="L1583" s="10">
        <v>1</v>
      </c>
      <c r="N1583" s="10">
        <v>4</v>
      </c>
      <c r="O1583" s="6"/>
      <c r="P1583" s="45" t="s">
        <v>4756</v>
      </c>
      <c r="Q1583" s="42" t="s">
        <v>4798</v>
      </c>
      <c r="R1583" s="42"/>
      <c r="S1583" s="1" t="s">
        <v>4824</v>
      </c>
    </row>
    <row r="1584" spans="1:19" ht="18.75" customHeight="1" x14ac:dyDescent="0.3">
      <c r="A1584" s="10">
        <v>1583</v>
      </c>
      <c r="B1584" s="10">
        <f>_xlfn.XLOOKUP(1,(VALUE(D1584)&gt;=VALUE(block!$C$3:$C$500))*(VALUE(D1584)&lt;VALUE(block!$C$3:$C$500)+VALUE(block!$D$3:$D$500)),block!$A$3:$A$500,"无匹配",0,1)</f>
        <v>43</v>
      </c>
      <c r="C1584" s="3" t="str">
        <f>B1584 &amp; "-" &amp; COUNTIF($B$2:B1584, B1584)</f>
        <v>43-20</v>
      </c>
      <c r="D1584" s="10">
        <v>12488</v>
      </c>
      <c r="E1584" s="1" t="s">
        <v>4825</v>
      </c>
      <c r="F1584" s="1" t="s">
        <v>4826</v>
      </c>
      <c r="G1584" s="1" t="s">
        <v>4762</v>
      </c>
      <c r="H1584" s="1" t="s">
        <v>4755</v>
      </c>
      <c r="I1584" s="6" t="str">
        <f>IF(H1584="T61",1,IF(H1584="T61",3,IF(H1584="T77",6,IF(H1584="T77",10,IF(H1584="T109",14,IF(H1584="T109",18,IF(H1584="T77",22,"")))))))</f>
        <v/>
      </c>
      <c r="J1584" s="1" t="s">
        <v>1808</v>
      </c>
      <c r="K1584" s="10">
        <v>4</v>
      </c>
      <c r="L1584" s="10">
        <v>1</v>
      </c>
      <c r="N1584" s="10">
        <v>4</v>
      </c>
      <c r="O1584" s="6"/>
      <c r="P1584" s="45" t="s">
        <v>4756</v>
      </c>
      <c r="Q1584" s="42" t="s">
        <v>4798</v>
      </c>
      <c r="R1584" s="42"/>
      <c r="S1584" s="1" t="s">
        <v>4826</v>
      </c>
    </row>
    <row r="1585" spans="1:19" ht="18.75" customHeight="1" x14ac:dyDescent="0.3">
      <c r="A1585" s="10">
        <v>1584</v>
      </c>
      <c r="B1585" s="10">
        <f>_xlfn.XLOOKUP(1,(VALUE(D1585)&gt;=VALUE(block!$C$3:$C$500))*(VALUE(D1585)&lt;VALUE(block!$C$3:$C$500)+VALUE(block!$D$3:$D$500)),block!$A$3:$A$500,"无匹配",0,1)</f>
        <v>43</v>
      </c>
      <c r="C1585" s="3" t="str">
        <f>B1585 &amp; "-" &amp; COUNTIF($B$2:B1585, B1585)</f>
        <v>43-21</v>
      </c>
      <c r="D1585" s="10">
        <v>12492</v>
      </c>
      <c r="E1585" s="1" t="s">
        <v>4827</v>
      </c>
      <c r="F1585" s="1" t="s">
        <v>4828</v>
      </c>
      <c r="G1585" s="1" t="s">
        <v>4762</v>
      </c>
      <c r="H1585" s="1" t="s">
        <v>4755</v>
      </c>
      <c r="I1585" s="6" t="str">
        <f>IF(H1585="T62",1,IF(H1585="T62",3,IF(H1585="T78",6,IF(H1585="T78",10,IF(H1585="T110",14,IF(H1585="T110",18,IF(H1585="T78",22,"")))))))</f>
        <v/>
      </c>
      <c r="J1585" s="1" t="s">
        <v>1808</v>
      </c>
      <c r="K1585" s="10">
        <v>4</v>
      </c>
      <c r="L1585" s="10">
        <v>1</v>
      </c>
      <c r="N1585" s="10">
        <v>4</v>
      </c>
      <c r="O1585" s="6"/>
      <c r="P1585" s="45" t="s">
        <v>4756</v>
      </c>
      <c r="Q1585" s="42" t="s">
        <v>4798</v>
      </c>
      <c r="R1585" s="42"/>
      <c r="S1585" s="1" t="s">
        <v>4828</v>
      </c>
    </row>
    <row r="1586" spans="1:19" ht="18.75" customHeight="1" x14ac:dyDescent="0.3">
      <c r="A1586" s="10">
        <v>1585</v>
      </c>
      <c r="B1586" s="10">
        <f>_xlfn.XLOOKUP(1,(VALUE(D1586)&gt;=VALUE(block!$C$3:$C$500))*(VALUE(D1586)&lt;VALUE(block!$C$3:$C$500)+VALUE(block!$D$3:$D$500)),block!$A$3:$A$500,"无匹配",0,1)</f>
        <v>43</v>
      </c>
      <c r="C1586" s="3" t="str">
        <f>B1586 &amp; "-" &amp; COUNTIF($B$2:B1586, B1586)</f>
        <v>43-22</v>
      </c>
      <c r="D1586" s="10">
        <v>12496</v>
      </c>
      <c r="E1586" s="1" t="s">
        <v>4829</v>
      </c>
      <c r="F1586" s="1" t="s">
        <v>4830</v>
      </c>
      <c r="G1586" s="1" t="s">
        <v>4762</v>
      </c>
      <c r="H1586" s="1" t="s">
        <v>4755</v>
      </c>
      <c r="I1586" s="6" t="str">
        <f>IF(H1586="T63",1,IF(H1586="T63",3,IF(H1586="T79",6,IF(H1586="T79",10,IF(H1586="T111",14,IF(H1586="T111",18,IF(H1586="T79",22,"")))))))</f>
        <v/>
      </c>
      <c r="J1586" s="1" t="s">
        <v>1808</v>
      </c>
      <c r="K1586" s="10">
        <v>4</v>
      </c>
      <c r="L1586" s="10">
        <v>1</v>
      </c>
      <c r="N1586" s="10">
        <v>4</v>
      </c>
      <c r="O1586" s="6"/>
      <c r="P1586" s="45" t="s">
        <v>4756</v>
      </c>
      <c r="Q1586" s="42" t="s">
        <v>4798</v>
      </c>
      <c r="R1586" s="42"/>
      <c r="S1586" s="1" t="s">
        <v>4830</v>
      </c>
    </row>
    <row r="1587" spans="1:19" ht="18.75" customHeight="1" x14ac:dyDescent="0.3">
      <c r="A1587" s="10">
        <v>1586</v>
      </c>
      <c r="B1587" s="10">
        <f>_xlfn.XLOOKUP(1,(VALUE(D1587)&gt;=VALUE(block!$C$3:$C$500))*(VALUE(D1587)&lt;VALUE(block!$C$3:$C$500)+VALUE(block!$D$3:$D$500)),block!$A$3:$A$500,"无匹配",0,1)</f>
        <v>43</v>
      </c>
      <c r="C1587" s="3" t="str">
        <f>B1587 &amp; "-" &amp; COUNTIF($B$2:B1587, B1587)</f>
        <v>43-23</v>
      </c>
      <c r="D1587" s="10">
        <v>12500</v>
      </c>
      <c r="E1587" s="1" t="s">
        <v>4831</v>
      </c>
      <c r="F1587" s="1" t="s">
        <v>4832</v>
      </c>
      <c r="G1587" s="1" t="s">
        <v>4767</v>
      </c>
      <c r="H1587" s="1" t="s">
        <v>4755</v>
      </c>
      <c r="I1587" s="6" t="str">
        <f>IF(H1587="T64",1,IF(H1587="T64",3,IF(H1587="T80",6,IF(H1587="T80",10,IF(H1587="T112",14,IF(H1587="T112",18,IF(H1587="T80",22,"")))))))</f>
        <v/>
      </c>
      <c r="J1587" s="1" t="s">
        <v>1808</v>
      </c>
      <c r="K1587" s="10">
        <v>4</v>
      </c>
      <c r="L1587" s="10">
        <v>1</v>
      </c>
      <c r="N1587" s="10">
        <v>4</v>
      </c>
      <c r="O1587" s="6"/>
      <c r="P1587" s="45" t="s">
        <v>4756</v>
      </c>
      <c r="Q1587" s="42" t="s">
        <v>4798</v>
      </c>
      <c r="R1587" s="42"/>
      <c r="S1587" s="1" t="s">
        <v>4832</v>
      </c>
    </row>
    <row r="1588" spans="1:19" ht="18.75" customHeight="1" x14ac:dyDescent="0.3">
      <c r="A1588" s="10">
        <v>1587</v>
      </c>
      <c r="B1588" s="10">
        <f>_xlfn.XLOOKUP(1,(VALUE(D1588)&gt;=VALUE(block!$C$3:$C$500))*(VALUE(D1588)&lt;VALUE(block!$C$3:$C$500)+VALUE(block!$D$3:$D$500)),block!$A$3:$A$500,"无匹配",0,1)</f>
        <v>43</v>
      </c>
      <c r="C1588" s="3" t="str">
        <f>B1588 &amp; "-" &amp; COUNTIF($B$2:B1588, B1588)</f>
        <v>43-24</v>
      </c>
      <c r="D1588" s="10">
        <v>12504</v>
      </c>
      <c r="E1588" s="1" t="s">
        <v>4833</v>
      </c>
      <c r="F1588" s="1" t="s">
        <v>4834</v>
      </c>
      <c r="G1588" s="1" t="s">
        <v>4754</v>
      </c>
      <c r="H1588" s="1" t="s">
        <v>4755</v>
      </c>
      <c r="I1588" s="6" t="str">
        <f>IF(H1588="T65",1,IF(H1588="T65",3,IF(H1588="T81",6,IF(H1588="T81",10,IF(H1588="T113",14,IF(H1588="T113",18,IF(H1588="T81",22,"")))))))</f>
        <v/>
      </c>
      <c r="J1588" s="1" t="s">
        <v>1808</v>
      </c>
      <c r="K1588" s="10">
        <v>4</v>
      </c>
      <c r="L1588" s="10">
        <v>1</v>
      </c>
      <c r="N1588" s="10">
        <v>4</v>
      </c>
      <c r="O1588" s="6"/>
      <c r="P1588" s="45" t="s">
        <v>4756</v>
      </c>
      <c r="Q1588" s="42" t="s">
        <v>4798</v>
      </c>
      <c r="R1588" s="42"/>
      <c r="S1588" s="1" t="s">
        <v>4834</v>
      </c>
    </row>
    <row r="1589" spans="1:19" ht="18.75" customHeight="1" x14ac:dyDescent="0.3">
      <c r="A1589" s="10">
        <v>1588</v>
      </c>
      <c r="B1589" s="10">
        <f>_xlfn.XLOOKUP(1,(VALUE(D1589)&gt;=VALUE(block!$C$3:$C$500))*(VALUE(D1589)&lt;VALUE(block!$C$3:$C$500)+VALUE(block!$D$3:$D$500)),block!$A$3:$A$500,"无匹配",0,1)</f>
        <v>43</v>
      </c>
      <c r="C1589" s="3" t="str">
        <f>B1589 &amp; "-" &amp; COUNTIF($B$2:B1589, B1589)</f>
        <v>43-25</v>
      </c>
      <c r="D1589" s="10">
        <v>12508</v>
      </c>
      <c r="E1589" s="1" t="s">
        <v>4835</v>
      </c>
      <c r="F1589" s="1" t="s">
        <v>4836</v>
      </c>
      <c r="G1589" s="1" t="s">
        <v>4754</v>
      </c>
      <c r="H1589" s="1" t="s">
        <v>4755</v>
      </c>
      <c r="I1589" s="6" t="str">
        <f>IF(H1589="T66",1,IF(H1589="T66",3,IF(H1589="T82",6,IF(H1589="T82",10,IF(H1589="T114",14,IF(H1589="T114",18,IF(H1589="T82",22,"")))))))</f>
        <v/>
      </c>
      <c r="J1589" s="1" t="s">
        <v>1808</v>
      </c>
      <c r="K1589" s="10">
        <v>4</v>
      </c>
      <c r="L1589" s="10">
        <v>1</v>
      </c>
      <c r="N1589" s="10">
        <v>4</v>
      </c>
      <c r="O1589" s="6"/>
      <c r="P1589" s="45" t="s">
        <v>4756</v>
      </c>
      <c r="Q1589" s="42" t="s">
        <v>4798</v>
      </c>
      <c r="R1589" s="42"/>
      <c r="S1589" s="1" t="s">
        <v>4836</v>
      </c>
    </row>
    <row r="1590" spans="1:19" ht="18.75" customHeight="1" x14ac:dyDescent="0.3">
      <c r="A1590" s="10">
        <v>1589</v>
      </c>
      <c r="B1590" s="10">
        <f>_xlfn.XLOOKUP(1,(VALUE(D1590)&gt;=VALUE(block!$C$3:$C$500))*(VALUE(D1590)&lt;VALUE(block!$C$3:$C$500)+VALUE(block!$D$3:$D$500)),block!$A$3:$A$500,"无匹配",0,1)</f>
        <v>43</v>
      </c>
      <c r="C1590" s="3" t="str">
        <f>B1590 &amp; "-" &amp; COUNTIF($B$2:B1590, B1590)</f>
        <v>43-26</v>
      </c>
      <c r="D1590" s="10">
        <v>12512</v>
      </c>
      <c r="E1590" s="1" t="s">
        <v>4837</v>
      </c>
      <c r="F1590" s="1" t="s">
        <v>4838</v>
      </c>
      <c r="G1590" s="1" t="s">
        <v>4754</v>
      </c>
      <c r="H1590" s="1" t="s">
        <v>4755</v>
      </c>
      <c r="I1590" s="6" t="str">
        <f>IF(H1590="T67",1,IF(H1590="T67",3,IF(H1590="T83",6,IF(H1590="T83",10,IF(H1590="T115",14,IF(H1590="T115",18,IF(H1590="T83",22,"")))))))</f>
        <v/>
      </c>
      <c r="J1590" s="1" t="s">
        <v>1808</v>
      </c>
      <c r="K1590" s="10">
        <v>4</v>
      </c>
      <c r="L1590" s="10">
        <v>1</v>
      </c>
      <c r="N1590" s="10">
        <v>4</v>
      </c>
      <c r="O1590" s="6"/>
      <c r="P1590" s="45" t="s">
        <v>4756</v>
      </c>
      <c r="Q1590" s="42" t="s">
        <v>4798</v>
      </c>
      <c r="R1590" s="42"/>
      <c r="S1590" s="1" t="s">
        <v>4838</v>
      </c>
    </row>
    <row r="1591" spans="1:19" ht="18.75" customHeight="1" x14ac:dyDescent="0.3">
      <c r="A1591" s="10">
        <v>1590</v>
      </c>
      <c r="B1591" s="10">
        <f>_xlfn.XLOOKUP(1,(VALUE(D1591)&gt;=VALUE(block!$C$3:$C$500))*(VALUE(D1591)&lt;VALUE(block!$C$3:$C$500)+VALUE(block!$D$3:$D$500)),block!$A$3:$A$500,"无匹配",0,1)</f>
        <v>43</v>
      </c>
      <c r="C1591" s="3" t="str">
        <f>B1591 &amp; "-" &amp; COUNTIF($B$2:B1591, B1591)</f>
        <v>43-27</v>
      </c>
      <c r="D1591" s="10">
        <v>12516</v>
      </c>
      <c r="E1591" s="1" t="s">
        <v>4839</v>
      </c>
      <c r="F1591" s="1" t="s">
        <v>4840</v>
      </c>
      <c r="G1591" s="1" t="s">
        <v>4754</v>
      </c>
      <c r="H1591" s="1" t="s">
        <v>4755</v>
      </c>
      <c r="I1591" s="6" t="str">
        <f>IF(H1591="T68",1,IF(H1591="T68",3,IF(H1591="T84",6,IF(H1591="T84",10,IF(H1591="T116",14,IF(H1591="T116",18,IF(H1591="T84",22,"")))))))</f>
        <v/>
      </c>
      <c r="J1591" s="1" t="s">
        <v>1808</v>
      </c>
      <c r="K1591" s="10">
        <v>4</v>
      </c>
      <c r="L1591" s="10">
        <v>1</v>
      </c>
      <c r="N1591" s="10">
        <v>4</v>
      </c>
      <c r="O1591" s="6"/>
      <c r="P1591" s="45" t="s">
        <v>4756</v>
      </c>
      <c r="Q1591" s="42" t="s">
        <v>4798</v>
      </c>
      <c r="R1591" s="42"/>
      <c r="S1591" s="1" t="s">
        <v>4840</v>
      </c>
    </row>
    <row r="1592" spans="1:19" ht="18.75" customHeight="1" x14ac:dyDescent="0.3">
      <c r="A1592" s="10">
        <v>1591</v>
      </c>
      <c r="B1592" s="10">
        <f>_xlfn.XLOOKUP(1,(VALUE(D1592)&gt;=VALUE(block!$C$3:$C$500))*(VALUE(D1592)&lt;VALUE(block!$C$3:$C$500)+VALUE(block!$D$3:$D$500)),block!$A$3:$A$500,"无匹配",0,1)</f>
        <v>43</v>
      </c>
      <c r="C1592" s="3" t="str">
        <f>B1592 &amp; "-" &amp; COUNTIF($B$2:B1592, B1592)</f>
        <v>43-28</v>
      </c>
      <c r="D1592" s="10">
        <v>12520</v>
      </c>
      <c r="E1592" s="1" t="s">
        <v>4841</v>
      </c>
      <c r="F1592" s="1" t="s">
        <v>4842</v>
      </c>
      <c r="G1592" s="1" t="s">
        <v>4762</v>
      </c>
      <c r="H1592" s="1" t="s">
        <v>4755</v>
      </c>
      <c r="I1592" s="6" t="str">
        <f>IF(H1592="T69",1,IF(H1592="T69",3,IF(H1592="T85",6,IF(H1592="T85",10,IF(H1592="T117",14,IF(H1592="T117",18,IF(H1592="T85",22,"")))))))</f>
        <v/>
      </c>
      <c r="J1592" s="1" t="s">
        <v>1808</v>
      </c>
      <c r="K1592" s="10">
        <v>4</v>
      </c>
      <c r="L1592" s="10">
        <v>1</v>
      </c>
      <c r="N1592" s="10">
        <v>4</v>
      </c>
      <c r="O1592" s="6"/>
      <c r="P1592" s="45" t="s">
        <v>4756</v>
      </c>
      <c r="Q1592" s="42" t="s">
        <v>4798</v>
      </c>
      <c r="R1592" s="42"/>
      <c r="S1592" s="1" t="s">
        <v>4842</v>
      </c>
    </row>
    <row r="1593" spans="1:19" ht="18.75" customHeight="1" x14ac:dyDescent="0.3">
      <c r="A1593" s="10">
        <v>1592</v>
      </c>
      <c r="B1593" s="10">
        <f>_xlfn.XLOOKUP(1,(VALUE(D1593)&gt;=VALUE(block!$C$3:$C$500))*(VALUE(D1593)&lt;VALUE(block!$C$3:$C$500)+VALUE(block!$D$3:$D$500)),block!$A$3:$A$500,"无匹配",0,1)</f>
        <v>43</v>
      </c>
      <c r="C1593" s="3" t="str">
        <f>B1593 &amp; "-" &amp; COUNTIF($B$2:B1593, B1593)</f>
        <v>43-29</v>
      </c>
      <c r="D1593" s="10">
        <v>12524</v>
      </c>
      <c r="E1593" s="1" t="s">
        <v>4843</v>
      </c>
      <c r="F1593" s="1" t="s">
        <v>4844</v>
      </c>
      <c r="G1593" s="1" t="s">
        <v>4762</v>
      </c>
      <c r="H1593" s="1" t="s">
        <v>4755</v>
      </c>
      <c r="I1593" s="6" t="str">
        <f>IF(H1593="T70",1,IF(H1593="T70",3,IF(H1593="T86",6,IF(H1593="T86",10,IF(H1593="T118",14,IF(H1593="T118",18,IF(H1593="T86",22,"")))))))</f>
        <v/>
      </c>
      <c r="J1593" s="1" t="s">
        <v>1808</v>
      </c>
      <c r="K1593" s="10">
        <v>4</v>
      </c>
      <c r="L1593" s="10">
        <v>1</v>
      </c>
      <c r="N1593" s="10">
        <v>4</v>
      </c>
      <c r="O1593" s="6"/>
      <c r="P1593" s="45" t="s">
        <v>4756</v>
      </c>
      <c r="Q1593" s="42" t="s">
        <v>4798</v>
      </c>
      <c r="R1593" s="42"/>
      <c r="S1593" s="1" t="s">
        <v>4844</v>
      </c>
    </row>
    <row r="1594" spans="1:19" ht="18.75" customHeight="1" x14ac:dyDescent="0.3">
      <c r="A1594" s="10">
        <v>1593</v>
      </c>
      <c r="B1594" s="10">
        <f>_xlfn.XLOOKUP(1,(VALUE(D1594)&gt;=VALUE(block!$C$3:$C$500))*(VALUE(D1594)&lt;VALUE(block!$C$3:$C$500)+VALUE(block!$D$3:$D$500)),block!$A$3:$A$500,"无匹配",0,1)</f>
        <v>43</v>
      </c>
      <c r="C1594" s="3" t="str">
        <f>B1594 &amp; "-" &amp; COUNTIF($B$2:B1594, B1594)</f>
        <v>43-30</v>
      </c>
      <c r="D1594" s="10">
        <v>12528</v>
      </c>
      <c r="E1594" s="1" t="s">
        <v>4845</v>
      </c>
      <c r="F1594" s="1" t="s">
        <v>4846</v>
      </c>
      <c r="G1594" s="1" t="s">
        <v>4762</v>
      </c>
      <c r="H1594" s="1" t="s">
        <v>4755</v>
      </c>
      <c r="I1594" s="6" t="str">
        <f>IF(H1594="T71",1,IF(H1594="T71",3,IF(H1594="T87",6,IF(H1594="T87",10,IF(H1594="T119",14,IF(H1594="T119",18,IF(H1594="T87",22,"")))))))</f>
        <v/>
      </c>
      <c r="J1594" s="1" t="s">
        <v>1808</v>
      </c>
      <c r="K1594" s="10">
        <v>4</v>
      </c>
      <c r="L1594" s="10">
        <v>1</v>
      </c>
      <c r="N1594" s="10">
        <v>4</v>
      </c>
      <c r="O1594" s="6"/>
      <c r="P1594" s="45" t="s">
        <v>4756</v>
      </c>
      <c r="Q1594" s="42" t="s">
        <v>4798</v>
      </c>
      <c r="R1594" s="42"/>
      <c r="S1594" s="1" t="s">
        <v>4846</v>
      </c>
    </row>
    <row r="1595" spans="1:19" ht="18.75" customHeight="1" x14ac:dyDescent="0.3">
      <c r="A1595" s="10">
        <v>1594</v>
      </c>
      <c r="B1595" s="10">
        <f>_xlfn.XLOOKUP(1,(VALUE(D1595)&gt;=VALUE(block!$C$3:$C$500))*(VALUE(D1595)&lt;VALUE(block!$C$3:$C$500)+VALUE(block!$D$3:$D$500)),block!$A$3:$A$500,"无匹配",0,1)</f>
        <v>43</v>
      </c>
      <c r="C1595" s="3" t="str">
        <f>B1595 &amp; "-" &amp; COUNTIF($B$2:B1595, B1595)</f>
        <v>43-31</v>
      </c>
      <c r="D1595" s="10">
        <v>12532</v>
      </c>
      <c r="E1595" s="1" t="s">
        <v>4847</v>
      </c>
      <c r="F1595" s="1" t="s">
        <v>4848</v>
      </c>
      <c r="G1595" s="1" t="s">
        <v>4762</v>
      </c>
      <c r="H1595" s="1" t="s">
        <v>4755</v>
      </c>
      <c r="I1595" s="6" t="str">
        <f>IF(H1595="T72",1,IF(H1595="T72",3,IF(H1595="T88",6,IF(H1595="T88",10,IF(H1595="T120",14,IF(H1595="T120",18,IF(H1595="T88",22,"")))))))</f>
        <v/>
      </c>
      <c r="J1595" s="1" t="s">
        <v>1808</v>
      </c>
      <c r="K1595" s="10">
        <v>4</v>
      </c>
      <c r="L1595" s="10">
        <v>1</v>
      </c>
      <c r="N1595" s="10">
        <v>4</v>
      </c>
      <c r="O1595" s="6"/>
      <c r="P1595" s="45" t="s">
        <v>4756</v>
      </c>
      <c r="Q1595" s="42" t="s">
        <v>4798</v>
      </c>
      <c r="R1595" s="42"/>
      <c r="S1595" s="1" t="s">
        <v>4848</v>
      </c>
    </row>
    <row r="1596" spans="1:19" ht="18.75" customHeight="1" x14ac:dyDescent="0.3">
      <c r="A1596" s="10">
        <v>1595</v>
      </c>
      <c r="B1596" s="10">
        <f>_xlfn.XLOOKUP(1,(VALUE(D1596)&gt;=VALUE(block!$C$3:$C$500))*(VALUE(D1596)&lt;VALUE(block!$C$3:$C$500)+VALUE(block!$D$3:$D$500)),block!$A$3:$A$500,"无匹配",0,1)</f>
        <v>44</v>
      </c>
      <c r="C1596" s="3" t="str">
        <f>B1596 &amp; "-" &amp; COUNTIF($B$2:B1596, B1596)</f>
        <v>44-1</v>
      </c>
      <c r="D1596" s="10">
        <v>12536</v>
      </c>
      <c r="E1596" s="1" t="s">
        <v>4849</v>
      </c>
      <c r="F1596" s="1" t="s">
        <v>4850</v>
      </c>
      <c r="G1596" s="1" t="s">
        <v>4767</v>
      </c>
      <c r="H1596" s="1" t="s">
        <v>4755</v>
      </c>
      <c r="I1596" s="6" t="str">
        <f>IF(H1596="T73",1,IF(H1596="T73",3,IF(H1596="T89",6,IF(H1596="T89",10,IF(H1596="T121",14,IF(H1596="T121",18,IF(H1596="T89",22,"")))))))</f>
        <v/>
      </c>
      <c r="J1596" s="1" t="s">
        <v>1808</v>
      </c>
      <c r="K1596" s="10">
        <v>4</v>
      </c>
      <c r="L1596" s="10">
        <v>1</v>
      </c>
      <c r="N1596" s="10">
        <v>4</v>
      </c>
      <c r="O1596" s="6"/>
      <c r="P1596" s="45" t="s">
        <v>4756</v>
      </c>
      <c r="Q1596" s="42" t="s">
        <v>4798</v>
      </c>
      <c r="R1596" s="42"/>
      <c r="S1596" s="1" t="s">
        <v>4850</v>
      </c>
    </row>
    <row r="1597" spans="1:19" ht="18.75" customHeight="1" x14ac:dyDescent="0.3">
      <c r="A1597" s="10">
        <v>1596</v>
      </c>
      <c r="B1597" s="10">
        <f>_xlfn.XLOOKUP(1,(VALUE(D1597)&gt;=VALUE(block!$C$3:$C$500))*(VALUE(D1597)&lt;VALUE(block!$C$3:$C$500)+VALUE(block!$D$3:$D$500)),block!$A$3:$A$500,"无匹配",0,1)</f>
        <v>44</v>
      </c>
      <c r="C1597" s="3" t="str">
        <f>B1597 &amp; "-" &amp; COUNTIF($B$2:B1597, B1597)</f>
        <v>44-2</v>
      </c>
      <c r="D1597" s="10">
        <v>12540</v>
      </c>
      <c r="E1597" s="1" t="s">
        <v>4851</v>
      </c>
      <c r="F1597" s="1" t="s">
        <v>4852</v>
      </c>
      <c r="G1597" s="1" t="s">
        <v>4754</v>
      </c>
      <c r="H1597" s="1" t="s">
        <v>4755</v>
      </c>
      <c r="I1597" s="6" t="str">
        <f>IF(H1597="T74",1,IF(H1597="T74",3,IF(H1597="T90",6,IF(H1597="T90",10,IF(H1597="T122",14,IF(H1597="T122",18,IF(H1597="T90",22,"")))))))</f>
        <v/>
      </c>
      <c r="J1597" s="1" t="s">
        <v>1808</v>
      </c>
      <c r="K1597" s="10">
        <v>4</v>
      </c>
      <c r="L1597" s="10">
        <v>1</v>
      </c>
      <c r="N1597" s="10">
        <v>4</v>
      </c>
      <c r="O1597" s="6"/>
      <c r="P1597" s="45" t="s">
        <v>4756</v>
      </c>
      <c r="Q1597" s="42" t="s">
        <v>4798</v>
      </c>
      <c r="R1597" s="42"/>
      <c r="S1597" s="1" t="s">
        <v>4852</v>
      </c>
    </row>
    <row r="1598" spans="1:19" ht="18.75" customHeight="1" x14ac:dyDescent="0.3">
      <c r="A1598" s="10">
        <v>1597</v>
      </c>
      <c r="B1598" s="10">
        <f>_xlfn.XLOOKUP(1,(VALUE(D1598)&gt;=VALUE(block!$C$3:$C$500))*(VALUE(D1598)&lt;VALUE(block!$C$3:$C$500)+VALUE(block!$D$3:$D$500)),block!$A$3:$A$500,"无匹配",0,1)</f>
        <v>44</v>
      </c>
      <c r="C1598" s="3" t="str">
        <f>B1598 &amp; "-" &amp; COUNTIF($B$2:B1598, B1598)</f>
        <v>44-3</v>
      </c>
      <c r="D1598" s="10">
        <v>12544</v>
      </c>
      <c r="E1598" s="1" t="s">
        <v>4853</v>
      </c>
      <c r="F1598" s="1" t="s">
        <v>4854</v>
      </c>
      <c r="G1598" s="1" t="s">
        <v>4754</v>
      </c>
      <c r="H1598" s="1" t="s">
        <v>4755</v>
      </c>
      <c r="I1598" s="6" t="str">
        <f>IF(H1598="T75",1,IF(H1598="T75",3,IF(H1598="T91",6,IF(H1598="T91",10,IF(H1598="T123",14,IF(H1598="T123",18,IF(H1598="T91",22,"")))))))</f>
        <v/>
      </c>
      <c r="J1598" s="1" t="s">
        <v>1808</v>
      </c>
      <c r="K1598" s="10">
        <v>4</v>
      </c>
      <c r="L1598" s="10">
        <v>1</v>
      </c>
      <c r="N1598" s="10">
        <v>4</v>
      </c>
      <c r="O1598" s="6"/>
      <c r="P1598" s="45" t="s">
        <v>4756</v>
      </c>
      <c r="Q1598" s="42" t="s">
        <v>4798</v>
      </c>
      <c r="R1598" s="42"/>
      <c r="S1598" s="1" t="s">
        <v>4854</v>
      </c>
    </row>
    <row r="1599" spans="1:19" ht="18.75" customHeight="1" x14ac:dyDescent="0.3">
      <c r="A1599" s="10">
        <v>1598</v>
      </c>
      <c r="B1599" s="10">
        <f>_xlfn.XLOOKUP(1,(VALUE(D1599)&gt;=VALUE(block!$C$3:$C$500))*(VALUE(D1599)&lt;VALUE(block!$C$3:$C$500)+VALUE(block!$D$3:$D$500)),block!$A$3:$A$500,"无匹配",0,1)</f>
        <v>44</v>
      </c>
      <c r="C1599" s="3" t="str">
        <f>B1599 &amp; "-" &amp; COUNTIF($B$2:B1599, B1599)</f>
        <v>44-4</v>
      </c>
      <c r="D1599" s="10">
        <v>12548</v>
      </c>
      <c r="E1599" s="1" t="s">
        <v>4855</v>
      </c>
      <c r="F1599" s="1" t="s">
        <v>4856</v>
      </c>
      <c r="G1599" s="1" t="s">
        <v>4754</v>
      </c>
      <c r="H1599" s="1" t="s">
        <v>4755</v>
      </c>
      <c r="I1599" s="6" t="str">
        <f>IF(H1599="T76",1,IF(H1599="T76",3,IF(H1599="T92",6,IF(H1599="T92",10,IF(H1599="T124",14,IF(H1599="T124",18,IF(H1599="T92",22,"")))))))</f>
        <v/>
      </c>
      <c r="J1599" s="1" t="s">
        <v>1808</v>
      </c>
      <c r="K1599" s="10">
        <v>4</v>
      </c>
      <c r="L1599" s="10">
        <v>1</v>
      </c>
      <c r="N1599" s="10">
        <v>4</v>
      </c>
      <c r="O1599" s="6"/>
      <c r="P1599" s="45" t="s">
        <v>4756</v>
      </c>
      <c r="Q1599" s="42" t="s">
        <v>4798</v>
      </c>
      <c r="R1599" s="42"/>
      <c r="S1599" s="1" t="s">
        <v>4856</v>
      </c>
    </row>
    <row r="1600" spans="1:19" ht="18.75" customHeight="1" x14ac:dyDescent="0.3">
      <c r="A1600" s="10">
        <v>1599</v>
      </c>
      <c r="B1600" s="10">
        <f>_xlfn.XLOOKUP(1,(VALUE(D1600)&gt;=VALUE(block!$C$3:$C$500))*(VALUE(D1600)&lt;VALUE(block!$C$3:$C$500)+VALUE(block!$D$3:$D$500)),block!$A$3:$A$500,"无匹配",0,1)</f>
        <v>44</v>
      </c>
      <c r="C1600" s="3" t="str">
        <f>B1600 &amp; "-" &amp; COUNTIF($B$2:B1600, B1600)</f>
        <v>44-5</v>
      </c>
      <c r="D1600" s="10">
        <v>12552</v>
      </c>
      <c r="E1600" s="1" t="s">
        <v>4857</v>
      </c>
      <c r="F1600" s="1" t="s">
        <v>4858</v>
      </c>
      <c r="G1600" s="1" t="s">
        <v>4754</v>
      </c>
      <c r="H1600" s="1" t="s">
        <v>4755</v>
      </c>
      <c r="I1600" s="6" t="str">
        <f>IF(H1600="T77",1,IF(H1600="T77",3,IF(H1600="T93",6,IF(H1600="T93",10,IF(H1600="T125",14,IF(H1600="T125",18,IF(H1600="T93",22,"")))))))</f>
        <v/>
      </c>
      <c r="J1600" s="1" t="s">
        <v>1808</v>
      </c>
      <c r="K1600" s="10">
        <v>4</v>
      </c>
      <c r="L1600" s="10">
        <v>1</v>
      </c>
      <c r="N1600" s="10">
        <v>4</v>
      </c>
      <c r="O1600" s="6"/>
      <c r="P1600" s="45" t="s">
        <v>4756</v>
      </c>
      <c r="Q1600" s="42" t="s">
        <v>4798</v>
      </c>
      <c r="R1600" s="42"/>
      <c r="S1600" s="1" t="s">
        <v>4858</v>
      </c>
    </row>
    <row r="1601" spans="1:19" ht="18.75" customHeight="1" x14ac:dyDescent="0.3">
      <c r="A1601" s="10">
        <v>1600</v>
      </c>
      <c r="B1601" s="10">
        <f>_xlfn.XLOOKUP(1,(VALUE(D1601)&gt;=VALUE(block!$C$3:$C$500))*(VALUE(D1601)&lt;VALUE(block!$C$3:$C$500)+VALUE(block!$D$3:$D$500)),block!$A$3:$A$500,"无匹配",0,1)</f>
        <v>44</v>
      </c>
      <c r="C1601" s="3" t="str">
        <f>B1601 &amp; "-" &amp; COUNTIF($B$2:B1601, B1601)</f>
        <v>44-6</v>
      </c>
      <c r="D1601" s="10">
        <v>12556</v>
      </c>
      <c r="E1601" s="1" t="s">
        <v>4859</v>
      </c>
      <c r="F1601" s="1" t="s">
        <v>4860</v>
      </c>
      <c r="G1601" s="1" t="s">
        <v>4762</v>
      </c>
      <c r="H1601" s="1" t="s">
        <v>4755</v>
      </c>
      <c r="I1601" s="6" t="str">
        <f>IF(H1601="T78",1,IF(H1601="T78",3,IF(H1601="T94",6,IF(H1601="T94",10,IF(H1601="T126",14,IF(H1601="T126",18,IF(H1601="T94",22,"")))))))</f>
        <v/>
      </c>
      <c r="J1601" s="1" t="s">
        <v>1808</v>
      </c>
      <c r="K1601" s="10">
        <v>4</v>
      </c>
      <c r="L1601" s="10">
        <v>1</v>
      </c>
      <c r="N1601" s="10">
        <v>4</v>
      </c>
      <c r="O1601" s="6"/>
      <c r="P1601" s="45" t="s">
        <v>4756</v>
      </c>
      <c r="Q1601" s="42" t="s">
        <v>4798</v>
      </c>
      <c r="R1601" s="42"/>
      <c r="S1601" s="1" t="s">
        <v>4860</v>
      </c>
    </row>
    <row r="1602" spans="1:19" ht="18.75" customHeight="1" x14ac:dyDescent="0.3">
      <c r="A1602" s="10">
        <v>1601</v>
      </c>
      <c r="B1602" s="10">
        <f>_xlfn.XLOOKUP(1,(VALUE(D1602)&gt;=VALUE(block!$C$3:$C$500))*(VALUE(D1602)&lt;VALUE(block!$C$3:$C$500)+VALUE(block!$D$3:$D$500)),block!$A$3:$A$500,"无匹配",0,1)</f>
        <v>44</v>
      </c>
      <c r="C1602" s="3" t="str">
        <f>B1602 &amp; "-" &amp; COUNTIF($B$2:B1602, B1602)</f>
        <v>44-7</v>
      </c>
      <c r="D1602" s="10">
        <v>12560</v>
      </c>
      <c r="E1602" s="1" t="s">
        <v>4861</v>
      </c>
      <c r="F1602" s="1" t="s">
        <v>4862</v>
      </c>
      <c r="G1602" s="1" t="s">
        <v>4762</v>
      </c>
      <c r="H1602" s="1" t="s">
        <v>4755</v>
      </c>
      <c r="I1602" s="6" t="str">
        <f>IF(H1602="T79",1,IF(H1602="T79",3,IF(H1602="T95",6,IF(H1602="T95",10,IF(H1602="T127",14,IF(H1602="T127",18,IF(H1602="T95",22,"")))))))</f>
        <v/>
      </c>
      <c r="J1602" s="1" t="s">
        <v>1808</v>
      </c>
      <c r="K1602" s="10">
        <v>4</v>
      </c>
      <c r="L1602" s="10">
        <v>1</v>
      </c>
      <c r="N1602" s="10">
        <v>4</v>
      </c>
      <c r="O1602" s="6"/>
      <c r="P1602" s="45" t="s">
        <v>4756</v>
      </c>
      <c r="Q1602" s="42" t="s">
        <v>4798</v>
      </c>
      <c r="R1602" s="42"/>
      <c r="S1602" s="1" t="s">
        <v>4862</v>
      </c>
    </row>
    <row r="1603" spans="1:19" ht="18.75" customHeight="1" x14ac:dyDescent="0.3">
      <c r="A1603" s="10">
        <v>1602</v>
      </c>
      <c r="B1603" s="10">
        <f>_xlfn.XLOOKUP(1,(VALUE(D1603)&gt;=VALUE(block!$C$3:$C$500))*(VALUE(D1603)&lt;VALUE(block!$C$3:$C$500)+VALUE(block!$D$3:$D$500)),block!$A$3:$A$500,"无匹配",0,1)</f>
        <v>44</v>
      </c>
      <c r="C1603" s="3" t="str">
        <f>B1603 &amp; "-" &amp; COUNTIF($B$2:B1603, B1603)</f>
        <v>44-8</v>
      </c>
      <c r="D1603" s="10">
        <v>12564</v>
      </c>
      <c r="E1603" s="1" t="s">
        <v>4863</v>
      </c>
      <c r="F1603" s="1" t="s">
        <v>4864</v>
      </c>
      <c r="G1603" s="1" t="s">
        <v>4762</v>
      </c>
      <c r="H1603" s="1" t="s">
        <v>4755</v>
      </c>
      <c r="I1603" s="6" t="str">
        <f>IF(H1603="uint16",1,IF(H1603="int16",3,IF(H1603="uint32",6,IF(H1603="int32",10,IF(H1603="uint64",14,IF(H1603="int64",18,IF(H1603="float32",22,"")))))))</f>
        <v/>
      </c>
      <c r="J1603" s="1" t="s">
        <v>1808</v>
      </c>
      <c r="K1603" s="10">
        <v>4</v>
      </c>
      <c r="L1603" s="10">
        <v>1</v>
      </c>
      <c r="N1603" s="10">
        <v>4</v>
      </c>
      <c r="O1603" s="6"/>
      <c r="P1603" s="45" t="s">
        <v>4756</v>
      </c>
      <c r="Q1603" s="42" t="s">
        <v>4798</v>
      </c>
      <c r="R1603" s="42"/>
      <c r="S1603" s="1" t="s">
        <v>4864</v>
      </c>
    </row>
    <row r="1604" spans="1:19" ht="18.75" customHeight="1" x14ac:dyDescent="0.3">
      <c r="A1604" s="10">
        <v>1603</v>
      </c>
      <c r="B1604" s="10">
        <f>_xlfn.XLOOKUP(1,(VALUE(D1604)&gt;=VALUE(block!$C$3:$C$500))*(VALUE(D1604)&lt;VALUE(block!$C$3:$C$500)+VALUE(block!$D$3:$D$500)),block!$A$3:$A$500,"无匹配",0,1)</f>
        <v>44</v>
      </c>
      <c r="C1604" s="3" t="str">
        <f>B1604 &amp; "-" &amp; COUNTIF($B$2:B1604, B1604)</f>
        <v>44-9</v>
      </c>
      <c r="D1604" s="10">
        <v>12568</v>
      </c>
      <c r="E1604" s="1" t="s">
        <v>4865</v>
      </c>
      <c r="F1604" s="1" t="s">
        <v>4866</v>
      </c>
      <c r="G1604" s="1" t="s">
        <v>4762</v>
      </c>
      <c r="H1604" s="1" t="s">
        <v>4755</v>
      </c>
      <c r="I1604" s="6" t="str">
        <f>IF(H1604="T17",1,IF(H1604="T17",3,IF(H1604="T33",6,IF(H1604="T33",10,IF(H1604="T65",14,IF(H1604="T65",18,IF(H1604="T33",22,"")))))))</f>
        <v/>
      </c>
      <c r="J1604" s="1" t="s">
        <v>1808</v>
      </c>
      <c r="K1604" s="10">
        <v>4</v>
      </c>
      <c r="L1604" s="10">
        <v>1</v>
      </c>
      <c r="N1604" s="10">
        <v>4</v>
      </c>
      <c r="O1604" s="6"/>
      <c r="P1604" s="45" t="s">
        <v>4756</v>
      </c>
      <c r="Q1604" s="42" t="s">
        <v>4798</v>
      </c>
      <c r="R1604" s="42"/>
      <c r="S1604" s="1" t="s">
        <v>4866</v>
      </c>
    </row>
    <row r="1605" spans="1:19" ht="18.75" customHeight="1" x14ac:dyDescent="0.3">
      <c r="A1605" s="10">
        <v>1604</v>
      </c>
      <c r="B1605" s="10">
        <f>_xlfn.XLOOKUP(1,(VALUE(D1605)&gt;=VALUE(block!$C$3:$C$500))*(VALUE(D1605)&lt;VALUE(block!$C$3:$C$500)+VALUE(block!$D$3:$D$500)),block!$A$3:$A$500,"无匹配",0,1)</f>
        <v>44</v>
      </c>
      <c r="C1605" s="3" t="str">
        <f>B1605 &amp; "-" &amp; COUNTIF($B$2:B1605, B1605)</f>
        <v>44-10</v>
      </c>
      <c r="D1605" s="10">
        <v>12572</v>
      </c>
      <c r="E1605" s="1" t="s">
        <v>4867</v>
      </c>
      <c r="F1605" s="1" t="s">
        <v>4868</v>
      </c>
      <c r="G1605" s="1" t="s">
        <v>4767</v>
      </c>
      <c r="H1605" s="1" t="s">
        <v>4755</v>
      </c>
      <c r="I1605" s="6" t="str">
        <f>IF(H1605="T18",1,IF(H1605="T18",3,IF(H1605="T34",6,IF(H1605="T34",10,IF(H1605="T66",14,IF(H1605="T66",18,IF(H1605="T34",22,"")))))))</f>
        <v/>
      </c>
      <c r="J1605" s="1" t="s">
        <v>1808</v>
      </c>
      <c r="K1605" s="10">
        <v>4</v>
      </c>
      <c r="L1605" s="10">
        <v>1</v>
      </c>
      <c r="N1605" s="10">
        <v>4</v>
      </c>
      <c r="O1605" s="6"/>
      <c r="P1605" s="45" t="s">
        <v>4756</v>
      </c>
      <c r="Q1605" s="42" t="s">
        <v>4798</v>
      </c>
      <c r="R1605" s="42"/>
      <c r="S1605" s="1" t="s">
        <v>4868</v>
      </c>
    </row>
    <row r="1606" spans="1:19" ht="18.75" customHeight="1" x14ac:dyDescent="0.3">
      <c r="A1606" s="10">
        <v>1605</v>
      </c>
      <c r="B1606" s="10">
        <f>_xlfn.XLOOKUP(1,(VALUE(D1606)&gt;=VALUE(block!$C$3:$C$500))*(VALUE(D1606)&lt;VALUE(block!$C$3:$C$500)+VALUE(block!$D$3:$D$500)),block!$A$3:$A$500,"无匹配",0,1)</f>
        <v>44</v>
      </c>
      <c r="C1606" s="3" t="str">
        <f>B1606 &amp; "-" &amp; COUNTIF($B$2:B1606, B1606)</f>
        <v>44-11</v>
      </c>
      <c r="D1606" s="10">
        <v>12576</v>
      </c>
      <c r="E1606" s="1" t="s">
        <v>4869</v>
      </c>
      <c r="F1606" s="1" t="s">
        <v>4870</v>
      </c>
      <c r="G1606" s="1" t="s">
        <v>4754</v>
      </c>
      <c r="H1606" s="1" t="s">
        <v>4755</v>
      </c>
      <c r="I1606" s="6" t="str">
        <f>IF(H1606="T19",1,IF(H1606="T19",3,IF(H1606="T35",6,IF(H1606="T35",10,IF(H1606="T67",14,IF(H1606="T67",18,IF(H1606="T35",22,"")))))))</f>
        <v/>
      </c>
      <c r="J1606" s="1" t="s">
        <v>1808</v>
      </c>
      <c r="K1606" s="10">
        <v>4</v>
      </c>
      <c r="L1606" s="10">
        <v>1</v>
      </c>
      <c r="N1606" s="10">
        <v>4</v>
      </c>
      <c r="O1606" s="6"/>
      <c r="P1606" s="45" t="s">
        <v>4756</v>
      </c>
      <c r="Q1606" s="42" t="s">
        <v>4798</v>
      </c>
      <c r="R1606" s="42"/>
      <c r="S1606" s="1" t="s">
        <v>4870</v>
      </c>
    </row>
    <row r="1607" spans="1:19" ht="18.75" customHeight="1" x14ac:dyDescent="0.3">
      <c r="A1607" s="10">
        <v>1606</v>
      </c>
      <c r="B1607" s="10">
        <f>_xlfn.XLOOKUP(1,(VALUE(D1607)&gt;=VALUE(block!$C$3:$C$500))*(VALUE(D1607)&lt;VALUE(block!$C$3:$C$500)+VALUE(block!$D$3:$D$500)),block!$A$3:$A$500,"无匹配",0,1)</f>
        <v>44</v>
      </c>
      <c r="C1607" s="3" t="str">
        <f>B1607 &amp; "-" &amp; COUNTIF($B$2:B1607, B1607)</f>
        <v>44-12</v>
      </c>
      <c r="D1607" s="10">
        <v>12580</v>
      </c>
      <c r="E1607" s="1" t="s">
        <v>4871</v>
      </c>
      <c r="F1607" s="1" t="s">
        <v>4872</v>
      </c>
      <c r="G1607" s="1" t="s">
        <v>4754</v>
      </c>
      <c r="H1607" s="1" t="s">
        <v>4755</v>
      </c>
      <c r="I1607" s="6" t="str">
        <f>IF(H1607="T20",1,IF(H1607="T20",3,IF(H1607="T36",6,IF(H1607="T36",10,IF(H1607="T68",14,IF(H1607="T68",18,IF(H1607="T36",22,"")))))))</f>
        <v/>
      </c>
      <c r="J1607" s="1" t="s">
        <v>1808</v>
      </c>
      <c r="K1607" s="10">
        <v>4</v>
      </c>
      <c r="L1607" s="10">
        <v>1</v>
      </c>
      <c r="N1607" s="10">
        <v>4</v>
      </c>
      <c r="O1607" s="6"/>
      <c r="P1607" s="45" t="s">
        <v>4756</v>
      </c>
      <c r="Q1607" s="42" t="s">
        <v>4798</v>
      </c>
      <c r="R1607" s="42"/>
      <c r="S1607" s="1" t="s">
        <v>4872</v>
      </c>
    </row>
    <row r="1608" spans="1:19" ht="18.75" customHeight="1" x14ac:dyDescent="0.3">
      <c r="A1608" s="10">
        <v>1607</v>
      </c>
      <c r="B1608" s="10">
        <f>_xlfn.XLOOKUP(1,(VALUE(D1608)&gt;=VALUE(block!$C$3:$C$500))*(VALUE(D1608)&lt;VALUE(block!$C$3:$C$500)+VALUE(block!$D$3:$D$500)),block!$A$3:$A$500,"无匹配",0,1)</f>
        <v>44</v>
      </c>
      <c r="C1608" s="3" t="str">
        <f>B1608 &amp; "-" &amp; COUNTIF($B$2:B1608, B1608)</f>
        <v>44-13</v>
      </c>
      <c r="D1608" s="10">
        <v>12584</v>
      </c>
      <c r="E1608" s="1" t="s">
        <v>4873</v>
      </c>
      <c r="F1608" s="1" t="s">
        <v>4874</v>
      </c>
      <c r="G1608" s="1" t="s">
        <v>4754</v>
      </c>
      <c r="H1608" s="1" t="s">
        <v>4755</v>
      </c>
      <c r="I1608" s="6" t="str">
        <f>IF(H1608="T21",1,IF(H1608="T21",3,IF(H1608="T37",6,IF(H1608="T37",10,IF(H1608="T69",14,IF(H1608="T69",18,IF(H1608="T37",22,"")))))))</f>
        <v/>
      </c>
      <c r="J1608" s="1" t="s">
        <v>1808</v>
      </c>
      <c r="K1608" s="10">
        <v>4</v>
      </c>
      <c r="L1608" s="10">
        <v>1</v>
      </c>
      <c r="N1608" s="10">
        <v>4</v>
      </c>
      <c r="O1608" s="6"/>
      <c r="P1608" s="45" t="s">
        <v>4756</v>
      </c>
      <c r="Q1608" s="42" t="s">
        <v>4798</v>
      </c>
      <c r="R1608" s="42"/>
      <c r="S1608" s="1" t="s">
        <v>4874</v>
      </c>
    </row>
    <row r="1609" spans="1:19" ht="18.75" customHeight="1" x14ac:dyDescent="0.3">
      <c r="A1609" s="10">
        <v>1608</v>
      </c>
      <c r="B1609" s="10">
        <f>_xlfn.XLOOKUP(1,(VALUE(D1609)&gt;=VALUE(block!$C$3:$C$500))*(VALUE(D1609)&lt;VALUE(block!$C$3:$C$500)+VALUE(block!$D$3:$D$500)),block!$A$3:$A$500,"无匹配",0,1)</f>
        <v>44</v>
      </c>
      <c r="C1609" s="3" t="str">
        <f>B1609 &amp; "-" &amp; COUNTIF($B$2:B1609, B1609)</f>
        <v>44-14</v>
      </c>
      <c r="D1609" s="10">
        <v>12588</v>
      </c>
      <c r="E1609" s="1" t="s">
        <v>4875</v>
      </c>
      <c r="F1609" s="1" t="s">
        <v>4876</v>
      </c>
      <c r="G1609" s="1" t="s">
        <v>4754</v>
      </c>
      <c r="H1609" s="1" t="s">
        <v>4755</v>
      </c>
      <c r="I1609" s="6" t="str">
        <f>IF(H1609="T22",1,IF(H1609="T22",3,IF(H1609="T38",6,IF(H1609="T38",10,IF(H1609="T70",14,IF(H1609="T70",18,IF(H1609="T38",22,"")))))))</f>
        <v/>
      </c>
      <c r="J1609" s="1" t="s">
        <v>1808</v>
      </c>
      <c r="K1609" s="10">
        <v>4</v>
      </c>
      <c r="L1609" s="10">
        <v>1</v>
      </c>
      <c r="N1609" s="10">
        <v>4</v>
      </c>
      <c r="O1609" s="6"/>
      <c r="P1609" s="45" t="s">
        <v>4756</v>
      </c>
      <c r="Q1609" s="42" t="s">
        <v>4798</v>
      </c>
      <c r="R1609" s="42"/>
      <c r="S1609" s="1" t="s">
        <v>4876</v>
      </c>
    </row>
    <row r="1610" spans="1:19" ht="18.75" customHeight="1" x14ac:dyDescent="0.3">
      <c r="A1610" s="10">
        <v>1609</v>
      </c>
      <c r="B1610" s="10">
        <f>_xlfn.XLOOKUP(1,(VALUE(D1610)&gt;=VALUE(block!$C$3:$C$500))*(VALUE(D1610)&lt;VALUE(block!$C$3:$C$500)+VALUE(block!$D$3:$D$500)),block!$A$3:$A$500,"无匹配",0,1)</f>
        <v>44</v>
      </c>
      <c r="C1610" s="3" t="str">
        <f>B1610 &amp; "-" &amp; COUNTIF($B$2:B1610, B1610)</f>
        <v>44-15</v>
      </c>
      <c r="D1610" s="10">
        <v>12592</v>
      </c>
      <c r="E1610" s="1" t="s">
        <v>4877</v>
      </c>
      <c r="F1610" s="1" t="s">
        <v>4878</v>
      </c>
      <c r="G1610" s="1" t="s">
        <v>4762</v>
      </c>
      <c r="H1610" s="1" t="s">
        <v>4755</v>
      </c>
      <c r="I1610" s="6" t="str">
        <f>IF(H1610="T23",1,IF(H1610="T23",3,IF(H1610="T39",6,IF(H1610="T39",10,IF(H1610="T71",14,IF(H1610="T71",18,IF(H1610="T39",22,"")))))))</f>
        <v/>
      </c>
      <c r="J1610" s="1" t="s">
        <v>1808</v>
      </c>
      <c r="K1610" s="10">
        <v>4</v>
      </c>
      <c r="L1610" s="10">
        <v>1</v>
      </c>
      <c r="N1610" s="10">
        <v>4</v>
      </c>
      <c r="O1610" s="6"/>
      <c r="P1610" s="45" t="s">
        <v>4756</v>
      </c>
      <c r="Q1610" s="42" t="s">
        <v>4798</v>
      </c>
      <c r="R1610" s="42"/>
      <c r="S1610" s="1" t="s">
        <v>4878</v>
      </c>
    </row>
    <row r="1611" spans="1:19" ht="18.75" customHeight="1" x14ac:dyDescent="0.3">
      <c r="A1611" s="10">
        <v>1610</v>
      </c>
      <c r="B1611" s="10">
        <f>_xlfn.XLOOKUP(1,(VALUE(D1611)&gt;=VALUE(block!$C$3:$C$500))*(VALUE(D1611)&lt;VALUE(block!$C$3:$C$500)+VALUE(block!$D$3:$D$500)),block!$A$3:$A$500,"无匹配",0,1)</f>
        <v>44</v>
      </c>
      <c r="C1611" s="3" t="str">
        <f>B1611 &amp; "-" &amp; COUNTIF($B$2:B1611, B1611)</f>
        <v>44-16</v>
      </c>
      <c r="D1611" s="10">
        <v>12596</v>
      </c>
      <c r="E1611" s="1" t="s">
        <v>4879</v>
      </c>
      <c r="F1611" s="1" t="s">
        <v>4880</v>
      </c>
      <c r="G1611" s="1" t="s">
        <v>4762</v>
      </c>
      <c r="H1611" s="1" t="s">
        <v>4755</v>
      </c>
      <c r="I1611" s="6" t="str">
        <f>IF(H1611="T24",1,IF(H1611="T24",3,IF(H1611="T40",6,IF(H1611="T40",10,IF(H1611="T72",14,IF(H1611="T72",18,IF(H1611="T40",22,"")))))))</f>
        <v/>
      </c>
      <c r="J1611" s="1" t="s">
        <v>1808</v>
      </c>
      <c r="K1611" s="10">
        <v>4</v>
      </c>
      <c r="L1611" s="10">
        <v>1</v>
      </c>
      <c r="N1611" s="10">
        <v>4</v>
      </c>
      <c r="O1611" s="6"/>
      <c r="P1611" s="45" t="s">
        <v>4756</v>
      </c>
      <c r="Q1611" s="42" t="s">
        <v>4798</v>
      </c>
      <c r="R1611" s="42"/>
      <c r="S1611" s="1" t="s">
        <v>4880</v>
      </c>
    </row>
    <row r="1612" spans="1:19" ht="18.75" customHeight="1" x14ac:dyDescent="0.3">
      <c r="A1612" s="10">
        <v>1611</v>
      </c>
      <c r="B1612" s="10">
        <f>_xlfn.XLOOKUP(1,(VALUE(D1612)&gt;=VALUE(block!$C$3:$C$500))*(VALUE(D1612)&lt;VALUE(block!$C$3:$C$500)+VALUE(block!$D$3:$D$500)),block!$A$3:$A$500,"无匹配",0,1)</f>
        <v>44</v>
      </c>
      <c r="C1612" s="3" t="str">
        <f>B1612 &amp; "-" &amp; COUNTIF($B$2:B1612, B1612)</f>
        <v>44-17</v>
      </c>
      <c r="D1612" s="10">
        <v>12600</v>
      </c>
      <c r="E1612" s="1" t="s">
        <v>4881</v>
      </c>
      <c r="F1612" s="1" t="s">
        <v>4882</v>
      </c>
      <c r="G1612" s="1" t="s">
        <v>4762</v>
      </c>
      <c r="H1612" s="1" t="s">
        <v>4755</v>
      </c>
      <c r="I1612" s="6" t="str">
        <f>IF(H1612="T25",1,IF(H1612="T25",3,IF(H1612="T41",6,IF(H1612="T41",10,IF(H1612="T73",14,IF(H1612="T73",18,IF(H1612="T41",22,"")))))))</f>
        <v/>
      </c>
      <c r="J1612" s="1" t="s">
        <v>1808</v>
      </c>
      <c r="K1612" s="10">
        <v>4</v>
      </c>
      <c r="L1612" s="10">
        <v>1</v>
      </c>
      <c r="N1612" s="10">
        <v>4</v>
      </c>
      <c r="O1612" s="6"/>
      <c r="P1612" s="45" t="s">
        <v>4756</v>
      </c>
      <c r="Q1612" s="42" t="s">
        <v>4798</v>
      </c>
      <c r="R1612" s="42"/>
      <c r="S1612" s="1" t="s">
        <v>4882</v>
      </c>
    </row>
    <row r="1613" spans="1:19" ht="18.75" customHeight="1" x14ac:dyDescent="0.3">
      <c r="A1613" s="10">
        <v>1612</v>
      </c>
      <c r="B1613" s="10">
        <f>_xlfn.XLOOKUP(1,(VALUE(D1613)&gt;=VALUE(block!$C$3:$C$500))*(VALUE(D1613)&lt;VALUE(block!$C$3:$C$500)+VALUE(block!$D$3:$D$500)),block!$A$3:$A$500,"无匹配",0,1)</f>
        <v>44</v>
      </c>
      <c r="C1613" s="3" t="str">
        <f>B1613 &amp; "-" &amp; COUNTIF($B$2:B1613, B1613)</f>
        <v>44-18</v>
      </c>
      <c r="D1613" s="10">
        <v>12604</v>
      </c>
      <c r="E1613" s="1" t="s">
        <v>4883</v>
      </c>
      <c r="F1613" s="1" t="s">
        <v>4884</v>
      </c>
      <c r="G1613" s="1" t="s">
        <v>4762</v>
      </c>
      <c r="H1613" s="1" t="s">
        <v>4755</v>
      </c>
      <c r="I1613" s="6" t="str">
        <f>IF(H1613="T26",1,IF(H1613="T26",3,IF(H1613="T42",6,IF(H1613="T42",10,IF(H1613="T74",14,IF(H1613="T74",18,IF(H1613="T42",22,"")))))))</f>
        <v/>
      </c>
      <c r="J1613" s="1" t="s">
        <v>1808</v>
      </c>
      <c r="K1613" s="10">
        <v>4</v>
      </c>
      <c r="L1613" s="10">
        <v>1</v>
      </c>
      <c r="N1613" s="10">
        <v>4</v>
      </c>
      <c r="O1613" s="6"/>
      <c r="P1613" s="45" t="s">
        <v>4756</v>
      </c>
      <c r="Q1613" s="42" t="s">
        <v>4798</v>
      </c>
      <c r="R1613" s="42"/>
      <c r="S1613" s="1" t="s">
        <v>4884</v>
      </c>
    </row>
    <row r="1614" spans="1:19" ht="18.75" customHeight="1" x14ac:dyDescent="0.3">
      <c r="A1614" s="10">
        <v>1613</v>
      </c>
      <c r="B1614" s="10">
        <f>_xlfn.XLOOKUP(1,(VALUE(D1614)&gt;=VALUE(block!$C$3:$C$500))*(VALUE(D1614)&lt;VALUE(block!$C$3:$C$500)+VALUE(block!$D$3:$D$500)),block!$A$3:$A$500,"无匹配",0,1)</f>
        <v>44</v>
      </c>
      <c r="C1614" s="3" t="str">
        <f>B1614 &amp; "-" &amp; COUNTIF($B$2:B1614, B1614)</f>
        <v>44-19</v>
      </c>
      <c r="D1614" s="10">
        <v>12608</v>
      </c>
      <c r="E1614" s="1" t="s">
        <v>4885</v>
      </c>
      <c r="F1614" s="1" t="s">
        <v>4886</v>
      </c>
      <c r="G1614" s="1" t="s">
        <v>4767</v>
      </c>
      <c r="H1614" s="1" t="s">
        <v>4755</v>
      </c>
      <c r="I1614" s="6" t="str">
        <f>IF(H1614="T27",1,IF(H1614="T27",3,IF(H1614="T43",6,IF(H1614="T43",10,IF(H1614="T75",14,IF(H1614="T75",18,IF(H1614="T43",22,"")))))))</f>
        <v/>
      </c>
      <c r="J1614" s="1" t="s">
        <v>1808</v>
      </c>
      <c r="K1614" s="10">
        <v>4</v>
      </c>
      <c r="L1614" s="10">
        <v>1</v>
      </c>
      <c r="N1614" s="10">
        <v>4</v>
      </c>
      <c r="O1614" s="6"/>
      <c r="P1614" s="45" t="s">
        <v>4756</v>
      </c>
      <c r="Q1614" s="42" t="s">
        <v>4798</v>
      </c>
      <c r="R1614" s="42"/>
      <c r="S1614" s="1" t="s">
        <v>4886</v>
      </c>
    </row>
    <row r="1615" spans="1:19" ht="18.75" customHeight="1" x14ac:dyDescent="0.3">
      <c r="A1615" s="10">
        <v>1614</v>
      </c>
      <c r="B1615" s="10">
        <f>_xlfn.XLOOKUP(1,(VALUE(D1615)&gt;=VALUE(block!$C$3:$C$500))*(VALUE(D1615)&lt;VALUE(block!$C$3:$C$500)+VALUE(block!$D$3:$D$500)),block!$A$3:$A$500,"无匹配",0,1)</f>
        <v>44</v>
      </c>
      <c r="C1615" s="3" t="str">
        <f>B1615 &amp; "-" &amp; COUNTIF($B$2:B1615, B1615)</f>
        <v>44-20</v>
      </c>
      <c r="D1615" s="10">
        <v>12612</v>
      </c>
      <c r="E1615" s="1" t="s">
        <v>4887</v>
      </c>
      <c r="F1615" s="1" t="s">
        <v>4888</v>
      </c>
      <c r="G1615" s="1" t="s">
        <v>4754</v>
      </c>
      <c r="H1615" s="1" t="s">
        <v>4755</v>
      </c>
      <c r="I1615" s="6" t="str">
        <f>IF(H1615="T28",1,IF(H1615="T28",3,IF(H1615="T44",6,IF(H1615="T44",10,IF(H1615="T76",14,IF(H1615="T76",18,IF(H1615="T44",22,"")))))))</f>
        <v/>
      </c>
      <c r="J1615" s="1" t="s">
        <v>1808</v>
      </c>
      <c r="K1615" s="10">
        <v>4</v>
      </c>
      <c r="L1615" s="10">
        <v>1</v>
      </c>
      <c r="N1615" s="10">
        <v>4</v>
      </c>
      <c r="O1615" s="6"/>
      <c r="P1615" s="45" t="s">
        <v>4756</v>
      </c>
      <c r="Q1615" s="42" t="s">
        <v>4798</v>
      </c>
      <c r="R1615" s="42"/>
      <c r="S1615" s="1" t="s">
        <v>4888</v>
      </c>
    </row>
    <row r="1616" spans="1:19" ht="18.75" customHeight="1" x14ac:dyDescent="0.3">
      <c r="A1616" s="10">
        <v>1615</v>
      </c>
      <c r="B1616" s="10">
        <f>_xlfn.XLOOKUP(1,(VALUE(D1616)&gt;=VALUE(block!$C$3:$C$500))*(VALUE(D1616)&lt;VALUE(block!$C$3:$C$500)+VALUE(block!$D$3:$D$500)),block!$A$3:$A$500,"无匹配",0,1)</f>
        <v>44</v>
      </c>
      <c r="C1616" s="3" t="str">
        <f>B1616 &amp; "-" &amp; COUNTIF($B$2:B1616, B1616)</f>
        <v>44-21</v>
      </c>
      <c r="D1616" s="10">
        <v>12616</v>
      </c>
      <c r="E1616" s="1" t="s">
        <v>4889</v>
      </c>
      <c r="F1616" s="1" t="s">
        <v>4890</v>
      </c>
      <c r="G1616" s="1" t="s">
        <v>4754</v>
      </c>
      <c r="H1616" s="1" t="s">
        <v>4755</v>
      </c>
      <c r="I1616" s="6" t="str">
        <f>IF(H1616="T29",1,IF(H1616="T29",3,IF(H1616="T45",6,IF(H1616="T45",10,IF(H1616="T77",14,IF(H1616="T77",18,IF(H1616="T45",22,"")))))))</f>
        <v/>
      </c>
      <c r="J1616" s="1" t="s">
        <v>1808</v>
      </c>
      <c r="K1616" s="10">
        <v>4</v>
      </c>
      <c r="L1616" s="10">
        <v>1</v>
      </c>
      <c r="N1616" s="10">
        <v>4</v>
      </c>
      <c r="O1616" s="6"/>
      <c r="P1616" s="45" t="s">
        <v>4756</v>
      </c>
      <c r="Q1616" s="42" t="s">
        <v>4798</v>
      </c>
      <c r="R1616" s="42"/>
      <c r="S1616" s="1" t="s">
        <v>4890</v>
      </c>
    </row>
    <row r="1617" spans="1:19" ht="18.75" customHeight="1" x14ac:dyDescent="0.3">
      <c r="A1617" s="10">
        <v>1616</v>
      </c>
      <c r="B1617" s="10">
        <f>_xlfn.XLOOKUP(1,(VALUE(D1617)&gt;=VALUE(block!$C$3:$C$500))*(VALUE(D1617)&lt;VALUE(block!$C$3:$C$500)+VALUE(block!$D$3:$D$500)),block!$A$3:$A$500,"无匹配",0,1)</f>
        <v>44</v>
      </c>
      <c r="C1617" s="3" t="str">
        <f>B1617 &amp; "-" &amp; COUNTIF($B$2:B1617, B1617)</f>
        <v>44-22</v>
      </c>
      <c r="D1617" s="10">
        <v>12620</v>
      </c>
      <c r="E1617" s="1" t="s">
        <v>4891</v>
      </c>
      <c r="F1617" s="1" t="s">
        <v>4892</v>
      </c>
      <c r="G1617" s="1" t="s">
        <v>4754</v>
      </c>
      <c r="H1617" s="1" t="s">
        <v>4755</v>
      </c>
      <c r="I1617" s="6" t="str">
        <f>IF(H1617="T30",1,IF(H1617="T30",3,IF(H1617="T46",6,IF(H1617="T46",10,IF(H1617="T78",14,IF(H1617="T78",18,IF(H1617="T46",22,"")))))))</f>
        <v/>
      </c>
      <c r="J1617" s="1" t="s">
        <v>1808</v>
      </c>
      <c r="K1617" s="10">
        <v>4</v>
      </c>
      <c r="L1617" s="10">
        <v>1</v>
      </c>
      <c r="N1617" s="10">
        <v>4</v>
      </c>
      <c r="O1617" s="6"/>
      <c r="P1617" s="45" t="s">
        <v>4756</v>
      </c>
      <c r="Q1617" s="42" t="s">
        <v>4798</v>
      </c>
      <c r="R1617" s="42"/>
      <c r="S1617" s="1" t="s">
        <v>4892</v>
      </c>
    </row>
    <row r="1618" spans="1:19" ht="18.75" customHeight="1" x14ac:dyDescent="0.3">
      <c r="A1618" s="10">
        <v>1617</v>
      </c>
      <c r="B1618" s="10">
        <f>_xlfn.XLOOKUP(1,(VALUE(D1618)&gt;=VALUE(block!$C$3:$C$500))*(VALUE(D1618)&lt;VALUE(block!$C$3:$C$500)+VALUE(block!$D$3:$D$500)),block!$A$3:$A$500,"无匹配",0,1)</f>
        <v>44</v>
      </c>
      <c r="C1618" s="3" t="str">
        <f>B1618 &amp; "-" &amp; COUNTIF($B$2:B1618, B1618)</f>
        <v>44-23</v>
      </c>
      <c r="D1618" s="10">
        <v>12624</v>
      </c>
      <c r="E1618" s="1" t="s">
        <v>4893</v>
      </c>
      <c r="F1618" s="1" t="s">
        <v>4894</v>
      </c>
      <c r="G1618" s="1" t="s">
        <v>4754</v>
      </c>
      <c r="H1618" s="1" t="s">
        <v>4755</v>
      </c>
      <c r="I1618" s="6" t="str">
        <f>IF(H1618="T31",1,IF(H1618="T31",3,IF(H1618="T47",6,IF(H1618="T47",10,IF(H1618="T79",14,IF(H1618="T79",18,IF(H1618="T47",22,"")))))))</f>
        <v/>
      </c>
      <c r="J1618" s="1" t="s">
        <v>1808</v>
      </c>
      <c r="K1618" s="10">
        <v>4</v>
      </c>
      <c r="L1618" s="10">
        <v>1</v>
      </c>
      <c r="N1618" s="10">
        <v>4</v>
      </c>
      <c r="O1618" s="6"/>
      <c r="P1618" s="45" t="s">
        <v>4756</v>
      </c>
      <c r="Q1618" s="42" t="s">
        <v>4798</v>
      </c>
      <c r="R1618" s="42"/>
      <c r="S1618" s="1" t="s">
        <v>4894</v>
      </c>
    </row>
    <row r="1619" spans="1:19" ht="18.75" customHeight="1" x14ac:dyDescent="0.3">
      <c r="A1619" s="10">
        <v>1618</v>
      </c>
      <c r="B1619" s="10">
        <f>_xlfn.XLOOKUP(1,(VALUE(D1619)&gt;=VALUE(block!$C$3:$C$500))*(VALUE(D1619)&lt;VALUE(block!$C$3:$C$500)+VALUE(block!$D$3:$D$500)),block!$A$3:$A$500,"无匹配",0,1)</f>
        <v>44</v>
      </c>
      <c r="C1619" s="3" t="str">
        <f>B1619 &amp; "-" &amp; COUNTIF($B$2:B1619, B1619)</f>
        <v>44-24</v>
      </c>
      <c r="D1619" s="10">
        <v>12628</v>
      </c>
      <c r="E1619" s="1" t="s">
        <v>4895</v>
      </c>
      <c r="F1619" s="1" t="s">
        <v>4896</v>
      </c>
      <c r="G1619" s="1" t="s">
        <v>4762</v>
      </c>
      <c r="H1619" s="1" t="s">
        <v>4755</v>
      </c>
      <c r="I1619" s="6" t="str">
        <f>IF(H1619="T32",1,IF(H1619="T32",3,IF(H1619="T48",6,IF(H1619="T48",10,IF(H1619="T80",14,IF(H1619="T80",18,IF(H1619="T48",22,"")))))))</f>
        <v/>
      </c>
      <c r="J1619" s="1" t="s">
        <v>1808</v>
      </c>
      <c r="K1619" s="10">
        <v>4</v>
      </c>
      <c r="L1619" s="10">
        <v>1</v>
      </c>
      <c r="N1619" s="10">
        <v>4</v>
      </c>
      <c r="O1619" s="6"/>
      <c r="P1619" s="45" t="s">
        <v>4756</v>
      </c>
      <c r="Q1619" s="42" t="s">
        <v>4798</v>
      </c>
      <c r="R1619" s="42"/>
      <c r="S1619" s="1" t="s">
        <v>4896</v>
      </c>
    </row>
    <row r="1620" spans="1:19" ht="18.75" customHeight="1" x14ac:dyDescent="0.3">
      <c r="A1620" s="10">
        <v>1619</v>
      </c>
      <c r="B1620" s="10">
        <f>_xlfn.XLOOKUP(1,(VALUE(D1620)&gt;=VALUE(block!$C$3:$C$500))*(VALUE(D1620)&lt;VALUE(block!$C$3:$C$500)+VALUE(block!$D$3:$D$500)),block!$A$3:$A$500,"无匹配",0,1)</f>
        <v>44</v>
      </c>
      <c r="C1620" s="3" t="str">
        <f>B1620 &amp; "-" &amp; COUNTIF($B$2:B1620, B1620)</f>
        <v>44-25</v>
      </c>
      <c r="D1620" s="10">
        <v>12632</v>
      </c>
      <c r="E1620" s="1" t="s">
        <v>4897</v>
      </c>
      <c r="F1620" s="1" t="s">
        <v>4898</v>
      </c>
      <c r="G1620" s="1" t="s">
        <v>4762</v>
      </c>
      <c r="H1620" s="1" t="s">
        <v>4755</v>
      </c>
      <c r="I1620" s="6" t="str">
        <f>IF(H1620="T33",1,IF(H1620="T33",3,IF(H1620="T49",6,IF(H1620="T49",10,IF(H1620="T81",14,IF(H1620="T81",18,IF(H1620="T49",22,"")))))))</f>
        <v/>
      </c>
      <c r="J1620" s="1" t="s">
        <v>1808</v>
      </c>
      <c r="K1620" s="10">
        <v>4</v>
      </c>
      <c r="L1620" s="10">
        <v>1</v>
      </c>
      <c r="N1620" s="10">
        <v>4</v>
      </c>
      <c r="O1620" s="6"/>
      <c r="P1620" s="45" t="s">
        <v>4756</v>
      </c>
      <c r="Q1620" s="42" t="s">
        <v>4798</v>
      </c>
      <c r="R1620" s="42"/>
      <c r="S1620" s="1" t="s">
        <v>4898</v>
      </c>
    </row>
    <row r="1621" spans="1:19" ht="18.75" customHeight="1" x14ac:dyDescent="0.3">
      <c r="A1621" s="10">
        <v>1620</v>
      </c>
      <c r="B1621" s="10">
        <f>_xlfn.XLOOKUP(1,(VALUE(D1621)&gt;=VALUE(block!$C$3:$C$500))*(VALUE(D1621)&lt;VALUE(block!$C$3:$C$500)+VALUE(block!$D$3:$D$500)),block!$A$3:$A$500,"无匹配",0,1)</f>
        <v>44</v>
      </c>
      <c r="C1621" s="3" t="str">
        <f>B1621 &amp; "-" &amp; COUNTIF($B$2:B1621, B1621)</f>
        <v>44-26</v>
      </c>
      <c r="D1621" s="10">
        <v>12636</v>
      </c>
      <c r="E1621" s="1" t="s">
        <v>4899</v>
      </c>
      <c r="F1621" s="1" t="s">
        <v>4900</v>
      </c>
      <c r="G1621" s="1" t="s">
        <v>4762</v>
      </c>
      <c r="H1621" s="1" t="s">
        <v>4755</v>
      </c>
      <c r="I1621" s="6" t="str">
        <f>IF(H1621="T34",1,IF(H1621="T34",3,IF(H1621="T50",6,IF(H1621="T50",10,IF(H1621="T82",14,IF(H1621="T82",18,IF(H1621="T50",22,"")))))))</f>
        <v/>
      </c>
      <c r="J1621" s="1" t="s">
        <v>1808</v>
      </c>
      <c r="K1621" s="10">
        <v>4</v>
      </c>
      <c r="L1621" s="10">
        <v>1</v>
      </c>
      <c r="N1621" s="10">
        <v>4</v>
      </c>
      <c r="O1621" s="6"/>
      <c r="P1621" s="45" t="s">
        <v>4756</v>
      </c>
      <c r="Q1621" s="42" t="s">
        <v>4798</v>
      </c>
      <c r="R1621" s="42"/>
      <c r="S1621" s="1" t="s">
        <v>4900</v>
      </c>
    </row>
    <row r="1622" spans="1:19" ht="18.75" customHeight="1" x14ac:dyDescent="0.3">
      <c r="A1622" s="10">
        <v>1621</v>
      </c>
      <c r="B1622" s="10">
        <f>_xlfn.XLOOKUP(1,(VALUE(D1622)&gt;=VALUE(block!$C$3:$C$500))*(VALUE(D1622)&lt;VALUE(block!$C$3:$C$500)+VALUE(block!$D$3:$D$500)),block!$A$3:$A$500,"无匹配",0,1)</f>
        <v>44</v>
      </c>
      <c r="C1622" s="3" t="str">
        <f>B1622 &amp; "-" &amp; COUNTIF($B$2:B1622, B1622)</f>
        <v>44-27</v>
      </c>
      <c r="D1622" s="10">
        <v>12640</v>
      </c>
      <c r="E1622" s="1" t="s">
        <v>4901</v>
      </c>
      <c r="F1622" s="1" t="s">
        <v>4902</v>
      </c>
      <c r="G1622" s="1" t="s">
        <v>4762</v>
      </c>
      <c r="H1622" s="1" t="s">
        <v>4755</v>
      </c>
      <c r="I1622" s="6" t="str">
        <f>IF(H1622="T35",1,IF(H1622="T35",3,IF(H1622="T51",6,IF(H1622="T51",10,IF(H1622="T83",14,IF(H1622="T83",18,IF(H1622="T51",22,"")))))))</f>
        <v/>
      </c>
      <c r="J1622" s="1" t="s">
        <v>1808</v>
      </c>
      <c r="K1622" s="10">
        <v>4</v>
      </c>
      <c r="L1622" s="10">
        <v>1</v>
      </c>
      <c r="N1622" s="10">
        <v>4</v>
      </c>
      <c r="O1622" s="6"/>
      <c r="P1622" s="45" t="s">
        <v>4756</v>
      </c>
      <c r="Q1622" s="42" t="s">
        <v>4798</v>
      </c>
      <c r="R1622" s="42"/>
      <c r="S1622" s="1" t="s">
        <v>4902</v>
      </c>
    </row>
    <row r="1623" spans="1:19" ht="18.75" customHeight="1" x14ac:dyDescent="0.3">
      <c r="A1623" s="10">
        <v>1622</v>
      </c>
      <c r="B1623" s="10">
        <f>_xlfn.XLOOKUP(1,(VALUE(D1623)&gt;=VALUE(block!$C$3:$C$500))*(VALUE(D1623)&lt;VALUE(block!$C$3:$C$500)+VALUE(block!$D$3:$D$500)),block!$A$3:$A$500,"无匹配",0,1)</f>
        <v>44</v>
      </c>
      <c r="C1623" s="3" t="str">
        <f>B1623 &amp; "-" &amp; COUNTIF($B$2:B1623, B1623)</f>
        <v>44-28</v>
      </c>
      <c r="D1623" s="10">
        <v>12644</v>
      </c>
      <c r="E1623" s="1" t="s">
        <v>4903</v>
      </c>
      <c r="F1623" s="1" t="s">
        <v>4904</v>
      </c>
      <c r="G1623" s="1" t="s">
        <v>4767</v>
      </c>
      <c r="H1623" s="1" t="s">
        <v>4755</v>
      </c>
      <c r="I1623" s="6" t="str">
        <f>IF(H1623="T36",1,IF(H1623="T36",3,IF(H1623="T52",6,IF(H1623="T52",10,IF(H1623="T84",14,IF(H1623="T84",18,IF(H1623="T52",22,"")))))))</f>
        <v/>
      </c>
      <c r="J1623" s="1" t="s">
        <v>1808</v>
      </c>
      <c r="K1623" s="10">
        <v>4</v>
      </c>
      <c r="L1623" s="10">
        <v>1</v>
      </c>
      <c r="N1623" s="10">
        <v>4</v>
      </c>
      <c r="O1623" s="6"/>
      <c r="P1623" s="45" t="s">
        <v>4756</v>
      </c>
      <c r="Q1623" s="42" t="s">
        <v>4798</v>
      </c>
      <c r="R1623" s="42"/>
      <c r="S1623" s="1" t="s">
        <v>4904</v>
      </c>
    </row>
    <row r="1624" spans="1:19" ht="18.75" customHeight="1" x14ac:dyDescent="0.3">
      <c r="A1624" s="10">
        <v>1623</v>
      </c>
      <c r="B1624" s="10">
        <f>_xlfn.XLOOKUP(1,(VALUE(D1624)&gt;=VALUE(block!$C$3:$C$500))*(VALUE(D1624)&lt;VALUE(block!$C$3:$C$500)+VALUE(block!$D$3:$D$500)),block!$A$3:$A$500,"无匹配",0,1)</f>
        <v>44</v>
      </c>
      <c r="C1624" s="3" t="str">
        <f>B1624 &amp; "-" &amp; COUNTIF($B$2:B1624, B1624)</f>
        <v>44-29</v>
      </c>
      <c r="D1624" s="10">
        <v>12648</v>
      </c>
      <c r="E1624" s="1" t="s">
        <v>4905</v>
      </c>
      <c r="F1624" s="1" t="s">
        <v>4906</v>
      </c>
      <c r="G1624" s="1" t="s">
        <v>4754</v>
      </c>
      <c r="H1624" s="1" t="s">
        <v>4755</v>
      </c>
      <c r="I1624" s="6" t="str">
        <f>IF(H1624="T37",1,IF(H1624="T37",3,IF(H1624="T53",6,IF(H1624="T53",10,IF(H1624="T85",14,IF(H1624="T85",18,IF(H1624="T53",22,"")))))))</f>
        <v/>
      </c>
      <c r="J1624" s="1" t="s">
        <v>1808</v>
      </c>
      <c r="K1624" s="10">
        <v>4</v>
      </c>
      <c r="L1624" s="10">
        <v>1</v>
      </c>
      <c r="N1624" s="10">
        <v>4</v>
      </c>
      <c r="O1624" s="6"/>
      <c r="P1624" s="45" t="s">
        <v>4756</v>
      </c>
      <c r="Q1624" s="42" t="s">
        <v>4798</v>
      </c>
      <c r="R1624" s="42"/>
      <c r="S1624" s="1" t="s">
        <v>4906</v>
      </c>
    </row>
    <row r="1625" spans="1:19" ht="18.75" customHeight="1" x14ac:dyDescent="0.3">
      <c r="A1625" s="10">
        <v>1624</v>
      </c>
      <c r="B1625" s="10">
        <f>_xlfn.XLOOKUP(1,(VALUE(D1625)&gt;=VALUE(block!$C$3:$C$500))*(VALUE(D1625)&lt;VALUE(block!$C$3:$C$500)+VALUE(block!$D$3:$D$500)),block!$A$3:$A$500,"无匹配",0,1)</f>
        <v>44</v>
      </c>
      <c r="C1625" s="3" t="str">
        <f>B1625 &amp; "-" &amp; COUNTIF($B$2:B1625, B1625)</f>
        <v>44-30</v>
      </c>
      <c r="D1625" s="10">
        <v>12652</v>
      </c>
      <c r="E1625" s="1" t="s">
        <v>4907</v>
      </c>
      <c r="F1625" s="1" t="s">
        <v>4908</v>
      </c>
      <c r="G1625" s="1" t="s">
        <v>4754</v>
      </c>
      <c r="H1625" s="1" t="s">
        <v>4755</v>
      </c>
      <c r="I1625" s="6" t="str">
        <f>IF(H1625="T38",1,IF(H1625="T38",3,IF(H1625="T54",6,IF(H1625="T54",10,IF(H1625="T86",14,IF(H1625="T86",18,IF(H1625="T54",22,"")))))))</f>
        <v/>
      </c>
      <c r="J1625" s="1" t="s">
        <v>1808</v>
      </c>
      <c r="K1625" s="10">
        <v>4</v>
      </c>
      <c r="L1625" s="10">
        <v>1</v>
      </c>
      <c r="N1625" s="10">
        <v>4</v>
      </c>
      <c r="O1625" s="6"/>
      <c r="P1625" s="45" t="s">
        <v>4756</v>
      </c>
      <c r="Q1625" s="42" t="s">
        <v>4798</v>
      </c>
      <c r="R1625" s="42"/>
      <c r="S1625" s="1" t="s">
        <v>4908</v>
      </c>
    </row>
    <row r="1626" spans="1:19" ht="18.75" customHeight="1" x14ac:dyDescent="0.3">
      <c r="A1626" s="10">
        <v>1625</v>
      </c>
      <c r="B1626" s="10">
        <f>_xlfn.XLOOKUP(1,(VALUE(D1626)&gt;=VALUE(block!$C$3:$C$500))*(VALUE(D1626)&lt;VALUE(block!$C$3:$C$500)+VALUE(block!$D$3:$D$500)),block!$A$3:$A$500,"无匹配",0,1)</f>
        <v>44</v>
      </c>
      <c r="C1626" s="3" t="str">
        <f>B1626 &amp; "-" &amp; COUNTIF($B$2:B1626, B1626)</f>
        <v>44-31</v>
      </c>
      <c r="D1626" s="10">
        <v>12656</v>
      </c>
      <c r="E1626" s="1" t="s">
        <v>4909</v>
      </c>
      <c r="F1626" s="1" t="s">
        <v>4910</v>
      </c>
      <c r="G1626" s="1" t="s">
        <v>4754</v>
      </c>
      <c r="H1626" s="1" t="s">
        <v>4755</v>
      </c>
      <c r="I1626" s="6" t="str">
        <f>IF(H1626="T39",1,IF(H1626="T39",3,IF(H1626="T55",6,IF(H1626="T55",10,IF(H1626="T87",14,IF(H1626="T87",18,IF(H1626="T55",22,"")))))))</f>
        <v/>
      </c>
      <c r="J1626" s="1" t="s">
        <v>1808</v>
      </c>
      <c r="K1626" s="10">
        <v>4</v>
      </c>
      <c r="L1626" s="10">
        <v>1</v>
      </c>
      <c r="N1626" s="10">
        <v>4</v>
      </c>
      <c r="O1626" s="6"/>
      <c r="P1626" s="45" t="s">
        <v>4756</v>
      </c>
      <c r="Q1626" s="42" t="s">
        <v>4798</v>
      </c>
      <c r="R1626" s="42"/>
      <c r="S1626" s="1" t="s">
        <v>4910</v>
      </c>
    </row>
    <row r="1627" spans="1:19" ht="18.75" customHeight="1" x14ac:dyDescent="0.3">
      <c r="A1627" s="10">
        <v>1626</v>
      </c>
      <c r="B1627" s="10">
        <f>_xlfn.XLOOKUP(1,(VALUE(D1627)&gt;=VALUE(block!$C$3:$C$500))*(VALUE(D1627)&lt;VALUE(block!$C$3:$C$500)+VALUE(block!$D$3:$D$500)),block!$A$3:$A$500,"无匹配",0,1)</f>
        <v>45</v>
      </c>
      <c r="C1627" s="3" t="str">
        <f>B1627 &amp; "-" &amp; COUNTIF($B$2:B1627, B1627)</f>
        <v>45-1</v>
      </c>
      <c r="D1627" s="10">
        <v>12660</v>
      </c>
      <c r="E1627" s="1" t="s">
        <v>4911</v>
      </c>
      <c r="F1627" s="1" t="s">
        <v>4912</v>
      </c>
      <c r="G1627" s="1" t="s">
        <v>4754</v>
      </c>
      <c r="H1627" s="1" t="s">
        <v>4755</v>
      </c>
      <c r="I1627" s="6" t="str">
        <f>IF(H1627="T40",1,IF(H1627="T40",3,IF(H1627="T56",6,IF(H1627="T56",10,IF(H1627="T88",14,IF(H1627="T88",18,IF(H1627="T56",22,"")))))))</f>
        <v/>
      </c>
      <c r="J1627" s="1" t="s">
        <v>1808</v>
      </c>
      <c r="K1627" s="10">
        <v>4</v>
      </c>
      <c r="L1627" s="10">
        <v>1</v>
      </c>
      <c r="N1627" s="10">
        <v>4</v>
      </c>
      <c r="O1627" s="6"/>
      <c r="P1627" s="45" t="s">
        <v>4756</v>
      </c>
      <c r="Q1627" s="42" t="s">
        <v>4798</v>
      </c>
      <c r="R1627" s="42"/>
      <c r="S1627" s="1" t="s">
        <v>4912</v>
      </c>
    </row>
    <row r="1628" spans="1:19" ht="18.75" customHeight="1" x14ac:dyDescent="0.3">
      <c r="A1628" s="10">
        <v>1627</v>
      </c>
      <c r="B1628" s="10">
        <f>_xlfn.XLOOKUP(1,(VALUE(D1628)&gt;=VALUE(block!$C$3:$C$500))*(VALUE(D1628)&lt;VALUE(block!$C$3:$C$500)+VALUE(block!$D$3:$D$500)),block!$A$3:$A$500,"无匹配",0,1)</f>
        <v>45</v>
      </c>
      <c r="C1628" s="3" t="str">
        <f>B1628 &amp; "-" &amp; COUNTIF($B$2:B1628, B1628)</f>
        <v>45-2</v>
      </c>
      <c r="D1628" s="10">
        <v>12664</v>
      </c>
      <c r="E1628" s="1" t="s">
        <v>4913</v>
      </c>
      <c r="F1628" s="1" t="s">
        <v>4914</v>
      </c>
      <c r="G1628" s="1" t="s">
        <v>4762</v>
      </c>
      <c r="H1628" s="1" t="s">
        <v>4755</v>
      </c>
      <c r="I1628" s="6" t="str">
        <f>IF(H1628="T41",1,IF(H1628="T41",3,IF(H1628="T57",6,IF(H1628="T57",10,IF(H1628="T89",14,IF(H1628="T89",18,IF(H1628="T57",22,"")))))))</f>
        <v/>
      </c>
      <c r="J1628" s="1" t="s">
        <v>1808</v>
      </c>
      <c r="K1628" s="10">
        <v>4</v>
      </c>
      <c r="L1628" s="10">
        <v>1</v>
      </c>
      <c r="N1628" s="10">
        <v>4</v>
      </c>
      <c r="O1628" s="6"/>
      <c r="P1628" s="45" t="s">
        <v>4756</v>
      </c>
      <c r="Q1628" s="42" t="s">
        <v>4798</v>
      </c>
      <c r="R1628" s="42"/>
      <c r="S1628" s="1" t="s">
        <v>4914</v>
      </c>
    </row>
    <row r="1629" spans="1:19" ht="18.75" customHeight="1" x14ac:dyDescent="0.3">
      <c r="A1629" s="10">
        <v>1628</v>
      </c>
      <c r="B1629" s="10">
        <f>_xlfn.XLOOKUP(1,(VALUE(D1629)&gt;=VALUE(block!$C$3:$C$500))*(VALUE(D1629)&lt;VALUE(block!$C$3:$C$500)+VALUE(block!$D$3:$D$500)),block!$A$3:$A$500,"无匹配",0,1)</f>
        <v>45</v>
      </c>
      <c r="C1629" s="3" t="str">
        <f>B1629 &amp; "-" &amp; COUNTIF($B$2:B1629, B1629)</f>
        <v>45-3</v>
      </c>
      <c r="D1629" s="10">
        <v>12668</v>
      </c>
      <c r="E1629" s="1" t="s">
        <v>4915</v>
      </c>
      <c r="F1629" s="1" t="s">
        <v>4916</v>
      </c>
      <c r="G1629" s="1" t="s">
        <v>4762</v>
      </c>
      <c r="H1629" s="1" t="s">
        <v>4755</v>
      </c>
      <c r="I1629" s="6" t="str">
        <f>IF(H1629="T42",1,IF(H1629="T42",3,IF(H1629="T58",6,IF(H1629="T58",10,IF(H1629="T90",14,IF(H1629="T90",18,IF(H1629="T58",22,"")))))))</f>
        <v/>
      </c>
      <c r="J1629" s="1" t="s">
        <v>1808</v>
      </c>
      <c r="K1629" s="10">
        <v>4</v>
      </c>
      <c r="L1629" s="10">
        <v>1</v>
      </c>
      <c r="N1629" s="10">
        <v>4</v>
      </c>
      <c r="O1629" s="6"/>
      <c r="P1629" s="45" t="s">
        <v>4756</v>
      </c>
      <c r="Q1629" s="42" t="s">
        <v>4798</v>
      </c>
      <c r="R1629" s="42"/>
      <c r="S1629" s="1" t="s">
        <v>4916</v>
      </c>
    </row>
    <row r="1630" spans="1:19" ht="18.75" customHeight="1" x14ac:dyDescent="0.3">
      <c r="A1630" s="10">
        <v>1629</v>
      </c>
      <c r="B1630" s="10">
        <f>_xlfn.XLOOKUP(1,(VALUE(D1630)&gt;=VALUE(block!$C$3:$C$500))*(VALUE(D1630)&lt;VALUE(block!$C$3:$C$500)+VALUE(block!$D$3:$D$500)),block!$A$3:$A$500,"无匹配",0,1)</f>
        <v>45</v>
      </c>
      <c r="C1630" s="3" t="str">
        <f>B1630 &amp; "-" &amp; COUNTIF($B$2:B1630, B1630)</f>
        <v>45-4</v>
      </c>
      <c r="D1630" s="10">
        <v>12672</v>
      </c>
      <c r="E1630" s="1" t="s">
        <v>4917</v>
      </c>
      <c r="F1630" s="1" t="s">
        <v>4918</v>
      </c>
      <c r="G1630" s="1" t="s">
        <v>4762</v>
      </c>
      <c r="H1630" s="1" t="s">
        <v>4755</v>
      </c>
      <c r="I1630" s="6" t="str">
        <f>IF(H1630="T43",1,IF(H1630="T43",3,IF(H1630="T59",6,IF(H1630="T59",10,IF(H1630="T91",14,IF(H1630="T91",18,IF(H1630="T59",22,"")))))))</f>
        <v/>
      </c>
      <c r="J1630" s="1" t="s">
        <v>1808</v>
      </c>
      <c r="K1630" s="10">
        <v>4</v>
      </c>
      <c r="L1630" s="10">
        <v>1</v>
      </c>
      <c r="N1630" s="10">
        <v>4</v>
      </c>
      <c r="O1630" s="6"/>
      <c r="P1630" s="45" t="s">
        <v>4756</v>
      </c>
      <c r="Q1630" s="42" t="s">
        <v>4798</v>
      </c>
      <c r="R1630" s="42"/>
      <c r="S1630" s="1" t="s">
        <v>4918</v>
      </c>
    </row>
    <row r="1631" spans="1:19" ht="18.75" customHeight="1" x14ac:dyDescent="0.3">
      <c r="A1631" s="10">
        <v>1630</v>
      </c>
      <c r="B1631" s="10">
        <f>_xlfn.XLOOKUP(1,(VALUE(D1631)&gt;=VALUE(block!$C$3:$C$500))*(VALUE(D1631)&lt;VALUE(block!$C$3:$C$500)+VALUE(block!$D$3:$D$500)),block!$A$3:$A$500,"无匹配",0,1)</f>
        <v>45</v>
      </c>
      <c r="C1631" s="3" t="str">
        <f>B1631 &amp; "-" &amp; COUNTIF($B$2:B1631, B1631)</f>
        <v>45-5</v>
      </c>
      <c r="D1631" s="10">
        <v>12676</v>
      </c>
      <c r="E1631" s="1" t="s">
        <v>4919</v>
      </c>
      <c r="F1631" s="1" t="s">
        <v>4920</v>
      </c>
      <c r="G1631" s="1" t="s">
        <v>4762</v>
      </c>
      <c r="H1631" s="1" t="s">
        <v>4755</v>
      </c>
      <c r="I1631" s="6" t="str">
        <f>IF(H1631="T44",1,IF(H1631="T44",3,IF(H1631="T60",6,IF(H1631="T60",10,IF(H1631="T92",14,IF(H1631="T92",18,IF(H1631="T60",22,"")))))))</f>
        <v/>
      </c>
      <c r="J1631" s="1" t="s">
        <v>1808</v>
      </c>
      <c r="K1631" s="10">
        <v>4</v>
      </c>
      <c r="L1631" s="10">
        <v>1</v>
      </c>
      <c r="N1631" s="10">
        <v>4</v>
      </c>
      <c r="O1631" s="6"/>
      <c r="P1631" s="45" t="s">
        <v>4756</v>
      </c>
      <c r="Q1631" s="42" t="s">
        <v>4798</v>
      </c>
      <c r="R1631" s="42"/>
      <c r="S1631" s="1" t="s">
        <v>4920</v>
      </c>
    </row>
    <row r="1632" spans="1:19" ht="18.75" customHeight="1" x14ac:dyDescent="0.3">
      <c r="A1632" s="10">
        <v>1631</v>
      </c>
      <c r="B1632" s="10">
        <f>_xlfn.XLOOKUP(1,(VALUE(D1632)&gt;=VALUE(block!$C$3:$C$500))*(VALUE(D1632)&lt;VALUE(block!$C$3:$C$500)+VALUE(block!$D$3:$D$500)),block!$A$3:$A$500,"无匹配",0,1)</f>
        <v>45</v>
      </c>
      <c r="C1632" s="3" t="str">
        <f>B1632 &amp; "-" &amp; COUNTIF($B$2:B1632, B1632)</f>
        <v>45-6</v>
      </c>
      <c r="D1632" s="10">
        <v>12680</v>
      </c>
      <c r="E1632" s="1" t="s">
        <v>4921</v>
      </c>
      <c r="F1632" s="1" t="s">
        <v>4922</v>
      </c>
      <c r="G1632" s="1" t="s">
        <v>4767</v>
      </c>
      <c r="H1632" s="1" t="s">
        <v>4755</v>
      </c>
      <c r="I1632" s="6" t="str">
        <f>IF(H1632="T45",1,IF(H1632="T45",3,IF(H1632="T61",6,IF(H1632="T61",10,IF(H1632="T93",14,IF(H1632="T93",18,IF(H1632="T61",22,"")))))))</f>
        <v/>
      </c>
      <c r="J1632" s="1" t="s">
        <v>1808</v>
      </c>
      <c r="K1632" s="10">
        <v>4</v>
      </c>
      <c r="L1632" s="10">
        <v>1</v>
      </c>
      <c r="N1632" s="10">
        <v>4</v>
      </c>
      <c r="O1632" s="6"/>
      <c r="P1632" s="45" t="s">
        <v>4756</v>
      </c>
      <c r="Q1632" s="42" t="s">
        <v>4798</v>
      </c>
      <c r="R1632" s="42"/>
      <c r="S1632" s="1" t="s">
        <v>4922</v>
      </c>
    </row>
    <row r="1633" spans="1:19" ht="18.75" customHeight="1" x14ac:dyDescent="0.3">
      <c r="A1633" s="10">
        <v>1632</v>
      </c>
      <c r="B1633" s="10">
        <f>_xlfn.XLOOKUP(1,(VALUE(D1633)&gt;=VALUE(block!$C$3:$C$500))*(VALUE(D1633)&lt;VALUE(block!$C$3:$C$500)+VALUE(block!$D$3:$D$500)),block!$A$3:$A$500,"无匹配",0,1)</f>
        <v>45</v>
      </c>
      <c r="C1633" s="3" t="str">
        <f>B1633 &amp; "-" &amp; COUNTIF($B$2:B1633, B1633)</f>
        <v>45-7</v>
      </c>
      <c r="D1633" s="10">
        <v>12684</v>
      </c>
      <c r="E1633" s="1" t="s">
        <v>4923</v>
      </c>
      <c r="F1633" s="1" t="s">
        <v>4924</v>
      </c>
      <c r="G1633" s="1" t="s">
        <v>4754</v>
      </c>
      <c r="H1633" s="1" t="s">
        <v>4755</v>
      </c>
      <c r="I1633" s="6" t="str">
        <f>IF(H1633="T46",1,IF(H1633="T46",3,IF(H1633="T62",6,IF(H1633="T62",10,IF(H1633="T94",14,IF(H1633="T94",18,IF(H1633="T62",22,"")))))))</f>
        <v/>
      </c>
      <c r="J1633" s="1" t="s">
        <v>1808</v>
      </c>
      <c r="K1633" s="10">
        <v>4</v>
      </c>
      <c r="L1633" s="10">
        <v>1</v>
      </c>
      <c r="N1633" s="10">
        <v>4</v>
      </c>
      <c r="O1633" s="6"/>
      <c r="P1633" s="45" t="s">
        <v>4756</v>
      </c>
      <c r="Q1633" s="42" t="s">
        <v>4798</v>
      </c>
      <c r="R1633" s="42"/>
      <c r="S1633" s="1" t="s">
        <v>4924</v>
      </c>
    </row>
    <row r="1634" spans="1:19" ht="18.75" customHeight="1" x14ac:dyDescent="0.3">
      <c r="A1634" s="10">
        <v>1633</v>
      </c>
      <c r="B1634" s="10">
        <f>_xlfn.XLOOKUP(1,(VALUE(D1634)&gt;=VALUE(block!$C$3:$C$500))*(VALUE(D1634)&lt;VALUE(block!$C$3:$C$500)+VALUE(block!$D$3:$D$500)),block!$A$3:$A$500,"无匹配",0,1)</f>
        <v>45</v>
      </c>
      <c r="C1634" s="3" t="str">
        <f>B1634 &amp; "-" &amp; COUNTIF($B$2:B1634, B1634)</f>
        <v>45-8</v>
      </c>
      <c r="D1634" s="10">
        <v>12688</v>
      </c>
      <c r="E1634" s="1" t="s">
        <v>4925</v>
      </c>
      <c r="F1634" s="1" t="s">
        <v>4926</v>
      </c>
      <c r="G1634" s="1" t="s">
        <v>4754</v>
      </c>
      <c r="H1634" s="1" t="s">
        <v>4755</v>
      </c>
      <c r="I1634" s="6" t="str">
        <f>IF(H1634="T47",1,IF(H1634="T47",3,IF(H1634="T63",6,IF(H1634="T63",10,IF(H1634="T95",14,IF(H1634="T95",18,IF(H1634="T63",22,"")))))))</f>
        <v/>
      </c>
      <c r="J1634" s="1" t="s">
        <v>1808</v>
      </c>
      <c r="K1634" s="10">
        <v>4</v>
      </c>
      <c r="L1634" s="10">
        <v>1</v>
      </c>
      <c r="N1634" s="10">
        <v>4</v>
      </c>
      <c r="O1634" s="6"/>
      <c r="P1634" s="45" t="s">
        <v>4756</v>
      </c>
      <c r="Q1634" s="42" t="s">
        <v>4798</v>
      </c>
      <c r="R1634" s="42"/>
      <c r="S1634" s="1" t="s">
        <v>4926</v>
      </c>
    </row>
    <row r="1635" spans="1:19" ht="18.75" customHeight="1" x14ac:dyDescent="0.3">
      <c r="A1635" s="10">
        <v>1634</v>
      </c>
      <c r="B1635" s="10">
        <f>_xlfn.XLOOKUP(1,(VALUE(D1635)&gt;=VALUE(block!$C$3:$C$500))*(VALUE(D1635)&lt;VALUE(block!$C$3:$C$500)+VALUE(block!$D$3:$D$500)),block!$A$3:$A$500,"无匹配",0,1)</f>
        <v>45</v>
      </c>
      <c r="C1635" s="3" t="str">
        <f>B1635 &amp; "-" &amp; COUNTIF($B$2:B1635, B1635)</f>
        <v>45-9</v>
      </c>
      <c r="D1635" s="10">
        <v>12692</v>
      </c>
      <c r="E1635" s="1" t="s">
        <v>4927</v>
      </c>
      <c r="F1635" s="1" t="s">
        <v>4928</v>
      </c>
      <c r="G1635" s="1" t="s">
        <v>4754</v>
      </c>
      <c r="H1635" s="1" t="s">
        <v>4755</v>
      </c>
      <c r="I1635" s="6" t="str">
        <f>IF(H1635="T48",1,IF(H1635="T48",3,IF(H1635="T64",6,IF(H1635="T64",10,IF(H1635="T96",14,IF(H1635="T96",18,IF(H1635="T64",22,"")))))))</f>
        <v/>
      </c>
      <c r="J1635" s="1" t="s">
        <v>1808</v>
      </c>
      <c r="K1635" s="10">
        <v>4</v>
      </c>
      <c r="L1635" s="10">
        <v>1</v>
      </c>
      <c r="N1635" s="10">
        <v>4</v>
      </c>
      <c r="O1635" s="6"/>
      <c r="P1635" s="45" t="s">
        <v>4756</v>
      </c>
      <c r="Q1635" s="42" t="s">
        <v>4798</v>
      </c>
      <c r="R1635" s="42"/>
      <c r="S1635" s="1" t="s">
        <v>4928</v>
      </c>
    </row>
    <row r="1636" spans="1:19" ht="18.75" customHeight="1" x14ac:dyDescent="0.3">
      <c r="A1636" s="10">
        <v>1635</v>
      </c>
      <c r="B1636" s="10">
        <f>_xlfn.XLOOKUP(1,(VALUE(D1636)&gt;=VALUE(block!$C$3:$C$500))*(VALUE(D1636)&lt;VALUE(block!$C$3:$C$500)+VALUE(block!$D$3:$D$500)),block!$A$3:$A$500,"无匹配",0,1)</f>
        <v>45</v>
      </c>
      <c r="C1636" s="3" t="str">
        <f>B1636 &amp; "-" &amp; COUNTIF($B$2:B1636, B1636)</f>
        <v>45-10</v>
      </c>
      <c r="D1636" s="10">
        <v>12696</v>
      </c>
      <c r="E1636" s="1" t="s">
        <v>4929</v>
      </c>
      <c r="F1636" s="1" t="s">
        <v>4930</v>
      </c>
      <c r="G1636" s="1" t="s">
        <v>4754</v>
      </c>
      <c r="H1636" s="1" t="s">
        <v>4755</v>
      </c>
      <c r="I1636" s="6" t="str">
        <f>IF(H1636="T49",1,IF(H1636="T49",3,IF(H1636="T65",6,IF(H1636="T65",10,IF(H1636="T97",14,IF(H1636="T97",18,IF(H1636="T65",22,"")))))))</f>
        <v/>
      </c>
      <c r="J1636" s="1" t="s">
        <v>1808</v>
      </c>
      <c r="K1636" s="10">
        <v>4</v>
      </c>
      <c r="L1636" s="10">
        <v>1</v>
      </c>
      <c r="N1636" s="10">
        <v>4</v>
      </c>
      <c r="O1636" s="6"/>
      <c r="P1636" s="45" t="s">
        <v>4756</v>
      </c>
      <c r="Q1636" s="42" t="s">
        <v>4798</v>
      </c>
      <c r="R1636" s="42"/>
      <c r="S1636" s="1" t="s">
        <v>4930</v>
      </c>
    </row>
    <row r="1637" spans="1:19" ht="18.75" customHeight="1" x14ac:dyDescent="0.3">
      <c r="A1637" s="10">
        <v>1636</v>
      </c>
      <c r="B1637" s="10">
        <f>_xlfn.XLOOKUP(1,(VALUE(D1637)&gt;=VALUE(block!$C$3:$C$500))*(VALUE(D1637)&lt;VALUE(block!$C$3:$C$500)+VALUE(block!$D$3:$D$500)),block!$A$3:$A$500,"无匹配",0,1)</f>
        <v>45</v>
      </c>
      <c r="C1637" s="3" t="str">
        <f>B1637 &amp; "-" &amp; COUNTIF($B$2:B1637, B1637)</f>
        <v>45-11</v>
      </c>
      <c r="D1637" s="10">
        <v>12700</v>
      </c>
      <c r="E1637" s="1" t="s">
        <v>4931</v>
      </c>
      <c r="F1637" s="1" t="s">
        <v>4932</v>
      </c>
      <c r="G1637" s="1" t="s">
        <v>4762</v>
      </c>
      <c r="H1637" s="1" t="s">
        <v>4755</v>
      </c>
      <c r="I1637" s="6" t="str">
        <f>IF(H1637="T50",1,IF(H1637="T50",3,IF(H1637="T66",6,IF(H1637="T66",10,IF(H1637="T98",14,IF(H1637="T98",18,IF(H1637="T66",22,"")))))))</f>
        <v/>
      </c>
      <c r="J1637" s="1" t="s">
        <v>1808</v>
      </c>
      <c r="K1637" s="10">
        <v>4</v>
      </c>
      <c r="L1637" s="10">
        <v>1</v>
      </c>
      <c r="N1637" s="10">
        <v>4</v>
      </c>
      <c r="O1637" s="6"/>
      <c r="P1637" s="45" t="s">
        <v>4756</v>
      </c>
      <c r="Q1637" s="42" t="s">
        <v>4798</v>
      </c>
      <c r="R1637" s="42"/>
      <c r="S1637" s="1" t="s">
        <v>4932</v>
      </c>
    </row>
    <row r="1638" spans="1:19" ht="18.75" customHeight="1" x14ac:dyDescent="0.3">
      <c r="A1638" s="10">
        <v>1637</v>
      </c>
      <c r="B1638" s="10">
        <f>_xlfn.XLOOKUP(1,(VALUE(D1638)&gt;=VALUE(block!$C$3:$C$500))*(VALUE(D1638)&lt;VALUE(block!$C$3:$C$500)+VALUE(block!$D$3:$D$500)),block!$A$3:$A$500,"无匹配",0,1)</f>
        <v>45</v>
      </c>
      <c r="C1638" s="3" t="str">
        <f>B1638 &amp; "-" &amp; COUNTIF($B$2:B1638, B1638)</f>
        <v>45-12</v>
      </c>
      <c r="D1638" s="10">
        <v>12704</v>
      </c>
      <c r="E1638" s="1" t="s">
        <v>4933</v>
      </c>
      <c r="F1638" s="1" t="s">
        <v>4934</v>
      </c>
      <c r="G1638" s="1" t="s">
        <v>4762</v>
      </c>
      <c r="H1638" s="1" t="s">
        <v>4755</v>
      </c>
      <c r="I1638" s="6" t="str">
        <f>IF(H1638="T51",1,IF(H1638="T51",3,IF(H1638="T67",6,IF(H1638="T67",10,IF(H1638="T99",14,IF(H1638="T99",18,IF(H1638="T67",22,"")))))))</f>
        <v/>
      </c>
      <c r="J1638" s="1" t="s">
        <v>1808</v>
      </c>
      <c r="K1638" s="10">
        <v>4</v>
      </c>
      <c r="L1638" s="10">
        <v>1</v>
      </c>
      <c r="N1638" s="10">
        <v>4</v>
      </c>
      <c r="O1638" s="6"/>
      <c r="P1638" s="45" t="s">
        <v>4756</v>
      </c>
      <c r="Q1638" s="42" t="s">
        <v>4798</v>
      </c>
      <c r="R1638" s="42"/>
      <c r="S1638" s="1" t="s">
        <v>4934</v>
      </c>
    </row>
    <row r="1639" spans="1:19" ht="18.75" customHeight="1" x14ac:dyDescent="0.3">
      <c r="A1639" s="10">
        <v>1638</v>
      </c>
      <c r="B1639" s="10">
        <f>_xlfn.XLOOKUP(1,(VALUE(D1639)&gt;=VALUE(block!$C$3:$C$500))*(VALUE(D1639)&lt;VALUE(block!$C$3:$C$500)+VALUE(block!$D$3:$D$500)),block!$A$3:$A$500,"无匹配",0,1)</f>
        <v>45</v>
      </c>
      <c r="C1639" s="3" t="str">
        <f>B1639 &amp; "-" &amp; COUNTIF($B$2:B1639, B1639)</f>
        <v>45-13</v>
      </c>
      <c r="D1639" s="10">
        <v>12708</v>
      </c>
      <c r="E1639" s="1" t="s">
        <v>4935</v>
      </c>
      <c r="F1639" s="1" t="s">
        <v>4936</v>
      </c>
      <c r="G1639" s="1" t="s">
        <v>4762</v>
      </c>
      <c r="H1639" s="1" t="s">
        <v>4755</v>
      </c>
      <c r="I1639" s="6" t="str">
        <f>IF(H1639="T52",1,IF(H1639="T52",3,IF(H1639="T68",6,IF(H1639="T68",10,IF(H1639="T100",14,IF(H1639="T100",18,IF(H1639="T68",22,"")))))))</f>
        <v/>
      </c>
      <c r="J1639" s="1" t="s">
        <v>1808</v>
      </c>
      <c r="K1639" s="10">
        <v>4</v>
      </c>
      <c r="L1639" s="10">
        <v>1</v>
      </c>
      <c r="N1639" s="10">
        <v>4</v>
      </c>
      <c r="O1639" s="6"/>
      <c r="P1639" s="45" t="s">
        <v>4756</v>
      </c>
      <c r="Q1639" s="42" t="s">
        <v>4798</v>
      </c>
      <c r="R1639" s="42"/>
      <c r="S1639" s="1" t="s">
        <v>4936</v>
      </c>
    </row>
    <row r="1640" spans="1:19" ht="18.75" customHeight="1" x14ac:dyDescent="0.3">
      <c r="A1640" s="10">
        <v>1639</v>
      </c>
      <c r="B1640" s="10">
        <f>_xlfn.XLOOKUP(1,(VALUE(D1640)&gt;=VALUE(block!$C$3:$C$500))*(VALUE(D1640)&lt;VALUE(block!$C$3:$C$500)+VALUE(block!$D$3:$D$500)),block!$A$3:$A$500,"无匹配",0,1)</f>
        <v>45</v>
      </c>
      <c r="C1640" s="3" t="str">
        <f>B1640 &amp; "-" &amp; COUNTIF($B$2:B1640, B1640)</f>
        <v>45-14</v>
      </c>
      <c r="D1640" s="10">
        <v>12712</v>
      </c>
      <c r="E1640" s="1" t="s">
        <v>4937</v>
      </c>
      <c r="F1640" s="1" t="s">
        <v>4938</v>
      </c>
      <c r="G1640" s="1" t="s">
        <v>4762</v>
      </c>
      <c r="H1640" s="1" t="s">
        <v>4755</v>
      </c>
      <c r="I1640" s="6" t="str">
        <f>IF(H1640="T53",1,IF(H1640="T53",3,IF(H1640="T69",6,IF(H1640="T69",10,IF(H1640="T101",14,IF(H1640="T101",18,IF(H1640="T69",22,"")))))))</f>
        <v/>
      </c>
      <c r="J1640" s="1" t="s">
        <v>1808</v>
      </c>
      <c r="K1640" s="10">
        <v>4</v>
      </c>
      <c r="L1640" s="10">
        <v>1</v>
      </c>
      <c r="N1640" s="10">
        <v>4</v>
      </c>
      <c r="O1640" s="6"/>
      <c r="P1640" s="45" t="s">
        <v>4756</v>
      </c>
      <c r="Q1640" s="42" t="s">
        <v>4798</v>
      </c>
      <c r="R1640" s="42"/>
      <c r="S1640" s="1" t="s">
        <v>4938</v>
      </c>
    </row>
    <row r="1641" spans="1:19" ht="18.75" customHeight="1" x14ac:dyDescent="0.3">
      <c r="A1641" s="10">
        <v>1640</v>
      </c>
      <c r="B1641" s="10">
        <f>_xlfn.XLOOKUP(1,(VALUE(D1641)&gt;=VALUE(block!$C$3:$C$500))*(VALUE(D1641)&lt;VALUE(block!$C$3:$C$500)+VALUE(block!$D$3:$D$500)),block!$A$3:$A$500,"无匹配",0,1)</f>
        <v>45</v>
      </c>
      <c r="C1641" s="3" t="str">
        <f>B1641 &amp; "-" &amp; COUNTIF($B$2:B1641, B1641)</f>
        <v>45-15</v>
      </c>
      <c r="D1641" s="10">
        <v>12716</v>
      </c>
      <c r="E1641" s="1" t="s">
        <v>4939</v>
      </c>
      <c r="F1641" s="1" t="s">
        <v>4940</v>
      </c>
      <c r="G1641" s="1" t="s">
        <v>4767</v>
      </c>
      <c r="H1641" s="1" t="s">
        <v>4755</v>
      </c>
      <c r="I1641" s="6" t="str">
        <f>IF(H1641="T54",1,IF(H1641="T54",3,IF(H1641="T70",6,IF(H1641="T70",10,IF(H1641="T102",14,IF(H1641="T102",18,IF(H1641="T70",22,"")))))))</f>
        <v/>
      </c>
      <c r="J1641" s="1" t="s">
        <v>1808</v>
      </c>
      <c r="K1641" s="10">
        <v>4</v>
      </c>
      <c r="L1641" s="10">
        <v>1</v>
      </c>
      <c r="N1641" s="10">
        <v>4</v>
      </c>
      <c r="O1641" s="6"/>
      <c r="P1641" s="45" t="s">
        <v>4756</v>
      </c>
      <c r="Q1641" s="42" t="s">
        <v>4798</v>
      </c>
      <c r="R1641" s="42"/>
      <c r="S1641" s="1" t="s">
        <v>4940</v>
      </c>
    </row>
    <row r="1642" spans="1:19" ht="18.75" customHeight="1" x14ac:dyDescent="0.3">
      <c r="A1642" s="10">
        <v>1641</v>
      </c>
      <c r="B1642" s="10">
        <f>_xlfn.XLOOKUP(1,(VALUE(D1642)&gt;=VALUE(block!$C$3:$C$500))*(VALUE(D1642)&lt;VALUE(block!$C$3:$C$500)+VALUE(block!$D$3:$D$500)),block!$A$3:$A$500,"无匹配",0,1)</f>
        <v>45</v>
      </c>
      <c r="C1642" s="3" t="str">
        <f>B1642 &amp; "-" &amp; COUNTIF($B$2:B1642, B1642)</f>
        <v>45-16</v>
      </c>
      <c r="D1642" s="10">
        <v>12720</v>
      </c>
      <c r="E1642" s="1" t="s">
        <v>4941</v>
      </c>
      <c r="F1642" s="1" t="s">
        <v>4942</v>
      </c>
      <c r="G1642" s="1" t="s">
        <v>4754</v>
      </c>
      <c r="H1642" s="1" t="s">
        <v>4755</v>
      </c>
      <c r="I1642" s="6" t="str">
        <f>IF(H1642="T55",1,IF(H1642="T55",3,IF(H1642="T71",6,IF(H1642="T71",10,IF(H1642="T103",14,IF(H1642="T103",18,IF(H1642="T71",22,"")))))))</f>
        <v/>
      </c>
      <c r="J1642" s="1" t="s">
        <v>1808</v>
      </c>
      <c r="K1642" s="10">
        <v>4</v>
      </c>
      <c r="L1642" s="10">
        <v>1</v>
      </c>
      <c r="N1642" s="10">
        <v>4</v>
      </c>
      <c r="O1642" s="6"/>
      <c r="P1642" s="45" t="s">
        <v>4756</v>
      </c>
      <c r="Q1642" s="42" t="s">
        <v>4798</v>
      </c>
      <c r="R1642" s="42"/>
      <c r="S1642" s="1" t="s">
        <v>4942</v>
      </c>
    </row>
    <row r="1643" spans="1:19" ht="18.75" customHeight="1" x14ac:dyDescent="0.3">
      <c r="A1643" s="10">
        <v>1642</v>
      </c>
      <c r="B1643" s="10">
        <f>_xlfn.XLOOKUP(1,(VALUE(D1643)&gt;=VALUE(block!$C$3:$C$500))*(VALUE(D1643)&lt;VALUE(block!$C$3:$C$500)+VALUE(block!$D$3:$D$500)),block!$A$3:$A$500,"无匹配",0,1)</f>
        <v>45</v>
      </c>
      <c r="C1643" s="3" t="str">
        <f>B1643 &amp; "-" &amp; COUNTIF($B$2:B1643, B1643)</f>
        <v>45-17</v>
      </c>
      <c r="D1643" s="10">
        <v>12724</v>
      </c>
      <c r="E1643" s="1" t="s">
        <v>4943</v>
      </c>
      <c r="F1643" s="1" t="s">
        <v>4944</v>
      </c>
      <c r="G1643" s="1" t="s">
        <v>4754</v>
      </c>
      <c r="H1643" s="1" t="s">
        <v>4755</v>
      </c>
      <c r="I1643" s="6" t="str">
        <f>IF(H1643="T56",1,IF(H1643="T56",3,IF(H1643="T72",6,IF(H1643="T72",10,IF(H1643="T104",14,IF(H1643="T104",18,IF(H1643="T72",22,"")))))))</f>
        <v/>
      </c>
      <c r="J1643" s="1" t="s">
        <v>1808</v>
      </c>
      <c r="K1643" s="10">
        <v>4</v>
      </c>
      <c r="L1643" s="10">
        <v>1</v>
      </c>
      <c r="N1643" s="10">
        <v>4</v>
      </c>
      <c r="O1643" s="6"/>
      <c r="P1643" s="45" t="s">
        <v>4756</v>
      </c>
      <c r="Q1643" s="42" t="s">
        <v>4798</v>
      </c>
      <c r="R1643" s="42"/>
      <c r="S1643" s="1" t="s">
        <v>4944</v>
      </c>
    </row>
    <row r="1644" spans="1:19" ht="18.75" customHeight="1" x14ac:dyDescent="0.3">
      <c r="A1644" s="10">
        <v>1643</v>
      </c>
      <c r="B1644" s="10">
        <f>_xlfn.XLOOKUP(1,(VALUE(D1644)&gt;=VALUE(block!$C$3:$C$500))*(VALUE(D1644)&lt;VALUE(block!$C$3:$C$500)+VALUE(block!$D$3:$D$500)),block!$A$3:$A$500,"无匹配",0,1)</f>
        <v>45</v>
      </c>
      <c r="C1644" s="3" t="str">
        <f>B1644 &amp; "-" &amp; COUNTIF($B$2:B1644, B1644)</f>
        <v>45-18</v>
      </c>
      <c r="D1644" s="10">
        <v>12728</v>
      </c>
      <c r="E1644" s="1" t="s">
        <v>4945</v>
      </c>
      <c r="F1644" s="1" t="s">
        <v>4946</v>
      </c>
      <c r="G1644" s="1" t="s">
        <v>4754</v>
      </c>
      <c r="H1644" s="1" t="s">
        <v>4755</v>
      </c>
      <c r="I1644" s="6" t="str">
        <f>IF(H1644="T57",1,IF(H1644="T57",3,IF(H1644="T73",6,IF(H1644="T73",10,IF(H1644="T105",14,IF(H1644="T105",18,IF(H1644="T73",22,"")))))))</f>
        <v/>
      </c>
      <c r="J1644" s="1" t="s">
        <v>1808</v>
      </c>
      <c r="K1644" s="10">
        <v>4</v>
      </c>
      <c r="L1644" s="10">
        <v>1</v>
      </c>
      <c r="N1644" s="10">
        <v>4</v>
      </c>
      <c r="O1644" s="6"/>
      <c r="P1644" s="45" t="s">
        <v>4756</v>
      </c>
      <c r="Q1644" s="42" t="s">
        <v>4798</v>
      </c>
      <c r="R1644" s="42"/>
      <c r="S1644" s="1" t="s">
        <v>4946</v>
      </c>
    </row>
    <row r="1645" spans="1:19" ht="18.75" customHeight="1" x14ac:dyDescent="0.3">
      <c r="A1645" s="10">
        <v>1644</v>
      </c>
      <c r="B1645" s="10">
        <f>_xlfn.XLOOKUP(1,(VALUE(D1645)&gt;=VALUE(block!$C$3:$C$500))*(VALUE(D1645)&lt;VALUE(block!$C$3:$C$500)+VALUE(block!$D$3:$D$500)),block!$A$3:$A$500,"无匹配",0,1)</f>
        <v>45</v>
      </c>
      <c r="C1645" s="3" t="str">
        <f>B1645 &amp; "-" &amp; COUNTIF($B$2:B1645, B1645)</f>
        <v>45-19</v>
      </c>
      <c r="D1645" s="10">
        <v>12732</v>
      </c>
      <c r="E1645" s="1" t="s">
        <v>4947</v>
      </c>
      <c r="F1645" s="1" t="s">
        <v>4948</v>
      </c>
      <c r="G1645" s="1" t="s">
        <v>4754</v>
      </c>
      <c r="H1645" s="1" t="s">
        <v>4755</v>
      </c>
      <c r="I1645" s="6" t="str">
        <f>IF(H1645="T58",1,IF(H1645="T58",3,IF(H1645="T74",6,IF(H1645="T74",10,IF(H1645="T106",14,IF(H1645="T106",18,IF(H1645="T74",22,"")))))))</f>
        <v/>
      </c>
      <c r="J1645" s="1" t="s">
        <v>1808</v>
      </c>
      <c r="K1645" s="10">
        <v>4</v>
      </c>
      <c r="L1645" s="10">
        <v>1</v>
      </c>
      <c r="N1645" s="10">
        <v>4</v>
      </c>
      <c r="O1645" s="6"/>
      <c r="P1645" s="45" t="s">
        <v>4756</v>
      </c>
      <c r="Q1645" s="42" t="s">
        <v>4798</v>
      </c>
      <c r="R1645" s="42"/>
      <c r="S1645" s="1" t="s">
        <v>4948</v>
      </c>
    </row>
    <row r="1646" spans="1:19" ht="18.75" customHeight="1" x14ac:dyDescent="0.3">
      <c r="A1646" s="10">
        <v>1645</v>
      </c>
      <c r="B1646" s="10">
        <f>_xlfn.XLOOKUP(1,(VALUE(D1646)&gt;=VALUE(block!$C$3:$C$500))*(VALUE(D1646)&lt;VALUE(block!$C$3:$C$500)+VALUE(block!$D$3:$D$500)),block!$A$3:$A$500,"无匹配",0,1)</f>
        <v>45</v>
      </c>
      <c r="C1646" s="3" t="str">
        <f>B1646 &amp; "-" &amp; COUNTIF($B$2:B1646, B1646)</f>
        <v>45-20</v>
      </c>
      <c r="D1646" s="10">
        <v>12736</v>
      </c>
      <c r="E1646" s="1" t="s">
        <v>4949</v>
      </c>
      <c r="F1646" s="1" t="s">
        <v>4950</v>
      </c>
      <c r="G1646" s="1" t="s">
        <v>4762</v>
      </c>
      <c r="H1646" s="1" t="s">
        <v>4755</v>
      </c>
      <c r="I1646" s="6" t="str">
        <f>IF(H1646="T59",1,IF(H1646="T59",3,IF(H1646="T75",6,IF(H1646="T75",10,IF(H1646="T107",14,IF(H1646="T107",18,IF(H1646="T75",22,"")))))))</f>
        <v/>
      </c>
      <c r="J1646" s="1" t="s">
        <v>1808</v>
      </c>
      <c r="K1646" s="10">
        <v>4</v>
      </c>
      <c r="L1646" s="10">
        <v>1</v>
      </c>
      <c r="N1646" s="10">
        <v>4</v>
      </c>
      <c r="O1646" s="6"/>
      <c r="P1646" s="45" t="s">
        <v>4756</v>
      </c>
      <c r="Q1646" s="42" t="s">
        <v>4798</v>
      </c>
      <c r="R1646" s="42"/>
      <c r="S1646" s="1" t="s">
        <v>4950</v>
      </c>
    </row>
    <row r="1647" spans="1:19" ht="18.75" customHeight="1" x14ac:dyDescent="0.3">
      <c r="A1647" s="10">
        <v>1646</v>
      </c>
      <c r="B1647" s="10">
        <f>_xlfn.XLOOKUP(1,(VALUE(D1647)&gt;=VALUE(block!$C$3:$C$500))*(VALUE(D1647)&lt;VALUE(block!$C$3:$C$500)+VALUE(block!$D$3:$D$500)),block!$A$3:$A$500,"无匹配",0,1)</f>
        <v>45</v>
      </c>
      <c r="C1647" s="3" t="str">
        <f>B1647 &amp; "-" &amp; COUNTIF($B$2:B1647, B1647)</f>
        <v>45-21</v>
      </c>
      <c r="D1647" s="10">
        <v>12740</v>
      </c>
      <c r="E1647" s="1" t="s">
        <v>4951</v>
      </c>
      <c r="F1647" s="1" t="s">
        <v>4952</v>
      </c>
      <c r="G1647" s="1" t="s">
        <v>4762</v>
      </c>
      <c r="H1647" s="1" t="s">
        <v>4755</v>
      </c>
      <c r="I1647" s="6" t="str">
        <f>IF(H1647="T60",1,IF(H1647="T60",3,IF(H1647="T76",6,IF(H1647="T76",10,IF(H1647="T108",14,IF(H1647="T108",18,IF(H1647="T76",22,"")))))))</f>
        <v/>
      </c>
      <c r="J1647" s="1" t="s">
        <v>1808</v>
      </c>
      <c r="K1647" s="10">
        <v>4</v>
      </c>
      <c r="L1647" s="10">
        <v>1</v>
      </c>
      <c r="N1647" s="10">
        <v>4</v>
      </c>
      <c r="O1647" s="6"/>
      <c r="P1647" s="45" t="s">
        <v>4756</v>
      </c>
      <c r="Q1647" s="42" t="s">
        <v>4798</v>
      </c>
      <c r="R1647" s="42"/>
      <c r="S1647" s="1" t="s">
        <v>4952</v>
      </c>
    </row>
    <row r="1648" spans="1:19" ht="18.75" customHeight="1" x14ac:dyDescent="0.3">
      <c r="A1648" s="10">
        <v>1647</v>
      </c>
      <c r="B1648" s="10">
        <f>_xlfn.XLOOKUP(1,(VALUE(D1648)&gt;=VALUE(block!$C$3:$C$500))*(VALUE(D1648)&lt;VALUE(block!$C$3:$C$500)+VALUE(block!$D$3:$D$500)),block!$A$3:$A$500,"无匹配",0,1)</f>
        <v>45</v>
      </c>
      <c r="C1648" s="3" t="str">
        <f>B1648 &amp; "-" &amp; COUNTIF($B$2:B1648, B1648)</f>
        <v>45-22</v>
      </c>
      <c r="D1648" s="10">
        <v>12744</v>
      </c>
      <c r="E1648" s="1" t="s">
        <v>4953</v>
      </c>
      <c r="F1648" s="1" t="s">
        <v>4954</v>
      </c>
      <c r="G1648" s="1" t="s">
        <v>4762</v>
      </c>
      <c r="H1648" s="1" t="s">
        <v>4755</v>
      </c>
      <c r="I1648" s="6" t="str">
        <f>IF(H1648="T61",1,IF(H1648="T61",3,IF(H1648="T77",6,IF(H1648="T77",10,IF(H1648="T109",14,IF(H1648="T109",18,IF(H1648="T77",22,"")))))))</f>
        <v/>
      </c>
      <c r="J1648" s="1" t="s">
        <v>1808</v>
      </c>
      <c r="K1648" s="10">
        <v>4</v>
      </c>
      <c r="L1648" s="10">
        <v>1</v>
      </c>
      <c r="N1648" s="10">
        <v>4</v>
      </c>
      <c r="O1648" s="6"/>
      <c r="P1648" s="45" t="s">
        <v>4756</v>
      </c>
      <c r="Q1648" s="42" t="s">
        <v>4798</v>
      </c>
      <c r="R1648" s="42"/>
      <c r="S1648" s="1" t="s">
        <v>4954</v>
      </c>
    </row>
    <row r="1649" spans="1:19" ht="18.75" customHeight="1" x14ac:dyDescent="0.3">
      <c r="A1649" s="10">
        <v>1648</v>
      </c>
      <c r="B1649" s="10">
        <f>_xlfn.XLOOKUP(1,(VALUE(D1649)&gt;=VALUE(block!$C$3:$C$500))*(VALUE(D1649)&lt;VALUE(block!$C$3:$C$500)+VALUE(block!$D$3:$D$500)),block!$A$3:$A$500,"无匹配",0,1)</f>
        <v>45</v>
      </c>
      <c r="C1649" s="3" t="str">
        <f>B1649 &amp; "-" &amp; COUNTIF($B$2:B1649, B1649)</f>
        <v>45-23</v>
      </c>
      <c r="D1649" s="10">
        <v>12748</v>
      </c>
      <c r="E1649" s="1" t="s">
        <v>4955</v>
      </c>
      <c r="F1649" s="1" t="s">
        <v>4956</v>
      </c>
      <c r="G1649" s="1" t="s">
        <v>4762</v>
      </c>
      <c r="H1649" s="1" t="s">
        <v>4755</v>
      </c>
      <c r="I1649" s="6" t="str">
        <f>IF(H1649="T62",1,IF(H1649="T62",3,IF(H1649="T78",6,IF(H1649="T78",10,IF(H1649="T110",14,IF(H1649="T110",18,IF(H1649="T78",22,"")))))))</f>
        <v/>
      </c>
      <c r="J1649" s="1" t="s">
        <v>1808</v>
      </c>
      <c r="K1649" s="10">
        <v>4</v>
      </c>
      <c r="L1649" s="10">
        <v>1</v>
      </c>
      <c r="N1649" s="10">
        <v>4</v>
      </c>
      <c r="O1649" s="6"/>
      <c r="P1649" s="45" t="s">
        <v>4756</v>
      </c>
      <c r="Q1649" s="42" t="s">
        <v>4798</v>
      </c>
      <c r="R1649" s="42"/>
      <c r="S1649" s="1" t="s">
        <v>4956</v>
      </c>
    </row>
    <row r="1650" spans="1:19" ht="18.75" customHeight="1" x14ac:dyDescent="0.3">
      <c r="A1650" s="10">
        <v>1649</v>
      </c>
      <c r="B1650" s="10">
        <f>_xlfn.XLOOKUP(1,(VALUE(D1650)&gt;=VALUE(block!$C$3:$C$500))*(VALUE(D1650)&lt;VALUE(block!$C$3:$C$500)+VALUE(block!$D$3:$D$500)),block!$A$3:$A$500,"无匹配",0,1)</f>
        <v>45</v>
      </c>
      <c r="C1650" s="3" t="str">
        <f>B1650 &amp; "-" &amp; COUNTIF($B$2:B1650, B1650)</f>
        <v>45-24</v>
      </c>
      <c r="D1650" s="10">
        <v>12752</v>
      </c>
      <c r="E1650" s="1" t="s">
        <v>4957</v>
      </c>
      <c r="F1650" s="1" t="s">
        <v>4958</v>
      </c>
      <c r="G1650" s="1" t="s">
        <v>4767</v>
      </c>
      <c r="H1650" s="1" t="s">
        <v>4755</v>
      </c>
      <c r="I1650" s="6" t="str">
        <f>IF(H1650="T63",1,IF(H1650="T63",3,IF(H1650="T79",6,IF(H1650="T79",10,IF(H1650="T111",14,IF(H1650="T111",18,IF(H1650="T79",22,"")))))))</f>
        <v/>
      </c>
      <c r="J1650" s="1" t="s">
        <v>1808</v>
      </c>
      <c r="K1650" s="10">
        <v>4</v>
      </c>
      <c r="L1650" s="10">
        <v>1</v>
      </c>
      <c r="N1650" s="10">
        <v>4</v>
      </c>
      <c r="O1650" s="6"/>
      <c r="P1650" s="45" t="s">
        <v>4756</v>
      </c>
      <c r="Q1650" s="42" t="s">
        <v>4798</v>
      </c>
      <c r="R1650" s="42"/>
      <c r="S1650" s="1" t="s">
        <v>4958</v>
      </c>
    </row>
    <row r="1651" spans="1:19" ht="18.75" customHeight="1" x14ac:dyDescent="0.3">
      <c r="A1651" s="10">
        <v>1650</v>
      </c>
      <c r="B1651" s="10">
        <f>_xlfn.XLOOKUP(1,(VALUE(D1651)&gt;=VALUE(block!$C$3:$C$500))*(VALUE(D1651)&lt;VALUE(block!$C$3:$C$500)+VALUE(block!$D$3:$D$500)),block!$A$3:$A$500,"无匹配",0,1)</f>
        <v>45</v>
      </c>
      <c r="C1651" s="3" t="str">
        <f>B1651 &amp; "-" &amp; COUNTIF($B$2:B1651, B1651)</f>
        <v>45-25</v>
      </c>
      <c r="D1651" s="10">
        <v>12756</v>
      </c>
      <c r="E1651" s="1" t="s">
        <v>4959</v>
      </c>
      <c r="F1651" s="1" t="s">
        <v>4960</v>
      </c>
      <c r="G1651" s="1" t="s">
        <v>4754</v>
      </c>
      <c r="H1651" s="1" t="s">
        <v>4755</v>
      </c>
      <c r="I1651" s="6" t="str">
        <f>IF(H1651="T64",1,IF(H1651="T64",3,IF(H1651="T80",6,IF(H1651="T80",10,IF(H1651="T112",14,IF(H1651="T112",18,IF(H1651="T80",22,"")))))))</f>
        <v/>
      </c>
      <c r="J1651" s="1" t="s">
        <v>1808</v>
      </c>
      <c r="K1651" s="10">
        <v>4</v>
      </c>
      <c r="L1651" s="10">
        <v>1</v>
      </c>
      <c r="N1651" s="10">
        <v>4</v>
      </c>
      <c r="O1651" s="6"/>
      <c r="P1651" s="45" t="s">
        <v>4756</v>
      </c>
      <c r="Q1651" s="42" t="s">
        <v>4798</v>
      </c>
      <c r="R1651" s="42"/>
      <c r="S1651" s="1" t="s">
        <v>4960</v>
      </c>
    </row>
    <row r="1652" spans="1:19" ht="18.75" customHeight="1" x14ac:dyDescent="0.3">
      <c r="A1652" s="10">
        <v>1651</v>
      </c>
      <c r="B1652" s="10">
        <f>_xlfn.XLOOKUP(1,(VALUE(D1652)&gt;=VALUE(block!$C$3:$C$500))*(VALUE(D1652)&lt;VALUE(block!$C$3:$C$500)+VALUE(block!$D$3:$D$500)),block!$A$3:$A$500,"无匹配",0,1)</f>
        <v>45</v>
      </c>
      <c r="C1652" s="3" t="str">
        <f>B1652 &amp; "-" &amp; COUNTIF($B$2:B1652, B1652)</f>
        <v>45-26</v>
      </c>
      <c r="D1652" s="10">
        <v>12760</v>
      </c>
      <c r="E1652" s="1" t="s">
        <v>4961</v>
      </c>
      <c r="F1652" s="1" t="s">
        <v>4962</v>
      </c>
      <c r="G1652" s="1" t="s">
        <v>4754</v>
      </c>
      <c r="H1652" s="1" t="s">
        <v>4755</v>
      </c>
      <c r="I1652" s="6" t="str">
        <f>IF(H1652="T65",1,IF(H1652="T65",3,IF(H1652="T81",6,IF(H1652="T81",10,IF(H1652="T113",14,IF(H1652="T113",18,IF(H1652="T81",22,"")))))))</f>
        <v/>
      </c>
      <c r="J1652" s="1" t="s">
        <v>1808</v>
      </c>
      <c r="K1652" s="10">
        <v>4</v>
      </c>
      <c r="L1652" s="10">
        <v>1</v>
      </c>
      <c r="N1652" s="10">
        <v>4</v>
      </c>
      <c r="O1652" s="6"/>
      <c r="P1652" s="45" t="s">
        <v>4756</v>
      </c>
      <c r="Q1652" s="42" t="s">
        <v>4798</v>
      </c>
      <c r="R1652" s="42"/>
      <c r="S1652" s="1" t="s">
        <v>4962</v>
      </c>
    </row>
    <row r="1653" spans="1:19" ht="18.75" customHeight="1" x14ac:dyDescent="0.3">
      <c r="A1653" s="10">
        <v>1652</v>
      </c>
      <c r="B1653" s="10">
        <f>_xlfn.XLOOKUP(1,(VALUE(D1653)&gt;=VALUE(block!$C$3:$C$500))*(VALUE(D1653)&lt;VALUE(block!$C$3:$C$500)+VALUE(block!$D$3:$D$500)),block!$A$3:$A$500,"无匹配",0,1)</f>
        <v>45</v>
      </c>
      <c r="C1653" s="3" t="str">
        <f>B1653 &amp; "-" &amp; COUNTIF($B$2:B1653, B1653)</f>
        <v>45-27</v>
      </c>
      <c r="D1653" s="10">
        <v>12764</v>
      </c>
      <c r="E1653" s="1" t="s">
        <v>4963</v>
      </c>
      <c r="F1653" s="1" t="s">
        <v>4964</v>
      </c>
      <c r="G1653" s="1" t="s">
        <v>4754</v>
      </c>
      <c r="H1653" s="1" t="s">
        <v>4755</v>
      </c>
      <c r="I1653" s="6" t="str">
        <f>IF(H1653="T66",1,IF(H1653="T66",3,IF(H1653="T82",6,IF(H1653="T82",10,IF(H1653="T114",14,IF(H1653="T114",18,IF(H1653="T82",22,"")))))))</f>
        <v/>
      </c>
      <c r="J1653" s="1" t="s">
        <v>1808</v>
      </c>
      <c r="K1653" s="10">
        <v>4</v>
      </c>
      <c r="L1653" s="10">
        <v>1</v>
      </c>
      <c r="N1653" s="10">
        <v>4</v>
      </c>
      <c r="O1653" s="6"/>
      <c r="P1653" s="45" t="s">
        <v>4756</v>
      </c>
      <c r="Q1653" s="42" t="s">
        <v>4798</v>
      </c>
      <c r="R1653" s="42"/>
      <c r="S1653" s="1" t="s">
        <v>4964</v>
      </c>
    </row>
    <row r="1654" spans="1:19" ht="18.75" customHeight="1" x14ac:dyDescent="0.3">
      <c r="A1654" s="10">
        <v>1653</v>
      </c>
      <c r="B1654" s="10">
        <f>_xlfn.XLOOKUP(1,(VALUE(D1654)&gt;=VALUE(block!$C$3:$C$500))*(VALUE(D1654)&lt;VALUE(block!$C$3:$C$500)+VALUE(block!$D$3:$D$500)),block!$A$3:$A$500,"无匹配",0,1)</f>
        <v>45</v>
      </c>
      <c r="C1654" s="3" t="str">
        <f>B1654 &amp; "-" &amp; COUNTIF($B$2:B1654, B1654)</f>
        <v>45-28</v>
      </c>
      <c r="D1654" s="10">
        <v>12768</v>
      </c>
      <c r="E1654" s="1" t="s">
        <v>4965</v>
      </c>
      <c r="F1654" s="1" t="s">
        <v>4966</v>
      </c>
      <c r="G1654" s="1" t="s">
        <v>4754</v>
      </c>
      <c r="H1654" s="1" t="s">
        <v>4755</v>
      </c>
      <c r="I1654" s="6" t="str">
        <f>IF(H1654="T67",1,IF(H1654="T67",3,IF(H1654="T83",6,IF(H1654="T83",10,IF(H1654="T115",14,IF(H1654="T115",18,IF(H1654="T83",22,"")))))))</f>
        <v/>
      </c>
      <c r="J1654" s="1" t="s">
        <v>1808</v>
      </c>
      <c r="K1654" s="10">
        <v>4</v>
      </c>
      <c r="L1654" s="10">
        <v>1</v>
      </c>
      <c r="N1654" s="10">
        <v>4</v>
      </c>
      <c r="O1654" s="6"/>
      <c r="P1654" s="45" t="s">
        <v>4756</v>
      </c>
      <c r="Q1654" s="42" t="s">
        <v>4798</v>
      </c>
      <c r="R1654" s="42"/>
      <c r="S1654" s="1" t="s">
        <v>4966</v>
      </c>
    </row>
    <row r="1655" spans="1:19" ht="18.75" customHeight="1" x14ac:dyDescent="0.3">
      <c r="A1655" s="10">
        <v>1654</v>
      </c>
      <c r="B1655" s="10">
        <f>_xlfn.XLOOKUP(1,(VALUE(D1655)&gt;=VALUE(block!$C$3:$C$500))*(VALUE(D1655)&lt;VALUE(block!$C$3:$C$500)+VALUE(block!$D$3:$D$500)),block!$A$3:$A$500,"无匹配",0,1)</f>
        <v>45</v>
      </c>
      <c r="C1655" s="3" t="str">
        <f>B1655 &amp; "-" &amp; COUNTIF($B$2:B1655, B1655)</f>
        <v>45-29</v>
      </c>
      <c r="D1655" s="10">
        <v>12772</v>
      </c>
      <c r="E1655" s="1" t="s">
        <v>4967</v>
      </c>
      <c r="F1655" s="1" t="s">
        <v>4968</v>
      </c>
      <c r="G1655" s="1" t="s">
        <v>4762</v>
      </c>
      <c r="H1655" s="1" t="s">
        <v>4755</v>
      </c>
      <c r="I1655" s="6" t="str">
        <f>IF(H1655="T68",1,IF(H1655="T68",3,IF(H1655="T84",6,IF(H1655="T84",10,IF(H1655="T116",14,IF(H1655="T116",18,IF(H1655="T84",22,"")))))))</f>
        <v/>
      </c>
      <c r="J1655" s="1" t="s">
        <v>1808</v>
      </c>
      <c r="K1655" s="10">
        <v>4</v>
      </c>
      <c r="L1655" s="10">
        <v>1</v>
      </c>
      <c r="N1655" s="10">
        <v>4</v>
      </c>
      <c r="O1655" s="6"/>
      <c r="P1655" s="45" t="s">
        <v>4756</v>
      </c>
      <c r="Q1655" s="42" t="s">
        <v>4798</v>
      </c>
      <c r="R1655" s="42"/>
      <c r="S1655" s="1" t="s">
        <v>4968</v>
      </c>
    </row>
    <row r="1656" spans="1:19" ht="18.75" customHeight="1" x14ac:dyDescent="0.3">
      <c r="A1656" s="10">
        <v>1655</v>
      </c>
      <c r="B1656" s="10">
        <f>_xlfn.XLOOKUP(1,(VALUE(D1656)&gt;=VALUE(block!$C$3:$C$500))*(VALUE(D1656)&lt;VALUE(block!$C$3:$C$500)+VALUE(block!$D$3:$D$500)),block!$A$3:$A$500,"无匹配",0,1)</f>
        <v>45</v>
      </c>
      <c r="C1656" s="3" t="str">
        <f>B1656 &amp; "-" &amp; COUNTIF($B$2:B1656, B1656)</f>
        <v>45-30</v>
      </c>
      <c r="D1656" s="10">
        <v>12776</v>
      </c>
      <c r="E1656" s="1" t="s">
        <v>4969</v>
      </c>
      <c r="F1656" s="1" t="s">
        <v>4970</v>
      </c>
      <c r="G1656" s="1" t="s">
        <v>4762</v>
      </c>
      <c r="H1656" s="1" t="s">
        <v>4755</v>
      </c>
      <c r="I1656" s="6" t="str">
        <f>IF(H1656="T69",1,IF(H1656="T69",3,IF(H1656="T85",6,IF(H1656="T85",10,IF(H1656="T117",14,IF(H1656="T117",18,IF(H1656="T85",22,"")))))))</f>
        <v/>
      </c>
      <c r="J1656" s="1" t="s">
        <v>1808</v>
      </c>
      <c r="K1656" s="10">
        <v>4</v>
      </c>
      <c r="L1656" s="10">
        <v>1</v>
      </c>
      <c r="N1656" s="10">
        <v>4</v>
      </c>
      <c r="O1656" s="6"/>
      <c r="P1656" s="45" t="s">
        <v>4756</v>
      </c>
      <c r="Q1656" s="42" t="s">
        <v>4798</v>
      </c>
      <c r="R1656" s="42"/>
      <c r="S1656" s="1" t="s">
        <v>4970</v>
      </c>
    </row>
    <row r="1657" spans="1:19" ht="18.75" customHeight="1" x14ac:dyDescent="0.3">
      <c r="A1657" s="10">
        <v>1656</v>
      </c>
      <c r="B1657" s="10">
        <f>_xlfn.XLOOKUP(1,(VALUE(D1657)&gt;=VALUE(block!$C$3:$C$500))*(VALUE(D1657)&lt;VALUE(block!$C$3:$C$500)+VALUE(block!$D$3:$D$500)),block!$A$3:$A$500,"无匹配",0,1)</f>
        <v>45</v>
      </c>
      <c r="C1657" s="3" t="str">
        <f>B1657 &amp; "-" &amp; COUNTIF($B$2:B1657, B1657)</f>
        <v>45-31</v>
      </c>
      <c r="D1657" s="10">
        <v>12780</v>
      </c>
      <c r="E1657" s="1" t="s">
        <v>4971</v>
      </c>
      <c r="F1657" s="1" t="s">
        <v>4972</v>
      </c>
      <c r="G1657" s="1" t="s">
        <v>4762</v>
      </c>
      <c r="H1657" s="1" t="s">
        <v>4755</v>
      </c>
      <c r="I1657" s="6" t="str">
        <f>IF(H1657="T70",1,IF(H1657="T70",3,IF(H1657="T86",6,IF(H1657="T86",10,IF(H1657="T118",14,IF(H1657="T118",18,IF(H1657="T86",22,"")))))))</f>
        <v/>
      </c>
      <c r="J1657" s="1" t="s">
        <v>1808</v>
      </c>
      <c r="K1657" s="10">
        <v>4</v>
      </c>
      <c r="L1657" s="10">
        <v>1</v>
      </c>
      <c r="N1657" s="10">
        <v>4</v>
      </c>
      <c r="O1657" s="6"/>
      <c r="P1657" s="45" t="s">
        <v>4756</v>
      </c>
      <c r="Q1657" s="42" t="s">
        <v>4798</v>
      </c>
      <c r="R1657" s="42"/>
      <c r="S1657" s="1" t="s">
        <v>4972</v>
      </c>
    </row>
    <row r="1658" spans="1:19" ht="18.75" customHeight="1" x14ac:dyDescent="0.3">
      <c r="A1658" s="10">
        <v>1657</v>
      </c>
      <c r="B1658" s="10">
        <f>_xlfn.XLOOKUP(1,(VALUE(D1658)&gt;=VALUE(block!$C$3:$C$500))*(VALUE(D1658)&lt;VALUE(block!$C$3:$C$500)+VALUE(block!$D$3:$D$500)),block!$A$3:$A$500,"无匹配",0,1)</f>
        <v>46</v>
      </c>
      <c r="C1658" s="3" t="str">
        <f>B1658 &amp; "-" &amp; COUNTIF($B$2:B1658, B1658)</f>
        <v>46-1</v>
      </c>
      <c r="D1658" s="10">
        <v>12784</v>
      </c>
      <c r="E1658" s="1" t="s">
        <v>4973</v>
      </c>
      <c r="F1658" s="1" t="s">
        <v>4974</v>
      </c>
      <c r="G1658" s="1" t="s">
        <v>4762</v>
      </c>
      <c r="H1658" s="1" t="s">
        <v>4755</v>
      </c>
      <c r="I1658" s="6" t="str">
        <f>IF(H1658="T71",1,IF(H1658="T71",3,IF(H1658="T87",6,IF(H1658="T87",10,IF(H1658="T119",14,IF(H1658="T119",18,IF(H1658="T87",22,"")))))))</f>
        <v/>
      </c>
      <c r="J1658" s="1" t="s">
        <v>1808</v>
      </c>
      <c r="K1658" s="10">
        <v>4</v>
      </c>
      <c r="L1658" s="10">
        <v>1</v>
      </c>
      <c r="N1658" s="10">
        <v>4</v>
      </c>
      <c r="O1658" s="6"/>
      <c r="P1658" s="45" t="s">
        <v>4756</v>
      </c>
      <c r="Q1658" s="42" t="s">
        <v>4798</v>
      </c>
      <c r="R1658" s="42"/>
      <c r="S1658" s="1" t="s">
        <v>4974</v>
      </c>
    </row>
    <row r="1659" spans="1:19" ht="18.75" customHeight="1" x14ac:dyDescent="0.3">
      <c r="A1659" s="10">
        <v>1658</v>
      </c>
      <c r="B1659" s="10">
        <f>_xlfn.XLOOKUP(1,(VALUE(D1659)&gt;=VALUE(block!$C$3:$C$500))*(VALUE(D1659)&lt;VALUE(block!$C$3:$C$500)+VALUE(block!$D$3:$D$500)),block!$A$3:$A$500,"无匹配",0,1)</f>
        <v>46</v>
      </c>
      <c r="C1659" s="3" t="str">
        <f>B1659 &amp; "-" &amp; COUNTIF($B$2:B1659, B1659)</f>
        <v>46-2</v>
      </c>
      <c r="D1659" s="10">
        <v>12788</v>
      </c>
      <c r="E1659" s="1" t="s">
        <v>4975</v>
      </c>
      <c r="F1659" s="1" t="s">
        <v>4976</v>
      </c>
      <c r="G1659" s="1" t="s">
        <v>4767</v>
      </c>
      <c r="H1659" s="1" t="s">
        <v>4755</v>
      </c>
      <c r="I1659" s="6" t="str">
        <f>IF(H1659="T72",1,IF(H1659="T72",3,IF(H1659="T88",6,IF(H1659="T88",10,IF(H1659="T120",14,IF(H1659="T120",18,IF(H1659="T88",22,"")))))))</f>
        <v/>
      </c>
      <c r="J1659" s="1" t="s">
        <v>1808</v>
      </c>
      <c r="K1659" s="10">
        <v>4</v>
      </c>
      <c r="L1659" s="10">
        <v>1</v>
      </c>
      <c r="N1659" s="10">
        <v>4</v>
      </c>
      <c r="O1659" s="6"/>
      <c r="P1659" s="45" t="s">
        <v>4756</v>
      </c>
      <c r="Q1659" s="42" t="s">
        <v>4798</v>
      </c>
      <c r="R1659" s="42"/>
      <c r="S1659" s="1" t="s">
        <v>4976</v>
      </c>
    </row>
    <row r="1660" spans="1:19" ht="18.75" customHeight="1" x14ac:dyDescent="0.3">
      <c r="A1660" s="10">
        <v>1659</v>
      </c>
      <c r="B1660" s="10">
        <f>_xlfn.XLOOKUP(1,(VALUE(D1660)&gt;=VALUE(block!$C$3:$C$500))*(VALUE(D1660)&lt;VALUE(block!$C$3:$C$500)+VALUE(block!$D$3:$D$500)),block!$A$3:$A$500,"无匹配",0,1)</f>
        <v>46</v>
      </c>
      <c r="C1660" s="3" t="str">
        <f>B1660 &amp; "-" &amp; COUNTIF($B$2:B1660, B1660)</f>
        <v>46-3</v>
      </c>
      <c r="D1660" s="10">
        <v>12792</v>
      </c>
      <c r="E1660" s="1" t="s">
        <v>4977</v>
      </c>
      <c r="F1660" s="1" t="s">
        <v>4978</v>
      </c>
      <c r="G1660" s="1" t="s">
        <v>4754</v>
      </c>
      <c r="H1660" s="1" t="s">
        <v>4755</v>
      </c>
      <c r="I1660" s="6" t="str">
        <f>IF(H1660="T73",1,IF(H1660="T73",3,IF(H1660="T89",6,IF(H1660="T89",10,IF(H1660="T121",14,IF(H1660="T121",18,IF(H1660="T89",22,"")))))))</f>
        <v/>
      </c>
      <c r="J1660" s="1" t="s">
        <v>1808</v>
      </c>
      <c r="K1660" s="10">
        <v>4</v>
      </c>
      <c r="L1660" s="10">
        <v>1</v>
      </c>
      <c r="N1660" s="10">
        <v>4</v>
      </c>
      <c r="O1660" s="6"/>
      <c r="P1660" s="45" t="s">
        <v>4756</v>
      </c>
      <c r="Q1660" s="42" t="s">
        <v>4798</v>
      </c>
      <c r="R1660" s="42"/>
      <c r="S1660" s="1" t="s">
        <v>4978</v>
      </c>
    </row>
    <row r="1661" spans="1:19" ht="18.75" customHeight="1" x14ac:dyDescent="0.3">
      <c r="A1661" s="10">
        <v>1660</v>
      </c>
      <c r="B1661" s="10">
        <f>_xlfn.XLOOKUP(1,(VALUE(D1661)&gt;=VALUE(block!$C$3:$C$500))*(VALUE(D1661)&lt;VALUE(block!$C$3:$C$500)+VALUE(block!$D$3:$D$500)),block!$A$3:$A$500,"无匹配",0,1)</f>
        <v>46</v>
      </c>
      <c r="C1661" s="3" t="str">
        <f>B1661 &amp; "-" &amp; COUNTIF($B$2:B1661, B1661)</f>
        <v>46-4</v>
      </c>
      <c r="D1661" s="10">
        <v>12796</v>
      </c>
      <c r="E1661" s="1" t="s">
        <v>4979</v>
      </c>
      <c r="F1661" s="1" t="s">
        <v>4980</v>
      </c>
      <c r="G1661" s="1" t="s">
        <v>4754</v>
      </c>
      <c r="H1661" s="1" t="s">
        <v>4755</v>
      </c>
      <c r="I1661" s="6" t="str">
        <f>IF(H1661="T74",1,IF(H1661="T74",3,IF(H1661="T90",6,IF(H1661="T90",10,IF(H1661="T122",14,IF(H1661="T122",18,IF(H1661="T90",22,"")))))))</f>
        <v/>
      </c>
      <c r="J1661" s="1" t="s">
        <v>1808</v>
      </c>
      <c r="K1661" s="10">
        <v>4</v>
      </c>
      <c r="L1661" s="10">
        <v>1</v>
      </c>
      <c r="N1661" s="10">
        <v>4</v>
      </c>
      <c r="O1661" s="6"/>
      <c r="P1661" s="45" t="s">
        <v>4756</v>
      </c>
      <c r="Q1661" s="42" t="s">
        <v>4798</v>
      </c>
      <c r="R1661" s="42"/>
      <c r="S1661" s="1" t="s">
        <v>4980</v>
      </c>
    </row>
    <row r="1662" spans="1:19" ht="18.75" customHeight="1" x14ac:dyDescent="0.3">
      <c r="A1662" s="10">
        <v>1661</v>
      </c>
      <c r="B1662" s="10">
        <f>_xlfn.XLOOKUP(1,(VALUE(D1662)&gt;=VALUE(block!$C$3:$C$500))*(VALUE(D1662)&lt;VALUE(block!$C$3:$C$500)+VALUE(block!$D$3:$D$500)),block!$A$3:$A$500,"无匹配",0,1)</f>
        <v>46</v>
      </c>
      <c r="C1662" s="3" t="str">
        <f>B1662 &amp; "-" &amp; COUNTIF($B$2:B1662, B1662)</f>
        <v>46-5</v>
      </c>
      <c r="D1662" s="10">
        <v>12800</v>
      </c>
      <c r="E1662" s="1" t="s">
        <v>4981</v>
      </c>
      <c r="F1662" s="1" t="s">
        <v>4982</v>
      </c>
      <c r="G1662" s="1" t="s">
        <v>4754</v>
      </c>
      <c r="H1662" s="1" t="s">
        <v>4755</v>
      </c>
      <c r="I1662" s="6" t="str">
        <f>IF(H1662="T75",1,IF(H1662="T75",3,IF(H1662="T91",6,IF(H1662="T91",10,IF(H1662="T123",14,IF(H1662="T123",18,IF(H1662="T91",22,"")))))))</f>
        <v/>
      </c>
      <c r="J1662" s="1" t="s">
        <v>1808</v>
      </c>
      <c r="K1662" s="10">
        <v>4</v>
      </c>
      <c r="L1662" s="10">
        <v>1</v>
      </c>
      <c r="N1662" s="10">
        <v>4</v>
      </c>
      <c r="O1662" s="6"/>
      <c r="P1662" s="45" t="s">
        <v>4756</v>
      </c>
      <c r="Q1662" s="42" t="s">
        <v>4798</v>
      </c>
      <c r="R1662" s="42"/>
      <c r="S1662" s="1" t="s">
        <v>4982</v>
      </c>
    </row>
    <row r="1663" spans="1:19" ht="18.75" customHeight="1" x14ac:dyDescent="0.3">
      <c r="A1663" s="10">
        <v>1662</v>
      </c>
      <c r="B1663" s="10">
        <f>_xlfn.XLOOKUP(1,(VALUE(D1663)&gt;=VALUE(block!$C$3:$C$500))*(VALUE(D1663)&lt;VALUE(block!$C$3:$C$500)+VALUE(block!$D$3:$D$500)),block!$A$3:$A$500,"无匹配",0,1)</f>
        <v>46</v>
      </c>
      <c r="C1663" s="3" t="str">
        <f>B1663 &amp; "-" &amp; COUNTIF($B$2:B1663, B1663)</f>
        <v>46-6</v>
      </c>
      <c r="D1663" s="10">
        <v>12804</v>
      </c>
      <c r="E1663" s="1" t="s">
        <v>4983</v>
      </c>
      <c r="F1663" s="1" t="s">
        <v>4984</v>
      </c>
      <c r="G1663" s="1" t="s">
        <v>4754</v>
      </c>
      <c r="H1663" s="1" t="s">
        <v>4755</v>
      </c>
      <c r="I1663" s="6" t="str">
        <f>IF(H1663="T76",1,IF(H1663="T76",3,IF(H1663="T92",6,IF(H1663="T92",10,IF(H1663="T124",14,IF(H1663="T124",18,IF(H1663="T92",22,"")))))))</f>
        <v/>
      </c>
      <c r="J1663" s="1" t="s">
        <v>1808</v>
      </c>
      <c r="K1663" s="10">
        <v>4</v>
      </c>
      <c r="L1663" s="10">
        <v>1</v>
      </c>
      <c r="N1663" s="10">
        <v>4</v>
      </c>
      <c r="O1663" s="6"/>
      <c r="P1663" s="45" t="s">
        <v>4756</v>
      </c>
      <c r="Q1663" s="42" t="s">
        <v>4798</v>
      </c>
      <c r="R1663" s="42"/>
      <c r="S1663" s="1" t="s">
        <v>4984</v>
      </c>
    </row>
    <row r="1664" spans="1:19" ht="18.75" customHeight="1" x14ac:dyDescent="0.3">
      <c r="A1664" s="10">
        <v>1663</v>
      </c>
      <c r="B1664" s="10">
        <f>_xlfn.XLOOKUP(1,(VALUE(D1664)&gt;=VALUE(block!$C$3:$C$500))*(VALUE(D1664)&lt;VALUE(block!$C$3:$C$500)+VALUE(block!$D$3:$D$500)),block!$A$3:$A$500,"无匹配",0,1)</f>
        <v>46</v>
      </c>
      <c r="C1664" s="3" t="str">
        <f>B1664 &amp; "-" &amp; COUNTIF($B$2:B1664, B1664)</f>
        <v>46-7</v>
      </c>
      <c r="D1664" s="10">
        <v>12808</v>
      </c>
      <c r="E1664" s="1" t="s">
        <v>4985</v>
      </c>
      <c r="F1664" s="1" t="s">
        <v>4986</v>
      </c>
      <c r="G1664" s="1" t="s">
        <v>4762</v>
      </c>
      <c r="H1664" s="1" t="s">
        <v>4755</v>
      </c>
      <c r="I1664" s="6" t="str">
        <f>IF(H1664="T77",1,IF(H1664="T77",3,IF(H1664="T93",6,IF(H1664="T93",10,IF(H1664="T125",14,IF(H1664="T125",18,IF(H1664="T93",22,"")))))))</f>
        <v/>
      </c>
      <c r="J1664" s="1" t="s">
        <v>1808</v>
      </c>
      <c r="K1664" s="10">
        <v>4</v>
      </c>
      <c r="L1664" s="10">
        <v>1</v>
      </c>
      <c r="N1664" s="10">
        <v>4</v>
      </c>
      <c r="O1664" s="6"/>
      <c r="P1664" s="45" t="s">
        <v>4756</v>
      </c>
      <c r="Q1664" s="42" t="s">
        <v>4798</v>
      </c>
      <c r="R1664" s="42"/>
      <c r="S1664" s="1" t="s">
        <v>4986</v>
      </c>
    </row>
    <row r="1665" spans="1:19" ht="18.75" customHeight="1" x14ac:dyDescent="0.3">
      <c r="A1665" s="10">
        <v>1664</v>
      </c>
      <c r="B1665" s="10">
        <f>_xlfn.XLOOKUP(1,(VALUE(D1665)&gt;=VALUE(block!$C$3:$C$500))*(VALUE(D1665)&lt;VALUE(block!$C$3:$C$500)+VALUE(block!$D$3:$D$500)),block!$A$3:$A$500,"无匹配",0,1)</f>
        <v>46</v>
      </c>
      <c r="C1665" s="3" t="str">
        <f>B1665 &amp; "-" &amp; COUNTIF($B$2:B1665, B1665)</f>
        <v>46-8</v>
      </c>
      <c r="D1665" s="10">
        <v>12812</v>
      </c>
      <c r="E1665" s="1" t="s">
        <v>4987</v>
      </c>
      <c r="F1665" s="1" t="s">
        <v>4988</v>
      </c>
      <c r="G1665" s="1" t="s">
        <v>4762</v>
      </c>
      <c r="H1665" s="1" t="s">
        <v>4755</v>
      </c>
      <c r="I1665" s="6" t="str">
        <f>IF(H1665="T78",1,IF(H1665="T78",3,IF(H1665="T94",6,IF(H1665="T94",10,IF(H1665="T126",14,IF(H1665="T126",18,IF(H1665="T94",22,"")))))))</f>
        <v/>
      </c>
      <c r="J1665" s="1" t="s">
        <v>1808</v>
      </c>
      <c r="K1665" s="10">
        <v>4</v>
      </c>
      <c r="L1665" s="10">
        <v>1</v>
      </c>
      <c r="N1665" s="10">
        <v>4</v>
      </c>
      <c r="O1665" s="6"/>
      <c r="P1665" s="45" t="s">
        <v>4756</v>
      </c>
      <c r="Q1665" s="42" t="s">
        <v>4798</v>
      </c>
      <c r="R1665" s="42"/>
      <c r="S1665" s="1" t="s">
        <v>4988</v>
      </c>
    </row>
    <row r="1666" spans="1:19" ht="18.75" customHeight="1" x14ac:dyDescent="0.3">
      <c r="A1666" s="10">
        <v>1665</v>
      </c>
      <c r="B1666" s="10">
        <f>_xlfn.XLOOKUP(1,(VALUE(D1666)&gt;=VALUE(block!$C$3:$C$500))*(VALUE(D1666)&lt;VALUE(block!$C$3:$C$500)+VALUE(block!$D$3:$D$500)),block!$A$3:$A$500,"无匹配",0,1)</f>
        <v>46</v>
      </c>
      <c r="C1666" s="3" t="str">
        <f>B1666 &amp; "-" &amp; COUNTIF($B$2:B1666, B1666)</f>
        <v>46-9</v>
      </c>
      <c r="D1666" s="10">
        <v>12816</v>
      </c>
      <c r="E1666" s="1" t="s">
        <v>4989</v>
      </c>
      <c r="F1666" s="1" t="s">
        <v>4990</v>
      </c>
      <c r="G1666" s="1" t="s">
        <v>4762</v>
      </c>
      <c r="H1666" s="1" t="s">
        <v>4755</v>
      </c>
      <c r="I1666" s="6" t="str">
        <f>IF(H1666="T79",1,IF(H1666="T79",3,IF(H1666="T95",6,IF(H1666="T95",10,IF(H1666="T127",14,IF(H1666="T127",18,IF(H1666="T95",22,"")))))))</f>
        <v/>
      </c>
      <c r="J1666" s="1" t="s">
        <v>1808</v>
      </c>
      <c r="K1666" s="10">
        <v>4</v>
      </c>
      <c r="L1666" s="10">
        <v>1</v>
      </c>
      <c r="N1666" s="10">
        <v>4</v>
      </c>
      <c r="O1666" s="6"/>
      <c r="P1666" s="45" t="s">
        <v>4756</v>
      </c>
      <c r="Q1666" s="42" t="s">
        <v>4798</v>
      </c>
      <c r="R1666" s="42"/>
      <c r="S1666" s="1" t="s">
        <v>4990</v>
      </c>
    </row>
    <row r="1667" spans="1:19" ht="18.75" customHeight="1" x14ac:dyDescent="0.3">
      <c r="A1667" s="10">
        <v>1666</v>
      </c>
      <c r="B1667" s="10">
        <f>_xlfn.XLOOKUP(1,(VALUE(D1667)&gt;=VALUE(block!$C$3:$C$500))*(VALUE(D1667)&lt;VALUE(block!$C$3:$C$500)+VALUE(block!$D$3:$D$500)),block!$A$3:$A$500,"无匹配",0,1)</f>
        <v>46</v>
      </c>
      <c r="C1667" s="3" t="str">
        <f>B1667 &amp; "-" &amp; COUNTIF($B$2:B1667, B1667)</f>
        <v>46-10</v>
      </c>
      <c r="D1667" s="10">
        <v>12820</v>
      </c>
      <c r="E1667" s="1" t="s">
        <v>4991</v>
      </c>
      <c r="F1667" s="1" t="s">
        <v>4992</v>
      </c>
      <c r="G1667" s="1" t="s">
        <v>4762</v>
      </c>
      <c r="H1667" s="1" t="s">
        <v>4755</v>
      </c>
      <c r="I1667" s="6" t="str">
        <f>IF(H1667="uint16",1,IF(H1667="int16",3,IF(H1667="uint32",6,IF(H1667="int32",10,IF(H1667="uint64",14,IF(H1667="int64",18,IF(H1667="float32",22,"")))))))</f>
        <v/>
      </c>
      <c r="J1667" s="1" t="s">
        <v>1808</v>
      </c>
      <c r="K1667" s="10">
        <v>4</v>
      </c>
      <c r="L1667" s="10">
        <v>1</v>
      </c>
      <c r="N1667" s="10">
        <v>4</v>
      </c>
      <c r="O1667" s="6"/>
      <c r="P1667" s="45" t="s">
        <v>4756</v>
      </c>
      <c r="Q1667" s="42" t="s">
        <v>4798</v>
      </c>
      <c r="R1667" s="42"/>
      <c r="S1667" s="1" t="s">
        <v>4992</v>
      </c>
    </row>
    <row r="1668" spans="1:19" ht="18.75" customHeight="1" x14ac:dyDescent="0.3">
      <c r="A1668" s="10">
        <v>1667</v>
      </c>
      <c r="B1668" s="10">
        <f>_xlfn.XLOOKUP(1,(VALUE(D1668)&gt;=VALUE(block!$C$3:$C$500))*(VALUE(D1668)&lt;VALUE(block!$C$3:$C$500)+VALUE(block!$D$3:$D$500)),block!$A$3:$A$500,"无匹配",0,1)</f>
        <v>46</v>
      </c>
      <c r="C1668" s="3" t="str">
        <f>B1668 &amp; "-" &amp; COUNTIF($B$2:B1668, B1668)</f>
        <v>46-11</v>
      </c>
      <c r="D1668" s="10">
        <v>12824</v>
      </c>
      <c r="E1668" s="1" t="s">
        <v>4993</v>
      </c>
      <c r="F1668" s="1" t="s">
        <v>4994</v>
      </c>
      <c r="G1668" s="1" t="s">
        <v>4767</v>
      </c>
      <c r="H1668" s="1" t="s">
        <v>4755</v>
      </c>
      <c r="I1668" s="6" t="str">
        <f>IF(H1668="T17",1,IF(H1668="T17",3,IF(H1668="T33",6,IF(H1668="T33",10,IF(H1668="T65",14,IF(H1668="T65",18,IF(H1668="T33",22,"")))))))</f>
        <v/>
      </c>
      <c r="J1668" s="1" t="s">
        <v>1808</v>
      </c>
      <c r="K1668" s="10">
        <v>4</v>
      </c>
      <c r="L1668" s="10">
        <v>1</v>
      </c>
      <c r="N1668" s="10">
        <v>4</v>
      </c>
      <c r="O1668" s="6"/>
      <c r="P1668" s="45" t="s">
        <v>4756</v>
      </c>
      <c r="Q1668" s="42" t="s">
        <v>4798</v>
      </c>
      <c r="R1668" s="42"/>
      <c r="S1668" s="1" t="s">
        <v>4994</v>
      </c>
    </row>
    <row r="1669" spans="1:19" ht="18.75" customHeight="1" x14ac:dyDescent="0.3">
      <c r="A1669" s="10">
        <v>1668</v>
      </c>
      <c r="B1669" s="10">
        <f>_xlfn.XLOOKUP(1,(VALUE(D1669)&gt;=VALUE(block!$C$3:$C$500))*(VALUE(D1669)&lt;VALUE(block!$C$3:$C$500)+VALUE(block!$D$3:$D$500)),block!$A$3:$A$500,"无匹配",0,1)</f>
        <v>46</v>
      </c>
      <c r="C1669" s="3" t="str">
        <f>B1669 &amp; "-" &amp; COUNTIF($B$2:B1669, B1669)</f>
        <v>46-12</v>
      </c>
      <c r="D1669" s="10">
        <v>12828</v>
      </c>
      <c r="E1669" s="1" t="s">
        <v>4995</v>
      </c>
      <c r="F1669" s="1" t="s">
        <v>4996</v>
      </c>
      <c r="G1669" s="1" t="s">
        <v>4754</v>
      </c>
      <c r="H1669" s="1" t="s">
        <v>4755</v>
      </c>
      <c r="I1669" s="6" t="str">
        <f>IF(H1669="T18",1,IF(H1669="T18",3,IF(H1669="T34",6,IF(H1669="T34",10,IF(H1669="T66",14,IF(H1669="T66",18,IF(H1669="T34",22,"")))))))</f>
        <v/>
      </c>
      <c r="J1669" s="1" t="s">
        <v>1808</v>
      </c>
      <c r="K1669" s="10">
        <v>4</v>
      </c>
      <c r="L1669" s="10">
        <v>1</v>
      </c>
      <c r="N1669" s="10">
        <v>4</v>
      </c>
      <c r="O1669" s="6"/>
      <c r="P1669" s="45" t="s">
        <v>4756</v>
      </c>
      <c r="Q1669" s="42" t="s">
        <v>4798</v>
      </c>
      <c r="R1669" s="42"/>
      <c r="S1669" s="1" t="s">
        <v>4996</v>
      </c>
    </row>
    <row r="1670" spans="1:19" ht="18.75" customHeight="1" x14ac:dyDescent="0.3">
      <c r="A1670" s="10">
        <v>1669</v>
      </c>
      <c r="B1670" s="10">
        <f>_xlfn.XLOOKUP(1,(VALUE(D1670)&gt;=VALUE(block!$C$3:$C$500))*(VALUE(D1670)&lt;VALUE(block!$C$3:$C$500)+VALUE(block!$D$3:$D$500)),block!$A$3:$A$500,"无匹配",0,1)</f>
        <v>46</v>
      </c>
      <c r="C1670" s="3" t="str">
        <f>B1670 &amp; "-" &amp; COUNTIF($B$2:B1670, B1670)</f>
        <v>46-13</v>
      </c>
      <c r="D1670" s="10">
        <v>12832</v>
      </c>
      <c r="E1670" s="1" t="s">
        <v>4997</v>
      </c>
      <c r="F1670" s="1" t="s">
        <v>4998</v>
      </c>
      <c r="G1670" s="1" t="s">
        <v>4754</v>
      </c>
      <c r="H1670" s="1" t="s">
        <v>4755</v>
      </c>
      <c r="I1670" s="6" t="str">
        <f>IF(H1670="T19",1,IF(H1670="T19",3,IF(H1670="T35",6,IF(H1670="T35",10,IF(H1670="T67",14,IF(H1670="T67",18,IF(H1670="T35",22,"")))))))</f>
        <v/>
      </c>
      <c r="J1670" s="1" t="s">
        <v>1808</v>
      </c>
      <c r="K1670" s="10">
        <v>4</v>
      </c>
      <c r="L1670" s="10">
        <v>1</v>
      </c>
      <c r="N1670" s="10">
        <v>4</v>
      </c>
      <c r="O1670" s="6"/>
      <c r="P1670" s="45" t="s">
        <v>4756</v>
      </c>
      <c r="Q1670" s="42" t="s">
        <v>4798</v>
      </c>
      <c r="R1670" s="42"/>
      <c r="S1670" s="1" t="s">
        <v>4998</v>
      </c>
    </row>
    <row r="1671" spans="1:19" ht="18.75" customHeight="1" x14ac:dyDescent="0.3">
      <c r="A1671" s="10">
        <v>1670</v>
      </c>
      <c r="B1671" s="10">
        <f>_xlfn.XLOOKUP(1,(VALUE(D1671)&gt;=VALUE(block!$C$3:$C$500))*(VALUE(D1671)&lt;VALUE(block!$C$3:$C$500)+VALUE(block!$D$3:$D$500)),block!$A$3:$A$500,"无匹配",0,1)</f>
        <v>46</v>
      </c>
      <c r="C1671" s="3" t="str">
        <f>B1671 &amp; "-" &amp; COUNTIF($B$2:B1671, B1671)</f>
        <v>46-14</v>
      </c>
      <c r="D1671" s="10">
        <v>12836</v>
      </c>
      <c r="E1671" s="1" t="s">
        <v>4999</v>
      </c>
      <c r="F1671" s="1" t="s">
        <v>5000</v>
      </c>
      <c r="G1671" s="1" t="s">
        <v>4754</v>
      </c>
      <c r="H1671" s="1" t="s">
        <v>4755</v>
      </c>
      <c r="I1671" s="6" t="str">
        <f>IF(H1671="T20",1,IF(H1671="T20",3,IF(H1671="T36",6,IF(H1671="T36",10,IF(H1671="T68",14,IF(H1671="T68",18,IF(H1671="T36",22,"")))))))</f>
        <v/>
      </c>
      <c r="J1671" s="1" t="s">
        <v>1808</v>
      </c>
      <c r="K1671" s="10">
        <v>4</v>
      </c>
      <c r="L1671" s="10">
        <v>1</v>
      </c>
      <c r="N1671" s="10">
        <v>4</v>
      </c>
      <c r="O1671" s="6"/>
      <c r="P1671" s="45" t="s">
        <v>4756</v>
      </c>
      <c r="Q1671" s="42" t="s">
        <v>4798</v>
      </c>
      <c r="R1671" s="42"/>
      <c r="S1671" s="1" t="s">
        <v>5000</v>
      </c>
    </row>
    <row r="1672" spans="1:19" ht="18.75" customHeight="1" x14ac:dyDescent="0.3">
      <c r="A1672" s="10">
        <v>1671</v>
      </c>
      <c r="B1672" s="10">
        <f>_xlfn.XLOOKUP(1,(VALUE(D1672)&gt;=VALUE(block!$C$3:$C$500))*(VALUE(D1672)&lt;VALUE(block!$C$3:$C$500)+VALUE(block!$D$3:$D$500)),block!$A$3:$A$500,"无匹配",0,1)</f>
        <v>46</v>
      </c>
      <c r="C1672" s="3" t="str">
        <f>B1672 &amp; "-" &amp; COUNTIF($B$2:B1672, B1672)</f>
        <v>46-15</v>
      </c>
      <c r="D1672" s="10">
        <v>12840</v>
      </c>
      <c r="E1672" s="1" t="s">
        <v>5001</v>
      </c>
      <c r="F1672" s="1" t="s">
        <v>5002</v>
      </c>
      <c r="G1672" s="1" t="s">
        <v>4754</v>
      </c>
      <c r="H1672" s="1" t="s">
        <v>4755</v>
      </c>
      <c r="I1672" s="6" t="str">
        <f>IF(H1672="T21",1,IF(H1672="T21",3,IF(H1672="T37",6,IF(H1672="T37",10,IF(H1672="T69",14,IF(H1672="T69",18,IF(H1672="T37",22,"")))))))</f>
        <v/>
      </c>
      <c r="J1672" s="1" t="s">
        <v>1808</v>
      </c>
      <c r="K1672" s="10">
        <v>4</v>
      </c>
      <c r="L1672" s="10">
        <v>1</v>
      </c>
      <c r="N1672" s="10">
        <v>4</v>
      </c>
      <c r="O1672" s="6"/>
      <c r="P1672" s="45" t="s">
        <v>4756</v>
      </c>
      <c r="Q1672" s="42" t="s">
        <v>4798</v>
      </c>
      <c r="R1672" s="42"/>
      <c r="S1672" s="1" t="s">
        <v>5002</v>
      </c>
    </row>
    <row r="1673" spans="1:19" ht="18.75" customHeight="1" x14ac:dyDescent="0.3">
      <c r="A1673" s="10">
        <v>1672</v>
      </c>
      <c r="B1673" s="10">
        <f>_xlfn.XLOOKUP(1,(VALUE(D1673)&gt;=VALUE(block!$C$3:$C$500))*(VALUE(D1673)&lt;VALUE(block!$C$3:$C$500)+VALUE(block!$D$3:$D$500)),block!$A$3:$A$500,"无匹配",0,1)</f>
        <v>46</v>
      </c>
      <c r="C1673" s="3" t="str">
        <f>B1673 &amp; "-" &amp; COUNTIF($B$2:B1673, B1673)</f>
        <v>46-16</v>
      </c>
      <c r="D1673" s="10">
        <v>12844</v>
      </c>
      <c r="E1673" s="1" t="s">
        <v>5003</v>
      </c>
      <c r="F1673" s="1" t="s">
        <v>5004</v>
      </c>
      <c r="G1673" s="1" t="s">
        <v>4762</v>
      </c>
      <c r="H1673" s="1" t="s">
        <v>4755</v>
      </c>
      <c r="I1673" s="6" t="str">
        <f>IF(H1673="T22",1,IF(H1673="T22",3,IF(H1673="T38",6,IF(H1673="T38",10,IF(H1673="T70",14,IF(H1673="T70",18,IF(H1673="T38",22,"")))))))</f>
        <v/>
      </c>
      <c r="J1673" s="1" t="s">
        <v>1808</v>
      </c>
      <c r="K1673" s="10">
        <v>4</v>
      </c>
      <c r="L1673" s="10">
        <v>1</v>
      </c>
      <c r="N1673" s="10">
        <v>4</v>
      </c>
      <c r="O1673" s="6"/>
      <c r="P1673" s="45" t="s">
        <v>4756</v>
      </c>
      <c r="Q1673" s="42" t="s">
        <v>4798</v>
      </c>
      <c r="R1673" s="42"/>
      <c r="S1673" s="1" t="s">
        <v>5004</v>
      </c>
    </row>
    <row r="1674" spans="1:19" ht="18.75" customHeight="1" x14ac:dyDescent="0.3">
      <c r="A1674" s="10">
        <v>1673</v>
      </c>
      <c r="B1674" s="10">
        <f>_xlfn.XLOOKUP(1,(VALUE(D1674)&gt;=VALUE(block!$C$3:$C$500))*(VALUE(D1674)&lt;VALUE(block!$C$3:$C$500)+VALUE(block!$D$3:$D$500)),block!$A$3:$A$500,"无匹配",0,1)</f>
        <v>46</v>
      </c>
      <c r="C1674" s="3" t="str">
        <f>B1674 &amp; "-" &amp; COUNTIF($B$2:B1674, B1674)</f>
        <v>46-17</v>
      </c>
      <c r="D1674" s="10">
        <v>12848</v>
      </c>
      <c r="E1674" s="1" t="s">
        <v>5005</v>
      </c>
      <c r="F1674" s="1" t="s">
        <v>5006</v>
      </c>
      <c r="G1674" s="1" t="s">
        <v>4762</v>
      </c>
      <c r="H1674" s="1" t="s">
        <v>4755</v>
      </c>
      <c r="I1674" s="6" t="str">
        <f>IF(H1674="T23",1,IF(H1674="T23",3,IF(H1674="T39",6,IF(H1674="T39",10,IF(H1674="T71",14,IF(H1674="T71",18,IF(H1674="T39",22,"")))))))</f>
        <v/>
      </c>
      <c r="J1674" s="1" t="s">
        <v>1808</v>
      </c>
      <c r="K1674" s="10">
        <v>4</v>
      </c>
      <c r="L1674" s="10">
        <v>1</v>
      </c>
      <c r="N1674" s="10">
        <v>4</v>
      </c>
      <c r="O1674" s="6"/>
      <c r="P1674" s="45" t="s">
        <v>4756</v>
      </c>
      <c r="Q1674" s="42" t="s">
        <v>4798</v>
      </c>
      <c r="R1674" s="42"/>
      <c r="S1674" s="1" t="s">
        <v>5006</v>
      </c>
    </row>
    <row r="1675" spans="1:19" ht="18.75" customHeight="1" x14ac:dyDescent="0.3">
      <c r="A1675" s="10">
        <v>1674</v>
      </c>
      <c r="B1675" s="10">
        <f>_xlfn.XLOOKUP(1,(VALUE(D1675)&gt;=VALUE(block!$C$3:$C$500))*(VALUE(D1675)&lt;VALUE(block!$C$3:$C$500)+VALUE(block!$D$3:$D$500)),block!$A$3:$A$500,"无匹配",0,1)</f>
        <v>46</v>
      </c>
      <c r="C1675" s="3" t="str">
        <f>B1675 &amp; "-" &amp; COUNTIF($B$2:B1675, B1675)</f>
        <v>46-18</v>
      </c>
      <c r="D1675" s="10">
        <v>12852</v>
      </c>
      <c r="E1675" s="1" t="s">
        <v>5007</v>
      </c>
      <c r="F1675" s="1" t="s">
        <v>5008</v>
      </c>
      <c r="G1675" s="1" t="s">
        <v>4762</v>
      </c>
      <c r="H1675" s="1" t="s">
        <v>4755</v>
      </c>
      <c r="I1675" s="6" t="str">
        <f>IF(H1675="T24",1,IF(H1675="T24",3,IF(H1675="T40",6,IF(H1675="T40",10,IF(H1675="T72",14,IF(H1675="T72",18,IF(H1675="T40",22,"")))))))</f>
        <v/>
      </c>
      <c r="J1675" s="1" t="s">
        <v>1808</v>
      </c>
      <c r="K1675" s="10">
        <v>4</v>
      </c>
      <c r="L1675" s="10">
        <v>1</v>
      </c>
      <c r="N1675" s="10">
        <v>4</v>
      </c>
      <c r="O1675" s="6"/>
      <c r="P1675" s="45" t="s">
        <v>4756</v>
      </c>
      <c r="Q1675" s="42" t="s">
        <v>4798</v>
      </c>
      <c r="R1675" s="42"/>
      <c r="S1675" s="1" t="s">
        <v>5008</v>
      </c>
    </row>
    <row r="1676" spans="1:19" ht="18.75" customHeight="1" x14ac:dyDescent="0.3">
      <c r="A1676" s="10">
        <v>1675</v>
      </c>
      <c r="B1676" s="10">
        <f>_xlfn.XLOOKUP(1,(VALUE(D1676)&gt;=VALUE(block!$C$3:$C$500))*(VALUE(D1676)&lt;VALUE(block!$C$3:$C$500)+VALUE(block!$D$3:$D$500)),block!$A$3:$A$500,"无匹配",0,1)</f>
        <v>46</v>
      </c>
      <c r="C1676" s="3" t="str">
        <f>B1676 &amp; "-" &amp; COUNTIF($B$2:B1676, B1676)</f>
        <v>46-19</v>
      </c>
      <c r="D1676" s="10">
        <v>12856</v>
      </c>
      <c r="E1676" s="1" t="s">
        <v>5009</v>
      </c>
      <c r="F1676" s="1" t="s">
        <v>5010</v>
      </c>
      <c r="G1676" s="1" t="s">
        <v>4762</v>
      </c>
      <c r="H1676" s="1" t="s">
        <v>4755</v>
      </c>
      <c r="I1676" s="6" t="str">
        <f>IF(H1676="T25",1,IF(H1676="T25",3,IF(H1676="T41",6,IF(H1676="T41",10,IF(H1676="T73",14,IF(H1676="T73",18,IF(H1676="T41",22,"")))))))</f>
        <v/>
      </c>
      <c r="J1676" s="1" t="s">
        <v>1808</v>
      </c>
      <c r="K1676" s="10">
        <v>4</v>
      </c>
      <c r="L1676" s="10">
        <v>1</v>
      </c>
      <c r="N1676" s="10">
        <v>4</v>
      </c>
      <c r="O1676" s="6"/>
      <c r="P1676" s="45" t="s">
        <v>4756</v>
      </c>
      <c r="Q1676" s="42" t="s">
        <v>4798</v>
      </c>
      <c r="R1676" s="42"/>
      <c r="S1676" s="1" t="s">
        <v>5010</v>
      </c>
    </row>
    <row r="1677" spans="1:19" ht="18.75" customHeight="1" x14ac:dyDescent="0.3">
      <c r="A1677" s="10">
        <v>1676</v>
      </c>
      <c r="B1677" s="10">
        <f>_xlfn.XLOOKUP(1,(VALUE(D1677)&gt;=VALUE(block!$C$3:$C$500))*(VALUE(D1677)&lt;VALUE(block!$C$3:$C$500)+VALUE(block!$D$3:$D$500)),block!$A$3:$A$500,"无匹配",0,1)</f>
        <v>46</v>
      </c>
      <c r="C1677" s="3" t="str">
        <f>B1677 &amp; "-" &amp; COUNTIF($B$2:B1677, B1677)</f>
        <v>46-20</v>
      </c>
      <c r="D1677" s="10">
        <v>12860</v>
      </c>
      <c r="E1677" s="1" t="s">
        <v>5011</v>
      </c>
      <c r="F1677" s="1" t="s">
        <v>5012</v>
      </c>
      <c r="G1677" s="1" t="s">
        <v>4767</v>
      </c>
      <c r="H1677" s="1" t="s">
        <v>4755</v>
      </c>
      <c r="I1677" s="6" t="str">
        <f>IF(H1677="T26",1,IF(H1677="T26",3,IF(H1677="T42",6,IF(H1677="T42",10,IF(H1677="T74",14,IF(H1677="T74",18,IF(H1677="T42",22,"")))))))</f>
        <v/>
      </c>
      <c r="J1677" s="1" t="s">
        <v>1808</v>
      </c>
      <c r="K1677" s="10">
        <v>4</v>
      </c>
      <c r="L1677" s="10">
        <v>1</v>
      </c>
      <c r="N1677" s="10">
        <v>4</v>
      </c>
      <c r="O1677" s="6"/>
      <c r="P1677" s="45" t="s">
        <v>4756</v>
      </c>
      <c r="Q1677" s="42" t="s">
        <v>4798</v>
      </c>
      <c r="R1677" s="42"/>
      <c r="S1677" s="1" t="s">
        <v>5012</v>
      </c>
    </row>
    <row r="1678" spans="1:19" ht="18.75" customHeight="1" x14ac:dyDescent="0.3">
      <c r="A1678" s="10">
        <v>1677</v>
      </c>
      <c r="B1678" s="10">
        <f>_xlfn.XLOOKUP(1,(VALUE(D1678)&gt;=VALUE(block!$C$3:$C$500))*(VALUE(D1678)&lt;VALUE(block!$C$3:$C$500)+VALUE(block!$D$3:$D$500)),block!$A$3:$A$500,"无匹配",0,1)</f>
        <v>46</v>
      </c>
      <c r="C1678" s="3" t="str">
        <f>B1678 &amp; "-" &amp; COUNTIF($B$2:B1678, B1678)</f>
        <v>46-21</v>
      </c>
      <c r="D1678" s="10">
        <v>12864</v>
      </c>
      <c r="E1678" s="1" t="s">
        <v>5013</v>
      </c>
      <c r="F1678" s="1" t="s">
        <v>5014</v>
      </c>
      <c r="G1678" s="1" t="s">
        <v>4754</v>
      </c>
      <c r="H1678" s="1" t="s">
        <v>4755</v>
      </c>
      <c r="I1678" s="6" t="str">
        <f>IF(H1678="T27",1,IF(H1678="T27",3,IF(H1678="T43",6,IF(H1678="T43",10,IF(H1678="T75",14,IF(H1678="T75",18,IF(H1678="T43",22,"")))))))</f>
        <v/>
      </c>
      <c r="J1678" s="1" t="s">
        <v>1808</v>
      </c>
      <c r="K1678" s="10">
        <v>4</v>
      </c>
      <c r="L1678" s="10">
        <v>1</v>
      </c>
      <c r="N1678" s="10">
        <v>4</v>
      </c>
      <c r="O1678" s="6"/>
      <c r="P1678" s="45" t="s">
        <v>4756</v>
      </c>
      <c r="Q1678" s="42" t="s">
        <v>4798</v>
      </c>
      <c r="R1678" s="42"/>
      <c r="S1678" s="1" t="s">
        <v>5014</v>
      </c>
    </row>
    <row r="1679" spans="1:19" ht="18.75" customHeight="1" x14ac:dyDescent="0.3">
      <c r="A1679" s="10">
        <v>1678</v>
      </c>
      <c r="B1679" s="10">
        <f>_xlfn.XLOOKUP(1,(VALUE(D1679)&gt;=VALUE(block!$C$3:$C$500))*(VALUE(D1679)&lt;VALUE(block!$C$3:$C$500)+VALUE(block!$D$3:$D$500)),block!$A$3:$A$500,"无匹配",0,1)</f>
        <v>46</v>
      </c>
      <c r="C1679" s="3" t="str">
        <f>B1679 &amp; "-" &amp; COUNTIF($B$2:B1679, B1679)</f>
        <v>46-22</v>
      </c>
      <c r="D1679" s="10">
        <v>12868</v>
      </c>
      <c r="E1679" s="1" t="s">
        <v>5015</v>
      </c>
      <c r="F1679" s="1" t="s">
        <v>5016</v>
      </c>
      <c r="G1679" s="1" t="s">
        <v>4754</v>
      </c>
      <c r="H1679" s="1" t="s">
        <v>4755</v>
      </c>
      <c r="I1679" s="6" t="str">
        <f>IF(H1679="T28",1,IF(H1679="T28",3,IF(H1679="T44",6,IF(H1679="T44",10,IF(H1679="T76",14,IF(H1679="T76",18,IF(H1679="T44",22,"")))))))</f>
        <v/>
      </c>
      <c r="J1679" s="1" t="s">
        <v>1808</v>
      </c>
      <c r="K1679" s="10">
        <v>4</v>
      </c>
      <c r="L1679" s="10">
        <v>1</v>
      </c>
      <c r="N1679" s="10">
        <v>4</v>
      </c>
      <c r="O1679" s="6"/>
      <c r="P1679" s="45" t="s">
        <v>4756</v>
      </c>
      <c r="Q1679" s="42" t="s">
        <v>4798</v>
      </c>
      <c r="R1679" s="42"/>
      <c r="S1679" s="1" t="s">
        <v>5016</v>
      </c>
    </row>
    <row r="1680" spans="1:19" ht="18.75" customHeight="1" x14ac:dyDescent="0.3">
      <c r="A1680" s="10">
        <v>1679</v>
      </c>
      <c r="B1680" s="10">
        <f>_xlfn.XLOOKUP(1,(VALUE(D1680)&gt;=VALUE(block!$C$3:$C$500))*(VALUE(D1680)&lt;VALUE(block!$C$3:$C$500)+VALUE(block!$D$3:$D$500)),block!$A$3:$A$500,"无匹配",0,1)</f>
        <v>46</v>
      </c>
      <c r="C1680" s="3" t="str">
        <f>B1680 &amp; "-" &amp; COUNTIF($B$2:B1680, B1680)</f>
        <v>46-23</v>
      </c>
      <c r="D1680" s="10">
        <v>12872</v>
      </c>
      <c r="E1680" s="1" t="s">
        <v>5017</v>
      </c>
      <c r="F1680" s="1" t="s">
        <v>5018</v>
      </c>
      <c r="G1680" s="1" t="s">
        <v>4754</v>
      </c>
      <c r="H1680" s="1" t="s">
        <v>4755</v>
      </c>
      <c r="I1680" s="6" t="str">
        <f>IF(H1680="T29",1,IF(H1680="T29",3,IF(H1680="T45",6,IF(H1680="T45",10,IF(H1680="T77",14,IF(H1680="T77",18,IF(H1680="T45",22,"")))))))</f>
        <v/>
      </c>
      <c r="J1680" s="1" t="s">
        <v>1808</v>
      </c>
      <c r="K1680" s="10">
        <v>4</v>
      </c>
      <c r="L1680" s="10">
        <v>1</v>
      </c>
      <c r="N1680" s="10">
        <v>4</v>
      </c>
      <c r="O1680" s="6"/>
      <c r="P1680" s="45" t="s">
        <v>4756</v>
      </c>
      <c r="Q1680" s="42" t="s">
        <v>4798</v>
      </c>
      <c r="R1680" s="42"/>
      <c r="S1680" s="1" t="s">
        <v>5018</v>
      </c>
    </row>
    <row r="1681" spans="1:19" ht="18.75" customHeight="1" x14ac:dyDescent="0.3">
      <c r="A1681" s="10">
        <v>1680</v>
      </c>
      <c r="B1681" s="10">
        <f>_xlfn.XLOOKUP(1,(VALUE(D1681)&gt;=VALUE(block!$C$3:$C$500))*(VALUE(D1681)&lt;VALUE(block!$C$3:$C$500)+VALUE(block!$D$3:$D$500)),block!$A$3:$A$500,"无匹配",0,1)</f>
        <v>46</v>
      </c>
      <c r="C1681" s="3" t="str">
        <f>B1681 &amp; "-" &amp; COUNTIF($B$2:B1681, B1681)</f>
        <v>46-24</v>
      </c>
      <c r="D1681" s="10">
        <v>12876</v>
      </c>
      <c r="E1681" s="1" t="s">
        <v>5019</v>
      </c>
      <c r="F1681" s="1" t="s">
        <v>5020</v>
      </c>
      <c r="G1681" s="1" t="s">
        <v>4754</v>
      </c>
      <c r="H1681" s="1" t="s">
        <v>4755</v>
      </c>
      <c r="I1681" s="6" t="str">
        <f>IF(H1681="T30",1,IF(H1681="T30",3,IF(H1681="T46",6,IF(H1681="T46",10,IF(H1681="T78",14,IF(H1681="T78",18,IF(H1681="T46",22,"")))))))</f>
        <v/>
      </c>
      <c r="J1681" s="1" t="s">
        <v>1808</v>
      </c>
      <c r="K1681" s="10">
        <v>4</v>
      </c>
      <c r="L1681" s="10">
        <v>1</v>
      </c>
      <c r="N1681" s="10">
        <v>4</v>
      </c>
      <c r="O1681" s="6"/>
      <c r="P1681" s="45" t="s">
        <v>4756</v>
      </c>
      <c r="Q1681" s="42" t="s">
        <v>4798</v>
      </c>
      <c r="R1681" s="42"/>
      <c r="S1681" s="1" t="s">
        <v>5020</v>
      </c>
    </row>
    <row r="1682" spans="1:19" ht="18.75" customHeight="1" x14ac:dyDescent="0.3">
      <c r="A1682" s="10">
        <v>1681</v>
      </c>
      <c r="B1682" s="10">
        <f>_xlfn.XLOOKUP(1,(VALUE(D1682)&gt;=VALUE(block!$C$3:$C$500))*(VALUE(D1682)&lt;VALUE(block!$C$3:$C$500)+VALUE(block!$D$3:$D$500)),block!$A$3:$A$500,"无匹配",0,1)</f>
        <v>46</v>
      </c>
      <c r="C1682" s="3" t="str">
        <f>B1682 &amp; "-" &amp; COUNTIF($B$2:B1682, B1682)</f>
        <v>46-25</v>
      </c>
      <c r="D1682" s="10">
        <v>12880</v>
      </c>
      <c r="E1682" s="1" t="s">
        <v>5021</v>
      </c>
      <c r="F1682" s="1" t="s">
        <v>5022</v>
      </c>
      <c r="G1682" s="1" t="s">
        <v>4762</v>
      </c>
      <c r="H1682" s="1" t="s">
        <v>4755</v>
      </c>
      <c r="I1682" s="6" t="str">
        <f>IF(H1682="T31",1,IF(H1682="T31",3,IF(H1682="T47",6,IF(H1682="T47",10,IF(H1682="T79",14,IF(H1682="T79",18,IF(H1682="T47",22,"")))))))</f>
        <v/>
      </c>
      <c r="J1682" s="1" t="s">
        <v>1808</v>
      </c>
      <c r="K1682" s="10">
        <v>4</v>
      </c>
      <c r="L1682" s="10">
        <v>1</v>
      </c>
      <c r="N1682" s="10">
        <v>4</v>
      </c>
      <c r="O1682" s="6"/>
      <c r="P1682" s="45" t="s">
        <v>4756</v>
      </c>
      <c r="Q1682" s="42" t="s">
        <v>4798</v>
      </c>
      <c r="R1682" s="42"/>
      <c r="S1682" s="1" t="s">
        <v>5022</v>
      </c>
    </row>
    <row r="1683" spans="1:19" ht="18.75" customHeight="1" x14ac:dyDescent="0.3">
      <c r="A1683" s="10">
        <v>1682</v>
      </c>
      <c r="B1683" s="10">
        <f>_xlfn.XLOOKUP(1,(VALUE(D1683)&gt;=VALUE(block!$C$3:$C$500))*(VALUE(D1683)&lt;VALUE(block!$C$3:$C$500)+VALUE(block!$D$3:$D$500)),block!$A$3:$A$500,"无匹配",0,1)</f>
        <v>46</v>
      </c>
      <c r="C1683" s="3" t="str">
        <f>B1683 &amp; "-" &amp; COUNTIF($B$2:B1683, B1683)</f>
        <v>46-26</v>
      </c>
      <c r="D1683" s="10">
        <v>12884</v>
      </c>
      <c r="E1683" s="1" t="s">
        <v>5023</v>
      </c>
      <c r="F1683" s="1" t="s">
        <v>5024</v>
      </c>
      <c r="G1683" s="1" t="s">
        <v>4762</v>
      </c>
      <c r="H1683" s="1" t="s">
        <v>4755</v>
      </c>
      <c r="I1683" s="6" t="str">
        <f>IF(H1683="T32",1,IF(H1683="T32",3,IF(H1683="T48",6,IF(H1683="T48",10,IF(H1683="T80",14,IF(H1683="T80",18,IF(H1683="T48",22,"")))))))</f>
        <v/>
      </c>
      <c r="J1683" s="1" t="s">
        <v>1808</v>
      </c>
      <c r="K1683" s="10">
        <v>4</v>
      </c>
      <c r="L1683" s="10">
        <v>1</v>
      </c>
      <c r="N1683" s="10">
        <v>4</v>
      </c>
      <c r="O1683" s="6"/>
      <c r="P1683" s="45" t="s">
        <v>4756</v>
      </c>
      <c r="Q1683" s="42" t="s">
        <v>4798</v>
      </c>
      <c r="R1683" s="42"/>
      <c r="S1683" s="1" t="s">
        <v>5024</v>
      </c>
    </row>
    <row r="1684" spans="1:19" ht="18.75" customHeight="1" x14ac:dyDescent="0.3">
      <c r="A1684" s="10">
        <v>1683</v>
      </c>
      <c r="B1684" s="10">
        <f>_xlfn.XLOOKUP(1,(VALUE(D1684)&gt;=VALUE(block!$C$3:$C$500))*(VALUE(D1684)&lt;VALUE(block!$C$3:$C$500)+VALUE(block!$D$3:$D$500)),block!$A$3:$A$500,"无匹配",0,1)</f>
        <v>46</v>
      </c>
      <c r="C1684" s="3" t="str">
        <f>B1684 &amp; "-" &amp; COUNTIF($B$2:B1684, B1684)</f>
        <v>46-27</v>
      </c>
      <c r="D1684" s="10">
        <v>12888</v>
      </c>
      <c r="E1684" s="1" t="s">
        <v>5025</v>
      </c>
      <c r="F1684" s="1" t="s">
        <v>5026</v>
      </c>
      <c r="G1684" s="1" t="s">
        <v>4762</v>
      </c>
      <c r="H1684" s="1" t="s">
        <v>4755</v>
      </c>
      <c r="I1684" s="6" t="str">
        <f>IF(H1684="T33",1,IF(H1684="T33",3,IF(H1684="T49",6,IF(H1684="T49",10,IF(H1684="T81",14,IF(H1684="T81",18,IF(H1684="T49",22,"")))))))</f>
        <v/>
      </c>
      <c r="J1684" s="1" t="s">
        <v>1808</v>
      </c>
      <c r="K1684" s="10">
        <v>4</v>
      </c>
      <c r="L1684" s="10">
        <v>1</v>
      </c>
      <c r="N1684" s="10">
        <v>4</v>
      </c>
      <c r="O1684" s="6"/>
      <c r="P1684" s="45" t="s">
        <v>4756</v>
      </c>
      <c r="Q1684" s="42" t="s">
        <v>4798</v>
      </c>
      <c r="R1684" s="42"/>
      <c r="S1684" s="1" t="s">
        <v>5026</v>
      </c>
    </row>
    <row r="1685" spans="1:19" ht="18.75" customHeight="1" x14ac:dyDescent="0.3">
      <c r="A1685" s="10">
        <v>1684</v>
      </c>
      <c r="B1685" s="10">
        <f>_xlfn.XLOOKUP(1,(VALUE(D1685)&gt;=VALUE(block!$C$3:$C$500))*(VALUE(D1685)&lt;VALUE(block!$C$3:$C$500)+VALUE(block!$D$3:$D$500)),block!$A$3:$A$500,"无匹配",0,1)</f>
        <v>46</v>
      </c>
      <c r="C1685" s="3" t="str">
        <f>B1685 &amp; "-" &amp; COUNTIF($B$2:B1685, B1685)</f>
        <v>46-28</v>
      </c>
      <c r="D1685" s="10">
        <v>12892</v>
      </c>
      <c r="E1685" s="1" t="s">
        <v>5027</v>
      </c>
      <c r="F1685" s="1" t="s">
        <v>5028</v>
      </c>
      <c r="G1685" s="1" t="s">
        <v>4762</v>
      </c>
      <c r="H1685" s="1" t="s">
        <v>4755</v>
      </c>
      <c r="I1685" s="6" t="str">
        <f>IF(H1685="T34",1,IF(H1685="T34",3,IF(H1685="T50",6,IF(H1685="T50",10,IF(H1685="T82",14,IF(H1685="T82",18,IF(H1685="T50",22,"")))))))</f>
        <v/>
      </c>
      <c r="J1685" s="1" t="s">
        <v>1808</v>
      </c>
      <c r="K1685" s="10">
        <v>4</v>
      </c>
      <c r="L1685" s="10">
        <v>1</v>
      </c>
      <c r="N1685" s="10">
        <v>4</v>
      </c>
      <c r="O1685" s="6"/>
      <c r="P1685" s="45" t="s">
        <v>4756</v>
      </c>
      <c r="Q1685" s="42" t="s">
        <v>4798</v>
      </c>
      <c r="R1685" s="42"/>
      <c r="S1685" s="1" t="s">
        <v>5028</v>
      </c>
    </row>
    <row r="1686" spans="1:19" ht="18.75" customHeight="1" x14ac:dyDescent="0.3">
      <c r="A1686" s="10">
        <v>1685</v>
      </c>
      <c r="B1686" s="10">
        <f>_xlfn.XLOOKUP(1,(VALUE(D1686)&gt;=VALUE(block!$C$3:$C$500))*(VALUE(D1686)&lt;VALUE(block!$C$3:$C$500)+VALUE(block!$D$3:$D$500)),block!$A$3:$A$500,"无匹配",0,1)</f>
        <v>46</v>
      </c>
      <c r="C1686" s="3" t="str">
        <f>B1686 &amp; "-" &amp; COUNTIF($B$2:B1686, B1686)</f>
        <v>46-29</v>
      </c>
      <c r="D1686" s="10">
        <v>12896</v>
      </c>
      <c r="E1686" s="1" t="s">
        <v>5029</v>
      </c>
      <c r="F1686" s="1" t="s">
        <v>5030</v>
      </c>
      <c r="G1686" s="1" t="s">
        <v>4767</v>
      </c>
      <c r="H1686" s="1" t="s">
        <v>4755</v>
      </c>
      <c r="I1686" s="6" t="str">
        <f>IF(H1686="T35",1,IF(H1686="T35",3,IF(H1686="T51",6,IF(H1686="T51",10,IF(H1686="T83",14,IF(H1686="T83",18,IF(H1686="T51",22,"")))))))</f>
        <v/>
      </c>
      <c r="J1686" s="1" t="s">
        <v>1808</v>
      </c>
      <c r="K1686" s="10">
        <v>4</v>
      </c>
      <c r="L1686" s="10">
        <v>1</v>
      </c>
      <c r="N1686" s="10">
        <v>4</v>
      </c>
      <c r="O1686" s="6"/>
      <c r="P1686" s="45" t="s">
        <v>4756</v>
      </c>
      <c r="Q1686" s="42" t="s">
        <v>4798</v>
      </c>
      <c r="R1686" s="42"/>
      <c r="S1686" s="1" t="s">
        <v>5030</v>
      </c>
    </row>
    <row r="1687" spans="1:19" ht="18.75" customHeight="1" x14ac:dyDescent="0.3">
      <c r="A1687" s="10">
        <v>1686</v>
      </c>
      <c r="B1687" s="10">
        <f>_xlfn.XLOOKUP(1,(VALUE(D1687)&gt;=VALUE(block!$C$3:$C$500))*(VALUE(D1687)&lt;VALUE(block!$C$3:$C$500)+VALUE(block!$D$3:$D$500)),block!$A$3:$A$500,"无匹配",0,1)</f>
        <v>46</v>
      </c>
      <c r="C1687" s="3" t="str">
        <f>B1687 &amp; "-" &amp; COUNTIF($B$2:B1687, B1687)</f>
        <v>46-30</v>
      </c>
      <c r="D1687" s="10">
        <v>12900</v>
      </c>
      <c r="E1687" s="1" t="s">
        <v>5031</v>
      </c>
      <c r="F1687" s="1" t="s">
        <v>5032</v>
      </c>
      <c r="G1687" s="1" t="s">
        <v>4754</v>
      </c>
      <c r="H1687" s="1" t="s">
        <v>4755</v>
      </c>
      <c r="I1687" s="6" t="str">
        <f>IF(H1687="T36",1,IF(H1687="T36",3,IF(H1687="T52",6,IF(H1687="T52",10,IF(H1687="T84",14,IF(H1687="T84",18,IF(H1687="T52",22,"")))))))</f>
        <v/>
      </c>
      <c r="J1687" s="1" t="s">
        <v>1808</v>
      </c>
      <c r="K1687" s="10">
        <v>4</v>
      </c>
      <c r="L1687" s="10">
        <v>1</v>
      </c>
      <c r="N1687" s="10">
        <v>4</v>
      </c>
      <c r="O1687" s="6"/>
      <c r="P1687" s="45" t="s">
        <v>4756</v>
      </c>
      <c r="Q1687" s="42" t="s">
        <v>4798</v>
      </c>
      <c r="R1687" s="42"/>
      <c r="S1687" s="1" t="s">
        <v>5032</v>
      </c>
    </row>
    <row r="1688" spans="1:19" ht="18.75" customHeight="1" x14ac:dyDescent="0.3">
      <c r="A1688" s="10">
        <v>1687</v>
      </c>
      <c r="B1688" s="10">
        <f>_xlfn.XLOOKUP(1,(VALUE(D1688)&gt;=VALUE(block!$C$3:$C$500))*(VALUE(D1688)&lt;VALUE(block!$C$3:$C$500)+VALUE(block!$D$3:$D$500)),block!$A$3:$A$500,"无匹配",0,1)</f>
        <v>46</v>
      </c>
      <c r="C1688" s="3" t="str">
        <f>B1688 &amp; "-" &amp; COUNTIF($B$2:B1688, B1688)</f>
        <v>46-31</v>
      </c>
      <c r="D1688" s="10">
        <v>12904</v>
      </c>
      <c r="E1688" s="1" t="s">
        <v>5033</v>
      </c>
      <c r="F1688" s="1" t="s">
        <v>5034</v>
      </c>
      <c r="G1688" s="1" t="s">
        <v>4754</v>
      </c>
      <c r="H1688" s="1" t="s">
        <v>4755</v>
      </c>
      <c r="I1688" s="6" t="str">
        <f>IF(H1688="T37",1,IF(H1688="T37",3,IF(H1688="T53",6,IF(H1688="T53",10,IF(H1688="T85",14,IF(H1688="T85",18,IF(H1688="T53",22,"")))))))</f>
        <v/>
      </c>
      <c r="J1688" s="1" t="s">
        <v>1808</v>
      </c>
      <c r="K1688" s="10">
        <v>4</v>
      </c>
      <c r="L1688" s="10">
        <v>1</v>
      </c>
      <c r="N1688" s="10">
        <v>4</v>
      </c>
      <c r="O1688" s="6"/>
      <c r="P1688" s="45" t="s">
        <v>4756</v>
      </c>
      <c r="Q1688" s="42" t="s">
        <v>4798</v>
      </c>
      <c r="R1688" s="42"/>
      <c r="S1688" s="1" t="s">
        <v>5034</v>
      </c>
    </row>
    <row r="1689" spans="1:19" ht="18.75" customHeight="1" x14ac:dyDescent="0.3">
      <c r="A1689" s="10">
        <v>1688</v>
      </c>
      <c r="B1689" s="10">
        <f>_xlfn.XLOOKUP(1,(VALUE(D1689)&gt;=VALUE(block!$C$3:$C$500))*(VALUE(D1689)&lt;VALUE(block!$C$3:$C$500)+VALUE(block!$D$3:$D$500)),block!$A$3:$A$500,"无匹配",0,1)</f>
        <v>47</v>
      </c>
      <c r="C1689" s="3" t="str">
        <f>B1689 &amp; "-" &amp; COUNTIF($B$2:B1689, B1689)</f>
        <v>47-1</v>
      </c>
      <c r="D1689" s="10">
        <v>12908</v>
      </c>
      <c r="E1689" s="1" t="s">
        <v>5035</v>
      </c>
      <c r="F1689" s="1" t="s">
        <v>5036</v>
      </c>
      <c r="G1689" s="1" t="s">
        <v>4754</v>
      </c>
      <c r="H1689" s="1" t="s">
        <v>4755</v>
      </c>
      <c r="I1689" s="6" t="str">
        <f>IF(H1689="T38",1,IF(H1689="T38",3,IF(H1689="T54",6,IF(H1689="T54",10,IF(H1689="T86",14,IF(H1689="T86",18,IF(H1689="T54",22,"")))))))</f>
        <v/>
      </c>
      <c r="J1689" s="1" t="s">
        <v>1808</v>
      </c>
      <c r="K1689" s="10">
        <v>4</v>
      </c>
      <c r="L1689" s="10">
        <v>1</v>
      </c>
      <c r="N1689" s="10">
        <v>4</v>
      </c>
      <c r="O1689" s="6"/>
      <c r="P1689" s="45" t="s">
        <v>4756</v>
      </c>
      <c r="Q1689" s="42" t="s">
        <v>4798</v>
      </c>
      <c r="R1689" s="42"/>
      <c r="S1689" s="1" t="s">
        <v>5036</v>
      </c>
    </row>
    <row r="1690" spans="1:19" ht="18.75" customHeight="1" x14ac:dyDescent="0.3">
      <c r="A1690" s="10">
        <v>1689</v>
      </c>
      <c r="B1690" s="10">
        <f>_xlfn.XLOOKUP(1,(VALUE(D1690)&gt;=VALUE(block!$C$3:$C$500))*(VALUE(D1690)&lt;VALUE(block!$C$3:$C$500)+VALUE(block!$D$3:$D$500)),block!$A$3:$A$500,"无匹配",0,1)</f>
        <v>47</v>
      </c>
      <c r="C1690" s="3" t="str">
        <f>B1690 &amp; "-" &amp; COUNTIF($B$2:B1690, B1690)</f>
        <v>47-2</v>
      </c>
      <c r="D1690" s="10">
        <v>12912</v>
      </c>
      <c r="E1690" s="1" t="s">
        <v>5037</v>
      </c>
      <c r="F1690" s="1" t="s">
        <v>5038</v>
      </c>
      <c r="G1690" s="1" t="s">
        <v>4754</v>
      </c>
      <c r="H1690" s="1" t="s">
        <v>4755</v>
      </c>
      <c r="I1690" s="6" t="str">
        <f>IF(H1690="T39",1,IF(H1690="T39",3,IF(H1690="T55",6,IF(H1690="T55",10,IF(H1690="T87",14,IF(H1690="T87",18,IF(H1690="T55",22,"")))))))</f>
        <v/>
      </c>
      <c r="J1690" s="1" t="s">
        <v>1808</v>
      </c>
      <c r="K1690" s="10">
        <v>4</v>
      </c>
      <c r="L1690" s="10">
        <v>1</v>
      </c>
      <c r="N1690" s="10">
        <v>4</v>
      </c>
      <c r="O1690" s="6"/>
      <c r="P1690" s="45" t="s">
        <v>4756</v>
      </c>
      <c r="Q1690" s="42" t="s">
        <v>4798</v>
      </c>
      <c r="R1690" s="42"/>
      <c r="S1690" s="1" t="s">
        <v>5038</v>
      </c>
    </row>
    <row r="1691" spans="1:19" ht="18.75" customHeight="1" x14ac:dyDescent="0.3">
      <c r="A1691" s="10">
        <v>1690</v>
      </c>
      <c r="B1691" s="10">
        <f>_xlfn.XLOOKUP(1,(VALUE(D1691)&gt;=VALUE(block!$C$3:$C$500))*(VALUE(D1691)&lt;VALUE(block!$C$3:$C$500)+VALUE(block!$D$3:$D$500)),block!$A$3:$A$500,"无匹配",0,1)</f>
        <v>47</v>
      </c>
      <c r="C1691" s="3" t="str">
        <f>B1691 &amp; "-" &amp; COUNTIF($B$2:B1691, B1691)</f>
        <v>47-3</v>
      </c>
      <c r="D1691" s="10">
        <v>12916</v>
      </c>
      <c r="E1691" s="1" t="s">
        <v>5039</v>
      </c>
      <c r="F1691" s="1" t="s">
        <v>5040</v>
      </c>
      <c r="G1691" s="1" t="s">
        <v>4762</v>
      </c>
      <c r="H1691" s="1" t="s">
        <v>4755</v>
      </c>
      <c r="I1691" s="6" t="str">
        <f>IF(H1691="T40",1,IF(H1691="T40",3,IF(H1691="T56",6,IF(H1691="T56",10,IF(H1691="T88",14,IF(H1691="T88",18,IF(H1691="T56",22,"")))))))</f>
        <v/>
      </c>
      <c r="J1691" s="1" t="s">
        <v>1808</v>
      </c>
      <c r="K1691" s="10">
        <v>4</v>
      </c>
      <c r="L1691" s="10">
        <v>1</v>
      </c>
      <c r="N1691" s="10">
        <v>4</v>
      </c>
      <c r="O1691" s="6"/>
      <c r="P1691" s="45" t="s">
        <v>4756</v>
      </c>
      <c r="Q1691" s="42" t="s">
        <v>4798</v>
      </c>
      <c r="R1691" s="42"/>
      <c r="S1691" s="1" t="s">
        <v>5040</v>
      </c>
    </row>
    <row r="1692" spans="1:19" ht="18.75" customHeight="1" x14ac:dyDescent="0.3">
      <c r="A1692" s="10">
        <v>1691</v>
      </c>
      <c r="B1692" s="10">
        <f>_xlfn.XLOOKUP(1,(VALUE(D1692)&gt;=VALUE(block!$C$3:$C$500))*(VALUE(D1692)&lt;VALUE(block!$C$3:$C$500)+VALUE(block!$D$3:$D$500)),block!$A$3:$A$500,"无匹配",0,1)</f>
        <v>47</v>
      </c>
      <c r="C1692" s="3" t="str">
        <f>B1692 &amp; "-" &amp; COUNTIF($B$2:B1692, B1692)</f>
        <v>47-4</v>
      </c>
      <c r="D1692" s="10">
        <v>12920</v>
      </c>
      <c r="E1692" s="1" t="s">
        <v>5041</v>
      </c>
      <c r="F1692" s="1" t="s">
        <v>5042</v>
      </c>
      <c r="G1692" s="1" t="s">
        <v>4762</v>
      </c>
      <c r="H1692" s="1" t="s">
        <v>4755</v>
      </c>
      <c r="I1692" s="6" t="str">
        <f>IF(H1692="T41",1,IF(H1692="T41",3,IF(H1692="T57",6,IF(H1692="T57",10,IF(H1692="T89",14,IF(H1692="T89",18,IF(H1692="T57",22,"")))))))</f>
        <v/>
      </c>
      <c r="J1692" s="1" t="s">
        <v>1808</v>
      </c>
      <c r="K1692" s="10">
        <v>4</v>
      </c>
      <c r="L1692" s="10">
        <v>1</v>
      </c>
      <c r="N1692" s="10">
        <v>4</v>
      </c>
      <c r="O1692" s="6"/>
      <c r="P1692" s="45" t="s">
        <v>4756</v>
      </c>
      <c r="Q1692" s="42" t="s">
        <v>4798</v>
      </c>
      <c r="R1692" s="42"/>
      <c r="S1692" s="1" t="s">
        <v>5042</v>
      </c>
    </row>
    <row r="1693" spans="1:19" ht="18.75" customHeight="1" x14ac:dyDescent="0.3">
      <c r="A1693" s="10">
        <v>1692</v>
      </c>
      <c r="B1693" s="10">
        <f>_xlfn.XLOOKUP(1,(VALUE(D1693)&gt;=VALUE(block!$C$3:$C$500))*(VALUE(D1693)&lt;VALUE(block!$C$3:$C$500)+VALUE(block!$D$3:$D$500)),block!$A$3:$A$500,"无匹配",0,1)</f>
        <v>47</v>
      </c>
      <c r="C1693" s="3" t="str">
        <f>B1693 &amp; "-" &amp; COUNTIF($B$2:B1693, B1693)</f>
        <v>47-5</v>
      </c>
      <c r="D1693" s="10">
        <v>12924</v>
      </c>
      <c r="E1693" s="1" t="s">
        <v>5043</v>
      </c>
      <c r="F1693" s="1" t="s">
        <v>5044</v>
      </c>
      <c r="G1693" s="1" t="s">
        <v>4762</v>
      </c>
      <c r="H1693" s="1" t="s">
        <v>4755</v>
      </c>
      <c r="I1693" s="6" t="str">
        <f>IF(H1693="T42",1,IF(H1693="T42",3,IF(H1693="T58",6,IF(H1693="T58",10,IF(H1693="T90",14,IF(H1693="T90",18,IF(H1693="T58",22,"")))))))</f>
        <v/>
      </c>
      <c r="J1693" s="1" t="s">
        <v>1808</v>
      </c>
      <c r="K1693" s="10">
        <v>4</v>
      </c>
      <c r="L1693" s="10">
        <v>1</v>
      </c>
      <c r="N1693" s="10">
        <v>4</v>
      </c>
      <c r="O1693" s="6"/>
      <c r="P1693" s="45" t="s">
        <v>4756</v>
      </c>
      <c r="Q1693" s="42" t="s">
        <v>4798</v>
      </c>
      <c r="R1693" s="42"/>
      <c r="S1693" s="1" t="s">
        <v>5044</v>
      </c>
    </row>
    <row r="1694" spans="1:19" ht="18.75" customHeight="1" x14ac:dyDescent="0.3">
      <c r="A1694" s="10">
        <v>1693</v>
      </c>
      <c r="B1694" s="10">
        <f>_xlfn.XLOOKUP(1,(VALUE(D1694)&gt;=VALUE(block!$C$3:$C$500))*(VALUE(D1694)&lt;VALUE(block!$C$3:$C$500)+VALUE(block!$D$3:$D$500)),block!$A$3:$A$500,"无匹配",0,1)</f>
        <v>47</v>
      </c>
      <c r="C1694" s="3" t="str">
        <f>B1694 &amp; "-" &amp; COUNTIF($B$2:B1694, B1694)</f>
        <v>47-6</v>
      </c>
      <c r="D1694" s="10">
        <v>12928</v>
      </c>
      <c r="E1694" s="1" t="s">
        <v>5045</v>
      </c>
      <c r="F1694" s="1" t="s">
        <v>5046</v>
      </c>
      <c r="G1694" s="1" t="s">
        <v>4762</v>
      </c>
      <c r="H1694" s="1" t="s">
        <v>4755</v>
      </c>
      <c r="I1694" s="6" t="str">
        <f>IF(H1694="T43",1,IF(H1694="T43",3,IF(H1694="T59",6,IF(H1694="T59",10,IF(H1694="T91",14,IF(H1694="T91",18,IF(H1694="T59",22,"")))))))</f>
        <v/>
      </c>
      <c r="J1694" s="1" t="s">
        <v>1808</v>
      </c>
      <c r="K1694" s="10">
        <v>4</v>
      </c>
      <c r="L1694" s="10">
        <v>1</v>
      </c>
      <c r="N1694" s="10">
        <v>4</v>
      </c>
      <c r="O1694" s="6"/>
      <c r="P1694" s="45" t="s">
        <v>4756</v>
      </c>
      <c r="Q1694" s="42" t="s">
        <v>4798</v>
      </c>
      <c r="R1694" s="42"/>
      <c r="S1694" s="1" t="s">
        <v>5046</v>
      </c>
    </row>
    <row r="1695" spans="1:19" ht="18.75" customHeight="1" x14ac:dyDescent="0.3">
      <c r="A1695" s="10">
        <v>1694</v>
      </c>
      <c r="B1695" s="10">
        <f>_xlfn.XLOOKUP(1,(VALUE(D1695)&gt;=VALUE(block!$C$3:$C$500))*(VALUE(D1695)&lt;VALUE(block!$C$3:$C$500)+VALUE(block!$D$3:$D$500)),block!$A$3:$A$500,"无匹配",0,1)</f>
        <v>47</v>
      </c>
      <c r="C1695" s="3" t="str">
        <f>B1695 &amp; "-" &amp; COUNTIF($B$2:B1695, B1695)</f>
        <v>47-7</v>
      </c>
      <c r="D1695" s="10">
        <v>12932</v>
      </c>
      <c r="E1695" s="1" t="s">
        <v>5047</v>
      </c>
      <c r="F1695" s="1" t="s">
        <v>5048</v>
      </c>
      <c r="G1695" s="1" t="s">
        <v>4767</v>
      </c>
      <c r="H1695" s="1" t="s">
        <v>4755</v>
      </c>
      <c r="I1695" s="6" t="str">
        <f>IF(H1695="T44",1,IF(H1695="T44",3,IF(H1695="T60",6,IF(H1695="T60",10,IF(H1695="T92",14,IF(H1695="T92",18,IF(H1695="T60",22,"")))))))</f>
        <v/>
      </c>
      <c r="J1695" s="1" t="s">
        <v>1808</v>
      </c>
      <c r="K1695" s="10">
        <v>4</v>
      </c>
      <c r="L1695" s="10">
        <v>1</v>
      </c>
      <c r="N1695" s="10">
        <v>4</v>
      </c>
      <c r="O1695" s="6"/>
      <c r="P1695" s="45" t="s">
        <v>4756</v>
      </c>
      <c r="Q1695" s="42" t="s">
        <v>4798</v>
      </c>
      <c r="R1695" s="42"/>
      <c r="S1695" s="1" t="s">
        <v>5048</v>
      </c>
    </row>
    <row r="1696" spans="1:19" ht="18.75" customHeight="1" x14ac:dyDescent="0.3">
      <c r="A1696" s="10">
        <v>1695</v>
      </c>
      <c r="B1696" s="10">
        <f>_xlfn.XLOOKUP(1,(VALUE(D1696)&gt;=VALUE(block!$C$3:$C$500))*(VALUE(D1696)&lt;VALUE(block!$C$3:$C$500)+VALUE(block!$D$3:$D$500)),block!$A$3:$A$500,"无匹配",0,1)</f>
        <v>47</v>
      </c>
      <c r="C1696" s="3" t="str">
        <f>B1696 &amp; "-" &amp; COUNTIF($B$2:B1696, B1696)</f>
        <v>47-8</v>
      </c>
      <c r="D1696" s="10">
        <v>12936</v>
      </c>
      <c r="E1696" s="1" t="s">
        <v>5049</v>
      </c>
      <c r="F1696" s="1" t="s">
        <v>5050</v>
      </c>
      <c r="G1696" s="1" t="s">
        <v>4754</v>
      </c>
      <c r="H1696" s="1" t="s">
        <v>4755</v>
      </c>
      <c r="I1696" s="6" t="str">
        <f>IF(H1696="T45",1,IF(H1696="T45",3,IF(H1696="T61",6,IF(H1696="T61",10,IF(H1696="T93",14,IF(H1696="T93",18,IF(H1696="T61",22,"")))))))</f>
        <v/>
      </c>
      <c r="J1696" s="1" t="s">
        <v>1808</v>
      </c>
      <c r="K1696" s="10">
        <v>4</v>
      </c>
      <c r="L1696" s="10">
        <v>1</v>
      </c>
      <c r="N1696" s="10">
        <v>4</v>
      </c>
      <c r="O1696" s="6"/>
      <c r="P1696" s="45" t="s">
        <v>4756</v>
      </c>
      <c r="Q1696" s="42" t="s">
        <v>4798</v>
      </c>
      <c r="R1696" s="42"/>
      <c r="S1696" s="1" t="s">
        <v>5050</v>
      </c>
    </row>
    <row r="1697" spans="1:19" ht="18.75" customHeight="1" x14ac:dyDescent="0.3">
      <c r="A1697" s="10">
        <v>1696</v>
      </c>
      <c r="B1697" s="10">
        <f>_xlfn.XLOOKUP(1,(VALUE(D1697)&gt;=VALUE(block!$C$3:$C$500))*(VALUE(D1697)&lt;VALUE(block!$C$3:$C$500)+VALUE(block!$D$3:$D$500)),block!$A$3:$A$500,"无匹配",0,1)</f>
        <v>47</v>
      </c>
      <c r="C1697" s="3" t="str">
        <f>B1697 &amp; "-" &amp; COUNTIF($B$2:B1697, B1697)</f>
        <v>47-9</v>
      </c>
      <c r="D1697" s="10">
        <v>12940</v>
      </c>
      <c r="E1697" s="1" t="s">
        <v>5051</v>
      </c>
      <c r="F1697" s="1" t="s">
        <v>5052</v>
      </c>
      <c r="G1697" s="1" t="s">
        <v>4754</v>
      </c>
      <c r="H1697" s="1" t="s">
        <v>4755</v>
      </c>
      <c r="I1697" s="6" t="str">
        <f>IF(H1697="T46",1,IF(H1697="T46",3,IF(H1697="T62",6,IF(H1697="T62",10,IF(H1697="T94",14,IF(H1697="T94",18,IF(H1697="T62",22,"")))))))</f>
        <v/>
      </c>
      <c r="J1697" s="1" t="s">
        <v>1808</v>
      </c>
      <c r="K1697" s="10">
        <v>4</v>
      </c>
      <c r="L1697" s="10">
        <v>1</v>
      </c>
      <c r="N1697" s="10">
        <v>4</v>
      </c>
      <c r="O1697" s="6"/>
      <c r="P1697" s="45" t="s">
        <v>4756</v>
      </c>
      <c r="Q1697" s="42" t="s">
        <v>4798</v>
      </c>
      <c r="R1697" s="42"/>
      <c r="S1697" s="1" t="s">
        <v>5052</v>
      </c>
    </row>
    <row r="1698" spans="1:19" ht="18.75" customHeight="1" x14ac:dyDescent="0.3">
      <c r="A1698" s="10">
        <v>1697</v>
      </c>
      <c r="B1698" s="10">
        <f>_xlfn.XLOOKUP(1,(VALUE(D1698)&gt;=VALUE(block!$C$3:$C$500))*(VALUE(D1698)&lt;VALUE(block!$C$3:$C$500)+VALUE(block!$D$3:$D$500)),block!$A$3:$A$500,"无匹配",0,1)</f>
        <v>47</v>
      </c>
      <c r="C1698" s="3" t="str">
        <f>B1698 &amp; "-" &amp; COUNTIF($B$2:B1698, B1698)</f>
        <v>47-10</v>
      </c>
      <c r="D1698" s="10">
        <v>12944</v>
      </c>
      <c r="E1698" s="1" t="s">
        <v>5053</v>
      </c>
      <c r="F1698" s="1" t="s">
        <v>5054</v>
      </c>
      <c r="G1698" s="1" t="s">
        <v>4754</v>
      </c>
      <c r="H1698" s="1" t="s">
        <v>4755</v>
      </c>
      <c r="I1698" s="6" t="str">
        <f>IF(H1698="T47",1,IF(H1698="T47",3,IF(H1698="T63",6,IF(H1698="T63",10,IF(H1698="T95",14,IF(H1698="T95",18,IF(H1698="T63",22,"")))))))</f>
        <v/>
      </c>
      <c r="J1698" s="1" t="s">
        <v>1808</v>
      </c>
      <c r="K1698" s="10">
        <v>4</v>
      </c>
      <c r="L1698" s="10">
        <v>1</v>
      </c>
      <c r="N1698" s="10">
        <v>4</v>
      </c>
      <c r="O1698" s="6"/>
      <c r="P1698" s="45" t="s">
        <v>4756</v>
      </c>
      <c r="Q1698" s="42" t="s">
        <v>4798</v>
      </c>
      <c r="R1698" s="42"/>
      <c r="S1698" s="1" t="s">
        <v>5054</v>
      </c>
    </row>
    <row r="1699" spans="1:19" ht="18.75" customHeight="1" x14ac:dyDescent="0.3">
      <c r="A1699" s="10">
        <v>1698</v>
      </c>
      <c r="B1699" s="10">
        <f>_xlfn.XLOOKUP(1,(VALUE(D1699)&gt;=VALUE(block!$C$3:$C$500))*(VALUE(D1699)&lt;VALUE(block!$C$3:$C$500)+VALUE(block!$D$3:$D$500)),block!$A$3:$A$500,"无匹配",0,1)</f>
        <v>47</v>
      </c>
      <c r="C1699" s="3" t="str">
        <f>B1699 &amp; "-" &amp; COUNTIF($B$2:B1699, B1699)</f>
        <v>47-11</v>
      </c>
      <c r="D1699" s="10">
        <v>12948</v>
      </c>
      <c r="E1699" s="1" t="s">
        <v>5055</v>
      </c>
      <c r="F1699" s="1" t="s">
        <v>5056</v>
      </c>
      <c r="G1699" s="1" t="s">
        <v>4754</v>
      </c>
      <c r="H1699" s="1" t="s">
        <v>4755</v>
      </c>
      <c r="I1699" s="6" t="str">
        <f>IF(H1699="T48",1,IF(H1699="T48",3,IF(H1699="T64",6,IF(H1699="T64",10,IF(H1699="T96",14,IF(H1699="T96",18,IF(H1699="T64",22,"")))))))</f>
        <v/>
      </c>
      <c r="J1699" s="1" t="s">
        <v>1808</v>
      </c>
      <c r="K1699" s="10">
        <v>4</v>
      </c>
      <c r="L1699" s="10">
        <v>1</v>
      </c>
      <c r="N1699" s="10">
        <v>4</v>
      </c>
      <c r="O1699" s="6"/>
      <c r="P1699" s="45" t="s">
        <v>4756</v>
      </c>
      <c r="Q1699" s="42" t="s">
        <v>4798</v>
      </c>
      <c r="R1699" s="42"/>
      <c r="S1699" s="1" t="s">
        <v>5056</v>
      </c>
    </row>
    <row r="1700" spans="1:19" ht="18.75" customHeight="1" x14ac:dyDescent="0.3">
      <c r="A1700" s="10">
        <v>1699</v>
      </c>
      <c r="B1700" s="10">
        <f>_xlfn.XLOOKUP(1,(VALUE(D1700)&gt;=VALUE(block!$C$3:$C$500))*(VALUE(D1700)&lt;VALUE(block!$C$3:$C$500)+VALUE(block!$D$3:$D$500)),block!$A$3:$A$500,"无匹配",0,1)</f>
        <v>47</v>
      </c>
      <c r="C1700" s="3" t="str">
        <f>B1700 &amp; "-" &amp; COUNTIF($B$2:B1700, B1700)</f>
        <v>47-12</v>
      </c>
      <c r="D1700" s="10">
        <v>12952</v>
      </c>
      <c r="E1700" s="1" t="s">
        <v>5057</v>
      </c>
      <c r="F1700" s="1" t="s">
        <v>5058</v>
      </c>
      <c r="G1700" s="1" t="s">
        <v>4762</v>
      </c>
      <c r="H1700" s="1" t="s">
        <v>4755</v>
      </c>
      <c r="I1700" s="6" t="str">
        <f>IF(H1700="T49",1,IF(H1700="T49",3,IF(H1700="T65",6,IF(H1700="T65",10,IF(H1700="T97",14,IF(H1700="T97",18,IF(H1700="T65",22,"")))))))</f>
        <v/>
      </c>
      <c r="J1700" s="1" t="s">
        <v>1808</v>
      </c>
      <c r="K1700" s="10">
        <v>4</v>
      </c>
      <c r="L1700" s="10">
        <v>1</v>
      </c>
      <c r="N1700" s="10">
        <v>4</v>
      </c>
      <c r="O1700" s="6"/>
      <c r="P1700" s="45" t="s">
        <v>4756</v>
      </c>
      <c r="Q1700" s="42" t="s">
        <v>4798</v>
      </c>
      <c r="R1700" s="42"/>
      <c r="S1700" s="1" t="s">
        <v>5058</v>
      </c>
    </row>
    <row r="1701" spans="1:19" ht="18.75" customHeight="1" x14ac:dyDescent="0.3">
      <c r="A1701" s="10">
        <v>1700</v>
      </c>
      <c r="B1701" s="10">
        <f>_xlfn.XLOOKUP(1,(VALUE(D1701)&gt;=VALUE(block!$C$3:$C$500))*(VALUE(D1701)&lt;VALUE(block!$C$3:$C$500)+VALUE(block!$D$3:$D$500)),block!$A$3:$A$500,"无匹配",0,1)</f>
        <v>47</v>
      </c>
      <c r="C1701" s="3" t="str">
        <f>B1701 &amp; "-" &amp; COUNTIF($B$2:B1701, B1701)</f>
        <v>47-13</v>
      </c>
      <c r="D1701" s="10">
        <v>12956</v>
      </c>
      <c r="E1701" s="1" t="s">
        <v>5059</v>
      </c>
      <c r="F1701" s="1" t="s">
        <v>5060</v>
      </c>
      <c r="G1701" s="1" t="s">
        <v>4762</v>
      </c>
      <c r="H1701" s="1" t="s">
        <v>4755</v>
      </c>
      <c r="I1701" s="6" t="str">
        <f>IF(H1701="T50",1,IF(H1701="T50",3,IF(H1701="T66",6,IF(H1701="T66",10,IF(H1701="T98",14,IF(H1701="T98",18,IF(H1701="T66",22,"")))))))</f>
        <v/>
      </c>
      <c r="J1701" s="1" t="s">
        <v>1808</v>
      </c>
      <c r="K1701" s="10">
        <v>4</v>
      </c>
      <c r="L1701" s="10">
        <v>1</v>
      </c>
      <c r="N1701" s="10">
        <v>4</v>
      </c>
      <c r="O1701" s="6"/>
      <c r="P1701" s="45" t="s">
        <v>4756</v>
      </c>
      <c r="Q1701" s="42" t="s">
        <v>4798</v>
      </c>
      <c r="R1701" s="42"/>
      <c r="S1701" s="1" t="s">
        <v>5060</v>
      </c>
    </row>
    <row r="1702" spans="1:19" ht="18.75" customHeight="1" x14ac:dyDescent="0.3">
      <c r="A1702" s="10">
        <v>1701</v>
      </c>
      <c r="B1702" s="10">
        <f>_xlfn.XLOOKUP(1,(VALUE(D1702)&gt;=VALUE(block!$C$3:$C$500))*(VALUE(D1702)&lt;VALUE(block!$C$3:$C$500)+VALUE(block!$D$3:$D$500)),block!$A$3:$A$500,"无匹配",0,1)</f>
        <v>47</v>
      </c>
      <c r="C1702" s="3" t="str">
        <f>B1702 &amp; "-" &amp; COUNTIF($B$2:B1702, B1702)</f>
        <v>47-14</v>
      </c>
      <c r="D1702" s="10">
        <v>12960</v>
      </c>
      <c r="E1702" s="1" t="s">
        <v>5061</v>
      </c>
      <c r="F1702" s="1" t="s">
        <v>5062</v>
      </c>
      <c r="G1702" s="1" t="s">
        <v>4762</v>
      </c>
      <c r="H1702" s="1" t="s">
        <v>4755</v>
      </c>
      <c r="I1702" s="6" t="str">
        <f>IF(H1702="T51",1,IF(H1702="T51",3,IF(H1702="T67",6,IF(H1702="T67",10,IF(H1702="T99",14,IF(H1702="T99",18,IF(H1702="T67",22,"")))))))</f>
        <v/>
      </c>
      <c r="J1702" s="1" t="s">
        <v>1808</v>
      </c>
      <c r="K1702" s="10">
        <v>4</v>
      </c>
      <c r="L1702" s="10">
        <v>1</v>
      </c>
      <c r="N1702" s="10">
        <v>4</v>
      </c>
      <c r="O1702" s="6"/>
      <c r="P1702" s="45" t="s">
        <v>4756</v>
      </c>
      <c r="Q1702" s="42" t="s">
        <v>4798</v>
      </c>
      <c r="R1702" s="42"/>
      <c r="S1702" s="1" t="s">
        <v>5062</v>
      </c>
    </row>
    <row r="1703" spans="1:19" ht="18.75" customHeight="1" x14ac:dyDescent="0.3">
      <c r="A1703" s="10">
        <v>1702</v>
      </c>
      <c r="B1703" s="10">
        <f>_xlfn.XLOOKUP(1,(VALUE(D1703)&gt;=VALUE(block!$C$3:$C$500))*(VALUE(D1703)&lt;VALUE(block!$C$3:$C$500)+VALUE(block!$D$3:$D$500)),block!$A$3:$A$500,"无匹配",0,1)</f>
        <v>47</v>
      </c>
      <c r="C1703" s="3" t="str">
        <f>B1703 &amp; "-" &amp; COUNTIF($B$2:B1703, B1703)</f>
        <v>47-15</v>
      </c>
      <c r="D1703" s="10">
        <v>12964</v>
      </c>
      <c r="E1703" s="1" t="s">
        <v>5063</v>
      </c>
      <c r="F1703" s="1" t="s">
        <v>5064</v>
      </c>
      <c r="G1703" s="1" t="s">
        <v>4762</v>
      </c>
      <c r="H1703" s="1" t="s">
        <v>4755</v>
      </c>
      <c r="I1703" s="6" t="str">
        <f>IF(H1703="T52",1,IF(H1703="T52",3,IF(H1703="T68",6,IF(H1703="T68",10,IF(H1703="T100",14,IF(H1703="T100",18,IF(H1703="T68",22,"")))))))</f>
        <v/>
      </c>
      <c r="J1703" s="1" t="s">
        <v>1808</v>
      </c>
      <c r="K1703" s="10">
        <v>4</v>
      </c>
      <c r="L1703" s="10">
        <v>1</v>
      </c>
      <c r="N1703" s="10">
        <v>4</v>
      </c>
      <c r="O1703" s="6"/>
      <c r="P1703" s="45" t="s">
        <v>4756</v>
      </c>
      <c r="Q1703" s="42" t="s">
        <v>4798</v>
      </c>
      <c r="R1703" s="42"/>
      <c r="S1703" s="1" t="s">
        <v>5064</v>
      </c>
    </row>
    <row r="1704" spans="1:19" ht="18.75" customHeight="1" x14ac:dyDescent="0.3">
      <c r="A1704" s="10">
        <v>1703</v>
      </c>
      <c r="B1704" s="10">
        <f>_xlfn.XLOOKUP(1,(VALUE(D1704)&gt;=VALUE(block!$C$3:$C$500))*(VALUE(D1704)&lt;VALUE(block!$C$3:$C$500)+VALUE(block!$D$3:$D$500)),block!$A$3:$A$500,"无匹配",0,1)</f>
        <v>47</v>
      </c>
      <c r="C1704" s="3" t="str">
        <f>B1704 &amp; "-" &amp; COUNTIF($B$2:B1704, B1704)</f>
        <v>47-16</v>
      </c>
      <c r="D1704" s="10">
        <v>12968</v>
      </c>
      <c r="E1704" s="1" t="s">
        <v>5065</v>
      </c>
      <c r="F1704" s="1" t="s">
        <v>5066</v>
      </c>
      <c r="G1704" s="1" t="s">
        <v>4767</v>
      </c>
      <c r="H1704" s="1" t="s">
        <v>4755</v>
      </c>
      <c r="I1704" s="6" t="str">
        <f>IF(H1704="T53",1,IF(H1704="T53",3,IF(H1704="T69",6,IF(H1704="T69",10,IF(H1704="T101",14,IF(H1704="T101",18,IF(H1704="T69",22,"")))))))</f>
        <v/>
      </c>
      <c r="J1704" s="1" t="s">
        <v>1808</v>
      </c>
      <c r="K1704" s="10">
        <v>4</v>
      </c>
      <c r="L1704" s="10">
        <v>1</v>
      </c>
      <c r="N1704" s="10">
        <v>4</v>
      </c>
      <c r="O1704" s="6"/>
      <c r="P1704" s="45" t="s">
        <v>4756</v>
      </c>
      <c r="Q1704" s="42" t="s">
        <v>4798</v>
      </c>
      <c r="R1704" s="42"/>
      <c r="S1704" s="1" t="s">
        <v>5066</v>
      </c>
    </row>
    <row r="1705" spans="1:19" ht="18.75" customHeight="1" x14ac:dyDescent="0.3">
      <c r="A1705" s="10">
        <v>1704</v>
      </c>
      <c r="B1705" s="10">
        <f>_xlfn.XLOOKUP(1,(VALUE(D1705)&gt;=VALUE(block!$C$3:$C$500))*(VALUE(D1705)&lt;VALUE(block!$C$3:$C$500)+VALUE(block!$D$3:$D$500)),block!$A$3:$A$500,"无匹配",0,1)</f>
        <v>47</v>
      </c>
      <c r="C1705" s="3" t="str">
        <f>B1705 &amp; "-" &amp; COUNTIF($B$2:B1705, B1705)</f>
        <v>47-17</v>
      </c>
      <c r="D1705" s="10">
        <v>12972</v>
      </c>
      <c r="E1705" s="1" t="s">
        <v>5067</v>
      </c>
      <c r="F1705" s="1" t="s">
        <v>5068</v>
      </c>
      <c r="G1705" s="1" t="s">
        <v>4754</v>
      </c>
      <c r="H1705" s="1" t="s">
        <v>4755</v>
      </c>
      <c r="I1705" s="6" t="str">
        <f>IF(H1705="T54",1,IF(H1705="T54",3,IF(H1705="T70",6,IF(H1705="T70",10,IF(H1705="T102",14,IF(H1705="T102",18,IF(H1705="T70",22,"")))))))</f>
        <v/>
      </c>
      <c r="J1705" s="1" t="s">
        <v>1808</v>
      </c>
      <c r="K1705" s="10">
        <v>4</v>
      </c>
      <c r="L1705" s="10">
        <v>1</v>
      </c>
      <c r="N1705" s="10">
        <v>4</v>
      </c>
      <c r="O1705" s="6"/>
      <c r="P1705" s="45" t="s">
        <v>4756</v>
      </c>
      <c r="Q1705" s="42" t="s">
        <v>4798</v>
      </c>
      <c r="R1705" s="42"/>
      <c r="S1705" s="1" t="s">
        <v>5068</v>
      </c>
    </row>
    <row r="1706" spans="1:19" ht="18.75" customHeight="1" x14ac:dyDescent="0.3">
      <c r="A1706" s="10">
        <v>1705</v>
      </c>
      <c r="B1706" s="10">
        <f>_xlfn.XLOOKUP(1,(VALUE(D1706)&gt;=VALUE(block!$C$3:$C$500))*(VALUE(D1706)&lt;VALUE(block!$C$3:$C$500)+VALUE(block!$D$3:$D$500)),block!$A$3:$A$500,"无匹配",0,1)</f>
        <v>47</v>
      </c>
      <c r="C1706" s="3" t="str">
        <f>B1706 &amp; "-" &amp; COUNTIF($B$2:B1706, B1706)</f>
        <v>47-18</v>
      </c>
      <c r="D1706" s="10">
        <v>12976</v>
      </c>
      <c r="E1706" s="1" t="s">
        <v>5069</v>
      </c>
      <c r="F1706" s="1" t="s">
        <v>5070</v>
      </c>
      <c r="G1706" s="1" t="s">
        <v>4754</v>
      </c>
      <c r="H1706" s="1" t="s">
        <v>4755</v>
      </c>
      <c r="I1706" s="6" t="str">
        <f>IF(H1706="T55",1,IF(H1706="T55",3,IF(H1706="T71",6,IF(H1706="T71",10,IF(H1706="T103",14,IF(H1706="T103",18,IF(H1706="T71",22,"")))))))</f>
        <v/>
      </c>
      <c r="J1706" s="1" t="s">
        <v>1808</v>
      </c>
      <c r="K1706" s="10">
        <v>4</v>
      </c>
      <c r="L1706" s="10">
        <v>1</v>
      </c>
      <c r="N1706" s="10">
        <v>4</v>
      </c>
      <c r="O1706" s="6"/>
      <c r="P1706" s="45" t="s">
        <v>4756</v>
      </c>
      <c r="Q1706" s="42" t="s">
        <v>4798</v>
      </c>
      <c r="R1706" s="42"/>
      <c r="S1706" s="1" t="s">
        <v>5070</v>
      </c>
    </row>
    <row r="1707" spans="1:19" ht="18.75" customHeight="1" x14ac:dyDescent="0.3">
      <c r="A1707" s="10">
        <v>1706</v>
      </c>
      <c r="B1707" s="10">
        <f>_xlfn.XLOOKUP(1,(VALUE(D1707)&gt;=VALUE(block!$C$3:$C$500))*(VALUE(D1707)&lt;VALUE(block!$C$3:$C$500)+VALUE(block!$D$3:$D$500)),block!$A$3:$A$500,"无匹配",0,1)</f>
        <v>47</v>
      </c>
      <c r="C1707" s="3" t="str">
        <f>B1707 &amp; "-" &amp; COUNTIF($B$2:B1707, B1707)</f>
        <v>47-19</v>
      </c>
      <c r="D1707" s="10">
        <v>12980</v>
      </c>
      <c r="E1707" s="1" t="s">
        <v>5071</v>
      </c>
      <c r="F1707" s="1" t="s">
        <v>5072</v>
      </c>
      <c r="G1707" s="1" t="s">
        <v>4754</v>
      </c>
      <c r="H1707" s="1" t="s">
        <v>4755</v>
      </c>
      <c r="I1707" s="6" t="str">
        <f>IF(H1707="T56",1,IF(H1707="T56",3,IF(H1707="T72",6,IF(H1707="T72",10,IF(H1707="T104",14,IF(H1707="T104",18,IF(H1707="T72",22,"")))))))</f>
        <v/>
      </c>
      <c r="J1707" s="1" t="s">
        <v>1808</v>
      </c>
      <c r="K1707" s="10">
        <v>4</v>
      </c>
      <c r="L1707" s="10">
        <v>1</v>
      </c>
      <c r="N1707" s="10">
        <v>4</v>
      </c>
      <c r="O1707" s="6"/>
      <c r="P1707" s="45" t="s">
        <v>4756</v>
      </c>
      <c r="Q1707" s="42" t="s">
        <v>4798</v>
      </c>
      <c r="R1707" s="42"/>
      <c r="S1707" s="1" t="s">
        <v>5072</v>
      </c>
    </row>
    <row r="1708" spans="1:19" ht="18.75" customHeight="1" x14ac:dyDescent="0.3">
      <c r="A1708" s="10">
        <v>1707</v>
      </c>
      <c r="B1708" s="10">
        <f>_xlfn.XLOOKUP(1,(VALUE(D1708)&gt;=VALUE(block!$C$3:$C$500))*(VALUE(D1708)&lt;VALUE(block!$C$3:$C$500)+VALUE(block!$D$3:$D$500)),block!$A$3:$A$500,"无匹配",0,1)</f>
        <v>47</v>
      </c>
      <c r="C1708" s="3" t="str">
        <f>B1708 &amp; "-" &amp; COUNTIF($B$2:B1708, B1708)</f>
        <v>47-20</v>
      </c>
      <c r="D1708" s="10">
        <v>12984</v>
      </c>
      <c r="E1708" s="1" t="s">
        <v>5073</v>
      </c>
      <c r="F1708" s="1" t="s">
        <v>5074</v>
      </c>
      <c r="G1708" s="1" t="s">
        <v>4754</v>
      </c>
      <c r="H1708" s="1" t="s">
        <v>4755</v>
      </c>
      <c r="I1708" s="6" t="str">
        <f>IF(H1708="T57",1,IF(H1708="T57",3,IF(H1708="T73",6,IF(H1708="T73",10,IF(H1708="T105",14,IF(H1708="T105",18,IF(H1708="T73",22,"")))))))</f>
        <v/>
      </c>
      <c r="J1708" s="1" t="s">
        <v>1808</v>
      </c>
      <c r="K1708" s="10">
        <v>4</v>
      </c>
      <c r="L1708" s="10">
        <v>1</v>
      </c>
      <c r="N1708" s="10">
        <v>4</v>
      </c>
      <c r="O1708" s="6"/>
      <c r="P1708" s="45" t="s">
        <v>4756</v>
      </c>
      <c r="Q1708" s="42" t="s">
        <v>4798</v>
      </c>
      <c r="R1708" s="42"/>
      <c r="S1708" s="1" t="s">
        <v>5074</v>
      </c>
    </row>
    <row r="1709" spans="1:19" ht="18.75" customHeight="1" x14ac:dyDescent="0.3">
      <c r="A1709" s="10">
        <v>1708</v>
      </c>
      <c r="B1709" s="10">
        <f>_xlfn.XLOOKUP(1,(VALUE(D1709)&gt;=VALUE(block!$C$3:$C$500))*(VALUE(D1709)&lt;VALUE(block!$C$3:$C$500)+VALUE(block!$D$3:$D$500)),block!$A$3:$A$500,"无匹配",0,1)</f>
        <v>47</v>
      </c>
      <c r="C1709" s="3" t="str">
        <f>B1709 &amp; "-" &amp; COUNTIF($B$2:B1709, B1709)</f>
        <v>47-21</v>
      </c>
      <c r="D1709" s="10">
        <v>12988</v>
      </c>
      <c r="E1709" s="1" t="s">
        <v>5075</v>
      </c>
      <c r="F1709" s="1" t="s">
        <v>5076</v>
      </c>
      <c r="G1709" s="1" t="s">
        <v>4762</v>
      </c>
      <c r="H1709" s="1" t="s">
        <v>4755</v>
      </c>
      <c r="I1709" s="6" t="str">
        <f>IF(H1709="T58",1,IF(H1709="T58",3,IF(H1709="T74",6,IF(H1709="T74",10,IF(H1709="T106",14,IF(H1709="T106",18,IF(H1709="T74",22,"")))))))</f>
        <v/>
      </c>
      <c r="J1709" s="1" t="s">
        <v>1808</v>
      </c>
      <c r="K1709" s="10">
        <v>4</v>
      </c>
      <c r="L1709" s="10">
        <v>1</v>
      </c>
      <c r="N1709" s="10">
        <v>4</v>
      </c>
      <c r="O1709" s="6"/>
      <c r="P1709" s="45" t="s">
        <v>4756</v>
      </c>
      <c r="Q1709" s="42" t="s">
        <v>4798</v>
      </c>
      <c r="R1709" s="42"/>
      <c r="S1709" s="1" t="s">
        <v>5076</v>
      </c>
    </row>
    <row r="1710" spans="1:19" ht="18.75" customHeight="1" x14ac:dyDescent="0.3">
      <c r="A1710" s="10">
        <v>1709</v>
      </c>
      <c r="B1710" s="10">
        <f>_xlfn.XLOOKUP(1,(VALUE(D1710)&gt;=VALUE(block!$C$3:$C$500))*(VALUE(D1710)&lt;VALUE(block!$C$3:$C$500)+VALUE(block!$D$3:$D$500)),block!$A$3:$A$500,"无匹配",0,1)</f>
        <v>47</v>
      </c>
      <c r="C1710" s="3" t="str">
        <f>B1710 &amp; "-" &amp; COUNTIF($B$2:B1710, B1710)</f>
        <v>47-22</v>
      </c>
      <c r="D1710" s="10">
        <v>12992</v>
      </c>
      <c r="E1710" s="1" t="s">
        <v>5077</v>
      </c>
      <c r="F1710" s="1" t="s">
        <v>5078</v>
      </c>
      <c r="G1710" s="1" t="s">
        <v>4762</v>
      </c>
      <c r="H1710" s="1" t="s">
        <v>4755</v>
      </c>
      <c r="I1710" s="6" t="str">
        <f>IF(H1710="T59",1,IF(H1710="T59",3,IF(H1710="T75",6,IF(H1710="T75",10,IF(H1710="T107",14,IF(H1710="T107",18,IF(H1710="T75",22,"")))))))</f>
        <v/>
      </c>
      <c r="J1710" s="1" t="s">
        <v>1808</v>
      </c>
      <c r="K1710" s="10">
        <v>4</v>
      </c>
      <c r="L1710" s="10">
        <v>1</v>
      </c>
      <c r="N1710" s="10">
        <v>4</v>
      </c>
      <c r="O1710" s="6"/>
      <c r="P1710" s="45" t="s">
        <v>4756</v>
      </c>
      <c r="Q1710" s="42" t="s">
        <v>4798</v>
      </c>
      <c r="R1710" s="42"/>
      <c r="S1710" s="1" t="s">
        <v>5078</v>
      </c>
    </row>
    <row r="1711" spans="1:19" ht="18.75" customHeight="1" x14ac:dyDescent="0.3">
      <c r="A1711" s="10">
        <v>1710</v>
      </c>
      <c r="B1711" s="10">
        <f>_xlfn.XLOOKUP(1,(VALUE(D1711)&gt;=VALUE(block!$C$3:$C$500))*(VALUE(D1711)&lt;VALUE(block!$C$3:$C$500)+VALUE(block!$D$3:$D$500)),block!$A$3:$A$500,"无匹配",0,1)</f>
        <v>47</v>
      </c>
      <c r="C1711" s="3" t="str">
        <f>B1711 &amp; "-" &amp; COUNTIF($B$2:B1711, B1711)</f>
        <v>47-23</v>
      </c>
      <c r="D1711" s="10">
        <v>12996</v>
      </c>
      <c r="E1711" s="1" t="s">
        <v>5079</v>
      </c>
      <c r="F1711" s="1" t="s">
        <v>5080</v>
      </c>
      <c r="G1711" s="1" t="s">
        <v>4762</v>
      </c>
      <c r="H1711" s="1" t="s">
        <v>4755</v>
      </c>
      <c r="I1711" s="6" t="str">
        <f>IF(H1711="T60",1,IF(H1711="T60",3,IF(H1711="T76",6,IF(H1711="T76",10,IF(H1711="T108",14,IF(H1711="T108",18,IF(H1711="T76",22,"")))))))</f>
        <v/>
      </c>
      <c r="J1711" s="1" t="s">
        <v>1808</v>
      </c>
      <c r="K1711" s="10">
        <v>4</v>
      </c>
      <c r="L1711" s="10">
        <v>1</v>
      </c>
      <c r="N1711" s="10">
        <v>4</v>
      </c>
      <c r="O1711" s="6"/>
      <c r="P1711" s="45" t="s">
        <v>4756</v>
      </c>
      <c r="Q1711" s="42" t="s">
        <v>4798</v>
      </c>
      <c r="R1711" s="42"/>
      <c r="S1711" s="1" t="s">
        <v>5080</v>
      </c>
    </row>
    <row r="1712" spans="1:19" ht="18.75" customHeight="1" x14ac:dyDescent="0.3">
      <c r="A1712" s="10">
        <v>1711</v>
      </c>
      <c r="B1712" s="10">
        <f>_xlfn.XLOOKUP(1,(VALUE(D1712)&gt;=VALUE(block!$C$3:$C$500))*(VALUE(D1712)&lt;VALUE(block!$C$3:$C$500)+VALUE(block!$D$3:$D$500)),block!$A$3:$A$500,"无匹配",0,1)</f>
        <v>47</v>
      </c>
      <c r="C1712" s="3" t="str">
        <f>B1712 &amp; "-" &amp; COUNTIF($B$2:B1712, B1712)</f>
        <v>47-24</v>
      </c>
      <c r="D1712" s="10">
        <v>13000</v>
      </c>
      <c r="E1712" s="1" t="s">
        <v>5081</v>
      </c>
      <c r="F1712" s="1" t="s">
        <v>5082</v>
      </c>
      <c r="G1712" s="1" t="s">
        <v>4762</v>
      </c>
      <c r="H1712" s="1" t="s">
        <v>4755</v>
      </c>
      <c r="I1712" s="6" t="str">
        <f>IF(H1712="T61",1,IF(H1712="T61",3,IF(H1712="T77",6,IF(H1712="T77",10,IF(H1712="T109",14,IF(H1712="T109",18,IF(H1712="T77",22,"")))))))</f>
        <v/>
      </c>
      <c r="J1712" s="1" t="s">
        <v>1808</v>
      </c>
      <c r="K1712" s="10">
        <v>4</v>
      </c>
      <c r="L1712" s="10">
        <v>1</v>
      </c>
      <c r="N1712" s="10">
        <v>4</v>
      </c>
      <c r="O1712" s="6"/>
      <c r="P1712" s="45" t="s">
        <v>4756</v>
      </c>
      <c r="Q1712" s="42" t="s">
        <v>4798</v>
      </c>
      <c r="R1712" s="42"/>
      <c r="S1712" s="1" t="s">
        <v>5082</v>
      </c>
    </row>
    <row r="1713" spans="1:19" ht="18.75" customHeight="1" x14ac:dyDescent="0.3">
      <c r="A1713" s="10">
        <v>1712</v>
      </c>
      <c r="B1713" s="10">
        <f>_xlfn.XLOOKUP(1,(VALUE(D1713)&gt;=VALUE(block!$C$3:$C$500))*(VALUE(D1713)&lt;VALUE(block!$C$3:$C$500)+VALUE(block!$D$3:$D$500)),block!$A$3:$A$500,"无匹配",0,1)</f>
        <v>47</v>
      </c>
      <c r="C1713" s="3" t="str">
        <f>B1713 &amp; "-" &amp; COUNTIF($B$2:B1713, B1713)</f>
        <v>47-25</v>
      </c>
      <c r="D1713" s="51">
        <v>13004</v>
      </c>
      <c r="E1713" s="52" t="s">
        <v>5083</v>
      </c>
      <c r="F1713" s="52" t="s">
        <v>5084</v>
      </c>
      <c r="G1713" s="52" t="s">
        <v>4767</v>
      </c>
      <c r="H1713" s="52" t="s">
        <v>4755</v>
      </c>
      <c r="I1713" s="54" t="str">
        <f>IF(H1713="T62",1,IF(H1713="T62",3,IF(H1713="T78",6,IF(H1713="T78",10,IF(H1713="T110",14,IF(H1713="T110",18,IF(H1713="T78",22,"")))))))</f>
        <v/>
      </c>
      <c r="J1713" s="52" t="s">
        <v>1808</v>
      </c>
      <c r="K1713" s="51">
        <v>4</v>
      </c>
      <c r="L1713" s="10">
        <v>1</v>
      </c>
      <c r="N1713" s="10">
        <v>4</v>
      </c>
      <c r="O1713" s="6"/>
      <c r="P1713" s="45" t="s">
        <v>4756</v>
      </c>
      <c r="Q1713" s="42" t="s">
        <v>4798</v>
      </c>
      <c r="R1713" s="42"/>
      <c r="S1713" s="52" t="s">
        <v>5084</v>
      </c>
    </row>
    <row r="1714" spans="1:19" ht="18.75" customHeight="1" x14ac:dyDescent="0.3">
      <c r="A1714" s="10">
        <v>1713</v>
      </c>
      <c r="B1714" s="10">
        <f>_xlfn.XLOOKUP(1,(VALUE(D1714)&gt;=VALUE(block!$C$3:$C$500))*(VALUE(D1714)&lt;VALUE(block!$C$3:$C$500)+VALUE(block!$D$3:$D$500)),block!$A$3:$A$500,"无匹配",0,1)</f>
        <v>47</v>
      </c>
      <c r="C1714" s="3" t="str">
        <f>B1714 &amp; "-" &amp; COUNTIF($B$2:B1714, B1714)</f>
        <v>47-26</v>
      </c>
      <c r="D1714" s="10">
        <v>13008</v>
      </c>
      <c r="E1714" s="1" t="s">
        <v>5085</v>
      </c>
      <c r="F1714" s="1" t="s">
        <v>5086</v>
      </c>
      <c r="G1714" s="1" t="s">
        <v>4754</v>
      </c>
      <c r="H1714" s="1" t="s">
        <v>4755</v>
      </c>
      <c r="I1714" s="6" t="str">
        <f>IF(H1714="T63",1,IF(H1714="T63",3,IF(H1714="T79",6,IF(H1714="T79",10,IF(H1714="T111",14,IF(H1714="T111",18,IF(H1714="T79",22,"")))))))</f>
        <v/>
      </c>
      <c r="J1714" s="1" t="s">
        <v>1808</v>
      </c>
      <c r="K1714" s="10">
        <v>4</v>
      </c>
      <c r="L1714" s="10">
        <v>1</v>
      </c>
      <c r="N1714" s="10">
        <v>4</v>
      </c>
      <c r="O1714" s="6"/>
      <c r="P1714" s="45" t="s">
        <v>4756</v>
      </c>
      <c r="Q1714" s="42" t="s">
        <v>4798</v>
      </c>
      <c r="R1714" s="42"/>
      <c r="S1714" s="1" t="s">
        <v>5086</v>
      </c>
    </row>
    <row r="1715" spans="1:19" ht="18.75" customHeight="1" x14ac:dyDescent="0.3">
      <c r="A1715" s="10">
        <v>1714</v>
      </c>
      <c r="B1715" s="10">
        <f>_xlfn.XLOOKUP(1,(VALUE(D1715)&gt;=VALUE(block!$C$3:$C$500))*(VALUE(D1715)&lt;VALUE(block!$C$3:$C$500)+VALUE(block!$D$3:$D$500)),block!$A$3:$A$500,"无匹配",0,1)</f>
        <v>47</v>
      </c>
      <c r="C1715" s="3" t="str">
        <f>B1715 &amp; "-" &amp; COUNTIF($B$2:B1715, B1715)</f>
        <v>47-27</v>
      </c>
      <c r="D1715" s="10">
        <v>13012</v>
      </c>
      <c r="E1715" s="1" t="s">
        <v>5087</v>
      </c>
      <c r="F1715" s="1" t="s">
        <v>5088</v>
      </c>
      <c r="G1715" s="1" t="s">
        <v>4754</v>
      </c>
      <c r="H1715" s="1" t="s">
        <v>4755</v>
      </c>
      <c r="I1715" s="6" t="str">
        <f>IF(H1715="T64",1,IF(H1715="T64",3,IF(H1715="T80",6,IF(H1715="T80",10,IF(H1715="T112",14,IF(H1715="T112",18,IF(H1715="T80",22,"")))))))</f>
        <v/>
      </c>
      <c r="J1715" s="1" t="s">
        <v>1808</v>
      </c>
      <c r="K1715" s="10">
        <v>4</v>
      </c>
      <c r="L1715" s="10">
        <v>1</v>
      </c>
      <c r="N1715" s="10">
        <v>4</v>
      </c>
      <c r="O1715" s="6"/>
      <c r="P1715" s="45" t="s">
        <v>4756</v>
      </c>
      <c r="Q1715" s="42" t="s">
        <v>4798</v>
      </c>
      <c r="R1715" s="42"/>
      <c r="S1715" s="1" t="s">
        <v>5088</v>
      </c>
    </row>
    <row r="1716" spans="1:19" ht="18.75" customHeight="1" x14ac:dyDescent="0.3">
      <c r="A1716" s="10">
        <v>1715</v>
      </c>
      <c r="B1716" s="10">
        <f>_xlfn.XLOOKUP(1,(VALUE(D1716)&gt;=VALUE(block!$C$3:$C$500))*(VALUE(D1716)&lt;VALUE(block!$C$3:$C$500)+VALUE(block!$D$3:$D$500)),block!$A$3:$A$500,"无匹配",0,1)</f>
        <v>47</v>
      </c>
      <c r="C1716" s="3" t="str">
        <f>B1716 &amp; "-" &amp; COUNTIF($B$2:B1716, B1716)</f>
        <v>47-28</v>
      </c>
      <c r="D1716" s="10">
        <v>13016</v>
      </c>
      <c r="E1716" s="1" t="s">
        <v>5089</v>
      </c>
      <c r="F1716" s="1" t="s">
        <v>5090</v>
      </c>
      <c r="G1716" s="1" t="s">
        <v>4754</v>
      </c>
      <c r="H1716" s="1" t="s">
        <v>4755</v>
      </c>
      <c r="I1716" s="6" t="str">
        <f>IF(H1716="T65",1,IF(H1716="T65",3,IF(H1716="T81",6,IF(H1716="T81",10,IF(H1716="T113",14,IF(H1716="T113",18,IF(H1716="T81",22,"")))))))</f>
        <v/>
      </c>
      <c r="J1716" s="1" t="s">
        <v>1808</v>
      </c>
      <c r="K1716" s="10">
        <v>4</v>
      </c>
      <c r="L1716" s="10">
        <v>1</v>
      </c>
      <c r="N1716" s="10">
        <v>4</v>
      </c>
      <c r="O1716" s="6"/>
      <c r="P1716" s="45" t="s">
        <v>4756</v>
      </c>
      <c r="Q1716" s="42" t="s">
        <v>4798</v>
      </c>
      <c r="R1716" s="42"/>
      <c r="S1716" s="1" t="s">
        <v>5090</v>
      </c>
    </row>
    <row r="1717" spans="1:19" ht="18.75" customHeight="1" x14ac:dyDescent="0.3">
      <c r="A1717" s="10">
        <v>1716</v>
      </c>
      <c r="B1717" s="10">
        <f>_xlfn.XLOOKUP(1,(VALUE(D1717)&gt;=VALUE(block!$C$3:$C$500))*(VALUE(D1717)&lt;VALUE(block!$C$3:$C$500)+VALUE(block!$D$3:$D$500)),block!$A$3:$A$500,"无匹配",0,1)</f>
        <v>47</v>
      </c>
      <c r="C1717" s="3" t="str">
        <f>B1717 &amp; "-" &amp; COUNTIF($B$2:B1717, B1717)</f>
        <v>47-29</v>
      </c>
      <c r="D1717" s="10">
        <v>13020</v>
      </c>
      <c r="E1717" s="1" t="s">
        <v>5091</v>
      </c>
      <c r="F1717" s="1" t="s">
        <v>5092</v>
      </c>
      <c r="G1717" s="1" t="s">
        <v>4754</v>
      </c>
      <c r="H1717" s="1" t="s">
        <v>4755</v>
      </c>
      <c r="I1717" s="6" t="str">
        <f>IF(H1717="T66",1,IF(H1717="T66",3,IF(H1717="T82",6,IF(H1717="T82",10,IF(H1717="T114",14,IF(H1717="T114",18,IF(H1717="T82",22,"")))))))</f>
        <v/>
      </c>
      <c r="J1717" s="1" t="s">
        <v>1808</v>
      </c>
      <c r="K1717" s="10">
        <v>4</v>
      </c>
      <c r="L1717" s="10">
        <v>1</v>
      </c>
      <c r="N1717" s="10">
        <v>4</v>
      </c>
      <c r="O1717" s="6"/>
      <c r="P1717" s="45" t="s">
        <v>4756</v>
      </c>
      <c r="Q1717" s="42" t="s">
        <v>4798</v>
      </c>
      <c r="R1717" s="42"/>
      <c r="S1717" s="1" t="s">
        <v>5092</v>
      </c>
    </row>
    <row r="1718" spans="1:19" ht="18.75" customHeight="1" x14ac:dyDescent="0.3">
      <c r="A1718" s="10">
        <v>1717</v>
      </c>
      <c r="B1718" s="10">
        <f>_xlfn.XLOOKUP(1,(VALUE(D1718)&gt;=VALUE(block!$C$3:$C$500))*(VALUE(D1718)&lt;VALUE(block!$C$3:$C$500)+VALUE(block!$D$3:$D$500)),block!$A$3:$A$500,"无匹配",0,1)</f>
        <v>47</v>
      </c>
      <c r="C1718" s="3" t="str">
        <f>B1718 &amp; "-" &amp; COUNTIF($B$2:B1718, B1718)</f>
        <v>47-30</v>
      </c>
      <c r="D1718" s="10">
        <v>13024</v>
      </c>
      <c r="E1718" s="1" t="s">
        <v>5093</v>
      </c>
      <c r="F1718" s="1" t="s">
        <v>5094</v>
      </c>
      <c r="G1718" s="1" t="s">
        <v>4762</v>
      </c>
      <c r="H1718" s="1" t="s">
        <v>4755</v>
      </c>
      <c r="I1718" s="6" t="str">
        <f>IF(H1718="T67",1,IF(H1718="T67",3,IF(H1718="T83",6,IF(H1718="T83",10,IF(H1718="T115",14,IF(H1718="T115",18,IF(H1718="T83",22,"")))))))</f>
        <v/>
      </c>
      <c r="J1718" s="1" t="s">
        <v>1808</v>
      </c>
      <c r="K1718" s="10">
        <v>4</v>
      </c>
      <c r="L1718" s="10">
        <v>1</v>
      </c>
      <c r="N1718" s="10">
        <v>4</v>
      </c>
      <c r="O1718" s="6"/>
      <c r="P1718" s="45" t="s">
        <v>4756</v>
      </c>
      <c r="Q1718" s="42" t="s">
        <v>4798</v>
      </c>
      <c r="R1718" s="42"/>
      <c r="S1718" s="1" t="s">
        <v>5094</v>
      </c>
    </row>
    <row r="1719" spans="1:19" ht="18.75" customHeight="1" x14ac:dyDescent="0.3">
      <c r="A1719" s="10">
        <v>1718</v>
      </c>
      <c r="B1719" s="10">
        <f>_xlfn.XLOOKUP(1,(VALUE(D1719)&gt;=VALUE(block!$C$3:$C$500))*(VALUE(D1719)&lt;VALUE(block!$C$3:$C$500)+VALUE(block!$D$3:$D$500)),block!$A$3:$A$500,"无匹配",0,1)</f>
        <v>47</v>
      </c>
      <c r="C1719" s="3" t="str">
        <f>B1719 &amp; "-" &amp; COUNTIF($B$2:B1719, B1719)</f>
        <v>47-31</v>
      </c>
      <c r="D1719" s="10">
        <v>13028</v>
      </c>
      <c r="E1719" s="1" t="s">
        <v>5095</v>
      </c>
      <c r="F1719" s="1" t="s">
        <v>5096</v>
      </c>
      <c r="G1719" s="1" t="s">
        <v>4762</v>
      </c>
      <c r="H1719" s="1" t="s">
        <v>4755</v>
      </c>
      <c r="I1719" s="6" t="str">
        <f>IF(H1719="T68",1,IF(H1719="T68",3,IF(H1719="T84",6,IF(H1719="T84",10,IF(H1719="T116",14,IF(H1719="T116",18,IF(H1719="T84",22,"")))))))</f>
        <v/>
      </c>
      <c r="J1719" s="1" t="s">
        <v>1808</v>
      </c>
      <c r="K1719" s="10">
        <v>4</v>
      </c>
      <c r="L1719" s="10">
        <v>1</v>
      </c>
      <c r="N1719" s="10">
        <v>4</v>
      </c>
      <c r="O1719" s="6"/>
      <c r="P1719" s="45" t="s">
        <v>4756</v>
      </c>
      <c r="Q1719" s="42" t="s">
        <v>4798</v>
      </c>
      <c r="R1719" s="42"/>
      <c r="S1719" s="1" t="s">
        <v>5096</v>
      </c>
    </row>
    <row r="1720" spans="1:19" ht="18.75" customHeight="1" x14ac:dyDescent="0.3">
      <c r="A1720" s="10">
        <v>1719</v>
      </c>
      <c r="B1720" s="10">
        <f>_xlfn.XLOOKUP(1,(VALUE(D1720)&gt;=VALUE(block!$C$3:$C$500))*(VALUE(D1720)&lt;VALUE(block!$C$3:$C$500)+VALUE(block!$D$3:$D$500)),block!$A$3:$A$500,"无匹配",0,1)</f>
        <v>48</v>
      </c>
      <c r="C1720" s="3" t="str">
        <f>B1720 &amp; "-" &amp; COUNTIF($B$2:B1720, B1720)</f>
        <v>48-1</v>
      </c>
      <c r="D1720" s="10">
        <v>13032</v>
      </c>
      <c r="E1720" s="1" t="s">
        <v>5097</v>
      </c>
      <c r="F1720" s="1" t="s">
        <v>5098</v>
      </c>
      <c r="G1720" s="1" t="s">
        <v>4762</v>
      </c>
      <c r="H1720" s="1" t="s">
        <v>4755</v>
      </c>
      <c r="I1720" s="6" t="str">
        <f>IF(H1720="T69",1,IF(H1720="T69",3,IF(H1720="T85",6,IF(H1720="T85",10,IF(H1720="T117",14,IF(H1720="T117",18,IF(H1720="T85",22,"")))))))</f>
        <v/>
      </c>
      <c r="J1720" s="1" t="s">
        <v>1808</v>
      </c>
      <c r="K1720" s="10">
        <v>4</v>
      </c>
      <c r="L1720" s="10">
        <v>1</v>
      </c>
      <c r="N1720" s="10">
        <v>4</v>
      </c>
      <c r="O1720" s="6"/>
      <c r="P1720" s="45" t="s">
        <v>4756</v>
      </c>
      <c r="Q1720" s="42" t="s">
        <v>4798</v>
      </c>
      <c r="R1720" s="42"/>
      <c r="S1720" s="1" t="s">
        <v>5098</v>
      </c>
    </row>
    <row r="1721" spans="1:19" ht="18.75" customHeight="1" x14ac:dyDescent="0.3">
      <c r="A1721" s="10">
        <v>1720</v>
      </c>
      <c r="B1721" s="10">
        <f>_xlfn.XLOOKUP(1,(VALUE(D1721)&gt;=VALUE(block!$C$3:$C$500))*(VALUE(D1721)&lt;VALUE(block!$C$3:$C$500)+VALUE(block!$D$3:$D$500)),block!$A$3:$A$500,"无匹配",0,1)</f>
        <v>48</v>
      </c>
      <c r="C1721" s="3" t="str">
        <f>B1721 &amp; "-" &amp; COUNTIF($B$2:B1721, B1721)</f>
        <v>48-2</v>
      </c>
      <c r="D1721" s="10">
        <v>13036</v>
      </c>
      <c r="E1721" s="1" t="s">
        <v>5099</v>
      </c>
      <c r="F1721" s="1" t="s">
        <v>5100</v>
      </c>
      <c r="G1721" s="1" t="s">
        <v>4762</v>
      </c>
      <c r="H1721" s="1" t="s">
        <v>4755</v>
      </c>
      <c r="I1721" s="6" t="str">
        <f>IF(H1721="T70",1,IF(H1721="T70",3,IF(H1721="T86",6,IF(H1721="T86",10,IF(H1721="T118",14,IF(H1721="T118",18,IF(H1721="T86",22,"")))))))</f>
        <v/>
      </c>
      <c r="J1721" s="1" t="s">
        <v>1808</v>
      </c>
      <c r="K1721" s="10">
        <v>4</v>
      </c>
      <c r="L1721" s="10">
        <v>1</v>
      </c>
      <c r="N1721" s="10">
        <v>4</v>
      </c>
      <c r="O1721" s="6"/>
      <c r="P1721" s="45" t="s">
        <v>4756</v>
      </c>
      <c r="Q1721" s="42" t="s">
        <v>4798</v>
      </c>
      <c r="R1721" s="42"/>
      <c r="S1721" s="1" t="s">
        <v>5100</v>
      </c>
    </row>
    <row r="1722" spans="1:19" ht="18.75" customHeight="1" x14ac:dyDescent="0.3">
      <c r="A1722" s="10">
        <v>1721</v>
      </c>
      <c r="B1722" s="10">
        <f>_xlfn.XLOOKUP(1,(VALUE(D1722)&gt;=VALUE(block!$C$3:$C$500))*(VALUE(D1722)&lt;VALUE(block!$C$3:$C$500)+VALUE(block!$D$3:$D$500)),block!$A$3:$A$500,"无匹配",0,1)</f>
        <v>48</v>
      </c>
      <c r="C1722" s="3" t="str">
        <f>B1722 &amp; "-" &amp; COUNTIF($B$2:B1722, B1722)</f>
        <v>48-3</v>
      </c>
      <c r="D1722" s="10">
        <v>13040</v>
      </c>
      <c r="E1722" s="1" t="s">
        <v>5101</v>
      </c>
      <c r="F1722" s="1" t="s">
        <v>5102</v>
      </c>
      <c r="G1722" s="1" t="s">
        <v>4767</v>
      </c>
      <c r="H1722" s="1" t="s">
        <v>4755</v>
      </c>
      <c r="I1722" s="6" t="str">
        <f>IF(H1722="T71",1,IF(H1722="T71",3,IF(H1722="T87",6,IF(H1722="T87",10,IF(H1722="T119",14,IF(H1722="T119",18,IF(H1722="T87",22,"")))))))</f>
        <v/>
      </c>
      <c r="J1722" s="1" t="s">
        <v>1808</v>
      </c>
      <c r="K1722" s="10">
        <v>4</v>
      </c>
      <c r="L1722" s="10">
        <v>1</v>
      </c>
      <c r="N1722" s="10">
        <v>4</v>
      </c>
      <c r="O1722" s="6"/>
      <c r="P1722" s="45" t="s">
        <v>4756</v>
      </c>
      <c r="Q1722" s="42" t="s">
        <v>4798</v>
      </c>
      <c r="R1722" s="42"/>
      <c r="S1722" s="1" t="s">
        <v>5102</v>
      </c>
    </row>
    <row r="1723" spans="1:19" ht="18.75" customHeight="1" x14ac:dyDescent="0.3">
      <c r="A1723" s="10">
        <v>1722</v>
      </c>
      <c r="B1723" s="10">
        <f>_xlfn.XLOOKUP(1,(VALUE(D1723)&gt;=VALUE(block!$C$3:$C$500))*(VALUE(D1723)&lt;VALUE(block!$C$3:$C$500)+VALUE(block!$D$3:$D$500)),block!$A$3:$A$500,"无匹配",0,1)</f>
        <v>48</v>
      </c>
      <c r="C1723" s="3" t="str">
        <f>B1723 &amp; "-" &amp; COUNTIF($B$2:B1723, B1723)</f>
        <v>48-4</v>
      </c>
      <c r="D1723" s="10">
        <v>13044</v>
      </c>
      <c r="E1723" s="1" t="s">
        <v>5103</v>
      </c>
      <c r="F1723" s="1" t="s">
        <v>5104</v>
      </c>
      <c r="G1723" s="1" t="s">
        <v>4754</v>
      </c>
      <c r="H1723" s="1" t="s">
        <v>4755</v>
      </c>
      <c r="I1723" s="6" t="str">
        <f>IF(H1723="T72",1,IF(H1723="T72",3,IF(H1723="T88",6,IF(H1723="T88",10,IF(H1723="T120",14,IF(H1723="T120",18,IF(H1723="T88",22,"")))))))</f>
        <v/>
      </c>
      <c r="J1723" s="1" t="s">
        <v>1808</v>
      </c>
      <c r="K1723" s="10">
        <v>4</v>
      </c>
      <c r="L1723" s="10">
        <v>1</v>
      </c>
      <c r="N1723" s="10">
        <v>4</v>
      </c>
      <c r="O1723" s="6"/>
      <c r="P1723" s="45" t="s">
        <v>4756</v>
      </c>
      <c r="Q1723" s="42" t="s">
        <v>4798</v>
      </c>
      <c r="R1723" s="42"/>
      <c r="S1723" s="1" t="s">
        <v>5104</v>
      </c>
    </row>
    <row r="1724" spans="1:19" ht="18.75" customHeight="1" x14ac:dyDescent="0.3">
      <c r="A1724" s="10">
        <v>1723</v>
      </c>
      <c r="B1724" s="10">
        <f>_xlfn.XLOOKUP(1,(VALUE(D1724)&gt;=VALUE(block!$C$3:$C$500))*(VALUE(D1724)&lt;VALUE(block!$C$3:$C$500)+VALUE(block!$D$3:$D$500)),block!$A$3:$A$500,"无匹配",0,1)</f>
        <v>48</v>
      </c>
      <c r="C1724" s="3" t="str">
        <f>B1724 &amp; "-" &amp; COUNTIF($B$2:B1724, B1724)</f>
        <v>48-5</v>
      </c>
      <c r="D1724" s="10">
        <v>13048</v>
      </c>
      <c r="E1724" s="1" t="s">
        <v>5105</v>
      </c>
      <c r="F1724" s="1" t="s">
        <v>5106</v>
      </c>
      <c r="G1724" s="1" t="s">
        <v>4754</v>
      </c>
      <c r="H1724" s="1" t="s">
        <v>4755</v>
      </c>
      <c r="I1724" s="6" t="str">
        <f>IF(H1724="T73",1,IF(H1724="T73",3,IF(H1724="T89",6,IF(H1724="T89",10,IF(H1724="T121",14,IF(H1724="T121",18,IF(H1724="T89",22,"")))))))</f>
        <v/>
      </c>
      <c r="J1724" s="1" t="s">
        <v>1808</v>
      </c>
      <c r="K1724" s="10">
        <v>4</v>
      </c>
      <c r="L1724" s="10">
        <v>1</v>
      </c>
      <c r="N1724" s="10">
        <v>4</v>
      </c>
      <c r="O1724" s="6"/>
      <c r="P1724" s="45" t="s">
        <v>4756</v>
      </c>
      <c r="Q1724" s="42" t="s">
        <v>4798</v>
      </c>
      <c r="R1724" s="42"/>
      <c r="S1724" s="1" t="s">
        <v>5106</v>
      </c>
    </row>
    <row r="1725" spans="1:19" ht="18.75" customHeight="1" x14ac:dyDescent="0.3">
      <c r="A1725" s="10">
        <v>1724</v>
      </c>
      <c r="B1725" s="10">
        <f>_xlfn.XLOOKUP(1,(VALUE(D1725)&gt;=VALUE(block!$C$3:$C$500))*(VALUE(D1725)&lt;VALUE(block!$C$3:$C$500)+VALUE(block!$D$3:$D$500)),block!$A$3:$A$500,"无匹配",0,1)</f>
        <v>48</v>
      </c>
      <c r="C1725" s="3" t="str">
        <f>B1725 &amp; "-" &amp; COUNTIF($B$2:B1725, B1725)</f>
        <v>48-6</v>
      </c>
      <c r="D1725" s="10">
        <v>13052</v>
      </c>
      <c r="E1725" s="1" t="s">
        <v>5107</v>
      </c>
      <c r="F1725" s="1" t="s">
        <v>5108</v>
      </c>
      <c r="G1725" s="1" t="s">
        <v>4754</v>
      </c>
      <c r="H1725" s="1" t="s">
        <v>4755</v>
      </c>
      <c r="I1725" s="6" t="str">
        <f>IF(H1725="T74",1,IF(H1725="T74",3,IF(H1725="T90",6,IF(H1725="T90",10,IF(H1725="T122",14,IF(H1725="T122",18,IF(H1725="T90",22,"")))))))</f>
        <v/>
      </c>
      <c r="J1725" s="1" t="s">
        <v>1808</v>
      </c>
      <c r="K1725" s="10">
        <v>4</v>
      </c>
      <c r="L1725" s="10">
        <v>1</v>
      </c>
      <c r="N1725" s="10">
        <v>4</v>
      </c>
      <c r="O1725" s="6"/>
      <c r="P1725" s="45" t="s">
        <v>4756</v>
      </c>
      <c r="Q1725" s="42" t="s">
        <v>4798</v>
      </c>
      <c r="R1725" s="42"/>
      <c r="S1725" s="1" t="s">
        <v>5108</v>
      </c>
    </row>
    <row r="1726" spans="1:19" ht="18.75" customHeight="1" x14ac:dyDescent="0.3">
      <c r="A1726" s="10">
        <v>1725</v>
      </c>
      <c r="B1726" s="10">
        <f>_xlfn.XLOOKUP(1,(VALUE(D1726)&gt;=VALUE(block!$C$3:$C$500))*(VALUE(D1726)&lt;VALUE(block!$C$3:$C$500)+VALUE(block!$D$3:$D$500)),block!$A$3:$A$500,"无匹配",0,1)</f>
        <v>48</v>
      </c>
      <c r="C1726" s="3" t="str">
        <f>B1726 &amp; "-" &amp; COUNTIF($B$2:B1726, B1726)</f>
        <v>48-7</v>
      </c>
      <c r="D1726" s="10">
        <v>13056</v>
      </c>
      <c r="E1726" s="1" t="s">
        <v>5109</v>
      </c>
      <c r="F1726" s="1" t="s">
        <v>5110</v>
      </c>
      <c r="G1726" s="1" t="s">
        <v>4754</v>
      </c>
      <c r="H1726" s="1" t="s">
        <v>4755</v>
      </c>
      <c r="I1726" s="6" t="str">
        <f>IF(H1726="T75",1,IF(H1726="T75",3,IF(H1726="T91",6,IF(H1726="T91",10,IF(H1726="T123",14,IF(H1726="T123",18,IF(H1726="T91",22,"")))))))</f>
        <v/>
      </c>
      <c r="J1726" s="1" t="s">
        <v>1808</v>
      </c>
      <c r="K1726" s="10">
        <v>4</v>
      </c>
      <c r="L1726" s="10">
        <v>1</v>
      </c>
      <c r="N1726" s="10">
        <v>4</v>
      </c>
      <c r="O1726" s="6"/>
      <c r="P1726" s="45" t="s">
        <v>4756</v>
      </c>
      <c r="Q1726" s="42" t="s">
        <v>4798</v>
      </c>
      <c r="R1726" s="42"/>
      <c r="S1726" s="1" t="s">
        <v>5110</v>
      </c>
    </row>
    <row r="1727" spans="1:19" ht="18.75" customHeight="1" x14ac:dyDescent="0.3">
      <c r="A1727" s="10">
        <v>1726</v>
      </c>
      <c r="B1727" s="10">
        <f>_xlfn.XLOOKUP(1,(VALUE(D1727)&gt;=VALUE(block!$C$3:$C$500))*(VALUE(D1727)&lt;VALUE(block!$C$3:$C$500)+VALUE(block!$D$3:$D$500)),block!$A$3:$A$500,"无匹配",0,1)</f>
        <v>48</v>
      </c>
      <c r="C1727" s="3" t="str">
        <f>B1727 &amp; "-" &amp; COUNTIF($B$2:B1727, B1727)</f>
        <v>48-8</v>
      </c>
      <c r="D1727" s="10">
        <v>13060</v>
      </c>
      <c r="E1727" s="1" t="s">
        <v>5111</v>
      </c>
      <c r="F1727" s="1" t="s">
        <v>5112</v>
      </c>
      <c r="G1727" s="1" t="s">
        <v>4762</v>
      </c>
      <c r="H1727" s="1" t="s">
        <v>4755</v>
      </c>
      <c r="I1727" s="6" t="str">
        <f>IF(H1727="T76",1,IF(H1727="T76",3,IF(H1727="T92",6,IF(H1727="T92",10,IF(H1727="T124",14,IF(H1727="T124",18,IF(H1727="T92",22,"")))))))</f>
        <v/>
      </c>
      <c r="J1727" s="1" t="s">
        <v>1808</v>
      </c>
      <c r="K1727" s="10">
        <v>4</v>
      </c>
      <c r="L1727" s="10">
        <v>1</v>
      </c>
      <c r="N1727" s="10">
        <v>4</v>
      </c>
      <c r="O1727" s="6"/>
      <c r="P1727" s="45" t="s">
        <v>4756</v>
      </c>
      <c r="Q1727" s="42" t="s">
        <v>4798</v>
      </c>
      <c r="R1727" s="42"/>
      <c r="S1727" s="1" t="s">
        <v>5112</v>
      </c>
    </row>
    <row r="1728" spans="1:19" ht="18.75" customHeight="1" x14ac:dyDescent="0.3">
      <c r="A1728" s="10">
        <v>1727</v>
      </c>
      <c r="B1728" s="10">
        <f>_xlfn.XLOOKUP(1,(VALUE(D1728)&gt;=VALUE(block!$C$3:$C$500))*(VALUE(D1728)&lt;VALUE(block!$C$3:$C$500)+VALUE(block!$D$3:$D$500)),block!$A$3:$A$500,"无匹配",0,1)</f>
        <v>48</v>
      </c>
      <c r="C1728" s="3" t="str">
        <f>B1728 &amp; "-" &amp; COUNTIF($B$2:B1728, B1728)</f>
        <v>48-9</v>
      </c>
      <c r="D1728" s="10">
        <v>13064</v>
      </c>
      <c r="E1728" s="1" t="s">
        <v>5113</v>
      </c>
      <c r="F1728" s="1" t="s">
        <v>5114</v>
      </c>
      <c r="G1728" s="1" t="s">
        <v>4762</v>
      </c>
      <c r="H1728" s="1" t="s">
        <v>4755</v>
      </c>
      <c r="I1728" s="6" t="str">
        <f>IF(H1728="T77",1,IF(H1728="T77",3,IF(H1728="T93",6,IF(H1728="T93",10,IF(H1728="T125",14,IF(H1728="T125",18,IF(H1728="T93",22,"")))))))</f>
        <v/>
      </c>
      <c r="J1728" s="1" t="s">
        <v>1808</v>
      </c>
      <c r="K1728" s="10">
        <v>4</v>
      </c>
      <c r="L1728" s="10">
        <v>1</v>
      </c>
      <c r="N1728" s="10">
        <v>4</v>
      </c>
      <c r="O1728" s="6"/>
      <c r="P1728" s="45" t="s">
        <v>4756</v>
      </c>
      <c r="Q1728" s="42" t="s">
        <v>4798</v>
      </c>
      <c r="R1728" s="42"/>
      <c r="S1728" s="1" t="s">
        <v>5114</v>
      </c>
    </row>
    <row r="1729" spans="1:19" ht="18.75" customHeight="1" x14ac:dyDescent="0.3">
      <c r="A1729" s="10">
        <v>1728</v>
      </c>
      <c r="B1729" s="10">
        <f>_xlfn.XLOOKUP(1,(VALUE(D1729)&gt;=VALUE(block!$C$3:$C$500))*(VALUE(D1729)&lt;VALUE(block!$C$3:$C$500)+VALUE(block!$D$3:$D$500)),block!$A$3:$A$500,"无匹配",0,1)</f>
        <v>48</v>
      </c>
      <c r="C1729" s="3" t="str">
        <f>B1729 &amp; "-" &amp; COUNTIF($B$2:B1729, B1729)</f>
        <v>48-10</v>
      </c>
      <c r="D1729" s="10">
        <v>13068</v>
      </c>
      <c r="E1729" s="1" t="s">
        <v>5115</v>
      </c>
      <c r="F1729" s="1" t="s">
        <v>5116</v>
      </c>
      <c r="G1729" s="1" t="s">
        <v>4762</v>
      </c>
      <c r="H1729" s="1" t="s">
        <v>4755</v>
      </c>
      <c r="I1729" s="6" t="str">
        <f>IF(H1729="T78",1,IF(H1729="T78",3,IF(H1729="T94",6,IF(H1729="T94",10,IF(H1729="T126",14,IF(H1729="T126",18,IF(H1729="T94",22,"")))))))</f>
        <v/>
      </c>
      <c r="J1729" s="1" t="s">
        <v>1808</v>
      </c>
      <c r="K1729" s="10">
        <v>4</v>
      </c>
      <c r="L1729" s="10">
        <v>1</v>
      </c>
      <c r="N1729" s="10">
        <v>4</v>
      </c>
      <c r="O1729" s="6"/>
      <c r="P1729" s="45" t="s">
        <v>4756</v>
      </c>
      <c r="Q1729" s="42" t="s">
        <v>4798</v>
      </c>
      <c r="R1729" s="42"/>
      <c r="S1729" s="1" t="s">
        <v>5116</v>
      </c>
    </row>
    <row r="1730" spans="1:19" ht="18.75" customHeight="1" x14ac:dyDescent="0.3">
      <c r="A1730" s="10">
        <v>1729</v>
      </c>
      <c r="B1730" s="10">
        <f>_xlfn.XLOOKUP(1,(VALUE(D1730)&gt;=VALUE(block!$C$3:$C$500))*(VALUE(D1730)&lt;VALUE(block!$C$3:$C$500)+VALUE(block!$D$3:$D$500)),block!$A$3:$A$500,"无匹配",0,1)</f>
        <v>48</v>
      </c>
      <c r="C1730" s="3" t="str">
        <f>B1730 &amp; "-" &amp; COUNTIF($B$2:B1730, B1730)</f>
        <v>48-11</v>
      </c>
      <c r="D1730" s="10">
        <v>13072</v>
      </c>
      <c r="E1730" s="1" t="s">
        <v>5117</v>
      </c>
      <c r="F1730" s="1" t="s">
        <v>5118</v>
      </c>
      <c r="G1730" s="1" t="s">
        <v>4762</v>
      </c>
      <c r="H1730" s="1" t="s">
        <v>4755</v>
      </c>
      <c r="I1730" s="6" t="str">
        <f>IF(H1730="T79",1,IF(H1730="T79",3,IF(H1730="T95",6,IF(H1730="T95",10,IF(H1730="T127",14,IF(H1730="T127",18,IF(H1730="T95",22,"")))))))</f>
        <v/>
      </c>
      <c r="J1730" s="1" t="s">
        <v>1808</v>
      </c>
      <c r="K1730" s="10">
        <v>4</v>
      </c>
      <c r="L1730" s="10">
        <v>1</v>
      </c>
      <c r="N1730" s="10">
        <v>4</v>
      </c>
      <c r="O1730" s="6"/>
      <c r="P1730" s="45" t="s">
        <v>4756</v>
      </c>
      <c r="Q1730" s="42" t="s">
        <v>4798</v>
      </c>
      <c r="R1730" s="42"/>
      <c r="S1730" s="1" t="s">
        <v>5118</v>
      </c>
    </row>
    <row r="1731" spans="1:19" ht="18.75" customHeight="1" x14ac:dyDescent="0.3">
      <c r="A1731" s="10">
        <v>1730</v>
      </c>
      <c r="B1731" s="10">
        <f>_xlfn.XLOOKUP(1,(VALUE(D1731)&gt;=VALUE(block!$C$3:$C$500))*(VALUE(D1731)&lt;VALUE(block!$C$3:$C$500)+VALUE(block!$D$3:$D$500)),block!$A$3:$A$500,"无匹配",0,1)</f>
        <v>48</v>
      </c>
      <c r="C1731" s="3" t="str">
        <f>B1731 &amp; "-" &amp; COUNTIF($B$2:B1731, B1731)</f>
        <v>48-12</v>
      </c>
      <c r="D1731" s="10">
        <v>13076</v>
      </c>
      <c r="E1731" s="1" t="s">
        <v>5119</v>
      </c>
      <c r="F1731" s="1" t="s">
        <v>5120</v>
      </c>
      <c r="G1731" s="1" t="s">
        <v>4767</v>
      </c>
      <c r="H1731" s="1" t="s">
        <v>4755</v>
      </c>
      <c r="I1731" s="6" t="str">
        <f>IF(H1731="uint16",1,IF(H1731="int16",3,IF(H1731="uint32",6,IF(H1731="int32",10,IF(H1731="uint64",14,IF(H1731="int64",18,IF(H1731="float32",22,"")))))))</f>
        <v/>
      </c>
      <c r="J1731" s="1" t="s">
        <v>1808</v>
      </c>
      <c r="K1731" s="10">
        <v>4</v>
      </c>
      <c r="L1731" s="10">
        <v>1</v>
      </c>
      <c r="N1731" s="10">
        <v>4</v>
      </c>
      <c r="O1731" s="6"/>
      <c r="P1731" s="45" t="s">
        <v>4756</v>
      </c>
      <c r="Q1731" s="42" t="s">
        <v>4798</v>
      </c>
      <c r="R1731" s="42"/>
      <c r="S1731" s="1" t="s">
        <v>5120</v>
      </c>
    </row>
    <row r="1732" spans="1:19" ht="18.75" customHeight="1" x14ac:dyDescent="0.3">
      <c r="A1732" s="10">
        <v>1731</v>
      </c>
      <c r="B1732" s="10">
        <f>_xlfn.XLOOKUP(1,(VALUE(D1732)&gt;=VALUE(block!$C$3:$C$500))*(VALUE(D1732)&lt;VALUE(block!$C$3:$C$500)+VALUE(block!$D$3:$D$500)),block!$A$3:$A$500,"无匹配",0,1)</f>
        <v>48</v>
      </c>
      <c r="C1732" s="3" t="str">
        <f>B1732 &amp; "-" &amp; COUNTIF($B$2:B1732, B1732)</f>
        <v>48-13</v>
      </c>
      <c r="D1732" s="10">
        <v>13080</v>
      </c>
      <c r="E1732" s="1" t="s">
        <v>5121</v>
      </c>
      <c r="F1732" s="1" t="s">
        <v>5122</v>
      </c>
      <c r="G1732" s="1" t="s">
        <v>4754</v>
      </c>
      <c r="H1732" s="1" t="s">
        <v>4755</v>
      </c>
      <c r="I1732" s="6" t="str">
        <f>IF(H1732="T17",1,IF(H1732="T17",3,IF(H1732="T33",6,IF(H1732="T33",10,IF(H1732="T65",14,IF(H1732="T65",18,IF(H1732="T33",22,"")))))))</f>
        <v/>
      </c>
      <c r="J1732" s="1" t="s">
        <v>1808</v>
      </c>
      <c r="K1732" s="10">
        <v>4</v>
      </c>
      <c r="L1732" s="10">
        <v>1</v>
      </c>
      <c r="N1732" s="10">
        <v>4</v>
      </c>
      <c r="O1732" s="6"/>
      <c r="P1732" s="45" t="s">
        <v>4756</v>
      </c>
      <c r="Q1732" s="42" t="s">
        <v>4798</v>
      </c>
      <c r="R1732" s="42"/>
      <c r="S1732" s="1" t="s">
        <v>5122</v>
      </c>
    </row>
    <row r="1733" spans="1:19" ht="18.75" customHeight="1" x14ac:dyDescent="0.3">
      <c r="A1733" s="10">
        <v>1732</v>
      </c>
      <c r="B1733" s="10">
        <f>_xlfn.XLOOKUP(1,(VALUE(D1733)&gt;=VALUE(block!$C$3:$C$500))*(VALUE(D1733)&lt;VALUE(block!$C$3:$C$500)+VALUE(block!$D$3:$D$500)),block!$A$3:$A$500,"无匹配",0,1)</f>
        <v>48</v>
      </c>
      <c r="C1733" s="3" t="str">
        <f>B1733 &amp; "-" &amp; COUNTIF($B$2:B1733, B1733)</f>
        <v>48-14</v>
      </c>
      <c r="D1733" s="10">
        <v>13084</v>
      </c>
      <c r="E1733" s="1" t="s">
        <v>5123</v>
      </c>
      <c r="F1733" s="1" t="s">
        <v>5124</v>
      </c>
      <c r="G1733" s="1" t="s">
        <v>4754</v>
      </c>
      <c r="H1733" s="1" t="s">
        <v>4755</v>
      </c>
      <c r="I1733" s="6" t="str">
        <f>IF(H1733="T18",1,IF(H1733="T18",3,IF(H1733="T34",6,IF(H1733="T34",10,IF(H1733="T66",14,IF(H1733="T66",18,IF(H1733="T34",22,"")))))))</f>
        <v/>
      </c>
      <c r="J1733" s="1" t="s">
        <v>1808</v>
      </c>
      <c r="K1733" s="10">
        <v>4</v>
      </c>
      <c r="L1733" s="10">
        <v>1</v>
      </c>
      <c r="N1733" s="10">
        <v>4</v>
      </c>
      <c r="O1733" s="6"/>
      <c r="P1733" s="45" t="s">
        <v>4756</v>
      </c>
      <c r="Q1733" s="42" t="s">
        <v>4798</v>
      </c>
      <c r="R1733" s="42"/>
      <c r="S1733" s="1" t="s">
        <v>5124</v>
      </c>
    </row>
    <row r="1734" spans="1:19" ht="18.75" customHeight="1" x14ac:dyDescent="0.3">
      <c r="A1734" s="10">
        <v>1733</v>
      </c>
      <c r="B1734" s="10">
        <f>_xlfn.XLOOKUP(1,(VALUE(D1734)&gt;=VALUE(block!$C$3:$C$500))*(VALUE(D1734)&lt;VALUE(block!$C$3:$C$500)+VALUE(block!$D$3:$D$500)),block!$A$3:$A$500,"无匹配",0,1)</f>
        <v>48</v>
      </c>
      <c r="C1734" s="3" t="str">
        <f>B1734 &amp; "-" &amp; COUNTIF($B$2:B1734, B1734)</f>
        <v>48-15</v>
      </c>
      <c r="D1734" s="10">
        <v>13088</v>
      </c>
      <c r="E1734" s="1" t="s">
        <v>5125</v>
      </c>
      <c r="F1734" s="1" t="s">
        <v>5126</v>
      </c>
      <c r="G1734" s="1" t="s">
        <v>4754</v>
      </c>
      <c r="H1734" s="1" t="s">
        <v>4755</v>
      </c>
      <c r="I1734" s="6" t="str">
        <f>IF(H1734="T19",1,IF(H1734="T19",3,IF(H1734="T35",6,IF(H1734="T35",10,IF(H1734="T67",14,IF(H1734="T67",18,IF(H1734="T35",22,"")))))))</f>
        <v/>
      </c>
      <c r="J1734" s="1" t="s">
        <v>1808</v>
      </c>
      <c r="K1734" s="10">
        <v>4</v>
      </c>
      <c r="L1734" s="10">
        <v>1</v>
      </c>
      <c r="N1734" s="10">
        <v>4</v>
      </c>
      <c r="O1734" s="6"/>
      <c r="P1734" s="45" t="s">
        <v>4756</v>
      </c>
      <c r="Q1734" s="42" t="s">
        <v>4798</v>
      </c>
      <c r="R1734" s="42"/>
      <c r="S1734" s="1" t="s">
        <v>5126</v>
      </c>
    </row>
    <row r="1735" spans="1:19" ht="18.75" customHeight="1" x14ac:dyDescent="0.3">
      <c r="A1735" s="10">
        <v>1734</v>
      </c>
      <c r="B1735" s="10">
        <f>_xlfn.XLOOKUP(1,(VALUE(D1735)&gt;=VALUE(block!$C$3:$C$500))*(VALUE(D1735)&lt;VALUE(block!$C$3:$C$500)+VALUE(block!$D$3:$D$500)),block!$A$3:$A$500,"无匹配",0,1)</f>
        <v>48</v>
      </c>
      <c r="C1735" s="3" t="str">
        <f>B1735 &amp; "-" &amp; COUNTIF($B$2:B1735, B1735)</f>
        <v>48-16</v>
      </c>
      <c r="D1735" s="10">
        <v>13092</v>
      </c>
      <c r="E1735" s="1" t="s">
        <v>5127</v>
      </c>
      <c r="F1735" s="1" t="s">
        <v>5128</v>
      </c>
      <c r="G1735" s="1" t="s">
        <v>4754</v>
      </c>
      <c r="H1735" s="1" t="s">
        <v>4755</v>
      </c>
      <c r="I1735" s="6" t="str">
        <f>IF(H1735="T20",1,IF(H1735="T20",3,IF(H1735="T36",6,IF(H1735="T36",10,IF(H1735="T68",14,IF(H1735="T68",18,IF(H1735="T36",22,"")))))))</f>
        <v/>
      </c>
      <c r="J1735" s="1" t="s">
        <v>1808</v>
      </c>
      <c r="K1735" s="10">
        <v>4</v>
      </c>
      <c r="L1735" s="10">
        <v>1</v>
      </c>
      <c r="N1735" s="10">
        <v>4</v>
      </c>
      <c r="O1735" s="6"/>
      <c r="P1735" s="45" t="s">
        <v>4756</v>
      </c>
      <c r="Q1735" s="42" t="s">
        <v>4798</v>
      </c>
      <c r="R1735" s="42"/>
      <c r="S1735" s="1" t="s">
        <v>5128</v>
      </c>
    </row>
    <row r="1736" spans="1:19" ht="18.75" customHeight="1" x14ac:dyDescent="0.3">
      <c r="A1736" s="10">
        <v>1735</v>
      </c>
      <c r="B1736" s="10">
        <f>_xlfn.XLOOKUP(1,(VALUE(D1736)&gt;=VALUE(block!$C$3:$C$500))*(VALUE(D1736)&lt;VALUE(block!$C$3:$C$500)+VALUE(block!$D$3:$D$500)),block!$A$3:$A$500,"无匹配",0,1)</f>
        <v>48</v>
      </c>
      <c r="C1736" s="3" t="str">
        <f>B1736 &amp; "-" &amp; COUNTIF($B$2:B1736, B1736)</f>
        <v>48-17</v>
      </c>
      <c r="D1736" s="10">
        <v>13096</v>
      </c>
      <c r="E1736" s="1" t="s">
        <v>5129</v>
      </c>
      <c r="F1736" s="1" t="s">
        <v>5130</v>
      </c>
      <c r="G1736" s="1" t="s">
        <v>4762</v>
      </c>
      <c r="H1736" s="1" t="s">
        <v>4755</v>
      </c>
      <c r="I1736" s="6" t="str">
        <f>IF(H1736="T21",1,IF(H1736="T21",3,IF(H1736="T37",6,IF(H1736="T37",10,IF(H1736="T69",14,IF(H1736="T69",18,IF(H1736="T37",22,"")))))))</f>
        <v/>
      </c>
      <c r="J1736" s="1" t="s">
        <v>1808</v>
      </c>
      <c r="K1736" s="10">
        <v>4</v>
      </c>
      <c r="L1736" s="10">
        <v>1</v>
      </c>
      <c r="N1736" s="10">
        <v>4</v>
      </c>
      <c r="O1736" s="6"/>
      <c r="P1736" s="45" t="s">
        <v>4756</v>
      </c>
      <c r="Q1736" s="42" t="s">
        <v>4798</v>
      </c>
      <c r="R1736" s="42"/>
      <c r="S1736" s="1" t="s">
        <v>5130</v>
      </c>
    </row>
    <row r="1737" spans="1:19" ht="18.75" customHeight="1" x14ac:dyDescent="0.3">
      <c r="A1737" s="10">
        <v>1736</v>
      </c>
      <c r="B1737" s="10">
        <f>_xlfn.XLOOKUP(1,(VALUE(D1737)&gt;=VALUE(block!$C$3:$C$500))*(VALUE(D1737)&lt;VALUE(block!$C$3:$C$500)+VALUE(block!$D$3:$D$500)),block!$A$3:$A$500,"无匹配",0,1)</f>
        <v>48</v>
      </c>
      <c r="C1737" s="3" t="str">
        <f>B1737 &amp; "-" &amp; COUNTIF($B$2:B1737, B1737)</f>
        <v>48-18</v>
      </c>
      <c r="D1737" s="10">
        <v>13100</v>
      </c>
      <c r="E1737" s="1" t="s">
        <v>5131</v>
      </c>
      <c r="F1737" s="1" t="s">
        <v>5132</v>
      </c>
      <c r="G1737" s="1" t="s">
        <v>4762</v>
      </c>
      <c r="H1737" s="1" t="s">
        <v>4755</v>
      </c>
      <c r="I1737" s="6" t="str">
        <f>IF(H1737="T22",1,IF(H1737="T22",3,IF(H1737="T38",6,IF(H1737="T38",10,IF(H1737="T70",14,IF(H1737="T70",18,IF(H1737="T38",22,"")))))))</f>
        <v/>
      </c>
      <c r="J1737" s="1" t="s">
        <v>1808</v>
      </c>
      <c r="K1737" s="10">
        <v>4</v>
      </c>
      <c r="L1737" s="10">
        <v>1</v>
      </c>
      <c r="N1737" s="10">
        <v>4</v>
      </c>
      <c r="O1737" s="6"/>
      <c r="P1737" s="45" t="s">
        <v>4756</v>
      </c>
      <c r="Q1737" s="42" t="s">
        <v>4798</v>
      </c>
      <c r="R1737" s="42"/>
      <c r="S1737" s="1" t="s">
        <v>5132</v>
      </c>
    </row>
    <row r="1738" spans="1:19" ht="18.75" customHeight="1" x14ac:dyDescent="0.3">
      <c r="A1738" s="10">
        <v>1737</v>
      </c>
      <c r="B1738" s="10">
        <f>_xlfn.XLOOKUP(1,(VALUE(D1738)&gt;=VALUE(block!$C$3:$C$500))*(VALUE(D1738)&lt;VALUE(block!$C$3:$C$500)+VALUE(block!$D$3:$D$500)),block!$A$3:$A$500,"无匹配",0,1)</f>
        <v>48</v>
      </c>
      <c r="C1738" s="3" t="str">
        <f>B1738 &amp; "-" &amp; COUNTIF($B$2:B1738, B1738)</f>
        <v>48-19</v>
      </c>
      <c r="D1738" s="10">
        <v>13104</v>
      </c>
      <c r="E1738" s="1" t="s">
        <v>5133</v>
      </c>
      <c r="F1738" s="1" t="s">
        <v>5134</v>
      </c>
      <c r="G1738" s="1" t="s">
        <v>4762</v>
      </c>
      <c r="H1738" s="1" t="s">
        <v>4755</v>
      </c>
      <c r="I1738" s="6" t="str">
        <f>IF(H1738="T23",1,IF(H1738="T23",3,IF(H1738="T39",6,IF(H1738="T39",10,IF(H1738="T71",14,IF(H1738="T71",18,IF(H1738="T39",22,"")))))))</f>
        <v/>
      </c>
      <c r="J1738" s="1" t="s">
        <v>1808</v>
      </c>
      <c r="K1738" s="10">
        <v>4</v>
      </c>
      <c r="L1738" s="10">
        <v>1</v>
      </c>
      <c r="N1738" s="10">
        <v>4</v>
      </c>
      <c r="O1738" s="6"/>
      <c r="P1738" s="45" t="s">
        <v>4756</v>
      </c>
      <c r="Q1738" s="42" t="s">
        <v>4798</v>
      </c>
      <c r="R1738" s="42"/>
      <c r="S1738" s="1" t="s">
        <v>5134</v>
      </c>
    </row>
    <row r="1739" spans="1:19" ht="18.75" customHeight="1" x14ac:dyDescent="0.3">
      <c r="A1739" s="10">
        <v>1738</v>
      </c>
      <c r="B1739" s="10">
        <f>_xlfn.XLOOKUP(1,(VALUE(D1739)&gt;=VALUE(block!$C$3:$C$500))*(VALUE(D1739)&lt;VALUE(block!$C$3:$C$500)+VALUE(block!$D$3:$D$500)),block!$A$3:$A$500,"无匹配",0,1)</f>
        <v>48</v>
      </c>
      <c r="C1739" s="3" t="str">
        <f>B1739 &amp; "-" &amp; COUNTIF($B$2:B1739, B1739)</f>
        <v>48-20</v>
      </c>
      <c r="D1739" s="10">
        <v>13108</v>
      </c>
      <c r="E1739" s="1" t="s">
        <v>5135</v>
      </c>
      <c r="F1739" s="1" t="s">
        <v>5136</v>
      </c>
      <c r="G1739" s="1" t="s">
        <v>4762</v>
      </c>
      <c r="H1739" s="1" t="s">
        <v>4755</v>
      </c>
      <c r="I1739" s="6" t="str">
        <f>IF(H1739="T24",1,IF(H1739="T24",3,IF(H1739="T40",6,IF(H1739="T40",10,IF(H1739="T72",14,IF(H1739="T72",18,IF(H1739="T40",22,"")))))))</f>
        <v/>
      </c>
      <c r="J1739" s="1" t="s">
        <v>1808</v>
      </c>
      <c r="K1739" s="10">
        <v>4</v>
      </c>
      <c r="L1739" s="10">
        <v>1</v>
      </c>
      <c r="N1739" s="10">
        <v>4</v>
      </c>
      <c r="O1739" s="6"/>
      <c r="P1739" s="45" t="s">
        <v>4756</v>
      </c>
      <c r="Q1739" s="42" t="s">
        <v>4798</v>
      </c>
      <c r="R1739" s="42"/>
      <c r="S1739" s="1" t="s">
        <v>5136</v>
      </c>
    </row>
    <row r="1740" spans="1:19" ht="18.75" customHeight="1" x14ac:dyDescent="0.3">
      <c r="A1740" s="10">
        <v>1739</v>
      </c>
      <c r="B1740" s="10">
        <f>_xlfn.XLOOKUP(1,(VALUE(D1740)&gt;=VALUE(block!$C$3:$C$500))*(VALUE(D1740)&lt;VALUE(block!$C$3:$C$500)+VALUE(block!$D$3:$D$500)),block!$A$3:$A$500,"无匹配",0,1)</f>
        <v>48</v>
      </c>
      <c r="C1740" s="3" t="str">
        <f>B1740 &amp; "-" &amp; COUNTIF($B$2:B1740, B1740)</f>
        <v>48-21</v>
      </c>
      <c r="D1740" s="10">
        <v>13112</v>
      </c>
      <c r="E1740" s="1" t="s">
        <v>5137</v>
      </c>
      <c r="F1740" s="1" t="s">
        <v>5138</v>
      </c>
      <c r="G1740" s="1" t="s">
        <v>4767</v>
      </c>
      <c r="H1740" s="1" t="s">
        <v>4755</v>
      </c>
      <c r="I1740" s="6" t="str">
        <f>IF(H1740="T25",1,IF(H1740="T25",3,IF(H1740="T41",6,IF(H1740="T41",10,IF(H1740="T73",14,IF(H1740="T73",18,IF(H1740="T41",22,"")))))))</f>
        <v/>
      </c>
      <c r="J1740" s="1" t="s">
        <v>1808</v>
      </c>
      <c r="K1740" s="10">
        <v>4</v>
      </c>
      <c r="L1740" s="10">
        <v>1</v>
      </c>
      <c r="N1740" s="10">
        <v>4</v>
      </c>
      <c r="O1740" s="6"/>
      <c r="P1740" s="45" t="s">
        <v>4756</v>
      </c>
      <c r="Q1740" s="42" t="s">
        <v>4798</v>
      </c>
      <c r="R1740" s="42"/>
      <c r="S1740" s="1" t="s">
        <v>5138</v>
      </c>
    </row>
    <row r="1741" spans="1:19" ht="18.75" customHeight="1" x14ac:dyDescent="0.3">
      <c r="A1741" s="10">
        <v>1740</v>
      </c>
      <c r="B1741" s="10">
        <f>_xlfn.XLOOKUP(1,(VALUE(D1741)&gt;=VALUE(block!$C$3:$C$500))*(VALUE(D1741)&lt;VALUE(block!$C$3:$C$500)+VALUE(block!$D$3:$D$500)),block!$A$3:$A$500,"无匹配",0,1)</f>
        <v>48</v>
      </c>
      <c r="C1741" s="3" t="str">
        <f>B1741 &amp; "-" &amp; COUNTIF($B$2:B1741, B1741)</f>
        <v>48-22</v>
      </c>
      <c r="D1741" s="10">
        <v>13116</v>
      </c>
      <c r="E1741" s="1" t="s">
        <v>5139</v>
      </c>
      <c r="F1741" s="1" t="s">
        <v>5140</v>
      </c>
      <c r="G1741" s="1" t="s">
        <v>4754</v>
      </c>
      <c r="H1741" s="1" t="s">
        <v>4755</v>
      </c>
      <c r="I1741" s="6" t="str">
        <f>IF(H1741="T26",1,IF(H1741="T26",3,IF(H1741="T42",6,IF(H1741="T42",10,IF(H1741="T74",14,IF(H1741="T74",18,IF(H1741="T42",22,"")))))))</f>
        <v/>
      </c>
      <c r="J1741" s="1" t="s">
        <v>1808</v>
      </c>
      <c r="K1741" s="10">
        <v>4</v>
      </c>
      <c r="L1741" s="10">
        <v>1</v>
      </c>
      <c r="N1741" s="10">
        <v>4</v>
      </c>
      <c r="O1741" s="6"/>
      <c r="P1741" s="45" t="s">
        <v>4756</v>
      </c>
      <c r="Q1741" s="42" t="s">
        <v>4798</v>
      </c>
      <c r="R1741" s="42"/>
      <c r="S1741" s="1" t="s">
        <v>5140</v>
      </c>
    </row>
    <row r="1742" spans="1:19" ht="18.75" customHeight="1" x14ac:dyDescent="0.3">
      <c r="A1742" s="10">
        <v>1741</v>
      </c>
      <c r="B1742" s="10">
        <f>_xlfn.XLOOKUP(1,(VALUE(D1742)&gt;=VALUE(block!$C$3:$C$500))*(VALUE(D1742)&lt;VALUE(block!$C$3:$C$500)+VALUE(block!$D$3:$D$500)),block!$A$3:$A$500,"无匹配",0,1)</f>
        <v>48</v>
      </c>
      <c r="C1742" s="3" t="str">
        <f>B1742 &amp; "-" &amp; COUNTIF($B$2:B1742, B1742)</f>
        <v>48-23</v>
      </c>
      <c r="D1742" s="10">
        <v>13120</v>
      </c>
      <c r="E1742" s="1" t="s">
        <v>5141</v>
      </c>
      <c r="F1742" s="1" t="s">
        <v>5142</v>
      </c>
      <c r="G1742" s="1" t="s">
        <v>4754</v>
      </c>
      <c r="H1742" s="1" t="s">
        <v>4755</v>
      </c>
      <c r="I1742" s="6" t="str">
        <f>IF(H1742="T27",1,IF(H1742="T27",3,IF(H1742="T43",6,IF(H1742="T43",10,IF(H1742="T75",14,IF(H1742="T75",18,IF(H1742="T43",22,"")))))))</f>
        <v/>
      </c>
      <c r="J1742" s="1" t="s">
        <v>1808</v>
      </c>
      <c r="K1742" s="10">
        <v>4</v>
      </c>
      <c r="L1742" s="10">
        <v>1</v>
      </c>
      <c r="N1742" s="10">
        <v>4</v>
      </c>
      <c r="O1742" s="6"/>
      <c r="P1742" s="45" t="s">
        <v>4756</v>
      </c>
      <c r="Q1742" s="42" t="s">
        <v>4798</v>
      </c>
      <c r="R1742" s="42"/>
      <c r="S1742" s="1" t="s">
        <v>5142</v>
      </c>
    </row>
    <row r="1743" spans="1:19" ht="18.75" customHeight="1" x14ac:dyDescent="0.3">
      <c r="A1743" s="10">
        <v>1742</v>
      </c>
      <c r="B1743" s="10">
        <f>_xlfn.XLOOKUP(1,(VALUE(D1743)&gt;=VALUE(block!$C$3:$C$500))*(VALUE(D1743)&lt;VALUE(block!$C$3:$C$500)+VALUE(block!$D$3:$D$500)),block!$A$3:$A$500,"无匹配",0,1)</f>
        <v>48</v>
      </c>
      <c r="C1743" s="3" t="str">
        <f>B1743 &amp; "-" &amp; COUNTIF($B$2:B1743, B1743)</f>
        <v>48-24</v>
      </c>
      <c r="D1743" s="10">
        <v>13124</v>
      </c>
      <c r="E1743" s="1" t="s">
        <v>5143</v>
      </c>
      <c r="F1743" s="1" t="s">
        <v>5144</v>
      </c>
      <c r="G1743" s="1" t="s">
        <v>4754</v>
      </c>
      <c r="H1743" s="1" t="s">
        <v>4755</v>
      </c>
      <c r="I1743" s="6" t="str">
        <f>IF(H1743="T28",1,IF(H1743="T28",3,IF(H1743="T44",6,IF(H1743="T44",10,IF(H1743="T76",14,IF(H1743="T76",18,IF(H1743="T44",22,"")))))))</f>
        <v/>
      </c>
      <c r="J1743" s="1" t="s">
        <v>1808</v>
      </c>
      <c r="K1743" s="10">
        <v>4</v>
      </c>
      <c r="L1743" s="10">
        <v>1</v>
      </c>
      <c r="N1743" s="10">
        <v>4</v>
      </c>
      <c r="O1743" s="6"/>
      <c r="P1743" s="45" t="s">
        <v>4756</v>
      </c>
      <c r="Q1743" s="42" t="s">
        <v>4798</v>
      </c>
      <c r="R1743" s="42"/>
      <c r="S1743" s="1" t="s">
        <v>5144</v>
      </c>
    </row>
    <row r="1744" spans="1:19" ht="18.75" customHeight="1" x14ac:dyDescent="0.3">
      <c r="A1744" s="10">
        <v>1743</v>
      </c>
      <c r="B1744" s="10">
        <f>_xlfn.XLOOKUP(1,(VALUE(D1744)&gt;=VALUE(block!$C$3:$C$500))*(VALUE(D1744)&lt;VALUE(block!$C$3:$C$500)+VALUE(block!$D$3:$D$500)),block!$A$3:$A$500,"无匹配",0,1)</f>
        <v>48</v>
      </c>
      <c r="C1744" s="3" t="str">
        <f>B1744 &amp; "-" &amp; COUNTIF($B$2:B1744, B1744)</f>
        <v>48-25</v>
      </c>
      <c r="D1744" s="10">
        <v>13128</v>
      </c>
      <c r="E1744" s="1" t="s">
        <v>5145</v>
      </c>
      <c r="F1744" s="1" t="s">
        <v>5146</v>
      </c>
      <c r="G1744" s="1" t="s">
        <v>4754</v>
      </c>
      <c r="H1744" s="1" t="s">
        <v>4755</v>
      </c>
      <c r="I1744" s="6" t="str">
        <f>IF(H1744="T29",1,IF(H1744="T29",3,IF(H1744="T45",6,IF(H1744="T45",10,IF(H1744="T77",14,IF(H1744="T77",18,IF(H1744="T45",22,"")))))))</f>
        <v/>
      </c>
      <c r="J1744" s="1" t="s">
        <v>1808</v>
      </c>
      <c r="K1744" s="10">
        <v>4</v>
      </c>
      <c r="L1744" s="10">
        <v>1</v>
      </c>
      <c r="N1744" s="10">
        <v>4</v>
      </c>
      <c r="O1744" s="6"/>
      <c r="P1744" s="45" t="s">
        <v>4756</v>
      </c>
      <c r="Q1744" s="42" t="s">
        <v>4798</v>
      </c>
      <c r="R1744" s="42"/>
      <c r="S1744" s="1" t="s">
        <v>5146</v>
      </c>
    </row>
    <row r="1745" spans="1:19" ht="18.75" customHeight="1" x14ac:dyDescent="0.3">
      <c r="A1745" s="10">
        <v>1744</v>
      </c>
      <c r="B1745" s="10">
        <f>_xlfn.XLOOKUP(1,(VALUE(D1745)&gt;=VALUE(block!$C$3:$C$500))*(VALUE(D1745)&lt;VALUE(block!$C$3:$C$500)+VALUE(block!$D$3:$D$500)),block!$A$3:$A$500,"无匹配",0,1)</f>
        <v>48</v>
      </c>
      <c r="C1745" s="3" t="str">
        <f>B1745 &amp; "-" &amp; COUNTIF($B$2:B1745, B1745)</f>
        <v>48-26</v>
      </c>
      <c r="D1745" s="10">
        <v>13132</v>
      </c>
      <c r="E1745" s="1" t="s">
        <v>5147</v>
      </c>
      <c r="F1745" s="1" t="s">
        <v>5148</v>
      </c>
      <c r="G1745" s="1" t="s">
        <v>4762</v>
      </c>
      <c r="H1745" s="1" t="s">
        <v>4755</v>
      </c>
      <c r="I1745" s="6" t="str">
        <f>IF(H1745="T30",1,IF(H1745="T30",3,IF(H1745="T46",6,IF(H1745="T46",10,IF(H1745="T78",14,IF(H1745="T78",18,IF(H1745="T46",22,"")))))))</f>
        <v/>
      </c>
      <c r="J1745" s="1" t="s">
        <v>1808</v>
      </c>
      <c r="K1745" s="10">
        <v>4</v>
      </c>
      <c r="L1745" s="10">
        <v>1</v>
      </c>
      <c r="N1745" s="10">
        <v>4</v>
      </c>
      <c r="O1745" s="6"/>
      <c r="P1745" s="45" t="s">
        <v>4756</v>
      </c>
      <c r="Q1745" s="42" t="s">
        <v>4798</v>
      </c>
      <c r="R1745" s="42"/>
      <c r="S1745" s="1" t="s">
        <v>5148</v>
      </c>
    </row>
    <row r="1746" spans="1:19" ht="18.75" customHeight="1" x14ac:dyDescent="0.3">
      <c r="A1746" s="10">
        <v>1745</v>
      </c>
      <c r="B1746" s="10">
        <f>_xlfn.XLOOKUP(1,(VALUE(D1746)&gt;=VALUE(block!$C$3:$C$500))*(VALUE(D1746)&lt;VALUE(block!$C$3:$C$500)+VALUE(block!$D$3:$D$500)),block!$A$3:$A$500,"无匹配",0,1)</f>
        <v>48</v>
      </c>
      <c r="C1746" s="3" t="str">
        <f>B1746 &amp; "-" &amp; COUNTIF($B$2:B1746, B1746)</f>
        <v>48-27</v>
      </c>
      <c r="D1746" s="10">
        <v>13136</v>
      </c>
      <c r="E1746" s="1" t="s">
        <v>5149</v>
      </c>
      <c r="F1746" s="1" t="s">
        <v>5150</v>
      </c>
      <c r="G1746" s="1" t="s">
        <v>4762</v>
      </c>
      <c r="H1746" s="1" t="s">
        <v>4755</v>
      </c>
      <c r="I1746" s="6" t="str">
        <f>IF(H1746="T31",1,IF(H1746="T31",3,IF(H1746="T47",6,IF(H1746="T47",10,IF(H1746="T79",14,IF(H1746="T79",18,IF(H1746="T47",22,"")))))))</f>
        <v/>
      </c>
      <c r="J1746" s="1" t="s">
        <v>1808</v>
      </c>
      <c r="K1746" s="10">
        <v>4</v>
      </c>
      <c r="L1746" s="10">
        <v>1</v>
      </c>
      <c r="N1746" s="10">
        <v>4</v>
      </c>
      <c r="O1746" s="6"/>
      <c r="P1746" s="45" t="s">
        <v>4756</v>
      </c>
      <c r="Q1746" s="42" t="s">
        <v>4798</v>
      </c>
      <c r="R1746" s="42"/>
      <c r="S1746" s="1" t="s">
        <v>5150</v>
      </c>
    </row>
    <row r="1747" spans="1:19" ht="18.75" customHeight="1" x14ac:dyDescent="0.3">
      <c r="A1747" s="10">
        <v>1746</v>
      </c>
      <c r="B1747" s="10">
        <f>_xlfn.XLOOKUP(1,(VALUE(D1747)&gt;=VALUE(block!$C$3:$C$500))*(VALUE(D1747)&lt;VALUE(block!$C$3:$C$500)+VALUE(block!$D$3:$D$500)),block!$A$3:$A$500,"无匹配",0,1)</f>
        <v>48</v>
      </c>
      <c r="C1747" s="3" t="str">
        <f>B1747 &amp; "-" &amp; COUNTIF($B$2:B1747, B1747)</f>
        <v>48-28</v>
      </c>
      <c r="D1747" s="10">
        <v>13140</v>
      </c>
      <c r="E1747" s="1" t="s">
        <v>5151</v>
      </c>
      <c r="F1747" s="1" t="s">
        <v>5152</v>
      </c>
      <c r="G1747" s="1" t="s">
        <v>4762</v>
      </c>
      <c r="H1747" s="1" t="s">
        <v>4755</v>
      </c>
      <c r="I1747" s="6" t="str">
        <f>IF(H1747="T32",1,IF(H1747="T32",3,IF(H1747="T48",6,IF(H1747="T48",10,IF(H1747="T80",14,IF(H1747="T80",18,IF(H1747="T48",22,"")))))))</f>
        <v/>
      </c>
      <c r="J1747" s="1" t="s">
        <v>1808</v>
      </c>
      <c r="K1747" s="10">
        <v>4</v>
      </c>
      <c r="L1747" s="10">
        <v>1</v>
      </c>
      <c r="N1747" s="10">
        <v>4</v>
      </c>
      <c r="O1747" s="6"/>
      <c r="P1747" s="45" t="s">
        <v>4756</v>
      </c>
      <c r="Q1747" s="42" t="s">
        <v>4798</v>
      </c>
      <c r="R1747" s="42"/>
      <c r="S1747" s="1" t="s">
        <v>5152</v>
      </c>
    </row>
    <row r="1748" spans="1:19" ht="18.75" customHeight="1" x14ac:dyDescent="0.3">
      <c r="A1748" s="10">
        <v>1747</v>
      </c>
      <c r="B1748" s="10">
        <f>_xlfn.XLOOKUP(1,(VALUE(D1748)&gt;=VALUE(block!$C$3:$C$500))*(VALUE(D1748)&lt;VALUE(block!$C$3:$C$500)+VALUE(block!$D$3:$D$500)),block!$A$3:$A$500,"无匹配",0,1)</f>
        <v>48</v>
      </c>
      <c r="C1748" s="3" t="str">
        <f>B1748 &amp; "-" &amp; COUNTIF($B$2:B1748, B1748)</f>
        <v>48-29</v>
      </c>
      <c r="D1748" s="10">
        <v>13144</v>
      </c>
      <c r="E1748" s="1" t="s">
        <v>5153</v>
      </c>
      <c r="F1748" s="1" t="s">
        <v>5154</v>
      </c>
      <c r="G1748" s="1" t="s">
        <v>4762</v>
      </c>
      <c r="H1748" s="1" t="s">
        <v>4755</v>
      </c>
      <c r="I1748" s="6" t="str">
        <f>IF(H1748="T33",1,IF(H1748="T33",3,IF(H1748="T49",6,IF(H1748="T49",10,IF(H1748="T81",14,IF(H1748="T81",18,IF(H1748="T49",22,"")))))))</f>
        <v/>
      </c>
      <c r="J1748" s="1" t="s">
        <v>1808</v>
      </c>
      <c r="K1748" s="10">
        <v>4</v>
      </c>
      <c r="L1748" s="10">
        <v>1</v>
      </c>
      <c r="N1748" s="10">
        <v>4</v>
      </c>
      <c r="O1748" s="6"/>
      <c r="P1748" s="45" t="s">
        <v>4756</v>
      </c>
      <c r="Q1748" s="42" t="s">
        <v>4798</v>
      </c>
      <c r="R1748" s="42"/>
      <c r="S1748" s="1" t="s">
        <v>5154</v>
      </c>
    </row>
    <row r="1749" spans="1:19" ht="18.75" customHeight="1" x14ac:dyDescent="0.3">
      <c r="A1749" s="10">
        <v>1748</v>
      </c>
      <c r="B1749" s="10">
        <f>_xlfn.XLOOKUP(1,(VALUE(D1749)&gt;=VALUE(block!$C$3:$C$500))*(VALUE(D1749)&lt;VALUE(block!$C$3:$C$500)+VALUE(block!$D$3:$D$500)),block!$A$3:$A$500,"无匹配",0,1)</f>
        <v>48</v>
      </c>
      <c r="C1749" s="3" t="str">
        <f>B1749 &amp; "-" &amp; COUNTIF($B$2:B1749, B1749)</f>
        <v>48-30</v>
      </c>
      <c r="D1749" s="10">
        <v>13148</v>
      </c>
      <c r="E1749" s="1" t="s">
        <v>5155</v>
      </c>
      <c r="F1749" s="1" t="s">
        <v>5156</v>
      </c>
      <c r="G1749" s="1" t="s">
        <v>4767</v>
      </c>
      <c r="H1749" s="1" t="s">
        <v>4755</v>
      </c>
      <c r="I1749" s="6" t="str">
        <f>IF(H1749="T34",1,IF(H1749="T34",3,IF(H1749="T50",6,IF(H1749="T50",10,IF(H1749="T82",14,IF(H1749="T82",18,IF(H1749="T50",22,"")))))))</f>
        <v/>
      </c>
      <c r="J1749" s="1" t="s">
        <v>1808</v>
      </c>
      <c r="K1749" s="10">
        <v>4</v>
      </c>
      <c r="L1749" s="10">
        <v>1</v>
      </c>
      <c r="N1749" s="10">
        <v>4</v>
      </c>
      <c r="O1749" s="6"/>
      <c r="P1749" s="45" t="s">
        <v>4756</v>
      </c>
      <c r="Q1749" s="42" t="s">
        <v>4798</v>
      </c>
      <c r="R1749" s="42"/>
      <c r="S1749" s="1" t="s">
        <v>5156</v>
      </c>
    </row>
    <row r="1750" spans="1:19" ht="18.75" customHeight="1" x14ac:dyDescent="0.3">
      <c r="A1750" s="10">
        <v>1749</v>
      </c>
      <c r="B1750" s="10">
        <f>_xlfn.XLOOKUP(1,(VALUE(D1750)&gt;=VALUE(block!$C$3:$C$500))*(VALUE(D1750)&lt;VALUE(block!$C$3:$C$500)+VALUE(block!$D$3:$D$500)),block!$A$3:$A$500,"无匹配",0,1)</f>
        <v>48</v>
      </c>
      <c r="C1750" s="3" t="str">
        <f>B1750 &amp; "-" &amp; COUNTIF($B$2:B1750, B1750)</f>
        <v>48-31</v>
      </c>
      <c r="D1750" s="10">
        <v>13152</v>
      </c>
      <c r="E1750" s="1" t="s">
        <v>5157</v>
      </c>
      <c r="F1750" s="1" t="s">
        <v>5158</v>
      </c>
      <c r="G1750" s="1" t="s">
        <v>4754</v>
      </c>
      <c r="H1750" s="1" t="s">
        <v>4755</v>
      </c>
      <c r="I1750" s="6" t="str">
        <f>IF(H1750="T35",1,IF(H1750="T35",3,IF(H1750="T51",6,IF(H1750="T51",10,IF(H1750="T83",14,IF(H1750="T83",18,IF(H1750="T51",22,"")))))))</f>
        <v/>
      </c>
      <c r="J1750" s="1" t="s">
        <v>1808</v>
      </c>
      <c r="K1750" s="10">
        <v>4</v>
      </c>
      <c r="L1750" s="10">
        <v>1</v>
      </c>
      <c r="N1750" s="10">
        <v>4</v>
      </c>
      <c r="O1750" s="6"/>
      <c r="P1750" s="45" t="s">
        <v>4756</v>
      </c>
      <c r="Q1750" s="42" t="s">
        <v>4798</v>
      </c>
      <c r="R1750" s="42"/>
      <c r="S1750" s="1" t="s">
        <v>5158</v>
      </c>
    </row>
    <row r="1751" spans="1:19" ht="18.75" customHeight="1" x14ac:dyDescent="0.3">
      <c r="A1751" s="10">
        <v>1750</v>
      </c>
      <c r="B1751" s="10">
        <f>_xlfn.XLOOKUP(1,(VALUE(D1751)&gt;=VALUE(block!$C$3:$C$500))*(VALUE(D1751)&lt;VALUE(block!$C$3:$C$500)+VALUE(block!$D$3:$D$500)),block!$A$3:$A$500,"无匹配",0,1)</f>
        <v>49</v>
      </c>
      <c r="C1751" s="3" t="str">
        <f>B1751 &amp; "-" &amp; COUNTIF($B$2:B1751, B1751)</f>
        <v>49-1</v>
      </c>
      <c r="D1751" s="10">
        <v>13156</v>
      </c>
      <c r="E1751" s="1" t="s">
        <v>5159</v>
      </c>
      <c r="F1751" s="1" t="s">
        <v>5160</v>
      </c>
      <c r="G1751" s="1" t="s">
        <v>4754</v>
      </c>
      <c r="H1751" s="1" t="s">
        <v>4755</v>
      </c>
      <c r="I1751" s="6" t="str">
        <f>IF(H1751="T36",1,IF(H1751="T36",3,IF(H1751="T52",6,IF(H1751="T52",10,IF(H1751="T84",14,IF(H1751="T84",18,IF(H1751="T52",22,"")))))))</f>
        <v/>
      </c>
      <c r="J1751" s="1" t="s">
        <v>1808</v>
      </c>
      <c r="K1751" s="10">
        <v>4</v>
      </c>
      <c r="L1751" s="10">
        <v>1</v>
      </c>
      <c r="N1751" s="10">
        <v>4</v>
      </c>
      <c r="O1751" s="6"/>
      <c r="P1751" s="45" t="s">
        <v>4756</v>
      </c>
      <c r="Q1751" s="42" t="s">
        <v>4798</v>
      </c>
      <c r="R1751" s="42"/>
      <c r="S1751" s="1" t="s">
        <v>5160</v>
      </c>
    </row>
    <row r="1752" spans="1:19" ht="18.75" customHeight="1" x14ac:dyDescent="0.3">
      <c r="A1752" s="10">
        <v>1751</v>
      </c>
      <c r="B1752" s="10">
        <f>_xlfn.XLOOKUP(1,(VALUE(D1752)&gt;=VALUE(block!$C$3:$C$500))*(VALUE(D1752)&lt;VALUE(block!$C$3:$C$500)+VALUE(block!$D$3:$D$500)),block!$A$3:$A$500,"无匹配",0,1)</f>
        <v>49</v>
      </c>
      <c r="C1752" s="3" t="str">
        <f>B1752 &amp; "-" &amp; COUNTIF($B$2:B1752, B1752)</f>
        <v>49-2</v>
      </c>
      <c r="D1752" s="10">
        <v>13160</v>
      </c>
      <c r="E1752" s="1" t="s">
        <v>5161</v>
      </c>
      <c r="F1752" s="1" t="s">
        <v>5162</v>
      </c>
      <c r="G1752" s="1" t="s">
        <v>4754</v>
      </c>
      <c r="H1752" s="1" t="s">
        <v>4755</v>
      </c>
      <c r="I1752" s="6" t="str">
        <f>IF(H1752="T37",1,IF(H1752="T37",3,IF(H1752="T53",6,IF(H1752="T53",10,IF(H1752="T85",14,IF(H1752="T85",18,IF(H1752="T53",22,"")))))))</f>
        <v/>
      </c>
      <c r="J1752" s="1" t="s">
        <v>1808</v>
      </c>
      <c r="K1752" s="10">
        <v>4</v>
      </c>
      <c r="L1752" s="10">
        <v>1</v>
      </c>
      <c r="N1752" s="10">
        <v>4</v>
      </c>
      <c r="O1752" s="6"/>
      <c r="P1752" s="45" t="s">
        <v>4756</v>
      </c>
      <c r="Q1752" s="42" t="s">
        <v>4798</v>
      </c>
      <c r="R1752" s="42"/>
      <c r="S1752" s="1" t="s">
        <v>5162</v>
      </c>
    </row>
    <row r="1753" spans="1:19" ht="18.75" customHeight="1" x14ac:dyDescent="0.3">
      <c r="A1753" s="10">
        <v>1752</v>
      </c>
      <c r="B1753" s="10">
        <f>_xlfn.XLOOKUP(1,(VALUE(D1753)&gt;=VALUE(block!$C$3:$C$500))*(VALUE(D1753)&lt;VALUE(block!$C$3:$C$500)+VALUE(block!$D$3:$D$500)),block!$A$3:$A$500,"无匹配",0,1)</f>
        <v>49</v>
      </c>
      <c r="C1753" s="3" t="str">
        <f>B1753 &amp; "-" &amp; COUNTIF($B$2:B1753, B1753)</f>
        <v>49-3</v>
      </c>
      <c r="D1753" s="10">
        <v>13164</v>
      </c>
      <c r="E1753" s="1" t="s">
        <v>5163</v>
      </c>
      <c r="F1753" s="1" t="s">
        <v>5164</v>
      </c>
      <c r="G1753" s="1" t="s">
        <v>4754</v>
      </c>
      <c r="H1753" s="1" t="s">
        <v>4755</v>
      </c>
      <c r="I1753" s="6" t="str">
        <f>IF(H1753="T38",1,IF(H1753="T38",3,IF(H1753="T54",6,IF(H1753="T54",10,IF(H1753="T86",14,IF(H1753="T86",18,IF(H1753="T54",22,"")))))))</f>
        <v/>
      </c>
      <c r="J1753" s="1" t="s">
        <v>1808</v>
      </c>
      <c r="K1753" s="10">
        <v>4</v>
      </c>
      <c r="L1753" s="10">
        <v>1</v>
      </c>
      <c r="N1753" s="10">
        <v>4</v>
      </c>
      <c r="O1753" s="6"/>
      <c r="P1753" s="45" t="s">
        <v>4756</v>
      </c>
      <c r="Q1753" s="42" t="s">
        <v>4798</v>
      </c>
      <c r="R1753" s="42"/>
      <c r="S1753" s="1" t="s">
        <v>5164</v>
      </c>
    </row>
    <row r="1754" spans="1:19" ht="18.75" customHeight="1" x14ac:dyDescent="0.3">
      <c r="A1754" s="10">
        <v>1753</v>
      </c>
      <c r="B1754" s="10">
        <f>_xlfn.XLOOKUP(1,(VALUE(D1754)&gt;=VALUE(block!$C$3:$C$500))*(VALUE(D1754)&lt;VALUE(block!$C$3:$C$500)+VALUE(block!$D$3:$D$500)),block!$A$3:$A$500,"无匹配",0,1)</f>
        <v>49</v>
      </c>
      <c r="C1754" s="3" t="str">
        <f>B1754 &amp; "-" &amp; COUNTIF($B$2:B1754, B1754)</f>
        <v>49-4</v>
      </c>
      <c r="D1754" s="10">
        <v>13168</v>
      </c>
      <c r="E1754" s="1" t="s">
        <v>5165</v>
      </c>
      <c r="F1754" s="1" t="s">
        <v>5166</v>
      </c>
      <c r="G1754" s="1" t="s">
        <v>4762</v>
      </c>
      <c r="H1754" s="1" t="s">
        <v>4755</v>
      </c>
      <c r="I1754" s="6" t="str">
        <f>IF(H1754="T39",1,IF(H1754="T39",3,IF(H1754="T55",6,IF(H1754="T55",10,IF(H1754="T87",14,IF(H1754="T87",18,IF(H1754="T55",22,"")))))))</f>
        <v/>
      </c>
      <c r="J1754" s="1" t="s">
        <v>1808</v>
      </c>
      <c r="K1754" s="10">
        <v>4</v>
      </c>
      <c r="L1754" s="10">
        <v>1</v>
      </c>
      <c r="N1754" s="10">
        <v>4</v>
      </c>
      <c r="O1754" s="6"/>
      <c r="P1754" s="45" t="s">
        <v>4756</v>
      </c>
      <c r="Q1754" s="42" t="s">
        <v>4798</v>
      </c>
      <c r="R1754" s="42"/>
      <c r="S1754" s="1" t="s">
        <v>5166</v>
      </c>
    </row>
    <row r="1755" spans="1:19" ht="18.75" customHeight="1" x14ac:dyDescent="0.3">
      <c r="A1755" s="10">
        <v>1754</v>
      </c>
      <c r="B1755" s="10">
        <f>_xlfn.XLOOKUP(1,(VALUE(D1755)&gt;=VALUE(block!$C$3:$C$500))*(VALUE(D1755)&lt;VALUE(block!$C$3:$C$500)+VALUE(block!$D$3:$D$500)),block!$A$3:$A$500,"无匹配",0,1)</f>
        <v>49</v>
      </c>
      <c r="C1755" s="3" t="str">
        <f>B1755 &amp; "-" &amp; COUNTIF($B$2:B1755, B1755)</f>
        <v>49-5</v>
      </c>
      <c r="D1755" s="10">
        <v>13172</v>
      </c>
      <c r="E1755" s="1" t="s">
        <v>5167</v>
      </c>
      <c r="F1755" s="1" t="s">
        <v>5168</v>
      </c>
      <c r="G1755" s="1" t="s">
        <v>4762</v>
      </c>
      <c r="H1755" s="1" t="s">
        <v>4755</v>
      </c>
      <c r="I1755" s="6" t="str">
        <f>IF(H1755="T40",1,IF(H1755="T40",3,IF(H1755="T56",6,IF(H1755="T56",10,IF(H1755="T88",14,IF(H1755="T88",18,IF(H1755="T56",22,"")))))))</f>
        <v/>
      </c>
      <c r="J1755" s="1" t="s">
        <v>1808</v>
      </c>
      <c r="K1755" s="10">
        <v>4</v>
      </c>
      <c r="L1755" s="10">
        <v>1</v>
      </c>
      <c r="N1755" s="10">
        <v>4</v>
      </c>
      <c r="O1755" s="6"/>
      <c r="P1755" s="45" t="s">
        <v>4756</v>
      </c>
      <c r="Q1755" s="42" t="s">
        <v>4798</v>
      </c>
      <c r="R1755" s="42"/>
      <c r="S1755" s="1" t="s">
        <v>5168</v>
      </c>
    </row>
    <row r="1756" spans="1:19" ht="18.75" customHeight="1" x14ac:dyDescent="0.3">
      <c r="A1756" s="10">
        <v>1755</v>
      </c>
      <c r="B1756" s="10">
        <f>_xlfn.XLOOKUP(1,(VALUE(D1756)&gt;=VALUE(block!$C$3:$C$500))*(VALUE(D1756)&lt;VALUE(block!$C$3:$C$500)+VALUE(block!$D$3:$D$500)),block!$A$3:$A$500,"无匹配",0,1)</f>
        <v>49</v>
      </c>
      <c r="C1756" s="3" t="str">
        <f>B1756 &amp; "-" &amp; COUNTIF($B$2:B1756, B1756)</f>
        <v>49-6</v>
      </c>
      <c r="D1756" s="10">
        <v>13176</v>
      </c>
      <c r="E1756" s="1" t="s">
        <v>5169</v>
      </c>
      <c r="F1756" s="1" t="s">
        <v>5170</v>
      </c>
      <c r="G1756" s="1" t="s">
        <v>4762</v>
      </c>
      <c r="H1756" s="1" t="s">
        <v>4755</v>
      </c>
      <c r="I1756" s="6" t="str">
        <f>IF(H1756="T41",1,IF(H1756="T41",3,IF(H1756="T57",6,IF(H1756="T57",10,IF(H1756="T89",14,IF(H1756="T89",18,IF(H1756="T57",22,"")))))))</f>
        <v/>
      </c>
      <c r="J1756" s="1" t="s">
        <v>1808</v>
      </c>
      <c r="K1756" s="10">
        <v>4</v>
      </c>
      <c r="L1756" s="10">
        <v>1</v>
      </c>
      <c r="N1756" s="10">
        <v>4</v>
      </c>
      <c r="O1756" s="6"/>
      <c r="P1756" s="45" t="s">
        <v>4756</v>
      </c>
      <c r="Q1756" s="42" t="s">
        <v>4798</v>
      </c>
      <c r="R1756" s="42"/>
      <c r="S1756" s="1" t="s">
        <v>5170</v>
      </c>
    </row>
    <row r="1757" spans="1:19" ht="18.75" customHeight="1" x14ac:dyDescent="0.3">
      <c r="A1757" s="10">
        <v>1756</v>
      </c>
      <c r="B1757" s="10">
        <f>_xlfn.XLOOKUP(1,(VALUE(D1757)&gt;=VALUE(block!$C$3:$C$500))*(VALUE(D1757)&lt;VALUE(block!$C$3:$C$500)+VALUE(block!$D$3:$D$500)),block!$A$3:$A$500,"无匹配",0,1)</f>
        <v>49</v>
      </c>
      <c r="C1757" s="3" t="str">
        <f>B1757 &amp; "-" &amp; COUNTIF($B$2:B1757, B1757)</f>
        <v>49-7</v>
      </c>
      <c r="D1757" s="10">
        <v>13180</v>
      </c>
      <c r="E1757" s="1" t="s">
        <v>5171</v>
      </c>
      <c r="F1757" s="1" t="s">
        <v>5172</v>
      </c>
      <c r="G1757" s="1" t="s">
        <v>4762</v>
      </c>
      <c r="H1757" s="1" t="s">
        <v>4755</v>
      </c>
      <c r="I1757" s="6" t="str">
        <f>IF(H1757="T42",1,IF(H1757="T42",3,IF(H1757="T58",6,IF(H1757="T58",10,IF(H1757="T90",14,IF(H1757="T90",18,IF(H1757="T58",22,"")))))))</f>
        <v/>
      </c>
      <c r="J1757" s="1" t="s">
        <v>1808</v>
      </c>
      <c r="K1757" s="10">
        <v>4</v>
      </c>
      <c r="L1757" s="10">
        <v>1</v>
      </c>
      <c r="N1757" s="10">
        <v>4</v>
      </c>
      <c r="O1757" s="6"/>
      <c r="P1757" s="45" t="s">
        <v>4756</v>
      </c>
      <c r="Q1757" s="42" t="s">
        <v>4798</v>
      </c>
      <c r="R1757" s="42"/>
      <c r="S1757" s="1" t="s">
        <v>5172</v>
      </c>
    </row>
    <row r="1758" spans="1:19" ht="18.75" customHeight="1" x14ac:dyDescent="0.3">
      <c r="A1758" s="10">
        <v>1757</v>
      </c>
      <c r="B1758" s="10">
        <f>_xlfn.XLOOKUP(1,(VALUE(D1758)&gt;=VALUE(block!$C$3:$C$500))*(VALUE(D1758)&lt;VALUE(block!$C$3:$C$500)+VALUE(block!$D$3:$D$500)),block!$A$3:$A$500,"无匹配",0,1)</f>
        <v>49</v>
      </c>
      <c r="C1758" s="3" t="str">
        <f>B1758 &amp; "-" &amp; COUNTIF($B$2:B1758, B1758)</f>
        <v>49-8</v>
      </c>
      <c r="D1758" s="10">
        <v>13184</v>
      </c>
      <c r="E1758" s="3" t="s">
        <v>5173</v>
      </c>
      <c r="F1758" s="3" t="s">
        <v>5174</v>
      </c>
      <c r="G1758" s="1" t="s">
        <v>4767</v>
      </c>
      <c r="H1758" s="1" t="s">
        <v>4755</v>
      </c>
      <c r="I1758" s="6" t="str">
        <f>IF(H1758="T43",1,IF(H1758="T43",3,IF(H1758="T59",6,IF(H1758="T59",10,IF(H1758="T91",14,IF(H1758="T91",18,IF(H1758="T59",22,"")))))))</f>
        <v/>
      </c>
      <c r="J1758" s="1" t="s">
        <v>1808</v>
      </c>
      <c r="K1758" s="10">
        <v>4</v>
      </c>
      <c r="L1758" s="10">
        <v>1</v>
      </c>
      <c r="N1758" s="10">
        <v>4</v>
      </c>
      <c r="O1758" s="6"/>
      <c r="P1758" s="45" t="s">
        <v>4756</v>
      </c>
      <c r="Q1758" s="42" t="s">
        <v>4798</v>
      </c>
      <c r="R1758" s="42"/>
      <c r="S1758" s="3" t="s">
        <v>5174</v>
      </c>
    </row>
    <row r="1759" spans="1:19" ht="18.75" customHeight="1" x14ac:dyDescent="0.3">
      <c r="A1759" s="10">
        <v>1758</v>
      </c>
      <c r="B1759" s="10">
        <f>_xlfn.XLOOKUP(1,(VALUE(D1759)&gt;=VALUE(block!$C$3:$C$500))*(VALUE(D1759)&lt;VALUE(block!$C$3:$C$500)+VALUE(block!$D$3:$D$500)),block!$A$3:$A$500,"无匹配",0,1)</f>
        <v>49</v>
      </c>
      <c r="C1759" s="3" t="str">
        <f>B1759 &amp; "-" &amp; COUNTIF($B$2:B1759, B1759)</f>
        <v>49-9</v>
      </c>
      <c r="D1759" s="10">
        <v>13188</v>
      </c>
      <c r="E1759" s="1" t="s">
        <v>5175</v>
      </c>
      <c r="F1759" s="1" t="s">
        <v>5176</v>
      </c>
      <c r="G1759" s="1" t="s">
        <v>4754</v>
      </c>
      <c r="H1759" s="1" t="s">
        <v>4755</v>
      </c>
      <c r="I1759" s="6" t="str">
        <f>IF(H1759="T44",1,IF(H1759="T44",3,IF(H1759="T60",6,IF(H1759="T60",10,IF(H1759="T92",14,IF(H1759="T92",18,IF(H1759="T60",22,"")))))))</f>
        <v/>
      </c>
      <c r="J1759" s="1" t="s">
        <v>1808</v>
      </c>
      <c r="K1759" s="10">
        <v>4</v>
      </c>
      <c r="L1759" s="10">
        <v>1</v>
      </c>
      <c r="N1759" s="10">
        <v>4</v>
      </c>
      <c r="O1759" s="6"/>
      <c r="P1759" s="45" t="s">
        <v>4756</v>
      </c>
      <c r="Q1759" s="42" t="s">
        <v>4798</v>
      </c>
      <c r="R1759" s="42"/>
      <c r="S1759" s="1" t="s">
        <v>5176</v>
      </c>
    </row>
    <row r="1760" spans="1:19" ht="18.75" customHeight="1" x14ac:dyDescent="0.3">
      <c r="A1760" s="10">
        <v>1759</v>
      </c>
      <c r="B1760" s="10">
        <f>_xlfn.XLOOKUP(1,(VALUE(D1760)&gt;=VALUE(block!$C$3:$C$500))*(VALUE(D1760)&lt;VALUE(block!$C$3:$C$500)+VALUE(block!$D$3:$D$500)),block!$A$3:$A$500,"无匹配",0,1)</f>
        <v>49</v>
      </c>
      <c r="C1760" s="3" t="str">
        <f>B1760 &amp; "-" &amp; COUNTIF($B$2:B1760, B1760)</f>
        <v>49-10</v>
      </c>
      <c r="D1760" s="10">
        <v>13192</v>
      </c>
      <c r="E1760" s="1" t="s">
        <v>5177</v>
      </c>
      <c r="F1760" s="1" t="s">
        <v>5178</v>
      </c>
      <c r="G1760" s="1" t="s">
        <v>4754</v>
      </c>
      <c r="H1760" s="1" t="s">
        <v>4755</v>
      </c>
      <c r="I1760" s="6" t="str">
        <f>IF(H1760="T45",1,IF(H1760="T45",3,IF(H1760="T61",6,IF(H1760="T61",10,IF(H1760="T93",14,IF(H1760="T93",18,IF(H1760="T61",22,"")))))))</f>
        <v/>
      </c>
      <c r="J1760" s="1" t="s">
        <v>1808</v>
      </c>
      <c r="K1760" s="10">
        <v>4</v>
      </c>
      <c r="L1760" s="10">
        <v>1</v>
      </c>
      <c r="N1760" s="10">
        <v>4</v>
      </c>
      <c r="O1760" s="6"/>
      <c r="P1760" s="45" t="s">
        <v>4756</v>
      </c>
      <c r="Q1760" s="42" t="s">
        <v>4798</v>
      </c>
      <c r="R1760" s="42"/>
      <c r="S1760" s="1" t="s">
        <v>5178</v>
      </c>
    </row>
    <row r="1761" spans="1:19" ht="18.75" customHeight="1" x14ac:dyDescent="0.3">
      <c r="A1761" s="10">
        <v>1760</v>
      </c>
      <c r="B1761" s="10">
        <f>_xlfn.XLOOKUP(1,(VALUE(D1761)&gt;=VALUE(block!$C$3:$C$500))*(VALUE(D1761)&lt;VALUE(block!$C$3:$C$500)+VALUE(block!$D$3:$D$500)),block!$A$3:$A$500,"无匹配",0,1)</f>
        <v>49</v>
      </c>
      <c r="C1761" s="3" t="str">
        <f>B1761 &amp; "-" &amp; COUNTIF($B$2:B1761, B1761)</f>
        <v>49-11</v>
      </c>
      <c r="D1761" s="10">
        <v>13196</v>
      </c>
      <c r="E1761" s="1" t="s">
        <v>5179</v>
      </c>
      <c r="F1761" s="1" t="s">
        <v>5180</v>
      </c>
      <c r="G1761" s="1" t="s">
        <v>4754</v>
      </c>
      <c r="H1761" s="1" t="s">
        <v>4755</v>
      </c>
      <c r="I1761" s="6" t="str">
        <f>IF(H1761="T46",1,IF(H1761="T46",3,IF(H1761="T62",6,IF(H1761="T62",10,IF(H1761="T94",14,IF(H1761="T94",18,IF(H1761="T62",22,"")))))))</f>
        <v/>
      </c>
      <c r="J1761" s="1" t="s">
        <v>1808</v>
      </c>
      <c r="K1761" s="10">
        <v>4</v>
      </c>
      <c r="L1761" s="10">
        <v>1</v>
      </c>
      <c r="N1761" s="10">
        <v>4</v>
      </c>
      <c r="O1761" s="6"/>
      <c r="P1761" s="45" t="s">
        <v>4756</v>
      </c>
      <c r="Q1761" s="42" t="s">
        <v>4798</v>
      </c>
      <c r="R1761" s="42"/>
      <c r="S1761" s="1" t="s">
        <v>5180</v>
      </c>
    </row>
    <row r="1762" spans="1:19" ht="18.75" customHeight="1" x14ac:dyDescent="0.3">
      <c r="A1762" s="10">
        <v>1761</v>
      </c>
      <c r="B1762" s="10">
        <f>_xlfn.XLOOKUP(1,(VALUE(D1762)&gt;=VALUE(block!$C$3:$C$500))*(VALUE(D1762)&lt;VALUE(block!$C$3:$C$500)+VALUE(block!$D$3:$D$500)),block!$A$3:$A$500,"无匹配",0,1)</f>
        <v>49</v>
      </c>
      <c r="C1762" s="3" t="str">
        <f>B1762 &amp; "-" &amp; COUNTIF($B$2:B1762, B1762)</f>
        <v>49-12</v>
      </c>
      <c r="D1762" s="10">
        <v>13200</v>
      </c>
      <c r="E1762" s="1" t="s">
        <v>5181</v>
      </c>
      <c r="F1762" s="1" t="s">
        <v>5182</v>
      </c>
      <c r="G1762" s="1" t="s">
        <v>4754</v>
      </c>
      <c r="H1762" s="1" t="s">
        <v>4755</v>
      </c>
      <c r="I1762" s="6" t="str">
        <f>IF(H1762="T47",1,IF(H1762="T47",3,IF(H1762="T63",6,IF(H1762="T63",10,IF(H1762="T95",14,IF(H1762="T95",18,IF(H1762="T63",22,"")))))))</f>
        <v/>
      </c>
      <c r="J1762" s="1" t="s">
        <v>1808</v>
      </c>
      <c r="K1762" s="10">
        <v>4</v>
      </c>
      <c r="L1762" s="10">
        <v>1</v>
      </c>
      <c r="N1762" s="10">
        <v>4</v>
      </c>
      <c r="O1762" s="6"/>
      <c r="P1762" s="45" t="s">
        <v>4756</v>
      </c>
      <c r="Q1762" s="42" t="s">
        <v>4798</v>
      </c>
      <c r="R1762" s="42"/>
      <c r="S1762" s="1" t="s">
        <v>5182</v>
      </c>
    </row>
    <row r="1763" spans="1:19" ht="18.75" customHeight="1" x14ac:dyDescent="0.3">
      <c r="A1763" s="10">
        <v>1762</v>
      </c>
      <c r="B1763" s="10">
        <f>_xlfn.XLOOKUP(1,(VALUE(D1763)&gt;=VALUE(block!$C$3:$C$500))*(VALUE(D1763)&lt;VALUE(block!$C$3:$C$500)+VALUE(block!$D$3:$D$500)),block!$A$3:$A$500,"无匹配",0,1)</f>
        <v>49</v>
      </c>
      <c r="C1763" s="3" t="str">
        <f>B1763 &amp; "-" &amp; COUNTIF($B$2:B1763, B1763)</f>
        <v>49-13</v>
      </c>
      <c r="D1763" s="10">
        <v>13204</v>
      </c>
      <c r="E1763" s="1" t="s">
        <v>5183</v>
      </c>
      <c r="F1763" s="1" t="s">
        <v>5184</v>
      </c>
      <c r="G1763" s="1" t="s">
        <v>4762</v>
      </c>
      <c r="H1763" s="1" t="s">
        <v>4755</v>
      </c>
      <c r="I1763" s="6" t="str">
        <f>IF(H1763="T48",1,IF(H1763="T48",3,IF(H1763="T64",6,IF(H1763="T64",10,IF(H1763="T96",14,IF(H1763="T96",18,IF(H1763="T64",22,"")))))))</f>
        <v/>
      </c>
      <c r="J1763" s="1" t="s">
        <v>1808</v>
      </c>
      <c r="K1763" s="10">
        <v>4</v>
      </c>
      <c r="L1763" s="10">
        <v>1</v>
      </c>
      <c r="N1763" s="10">
        <v>4</v>
      </c>
      <c r="O1763" s="6"/>
      <c r="P1763" s="45" t="s">
        <v>4756</v>
      </c>
      <c r="Q1763" s="42" t="s">
        <v>4798</v>
      </c>
      <c r="R1763" s="42"/>
      <c r="S1763" s="1" t="s">
        <v>5184</v>
      </c>
    </row>
    <row r="1764" spans="1:19" ht="18.75" customHeight="1" x14ac:dyDescent="0.3">
      <c r="A1764" s="10">
        <v>1763</v>
      </c>
      <c r="B1764" s="10">
        <f>_xlfn.XLOOKUP(1,(VALUE(D1764)&gt;=VALUE(block!$C$3:$C$500))*(VALUE(D1764)&lt;VALUE(block!$C$3:$C$500)+VALUE(block!$D$3:$D$500)),block!$A$3:$A$500,"无匹配",0,1)</f>
        <v>49</v>
      </c>
      <c r="C1764" s="3" t="str">
        <f>B1764 &amp; "-" &amp; COUNTIF($B$2:B1764, B1764)</f>
        <v>49-14</v>
      </c>
      <c r="D1764" s="10">
        <v>13208</v>
      </c>
      <c r="E1764" s="1" t="s">
        <v>5185</v>
      </c>
      <c r="F1764" s="1" t="s">
        <v>5186</v>
      </c>
      <c r="G1764" s="1" t="s">
        <v>4762</v>
      </c>
      <c r="H1764" s="1" t="s">
        <v>4755</v>
      </c>
      <c r="I1764" s="6" t="str">
        <f>IF(H1764="T49",1,IF(H1764="T49",3,IF(H1764="T65",6,IF(H1764="T65",10,IF(H1764="T97",14,IF(H1764="T97",18,IF(H1764="T65",22,"")))))))</f>
        <v/>
      </c>
      <c r="J1764" s="1" t="s">
        <v>1808</v>
      </c>
      <c r="K1764" s="10">
        <v>4</v>
      </c>
      <c r="L1764" s="10">
        <v>1</v>
      </c>
      <c r="N1764" s="10">
        <v>4</v>
      </c>
      <c r="O1764" s="6"/>
      <c r="P1764" s="45" t="s">
        <v>4756</v>
      </c>
      <c r="Q1764" s="42" t="s">
        <v>4798</v>
      </c>
      <c r="R1764" s="42"/>
      <c r="S1764" s="1" t="s">
        <v>5186</v>
      </c>
    </row>
    <row r="1765" spans="1:19" ht="18.75" customHeight="1" x14ac:dyDescent="0.3">
      <c r="A1765" s="10">
        <v>1764</v>
      </c>
      <c r="B1765" s="10">
        <f>_xlfn.XLOOKUP(1,(VALUE(D1765)&gt;=VALUE(block!$C$3:$C$500))*(VALUE(D1765)&lt;VALUE(block!$C$3:$C$500)+VALUE(block!$D$3:$D$500)),block!$A$3:$A$500,"无匹配",0,1)</f>
        <v>49</v>
      </c>
      <c r="C1765" s="3" t="str">
        <f>B1765 &amp; "-" &amp; COUNTIF($B$2:B1765, B1765)</f>
        <v>49-15</v>
      </c>
      <c r="D1765" s="10">
        <v>13212</v>
      </c>
      <c r="E1765" s="1" t="s">
        <v>5187</v>
      </c>
      <c r="F1765" s="1" t="s">
        <v>5188</v>
      </c>
      <c r="G1765" s="1" t="s">
        <v>4762</v>
      </c>
      <c r="H1765" s="1" t="s">
        <v>4755</v>
      </c>
      <c r="I1765" s="6" t="str">
        <f>IF(H1765="T50",1,IF(H1765="T50",3,IF(H1765="T66",6,IF(H1765="T66",10,IF(H1765="T98",14,IF(H1765="T98",18,IF(H1765="T66",22,"")))))))</f>
        <v/>
      </c>
      <c r="J1765" s="1" t="s">
        <v>1808</v>
      </c>
      <c r="K1765" s="10">
        <v>4</v>
      </c>
      <c r="L1765" s="10">
        <v>1</v>
      </c>
      <c r="N1765" s="10">
        <v>4</v>
      </c>
      <c r="O1765" s="6"/>
      <c r="P1765" s="45" t="s">
        <v>4756</v>
      </c>
      <c r="Q1765" s="42" t="s">
        <v>4798</v>
      </c>
      <c r="R1765" s="42"/>
      <c r="S1765" s="1" t="s">
        <v>5188</v>
      </c>
    </row>
    <row r="1766" spans="1:19" ht="18.75" customHeight="1" x14ac:dyDescent="0.3">
      <c r="A1766" s="10">
        <v>1765</v>
      </c>
      <c r="B1766" s="10">
        <f>_xlfn.XLOOKUP(1,(VALUE(D1766)&gt;=VALUE(block!$C$3:$C$500))*(VALUE(D1766)&lt;VALUE(block!$C$3:$C$500)+VALUE(block!$D$3:$D$500)),block!$A$3:$A$500,"无匹配",0,1)</f>
        <v>49</v>
      </c>
      <c r="C1766" s="3" t="str">
        <f>B1766 &amp; "-" &amp; COUNTIF($B$2:B1766, B1766)</f>
        <v>49-16</v>
      </c>
      <c r="D1766" s="10">
        <v>13216</v>
      </c>
      <c r="E1766" s="1" t="s">
        <v>5189</v>
      </c>
      <c r="F1766" s="1" t="s">
        <v>5190</v>
      </c>
      <c r="G1766" s="1" t="s">
        <v>4762</v>
      </c>
      <c r="H1766" s="1" t="s">
        <v>4755</v>
      </c>
      <c r="I1766" s="6" t="str">
        <f>IF(H1766="T51",1,IF(H1766="T51",3,IF(H1766="T67",6,IF(H1766="T67",10,IF(H1766="T99",14,IF(H1766="T99",18,IF(H1766="T67",22,"")))))))</f>
        <v/>
      </c>
      <c r="J1766" s="1" t="s">
        <v>1808</v>
      </c>
      <c r="K1766" s="10">
        <v>4</v>
      </c>
      <c r="L1766" s="10">
        <v>1</v>
      </c>
      <c r="N1766" s="10">
        <v>4</v>
      </c>
      <c r="O1766" s="6"/>
      <c r="P1766" s="45" t="s">
        <v>4756</v>
      </c>
      <c r="Q1766" s="42" t="s">
        <v>4798</v>
      </c>
      <c r="R1766" s="42"/>
      <c r="S1766" s="1" t="s">
        <v>5190</v>
      </c>
    </row>
    <row r="1767" spans="1:19" ht="18.75" customHeight="1" x14ac:dyDescent="0.3">
      <c r="A1767" s="10">
        <v>1766</v>
      </c>
      <c r="B1767" s="10">
        <f>_xlfn.XLOOKUP(1,(VALUE(D1767)&gt;=VALUE(block!$C$3:$C$500))*(VALUE(D1767)&lt;VALUE(block!$C$3:$C$500)+VALUE(block!$D$3:$D$500)),block!$A$3:$A$500,"无匹配",0,1)</f>
        <v>49</v>
      </c>
      <c r="C1767" s="3" t="str">
        <f>B1767 &amp; "-" &amp; COUNTIF($B$2:B1767, B1767)</f>
        <v>49-17</v>
      </c>
      <c r="D1767" s="10">
        <v>13220</v>
      </c>
      <c r="E1767" s="1" t="s">
        <v>5191</v>
      </c>
      <c r="F1767" s="1" t="s">
        <v>5192</v>
      </c>
      <c r="G1767" s="1" t="s">
        <v>4767</v>
      </c>
      <c r="H1767" s="1" t="s">
        <v>4755</v>
      </c>
      <c r="I1767" s="6" t="str">
        <f>IF(H1767="T52",1,IF(H1767="T52",3,IF(H1767="T68",6,IF(H1767="T68",10,IF(H1767="T100",14,IF(H1767="T100",18,IF(H1767="T68",22,"")))))))</f>
        <v/>
      </c>
      <c r="J1767" s="1" t="s">
        <v>1808</v>
      </c>
      <c r="K1767" s="10">
        <v>4</v>
      </c>
      <c r="L1767" s="10">
        <v>1</v>
      </c>
      <c r="N1767" s="10">
        <v>4</v>
      </c>
      <c r="O1767" s="6"/>
      <c r="P1767" s="45" t="s">
        <v>4756</v>
      </c>
      <c r="Q1767" s="42" t="s">
        <v>4798</v>
      </c>
      <c r="R1767" s="42"/>
      <c r="S1767" s="1" t="s">
        <v>5192</v>
      </c>
    </row>
    <row r="1768" spans="1:19" ht="18.75" customHeight="1" x14ac:dyDescent="0.3">
      <c r="A1768" s="10">
        <v>1767</v>
      </c>
      <c r="B1768" s="10">
        <f>_xlfn.XLOOKUP(1,(VALUE(D1768)&gt;=VALUE(block!$C$3:$C$500))*(VALUE(D1768)&lt;VALUE(block!$C$3:$C$500)+VALUE(block!$D$3:$D$500)),block!$A$3:$A$500,"无匹配",0,1)</f>
        <v>49</v>
      </c>
      <c r="C1768" s="3" t="str">
        <f>B1768 &amp; "-" &amp; COUNTIF($B$2:B1768, B1768)</f>
        <v>49-18</v>
      </c>
      <c r="D1768" s="10">
        <v>13224</v>
      </c>
      <c r="E1768" s="1" t="s">
        <v>5193</v>
      </c>
      <c r="F1768" s="1" t="s">
        <v>5194</v>
      </c>
      <c r="G1768" s="1" t="s">
        <v>4754</v>
      </c>
      <c r="H1768" s="1" t="s">
        <v>4755</v>
      </c>
      <c r="I1768" s="6" t="str">
        <f>IF(H1768="T53",1,IF(H1768="T53",3,IF(H1768="T69",6,IF(H1768="T69",10,IF(H1768="T101",14,IF(H1768="T101",18,IF(H1768="T69",22,"")))))))</f>
        <v/>
      </c>
      <c r="J1768" s="1" t="s">
        <v>1808</v>
      </c>
      <c r="K1768" s="10">
        <v>4</v>
      </c>
      <c r="L1768" s="10">
        <v>1</v>
      </c>
      <c r="N1768" s="10">
        <v>4</v>
      </c>
      <c r="O1768" s="6"/>
      <c r="P1768" s="45" t="s">
        <v>4756</v>
      </c>
      <c r="Q1768" s="42" t="s">
        <v>4798</v>
      </c>
      <c r="R1768" s="42"/>
      <c r="S1768" s="1" t="s">
        <v>5194</v>
      </c>
    </row>
    <row r="1769" spans="1:19" ht="18.75" customHeight="1" x14ac:dyDescent="0.3">
      <c r="A1769" s="10">
        <v>1768</v>
      </c>
      <c r="B1769" s="10">
        <f>_xlfn.XLOOKUP(1,(VALUE(D1769)&gt;=VALUE(block!$C$3:$C$500))*(VALUE(D1769)&lt;VALUE(block!$C$3:$C$500)+VALUE(block!$D$3:$D$500)),block!$A$3:$A$500,"无匹配",0,1)</f>
        <v>49</v>
      </c>
      <c r="C1769" s="3" t="str">
        <f>B1769 &amp; "-" &amp; COUNTIF($B$2:B1769, B1769)</f>
        <v>49-19</v>
      </c>
      <c r="D1769" s="10">
        <v>13228</v>
      </c>
      <c r="E1769" s="1" t="s">
        <v>5195</v>
      </c>
      <c r="F1769" s="1" t="s">
        <v>5196</v>
      </c>
      <c r="G1769" s="1" t="s">
        <v>4754</v>
      </c>
      <c r="H1769" s="1" t="s">
        <v>4755</v>
      </c>
      <c r="I1769" s="6" t="str">
        <f>IF(H1769="T54",1,IF(H1769="T54",3,IF(H1769="T70",6,IF(H1769="T70",10,IF(H1769="T102",14,IF(H1769="T102",18,IF(H1769="T70",22,"")))))))</f>
        <v/>
      </c>
      <c r="J1769" s="1" t="s">
        <v>1808</v>
      </c>
      <c r="K1769" s="10">
        <v>4</v>
      </c>
      <c r="L1769" s="10">
        <v>1</v>
      </c>
      <c r="N1769" s="10">
        <v>4</v>
      </c>
      <c r="O1769" s="6"/>
      <c r="P1769" s="45" t="s">
        <v>4756</v>
      </c>
      <c r="Q1769" s="42" t="s">
        <v>4798</v>
      </c>
      <c r="R1769" s="42"/>
      <c r="S1769" s="1" t="s">
        <v>5196</v>
      </c>
    </row>
    <row r="1770" spans="1:19" ht="18.75" customHeight="1" x14ac:dyDescent="0.3">
      <c r="A1770" s="10">
        <v>1769</v>
      </c>
      <c r="B1770" s="10">
        <f>_xlfn.XLOOKUP(1,(VALUE(D1770)&gt;=VALUE(block!$C$3:$C$500))*(VALUE(D1770)&lt;VALUE(block!$C$3:$C$500)+VALUE(block!$D$3:$D$500)),block!$A$3:$A$500,"无匹配",0,1)</f>
        <v>49</v>
      </c>
      <c r="C1770" s="3" t="str">
        <f>B1770 &amp; "-" &amp; COUNTIF($B$2:B1770, B1770)</f>
        <v>49-20</v>
      </c>
      <c r="D1770" s="10">
        <v>13232</v>
      </c>
      <c r="E1770" s="1" t="s">
        <v>5197</v>
      </c>
      <c r="F1770" s="1" t="s">
        <v>5198</v>
      </c>
      <c r="G1770" s="1" t="s">
        <v>4754</v>
      </c>
      <c r="H1770" s="1" t="s">
        <v>4755</v>
      </c>
      <c r="I1770" s="6" t="str">
        <f>IF(H1770="T55",1,IF(H1770="T55",3,IF(H1770="T71",6,IF(H1770="T71",10,IF(H1770="T103",14,IF(H1770="T103",18,IF(H1770="T71",22,"")))))))</f>
        <v/>
      </c>
      <c r="J1770" s="1" t="s">
        <v>1808</v>
      </c>
      <c r="K1770" s="10">
        <v>4</v>
      </c>
      <c r="L1770" s="10">
        <v>1</v>
      </c>
      <c r="N1770" s="10">
        <v>4</v>
      </c>
      <c r="O1770" s="6"/>
      <c r="P1770" s="45" t="s">
        <v>4756</v>
      </c>
      <c r="Q1770" s="42" t="s">
        <v>4798</v>
      </c>
      <c r="R1770" s="42"/>
      <c r="S1770" s="1" t="s">
        <v>5198</v>
      </c>
    </row>
    <row r="1771" spans="1:19" ht="18.75" customHeight="1" x14ac:dyDescent="0.3">
      <c r="A1771" s="10">
        <v>1770</v>
      </c>
      <c r="B1771" s="10">
        <f>_xlfn.XLOOKUP(1,(VALUE(D1771)&gt;=VALUE(block!$C$3:$C$500))*(VALUE(D1771)&lt;VALUE(block!$C$3:$C$500)+VALUE(block!$D$3:$D$500)),block!$A$3:$A$500,"无匹配",0,1)</f>
        <v>49</v>
      </c>
      <c r="C1771" s="3" t="str">
        <f>B1771 &amp; "-" &amp; COUNTIF($B$2:B1771, B1771)</f>
        <v>49-21</v>
      </c>
      <c r="D1771" s="10">
        <v>13236</v>
      </c>
      <c r="E1771" s="1" t="s">
        <v>5199</v>
      </c>
      <c r="F1771" s="1" t="s">
        <v>5200</v>
      </c>
      <c r="G1771" s="1" t="s">
        <v>4754</v>
      </c>
      <c r="H1771" s="1" t="s">
        <v>4755</v>
      </c>
      <c r="I1771" s="6" t="str">
        <f>IF(H1771="T56",1,IF(H1771="T56",3,IF(H1771="T72",6,IF(H1771="T72",10,IF(H1771="T104",14,IF(H1771="T104",18,IF(H1771="T72",22,"")))))))</f>
        <v/>
      </c>
      <c r="J1771" s="1" t="s">
        <v>1808</v>
      </c>
      <c r="K1771" s="10">
        <v>4</v>
      </c>
      <c r="L1771" s="10">
        <v>1</v>
      </c>
      <c r="N1771" s="10">
        <v>4</v>
      </c>
      <c r="O1771" s="6"/>
      <c r="P1771" s="45" t="s">
        <v>4756</v>
      </c>
      <c r="Q1771" s="42" t="s">
        <v>4798</v>
      </c>
      <c r="R1771" s="42"/>
      <c r="S1771" s="1" t="s">
        <v>5200</v>
      </c>
    </row>
    <row r="1772" spans="1:19" ht="18.75" customHeight="1" x14ac:dyDescent="0.3">
      <c r="A1772" s="10">
        <v>1771</v>
      </c>
      <c r="B1772" s="10">
        <f>_xlfn.XLOOKUP(1,(VALUE(D1772)&gt;=VALUE(block!$C$3:$C$500))*(VALUE(D1772)&lt;VALUE(block!$C$3:$C$500)+VALUE(block!$D$3:$D$500)),block!$A$3:$A$500,"无匹配",0,1)</f>
        <v>49</v>
      </c>
      <c r="C1772" s="3" t="str">
        <f>B1772 &amp; "-" &amp; COUNTIF($B$2:B1772, B1772)</f>
        <v>49-22</v>
      </c>
      <c r="D1772" s="10">
        <v>13240</v>
      </c>
      <c r="E1772" s="1" t="s">
        <v>5201</v>
      </c>
      <c r="F1772" s="1" t="s">
        <v>5202</v>
      </c>
      <c r="G1772" s="1" t="s">
        <v>4762</v>
      </c>
      <c r="H1772" s="1" t="s">
        <v>4755</v>
      </c>
      <c r="I1772" s="6" t="str">
        <f>IF(H1772="T57",1,IF(H1772="T57",3,IF(H1772="T73",6,IF(H1772="T73",10,IF(H1772="T105",14,IF(H1772="T105",18,IF(H1772="T73",22,"")))))))</f>
        <v/>
      </c>
      <c r="J1772" s="1" t="s">
        <v>1808</v>
      </c>
      <c r="K1772" s="10">
        <v>4</v>
      </c>
      <c r="L1772" s="10">
        <v>1</v>
      </c>
      <c r="N1772" s="10">
        <v>4</v>
      </c>
      <c r="O1772" s="6"/>
      <c r="P1772" s="45" t="s">
        <v>4756</v>
      </c>
      <c r="Q1772" s="42" t="s">
        <v>4798</v>
      </c>
      <c r="R1772" s="42"/>
      <c r="S1772" s="1" t="s">
        <v>5202</v>
      </c>
    </row>
    <row r="1773" spans="1:19" ht="18.75" customHeight="1" x14ac:dyDescent="0.3">
      <c r="A1773" s="10">
        <v>1772</v>
      </c>
      <c r="B1773" s="10">
        <f>_xlfn.XLOOKUP(1,(VALUE(D1773)&gt;=VALUE(block!$C$3:$C$500))*(VALUE(D1773)&lt;VALUE(block!$C$3:$C$500)+VALUE(block!$D$3:$D$500)),block!$A$3:$A$500,"无匹配",0,1)</f>
        <v>49</v>
      </c>
      <c r="C1773" s="3" t="str">
        <f>B1773 &amp; "-" &amp; COUNTIF($B$2:B1773, B1773)</f>
        <v>49-23</v>
      </c>
      <c r="D1773" s="10">
        <v>13244</v>
      </c>
      <c r="E1773" s="1" t="s">
        <v>5203</v>
      </c>
      <c r="F1773" s="1" t="s">
        <v>5204</v>
      </c>
      <c r="G1773" s="1" t="s">
        <v>4762</v>
      </c>
      <c r="H1773" s="1" t="s">
        <v>4755</v>
      </c>
      <c r="I1773" s="6" t="str">
        <f>IF(H1773="T58",1,IF(H1773="T58",3,IF(H1773="T74",6,IF(H1773="T74",10,IF(H1773="T106",14,IF(H1773="T106",18,IF(H1773="T74",22,"")))))))</f>
        <v/>
      </c>
      <c r="J1773" s="1" t="s">
        <v>1808</v>
      </c>
      <c r="K1773" s="10">
        <v>4</v>
      </c>
      <c r="L1773" s="10">
        <v>1</v>
      </c>
      <c r="N1773" s="10">
        <v>4</v>
      </c>
      <c r="O1773" s="6"/>
      <c r="P1773" s="45" t="s">
        <v>4756</v>
      </c>
      <c r="Q1773" s="42" t="s">
        <v>4798</v>
      </c>
      <c r="R1773" s="42"/>
      <c r="S1773" s="1" t="s">
        <v>5204</v>
      </c>
    </row>
    <row r="1774" spans="1:19" ht="18.75" customHeight="1" x14ac:dyDescent="0.3">
      <c r="A1774" s="10">
        <v>1773</v>
      </c>
      <c r="B1774" s="10">
        <f>_xlfn.XLOOKUP(1,(VALUE(D1774)&gt;=VALUE(block!$C$3:$C$500))*(VALUE(D1774)&lt;VALUE(block!$C$3:$C$500)+VALUE(block!$D$3:$D$500)),block!$A$3:$A$500,"无匹配",0,1)</f>
        <v>49</v>
      </c>
      <c r="C1774" s="3" t="str">
        <f>B1774 &amp; "-" &amp; COUNTIF($B$2:B1774, B1774)</f>
        <v>49-24</v>
      </c>
      <c r="D1774" s="10">
        <v>13248</v>
      </c>
      <c r="E1774" s="1" t="s">
        <v>5205</v>
      </c>
      <c r="F1774" s="1" t="s">
        <v>5206</v>
      </c>
      <c r="G1774" s="1" t="s">
        <v>4762</v>
      </c>
      <c r="H1774" s="1" t="s">
        <v>4755</v>
      </c>
      <c r="I1774" s="6" t="str">
        <f>IF(H1774="T59",1,IF(H1774="T59",3,IF(H1774="T75",6,IF(H1774="T75",10,IF(H1774="T107",14,IF(H1774="T107",18,IF(H1774="T75",22,"")))))))</f>
        <v/>
      </c>
      <c r="J1774" s="1" t="s">
        <v>1808</v>
      </c>
      <c r="K1774" s="10">
        <v>4</v>
      </c>
      <c r="L1774" s="10">
        <v>1</v>
      </c>
      <c r="N1774" s="10">
        <v>4</v>
      </c>
      <c r="O1774" s="6"/>
      <c r="P1774" s="45" t="s">
        <v>4756</v>
      </c>
      <c r="Q1774" s="42" t="s">
        <v>4798</v>
      </c>
      <c r="R1774" s="42"/>
      <c r="S1774" s="1" t="s">
        <v>5206</v>
      </c>
    </row>
    <row r="1775" spans="1:19" ht="18.75" customHeight="1" x14ac:dyDescent="0.3">
      <c r="A1775" s="10">
        <v>1774</v>
      </c>
      <c r="B1775" s="10">
        <f>_xlfn.XLOOKUP(1,(VALUE(D1775)&gt;=VALUE(block!$C$3:$C$500))*(VALUE(D1775)&lt;VALUE(block!$C$3:$C$500)+VALUE(block!$D$3:$D$500)),block!$A$3:$A$500,"无匹配",0,1)</f>
        <v>49</v>
      </c>
      <c r="C1775" s="3" t="str">
        <f>B1775 &amp; "-" &amp; COUNTIF($B$2:B1775, B1775)</f>
        <v>49-25</v>
      </c>
      <c r="D1775" s="10">
        <v>13252</v>
      </c>
      <c r="E1775" s="1" t="s">
        <v>5207</v>
      </c>
      <c r="F1775" s="1" t="s">
        <v>5208</v>
      </c>
      <c r="G1775" s="1" t="s">
        <v>4762</v>
      </c>
      <c r="H1775" s="1" t="s">
        <v>4755</v>
      </c>
      <c r="I1775" s="6" t="str">
        <f>IF(H1775="T60",1,IF(H1775="T60",3,IF(H1775="T76",6,IF(H1775="T76",10,IF(H1775="T108",14,IF(H1775="T108",18,IF(H1775="T76",22,"")))))))</f>
        <v/>
      </c>
      <c r="J1775" s="1" t="s">
        <v>1808</v>
      </c>
      <c r="K1775" s="10">
        <v>4</v>
      </c>
      <c r="L1775" s="10">
        <v>1</v>
      </c>
      <c r="N1775" s="10">
        <v>4</v>
      </c>
      <c r="O1775" s="6"/>
      <c r="P1775" s="45" t="s">
        <v>4756</v>
      </c>
      <c r="Q1775" s="42" t="s">
        <v>4798</v>
      </c>
      <c r="R1775" s="42"/>
      <c r="S1775" s="1" t="s">
        <v>5208</v>
      </c>
    </row>
    <row r="1776" spans="1:19" ht="18.75" customHeight="1" x14ac:dyDescent="0.3">
      <c r="A1776" s="10">
        <v>1775</v>
      </c>
      <c r="B1776" s="10">
        <f>_xlfn.XLOOKUP(1,(VALUE(D1776)&gt;=VALUE(block!$C$3:$C$500))*(VALUE(D1776)&lt;VALUE(block!$C$3:$C$500)+VALUE(block!$D$3:$D$500)),block!$A$3:$A$500,"无匹配",0,1)</f>
        <v>49</v>
      </c>
      <c r="C1776" s="3" t="str">
        <f>B1776 &amp; "-" &amp; COUNTIF($B$2:B1776, B1776)</f>
        <v>49-26</v>
      </c>
      <c r="D1776" s="10">
        <v>13256</v>
      </c>
      <c r="E1776" s="1" t="s">
        <v>5209</v>
      </c>
      <c r="F1776" s="1" t="s">
        <v>5210</v>
      </c>
      <c r="G1776" s="1" t="s">
        <v>4767</v>
      </c>
      <c r="H1776" s="1" t="s">
        <v>4755</v>
      </c>
      <c r="I1776" s="6" t="str">
        <f>IF(H1776="T61",1,IF(H1776="T61",3,IF(H1776="T77",6,IF(H1776="T77",10,IF(H1776="T109",14,IF(H1776="T109",18,IF(H1776="T77",22,"")))))))</f>
        <v/>
      </c>
      <c r="J1776" s="1" t="s">
        <v>1808</v>
      </c>
      <c r="K1776" s="10">
        <v>4</v>
      </c>
      <c r="L1776" s="10">
        <v>1</v>
      </c>
      <c r="N1776" s="10">
        <v>4</v>
      </c>
      <c r="O1776" s="6"/>
      <c r="P1776" s="45" t="s">
        <v>4756</v>
      </c>
      <c r="Q1776" s="42" t="s">
        <v>4798</v>
      </c>
      <c r="R1776" s="42"/>
      <c r="S1776" s="1" t="s">
        <v>5210</v>
      </c>
    </row>
    <row r="1777" spans="1:19" ht="18.75" customHeight="1" x14ac:dyDescent="0.3">
      <c r="A1777" s="10">
        <v>1776</v>
      </c>
      <c r="B1777" s="10">
        <f>_xlfn.XLOOKUP(1,(VALUE(D1777)&gt;=VALUE(block!$C$3:$C$500))*(VALUE(D1777)&lt;VALUE(block!$C$3:$C$500)+VALUE(block!$D$3:$D$500)),block!$A$3:$A$500,"无匹配",0,1)</f>
        <v>49</v>
      </c>
      <c r="C1777" s="3" t="str">
        <f>B1777 &amp; "-" &amp; COUNTIF($B$2:B1777, B1777)</f>
        <v>49-27</v>
      </c>
      <c r="D1777" s="10">
        <v>13260</v>
      </c>
      <c r="E1777" s="1" t="s">
        <v>5211</v>
      </c>
      <c r="F1777" s="1" t="s">
        <v>5212</v>
      </c>
      <c r="G1777" s="1" t="s">
        <v>4754</v>
      </c>
      <c r="H1777" s="1" t="s">
        <v>4755</v>
      </c>
      <c r="I1777" s="6" t="str">
        <f>IF(H1777="T62",1,IF(H1777="T62",3,IF(H1777="T78",6,IF(H1777="T78",10,IF(H1777="T110",14,IF(H1777="T110",18,IF(H1777="T78",22,"")))))))</f>
        <v/>
      </c>
      <c r="J1777" s="1" t="s">
        <v>1808</v>
      </c>
      <c r="K1777" s="10">
        <v>4</v>
      </c>
      <c r="L1777" s="10">
        <v>1</v>
      </c>
      <c r="N1777" s="10">
        <v>4</v>
      </c>
      <c r="O1777" s="6"/>
      <c r="P1777" s="45" t="s">
        <v>4756</v>
      </c>
      <c r="Q1777" s="42" t="s">
        <v>4798</v>
      </c>
      <c r="R1777" s="42"/>
      <c r="S1777" s="1" t="s">
        <v>5212</v>
      </c>
    </row>
    <row r="1778" spans="1:19" ht="18.75" customHeight="1" x14ac:dyDescent="0.3">
      <c r="A1778" s="10">
        <v>1777</v>
      </c>
      <c r="B1778" s="10">
        <f>_xlfn.XLOOKUP(1,(VALUE(D1778)&gt;=VALUE(block!$C$3:$C$500))*(VALUE(D1778)&lt;VALUE(block!$C$3:$C$500)+VALUE(block!$D$3:$D$500)),block!$A$3:$A$500,"无匹配",0,1)</f>
        <v>49</v>
      </c>
      <c r="C1778" s="3" t="str">
        <f>B1778 &amp; "-" &amp; COUNTIF($B$2:B1778, B1778)</f>
        <v>49-28</v>
      </c>
      <c r="D1778" s="10">
        <v>13264</v>
      </c>
      <c r="E1778" s="1" t="s">
        <v>5213</v>
      </c>
      <c r="F1778" s="1" t="s">
        <v>5214</v>
      </c>
      <c r="G1778" s="1" t="s">
        <v>4754</v>
      </c>
      <c r="H1778" s="1" t="s">
        <v>4755</v>
      </c>
      <c r="I1778" s="6" t="str">
        <f>IF(H1778="T63",1,IF(H1778="T63",3,IF(H1778="T79",6,IF(H1778="T79",10,IF(H1778="T111",14,IF(H1778="T111",18,IF(H1778="T79",22,"")))))))</f>
        <v/>
      </c>
      <c r="J1778" s="1" t="s">
        <v>1808</v>
      </c>
      <c r="K1778" s="10">
        <v>4</v>
      </c>
      <c r="L1778" s="10">
        <v>1</v>
      </c>
      <c r="N1778" s="10">
        <v>4</v>
      </c>
      <c r="O1778" s="6"/>
      <c r="P1778" s="45" t="s">
        <v>4756</v>
      </c>
      <c r="Q1778" s="42" t="s">
        <v>4798</v>
      </c>
      <c r="R1778" s="42"/>
      <c r="S1778" s="1" t="s">
        <v>5214</v>
      </c>
    </row>
    <row r="1779" spans="1:19" ht="18.75" customHeight="1" x14ac:dyDescent="0.3">
      <c r="A1779" s="10">
        <v>1778</v>
      </c>
      <c r="B1779" s="10">
        <f>_xlfn.XLOOKUP(1,(VALUE(D1779)&gt;=VALUE(block!$C$3:$C$500))*(VALUE(D1779)&lt;VALUE(block!$C$3:$C$500)+VALUE(block!$D$3:$D$500)),block!$A$3:$A$500,"无匹配",0,1)</f>
        <v>49</v>
      </c>
      <c r="C1779" s="3" t="str">
        <f>B1779 &amp; "-" &amp; COUNTIF($B$2:B1779, B1779)</f>
        <v>49-29</v>
      </c>
      <c r="D1779" s="10">
        <v>13268</v>
      </c>
      <c r="E1779" s="1" t="s">
        <v>5215</v>
      </c>
      <c r="F1779" s="1" t="s">
        <v>5216</v>
      </c>
      <c r="G1779" s="1" t="s">
        <v>4754</v>
      </c>
      <c r="H1779" s="1" t="s">
        <v>4755</v>
      </c>
      <c r="I1779" s="6" t="str">
        <f>IF(H1779="T64",1,IF(H1779="T64",3,IF(H1779="T80",6,IF(H1779="T80",10,IF(H1779="T112",14,IF(H1779="T112",18,IF(H1779="T80",22,"")))))))</f>
        <v/>
      </c>
      <c r="J1779" s="1" t="s">
        <v>1808</v>
      </c>
      <c r="K1779" s="10">
        <v>4</v>
      </c>
      <c r="L1779" s="10">
        <v>1</v>
      </c>
      <c r="N1779" s="10">
        <v>4</v>
      </c>
      <c r="O1779" s="6"/>
      <c r="P1779" s="45" t="s">
        <v>4756</v>
      </c>
      <c r="Q1779" s="42" t="s">
        <v>4798</v>
      </c>
      <c r="R1779" s="42"/>
      <c r="S1779" s="1" t="s">
        <v>5216</v>
      </c>
    </row>
    <row r="1780" spans="1:19" ht="18.75" customHeight="1" x14ac:dyDescent="0.3">
      <c r="A1780" s="10">
        <v>1779</v>
      </c>
      <c r="B1780" s="10">
        <f>_xlfn.XLOOKUP(1,(VALUE(D1780)&gt;=VALUE(block!$C$3:$C$500))*(VALUE(D1780)&lt;VALUE(block!$C$3:$C$500)+VALUE(block!$D$3:$D$500)),block!$A$3:$A$500,"无匹配",0,1)</f>
        <v>49</v>
      </c>
      <c r="C1780" s="3" t="str">
        <f>B1780 &amp; "-" &amp; COUNTIF($B$2:B1780, B1780)</f>
        <v>49-30</v>
      </c>
      <c r="D1780" s="10">
        <v>13272</v>
      </c>
      <c r="E1780" s="1" t="s">
        <v>5217</v>
      </c>
      <c r="F1780" s="1" t="s">
        <v>5218</v>
      </c>
      <c r="G1780" s="1" t="s">
        <v>4754</v>
      </c>
      <c r="H1780" s="1" t="s">
        <v>4755</v>
      </c>
      <c r="I1780" s="6" t="str">
        <f>IF(H1780="T65",1,IF(H1780="T65",3,IF(H1780="T81",6,IF(H1780="T81",10,IF(H1780="T113",14,IF(H1780="T113",18,IF(H1780="T81",22,"")))))))</f>
        <v/>
      </c>
      <c r="J1780" s="1" t="s">
        <v>1808</v>
      </c>
      <c r="K1780" s="10">
        <v>4</v>
      </c>
      <c r="L1780" s="10">
        <v>1</v>
      </c>
      <c r="N1780" s="10">
        <v>4</v>
      </c>
      <c r="O1780" s="6"/>
      <c r="P1780" s="45" t="s">
        <v>4756</v>
      </c>
      <c r="Q1780" s="42" t="s">
        <v>4798</v>
      </c>
      <c r="R1780" s="42"/>
      <c r="S1780" s="1" t="s">
        <v>5218</v>
      </c>
    </row>
    <row r="1781" spans="1:19" ht="18.75" customHeight="1" x14ac:dyDescent="0.3">
      <c r="A1781" s="10">
        <v>1780</v>
      </c>
      <c r="B1781" s="10">
        <f>_xlfn.XLOOKUP(1,(VALUE(D1781)&gt;=VALUE(block!$C$3:$C$500))*(VALUE(D1781)&lt;VALUE(block!$C$3:$C$500)+VALUE(block!$D$3:$D$500)),block!$A$3:$A$500,"无匹配",0,1)</f>
        <v>49</v>
      </c>
      <c r="C1781" s="3" t="str">
        <f>B1781 &amp; "-" &amp; COUNTIF($B$2:B1781, B1781)</f>
        <v>49-31</v>
      </c>
      <c r="D1781" s="10">
        <v>13276</v>
      </c>
      <c r="E1781" s="1" t="s">
        <v>5219</v>
      </c>
      <c r="F1781" s="1" t="s">
        <v>5220</v>
      </c>
      <c r="G1781" s="1" t="s">
        <v>4762</v>
      </c>
      <c r="H1781" s="1" t="s">
        <v>4755</v>
      </c>
      <c r="I1781" s="6" t="str">
        <f>IF(H1781="T66",1,IF(H1781="T66",3,IF(H1781="T82",6,IF(H1781="T82",10,IF(H1781="T114",14,IF(H1781="T114",18,IF(H1781="T82",22,"")))))))</f>
        <v/>
      </c>
      <c r="J1781" s="1" t="s">
        <v>1808</v>
      </c>
      <c r="K1781" s="10">
        <v>4</v>
      </c>
      <c r="L1781" s="10">
        <v>1</v>
      </c>
      <c r="N1781" s="10">
        <v>4</v>
      </c>
      <c r="O1781" s="6"/>
      <c r="P1781" s="45" t="s">
        <v>4756</v>
      </c>
      <c r="Q1781" s="42" t="s">
        <v>4798</v>
      </c>
      <c r="R1781" s="42"/>
      <c r="S1781" s="1" t="s">
        <v>5220</v>
      </c>
    </row>
    <row r="1782" spans="1:19" ht="18.75" customHeight="1" x14ac:dyDescent="0.3">
      <c r="A1782" s="10">
        <v>1781</v>
      </c>
      <c r="B1782" s="10">
        <f>_xlfn.XLOOKUP(1,(VALUE(D1782)&gt;=VALUE(block!$C$3:$C$500))*(VALUE(D1782)&lt;VALUE(block!$C$3:$C$500)+VALUE(block!$D$3:$D$500)),block!$A$3:$A$500,"无匹配",0,1)</f>
        <v>50</v>
      </c>
      <c r="C1782" s="3" t="str">
        <f>B1782 &amp; "-" &amp; COUNTIF($B$2:B1782, B1782)</f>
        <v>50-1</v>
      </c>
      <c r="D1782" s="10">
        <v>13280</v>
      </c>
      <c r="E1782" s="1" t="s">
        <v>5221</v>
      </c>
      <c r="F1782" s="1" t="s">
        <v>5222</v>
      </c>
      <c r="G1782" s="1" t="s">
        <v>4762</v>
      </c>
      <c r="H1782" s="1" t="s">
        <v>4755</v>
      </c>
      <c r="I1782" s="6" t="str">
        <f>IF(H1782="T67",1,IF(H1782="T67",3,IF(H1782="T83",6,IF(H1782="T83",10,IF(H1782="T115",14,IF(H1782="T115",18,IF(H1782="T83",22,"")))))))</f>
        <v/>
      </c>
      <c r="J1782" s="1" t="s">
        <v>1808</v>
      </c>
      <c r="K1782" s="10">
        <v>4</v>
      </c>
      <c r="L1782" s="10">
        <v>1</v>
      </c>
      <c r="N1782" s="10">
        <v>4</v>
      </c>
      <c r="O1782" s="6"/>
      <c r="P1782" s="45" t="s">
        <v>4756</v>
      </c>
      <c r="Q1782" s="42" t="s">
        <v>4798</v>
      </c>
      <c r="R1782" s="42"/>
      <c r="S1782" s="1" t="s">
        <v>5222</v>
      </c>
    </row>
    <row r="1783" spans="1:19" ht="18.75" customHeight="1" x14ac:dyDescent="0.3">
      <c r="A1783" s="10">
        <v>1782</v>
      </c>
      <c r="B1783" s="10">
        <f>_xlfn.XLOOKUP(1,(VALUE(D1783)&gt;=VALUE(block!$C$3:$C$500))*(VALUE(D1783)&lt;VALUE(block!$C$3:$C$500)+VALUE(block!$D$3:$D$500)),block!$A$3:$A$500,"无匹配",0,1)</f>
        <v>50</v>
      </c>
      <c r="C1783" s="3" t="str">
        <f>B1783 &amp; "-" &amp; COUNTIF($B$2:B1783, B1783)</f>
        <v>50-2</v>
      </c>
      <c r="D1783" s="10">
        <v>13284</v>
      </c>
      <c r="E1783" s="1" t="s">
        <v>5223</v>
      </c>
      <c r="F1783" s="1" t="s">
        <v>5224</v>
      </c>
      <c r="G1783" s="1" t="s">
        <v>4762</v>
      </c>
      <c r="H1783" s="1" t="s">
        <v>4755</v>
      </c>
      <c r="I1783" s="6" t="str">
        <f>IF(H1783="T68",1,IF(H1783="T68",3,IF(H1783="T84",6,IF(H1783="T84",10,IF(H1783="T116",14,IF(H1783="T116",18,IF(H1783="T84",22,"")))))))</f>
        <v/>
      </c>
      <c r="J1783" s="1" t="s">
        <v>1808</v>
      </c>
      <c r="K1783" s="10">
        <v>4</v>
      </c>
      <c r="L1783" s="10">
        <v>1</v>
      </c>
      <c r="N1783" s="10">
        <v>4</v>
      </c>
      <c r="O1783" s="6"/>
      <c r="P1783" s="45" t="s">
        <v>4756</v>
      </c>
      <c r="Q1783" s="42" t="s">
        <v>4798</v>
      </c>
      <c r="R1783" s="42"/>
      <c r="S1783" s="1" t="s">
        <v>5224</v>
      </c>
    </row>
    <row r="1784" spans="1:19" ht="18.75" customHeight="1" x14ac:dyDescent="0.3">
      <c r="A1784" s="10">
        <v>1783</v>
      </c>
      <c r="B1784" s="10">
        <f>_xlfn.XLOOKUP(1,(VALUE(D1784)&gt;=VALUE(block!$C$3:$C$500))*(VALUE(D1784)&lt;VALUE(block!$C$3:$C$500)+VALUE(block!$D$3:$D$500)),block!$A$3:$A$500,"无匹配",0,1)</f>
        <v>50</v>
      </c>
      <c r="C1784" s="3" t="str">
        <f>B1784 &amp; "-" &amp; COUNTIF($B$2:B1784, B1784)</f>
        <v>50-3</v>
      </c>
      <c r="D1784" s="10">
        <v>13288</v>
      </c>
      <c r="E1784" s="1" t="s">
        <v>5225</v>
      </c>
      <c r="F1784" s="1" t="s">
        <v>5226</v>
      </c>
      <c r="G1784" s="1" t="s">
        <v>4762</v>
      </c>
      <c r="H1784" s="1" t="s">
        <v>4755</v>
      </c>
      <c r="I1784" s="6" t="str">
        <f>IF(H1784="T69",1,IF(H1784="T69",3,IF(H1784="T85",6,IF(H1784="T85",10,IF(H1784="T117",14,IF(H1784="T117",18,IF(H1784="T85",22,"")))))))</f>
        <v/>
      </c>
      <c r="J1784" s="1" t="s">
        <v>1808</v>
      </c>
      <c r="K1784" s="10">
        <v>4</v>
      </c>
      <c r="L1784" s="10">
        <v>1</v>
      </c>
      <c r="N1784" s="10">
        <v>4</v>
      </c>
      <c r="O1784" s="6"/>
      <c r="P1784" s="45" t="s">
        <v>4756</v>
      </c>
      <c r="Q1784" s="42" t="s">
        <v>4798</v>
      </c>
      <c r="R1784" s="42"/>
      <c r="S1784" s="1" t="s">
        <v>5226</v>
      </c>
    </row>
    <row r="1785" spans="1:19" ht="18.75" customHeight="1" x14ac:dyDescent="0.3">
      <c r="A1785" s="10">
        <v>1784</v>
      </c>
      <c r="B1785" s="10">
        <f>_xlfn.XLOOKUP(1,(VALUE(D1785)&gt;=VALUE(block!$C$3:$C$500))*(VALUE(D1785)&lt;VALUE(block!$C$3:$C$500)+VALUE(block!$D$3:$D$500)),block!$A$3:$A$500,"无匹配",0,1)</f>
        <v>50</v>
      </c>
      <c r="C1785" s="3" t="str">
        <f>B1785 &amp; "-" &amp; COUNTIF($B$2:B1785, B1785)</f>
        <v>50-4</v>
      </c>
      <c r="D1785" s="10">
        <v>13292</v>
      </c>
      <c r="E1785" s="1" t="s">
        <v>5227</v>
      </c>
      <c r="F1785" s="1" t="s">
        <v>5228</v>
      </c>
      <c r="G1785" s="1" t="s">
        <v>4767</v>
      </c>
      <c r="H1785" s="1" t="s">
        <v>4755</v>
      </c>
      <c r="I1785" s="6" t="str">
        <f>IF(H1785="T70",1,IF(H1785="T70",3,IF(H1785="T86",6,IF(H1785="T86",10,IF(H1785="T118",14,IF(H1785="T118",18,IF(H1785="T86",22,"")))))))</f>
        <v/>
      </c>
      <c r="J1785" s="1" t="s">
        <v>1808</v>
      </c>
      <c r="K1785" s="10">
        <v>4</v>
      </c>
      <c r="L1785" s="10">
        <v>1</v>
      </c>
      <c r="N1785" s="10">
        <v>4</v>
      </c>
      <c r="O1785" s="6"/>
      <c r="P1785" s="45" t="s">
        <v>4756</v>
      </c>
      <c r="Q1785" s="42" t="s">
        <v>4798</v>
      </c>
      <c r="R1785" s="42"/>
      <c r="S1785" s="1" t="s">
        <v>5228</v>
      </c>
    </row>
    <row r="1786" spans="1:19" ht="18.75" customHeight="1" x14ac:dyDescent="0.3">
      <c r="A1786" s="10">
        <v>1785</v>
      </c>
      <c r="B1786" s="10">
        <f>_xlfn.XLOOKUP(1,(VALUE(D1786)&gt;=VALUE(block!$C$3:$C$500))*(VALUE(D1786)&lt;VALUE(block!$C$3:$C$500)+VALUE(block!$D$3:$D$500)),block!$A$3:$A$500,"无匹配",0,1)</f>
        <v>50</v>
      </c>
      <c r="C1786" s="3" t="str">
        <f>B1786 &amp; "-" &amp; COUNTIF($B$2:B1786, B1786)</f>
        <v>50-5</v>
      </c>
      <c r="D1786" s="10">
        <v>13296</v>
      </c>
      <c r="E1786" s="1" t="s">
        <v>5229</v>
      </c>
      <c r="F1786" s="1" t="s">
        <v>5230</v>
      </c>
      <c r="G1786" s="1" t="s">
        <v>4754</v>
      </c>
      <c r="H1786" s="1" t="s">
        <v>4755</v>
      </c>
      <c r="I1786" s="6" t="str">
        <f>IF(H1786="T71",1,IF(H1786="T71",3,IF(H1786="T87",6,IF(H1786="T87",10,IF(H1786="T119",14,IF(H1786="T119",18,IF(H1786="T87",22,"")))))))</f>
        <v/>
      </c>
      <c r="J1786" s="1" t="s">
        <v>1808</v>
      </c>
      <c r="K1786" s="10">
        <v>4</v>
      </c>
      <c r="L1786" s="10">
        <v>1</v>
      </c>
      <c r="N1786" s="10">
        <v>4</v>
      </c>
      <c r="O1786" s="6"/>
      <c r="P1786" s="45" t="s">
        <v>4756</v>
      </c>
      <c r="Q1786" s="42" t="s">
        <v>4798</v>
      </c>
      <c r="R1786" s="42"/>
      <c r="S1786" s="1" t="s">
        <v>5230</v>
      </c>
    </row>
    <row r="1787" spans="1:19" ht="18.75" customHeight="1" x14ac:dyDescent="0.3">
      <c r="A1787" s="10">
        <v>1786</v>
      </c>
      <c r="B1787" s="10">
        <f>_xlfn.XLOOKUP(1,(VALUE(D1787)&gt;=VALUE(block!$C$3:$C$500))*(VALUE(D1787)&lt;VALUE(block!$C$3:$C$500)+VALUE(block!$D$3:$D$500)),block!$A$3:$A$500,"无匹配",0,1)</f>
        <v>50</v>
      </c>
      <c r="C1787" s="3" t="str">
        <f>B1787 &amp; "-" &amp; COUNTIF($B$2:B1787, B1787)</f>
        <v>50-6</v>
      </c>
      <c r="D1787" s="10">
        <v>13300</v>
      </c>
      <c r="E1787" s="1" t="s">
        <v>5231</v>
      </c>
      <c r="F1787" s="1" t="s">
        <v>5232</v>
      </c>
      <c r="G1787" s="1" t="s">
        <v>4754</v>
      </c>
      <c r="H1787" s="1" t="s">
        <v>4755</v>
      </c>
      <c r="I1787" s="6" t="str">
        <f>IF(H1787="T72",1,IF(H1787="T72",3,IF(H1787="T88",6,IF(H1787="T88",10,IF(H1787="T120",14,IF(H1787="T120",18,IF(H1787="T88",22,"")))))))</f>
        <v/>
      </c>
      <c r="J1787" s="1" t="s">
        <v>1808</v>
      </c>
      <c r="K1787" s="10">
        <v>4</v>
      </c>
      <c r="L1787" s="10">
        <v>1</v>
      </c>
      <c r="N1787" s="10">
        <v>4</v>
      </c>
      <c r="O1787" s="6"/>
      <c r="P1787" s="45" t="s">
        <v>4756</v>
      </c>
      <c r="Q1787" s="42" t="s">
        <v>4798</v>
      </c>
      <c r="R1787" s="42"/>
      <c r="S1787" s="1" t="s">
        <v>5232</v>
      </c>
    </row>
    <row r="1788" spans="1:19" ht="18.75" customHeight="1" x14ac:dyDescent="0.3">
      <c r="A1788" s="10">
        <v>1787</v>
      </c>
      <c r="B1788" s="10">
        <f>_xlfn.XLOOKUP(1,(VALUE(D1788)&gt;=VALUE(block!$C$3:$C$500))*(VALUE(D1788)&lt;VALUE(block!$C$3:$C$500)+VALUE(block!$D$3:$D$500)),block!$A$3:$A$500,"无匹配",0,1)</f>
        <v>50</v>
      </c>
      <c r="C1788" s="3" t="str">
        <f>B1788 &amp; "-" &amp; COUNTIF($B$2:B1788, B1788)</f>
        <v>50-7</v>
      </c>
      <c r="D1788" s="10">
        <v>13304</v>
      </c>
      <c r="E1788" s="1" t="s">
        <v>5233</v>
      </c>
      <c r="F1788" s="1" t="s">
        <v>5234</v>
      </c>
      <c r="G1788" s="1" t="s">
        <v>4754</v>
      </c>
      <c r="H1788" s="1" t="s">
        <v>4755</v>
      </c>
      <c r="I1788" s="6" t="str">
        <f>IF(H1788="T73",1,IF(H1788="T73",3,IF(H1788="T89",6,IF(H1788="T89",10,IF(H1788="T121",14,IF(H1788="T121",18,IF(H1788="T89",22,"")))))))</f>
        <v/>
      </c>
      <c r="J1788" s="1" t="s">
        <v>1808</v>
      </c>
      <c r="K1788" s="10">
        <v>4</v>
      </c>
      <c r="L1788" s="10">
        <v>1</v>
      </c>
      <c r="N1788" s="10">
        <v>4</v>
      </c>
      <c r="O1788" s="6"/>
      <c r="P1788" s="45" t="s">
        <v>4756</v>
      </c>
      <c r="Q1788" s="42" t="s">
        <v>4798</v>
      </c>
      <c r="R1788" s="42"/>
      <c r="S1788" s="1" t="s">
        <v>5234</v>
      </c>
    </row>
    <row r="1789" spans="1:19" ht="18.75" customHeight="1" x14ac:dyDescent="0.3">
      <c r="A1789" s="10">
        <v>1788</v>
      </c>
      <c r="B1789" s="10">
        <f>_xlfn.XLOOKUP(1,(VALUE(D1789)&gt;=VALUE(block!$C$3:$C$500))*(VALUE(D1789)&lt;VALUE(block!$C$3:$C$500)+VALUE(block!$D$3:$D$500)),block!$A$3:$A$500,"无匹配",0,1)</f>
        <v>50</v>
      </c>
      <c r="C1789" s="3" t="str">
        <f>B1789 &amp; "-" &amp; COUNTIF($B$2:B1789, B1789)</f>
        <v>50-8</v>
      </c>
      <c r="D1789" s="10">
        <v>13308</v>
      </c>
      <c r="E1789" s="1" t="s">
        <v>5235</v>
      </c>
      <c r="F1789" s="1" t="s">
        <v>5236</v>
      </c>
      <c r="G1789" s="1" t="s">
        <v>4754</v>
      </c>
      <c r="H1789" s="1" t="s">
        <v>4755</v>
      </c>
      <c r="I1789" s="6" t="str">
        <f>IF(H1789="T74",1,IF(H1789="T74",3,IF(H1789="T90",6,IF(H1789="T90",10,IF(H1789="T122",14,IF(H1789="T122",18,IF(H1789="T90",22,"")))))))</f>
        <v/>
      </c>
      <c r="J1789" s="1" t="s">
        <v>1808</v>
      </c>
      <c r="K1789" s="10">
        <v>4</v>
      </c>
      <c r="L1789" s="10">
        <v>1</v>
      </c>
      <c r="N1789" s="10">
        <v>4</v>
      </c>
      <c r="O1789" s="6"/>
      <c r="P1789" s="45" t="s">
        <v>4756</v>
      </c>
      <c r="Q1789" s="42" t="s">
        <v>4798</v>
      </c>
      <c r="R1789" s="42"/>
      <c r="S1789" s="1" t="s">
        <v>5236</v>
      </c>
    </row>
    <row r="1790" spans="1:19" ht="18.75" customHeight="1" x14ac:dyDescent="0.3">
      <c r="A1790" s="10">
        <v>1789</v>
      </c>
      <c r="B1790" s="10">
        <f>_xlfn.XLOOKUP(1,(VALUE(D1790)&gt;=VALUE(block!$C$3:$C$500))*(VALUE(D1790)&lt;VALUE(block!$C$3:$C$500)+VALUE(block!$D$3:$D$500)),block!$A$3:$A$500,"无匹配",0,1)</f>
        <v>50</v>
      </c>
      <c r="C1790" s="3" t="str">
        <f>B1790 &amp; "-" &amp; COUNTIF($B$2:B1790, B1790)</f>
        <v>50-9</v>
      </c>
      <c r="D1790" s="10">
        <v>13312</v>
      </c>
      <c r="E1790" s="1" t="s">
        <v>5237</v>
      </c>
      <c r="F1790" s="1" t="s">
        <v>5238</v>
      </c>
      <c r="G1790" s="1" t="s">
        <v>4762</v>
      </c>
      <c r="H1790" s="1" t="s">
        <v>4755</v>
      </c>
      <c r="I1790" s="6" t="str">
        <f>IF(H1790="T75",1,IF(H1790="T75",3,IF(H1790="T91",6,IF(H1790="T91",10,IF(H1790="T123",14,IF(H1790="T123",18,IF(H1790="T91",22,"")))))))</f>
        <v/>
      </c>
      <c r="J1790" s="1" t="s">
        <v>1808</v>
      </c>
      <c r="K1790" s="10">
        <v>4</v>
      </c>
      <c r="L1790" s="10">
        <v>1</v>
      </c>
      <c r="N1790" s="10">
        <v>4</v>
      </c>
      <c r="O1790" s="6"/>
      <c r="P1790" s="45" t="s">
        <v>4756</v>
      </c>
      <c r="Q1790" s="42" t="s">
        <v>4798</v>
      </c>
      <c r="R1790" s="42"/>
      <c r="S1790" s="1" t="s">
        <v>5238</v>
      </c>
    </row>
    <row r="1791" spans="1:19" ht="18.75" customHeight="1" x14ac:dyDescent="0.3">
      <c r="A1791" s="10">
        <v>1790</v>
      </c>
      <c r="B1791" s="10">
        <f>_xlfn.XLOOKUP(1,(VALUE(D1791)&gt;=VALUE(block!$C$3:$C$500))*(VALUE(D1791)&lt;VALUE(block!$C$3:$C$500)+VALUE(block!$D$3:$D$500)),block!$A$3:$A$500,"无匹配",0,1)</f>
        <v>50</v>
      </c>
      <c r="C1791" s="3" t="str">
        <f>B1791 &amp; "-" &amp; COUNTIF($B$2:B1791, B1791)</f>
        <v>50-10</v>
      </c>
      <c r="D1791" s="10">
        <v>13316</v>
      </c>
      <c r="E1791" s="1" t="s">
        <v>5239</v>
      </c>
      <c r="F1791" s="1" t="s">
        <v>5240</v>
      </c>
      <c r="G1791" s="1" t="s">
        <v>4762</v>
      </c>
      <c r="H1791" s="1" t="s">
        <v>4755</v>
      </c>
      <c r="I1791" s="6" t="str">
        <f>IF(H1791="T76",1,IF(H1791="T76",3,IF(H1791="T92",6,IF(H1791="T92",10,IF(H1791="T124",14,IF(H1791="T124",18,IF(H1791="T92",22,"")))))))</f>
        <v/>
      </c>
      <c r="J1791" s="1" t="s">
        <v>1808</v>
      </c>
      <c r="K1791" s="10">
        <v>4</v>
      </c>
      <c r="L1791" s="10">
        <v>1</v>
      </c>
      <c r="N1791" s="10">
        <v>4</v>
      </c>
      <c r="O1791" s="6"/>
      <c r="P1791" s="45" t="s">
        <v>4756</v>
      </c>
      <c r="Q1791" s="42" t="s">
        <v>4798</v>
      </c>
      <c r="R1791" s="42"/>
      <c r="S1791" s="1" t="s">
        <v>5240</v>
      </c>
    </row>
    <row r="1792" spans="1:19" ht="18.75" customHeight="1" x14ac:dyDescent="0.3">
      <c r="A1792" s="10">
        <v>1791</v>
      </c>
      <c r="B1792" s="10">
        <f>_xlfn.XLOOKUP(1,(VALUE(D1792)&gt;=VALUE(block!$C$3:$C$500))*(VALUE(D1792)&lt;VALUE(block!$C$3:$C$500)+VALUE(block!$D$3:$D$500)),block!$A$3:$A$500,"无匹配",0,1)</f>
        <v>50</v>
      </c>
      <c r="C1792" s="3" t="str">
        <f>B1792 &amp; "-" &amp; COUNTIF($B$2:B1792, B1792)</f>
        <v>50-11</v>
      </c>
      <c r="D1792" s="10">
        <v>13320</v>
      </c>
      <c r="E1792" s="1" t="s">
        <v>5241</v>
      </c>
      <c r="F1792" s="1" t="s">
        <v>5242</v>
      </c>
      <c r="G1792" s="1" t="s">
        <v>4762</v>
      </c>
      <c r="H1792" s="1" t="s">
        <v>4755</v>
      </c>
      <c r="I1792" s="6" t="str">
        <f>IF(H1792="T77",1,IF(H1792="T77",3,IF(H1792="T93",6,IF(H1792="T93",10,IF(H1792="T125",14,IF(H1792="T125",18,IF(H1792="T93",22,"")))))))</f>
        <v/>
      </c>
      <c r="J1792" s="1" t="s">
        <v>1808</v>
      </c>
      <c r="K1792" s="10">
        <v>4</v>
      </c>
      <c r="L1792" s="10">
        <v>1</v>
      </c>
      <c r="N1792" s="10">
        <v>4</v>
      </c>
      <c r="O1792" s="6"/>
      <c r="P1792" s="45" t="s">
        <v>4756</v>
      </c>
      <c r="Q1792" s="42" t="s">
        <v>4798</v>
      </c>
      <c r="R1792" s="42"/>
      <c r="S1792" s="1" t="s">
        <v>5242</v>
      </c>
    </row>
    <row r="1793" spans="1:19" ht="18.75" customHeight="1" x14ac:dyDescent="0.3">
      <c r="A1793" s="10">
        <v>1792</v>
      </c>
      <c r="B1793" s="10">
        <f>_xlfn.XLOOKUP(1,(VALUE(D1793)&gt;=VALUE(block!$C$3:$C$500))*(VALUE(D1793)&lt;VALUE(block!$C$3:$C$500)+VALUE(block!$D$3:$D$500)),block!$A$3:$A$500,"无匹配",0,1)</f>
        <v>50</v>
      </c>
      <c r="C1793" s="3" t="str">
        <f>B1793 &amp; "-" &amp; COUNTIF($B$2:B1793, B1793)</f>
        <v>50-12</v>
      </c>
      <c r="D1793" s="10">
        <v>13324</v>
      </c>
      <c r="E1793" s="1" t="s">
        <v>5243</v>
      </c>
      <c r="F1793" s="1" t="s">
        <v>5244</v>
      </c>
      <c r="G1793" s="1" t="s">
        <v>4762</v>
      </c>
      <c r="H1793" s="1" t="s">
        <v>4755</v>
      </c>
      <c r="I1793" s="6" t="str">
        <f>IF(H1793="T78",1,IF(H1793="T78",3,IF(H1793="T94",6,IF(H1793="T94",10,IF(H1793="T126",14,IF(H1793="T126",18,IF(H1793="T94",22,"")))))))</f>
        <v/>
      </c>
      <c r="J1793" s="1" t="s">
        <v>1808</v>
      </c>
      <c r="K1793" s="10">
        <v>4</v>
      </c>
      <c r="L1793" s="10">
        <v>1</v>
      </c>
      <c r="N1793" s="10">
        <v>4</v>
      </c>
      <c r="O1793" s="6"/>
      <c r="P1793" s="45" t="s">
        <v>4756</v>
      </c>
      <c r="Q1793" s="42" t="s">
        <v>4798</v>
      </c>
      <c r="R1793" s="42"/>
      <c r="S1793" s="1" t="s">
        <v>5244</v>
      </c>
    </row>
    <row r="1794" spans="1:19" ht="18.75" customHeight="1" x14ac:dyDescent="0.3">
      <c r="A1794" s="10">
        <v>1793</v>
      </c>
      <c r="B1794" s="10">
        <f>_xlfn.XLOOKUP(1,(VALUE(D1794)&gt;=VALUE(block!$C$3:$C$500))*(VALUE(D1794)&lt;VALUE(block!$C$3:$C$500)+VALUE(block!$D$3:$D$500)),block!$A$3:$A$500,"无匹配",0,1)</f>
        <v>50</v>
      </c>
      <c r="C1794" s="3" t="str">
        <f>B1794 &amp; "-" &amp; COUNTIF($B$2:B1794, B1794)</f>
        <v>50-13</v>
      </c>
      <c r="D1794" s="10">
        <v>13328</v>
      </c>
      <c r="E1794" s="1" t="s">
        <v>5245</v>
      </c>
      <c r="F1794" s="1" t="s">
        <v>5246</v>
      </c>
      <c r="G1794" s="1" t="s">
        <v>4767</v>
      </c>
      <c r="H1794" s="1" t="s">
        <v>4755</v>
      </c>
      <c r="I1794" s="6" t="str">
        <f>IF(H1794="T79",1,IF(H1794="T79",3,IF(H1794="T95",6,IF(H1794="T95",10,IF(H1794="T127",14,IF(H1794="T127",18,IF(H1794="T95",22,"")))))))</f>
        <v/>
      </c>
      <c r="J1794" s="1" t="s">
        <v>1808</v>
      </c>
      <c r="K1794" s="10">
        <v>4</v>
      </c>
      <c r="L1794" s="10">
        <v>1</v>
      </c>
      <c r="N1794" s="10">
        <v>4</v>
      </c>
      <c r="O1794" s="6"/>
      <c r="P1794" s="45" t="s">
        <v>4756</v>
      </c>
      <c r="Q1794" s="42" t="s">
        <v>4798</v>
      </c>
      <c r="R1794" s="42"/>
      <c r="S1794" s="1" t="s">
        <v>5246</v>
      </c>
    </row>
    <row r="1795" spans="1:19" ht="18.75" customHeight="1" x14ac:dyDescent="0.3">
      <c r="A1795" s="10">
        <v>1794</v>
      </c>
      <c r="B1795" s="10">
        <f>_xlfn.XLOOKUP(1,(VALUE(D1795)&gt;=VALUE(block!$C$3:$C$500))*(VALUE(D1795)&lt;VALUE(block!$C$3:$C$500)+VALUE(block!$D$3:$D$500)),block!$A$3:$A$500,"无匹配",0,1)</f>
        <v>50</v>
      </c>
      <c r="C1795" s="3" t="str">
        <f>B1795 &amp; "-" &amp; COUNTIF($B$2:B1795, B1795)</f>
        <v>50-14</v>
      </c>
      <c r="D1795" s="10">
        <v>13332</v>
      </c>
      <c r="E1795" s="1" t="s">
        <v>5247</v>
      </c>
      <c r="F1795" s="1" t="s">
        <v>5248</v>
      </c>
      <c r="G1795" s="1" t="s">
        <v>4754</v>
      </c>
      <c r="H1795" s="1" t="s">
        <v>4755</v>
      </c>
      <c r="I1795" s="6" t="str">
        <f>IF(H1795="uint16",1,IF(H1795="int16",3,IF(H1795="uint32",6,IF(H1795="int32",10,IF(H1795="uint64",14,IF(H1795="int64",18,IF(H1795="float32",22,"")))))))</f>
        <v/>
      </c>
      <c r="J1795" s="1" t="s">
        <v>1808</v>
      </c>
      <c r="K1795" s="10">
        <v>4</v>
      </c>
      <c r="L1795" s="10">
        <v>1</v>
      </c>
      <c r="N1795" s="10">
        <v>4</v>
      </c>
      <c r="O1795" s="6"/>
      <c r="P1795" s="45" t="s">
        <v>4756</v>
      </c>
      <c r="Q1795" s="42" t="s">
        <v>4798</v>
      </c>
      <c r="R1795" s="42"/>
      <c r="S1795" s="1" t="s">
        <v>5248</v>
      </c>
    </row>
    <row r="1796" spans="1:19" ht="18.75" customHeight="1" x14ac:dyDescent="0.3">
      <c r="A1796" s="10">
        <v>1795</v>
      </c>
      <c r="B1796" s="10">
        <f>_xlfn.XLOOKUP(1,(VALUE(D1796)&gt;=VALUE(block!$C$3:$C$500))*(VALUE(D1796)&lt;VALUE(block!$C$3:$C$500)+VALUE(block!$D$3:$D$500)),block!$A$3:$A$500,"无匹配",0,1)</f>
        <v>50</v>
      </c>
      <c r="C1796" s="3" t="str">
        <f>B1796 &amp; "-" &amp; COUNTIF($B$2:B1796, B1796)</f>
        <v>50-15</v>
      </c>
      <c r="D1796" s="10">
        <v>13336</v>
      </c>
      <c r="E1796" s="1" t="s">
        <v>5249</v>
      </c>
      <c r="F1796" s="1" t="s">
        <v>5250</v>
      </c>
      <c r="G1796" s="1" t="s">
        <v>4754</v>
      </c>
      <c r="H1796" s="1" t="s">
        <v>4755</v>
      </c>
      <c r="I1796" s="6" t="str">
        <f>IF(H1796="T17",1,IF(H1796="T17",3,IF(H1796="T33",6,IF(H1796="T33",10,IF(H1796="T65",14,IF(H1796="T65",18,IF(H1796="T33",22,"")))))))</f>
        <v/>
      </c>
      <c r="J1796" s="1" t="s">
        <v>1808</v>
      </c>
      <c r="K1796" s="10">
        <v>4</v>
      </c>
      <c r="L1796" s="10">
        <v>1</v>
      </c>
      <c r="N1796" s="10">
        <v>4</v>
      </c>
      <c r="O1796" s="6"/>
      <c r="P1796" s="45" t="s">
        <v>4756</v>
      </c>
      <c r="Q1796" s="42" t="s">
        <v>4798</v>
      </c>
      <c r="R1796" s="42"/>
      <c r="S1796" s="1" t="s">
        <v>5250</v>
      </c>
    </row>
    <row r="1797" spans="1:19" ht="18.75" customHeight="1" x14ac:dyDescent="0.3">
      <c r="A1797" s="10">
        <v>1796</v>
      </c>
      <c r="B1797" s="10">
        <f>_xlfn.XLOOKUP(1,(VALUE(D1797)&gt;=VALUE(block!$C$3:$C$500))*(VALUE(D1797)&lt;VALUE(block!$C$3:$C$500)+VALUE(block!$D$3:$D$500)),block!$A$3:$A$500,"无匹配",0,1)</f>
        <v>50</v>
      </c>
      <c r="C1797" s="3" t="str">
        <f>B1797 &amp; "-" &amp; COUNTIF($B$2:B1797, B1797)</f>
        <v>50-16</v>
      </c>
      <c r="D1797" s="10">
        <v>13340</v>
      </c>
      <c r="E1797" s="1" t="s">
        <v>5251</v>
      </c>
      <c r="F1797" s="1" t="s">
        <v>5252</v>
      </c>
      <c r="G1797" s="1" t="s">
        <v>4754</v>
      </c>
      <c r="H1797" s="1" t="s">
        <v>4755</v>
      </c>
      <c r="I1797" s="6" t="str">
        <f>IF(H1797="T18",1,IF(H1797="T18",3,IF(H1797="T34",6,IF(H1797="T34",10,IF(H1797="T66",14,IF(H1797="T66",18,IF(H1797="T34",22,"")))))))</f>
        <v/>
      </c>
      <c r="J1797" s="1" t="s">
        <v>1808</v>
      </c>
      <c r="K1797" s="10">
        <v>4</v>
      </c>
      <c r="L1797" s="10">
        <v>1</v>
      </c>
      <c r="N1797" s="10">
        <v>4</v>
      </c>
      <c r="O1797" s="6"/>
      <c r="P1797" s="45" t="s">
        <v>4756</v>
      </c>
      <c r="Q1797" s="42" t="s">
        <v>4798</v>
      </c>
      <c r="R1797" s="42"/>
      <c r="S1797" s="1" t="s">
        <v>5252</v>
      </c>
    </row>
    <row r="1798" spans="1:19" ht="18.75" customHeight="1" x14ac:dyDescent="0.3">
      <c r="A1798" s="10">
        <v>1797</v>
      </c>
      <c r="B1798" s="10">
        <f>_xlfn.XLOOKUP(1,(VALUE(D1798)&gt;=VALUE(block!$C$3:$C$500))*(VALUE(D1798)&lt;VALUE(block!$C$3:$C$500)+VALUE(block!$D$3:$D$500)),block!$A$3:$A$500,"无匹配",0,1)</f>
        <v>50</v>
      </c>
      <c r="C1798" s="3" t="str">
        <f>B1798 &amp; "-" &amp; COUNTIF($B$2:B1798, B1798)</f>
        <v>50-17</v>
      </c>
      <c r="D1798" s="10">
        <v>13344</v>
      </c>
      <c r="E1798" s="1" t="s">
        <v>5253</v>
      </c>
      <c r="F1798" s="1" t="s">
        <v>5254</v>
      </c>
      <c r="G1798" s="1" t="s">
        <v>4754</v>
      </c>
      <c r="H1798" s="1" t="s">
        <v>4755</v>
      </c>
      <c r="I1798" s="6" t="str">
        <f>IF(H1798="T19",1,IF(H1798="T19",3,IF(H1798="T35",6,IF(H1798="T35",10,IF(H1798="T67",14,IF(H1798="T67",18,IF(H1798="T35",22,"")))))))</f>
        <v/>
      </c>
      <c r="J1798" s="1" t="s">
        <v>1808</v>
      </c>
      <c r="K1798" s="10">
        <v>4</v>
      </c>
      <c r="L1798" s="10">
        <v>1</v>
      </c>
      <c r="N1798" s="10">
        <v>4</v>
      </c>
      <c r="O1798" s="6"/>
      <c r="P1798" s="45" t="s">
        <v>4756</v>
      </c>
      <c r="Q1798" s="42" t="s">
        <v>4798</v>
      </c>
      <c r="R1798" s="42"/>
      <c r="S1798" s="1" t="s">
        <v>5254</v>
      </c>
    </row>
    <row r="1799" spans="1:19" ht="18.75" customHeight="1" x14ac:dyDescent="0.3">
      <c r="A1799" s="10">
        <v>1798</v>
      </c>
      <c r="B1799" s="10">
        <f>_xlfn.XLOOKUP(1,(VALUE(D1799)&gt;=VALUE(block!$C$3:$C$500))*(VALUE(D1799)&lt;VALUE(block!$C$3:$C$500)+VALUE(block!$D$3:$D$500)),block!$A$3:$A$500,"无匹配",0,1)</f>
        <v>50</v>
      </c>
      <c r="C1799" s="3" t="str">
        <f>B1799 &amp; "-" &amp; COUNTIF($B$2:B1799, B1799)</f>
        <v>50-18</v>
      </c>
      <c r="D1799" s="10">
        <v>13348</v>
      </c>
      <c r="E1799" s="1" t="s">
        <v>5255</v>
      </c>
      <c r="F1799" s="1" t="s">
        <v>5256</v>
      </c>
      <c r="G1799" s="1" t="s">
        <v>4762</v>
      </c>
      <c r="H1799" s="1" t="s">
        <v>4755</v>
      </c>
      <c r="I1799" s="6" t="str">
        <f>IF(H1799="T20",1,IF(H1799="T20",3,IF(H1799="T36",6,IF(H1799="T36",10,IF(H1799="T68",14,IF(H1799="T68",18,IF(H1799="T36",22,"")))))))</f>
        <v/>
      </c>
      <c r="J1799" s="1" t="s">
        <v>1808</v>
      </c>
      <c r="K1799" s="10">
        <v>4</v>
      </c>
      <c r="L1799" s="10">
        <v>1</v>
      </c>
      <c r="N1799" s="10">
        <v>4</v>
      </c>
      <c r="O1799" s="6"/>
      <c r="P1799" s="45" t="s">
        <v>4756</v>
      </c>
      <c r="Q1799" s="42" t="s">
        <v>4798</v>
      </c>
      <c r="R1799" s="42"/>
      <c r="S1799" s="1" t="s">
        <v>5256</v>
      </c>
    </row>
    <row r="1800" spans="1:19" ht="18.75" customHeight="1" x14ac:dyDescent="0.3">
      <c r="A1800" s="10">
        <v>1799</v>
      </c>
      <c r="B1800" s="10">
        <f>_xlfn.XLOOKUP(1,(VALUE(D1800)&gt;=VALUE(block!$C$3:$C$500))*(VALUE(D1800)&lt;VALUE(block!$C$3:$C$500)+VALUE(block!$D$3:$D$500)),block!$A$3:$A$500,"无匹配",0,1)</f>
        <v>50</v>
      </c>
      <c r="C1800" s="3" t="str">
        <f>B1800 &amp; "-" &amp; COUNTIF($B$2:B1800, B1800)</f>
        <v>50-19</v>
      </c>
      <c r="D1800" s="10">
        <v>13352</v>
      </c>
      <c r="E1800" s="1" t="s">
        <v>5257</v>
      </c>
      <c r="F1800" s="1" t="s">
        <v>5258</v>
      </c>
      <c r="G1800" s="1" t="s">
        <v>4762</v>
      </c>
      <c r="H1800" s="1" t="s">
        <v>4755</v>
      </c>
      <c r="I1800" s="6" t="str">
        <f>IF(H1800="T21",1,IF(H1800="T21",3,IF(H1800="T37",6,IF(H1800="T37",10,IF(H1800="T69",14,IF(H1800="T69",18,IF(H1800="T37",22,"")))))))</f>
        <v/>
      </c>
      <c r="J1800" s="1" t="s">
        <v>1808</v>
      </c>
      <c r="K1800" s="10">
        <v>4</v>
      </c>
      <c r="L1800" s="10">
        <v>1</v>
      </c>
      <c r="N1800" s="10">
        <v>4</v>
      </c>
      <c r="O1800" s="6"/>
      <c r="P1800" s="45" t="s">
        <v>4756</v>
      </c>
      <c r="Q1800" s="42" t="s">
        <v>4798</v>
      </c>
      <c r="R1800" s="42"/>
      <c r="S1800" s="1" t="s">
        <v>5258</v>
      </c>
    </row>
    <row r="1801" spans="1:19" ht="18.75" customHeight="1" x14ac:dyDescent="0.3">
      <c r="A1801" s="10">
        <v>1800</v>
      </c>
      <c r="B1801" s="10">
        <f>_xlfn.XLOOKUP(1,(VALUE(D1801)&gt;=VALUE(block!$C$3:$C$500))*(VALUE(D1801)&lt;VALUE(block!$C$3:$C$500)+VALUE(block!$D$3:$D$500)),block!$A$3:$A$500,"无匹配",0,1)</f>
        <v>50</v>
      </c>
      <c r="C1801" s="3" t="str">
        <f>B1801 &amp; "-" &amp; COUNTIF($B$2:B1801, B1801)</f>
        <v>50-20</v>
      </c>
      <c r="D1801" s="10">
        <v>13356</v>
      </c>
      <c r="E1801" s="1" t="s">
        <v>5259</v>
      </c>
      <c r="F1801" s="1" t="s">
        <v>5260</v>
      </c>
      <c r="G1801" s="1" t="s">
        <v>4762</v>
      </c>
      <c r="H1801" s="1" t="s">
        <v>4755</v>
      </c>
      <c r="I1801" s="6" t="str">
        <f>IF(H1801="T22",1,IF(H1801="T22",3,IF(H1801="T38",6,IF(H1801="T38",10,IF(H1801="T70",14,IF(H1801="T70",18,IF(H1801="T38",22,"")))))))</f>
        <v/>
      </c>
      <c r="J1801" s="1" t="s">
        <v>1808</v>
      </c>
      <c r="K1801" s="10">
        <v>4</v>
      </c>
      <c r="L1801" s="10">
        <v>1</v>
      </c>
      <c r="N1801" s="10">
        <v>4</v>
      </c>
      <c r="O1801" s="6"/>
      <c r="P1801" s="45" t="s">
        <v>4756</v>
      </c>
      <c r="Q1801" s="42" t="s">
        <v>4798</v>
      </c>
      <c r="R1801" s="42"/>
      <c r="S1801" s="1" t="s">
        <v>5260</v>
      </c>
    </row>
    <row r="1802" spans="1:19" ht="18.75" customHeight="1" x14ac:dyDescent="0.3">
      <c r="A1802" s="10">
        <v>1801</v>
      </c>
      <c r="B1802" s="10">
        <f>_xlfn.XLOOKUP(1,(VALUE(D1802)&gt;=VALUE(block!$C$3:$C$500))*(VALUE(D1802)&lt;VALUE(block!$C$3:$C$500)+VALUE(block!$D$3:$D$500)),block!$A$3:$A$500,"无匹配",0,1)</f>
        <v>50</v>
      </c>
      <c r="C1802" s="3" t="str">
        <f>B1802 &amp; "-" &amp; COUNTIF($B$2:B1802, B1802)</f>
        <v>50-21</v>
      </c>
      <c r="D1802" s="10">
        <v>13360</v>
      </c>
      <c r="E1802" s="1" t="s">
        <v>5261</v>
      </c>
      <c r="F1802" s="1" t="s">
        <v>5262</v>
      </c>
      <c r="G1802" s="1" t="s">
        <v>4762</v>
      </c>
      <c r="H1802" s="1" t="s">
        <v>4755</v>
      </c>
      <c r="I1802" s="6" t="str">
        <f>IF(H1802="T23",1,IF(H1802="T23",3,IF(H1802="T39",6,IF(H1802="T39",10,IF(H1802="T71",14,IF(H1802="T71",18,IF(H1802="T39",22,"")))))))</f>
        <v/>
      </c>
      <c r="J1802" s="1" t="s">
        <v>1808</v>
      </c>
      <c r="K1802" s="10">
        <v>4</v>
      </c>
      <c r="L1802" s="10">
        <v>1</v>
      </c>
      <c r="N1802" s="10">
        <v>4</v>
      </c>
      <c r="O1802" s="6"/>
      <c r="P1802" s="45" t="s">
        <v>4756</v>
      </c>
      <c r="Q1802" s="42" t="s">
        <v>4798</v>
      </c>
      <c r="R1802" s="42"/>
      <c r="S1802" s="1" t="s">
        <v>5262</v>
      </c>
    </row>
    <row r="1803" spans="1:19" ht="18.75" customHeight="1" x14ac:dyDescent="0.3">
      <c r="A1803" s="10">
        <v>1802</v>
      </c>
      <c r="B1803" s="10">
        <f>_xlfn.XLOOKUP(1,(VALUE(D1803)&gt;=VALUE(block!$C$3:$C$500))*(VALUE(D1803)&lt;VALUE(block!$C$3:$C$500)+VALUE(block!$D$3:$D$500)),block!$A$3:$A$500,"无匹配",0,1)</f>
        <v>50</v>
      </c>
      <c r="C1803" s="3" t="str">
        <f>B1803 &amp; "-" &amp; COUNTIF($B$2:B1803, B1803)</f>
        <v>50-22</v>
      </c>
      <c r="D1803" s="10">
        <v>13364</v>
      </c>
      <c r="E1803" s="1" t="s">
        <v>5263</v>
      </c>
      <c r="F1803" s="1" t="s">
        <v>5264</v>
      </c>
      <c r="G1803" s="1" t="s">
        <v>4767</v>
      </c>
      <c r="H1803" s="1" t="s">
        <v>4755</v>
      </c>
      <c r="I1803" s="6" t="str">
        <f>IF(H1803="T24",1,IF(H1803="T24",3,IF(H1803="T40",6,IF(H1803="T40",10,IF(H1803="T72",14,IF(H1803="T72",18,IF(H1803="T40",22,"")))))))</f>
        <v/>
      </c>
      <c r="J1803" s="1" t="s">
        <v>1808</v>
      </c>
      <c r="K1803" s="10">
        <v>4</v>
      </c>
      <c r="L1803" s="10">
        <v>1</v>
      </c>
      <c r="N1803" s="10">
        <v>4</v>
      </c>
      <c r="O1803" s="6"/>
      <c r="P1803" s="45" t="s">
        <v>4756</v>
      </c>
      <c r="Q1803" s="42" t="s">
        <v>4798</v>
      </c>
      <c r="R1803" s="42"/>
      <c r="S1803" s="1" t="s">
        <v>5264</v>
      </c>
    </row>
    <row r="1804" spans="1:19" ht="18.75" customHeight="1" x14ac:dyDescent="0.3">
      <c r="A1804" s="10">
        <v>1803</v>
      </c>
      <c r="B1804" s="10">
        <f>_xlfn.XLOOKUP(1,(VALUE(D1804)&gt;=VALUE(block!$C$3:$C$500))*(VALUE(D1804)&lt;VALUE(block!$C$3:$C$500)+VALUE(block!$D$3:$D$500)),block!$A$3:$A$500,"无匹配",0,1)</f>
        <v>50</v>
      </c>
      <c r="C1804" s="3" t="str">
        <f>B1804 &amp; "-" &amp; COUNTIF($B$2:B1804, B1804)</f>
        <v>50-23</v>
      </c>
      <c r="D1804" s="10">
        <v>13368</v>
      </c>
      <c r="E1804" s="1" t="s">
        <v>5265</v>
      </c>
      <c r="F1804" s="1" t="s">
        <v>5266</v>
      </c>
      <c r="G1804" s="1" t="s">
        <v>4754</v>
      </c>
      <c r="H1804" s="1" t="s">
        <v>4755</v>
      </c>
      <c r="I1804" s="6" t="str">
        <f>IF(H1804="T25",1,IF(H1804="T25",3,IF(H1804="T41",6,IF(H1804="T41",10,IF(H1804="T73",14,IF(H1804="T73",18,IF(H1804="T41",22,"")))))))</f>
        <v/>
      </c>
      <c r="J1804" s="1" t="s">
        <v>1808</v>
      </c>
      <c r="K1804" s="10">
        <v>4</v>
      </c>
      <c r="L1804" s="10">
        <v>1</v>
      </c>
      <c r="N1804" s="10">
        <v>4</v>
      </c>
      <c r="O1804" s="6"/>
      <c r="P1804" s="45" t="s">
        <v>4756</v>
      </c>
      <c r="Q1804" s="42" t="s">
        <v>4798</v>
      </c>
      <c r="R1804" s="42"/>
      <c r="S1804" s="1" t="s">
        <v>5266</v>
      </c>
    </row>
    <row r="1805" spans="1:19" ht="18.75" customHeight="1" x14ac:dyDescent="0.3">
      <c r="A1805" s="10">
        <v>1804</v>
      </c>
      <c r="B1805" s="10">
        <f>_xlfn.XLOOKUP(1,(VALUE(D1805)&gt;=VALUE(block!$C$3:$C$500))*(VALUE(D1805)&lt;VALUE(block!$C$3:$C$500)+VALUE(block!$D$3:$D$500)),block!$A$3:$A$500,"无匹配",0,1)</f>
        <v>50</v>
      </c>
      <c r="C1805" s="3" t="str">
        <f>B1805 &amp; "-" &amp; COUNTIF($B$2:B1805, B1805)</f>
        <v>50-24</v>
      </c>
      <c r="D1805" s="10">
        <v>13372</v>
      </c>
      <c r="E1805" s="1" t="s">
        <v>5267</v>
      </c>
      <c r="F1805" s="1" t="s">
        <v>5268</v>
      </c>
      <c r="G1805" s="1" t="s">
        <v>4754</v>
      </c>
      <c r="H1805" s="1" t="s">
        <v>4755</v>
      </c>
      <c r="I1805" s="6" t="str">
        <f>IF(H1805="T26",1,IF(H1805="T26",3,IF(H1805="T42",6,IF(H1805="T42",10,IF(H1805="T74",14,IF(H1805="T74",18,IF(H1805="T42",22,"")))))))</f>
        <v/>
      </c>
      <c r="J1805" s="1" t="s">
        <v>1808</v>
      </c>
      <c r="K1805" s="10">
        <v>4</v>
      </c>
      <c r="L1805" s="10">
        <v>1</v>
      </c>
      <c r="N1805" s="10">
        <v>4</v>
      </c>
      <c r="O1805" s="6"/>
      <c r="P1805" s="45" t="s">
        <v>4756</v>
      </c>
      <c r="Q1805" s="42" t="s">
        <v>4798</v>
      </c>
      <c r="R1805" s="42"/>
      <c r="S1805" s="1" t="s">
        <v>5268</v>
      </c>
    </row>
    <row r="1806" spans="1:19" ht="18.75" customHeight="1" x14ac:dyDescent="0.3">
      <c r="A1806" s="10">
        <v>1805</v>
      </c>
      <c r="B1806" s="10">
        <f>_xlfn.XLOOKUP(1,(VALUE(D1806)&gt;=VALUE(block!$C$3:$C$500))*(VALUE(D1806)&lt;VALUE(block!$C$3:$C$500)+VALUE(block!$D$3:$D$500)),block!$A$3:$A$500,"无匹配",0,1)</f>
        <v>50</v>
      </c>
      <c r="C1806" s="3" t="str">
        <f>B1806 &amp; "-" &amp; COUNTIF($B$2:B1806, B1806)</f>
        <v>50-25</v>
      </c>
      <c r="D1806" s="10">
        <v>13376</v>
      </c>
      <c r="E1806" s="1" t="s">
        <v>5269</v>
      </c>
      <c r="F1806" s="1" t="s">
        <v>5270</v>
      </c>
      <c r="G1806" s="1" t="s">
        <v>4754</v>
      </c>
      <c r="H1806" s="1" t="s">
        <v>4755</v>
      </c>
      <c r="I1806" s="6" t="str">
        <f>IF(H1806="T27",1,IF(H1806="T27",3,IF(H1806="T43",6,IF(H1806="T43",10,IF(H1806="T75",14,IF(H1806="T75",18,IF(H1806="T43",22,"")))))))</f>
        <v/>
      </c>
      <c r="J1806" s="1" t="s">
        <v>1808</v>
      </c>
      <c r="K1806" s="10">
        <v>4</v>
      </c>
      <c r="L1806" s="10">
        <v>1</v>
      </c>
      <c r="N1806" s="10">
        <v>4</v>
      </c>
      <c r="O1806" s="6"/>
      <c r="P1806" s="45" t="s">
        <v>4756</v>
      </c>
      <c r="Q1806" s="42" t="s">
        <v>4798</v>
      </c>
      <c r="R1806" s="42"/>
      <c r="S1806" s="1" t="s">
        <v>5270</v>
      </c>
    </row>
    <row r="1807" spans="1:19" ht="18.75" customHeight="1" x14ac:dyDescent="0.3">
      <c r="A1807" s="10">
        <v>1806</v>
      </c>
      <c r="B1807" s="10">
        <f>_xlfn.XLOOKUP(1,(VALUE(D1807)&gt;=VALUE(block!$C$3:$C$500))*(VALUE(D1807)&lt;VALUE(block!$C$3:$C$500)+VALUE(block!$D$3:$D$500)),block!$A$3:$A$500,"无匹配",0,1)</f>
        <v>50</v>
      </c>
      <c r="C1807" s="3" t="str">
        <f>B1807 &amp; "-" &amp; COUNTIF($B$2:B1807, B1807)</f>
        <v>50-26</v>
      </c>
      <c r="D1807" s="10">
        <v>13380</v>
      </c>
      <c r="E1807" s="1" t="s">
        <v>5271</v>
      </c>
      <c r="F1807" s="1" t="s">
        <v>5272</v>
      </c>
      <c r="G1807" s="1" t="s">
        <v>4754</v>
      </c>
      <c r="H1807" s="1" t="s">
        <v>4755</v>
      </c>
      <c r="I1807" s="6" t="str">
        <f>IF(H1807="T28",1,IF(H1807="T28",3,IF(H1807="T44",6,IF(H1807="T44",10,IF(H1807="T76",14,IF(H1807="T76",18,IF(H1807="T44",22,"")))))))</f>
        <v/>
      </c>
      <c r="J1807" s="1" t="s">
        <v>1808</v>
      </c>
      <c r="K1807" s="10">
        <v>4</v>
      </c>
      <c r="L1807" s="10">
        <v>1</v>
      </c>
      <c r="N1807" s="10">
        <v>4</v>
      </c>
      <c r="O1807" s="6"/>
      <c r="P1807" s="45" t="s">
        <v>4756</v>
      </c>
      <c r="Q1807" s="42" t="s">
        <v>4798</v>
      </c>
      <c r="R1807" s="42"/>
      <c r="S1807" s="1" t="s">
        <v>5272</v>
      </c>
    </row>
    <row r="1808" spans="1:19" ht="18.75" customHeight="1" x14ac:dyDescent="0.3">
      <c r="A1808" s="10">
        <v>1807</v>
      </c>
      <c r="B1808" s="10">
        <f>_xlfn.XLOOKUP(1,(VALUE(D1808)&gt;=VALUE(block!$C$3:$C$500))*(VALUE(D1808)&lt;VALUE(block!$C$3:$C$500)+VALUE(block!$D$3:$D$500)),block!$A$3:$A$500,"无匹配",0,1)</f>
        <v>50</v>
      </c>
      <c r="C1808" s="3" t="str">
        <f>B1808 &amp; "-" &amp; COUNTIF($B$2:B1808, B1808)</f>
        <v>50-27</v>
      </c>
      <c r="D1808" s="10">
        <v>13384</v>
      </c>
      <c r="E1808" s="1" t="s">
        <v>5273</v>
      </c>
      <c r="F1808" s="1" t="s">
        <v>5274</v>
      </c>
      <c r="G1808" s="1" t="s">
        <v>4762</v>
      </c>
      <c r="H1808" s="1" t="s">
        <v>4755</v>
      </c>
      <c r="I1808" s="6" t="str">
        <f>IF(H1808="T29",1,IF(H1808="T29",3,IF(H1808="T45",6,IF(H1808="T45",10,IF(H1808="T77",14,IF(H1808="T77",18,IF(H1808="T45",22,"")))))))</f>
        <v/>
      </c>
      <c r="J1808" s="1" t="s">
        <v>1808</v>
      </c>
      <c r="K1808" s="10">
        <v>4</v>
      </c>
      <c r="L1808" s="10">
        <v>1</v>
      </c>
      <c r="N1808" s="10">
        <v>4</v>
      </c>
      <c r="O1808" s="6"/>
      <c r="P1808" s="45" t="s">
        <v>4756</v>
      </c>
      <c r="Q1808" s="42" t="s">
        <v>4798</v>
      </c>
      <c r="R1808" s="42"/>
      <c r="S1808" s="1" t="s">
        <v>5274</v>
      </c>
    </row>
    <row r="1809" spans="1:19" ht="18.75" customHeight="1" x14ac:dyDescent="0.3">
      <c r="A1809" s="10">
        <v>1808</v>
      </c>
      <c r="B1809" s="10">
        <f>_xlfn.XLOOKUP(1,(VALUE(D1809)&gt;=VALUE(block!$C$3:$C$500))*(VALUE(D1809)&lt;VALUE(block!$C$3:$C$500)+VALUE(block!$D$3:$D$500)),block!$A$3:$A$500,"无匹配",0,1)</f>
        <v>50</v>
      </c>
      <c r="C1809" s="3" t="str">
        <f>B1809 &amp; "-" &amp; COUNTIF($B$2:B1809, B1809)</f>
        <v>50-28</v>
      </c>
      <c r="D1809" s="10">
        <v>13388</v>
      </c>
      <c r="E1809" s="1" t="s">
        <v>5275</v>
      </c>
      <c r="F1809" s="1" t="s">
        <v>5276</v>
      </c>
      <c r="G1809" s="1" t="s">
        <v>4762</v>
      </c>
      <c r="H1809" s="1" t="s">
        <v>4755</v>
      </c>
      <c r="I1809" s="6" t="str">
        <f>IF(H1809="T30",1,IF(H1809="T30",3,IF(H1809="T46",6,IF(H1809="T46",10,IF(H1809="T78",14,IF(H1809="T78",18,IF(H1809="T46",22,"")))))))</f>
        <v/>
      </c>
      <c r="J1809" s="1" t="s">
        <v>1808</v>
      </c>
      <c r="K1809" s="10">
        <v>4</v>
      </c>
      <c r="L1809" s="10">
        <v>1</v>
      </c>
      <c r="N1809" s="10">
        <v>4</v>
      </c>
      <c r="O1809" s="6"/>
      <c r="P1809" s="45" t="s">
        <v>4756</v>
      </c>
      <c r="Q1809" s="42" t="s">
        <v>4798</v>
      </c>
      <c r="R1809" s="42"/>
      <c r="S1809" s="1" t="s">
        <v>5276</v>
      </c>
    </row>
    <row r="1810" spans="1:19" ht="18.75" customHeight="1" x14ac:dyDescent="0.3">
      <c r="A1810" s="10">
        <v>1809</v>
      </c>
      <c r="B1810" s="10">
        <f>_xlfn.XLOOKUP(1,(VALUE(D1810)&gt;=VALUE(block!$C$3:$C$500))*(VALUE(D1810)&lt;VALUE(block!$C$3:$C$500)+VALUE(block!$D$3:$D$500)),block!$A$3:$A$500,"无匹配",0,1)</f>
        <v>50</v>
      </c>
      <c r="C1810" s="3" t="str">
        <f>B1810 &amp; "-" &amp; COUNTIF($B$2:B1810, B1810)</f>
        <v>50-29</v>
      </c>
      <c r="D1810" s="10">
        <v>13392</v>
      </c>
      <c r="E1810" s="1" t="s">
        <v>5277</v>
      </c>
      <c r="F1810" s="1" t="s">
        <v>5278</v>
      </c>
      <c r="G1810" s="1" t="s">
        <v>4762</v>
      </c>
      <c r="H1810" s="1" t="s">
        <v>4755</v>
      </c>
      <c r="I1810" s="6" t="str">
        <f>IF(H1810="T31",1,IF(H1810="T31",3,IF(H1810="T47",6,IF(H1810="T47",10,IF(H1810="T79",14,IF(H1810="T79",18,IF(H1810="T47",22,"")))))))</f>
        <v/>
      </c>
      <c r="J1810" s="1" t="s">
        <v>1808</v>
      </c>
      <c r="K1810" s="10">
        <v>4</v>
      </c>
      <c r="L1810" s="10">
        <v>1</v>
      </c>
      <c r="N1810" s="10">
        <v>4</v>
      </c>
      <c r="O1810" s="6"/>
      <c r="P1810" s="45" t="s">
        <v>4756</v>
      </c>
      <c r="Q1810" s="42" t="s">
        <v>4798</v>
      </c>
      <c r="R1810" s="42"/>
      <c r="S1810" s="1" t="s">
        <v>5278</v>
      </c>
    </row>
    <row r="1811" spans="1:19" ht="18.75" customHeight="1" x14ac:dyDescent="0.3">
      <c r="A1811" s="10">
        <v>1810</v>
      </c>
      <c r="B1811" s="10">
        <f>_xlfn.XLOOKUP(1,(VALUE(D1811)&gt;=VALUE(block!$C$3:$C$500))*(VALUE(D1811)&lt;VALUE(block!$C$3:$C$500)+VALUE(block!$D$3:$D$500)),block!$A$3:$A$500,"无匹配",0,1)</f>
        <v>50</v>
      </c>
      <c r="C1811" s="3" t="str">
        <f>B1811 &amp; "-" &amp; COUNTIF($B$2:B1811, B1811)</f>
        <v>50-30</v>
      </c>
      <c r="D1811" s="10">
        <v>13396</v>
      </c>
      <c r="E1811" s="1" t="s">
        <v>5279</v>
      </c>
      <c r="F1811" s="1" t="s">
        <v>5280</v>
      </c>
      <c r="G1811" s="1" t="s">
        <v>4762</v>
      </c>
      <c r="H1811" s="1" t="s">
        <v>4755</v>
      </c>
      <c r="I1811" s="6" t="str">
        <f>IF(H1811="T32",1,IF(H1811="T32",3,IF(H1811="T48",6,IF(H1811="T48",10,IF(H1811="T80",14,IF(H1811="T80",18,IF(H1811="T48",22,"")))))))</f>
        <v/>
      </c>
      <c r="J1811" s="1" t="s">
        <v>1808</v>
      </c>
      <c r="K1811" s="10">
        <v>4</v>
      </c>
      <c r="L1811" s="10">
        <v>1</v>
      </c>
      <c r="N1811" s="10">
        <v>4</v>
      </c>
      <c r="O1811" s="6"/>
      <c r="P1811" s="45" t="s">
        <v>4756</v>
      </c>
      <c r="Q1811" s="42" t="s">
        <v>4798</v>
      </c>
      <c r="R1811" s="42"/>
      <c r="S1811" s="1" t="s">
        <v>5280</v>
      </c>
    </row>
    <row r="1812" spans="1:19" ht="18.75" customHeight="1" x14ac:dyDescent="0.3">
      <c r="A1812" s="10">
        <v>1811</v>
      </c>
      <c r="B1812" s="10">
        <f>_xlfn.XLOOKUP(1,(VALUE(D1812)&gt;=VALUE(block!$C$3:$C$500))*(VALUE(D1812)&lt;VALUE(block!$C$3:$C$500)+VALUE(block!$D$3:$D$500)),block!$A$3:$A$500,"无匹配",0,1)</f>
        <v>50</v>
      </c>
      <c r="C1812" s="3" t="str">
        <f>B1812 &amp; "-" &amp; COUNTIF($B$2:B1812, B1812)</f>
        <v>50-31</v>
      </c>
      <c r="D1812" s="10">
        <v>13400</v>
      </c>
      <c r="E1812" s="1" t="s">
        <v>5281</v>
      </c>
      <c r="F1812" s="1" t="s">
        <v>5282</v>
      </c>
      <c r="G1812" s="1" t="s">
        <v>4767</v>
      </c>
      <c r="H1812" s="1" t="s">
        <v>4755</v>
      </c>
      <c r="I1812" s="6" t="str">
        <f>IF(H1812="T33",1,IF(H1812="T33",3,IF(H1812="T49",6,IF(H1812="T49",10,IF(H1812="T81",14,IF(H1812="T81",18,IF(H1812="T49",22,"")))))))</f>
        <v/>
      </c>
      <c r="J1812" s="1" t="s">
        <v>1808</v>
      </c>
      <c r="K1812" s="10">
        <v>4</v>
      </c>
      <c r="L1812" s="10">
        <v>1</v>
      </c>
      <c r="N1812" s="10">
        <v>4</v>
      </c>
      <c r="O1812" s="6"/>
      <c r="P1812" s="45" t="s">
        <v>4756</v>
      </c>
      <c r="Q1812" s="42" t="s">
        <v>4798</v>
      </c>
      <c r="R1812" s="42"/>
      <c r="S1812" s="1" t="s">
        <v>5282</v>
      </c>
    </row>
    <row r="1813" spans="1:19" ht="18.75" customHeight="1" x14ac:dyDescent="0.3">
      <c r="A1813" s="10">
        <v>1812</v>
      </c>
      <c r="B1813" s="10">
        <f>_xlfn.XLOOKUP(1,(VALUE(D1813)&gt;=VALUE(block!$C$3:$C$500))*(VALUE(D1813)&lt;VALUE(block!$C$3:$C$500)+VALUE(block!$D$3:$D$500)),block!$A$3:$A$500,"无匹配",0,1)</f>
        <v>51</v>
      </c>
      <c r="C1813" s="3" t="str">
        <f>B1813 &amp; "-" &amp; COUNTIF($B$2:B1813, B1813)</f>
        <v>51-1</v>
      </c>
      <c r="D1813" s="10">
        <v>13404</v>
      </c>
      <c r="E1813" s="1" t="s">
        <v>5283</v>
      </c>
      <c r="F1813" s="1" t="s">
        <v>5284</v>
      </c>
      <c r="G1813" s="1" t="s">
        <v>4754</v>
      </c>
      <c r="H1813" s="1" t="s">
        <v>4755</v>
      </c>
      <c r="I1813" s="6" t="str">
        <f>IF(H1813="T34",1,IF(H1813="T34",3,IF(H1813="T50",6,IF(H1813="T50",10,IF(H1813="T82",14,IF(H1813="T82",18,IF(H1813="T50",22,"")))))))</f>
        <v/>
      </c>
      <c r="J1813" s="1" t="s">
        <v>1808</v>
      </c>
      <c r="K1813" s="10">
        <v>4</v>
      </c>
      <c r="L1813" s="10">
        <v>1</v>
      </c>
      <c r="N1813" s="10">
        <v>4</v>
      </c>
      <c r="O1813" s="6"/>
      <c r="P1813" s="45" t="s">
        <v>4756</v>
      </c>
      <c r="Q1813" s="42" t="s">
        <v>4798</v>
      </c>
      <c r="R1813" s="42"/>
      <c r="S1813" s="1" t="s">
        <v>5284</v>
      </c>
    </row>
    <row r="1814" spans="1:19" ht="18.75" customHeight="1" x14ac:dyDescent="0.3">
      <c r="A1814" s="10">
        <v>1813</v>
      </c>
      <c r="B1814" s="10">
        <f>_xlfn.XLOOKUP(1,(VALUE(D1814)&gt;=VALUE(block!$C$3:$C$500))*(VALUE(D1814)&lt;VALUE(block!$C$3:$C$500)+VALUE(block!$D$3:$D$500)),block!$A$3:$A$500,"无匹配",0,1)</f>
        <v>51</v>
      </c>
      <c r="C1814" s="3" t="str">
        <f>B1814 &amp; "-" &amp; COUNTIF($B$2:B1814, B1814)</f>
        <v>51-2</v>
      </c>
      <c r="D1814" s="10">
        <v>13408</v>
      </c>
      <c r="E1814" s="1" t="s">
        <v>5285</v>
      </c>
      <c r="F1814" s="1" t="s">
        <v>5286</v>
      </c>
      <c r="G1814" s="1" t="s">
        <v>4754</v>
      </c>
      <c r="H1814" s="1" t="s">
        <v>4755</v>
      </c>
      <c r="I1814" s="6" t="str">
        <f>IF(H1814="T35",1,IF(H1814="T35",3,IF(H1814="T51",6,IF(H1814="T51",10,IF(H1814="T83",14,IF(H1814="T83",18,IF(H1814="T51",22,"")))))))</f>
        <v/>
      </c>
      <c r="J1814" s="1" t="s">
        <v>1808</v>
      </c>
      <c r="K1814" s="10">
        <v>4</v>
      </c>
      <c r="L1814" s="10">
        <v>1</v>
      </c>
      <c r="N1814" s="10">
        <v>4</v>
      </c>
      <c r="O1814" s="6"/>
      <c r="P1814" s="45" t="s">
        <v>4756</v>
      </c>
      <c r="Q1814" s="42" t="s">
        <v>4798</v>
      </c>
      <c r="R1814" s="42"/>
      <c r="S1814" s="1" t="s">
        <v>5286</v>
      </c>
    </row>
    <row r="1815" spans="1:19" ht="18.75" customHeight="1" x14ac:dyDescent="0.3">
      <c r="A1815" s="10">
        <v>1814</v>
      </c>
      <c r="B1815" s="10">
        <f>_xlfn.XLOOKUP(1,(VALUE(D1815)&gt;=VALUE(block!$C$3:$C$500))*(VALUE(D1815)&lt;VALUE(block!$C$3:$C$500)+VALUE(block!$D$3:$D$500)),block!$A$3:$A$500,"无匹配",0,1)</f>
        <v>51</v>
      </c>
      <c r="C1815" s="3" t="str">
        <f>B1815 &amp; "-" &amp; COUNTIF($B$2:B1815, B1815)</f>
        <v>51-3</v>
      </c>
      <c r="D1815" s="10">
        <v>13412</v>
      </c>
      <c r="E1815" s="1" t="s">
        <v>5287</v>
      </c>
      <c r="F1815" s="1" t="s">
        <v>5288</v>
      </c>
      <c r="G1815" s="1" t="s">
        <v>4754</v>
      </c>
      <c r="H1815" s="1" t="s">
        <v>4755</v>
      </c>
      <c r="I1815" s="6" t="str">
        <f>IF(H1815="T36",1,IF(H1815="T36",3,IF(H1815="T52",6,IF(H1815="T52",10,IF(H1815="T84",14,IF(H1815="T84",18,IF(H1815="T52",22,"")))))))</f>
        <v/>
      </c>
      <c r="J1815" s="1" t="s">
        <v>1808</v>
      </c>
      <c r="K1815" s="10">
        <v>4</v>
      </c>
      <c r="L1815" s="10">
        <v>1</v>
      </c>
      <c r="N1815" s="10">
        <v>4</v>
      </c>
      <c r="O1815" s="6"/>
      <c r="P1815" s="45" t="s">
        <v>4756</v>
      </c>
      <c r="Q1815" s="42" t="s">
        <v>4798</v>
      </c>
      <c r="R1815" s="42"/>
      <c r="S1815" s="1" t="s">
        <v>5288</v>
      </c>
    </row>
    <row r="1816" spans="1:19" ht="18.75" customHeight="1" x14ac:dyDescent="0.3">
      <c r="A1816" s="10">
        <v>1815</v>
      </c>
      <c r="B1816" s="10">
        <f>_xlfn.XLOOKUP(1,(VALUE(D1816)&gt;=VALUE(block!$C$3:$C$500))*(VALUE(D1816)&lt;VALUE(block!$C$3:$C$500)+VALUE(block!$D$3:$D$500)),block!$A$3:$A$500,"无匹配",0,1)</f>
        <v>51</v>
      </c>
      <c r="C1816" s="3" t="str">
        <f>B1816 &amp; "-" &amp; COUNTIF($B$2:B1816, B1816)</f>
        <v>51-4</v>
      </c>
      <c r="D1816" s="10">
        <v>13416</v>
      </c>
      <c r="E1816" s="1" t="s">
        <v>5289</v>
      </c>
      <c r="F1816" s="1" t="s">
        <v>5290</v>
      </c>
      <c r="G1816" s="1" t="s">
        <v>4754</v>
      </c>
      <c r="H1816" s="1" t="s">
        <v>4755</v>
      </c>
      <c r="I1816" s="6" t="str">
        <f>IF(H1816="T37",1,IF(H1816="T37",3,IF(H1816="T53",6,IF(H1816="T53",10,IF(H1816="T85",14,IF(H1816="T85",18,IF(H1816="T53",22,"")))))))</f>
        <v/>
      </c>
      <c r="J1816" s="1" t="s">
        <v>1808</v>
      </c>
      <c r="K1816" s="10">
        <v>4</v>
      </c>
      <c r="L1816" s="10">
        <v>1</v>
      </c>
      <c r="N1816" s="10">
        <v>4</v>
      </c>
      <c r="O1816" s="6"/>
      <c r="P1816" s="45" t="s">
        <v>4756</v>
      </c>
      <c r="Q1816" s="42" t="s">
        <v>4798</v>
      </c>
      <c r="R1816" s="42"/>
      <c r="S1816" s="1" t="s">
        <v>5290</v>
      </c>
    </row>
    <row r="1817" spans="1:19" ht="18.75" customHeight="1" x14ac:dyDescent="0.3">
      <c r="A1817" s="10">
        <v>1816</v>
      </c>
      <c r="B1817" s="10">
        <f>_xlfn.XLOOKUP(1,(VALUE(D1817)&gt;=VALUE(block!$C$3:$C$500))*(VALUE(D1817)&lt;VALUE(block!$C$3:$C$500)+VALUE(block!$D$3:$D$500)),block!$A$3:$A$500,"无匹配",0,1)</f>
        <v>51</v>
      </c>
      <c r="C1817" s="3" t="str">
        <f>B1817 &amp; "-" &amp; COUNTIF($B$2:B1817, B1817)</f>
        <v>51-5</v>
      </c>
      <c r="D1817" s="10">
        <v>13420</v>
      </c>
      <c r="E1817" s="1" t="s">
        <v>5291</v>
      </c>
      <c r="F1817" s="1" t="s">
        <v>5292</v>
      </c>
      <c r="G1817" s="1" t="s">
        <v>4762</v>
      </c>
      <c r="H1817" s="1" t="s">
        <v>4755</v>
      </c>
      <c r="I1817" s="6" t="str">
        <f>IF(H1817="T38",1,IF(H1817="T38",3,IF(H1817="T54",6,IF(H1817="T54",10,IF(H1817="T86",14,IF(H1817="T86",18,IF(H1817="T54",22,"")))))))</f>
        <v/>
      </c>
      <c r="J1817" s="1" t="s">
        <v>1808</v>
      </c>
      <c r="K1817" s="10">
        <v>4</v>
      </c>
      <c r="L1817" s="10">
        <v>1</v>
      </c>
      <c r="N1817" s="10">
        <v>4</v>
      </c>
      <c r="O1817" s="6"/>
      <c r="P1817" s="45" t="s">
        <v>4756</v>
      </c>
      <c r="Q1817" s="42" t="s">
        <v>4798</v>
      </c>
      <c r="R1817" s="42"/>
      <c r="S1817" s="1" t="s">
        <v>5292</v>
      </c>
    </row>
    <row r="1818" spans="1:19" ht="18.75" customHeight="1" x14ac:dyDescent="0.3">
      <c r="A1818" s="10">
        <v>1817</v>
      </c>
      <c r="B1818" s="10">
        <f>_xlfn.XLOOKUP(1,(VALUE(D1818)&gt;=VALUE(block!$C$3:$C$500))*(VALUE(D1818)&lt;VALUE(block!$C$3:$C$500)+VALUE(block!$D$3:$D$500)),block!$A$3:$A$500,"无匹配",0,1)</f>
        <v>51</v>
      </c>
      <c r="C1818" s="3" t="str">
        <f>B1818 &amp; "-" &amp; COUNTIF($B$2:B1818, B1818)</f>
        <v>51-6</v>
      </c>
      <c r="D1818" s="10">
        <v>13424</v>
      </c>
      <c r="E1818" s="1" t="s">
        <v>5293</v>
      </c>
      <c r="F1818" s="1" t="s">
        <v>5294</v>
      </c>
      <c r="G1818" s="1" t="s">
        <v>4762</v>
      </c>
      <c r="H1818" s="1" t="s">
        <v>4755</v>
      </c>
      <c r="I1818" s="6" t="str">
        <f>IF(H1818="T39",1,IF(H1818="T39",3,IF(H1818="T55",6,IF(H1818="T55",10,IF(H1818="T87",14,IF(H1818="T87",18,IF(H1818="T55",22,"")))))))</f>
        <v/>
      </c>
      <c r="J1818" s="1" t="s">
        <v>1808</v>
      </c>
      <c r="K1818" s="10">
        <v>4</v>
      </c>
      <c r="L1818" s="10">
        <v>1</v>
      </c>
      <c r="N1818" s="10">
        <v>4</v>
      </c>
      <c r="O1818" s="6"/>
      <c r="P1818" s="45" t="s">
        <v>4756</v>
      </c>
      <c r="Q1818" s="42" t="s">
        <v>4798</v>
      </c>
      <c r="R1818" s="42"/>
      <c r="S1818" s="1" t="s">
        <v>5294</v>
      </c>
    </row>
    <row r="1819" spans="1:19" ht="18.75" customHeight="1" x14ac:dyDescent="0.3">
      <c r="A1819" s="10">
        <v>1818</v>
      </c>
      <c r="B1819" s="10">
        <f>_xlfn.XLOOKUP(1,(VALUE(D1819)&gt;=VALUE(block!$C$3:$C$500))*(VALUE(D1819)&lt;VALUE(block!$C$3:$C$500)+VALUE(block!$D$3:$D$500)),block!$A$3:$A$500,"无匹配",0,1)</f>
        <v>51</v>
      </c>
      <c r="C1819" s="3" t="str">
        <f>B1819 &amp; "-" &amp; COUNTIF($B$2:B1819, B1819)</f>
        <v>51-7</v>
      </c>
      <c r="D1819" s="10">
        <v>13428</v>
      </c>
      <c r="E1819" s="1" t="s">
        <v>5295</v>
      </c>
      <c r="F1819" s="1" t="s">
        <v>5296</v>
      </c>
      <c r="G1819" s="1" t="s">
        <v>4762</v>
      </c>
      <c r="H1819" s="1" t="s">
        <v>4755</v>
      </c>
      <c r="I1819" s="6" t="str">
        <f>IF(H1819="T40",1,IF(H1819="T40",3,IF(H1819="T56",6,IF(H1819="T56",10,IF(H1819="T88",14,IF(H1819="T88",18,IF(H1819="T56",22,"")))))))</f>
        <v/>
      </c>
      <c r="J1819" s="1" t="s">
        <v>1808</v>
      </c>
      <c r="K1819" s="10">
        <v>4</v>
      </c>
      <c r="L1819" s="10">
        <v>1</v>
      </c>
      <c r="N1819" s="10">
        <v>4</v>
      </c>
      <c r="O1819" s="6"/>
      <c r="P1819" s="45" t="s">
        <v>4756</v>
      </c>
      <c r="Q1819" s="42" t="s">
        <v>4798</v>
      </c>
      <c r="R1819" s="42"/>
      <c r="S1819" s="1" t="s">
        <v>5296</v>
      </c>
    </row>
    <row r="1820" spans="1:19" ht="18.75" customHeight="1" x14ac:dyDescent="0.3">
      <c r="A1820" s="10">
        <v>1819</v>
      </c>
      <c r="B1820" s="10">
        <f>_xlfn.XLOOKUP(1,(VALUE(D1820)&gt;=VALUE(block!$C$3:$C$500))*(VALUE(D1820)&lt;VALUE(block!$C$3:$C$500)+VALUE(block!$D$3:$D$500)),block!$A$3:$A$500,"无匹配",0,1)</f>
        <v>51</v>
      </c>
      <c r="C1820" s="3" t="str">
        <f>B1820 &amp; "-" &amp; COUNTIF($B$2:B1820, B1820)</f>
        <v>51-8</v>
      </c>
      <c r="D1820" s="10">
        <v>13432</v>
      </c>
      <c r="E1820" s="1" t="s">
        <v>5297</v>
      </c>
      <c r="F1820" s="1" t="s">
        <v>5298</v>
      </c>
      <c r="G1820" s="1" t="s">
        <v>4762</v>
      </c>
      <c r="H1820" s="1" t="s">
        <v>4755</v>
      </c>
      <c r="I1820" s="6" t="str">
        <f>IF(H1820="T41",1,IF(H1820="T41",3,IF(H1820="T57",6,IF(H1820="T57",10,IF(H1820="T89",14,IF(H1820="T89",18,IF(H1820="T57",22,"")))))))</f>
        <v/>
      </c>
      <c r="J1820" s="1" t="s">
        <v>1808</v>
      </c>
      <c r="K1820" s="10">
        <v>4</v>
      </c>
      <c r="L1820" s="10">
        <v>1</v>
      </c>
      <c r="N1820" s="10">
        <v>4</v>
      </c>
      <c r="O1820" s="6"/>
      <c r="P1820" s="45" t="s">
        <v>4756</v>
      </c>
      <c r="Q1820" s="42" t="s">
        <v>4798</v>
      </c>
      <c r="R1820" s="42"/>
      <c r="S1820" s="1" t="s">
        <v>5298</v>
      </c>
    </row>
    <row r="1821" spans="1:19" ht="18.75" customHeight="1" x14ac:dyDescent="0.3">
      <c r="A1821" s="10">
        <v>1820</v>
      </c>
      <c r="B1821" s="10">
        <f>_xlfn.XLOOKUP(1,(VALUE(D1821)&gt;=VALUE(block!$C$3:$C$500))*(VALUE(D1821)&lt;VALUE(block!$C$3:$C$500)+VALUE(block!$D$3:$D$500)),block!$A$3:$A$500,"无匹配",0,1)</f>
        <v>51</v>
      </c>
      <c r="C1821" s="3" t="str">
        <f>B1821 &amp; "-" &amp; COUNTIF($B$2:B1821, B1821)</f>
        <v>51-9</v>
      </c>
      <c r="D1821" s="10">
        <v>13436</v>
      </c>
      <c r="E1821" s="1" t="s">
        <v>5299</v>
      </c>
      <c r="F1821" s="1" t="s">
        <v>5300</v>
      </c>
      <c r="G1821" s="1" t="s">
        <v>4767</v>
      </c>
      <c r="H1821" s="1" t="s">
        <v>4755</v>
      </c>
      <c r="I1821" s="6" t="str">
        <f>IF(H1821="T42",1,IF(H1821="T42",3,IF(H1821="T58",6,IF(H1821="T58",10,IF(H1821="T90",14,IF(H1821="T90",18,IF(H1821="T58",22,"")))))))</f>
        <v/>
      </c>
      <c r="J1821" s="1" t="s">
        <v>1808</v>
      </c>
      <c r="K1821" s="10">
        <v>4</v>
      </c>
      <c r="L1821" s="10">
        <v>1</v>
      </c>
      <c r="N1821" s="10">
        <v>4</v>
      </c>
      <c r="O1821" s="6"/>
      <c r="P1821" s="45" t="s">
        <v>4756</v>
      </c>
      <c r="Q1821" s="42" t="s">
        <v>4798</v>
      </c>
      <c r="R1821" s="42"/>
      <c r="S1821" s="1" t="s">
        <v>5300</v>
      </c>
    </row>
    <row r="1822" spans="1:19" ht="18.75" customHeight="1" x14ac:dyDescent="0.3">
      <c r="A1822" s="10">
        <v>1821</v>
      </c>
      <c r="B1822" s="10">
        <f>_xlfn.XLOOKUP(1,(VALUE(D1822)&gt;=VALUE(block!$C$3:$C$500))*(VALUE(D1822)&lt;VALUE(block!$C$3:$C$500)+VALUE(block!$D$3:$D$500)),block!$A$3:$A$500,"无匹配",0,1)</f>
        <v>51</v>
      </c>
      <c r="C1822" s="3" t="str">
        <f>B1822 &amp; "-" &amp; COUNTIF($B$2:B1822, B1822)</f>
        <v>51-10</v>
      </c>
      <c r="D1822" s="10">
        <v>13440</v>
      </c>
      <c r="E1822" s="1" t="s">
        <v>5301</v>
      </c>
      <c r="F1822" s="1" t="s">
        <v>5302</v>
      </c>
      <c r="G1822" s="1" t="s">
        <v>4754</v>
      </c>
      <c r="H1822" s="1" t="s">
        <v>4755</v>
      </c>
      <c r="I1822" s="6" t="str">
        <f>IF(H1822="T43",1,IF(H1822="T43",3,IF(H1822="T59",6,IF(H1822="T59",10,IF(H1822="T91",14,IF(H1822="T91",18,IF(H1822="T59",22,"")))))))</f>
        <v/>
      </c>
      <c r="J1822" s="1" t="s">
        <v>1808</v>
      </c>
      <c r="K1822" s="10">
        <v>4</v>
      </c>
      <c r="L1822" s="10">
        <v>1</v>
      </c>
      <c r="N1822" s="10">
        <v>4</v>
      </c>
      <c r="O1822" s="6"/>
      <c r="P1822" s="45" t="s">
        <v>4756</v>
      </c>
      <c r="Q1822" s="42" t="s">
        <v>4798</v>
      </c>
      <c r="R1822" s="42"/>
      <c r="S1822" s="1" t="s">
        <v>5302</v>
      </c>
    </row>
    <row r="1823" spans="1:19" ht="18.75" customHeight="1" x14ac:dyDescent="0.3">
      <c r="A1823" s="10">
        <v>1822</v>
      </c>
      <c r="B1823" s="10">
        <f>_xlfn.XLOOKUP(1,(VALUE(D1823)&gt;=VALUE(block!$C$3:$C$500))*(VALUE(D1823)&lt;VALUE(block!$C$3:$C$500)+VALUE(block!$D$3:$D$500)),block!$A$3:$A$500,"无匹配",0,1)</f>
        <v>51</v>
      </c>
      <c r="C1823" s="3" t="str">
        <f>B1823 &amp; "-" &amp; COUNTIF($B$2:B1823, B1823)</f>
        <v>51-11</v>
      </c>
      <c r="D1823" s="10">
        <v>13444</v>
      </c>
      <c r="E1823" s="1" t="s">
        <v>5303</v>
      </c>
      <c r="F1823" s="1" t="s">
        <v>5304</v>
      </c>
      <c r="G1823" s="1" t="s">
        <v>4754</v>
      </c>
      <c r="H1823" s="1" t="s">
        <v>4755</v>
      </c>
      <c r="I1823" s="6" t="str">
        <f>IF(H1823="T44",1,IF(H1823="T44",3,IF(H1823="T60",6,IF(H1823="T60",10,IF(H1823="T92",14,IF(H1823="T92",18,IF(H1823="T60",22,"")))))))</f>
        <v/>
      </c>
      <c r="J1823" s="1" t="s">
        <v>1808</v>
      </c>
      <c r="K1823" s="10">
        <v>4</v>
      </c>
      <c r="L1823" s="10">
        <v>1</v>
      </c>
      <c r="N1823" s="10">
        <v>4</v>
      </c>
      <c r="O1823" s="6"/>
      <c r="P1823" s="45" t="s">
        <v>4756</v>
      </c>
      <c r="Q1823" s="42" t="s">
        <v>4798</v>
      </c>
      <c r="R1823" s="42"/>
      <c r="S1823" s="1" t="s">
        <v>5304</v>
      </c>
    </row>
    <row r="1824" spans="1:19" ht="18.75" customHeight="1" x14ac:dyDescent="0.3">
      <c r="A1824" s="10">
        <v>1823</v>
      </c>
      <c r="B1824" s="10">
        <f>_xlfn.XLOOKUP(1,(VALUE(D1824)&gt;=VALUE(block!$C$3:$C$500))*(VALUE(D1824)&lt;VALUE(block!$C$3:$C$500)+VALUE(block!$D$3:$D$500)),block!$A$3:$A$500,"无匹配",0,1)</f>
        <v>51</v>
      </c>
      <c r="C1824" s="3" t="str">
        <f>B1824 &amp; "-" &amp; COUNTIF($B$2:B1824, B1824)</f>
        <v>51-12</v>
      </c>
      <c r="D1824" s="10">
        <v>13448</v>
      </c>
      <c r="E1824" s="1" t="s">
        <v>5305</v>
      </c>
      <c r="F1824" s="1" t="s">
        <v>5306</v>
      </c>
      <c r="G1824" s="1" t="s">
        <v>4754</v>
      </c>
      <c r="H1824" s="1" t="s">
        <v>4755</v>
      </c>
      <c r="I1824" s="6" t="str">
        <f>IF(H1824="T45",1,IF(H1824="T45",3,IF(H1824="T61",6,IF(H1824="T61",10,IF(H1824="T93",14,IF(H1824="T93",18,IF(H1824="T61",22,"")))))))</f>
        <v/>
      </c>
      <c r="J1824" s="1" t="s">
        <v>1808</v>
      </c>
      <c r="K1824" s="10">
        <v>4</v>
      </c>
      <c r="L1824" s="10">
        <v>1</v>
      </c>
      <c r="N1824" s="10">
        <v>4</v>
      </c>
      <c r="O1824" s="6"/>
      <c r="P1824" s="45" t="s">
        <v>4756</v>
      </c>
      <c r="Q1824" s="42" t="s">
        <v>4798</v>
      </c>
      <c r="R1824" s="42"/>
      <c r="S1824" s="1" t="s">
        <v>5306</v>
      </c>
    </row>
    <row r="1825" spans="1:19" ht="18.75" customHeight="1" x14ac:dyDescent="0.3">
      <c r="A1825" s="10">
        <v>1824</v>
      </c>
      <c r="B1825" s="10">
        <f>_xlfn.XLOOKUP(1,(VALUE(D1825)&gt;=VALUE(block!$C$3:$C$500))*(VALUE(D1825)&lt;VALUE(block!$C$3:$C$500)+VALUE(block!$D$3:$D$500)),block!$A$3:$A$500,"无匹配",0,1)</f>
        <v>51</v>
      </c>
      <c r="C1825" s="3" t="str">
        <f>B1825 &amp; "-" &amp; COUNTIF($B$2:B1825, B1825)</f>
        <v>51-13</v>
      </c>
      <c r="D1825" s="10">
        <v>13452</v>
      </c>
      <c r="E1825" s="1" t="s">
        <v>5307</v>
      </c>
      <c r="F1825" s="1" t="s">
        <v>5308</v>
      </c>
      <c r="G1825" s="1" t="s">
        <v>4754</v>
      </c>
      <c r="H1825" s="1" t="s">
        <v>4755</v>
      </c>
      <c r="I1825" s="6" t="str">
        <f>IF(H1825="T46",1,IF(H1825="T46",3,IF(H1825="T62",6,IF(H1825="T62",10,IF(H1825="T94",14,IF(H1825="T94",18,IF(H1825="T62",22,"")))))))</f>
        <v/>
      </c>
      <c r="J1825" s="1" t="s">
        <v>1808</v>
      </c>
      <c r="K1825" s="10">
        <v>4</v>
      </c>
      <c r="L1825" s="10">
        <v>1</v>
      </c>
      <c r="N1825" s="10">
        <v>4</v>
      </c>
      <c r="O1825" s="6"/>
      <c r="P1825" s="45" t="s">
        <v>4756</v>
      </c>
      <c r="Q1825" s="42" t="s">
        <v>4798</v>
      </c>
      <c r="R1825" s="42"/>
      <c r="S1825" s="1" t="s">
        <v>5308</v>
      </c>
    </row>
    <row r="1826" spans="1:19" ht="18.75" customHeight="1" x14ac:dyDescent="0.3">
      <c r="A1826" s="10">
        <v>1825</v>
      </c>
      <c r="B1826" s="10">
        <f>_xlfn.XLOOKUP(1,(VALUE(D1826)&gt;=VALUE(block!$C$3:$C$500))*(VALUE(D1826)&lt;VALUE(block!$C$3:$C$500)+VALUE(block!$D$3:$D$500)),block!$A$3:$A$500,"无匹配",0,1)</f>
        <v>51</v>
      </c>
      <c r="C1826" s="3" t="str">
        <f>B1826 &amp; "-" &amp; COUNTIF($B$2:B1826, B1826)</f>
        <v>51-14</v>
      </c>
      <c r="D1826" s="10">
        <v>13456</v>
      </c>
      <c r="E1826" s="1" t="s">
        <v>5309</v>
      </c>
      <c r="F1826" s="1" t="s">
        <v>5310</v>
      </c>
      <c r="G1826" s="1" t="s">
        <v>4762</v>
      </c>
      <c r="H1826" s="1" t="s">
        <v>4755</v>
      </c>
      <c r="I1826" s="6" t="str">
        <f>IF(H1826="T47",1,IF(H1826="T47",3,IF(H1826="T63",6,IF(H1826="T63",10,IF(H1826="T95",14,IF(H1826="T95",18,IF(H1826="T63",22,"")))))))</f>
        <v/>
      </c>
      <c r="J1826" s="1" t="s">
        <v>1808</v>
      </c>
      <c r="K1826" s="10">
        <v>4</v>
      </c>
      <c r="L1826" s="10">
        <v>1</v>
      </c>
      <c r="N1826" s="10">
        <v>4</v>
      </c>
      <c r="O1826" s="6"/>
      <c r="P1826" s="45" t="s">
        <v>4756</v>
      </c>
      <c r="Q1826" s="42" t="s">
        <v>4798</v>
      </c>
      <c r="R1826" s="42"/>
      <c r="S1826" s="1" t="s">
        <v>5310</v>
      </c>
    </row>
    <row r="1827" spans="1:19" ht="18.75" customHeight="1" x14ac:dyDescent="0.3">
      <c r="A1827" s="10">
        <v>1826</v>
      </c>
      <c r="B1827" s="10">
        <f>_xlfn.XLOOKUP(1,(VALUE(D1827)&gt;=VALUE(block!$C$3:$C$500))*(VALUE(D1827)&lt;VALUE(block!$C$3:$C$500)+VALUE(block!$D$3:$D$500)),block!$A$3:$A$500,"无匹配",0,1)</f>
        <v>51</v>
      </c>
      <c r="C1827" s="3" t="str">
        <f>B1827 &amp; "-" &amp; COUNTIF($B$2:B1827, B1827)</f>
        <v>51-15</v>
      </c>
      <c r="D1827" s="10">
        <v>13460</v>
      </c>
      <c r="E1827" s="1" t="s">
        <v>5311</v>
      </c>
      <c r="F1827" s="1" t="s">
        <v>5312</v>
      </c>
      <c r="G1827" s="1" t="s">
        <v>4762</v>
      </c>
      <c r="H1827" s="1" t="s">
        <v>4755</v>
      </c>
      <c r="I1827" s="6" t="str">
        <f>IF(H1827="T48",1,IF(H1827="T48",3,IF(H1827="T64",6,IF(H1827="T64",10,IF(H1827="T96",14,IF(H1827="T96",18,IF(H1827="T64",22,"")))))))</f>
        <v/>
      </c>
      <c r="J1827" s="1" t="s">
        <v>1808</v>
      </c>
      <c r="K1827" s="10">
        <v>4</v>
      </c>
      <c r="L1827" s="10">
        <v>1</v>
      </c>
      <c r="N1827" s="10">
        <v>4</v>
      </c>
      <c r="O1827" s="6"/>
      <c r="P1827" s="45" t="s">
        <v>4756</v>
      </c>
      <c r="Q1827" s="42" t="s">
        <v>4798</v>
      </c>
      <c r="R1827" s="42"/>
      <c r="S1827" s="1" t="s">
        <v>5312</v>
      </c>
    </row>
    <row r="1828" spans="1:19" ht="18.75" customHeight="1" x14ac:dyDescent="0.3">
      <c r="A1828" s="10">
        <v>1827</v>
      </c>
      <c r="B1828" s="10">
        <f>_xlfn.XLOOKUP(1,(VALUE(D1828)&gt;=VALUE(block!$C$3:$C$500))*(VALUE(D1828)&lt;VALUE(block!$C$3:$C$500)+VALUE(block!$D$3:$D$500)),block!$A$3:$A$500,"无匹配",0,1)</f>
        <v>51</v>
      </c>
      <c r="C1828" s="3" t="str">
        <f>B1828 &amp; "-" &amp; COUNTIF($B$2:B1828, B1828)</f>
        <v>51-16</v>
      </c>
      <c r="D1828" s="10">
        <v>13464</v>
      </c>
      <c r="E1828" s="1" t="s">
        <v>5313</v>
      </c>
      <c r="F1828" s="1" t="s">
        <v>5314</v>
      </c>
      <c r="G1828" s="1" t="s">
        <v>4762</v>
      </c>
      <c r="H1828" s="1" t="s">
        <v>4755</v>
      </c>
      <c r="I1828" s="6" t="str">
        <f>IF(H1828="T49",1,IF(H1828="T49",3,IF(H1828="T65",6,IF(H1828="T65",10,IF(H1828="T97",14,IF(H1828="T97",18,IF(H1828="T65",22,"")))))))</f>
        <v/>
      </c>
      <c r="J1828" s="1" t="s">
        <v>1808</v>
      </c>
      <c r="K1828" s="10">
        <v>4</v>
      </c>
      <c r="L1828" s="10">
        <v>1</v>
      </c>
      <c r="N1828" s="10">
        <v>4</v>
      </c>
      <c r="O1828" s="6"/>
      <c r="P1828" s="45" t="s">
        <v>4756</v>
      </c>
      <c r="Q1828" s="42" t="s">
        <v>4798</v>
      </c>
      <c r="R1828" s="42"/>
      <c r="S1828" s="1" t="s">
        <v>5314</v>
      </c>
    </row>
    <row r="1829" spans="1:19" ht="18.75" customHeight="1" x14ac:dyDescent="0.3">
      <c r="A1829" s="10">
        <v>1828</v>
      </c>
      <c r="B1829" s="10">
        <f>_xlfn.XLOOKUP(1,(VALUE(D1829)&gt;=VALUE(block!$C$3:$C$500))*(VALUE(D1829)&lt;VALUE(block!$C$3:$C$500)+VALUE(block!$D$3:$D$500)),block!$A$3:$A$500,"无匹配",0,1)</f>
        <v>51</v>
      </c>
      <c r="C1829" s="3" t="str">
        <f>B1829 &amp; "-" &amp; COUNTIF($B$2:B1829, B1829)</f>
        <v>51-17</v>
      </c>
      <c r="D1829" s="10">
        <v>13468</v>
      </c>
      <c r="E1829" s="1" t="s">
        <v>5315</v>
      </c>
      <c r="F1829" s="1" t="s">
        <v>5316</v>
      </c>
      <c r="G1829" s="1" t="s">
        <v>4762</v>
      </c>
      <c r="H1829" s="1" t="s">
        <v>4755</v>
      </c>
      <c r="I1829" s="6" t="str">
        <f>IF(H1829="T50",1,IF(H1829="T50",3,IF(H1829="T66",6,IF(H1829="T66",10,IF(H1829="T98",14,IF(H1829="T98",18,IF(H1829="T66",22,"")))))))</f>
        <v/>
      </c>
      <c r="J1829" s="1" t="s">
        <v>1808</v>
      </c>
      <c r="K1829" s="10">
        <v>4</v>
      </c>
      <c r="L1829" s="10">
        <v>1</v>
      </c>
      <c r="N1829" s="10">
        <v>4</v>
      </c>
      <c r="O1829" s="6"/>
      <c r="P1829" s="45" t="s">
        <v>4756</v>
      </c>
      <c r="Q1829" s="42" t="s">
        <v>4798</v>
      </c>
      <c r="R1829" s="42"/>
      <c r="S1829" s="1" t="s">
        <v>5316</v>
      </c>
    </row>
    <row r="1830" spans="1:19" ht="18.75" customHeight="1" x14ac:dyDescent="0.3">
      <c r="A1830" s="10">
        <v>1829</v>
      </c>
      <c r="B1830" s="10">
        <f>_xlfn.XLOOKUP(1,(VALUE(D1830)&gt;=VALUE(block!$C$3:$C$500))*(VALUE(D1830)&lt;VALUE(block!$C$3:$C$500)+VALUE(block!$D$3:$D$500)),block!$A$3:$A$500,"无匹配",0,1)</f>
        <v>51</v>
      </c>
      <c r="C1830" s="3" t="str">
        <f>B1830 &amp; "-" &amp; COUNTIF($B$2:B1830, B1830)</f>
        <v>51-18</v>
      </c>
      <c r="D1830" s="10">
        <v>13472</v>
      </c>
      <c r="E1830" s="1" t="s">
        <v>5317</v>
      </c>
      <c r="F1830" s="1" t="s">
        <v>5318</v>
      </c>
      <c r="G1830" s="1" t="s">
        <v>4767</v>
      </c>
      <c r="H1830" s="1" t="s">
        <v>4755</v>
      </c>
      <c r="I1830" s="6" t="str">
        <f>IF(H1830="T51",1,IF(H1830="T51",3,IF(H1830="T67",6,IF(H1830="T67",10,IF(H1830="T99",14,IF(H1830="T99",18,IF(H1830="T67",22,"")))))))</f>
        <v/>
      </c>
      <c r="J1830" s="1" t="s">
        <v>1808</v>
      </c>
      <c r="K1830" s="10">
        <v>4</v>
      </c>
      <c r="L1830" s="10">
        <v>1</v>
      </c>
      <c r="N1830" s="10">
        <v>4</v>
      </c>
      <c r="O1830" s="6"/>
      <c r="P1830" s="45" t="s">
        <v>4756</v>
      </c>
      <c r="Q1830" s="42" t="s">
        <v>4798</v>
      </c>
      <c r="R1830" s="42"/>
      <c r="S1830" s="1" t="s">
        <v>5318</v>
      </c>
    </row>
    <row r="1831" spans="1:19" ht="18.75" customHeight="1" x14ac:dyDescent="0.3">
      <c r="A1831" s="10">
        <v>1830</v>
      </c>
      <c r="B1831" s="10">
        <f>_xlfn.XLOOKUP(1,(VALUE(D1831)&gt;=VALUE(block!$C$3:$C$500))*(VALUE(D1831)&lt;VALUE(block!$C$3:$C$500)+VALUE(block!$D$3:$D$500)),block!$A$3:$A$500,"无匹配",0,1)</f>
        <v>51</v>
      </c>
      <c r="C1831" s="3" t="str">
        <f>B1831 &amp; "-" &amp; COUNTIF($B$2:B1831, B1831)</f>
        <v>51-19</v>
      </c>
      <c r="D1831" s="10">
        <v>13476</v>
      </c>
      <c r="E1831" s="1" t="s">
        <v>5319</v>
      </c>
      <c r="F1831" s="1" t="s">
        <v>5320</v>
      </c>
      <c r="G1831" s="1" t="s">
        <v>4754</v>
      </c>
      <c r="H1831" s="1" t="s">
        <v>4755</v>
      </c>
      <c r="I1831" s="6" t="str">
        <f>IF(H1831="T52",1,IF(H1831="T52",3,IF(H1831="T68",6,IF(H1831="T68",10,IF(H1831="T100",14,IF(H1831="T100",18,IF(H1831="T68",22,"")))))))</f>
        <v/>
      </c>
      <c r="J1831" s="1" t="s">
        <v>1808</v>
      </c>
      <c r="K1831" s="10">
        <v>4</v>
      </c>
      <c r="L1831" s="10">
        <v>1</v>
      </c>
      <c r="N1831" s="10">
        <v>4</v>
      </c>
      <c r="O1831" s="6"/>
      <c r="P1831" s="45" t="s">
        <v>4756</v>
      </c>
      <c r="Q1831" s="42" t="s">
        <v>4798</v>
      </c>
      <c r="R1831" s="42"/>
      <c r="S1831" s="1" t="s">
        <v>5320</v>
      </c>
    </row>
    <row r="1832" spans="1:19" ht="18.75" customHeight="1" x14ac:dyDescent="0.3">
      <c r="A1832" s="10">
        <v>1831</v>
      </c>
      <c r="B1832" s="10">
        <f>_xlfn.XLOOKUP(1,(VALUE(D1832)&gt;=VALUE(block!$C$3:$C$500))*(VALUE(D1832)&lt;VALUE(block!$C$3:$C$500)+VALUE(block!$D$3:$D$500)),block!$A$3:$A$500,"无匹配",0,1)</f>
        <v>51</v>
      </c>
      <c r="C1832" s="3" t="str">
        <f>B1832 &amp; "-" &amp; COUNTIF($B$2:B1832, B1832)</f>
        <v>51-20</v>
      </c>
      <c r="D1832" s="10">
        <v>13480</v>
      </c>
      <c r="E1832" s="1" t="s">
        <v>5321</v>
      </c>
      <c r="F1832" s="1" t="s">
        <v>5322</v>
      </c>
      <c r="G1832" s="1" t="s">
        <v>4754</v>
      </c>
      <c r="H1832" s="1" t="s">
        <v>4755</v>
      </c>
      <c r="I1832" s="6" t="str">
        <f>IF(H1832="T53",1,IF(H1832="T53",3,IF(H1832="T69",6,IF(H1832="T69",10,IF(H1832="T101",14,IF(H1832="T101",18,IF(H1832="T69",22,"")))))))</f>
        <v/>
      </c>
      <c r="J1832" s="1" t="s">
        <v>1808</v>
      </c>
      <c r="K1832" s="10">
        <v>4</v>
      </c>
      <c r="L1832" s="10">
        <v>1</v>
      </c>
      <c r="N1832" s="10">
        <v>4</v>
      </c>
      <c r="O1832" s="6"/>
      <c r="P1832" s="45" t="s">
        <v>4756</v>
      </c>
      <c r="Q1832" s="42" t="s">
        <v>4798</v>
      </c>
      <c r="R1832" s="42"/>
      <c r="S1832" s="1" t="s">
        <v>5322</v>
      </c>
    </row>
    <row r="1833" spans="1:19" ht="18.75" customHeight="1" x14ac:dyDescent="0.3">
      <c r="A1833" s="10">
        <v>1832</v>
      </c>
      <c r="B1833" s="10">
        <f>_xlfn.XLOOKUP(1,(VALUE(D1833)&gt;=VALUE(block!$C$3:$C$500))*(VALUE(D1833)&lt;VALUE(block!$C$3:$C$500)+VALUE(block!$D$3:$D$500)),block!$A$3:$A$500,"无匹配",0,1)</f>
        <v>51</v>
      </c>
      <c r="C1833" s="3" t="str">
        <f>B1833 &amp; "-" &amp; COUNTIF($B$2:B1833, B1833)</f>
        <v>51-21</v>
      </c>
      <c r="D1833" s="10">
        <v>13484</v>
      </c>
      <c r="E1833" s="1" t="s">
        <v>5323</v>
      </c>
      <c r="F1833" s="1" t="s">
        <v>5324</v>
      </c>
      <c r="G1833" s="1" t="s">
        <v>4754</v>
      </c>
      <c r="H1833" s="1" t="s">
        <v>4755</v>
      </c>
      <c r="I1833" s="6" t="str">
        <f>IF(H1833="T54",1,IF(H1833="T54",3,IF(H1833="T70",6,IF(H1833="T70",10,IF(H1833="T102",14,IF(H1833="T102",18,IF(H1833="T70",22,"")))))))</f>
        <v/>
      </c>
      <c r="J1833" s="1" t="s">
        <v>1808</v>
      </c>
      <c r="K1833" s="10">
        <v>4</v>
      </c>
      <c r="L1833" s="10">
        <v>1</v>
      </c>
      <c r="N1833" s="10">
        <v>4</v>
      </c>
      <c r="O1833" s="6"/>
      <c r="P1833" s="45" t="s">
        <v>4756</v>
      </c>
      <c r="Q1833" s="42" t="s">
        <v>4798</v>
      </c>
      <c r="R1833" s="42"/>
      <c r="S1833" s="1" t="s">
        <v>5324</v>
      </c>
    </row>
    <row r="1834" spans="1:19" ht="18.75" customHeight="1" x14ac:dyDescent="0.3">
      <c r="A1834" s="10">
        <v>1833</v>
      </c>
      <c r="B1834" s="10">
        <f>_xlfn.XLOOKUP(1,(VALUE(D1834)&gt;=VALUE(block!$C$3:$C$500))*(VALUE(D1834)&lt;VALUE(block!$C$3:$C$500)+VALUE(block!$D$3:$D$500)),block!$A$3:$A$500,"无匹配",0,1)</f>
        <v>51</v>
      </c>
      <c r="C1834" s="3" t="str">
        <f>B1834 &amp; "-" &amp; COUNTIF($B$2:B1834, B1834)</f>
        <v>51-22</v>
      </c>
      <c r="D1834" s="10">
        <v>13488</v>
      </c>
      <c r="E1834" s="1" t="s">
        <v>5325</v>
      </c>
      <c r="F1834" s="1" t="s">
        <v>5326</v>
      </c>
      <c r="G1834" s="1" t="s">
        <v>4754</v>
      </c>
      <c r="H1834" s="1" t="s">
        <v>4755</v>
      </c>
      <c r="I1834" s="6" t="str">
        <f>IF(H1834="T55",1,IF(H1834="T55",3,IF(H1834="T71",6,IF(H1834="T71",10,IF(H1834="T103",14,IF(H1834="T103",18,IF(H1834="T71",22,"")))))))</f>
        <v/>
      </c>
      <c r="J1834" s="1" t="s">
        <v>1808</v>
      </c>
      <c r="K1834" s="10">
        <v>4</v>
      </c>
      <c r="L1834" s="10">
        <v>1</v>
      </c>
      <c r="N1834" s="10">
        <v>4</v>
      </c>
      <c r="O1834" s="6"/>
      <c r="P1834" s="45" t="s">
        <v>4756</v>
      </c>
      <c r="Q1834" s="42" t="s">
        <v>4798</v>
      </c>
      <c r="R1834" s="42"/>
      <c r="S1834" s="1" t="s">
        <v>5326</v>
      </c>
    </row>
    <row r="1835" spans="1:19" ht="18.75" customHeight="1" x14ac:dyDescent="0.3">
      <c r="A1835" s="10">
        <v>1834</v>
      </c>
      <c r="B1835" s="10">
        <f>_xlfn.XLOOKUP(1,(VALUE(D1835)&gt;=VALUE(block!$C$3:$C$500))*(VALUE(D1835)&lt;VALUE(block!$C$3:$C$500)+VALUE(block!$D$3:$D$500)),block!$A$3:$A$500,"无匹配",0,1)</f>
        <v>51</v>
      </c>
      <c r="C1835" s="3" t="str">
        <f>B1835 &amp; "-" &amp; COUNTIF($B$2:B1835, B1835)</f>
        <v>51-23</v>
      </c>
      <c r="D1835" s="10">
        <v>13492</v>
      </c>
      <c r="E1835" s="1" t="s">
        <v>5327</v>
      </c>
      <c r="F1835" s="1" t="s">
        <v>5328</v>
      </c>
      <c r="G1835" s="1" t="s">
        <v>4762</v>
      </c>
      <c r="H1835" s="1" t="s">
        <v>4755</v>
      </c>
      <c r="I1835" s="6" t="str">
        <f>IF(H1835="T56",1,IF(H1835="T56",3,IF(H1835="T72",6,IF(H1835="T72",10,IF(H1835="T104",14,IF(H1835="T104",18,IF(H1835="T72",22,"")))))))</f>
        <v/>
      </c>
      <c r="J1835" s="1" t="s">
        <v>1808</v>
      </c>
      <c r="K1835" s="10">
        <v>4</v>
      </c>
      <c r="L1835" s="10">
        <v>1</v>
      </c>
      <c r="N1835" s="10">
        <v>4</v>
      </c>
      <c r="O1835" s="6"/>
      <c r="P1835" s="45" t="s">
        <v>4756</v>
      </c>
      <c r="Q1835" s="42" t="s">
        <v>4798</v>
      </c>
      <c r="R1835" s="42"/>
      <c r="S1835" s="1" t="s">
        <v>5328</v>
      </c>
    </row>
    <row r="1836" spans="1:19" ht="18.75" customHeight="1" x14ac:dyDescent="0.3">
      <c r="A1836" s="10">
        <v>1835</v>
      </c>
      <c r="B1836" s="10">
        <f>_xlfn.XLOOKUP(1,(VALUE(D1836)&gt;=VALUE(block!$C$3:$C$500))*(VALUE(D1836)&lt;VALUE(block!$C$3:$C$500)+VALUE(block!$D$3:$D$500)),block!$A$3:$A$500,"无匹配",0,1)</f>
        <v>51</v>
      </c>
      <c r="C1836" s="3" t="str">
        <f>B1836 &amp; "-" &amp; COUNTIF($B$2:B1836, B1836)</f>
        <v>51-24</v>
      </c>
      <c r="D1836" s="10">
        <v>13496</v>
      </c>
      <c r="E1836" s="1" t="s">
        <v>5329</v>
      </c>
      <c r="F1836" s="1" t="s">
        <v>5330</v>
      </c>
      <c r="G1836" s="1" t="s">
        <v>4762</v>
      </c>
      <c r="H1836" s="1" t="s">
        <v>4755</v>
      </c>
      <c r="I1836" s="6" t="str">
        <f>IF(H1836="T57",1,IF(H1836="T57",3,IF(H1836="T73",6,IF(H1836="T73",10,IF(H1836="T105",14,IF(H1836="T105",18,IF(H1836="T73",22,"")))))))</f>
        <v/>
      </c>
      <c r="J1836" s="1" t="s">
        <v>1808</v>
      </c>
      <c r="K1836" s="10">
        <v>4</v>
      </c>
      <c r="L1836" s="10">
        <v>1</v>
      </c>
      <c r="N1836" s="10">
        <v>4</v>
      </c>
      <c r="O1836" s="6"/>
      <c r="P1836" s="45" t="s">
        <v>4756</v>
      </c>
      <c r="Q1836" s="42" t="s">
        <v>4798</v>
      </c>
      <c r="R1836" s="42"/>
      <c r="S1836" s="1" t="s">
        <v>5330</v>
      </c>
    </row>
    <row r="1837" spans="1:19" ht="18.75" customHeight="1" x14ac:dyDescent="0.3">
      <c r="A1837" s="10">
        <v>1836</v>
      </c>
      <c r="B1837" s="10">
        <f>_xlfn.XLOOKUP(1,(VALUE(D1837)&gt;=VALUE(block!$C$3:$C$500))*(VALUE(D1837)&lt;VALUE(block!$C$3:$C$500)+VALUE(block!$D$3:$D$500)),block!$A$3:$A$500,"无匹配",0,1)</f>
        <v>51</v>
      </c>
      <c r="C1837" s="3" t="str">
        <f>B1837 &amp; "-" &amp; COUNTIF($B$2:B1837, B1837)</f>
        <v>51-25</v>
      </c>
      <c r="D1837" s="10">
        <v>13500</v>
      </c>
      <c r="E1837" s="1" t="s">
        <v>5331</v>
      </c>
      <c r="F1837" s="1" t="s">
        <v>5332</v>
      </c>
      <c r="G1837" s="1" t="s">
        <v>4762</v>
      </c>
      <c r="H1837" s="1" t="s">
        <v>4755</v>
      </c>
      <c r="I1837" s="6" t="str">
        <f>IF(H1837="T58",1,IF(H1837="T58",3,IF(H1837="T74",6,IF(H1837="T74",10,IF(H1837="T106",14,IF(H1837="T106",18,IF(H1837="T74",22,"")))))))</f>
        <v/>
      </c>
      <c r="J1837" s="1" t="s">
        <v>1808</v>
      </c>
      <c r="K1837" s="10">
        <v>4</v>
      </c>
      <c r="L1837" s="10">
        <v>1</v>
      </c>
      <c r="N1837" s="10">
        <v>4</v>
      </c>
      <c r="O1837" s="6"/>
      <c r="P1837" s="45" t="s">
        <v>4756</v>
      </c>
      <c r="Q1837" s="42" t="s">
        <v>4798</v>
      </c>
      <c r="R1837" s="42"/>
      <c r="S1837" s="1" t="s">
        <v>5332</v>
      </c>
    </row>
    <row r="1838" spans="1:19" ht="18.75" customHeight="1" x14ac:dyDescent="0.3">
      <c r="A1838" s="10">
        <v>1837</v>
      </c>
      <c r="B1838" s="10">
        <f>_xlfn.XLOOKUP(1,(VALUE(D1838)&gt;=VALUE(block!$C$3:$C$500))*(VALUE(D1838)&lt;VALUE(block!$C$3:$C$500)+VALUE(block!$D$3:$D$500)),block!$A$3:$A$500,"无匹配",0,1)</f>
        <v>51</v>
      </c>
      <c r="C1838" s="3" t="str">
        <f>B1838 &amp; "-" &amp; COUNTIF($B$2:B1838, B1838)</f>
        <v>51-26</v>
      </c>
      <c r="D1838" s="10">
        <v>13504</v>
      </c>
      <c r="E1838" s="1" t="s">
        <v>5333</v>
      </c>
      <c r="F1838" s="1" t="s">
        <v>5334</v>
      </c>
      <c r="G1838" s="1" t="s">
        <v>4762</v>
      </c>
      <c r="H1838" s="1" t="s">
        <v>4755</v>
      </c>
      <c r="I1838" s="6" t="str">
        <f>IF(H1838="T59",1,IF(H1838="T59",3,IF(H1838="T75",6,IF(H1838="T75",10,IF(H1838="T107",14,IF(H1838="T107",18,IF(H1838="T75",22,"")))))))</f>
        <v/>
      </c>
      <c r="J1838" s="1" t="s">
        <v>1808</v>
      </c>
      <c r="K1838" s="10">
        <v>4</v>
      </c>
      <c r="L1838" s="10">
        <v>1</v>
      </c>
      <c r="N1838" s="10">
        <v>4</v>
      </c>
      <c r="O1838" s="6"/>
      <c r="P1838" s="45" t="s">
        <v>4756</v>
      </c>
      <c r="Q1838" s="42" t="s">
        <v>4798</v>
      </c>
      <c r="R1838" s="42"/>
      <c r="S1838" s="1" t="s">
        <v>5334</v>
      </c>
    </row>
    <row r="1839" spans="1:19" ht="18.75" customHeight="1" x14ac:dyDescent="0.3">
      <c r="A1839" s="10">
        <v>1838</v>
      </c>
      <c r="B1839" s="10">
        <f>_xlfn.XLOOKUP(1,(VALUE(D1839)&gt;=VALUE(block!$C$3:$C$500))*(VALUE(D1839)&lt;VALUE(block!$C$3:$C$500)+VALUE(block!$D$3:$D$500)),block!$A$3:$A$500,"无匹配",0,1)</f>
        <v>51</v>
      </c>
      <c r="C1839" s="3" t="str">
        <f>B1839 &amp; "-" &amp; COUNTIF($B$2:B1839, B1839)</f>
        <v>51-27</v>
      </c>
      <c r="D1839" s="10">
        <v>13508</v>
      </c>
      <c r="E1839" s="1" t="s">
        <v>5335</v>
      </c>
      <c r="F1839" s="1" t="s">
        <v>5336</v>
      </c>
      <c r="G1839" s="1" t="s">
        <v>4767</v>
      </c>
      <c r="H1839" s="1" t="s">
        <v>4755</v>
      </c>
      <c r="I1839" s="6" t="str">
        <f>IF(H1839="T60",1,IF(H1839="T60",3,IF(H1839="T76",6,IF(H1839="T76",10,IF(H1839="T108",14,IF(H1839="T108",18,IF(H1839="T76",22,"")))))))</f>
        <v/>
      </c>
      <c r="J1839" s="1" t="s">
        <v>1808</v>
      </c>
      <c r="K1839" s="10">
        <v>4</v>
      </c>
      <c r="L1839" s="10">
        <v>1</v>
      </c>
      <c r="N1839" s="10">
        <v>4</v>
      </c>
      <c r="O1839" s="6"/>
      <c r="P1839" s="45" t="s">
        <v>4756</v>
      </c>
      <c r="Q1839" s="42" t="s">
        <v>4798</v>
      </c>
      <c r="R1839" s="42"/>
      <c r="S1839" s="1" t="s">
        <v>5336</v>
      </c>
    </row>
    <row r="1840" spans="1:19" ht="18.75" customHeight="1" x14ac:dyDescent="0.3">
      <c r="A1840" s="10">
        <v>1839</v>
      </c>
      <c r="B1840" s="10">
        <f>_xlfn.XLOOKUP(1,(VALUE(D1840)&gt;=VALUE(block!$C$3:$C$500))*(VALUE(D1840)&lt;VALUE(block!$C$3:$C$500)+VALUE(block!$D$3:$D$500)),block!$A$3:$A$500,"无匹配",0,1)</f>
        <v>51</v>
      </c>
      <c r="C1840" s="3" t="str">
        <f>B1840 &amp; "-" &amp; COUNTIF($B$2:B1840, B1840)</f>
        <v>51-28</v>
      </c>
      <c r="D1840" s="10">
        <v>13512</v>
      </c>
      <c r="E1840" s="1" t="s">
        <v>5337</v>
      </c>
      <c r="F1840" s="1" t="s">
        <v>5338</v>
      </c>
      <c r="G1840" s="1" t="s">
        <v>4754</v>
      </c>
      <c r="H1840" s="1" t="s">
        <v>4755</v>
      </c>
      <c r="I1840" s="6" t="str">
        <f>IF(H1840="T61",1,IF(H1840="T61",3,IF(H1840="T77",6,IF(H1840="T77",10,IF(H1840="T109",14,IF(H1840="T109",18,IF(H1840="T77",22,"")))))))</f>
        <v/>
      </c>
      <c r="J1840" s="1" t="s">
        <v>1808</v>
      </c>
      <c r="K1840" s="10">
        <v>4</v>
      </c>
      <c r="L1840" s="10">
        <v>1</v>
      </c>
      <c r="N1840" s="10">
        <v>4</v>
      </c>
      <c r="O1840" s="6"/>
      <c r="P1840" s="45" t="s">
        <v>4756</v>
      </c>
      <c r="Q1840" s="42" t="s">
        <v>4798</v>
      </c>
      <c r="R1840" s="42"/>
      <c r="S1840" s="1" t="s">
        <v>5338</v>
      </c>
    </row>
    <row r="1841" spans="1:19" ht="18.75" customHeight="1" x14ac:dyDescent="0.3">
      <c r="A1841" s="10">
        <v>1840</v>
      </c>
      <c r="B1841" s="10">
        <f>_xlfn.XLOOKUP(1,(VALUE(D1841)&gt;=VALUE(block!$C$3:$C$500))*(VALUE(D1841)&lt;VALUE(block!$C$3:$C$500)+VALUE(block!$D$3:$D$500)),block!$A$3:$A$500,"无匹配",0,1)</f>
        <v>51</v>
      </c>
      <c r="C1841" s="3" t="str">
        <f>B1841 &amp; "-" &amp; COUNTIF($B$2:B1841, B1841)</f>
        <v>51-29</v>
      </c>
      <c r="D1841" s="10">
        <v>13516</v>
      </c>
      <c r="E1841" s="1" t="s">
        <v>5339</v>
      </c>
      <c r="F1841" s="1" t="s">
        <v>5340</v>
      </c>
      <c r="G1841" s="1" t="s">
        <v>4754</v>
      </c>
      <c r="H1841" s="1" t="s">
        <v>4755</v>
      </c>
      <c r="I1841" s="6" t="str">
        <f>IF(H1841="T62",1,IF(H1841="T62",3,IF(H1841="T78",6,IF(H1841="T78",10,IF(H1841="T110",14,IF(H1841="T110",18,IF(H1841="T78",22,"")))))))</f>
        <v/>
      </c>
      <c r="J1841" s="1" t="s">
        <v>1808</v>
      </c>
      <c r="K1841" s="10">
        <v>4</v>
      </c>
      <c r="L1841" s="10">
        <v>1</v>
      </c>
      <c r="N1841" s="10">
        <v>4</v>
      </c>
      <c r="O1841" s="6"/>
      <c r="P1841" s="45" t="s">
        <v>4756</v>
      </c>
      <c r="Q1841" s="42" t="s">
        <v>4798</v>
      </c>
      <c r="R1841" s="42"/>
      <c r="S1841" s="1" t="s">
        <v>5340</v>
      </c>
    </row>
    <row r="1842" spans="1:19" ht="18.75" customHeight="1" x14ac:dyDescent="0.3">
      <c r="A1842" s="10">
        <v>1841</v>
      </c>
      <c r="B1842" s="10">
        <f>_xlfn.XLOOKUP(1,(VALUE(D1842)&gt;=VALUE(block!$C$3:$C$500))*(VALUE(D1842)&lt;VALUE(block!$C$3:$C$500)+VALUE(block!$D$3:$D$500)),block!$A$3:$A$500,"无匹配",0,1)</f>
        <v>51</v>
      </c>
      <c r="C1842" s="3" t="str">
        <f>B1842 &amp; "-" &amp; COUNTIF($B$2:B1842, B1842)</f>
        <v>51-30</v>
      </c>
      <c r="D1842" s="10">
        <v>13520</v>
      </c>
      <c r="E1842" s="1" t="s">
        <v>5341</v>
      </c>
      <c r="F1842" s="1" t="s">
        <v>5342</v>
      </c>
      <c r="G1842" s="1" t="s">
        <v>4754</v>
      </c>
      <c r="H1842" s="1" t="s">
        <v>4755</v>
      </c>
      <c r="I1842" s="6" t="str">
        <f>IF(H1842="T63",1,IF(H1842="T63",3,IF(H1842="T79",6,IF(H1842="T79",10,IF(H1842="T111",14,IF(H1842="T111",18,IF(H1842="T79",22,"")))))))</f>
        <v/>
      </c>
      <c r="J1842" s="1" t="s">
        <v>1808</v>
      </c>
      <c r="K1842" s="10">
        <v>4</v>
      </c>
      <c r="L1842" s="10">
        <v>1</v>
      </c>
      <c r="N1842" s="10">
        <v>4</v>
      </c>
      <c r="O1842" s="6"/>
      <c r="P1842" s="45" t="s">
        <v>4756</v>
      </c>
      <c r="Q1842" s="42" t="s">
        <v>4798</v>
      </c>
      <c r="R1842" s="42"/>
      <c r="S1842" s="1" t="s">
        <v>5342</v>
      </c>
    </row>
    <row r="1843" spans="1:19" ht="18.75" customHeight="1" x14ac:dyDescent="0.3">
      <c r="A1843" s="10">
        <v>1842</v>
      </c>
      <c r="B1843" s="10">
        <f>_xlfn.XLOOKUP(1,(VALUE(D1843)&gt;=VALUE(block!$C$3:$C$500))*(VALUE(D1843)&lt;VALUE(block!$C$3:$C$500)+VALUE(block!$D$3:$D$500)),block!$A$3:$A$500,"无匹配",0,1)</f>
        <v>51</v>
      </c>
      <c r="C1843" s="3" t="str">
        <f>B1843 &amp; "-" &amp; COUNTIF($B$2:B1843, B1843)</f>
        <v>51-31</v>
      </c>
      <c r="D1843" s="10">
        <v>13524</v>
      </c>
      <c r="E1843" s="1" t="s">
        <v>5343</v>
      </c>
      <c r="F1843" s="1" t="s">
        <v>5344</v>
      </c>
      <c r="G1843" s="1" t="s">
        <v>4754</v>
      </c>
      <c r="H1843" s="1" t="s">
        <v>4755</v>
      </c>
      <c r="I1843" s="6" t="str">
        <f>IF(H1843="T64",1,IF(H1843="T64",3,IF(H1843="T80",6,IF(H1843="T80",10,IF(H1843="T112",14,IF(H1843="T112",18,IF(H1843="T80",22,"")))))))</f>
        <v/>
      </c>
      <c r="J1843" s="1" t="s">
        <v>1808</v>
      </c>
      <c r="K1843" s="10">
        <v>4</v>
      </c>
      <c r="L1843" s="10">
        <v>1</v>
      </c>
      <c r="N1843" s="10">
        <v>4</v>
      </c>
      <c r="O1843" s="6"/>
      <c r="P1843" s="45" t="s">
        <v>4756</v>
      </c>
      <c r="Q1843" s="42" t="s">
        <v>4798</v>
      </c>
      <c r="R1843" s="42"/>
      <c r="S1843" s="1" t="s">
        <v>5344</v>
      </c>
    </row>
    <row r="1844" spans="1:19" ht="18.75" customHeight="1" x14ac:dyDescent="0.3">
      <c r="A1844" s="10">
        <v>1843</v>
      </c>
      <c r="B1844" s="10">
        <f>_xlfn.XLOOKUP(1,(VALUE(D1844)&gt;=VALUE(block!$C$3:$C$500))*(VALUE(D1844)&lt;VALUE(block!$C$3:$C$500)+VALUE(block!$D$3:$D$500)),block!$A$3:$A$500,"无匹配",0,1)</f>
        <v>52</v>
      </c>
      <c r="C1844" s="3" t="str">
        <f>B1844 &amp; "-" &amp; COUNTIF($B$2:B1844, B1844)</f>
        <v>52-1</v>
      </c>
      <c r="D1844" s="10">
        <v>13528</v>
      </c>
      <c r="E1844" s="1" t="s">
        <v>5345</v>
      </c>
      <c r="F1844" s="1" t="s">
        <v>5346</v>
      </c>
      <c r="G1844" s="1" t="s">
        <v>4762</v>
      </c>
      <c r="H1844" s="1" t="s">
        <v>4755</v>
      </c>
      <c r="I1844" s="6" t="str">
        <f>IF(H1844="T65",1,IF(H1844="T65",3,IF(H1844="T81",6,IF(H1844="T81",10,IF(H1844="T113",14,IF(H1844="T113",18,IF(H1844="T81",22,"")))))))</f>
        <v/>
      </c>
      <c r="J1844" s="1" t="s">
        <v>1808</v>
      </c>
      <c r="K1844" s="10">
        <v>4</v>
      </c>
      <c r="L1844" s="10">
        <v>1</v>
      </c>
      <c r="N1844" s="10">
        <v>4</v>
      </c>
      <c r="O1844" s="6"/>
      <c r="P1844" s="45" t="s">
        <v>4756</v>
      </c>
      <c r="Q1844" s="42" t="s">
        <v>4798</v>
      </c>
      <c r="R1844" s="42"/>
      <c r="S1844" s="1" t="s">
        <v>5346</v>
      </c>
    </row>
    <row r="1845" spans="1:19" ht="18.75" customHeight="1" x14ac:dyDescent="0.3">
      <c r="A1845" s="10">
        <v>1844</v>
      </c>
      <c r="B1845" s="10">
        <f>_xlfn.XLOOKUP(1,(VALUE(D1845)&gt;=VALUE(block!$C$3:$C$500))*(VALUE(D1845)&lt;VALUE(block!$C$3:$C$500)+VALUE(block!$D$3:$D$500)),block!$A$3:$A$500,"无匹配",0,1)</f>
        <v>52</v>
      </c>
      <c r="C1845" s="3" t="str">
        <f>B1845 &amp; "-" &amp; COUNTIF($B$2:B1845, B1845)</f>
        <v>52-2</v>
      </c>
      <c r="D1845" s="10">
        <v>13532</v>
      </c>
      <c r="E1845" s="1" t="s">
        <v>5347</v>
      </c>
      <c r="F1845" s="1" t="s">
        <v>5348</v>
      </c>
      <c r="G1845" s="1" t="s">
        <v>4762</v>
      </c>
      <c r="H1845" s="1" t="s">
        <v>4755</v>
      </c>
      <c r="I1845" s="6" t="str">
        <f>IF(H1845="T66",1,IF(H1845="T66",3,IF(H1845="T82",6,IF(H1845="T82",10,IF(H1845="T114",14,IF(H1845="T114",18,IF(H1845="T82",22,"")))))))</f>
        <v/>
      </c>
      <c r="J1845" s="1" t="s">
        <v>1808</v>
      </c>
      <c r="K1845" s="10">
        <v>4</v>
      </c>
      <c r="L1845" s="10">
        <v>1</v>
      </c>
      <c r="N1845" s="10">
        <v>4</v>
      </c>
      <c r="O1845" s="6"/>
      <c r="P1845" s="45" t="s">
        <v>4756</v>
      </c>
      <c r="Q1845" s="42" t="s">
        <v>4798</v>
      </c>
      <c r="R1845" s="42"/>
      <c r="S1845" s="1" t="s">
        <v>5348</v>
      </c>
    </row>
    <row r="1846" spans="1:19" ht="18.75" customHeight="1" x14ac:dyDescent="0.3">
      <c r="A1846" s="10">
        <v>1845</v>
      </c>
      <c r="B1846" s="10">
        <f>_xlfn.XLOOKUP(1,(VALUE(D1846)&gt;=VALUE(block!$C$3:$C$500))*(VALUE(D1846)&lt;VALUE(block!$C$3:$C$500)+VALUE(block!$D$3:$D$500)),block!$A$3:$A$500,"无匹配",0,1)</f>
        <v>52</v>
      </c>
      <c r="C1846" s="3" t="str">
        <f>B1846 &amp; "-" &amp; COUNTIF($B$2:B1846, B1846)</f>
        <v>52-3</v>
      </c>
      <c r="D1846" s="10">
        <v>13536</v>
      </c>
      <c r="E1846" s="1" t="s">
        <v>5349</v>
      </c>
      <c r="F1846" s="1" t="s">
        <v>5350</v>
      </c>
      <c r="G1846" s="1" t="s">
        <v>4762</v>
      </c>
      <c r="H1846" s="1" t="s">
        <v>4755</v>
      </c>
      <c r="I1846" s="6" t="str">
        <f>IF(H1846="T67",1,IF(H1846="T67",3,IF(H1846="T83",6,IF(H1846="T83",10,IF(H1846="T115",14,IF(H1846="T115",18,IF(H1846="T83",22,"")))))))</f>
        <v/>
      </c>
      <c r="J1846" s="1" t="s">
        <v>1808</v>
      </c>
      <c r="K1846" s="10">
        <v>4</v>
      </c>
      <c r="L1846" s="10">
        <v>1</v>
      </c>
      <c r="N1846" s="10">
        <v>4</v>
      </c>
      <c r="O1846" s="6"/>
      <c r="P1846" s="45" t="s">
        <v>4756</v>
      </c>
      <c r="Q1846" s="42" t="s">
        <v>4798</v>
      </c>
      <c r="R1846" s="42"/>
      <c r="S1846" s="1" t="s">
        <v>5350</v>
      </c>
    </row>
    <row r="1847" spans="1:19" ht="18.75" customHeight="1" x14ac:dyDescent="0.3">
      <c r="A1847" s="10">
        <v>1846</v>
      </c>
      <c r="B1847" s="10">
        <f>_xlfn.XLOOKUP(1,(VALUE(D1847)&gt;=VALUE(block!$C$3:$C$500))*(VALUE(D1847)&lt;VALUE(block!$C$3:$C$500)+VALUE(block!$D$3:$D$500)),block!$A$3:$A$500,"无匹配",0,1)</f>
        <v>52</v>
      </c>
      <c r="C1847" s="3" t="str">
        <f>B1847 &amp; "-" &amp; COUNTIF($B$2:B1847, B1847)</f>
        <v>52-4</v>
      </c>
      <c r="D1847" s="10">
        <v>13540</v>
      </c>
      <c r="E1847" s="1" t="s">
        <v>5351</v>
      </c>
      <c r="F1847" s="1" t="s">
        <v>5352</v>
      </c>
      <c r="G1847" s="1" t="s">
        <v>4762</v>
      </c>
      <c r="H1847" s="1" t="s">
        <v>4755</v>
      </c>
      <c r="I1847" s="6" t="str">
        <f>IF(H1847="T68",1,IF(H1847="T68",3,IF(H1847="T84",6,IF(H1847="T84",10,IF(H1847="T116",14,IF(H1847="T116",18,IF(H1847="T84",22,"")))))))</f>
        <v/>
      </c>
      <c r="J1847" s="1" t="s">
        <v>1808</v>
      </c>
      <c r="K1847" s="10">
        <v>4</v>
      </c>
      <c r="L1847" s="10">
        <v>1</v>
      </c>
      <c r="N1847" s="10">
        <v>4</v>
      </c>
      <c r="O1847" s="6"/>
      <c r="P1847" s="45" t="s">
        <v>4756</v>
      </c>
      <c r="Q1847" s="42" t="s">
        <v>4798</v>
      </c>
      <c r="R1847" s="42"/>
      <c r="S1847" s="1" t="s">
        <v>5352</v>
      </c>
    </row>
    <row r="1848" spans="1:19" ht="18.75" customHeight="1" x14ac:dyDescent="0.3">
      <c r="A1848" s="10">
        <v>1847</v>
      </c>
      <c r="B1848" s="10">
        <f>_xlfn.XLOOKUP(1,(VALUE(D1848)&gt;=VALUE(block!$C$3:$C$500))*(VALUE(D1848)&lt;VALUE(block!$C$3:$C$500)+VALUE(block!$D$3:$D$500)),block!$A$3:$A$500,"无匹配",0,1)</f>
        <v>52</v>
      </c>
      <c r="C1848" s="3" t="str">
        <f>B1848 &amp; "-" &amp; COUNTIF($B$2:B1848, B1848)</f>
        <v>52-5</v>
      </c>
      <c r="D1848" s="10">
        <v>13544</v>
      </c>
      <c r="E1848" s="1" t="s">
        <v>5353</v>
      </c>
      <c r="F1848" s="1" t="s">
        <v>5354</v>
      </c>
      <c r="G1848" s="1" t="s">
        <v>4767</v>
      </c>
      <c r="H1848" s="1" t="s">
        <v>4755</v>
      </c>
      <c r="I1848" s="6" t="str">
        <f>IF(H1848="T69",1,IF(H1848="T69",3,IF(H1848="T85",6,IF(H1848="T85",10,IF(H1848="T117",14,IF(H1848="T117",18,IF(H1848="T85",22,"")))))))</f>
        <v/>
      </c>
      <c r="J1848" s="1" t="s">
        <v>1808</v>
      </c>
      <c r="K1848" s="10">
        <v>4</v>
      </c>
      <c r="L1848" s="10">
        <v>1</v>
      </c>
      <c r="N1848" s="10">
        <v>4</v>
      </c>
      <c r="O1848" s="6"/>
      <c r="P1848" s="45" t="s">
        <v>4756</v>
      </c>
      <c r="Q1848" s="42" t="s">
        <v>4798</v>
      </c>
      <c r="R1848" s="42"/>
      <c r="S1848" s="1" t="s">
        <v>5354</v>
      </c>
    </row>
    <row r="1849" spans="1:19" ht="18.75" customHeight="1" x14ac:dyDescent="0.3">
      <c r="A1849" s="10">
        <v>1848</v>
      </c>
      <c r="B1849" s="10">
        <f>_xlfn.XLOOKUP(1,(VALUE(D1849)&gt;=VALUE(block!$C$3:$C$500))*(VALUE(D1849)&lt;VALUE(block!$C$3:$C$500)+VALUE(block!$D$3:$D$500)),block!$A$3:$A$500,"无匹配",0,1)</f>
        <v>52</v>
      </c>
      <c r="C1849" s="3" t="str">
        <f>B1849 &amp; "-" &amp; COUNTIF($B$2:B1849, B1849)</f>
        <v>52-6</v>
      </c>
      <c r="D1849" s="10">
        <v>13548</v>
      </c>
      <c r="E1849" s="1" t="s">
        <v>5355</v>
      </c>
      <c r="F1849" s="1" t="s">
        <v>5356</v>
      </c>
      <c r="G1849" s="1" t="s">
        <v>4754</v>
      </c>
      <c r="H1849" s="1" t="s">
        <v>4755</v>
      </c>
      <c r="I1849" s="6" t="str">
        <f>IF(H1849="T70",1,IF(H1849="T70",3,IF(H1849="T86",6,IF(H1849="T86",10,IF(H1849="T118",14,IF(H1849="T118",18,IF(H1849="T86",22,"")))))))</f>
        <v/>
      </c>
      <c r="J1849" s="1" t="s">
        <v>1808</v>
      </c>
      <c r="K1849" s="10">
        <v>4</v>
      </c>
      <c r="L1849" s="10">
        <v>1</v>
      </c>
      <c r="N1849" s="10">
        <v>4</v>
      </c>
      <c r="O1849" s="6"/>
      <c r="P1849" s="45" t="s">
        <v>4756</v>
      </c>
      <c r="Q1849" s="42" t="s">
        <v>4798</v>
      </c>
      <c r="R1849" s="42"/>
      <c r="S1849" s="1" t="s">
        <v>5356</v>
      </c>
    </row>
    <row r="1850" spans="1:19" ht="18.75" customHeight="1" x14ac:dyDescent="0.3">
      <c r="A1850" s="10">
        <v>1849</v>
      </c>
      <c r="B1850" s="10">
        <f>_xlfn.XLOOKUP(1,(VALUE(D1850)&gt;=VALUE(block!$C$3:$C$500))*(VALUE(D1850)&lt;VALUE(block!$C$3:$C$500)+VALUE(block!$D$3:$D$500)),block!$A$3:$A$500,"无匹配",0,1)</f>
        <v>52</v>
      </c>
      <c r="C1850" s="3" t="str">
        <f>B1850 &amp; "-" &amp; COUNTIF($B$2:B1850, B1850)</f>
        <v>52-7</v>
      </c>
      <c r="D1850" s="10">
        <v>13552</v>
      </c>
      <c r="E1850" s="1" t="s">
        <v>5357</v>
      </c>
      <c r="F1850" s="1" t="s">
        <v>5358</v>
      </c>
      <c r="G1850" s="1" t="s">
        <v>4754</v>
      </c>
      <c r="H1850" s="1" t="s">
        <v>4755</v>
      </c>
      <c r="I1850" s="6" t="str">
        <f>IF(H1850="T71",1,IF(H1850="T71",3,IF(H1850="T87",6,IF(H1850="T87",10,IF(H1850="T119",14,IF(H1850="T119",18,IF(H1850="T87",22,"")))))))</f>
        <v/>
      </c>
      <c r="J1850" s="1" t="s">
        <v>1808</v>
      </c>
      <c r="K1850" s="10">
        <v>4</v>
      </c>
      <c r="L1850" s="10">
        <v>1</v>
      </c>
      <c r="N1850" s="10">
        <v>4</v>
      </c>
      <c r="O1850" s="6"/>
      <c r="P1850" s="45" t="s">
        <v>4756</v>
      </c>
      <c r="Q1850" s="42" t="s">
        <v>4798</v>
      </c>
      <c r="R1850" s="42"/>
      <c r="S1850" s="1" t="s">
        <v>5358</v>
      </c>
    </row>
    <row r="1851" spans="1:19" ht="18.75" customHeight="1" x14ac:dyDescent="0.3">
      <c r="A1851" s="10">
        <v>1850</v>
      </c>
      <c r="B1851" s="10">
        <f>_xlfn.XLOOKUP(1,(VALUE(D1851)&gt;=VALUE(block!$C$3:$C$500))*(VALUE(D1851)&lt;VALUE(block!$C$3:$C$500)+VALUE(block!$D$3:$D$500)),block!$A$3:$A$500,"无匹配",0,1)</f>
        <v>52</v>
      </c>
      <c r="C1851" s="3" t="str">
        <f>B1851 &amp; "-" &amp; COUNTIF($B$2:B1851, B1851)</f>
        <v>52-8</v>
      </c>
      <c r="D1851" s="10">
        <v>13556</v>
      </c>
      <c r="E1851" s="1" t="s">
        <v>5359</v>
      </c>
      <c r="F1851" s="1" t="s">
        <v>5360</v>
      </c>
      <c r="G1851" s="1" t="s">
        <v>4754</v>
      </c>
      <c r="H1851" s="1" t="s">
        <v>4755</v>
      </c>
      <c r="I1851" s="6" t="str">
        <f>IF(H1851="T72",1,IF(H1851="T72",3,IF(H1851="T88",6,IF(H1851="T88",10,IF(H1851="T120",14,IF(H1851="T120",18,IF(H1851="T88",22,"")))))))</f>
        <v/>
      </c>
      <c r="J1851" s="1" t="s">
        <v>1808</v>
      </c>
      <c r="K1851" s="10">
        <v>4</v>
      </c>
      <c r="L1851" s="10">
        <v>1</v>
      </c>
      <c r="N1851" s="10">
        <v>4</v>
      </c>
      <c r="O1851" s="6"/>
      <c r="P1851" s="45" t="s">
        <v>4756</v>
      </c>
      <c r="Q1851" s="42" t="s">
        <v>4798</v>
      </c>
      <c r="R1851" s="42"/>
      <c r="S1851" s="1" t="s">
        <v>5360</v>
      </c>
    </row>
    <row r="1852" spans="1:19" ht="18.75" customHeight="1" x14ac:dyDescent="0.3">
      <c r="A1852" s="10">
        <v>1851</v>
      </c>
      <c r="B1852" s="10">
        <f>_xlfn.XLOOKUP(1,(VALUE(D1852)&gt;=VALUE(block!$C$3:$C$500))*(VALUE(D1852)&lt;VALUE(block!$C$3:$C$500)+VALUE(block!$D$3:$D$500)),block!$A$3:$A$500,"无匹配",0,1)</f>
        <v>52</v>
      </c>
      <c r="C1852" s="3" t="str">
        <f>B1852 &amp; "-" &amp; COUNTIF($B$2:B1852, B1852)</f>
        <v>52-9</v>
      </c>
      <c r="D1852" s="10">
        <v>13560</v>
      </c>
      <c r="E1852" s="1" t="s">
        <v>5361</v>
      </c>
      <c r="F1852" s="1" t="s">
        <v>5362</v>
      </c>
      <c r="G1852" s="1" t="s">
        <v>4754</v>
      </c>
      <c r="H1852" s="1" t="s">
        <v>4755</v>
      </c>
      <c r="I1852" s="6" t="str">
        <f>IF(H1852="T73",1,IF(H1852="T73",3,IF(H1852="T89",6,IF(H1852="T89",10,IF(H1852="T121",14,IF(H1852="T121",18,IF(H1852="T89",22,"")))))))</f>
        <v/>
      </c>
      <c r="J1852" s="1" t="s">
        <v>1808</v>
      </c>
      <c r="K1852" s="10">
        <v>4</v>
      </c>
      <c r="L1852" s="10">
        <v>1</v>
      </c>
      <c r="N1852" s="10">
        <v>4</v>
      </c>
      <c r="O1852" s="6"/>
      <c r="P1852" s="45" t="s">
        <v>4756</v>
      </c>
      <c r="Q1852" s="42" t="s">
        <v>4798</v>
      </c>
      <c r="R1852" s="42"/>
      <c r="S1852" s="1" t="s">
        <v>5362</v>
      </c>
    </row>
    <row r="1853" spans="1:19" ht="18.75" customHeight="1" x14ac:dyDescent="0.3">
      <c r="A1853" s="10">
        <v>1852</v>
      </c>
      <c r="B1853" s="10">
        <f>_xlfn.XLOOKUP(1,(VALUE(D1853)&gt;=VALUE(block!$C$3:$C$500))*(VALUE(D1853)&lt;VALUE(block!$C$3:$C$500)+VALUE(block!$D$3:$D$500)),block!$A$3:$A$500,"无匹配",0,1)</f>
        <v>52</v>
      </c>
      <c r="C1853" s="3" t="str">
        <f>B1853 &amp; "-" &amp; COUNTIF($B$2:B1853, B1853)</f>
        <v>52-10</v>
      </c>
      <c r="D1853" s="10">
        <v>13564</v>
      </c>
      <c r="E1853" s="1" t="s">
        <v>5363</v>
      </c>
      <c r="F1853" s="1" t="s">
        <v>5364</v>
      </c>
      <c r="G1853" s="1" t="s">
        <v>4762</v>
      </c>
      <c r="H1853" s="1" t="s">
        <v>4755</v>
      </c>
      <c r="I1853" s="6" t="str">
        <f>IF(H1853="T74",1,IF(H1853="T74",3,IF(H1853="T90",6,IF(H1853="T90",10,IF(H1853="T122",14,IF(H1853="T122",18,IF(H1853="T90",22,"")))))))</f>
        <v/>
      </c>
      <c r="J1853" s="1" t="s">
        <v>1808</v>
      </c>
      <c r="K1853" s="10">
        <v>4</v>
      </c>
      <c r="L1853" s="10">
        <v>1</v>
      </c>
      <c r="N1853" s="10">
        <v>4</v>
      </c>
      <c r="O1853" s="6"/>
      <c r="P1853" s="45" t="s">
        <v>4756</v>
      </c>
      <c r="Q1853" s="42" t="s">
        <v>4798</v>
      </c>
      <c r="R1853" s="42"/>
      <c r="S1853" s="1" t="s">
        <v>5364</v>
      </c>
    </row>
    <row r="1854" spans="1:19" ht="18.75" customHeight="1" x14ac:dyDescent="0.3">
      <c r="A1854" s="10">
        <v>1853</v>
      </c>
      <c r="B1854" s="10">
        <f>_xlfn.XLOOKUP(1,(VALUE(D1854)&gt;=VALUE(block!$C$3:$C$500))*(VALUE(D1854)&lt;VALUE(block!$C$3:$C$500)+VALUE(block!$D$3:$D$500)),block!$A$3:$A$500,"无匹配",0,1)</f>
        <v>52</v>
      </c>
      <c r="C1854" s="3" t="str">
        <f>B1854 &amp; "-" &amp; COUNTIF($B$2:B1854, B1854)</f>
        <v>52-11</v>
      </c>
      <c r="D1854" s="10">
        <v>13568</v>
      </c>
      <c r="E1854" s="1" t="s">
        <v>5365</v>
      </c>
      <c r="F1854" s="1" t="s">
        <v>5366</v>
      </c>
      <c r="G1854" s="1" t="s">
        <v>4762</v>
      </c>
      <c r="H1854" s="1" t="s">
        <v>4755</v>
      </c>
      <c r="I1854" s="6" t="str">
        <f>IF(H1854="T75",1,IF(H1854="T75",3,IF(H1854="T91",6,IF(H1854="T91",10,IF(H1854="T123",14,IF(H1854="T123",18,IF(H1854="T91",22,"")))))))</f>
        <v/>
      </c>
      <c r="J1854" s="1" t="s">
        <v>1808</v>
      </c>
      <c r="K1854" s="10">
        <v>4</v>
      </c>
      <c r="L1854" s="10">
        <v>1</v>
      </c>
      <c r="N1854" s="10">
        <v>4</v>
      </c>
      <c r="O1854" s="6"/>
      <c r="P1854" s="45" t="s">
        <v>4756</v>
      </c>
      <c r="Q1854" s="42" t="s">
        <v>4798</v>
      </c>
      <c r="R1854" s="42"/>
      <c r="S1854" s="1" t="s">
        <v>5366</v>
      </c>
    </row>
    <row r="1855" spans="1:19" ht="18.75" customHeight="1" x14ac:dyDescent="0.3">
      <c r="A1855" s="10">
        <v>1854</v>
      </c>
      <c r="B1855" s="10">
        <f>_xlfn.XLOOKUP(1,(VALUE(D1855)&gt;=VALUE(block!$C$3:$C$500))*(VALUE(D1855)&lt;VALUE(block!$C$3:$C$500)+VALUE(block!$D$3:$D$500)),block!$A$3:$A$500,"无匹配",0,1)</f>
        <v>52</v>
      </c>
      <c r="C1855" s="3" t="str">
        <f>B1855 &amp; "-" &amp; COUNTIF($B$2:B1855, B1855)</f>
        <v>52-12</v>
      </c>
      <c r="D1855" s="10">
        <v>13572</v>
      </c>
      <c r="E1855" s="1" t="s">
        <v>5367</v>
      </c>
      <c r="F1855" s="1" t="s">
        <v>5368</v>
      </c>
      <c r="G1855" s="1" t="s">
        <v>4762</v>
      </c>
      <c r="H1855" s="1" t="s">
        <v>4755</v>
      </c>
      <c r="I1855" s="6" t="str">
        <f>IF(H1855="T76",1,IF(H1855="T76",3,IF(H1855="T92",6,IF(H1855="T92",10,IF(H1855="T124",14,IF(H1855="T124",18,IF(H1855="T92",22,"")))))))</f>
        <v/>
      </c>
      <c r="J1855" s="1" t="s">
        <v>1808</v>
      </c>
      <c r="K1855" s="10">
        <v>4</v>
      </c>
      <c r="L1855" s="10">
        <v>1</v>
      </c>
      <c r="N1855" s="10">
        <v>4</v>
      </c>
      <c r="O1855" s="6"/>
      <c r="P1855" s="45" t="s">
        <v>4756</v>
      </c>
      <c r="Q1855" s="42" t="s">
        <v>4798</v>
      </c>
      <c r="R1855" s="42"/>
      <c r="S1855" s="1" t="s">
        <v>5368</v>
      </c>
    </row>
    <row r="1856" spans="1:19" ht="18.75" customHeight="1" x14ac:dyDescent="0.3">
      <c r="A1856" s="10">
        <v>1855</v>
      </c>
      <c r="B1856" s="10">
        <f>_xlfn.XLOOKUP(1,(VALUE(D1856)&gt;=VALUE(block!$C$3:$C$500))*(VALUE(D1856)&lt;VALUE(block!$C$3:$C$500)+VALUE(block!$D$3:$D$500)),block!$A$3:$A$500,"无匹配",0,1)</f>
        <v>52</v>
      </c>
      <c r="C1856" s="3" t="str">
        <f>B1856 &amp; "-" &amp; COUNTIF($B$2:B1856, B1856)</f>
        <v>52-13</v>
      </c>
      <c r="D1856" s="10">
        <v>13576</v>
      </c>
      <c r="E1856" s="1" t="s">
        <v>5369</v>
      </c>
      <c r="F1856" s="1" t="s">
        <v>5370</v>
      </c>
      <c r="G1856" s="1" t="s">
        <v>4762</v>
      </c>
      <c r="H1856" s="1" t="s">
        <v>4755</v>
      </c>
      <c r="I1856" s="6" t="str">
        <f>IF(H1856="T77",1,IF(H1856="T77",3,IF(H1856="T93",6,IF(H1856="T93",10,IF(H1856="T125",14,IF(H1856="T125",18,IF(H1856="T93",22,"")))))))</f>
        <v/>
      </c>
      <c r="J1856" s="1" t="s">
        <v>1808</v>
      </c>
      <c r="K1856" s="10">
        <v>4</v>
      </c>
      <c r="L1856" s="10">
        <v>1</v>
      </c>
      <c r="N1856" s="10">
        <v>4</v>
      </c>
      <c r="O1856" s="6"/>
      <c r="P1856" s="45" t="s">
        <v>4756</v>
      </c>
      <c r="Q1856" s="42" t="s">
        <v>4798</v>
      </c>
      <c r="R1856" s="42"/>
      <c r="S1856" s="1" t="s">
        <v>5370</v>
      </c>
    </row>
    <row r="1857" spans="1:19" ht="18.75" customHeight="1" x14ac:dyDescent="0.3">
      <c r="A1857" s="10">
        <v>1856</v>
      </c>
      <c r="B1857" s="10">
        <f>_xlfn.XLOOKUP(1,(VALUE(D1857)&gt;=VALUE(block!$C$3:$C$500))*(VALUE(D1857)&lt;VALUE(block!$C$3:$C$500)+VALUE(block!$D$3:$D$500)),block!$A$3:$A$500,"无匹配",0,1)</f>
        <v>52</v>
      </c>
      <c r="C1857" s="3" t="str">
        <f>B1857 &amp; "-" &amp; COUNTIF($B$2:B1857, B1857)</f>
        <v>52-14</v>
      </c>
      <c r="D1857" s="10">
        <v>13580</v>
      </c>
      <c r="E1857" s="1" t="s">
        <v>5371</v>
      </c>
      <c r="F1857" s="1" t="s">
        <v>5372</v>
      </c>
      <c r="G1857" s="1" t="s">
        <v>4767</v>
      </c>
      <c r="H1857" s="1" t="s">
        <v>4755</v>
      </c>
      <c r="I1857" s="6" t="str">
        <f>IF(H1857="T78",1,IF(H1857="T78",3,IF(H1857="T94",6,IF(H1857="T94",10,IF(H1857="T126",14,IF(H1857="T126",18,IF(H1857="T94",22,"")))))))</f>
        <v/>
      </c>
      <c r="J1857" s="1" t="s">
        <v>1808</v>
      </c>
      <c r="K1857" s="10">
        <v>4</v>
      </c>
      <c r="L1857" s="10">
        <v>1</v>
      </c>
      <c r="N1857" s="10">
        <v>4</v>
      </c>
      <c r="O1857" s="6"/>
      <c r="P1857" s="45" t="s">
        <v>4756</v>
      </c>
      <c r="Q1857" s="42" t="s">
        <v>4798</v>
      </c>
      <c r="R1857" s="42"/>
      <c r="S1857" s="1" t="s">
        <v>5372</v>
      </c>
    </row>
    <row r="1858" spans="1:19" ht="18.75" customHeight="1" x14ac:dyDescent="0.3">
      <c r="A1858" s="10">
        <v>1857</v>
      </c>
      <c r="B1858" s="10">
        <f>_xlfn.XLOOKUP(1,(VALUE(D1858)&gt;=VALUE(block!$C$3:$C$500))*(VALUE(D1858)&lt;VALUE(block!$C$3:$C$500)+VALUE(block!$D$3:$D$500)),block!$A$3:$A$500,"无匹配",0,1)</f>
        <v>52</v>
      </c>
      <c r="C1858" s="3" t="str">
        <f>B1858 &amp; "-" &amp; COUNTIF($B$2:B1858, B1858)</f>
        <v>52-15</v>
      </c>
      <c r="D1858" s="10">
        <v>13584</v>
      </c>
      <c r="E1858" s="1" t="s">
        <v>5373</v>
      </c>
      <c r="F1858" s="1" t="s">
        <v>5374</v>
      </c>
      <c r="G1858" s="1" t="s">
        <v>4754</v>
      </c>
      <c r="H1858" s="1" t="s">
        <v>4755</v>
      </c>
      <c r="I1858" s="6" t="str">
        <f>IF(H1858="T79",1,IF(H1858="T79",3,IF(H1858="T95",6,IF(H1858="T95",10,IF(H1858="T127",14,IF(H1858="T127",18,IF(H1858="T95",22,"")))))))</f>
        <v/>
      </c>
      <c r="J1858" s="1" t="s">
        <v>1808</v>
      </c>
      <c r="K1858" s="10">
        <v>4</v>
      </c>
      <c r="L1858" s="10">
        <v>1</v>
      </c>
      <c r="N1858" s="10">
        <v>4</v>
      </c>
      <c r="O1858" s="6"/>
      <c r="P1858" s="45" t="s">
        <v>4756</v>
      </c>
      <c r="Q1858" s="42" t="s">
        <v>4798</v>
      </c>
      <c r="R1858" s="42"/>
      <c r="S1858" s="1" t="s">
        <v>5374</v>
      </c>
    </row>
    <row r="1859" spans="1:19" ht="18.75" customHeight="1" x14ac:dyDescent="0.3">
      <c r="A1859" s="10">
        <v>1858</v>
      </c>
      <c r="B1859" s="10">
        <f>_xlfn.XLOOKUP(1,(VALUE(D1859)&gt;=VALUE(block!$C$3:$C$500))*(VALUE(D1859)&lt;VALUE(block!$C$3:$C$500)+VALUE(block!$D$3:$D$500)),block!$A$3:$A$500,"无匹配",0,1)</f>
        <v>52</v>
      </c>
      <c r="C1859" s="3" t="str">
        <f>B1859 &amp; "-" &amp; COUNTIF($B$2:B1859, B1859)</f>
        <v>52-16</v>
      </c>
      <c r="D1859" s="10">
        <v>13588</v>
      </c>
      <c r="E1859" s="1" t="s">
        <v>5375</v>
      </c>
      <c r="F1859" s="1" t="s">
        <v>5376</v>
      </c>
      <c r="G1859" s="1" t="s">
        <v>4754</v>
      </c>
      <c r="H1859" s="1" t="s">
        <v>4755</v>
      </c>
      <c r="I1859" s="6" t="str">
        <f>IF(H1859="uint16",1,IF(H1859="int16",3,IF(H1859="uint32",6,IF(H1859="int32",10,IF(H1859="uint64",14,IF(H1859="int64",18,IF(H1859="float32",22,"")))))))</f>
        <v/>
      </c>
      <c r="J1859" s="1" t="s">
        <v>1808</v>
      </c>
      <c r="K1859" s="10">
        <v>4</v>
      </c>
      <c r="L1859" s="10">
        <v>1</v>
      </c>
      <c r="N1859" s="10">
        <v>4</v>
      </c>
      <c r="O1859" s="6"/>
      <c r="P1859" s="45" t="s">
        <v>4756</v>
      </c>
      <c r="Q1859" s="42" t="s">
        <v>4798</v>
      </c>
      <c r="R1859" s="42"/>
      <c r="S1859" s="1" t="s">
        <v>5376</v>
      </c>
    </row>
    <row r="1860" spans="1:19" ht="18.75" customHeight="1" x14ac:dyDescent="0.3">
      <c r="A1860" s="10">
        <v>1859</v>
      </c>
      <c r="B1860" s="10">
        <f>_xlfn.XLOOKUP(1,(VALUE(D1860)&gt;=VALUE(block!$C$3:$C$500))*(VALUE(D1860)&lt;VALUE(block!$C$3:$C$500)+VALUE(block!$D$3:$D$500)),block!$A$3:$A$500,"无匹配",0,1)</f>
        <v>52</v>
      </c>
      <c r="C1860" s="3" t="str">
        <f>B1860 &amp; "-" &amp; COUNTIF($B$2:B1860, B1860)</f>
        <v>52-17</v>
      </c>
      <c r="D1860" s="10">
        <v>13592</v>
      </c>
      <c r="E1860" s="1" t="s">
        <v>5377</v>
      </c>
      <c r="F1860" s="1" t="s">
        <v>5378</v>
      </c>
      <c r="G1860" s="1" t="s">
        <v>4754</v>
      </c>
      <c r="H1860" s="1" t="s">
        <v>4755</v>
      </c>
      <c r="I1860" s="6" t="str">
        <f>IF(H1860="T17",1,IF(H1860="T17",3,IF(H1860="T33",6,IF(H1860="T33",10,IF(H1860="T65",14,IF(H1860="T65",18,IF(H1860="T33",22,"")))))))</f>
        <v/>
      </c>
      <c r="J1860" s="1" t="s">
        <v>1808</v>
      </c>
      <c r="K1860" s="10">
        <v>4</v>
      </c>
      <c r="L1860" s="10">
        <v>1</v>
      </c>
      <c r="N1860" s="10">
        <v>4</v>
      </c>
      <c r="O1860" s="6"/>
      <c r="P1860" s="45" t="s">
        <v>4756</v>
      </c>
      <c r="Q1860" s="42" t="s">
        <v>4798</v>
      </c>
      <c r="R1860" s="42"/>
      <c r="S1860" s="1" t="s">
        <v>5378</v>
      </c>
    </row>
    <row r="1861" spans="1:19" ht="18.75" customHeight="1" x14ac:dyDescent="0.3">
      <c r="A1861" s="10">
        <v>1860</v>
      </c>
      <c r="B1861" s="10">
        <f>_xlfn.XLOOKUP(1,(VALUE(D1861)&gt;=VALUE(block!$C$3:$C$500))*(VALUE(D1861)&lt;VALUE(block!$C$3:$C$500)+VALUE(block!$D$3:$D$500)),block!$A$3:$A$500,"无匹配",0,1)</f>
        <v>52</v>
      </c>
      <c r="C1861" s="3" t="str">
        <f>B1861 &amp; "-" &amp; COUNTIF($B$2:B1861, B1861)</f>
        <v>52-18</v>
      </c>
      <c r="D1861" s="10">
        <v>13596</v>
      </c>
      <c r="E1861" s="1" t="s">
        <v>5379</v>
      </c>
      <c r="F1861" s="1" t="s">
        <v>5380</v>
      </c>
      <c r="G1861" s="1" t="s">
        <v>4754</v>
      </c>
      <c r="H1861" s="1" t="s">
        <v>4755</v>
      </c>
      <c r="I1861" s="6" t="str">
        <f>IF(H1861="T18",1,IF(H1861="T18",3,IF(H1861="T34",6,IF(H1861="T34",10,IF(H1861="T66",14,IF(H1861="T66",18,IF(H1861="T34",22,"")))))))</f>
        <v/>
      </c>
      <c r="J1861" s="1" t="s">
        <v>1808</v>
      </c>
      <c r="K1861" s="10">
        <v>4</v>
      </c>
      <c r="L1861" s="10">
        <v>1</v>
      </c>
      <c r="N1861" s="10">
        <v>4</v>
      </c>
      <c r="O1861" s="6"/>
      <c r="P1861" s="45" t="s">
        <v>4756</v>
      </c>
      <c r="Q1861" s="42" t="s">
        <v>4798</v>
      </c>
      <c r="R1861" s="42"/>
      <c r="S1861" s="1" t="s">
        <v>5380</v>
      </c>
    </row>
    <row r="1862" spans="1:19" ht="18.75" customHeight="1" x14ac:dyDescent="0.3">
      <c r="A1862" s="10">
        <v>1861</v>
      </c>
      <c r="B1862" s="10">
        <f>_xlfn.XLOOKUP(1,(VALUE(D1862)&gt;=VALUE(block!$C$3:$C$500))*(VALUE(D1862)&lt;VALUE(block!$C$3:$C$500)+VALUE(block!$D$3:$D$500)),block!$A$3:$A$500,"无匹配",0,1)</f>
        <v>52</v>
      </c>
      <c r="C1862" s="3" t="str">
        <f>B1862 &amp; "-" &amp; COUNTIF($B$2:B1862, B1862)</f>
        <v>52-19</v>
      </c>
      <c r="D1862" s="10">
        <v>13600</v>
      </c>
      <c r="E1862" s="1" t="s">
        <v>5381</v>
      </c>
      <c r="F1862" s="1" t="s">
        <v>5382</v>
      </c>
      <c r="G1862" s="1" t="s">
        <v>4762</v>
      </c>
      <c r="H1862" s="1" t="s">
        <v>4755</v>
      </c>
      <c r="I1862" s="6" t="str">
        <f>IF(H1862="T19",1,IF(H1862="T19",3,IF(H1862="T35",6,IF(H1862="T35",10,IF(H1862="T67",14,IF(H1862="T67",18,IF(H1862="T35",22,"")))))))</f>
        <v/>
      </c>
      <c r="J1862" s="1" t="s">
        <v>1808</v>
      </c>
      <c r="K1862" s="10">
        <v>4</v>
      </c>
      <c r="L1862" s="10">
        <v>1</v>
      </c>
      <c r="N1862" s="10">
        <v>4</v>
      </c>
      <c r="O1862" s="6"/>
      <c r="P1862" s="45" t="s">
        <v>4756</v>
      </c>
      <c r="Q1862" s="42" t="s">
        <v>4798</v>
      </c>
      <c r="R1862" s="42"/>
      <c r="S1862" s="1" t="s">
        <v>5382</v>
      </c>
    </row>
    <row r="1863" spans="1:19" ht="18.75" customHeight="1" x14ac:dyDescent="0.3">
      <c r="A1863" s="10">
        <v>1862</v>
      </c>
      <c r="B1863" s="10">
        <f>_xlfn.XLOOKUP(1,(VALUE(D1863)&gt;=VALUE(block!$C$3:$C$500))*(VALUE(D1863)&lt;VALUE(block!$C$3:$C$500)+VALUE(block!$D$3:$D$500)),block!$A$3:$A$500,"无匹配",0,1)</f>
        <v>52</v>
      </c>
      <c r="C1863" s="3" t="str">
        <f>B1863 &amp; "-" &amp; COUNTIF($B$2:B1863, B1863)</f>
        <v>52-20</v>
      </c>
      <c r="D1863" s="10">
        <v>13604</v>
      </c>
      <c r="E1863" s="1" t="s">
        <v>5383</v>
      </c>
      <c r="F1863" s="1" t="s">
        <v>5384</v>
      </c>
      <c r="G1863" s="1" t="s">
        <v>4762</v>
      </c>
      <c r="H1863" s="1" t="s">
        <v>4755</v>
      </c>
      <c r="I1863" s="6" t="str">
        <f>IF(H1863="T20",1,IF(H1863="T20",3,IF(H1863="T36",6,IF(H1863="T36",10,IF(H1863="T68",14,IF(H1863="T68",18,IF(H1863="T36",22,"")))))))</f>
        <v/>
      </c>
      <c r="J1863" s="1" t="s">
        <v>1808</v>
      </c>
      <c r="K1863" s="10">
        <v>4</v>
      </c>
      <c r="L1863" s="10">
        <v>1</v>
      </c>
      <c r="N1863" s="10">
        <v>4</v>
      </c>
      <c r="O1863" s="6"/>
      <c r="P1863" s="45" t="s">
        <v>4756</v>
      </c>
      <c r="Q1863" s="42" t="s">
        <v>4798</v>
      </c>
      <c r="R1863" s="42"/>
      <c r="S1863" s="1" t="s">
        <v>5384</v>
      </c>
    </row>
    <row r="1864" spans="1:19" ht="18.75" customHeight="1" x14ac:dyDescent="0.3">
      <c r="A1864" s="10">
        <v>1863</v>
      </c>
      <c r="B1864" s="10">
        <f>_xlfn.XLOOKUP(1,(VALUE(D1864)&gt;=VALUE(block!$C$3:$C$500))*(VALUE(D1864)&lt;VALUE(block!$C$3:$C$500)+VALUE(block!$D$3:$D$500)),block!$A$3:$A$500,"无匹配",0,1)</f>
        <v>52</v>
      </c>
      <c r="C1864" s="3" t="str">
        <f>B1864 &amp; "-" &amp; COUNTIF($B$2:B1864, B1864)</f>
        <v>52-21</v>
      </c>
      <c r="D1864" s="10">
        <v>13608</v>
      </c>
      <c r="E1864" s="1" t="s">
        <v>5385</v>
      </c>
      <c r="F1864" s="1" t="s">
        <v>5386</v>
      </c>
      <c r="G1864" s="1" t="s">
        <v>4762</v>
      </c>
      <c r="H1864" s="1" t="s">
        <v>4755</v>
      </c>
      <c r="I1864" s="6" t="str">
        <f>IF(H1864="T21",1,IF(H1864="T21",3,IF(H1864="T37",6,IF(H1864="T37",10,IF(H1864="T69",14,IF(H1864="T69",18,IF(H1864="T37",22,"")))))))</f>
        <v/>
      </c>
      <c r="J1864" s="1" t="s">
        <v>1808</v>
      </c>
      <c r="K1864" s="10">
        <v>4</v>
      </c>
      <c r="L1864" s="10">
        <v>1</v>
      </c>
      <c r="N1864" s="10">
        <v>4</v>
      </c>
      <c r="O1864" s="6"/>
      <c r="P1864" s="45" t="s">
        <v>4756</v>
      </c>
      <c r="Q1864" s="42" t="s">
        <v>4798</v>
      </c>
      <c r="R1864" s="42"/>
      <c r="S1864" s="1" t="s">
        <v>5386</v>
      </c>
    </row>
    <row r="1865" spans="1:19" ht="18.75" customHeight="1" x14ac:dyDescent="0.3">
      <c r="A1865" s="10">
        <v>1864</v>
      </c>
      <c r="B1865" s="10">
        <f>_xlfn.XLOOKUP(1,(VALUE(D1865)&gt;=VALUE(block!$C$3:$C$500))*(VALUE(D1865)&lt;VALUE(block!$C$3:$C$500)+VALUE(block!$D$3:$D$500)),block!$A$3:$A$500,"无匹配",0,1)</f>
        <v>52</v>
      </c>
      <c r="C1865" s="3" t="str">
        <f>B1865 &amp; "-" &amp; COUNTIF($B$2:B1865, B1865)</f>
        <v>52-22</v>
      </c>
      <c r="D1865" s="10">
        <v>13612</v>
      </c>
      <c r="E1865" s="1" t="s">
        <v>5387</v>
      </c>
      <c r="F1865" s="1" t="s">
        <v>5388</v>
      </c>
      <c r="G1865" s="1" t="s">
        <v>4762</v>
      </c>
      <c r="H1865" s="1" t="s">
        <v>4755</v>
      </c>
      <c r="I1865" s="6" t="str">
        <f>IF(H1865="T22",1,IF(H1865="T22",3,IF(H1865="T38",6,IF(H1865="T38",10,IF(H1865="T70",14,IF(H1865="T70",18,IF(H1865="T38",22,"")))))))</f>
        <v/>
      </c>
      <c r="J1865" s="1" t="s">
        <v>1808</v>
      </c>
      <c r="K1865" s="10">
        <v>4</v>
      </c>
      <c r="L1865" s="10">
        <v>1</v>
      </c>
      <c r="N1865" s="10">
        <v>4</v>
      </c>
      <c r="O1865" s="6"/>
      <c r="P1865" s="45" t="s">
        <v>4756</v>
      </c>
      <c r="Q1865" s="42" t="s">
        <v>4798</v>
      </c>
      <c r="R1865" s="42"/>
      <c r="S1865" s="1" t="s">
        <v>5388</v>
      </c>
    </row>
    <row r="1866" spans="1:19" ht="18.75" customHeight="1" x14ac:dyDescent="0.3">
      <c r="A1866" s="10">
        <v>1865</v>
      </c>
      <c r="B1866" s="10">
        <f>_xlfn.XLOOKUP(1,(VALUE(D1866)&gt;=VALUE(block!$C$3:$C$500))*(VALUE(D1866)&lt;VALUE(block!$C$3:$C$500)+VALUE(block!$D$3:$D$500)),block!$A$3:$A$500,"无匹配",0,1)</f>
        <v>52</v>
      </c>
      <c r="C1866" s="3" t="str">
        <f>B1866 &amp; "-" &amp; COUNTIF($B$2:B1866, B1866)</f>
        <v>52-23</v>
      </c>
      <c r="D1866" s="10">
        <v>13616</v>
      </c>
      <c r="E1866" s="1" t="s">
        <v>5389</v>
      </c>
      <c r="F1866" s="1" t="s">
        <v>5390</v>
      </c>
      <c r="G1866" s="1" t="s">
        <v>4767</v>
      </c>
      <c r="H1866" s="1" t="s">
        <v>4755</v>
      </c>
      <c r="I1866" s="6" t="str">
        <f>IF(H1866="T23",1,IF(H1866="T23",3,IF(H1866="T39",6,IF(H1866="T39",10,IF(H1866="T71",14,IF(H1866="T71",18,IF(H1866="T39",22,"")))))))</f>
        <v/>
      </c>
      <c r="J1866" s="1" t="s">
        <v>1808</v>
      </c>
      <c r="K1866" s="10">
        <v>4</v>
      </c>
      <c r="L1866" s="10">
        <v>1</v>
      </c>
      <c r="N1866" s="10">
        <v>4</v>
      </c>
      <c r="O1866" s="6"/>
      <c r="P1866" s="45" t="s">
        <v>4756</v>
      </c>
      <c r="Q1866" s="42" t="s">
        <v>4798</v>
      </c>
      <c r="R1866" s="42"/>
      <c r="S1866" s="1" t="s">
        <v>5390</v>
      </c>
    </row>
    <row r="1867" spans="1:19" ht="18.75" customHeight="1" x14ac:dyDescent="0.3">
      <c r="A1867" s="10">
        <v>1866</v>
      </c>
      <c r="B1867" s="10">
        <f>_xlfn.XLOOKUP(1,(VALUE(D1867)&gt;=VALUE(block!$C$3:$C$500))*(VALUE(D1867)&lt;VALUE(block!$C$3:$C$500)+VALUE(block!$D$3:$D$500)),block!$A$3:$A$500,"无匹配",0,1)</f>
        <v>52</v>
      </c>
      <c r="C1867" s="3" t="str">
        <f>B1867 &amp; "-" &amp; COUNTIF($B$2:B1867, B1867)</f>
        <v>52-24</v>
      </c>
      <c r="D1867" s="10">
        <v>13620</v>
      </c>
      <c r="E1867" s="1" t="s">
        <v>5391</v>
      </c>
      <c r="F1867" s="1" t="s">
        <v>5392</v>
      </c>
      <c r="G1867" s="1" t="s">
        <v>4754</v>
      </c>
      <c r="H1867" s="1" t="s">
        <v>4755</v>
      </c>
      <c r="I1867" s="6" t="str">
        <f>IF(H1867="T24",1,IF(H1867="T24",3,IF(H1867="T40",6,IF(H1867="T40",10,IF(H1867="T72",14,IF(H1867="T72",18,IF(H1867="T40",22,"")))))))</f>
        <v/>
      </c>
      <c r="J1867" s="1" t="s">
        <v>1808</v>
      </c>
      <c r="K1867" s="10">
        <v>4</v>
      </c>
      <c r="L1867" s="10">
        <v>1</v>
      </c>
      <c r="N1867" s="10">
        <v>4</v>
      </c>
      <c r="O1867" s="6"/>
      <c r="P1867" s="45" t="s">
        <v>4756</v>
      </c>
      <c r="Q1867" s="42" t="s">
        <v>4798</v>
      </c>
      <c r="R1867" s="42"/>
      <c r="S1867" s="1" t="s">
        <v>5392</v>
      </c>
    </row>
    <row r="1868" spans="1:19" ht="18.75" customHeight="1" x14ac:dyDescent="0.3">
      <c r="A1868" s="10">
        <v>1867</v>
      </c>
      <c r="B1868" s="10">
        <f>_xlfn.XLOOKUP(1,(VALUE(D1868)&gt;=VALUE(block!$C$3:$C$500))*(VALUE(D1868)&lt;VALUE(block!$C$3:$C$500)+VALUE(block!$D$3:$D$500)),block!$A$3:$A$500,"无匹配",0,1)</f>
        <v>52</v>
      </c>
      <c r="C1868" s="3" t="str">
        <f>B1868 &amp; "-" &amp; COUNTIF($B$2:B1868, B1868)</f>
        <v>52-25</v>
      </c>
      <c r="D1868" s="10">
        <v>13624</v>
      </c>
      <c r="E1868" s="1" t="s">
        <v>5393</v>
      </c>
      <c r="F1868" s="1" t="s">
        <v>5394</v>
      </c>
      <c r="G1868" s="1" t="s">
        <v>4754</v>
      </c>
      <c r="H1868" s="1" t="s">
        <v>4755</v>
      </c>
      <c r="I1868" s="6" t="str">
        <f>IF(H1868="T25",1,IF(H1868="T25",3,IF(H1868="T41",6,IF(H1868="T41",10,IF(H1868="T73",14,IF(H1868="T73",18,IF(H1868="T41",22,"")))))))</f>
        <v/>
      </c>
      <c r="J1868" s="1" t="s">
        <v>1808</v>
      </c>
      <c r="K1868" s="10">
        <v>4</v>
      </c>
      <c r="L1868" s="10">
        <v>1</v>
      </c>
      <c r="N1868" s="10">
        <v>4</v>
      </c>
      <c r="O1868" s="6"/>
      <c r="P1868" s="45" t="s">
        <v>4756</v>
      </c>
      <c r="Q1868" s="42" t="s">
        <v>4798</v>
      </c>
      <c r="R1868" s="42"/>
      <c r="S1868" s="1" t="s">
        <v>5394</v>
      </c>
    </row>
    <row r="1869" spans="1:19" ht="18.75" customHeight="1" x14ac:dyDescent="0.3">
      <c r="A1869" s="10">
        <v>1868</v>
      </c>
      <c r="B1869" s="10">
        <f>_xlfn.XLOOKUP(1,(VALUE(D1869)&gt;=VALUE(block!$C$3:$C$500))*(VALUE(D1869)&lt;VALUE(block!$C$3:$C$500)+VALUE(block!$D$3:$D$500)),block!$A$3:$A$500,"无匹配",0,1)</f>
        <v>52</v>
      </c>
      <c r="C1869" s="3" t="str">
        <f>B1869 &amp; "-" &amp; COUNTIF($B$2:B1869, B1869)</f>
        <v>52-26</v>
      </c>
      <c r="D1869" s="10">
        <v>13628</v>
      </c>
      <c r="E1869" s="1" t="s">
        <v>5395</v>
      </c>
      <c r="F1869" s="1" t="s">
        <v>5396</v>
      </c>
      <c r="G1869" s="1" t="s">
        <v>4754</v>
      </c>
      <c r="H1869" s="1" t="s">
        <v>4755</v>
      </c>
      <c r="I1869" s="6" t="str">
        <f>IF(H1869="T26",1,IF(H1869="T26",3,IF(H1869="T42",6,IF(H1869="T42",10,IF(H1869="T74",14,IF(H1869="T74",18,IF(H1869="T42",22,"")))))))</f>
        <v/>
      </c>
      <c r="J1869" s="1" t="s">
        <v>1808</v>
      </c>
      <c r="K1869" s="10">
        <v>4</v>
      </c>
      <c r="L1869" s="10">
        <v>1</v>
      </c>
      <c r="N1869" s="10">
        <v>4</v>
      </c>
      <c r="O1869" s="6"/>
      <c r="P1869" s="45" t="s">
        <v>4756</v>
      </c>
      <c r="Q1869" s="42" t="s">
        <v>4798</v>
      </c>
      <c r="R1869" s="42"/>
      <c r="S1869" s="1" t="s">
        <v>5396</v>
      </c>
    </row>
    <row r="1870" spans="1:19" ht="18.75" customHeight="1" x14ac:dyDescent="0.3">
      <c r="A1870" s="10">
        <v>1869</v>
      </c>
      <c r="B1870" s="10">
        <f>_xlfn.XLOOKUP(1,(VALUE(D1870)&gt;=VALUE(block!$C$3:$C$500))*(VALUE(D1870)&lt;VALUE(block!$C$3:$C$500)+VALUE(block!$D$3:$D$500)),block!$A$3:$A$500,"无匹配",0,1)</f>
        <v>52</v>
      </c>
      <c r="C1870" s="3" t="str">
        <f>B1870 &amp; "-" &amp; COUNTIF($B$2:B1870, B1870)</f>
        <v>52-27</v>
      </c>
      <c r="D1870" s="10">
        <v>13632</v>
      </c>
      <c r="E1870" s="1" t="s">
        <v>5397</v>
      </c>
      <c r="F1870" s="1" t="s">
        <v>5398</v>
      </c>
      <c r="G1870" s="1" t="s">
        <v>4754</v>
      </c>
      <c r="H1870" s="1" t="s">
        <v>4755</v>
      </c>
      <c r="I1870" s="6" t="str">
        <f>IF(H1870="T27",1,IF(H1870="T27",3,IF(H1870="T43",6,IF(H1870="T43",10,IF(H1870="T75",14,IF(H1870="T75",18,IF(H1870="T43",22,"")))))))</f>
        <v/>
      </c>
      <c r="J1870" s="1" t="s">
        <v>1808</v>
      </c>
      <c r="K1870" s="10">
        <v>4</v>
      </c>
      <c r="L1870" s="10">
        <v>1</v>
      </c>
      <c r="N1870" s="10">
        <v>4</v>
      </c>
      <c r="O1870" s="6"/>
      <c r="P1870" s="45" t="s">
        <v>4756</v>
      </c>
      <c r="Q1870" s="42" t="s">
        <v>4798</v>
      </c>
      <c r="R1870" s="42"/>
      <c r="S1870" s="1" t="s">
        <v>5398</v>
      </c>
    </row>
    <row r="1871" spans="1:19" ht="18.75" customHeight="1" x14ac:dyDescent="0.3">
      <c r="A1871" s="10">
        <v>1870</v>
      </c>
      <c r="B1871" s="10">
        <f>_xlfn.XLOOKUP(1,(VALUE(D1871)&gt;=VALUE(block!$C$3:$C$500))*(VALUE(D1871)&lt;VALUE(block!$C$3:$C$500)+VALUE(block!$D$3:$D$500)),block!$A$3:$A$500,"无匹配",0,1)</f>
        <v>52</v>
      </c>
      <c r="C1871" s="3" t="str">
        <f>B1871 &amp; "-" &amp; COUNTIF($B$2:B1871, B1871)</f>
        <v>52-28</v>
      </c>
      <c r="D1871" s="10">
        <v>13636</v>
      </c>
      <c r="E1871" s="1" t="s">
        <v>5399</v>
      </c>
      <c r="F1871" s="1" t="s">
        <v>5400</v>
      </c>
      <c r="G1871" s="1" t="s">
        <v>4762</v>
      </c>
      <c r="H1871" s="1" t="s">
        <v>4755</v>
      </c>
      <c r="I1871" s="6" t="str">
        <f>IF(H1871="T28",1,IF(H1871="T28",3,IF(H1871="T44",6,IF(H1871="T44",10,IF(H1871="T76",14,IF(H1871="T76",18,IF(H1871="T44",22,"")))))))</f>
        <v/>
      </c>
      <c r="J1871" s="1" t="s">
        <v>1808</v>
      </c>
      <c r="K1871" s="10">
        <v>4</v>
      </c>
      <c r="L1871" s="10">
        <v>1</v>
      </c>
      <c r="N1871" s="10">
        <v>4</v>
      </c>
      <c r="O1871" s="6"/>
      <c r="P1871" s="45" t="s">
        <v>4756</v>
      </c>
      <c r="Q1871" s="42" t="s">
        <v>4798</v>
      </c>
      <c r="R1871" s="42"/>
      <c r="S1871" s="1" t="s">
        <v>5400</v>
      </c>
    </row>
    <row r="1872" spans="1:19" ht="18.75" customHeight="1" x14ac:dyDescent="0.3">
      <c r="A1872" s="10">
        <v>1871</v>
      </c>
      <c r="B1872" s="10">
        <f>_xlfn.XLOOKUP(1,(VALUE(D1872)&gt;=VALUE(block!$C$3:$C$500))*(VALUE(D1872)&lt;VALUE(block!$C$3:$C$500)+VALUE(block!$D$3:$D$500)),block!$A$3:$A$500,"无匹配",0,1)</f>
        <v>52</v>
      </c>
      <c r="C1872" s="3" t="str">
        <f>B1872 &amp; "-" &amp; COUNTIF($B$2:B1872, B1872)</f>
        <v>52-29</v>
      </c>
      <c r="D1872" s="10">
        <v>13640</v>
      </c>
      <c r="E1872" s="1" t="s">
        <v>5401</v>
      </c>
      <c r="F1872" s="1" t="s">
        <v>5402</v>
      </c>
      <c r="G1872" s="1" t="s">
        <v>4762</v>
      </c>
      <c r="H1872" s="1" t="s">
        <v>4755</v>
      </c>
      <c r="I1872" s="6" t="str">
        <f>IF(H1872="T29",1,IF(H1872="T29",3,IF(H1872="T45",6,IF(H1872="T45",10,IF(H1872="T77",14,IF(H1872="T77",18,IF(H1872="T45",22,"")))))))</f>
        <v/>
      </c>
      <c r="J1872" s="1" t="s">
        <v>1808</v>
      </c>
      <c r="K1872" s="10">
        <v>4</v>
      </c>
      <c r="L1872" s="10">
        <v>1</v>
      </c>
      <c r="N1872" s="10">
        <v>4</v>
      </c>
      <c r="O1872" s="6"/>
      <c r="P1872" s="45" t="s">
        <v>4756</v>
      </c>
      <c r="Q1872" s="42" t="s">
        <v>4798</v>
      </c>
      <c r="R1872" s="42"/>
      <c r="S1872" s="1" t="s">
        <v>5402</v>
      </c>
    </row>
    <row r="1873" spans="1:19" ht="18.75" customHeight="1" x14ac:dyDescent="0.3">
      <c r="A1873" s="10">
        <v>1872</v>
      </c>
      <c r="B1873" s="10">
        <f>_xlfn.XLOOKUP(1,(VALUE(D1873)&gt;=VALUE(block!$C$3:$C$500))*(VALUE(D1873)&lt;VALUE(block!$C$3:$C$500)+VALUE(block!$D$3:$D$500)),block!$A$3:$A$500,"无匹配",0,1)</f>
        <v>52</v>
      </c>
      <c r="C1873" s="3" t="str">
        <f>B1873 &amp; "-" &amp; COUNTIF($B$2:B1873, B1873)</f>
        <v>52-30</v>
      </c>
      <c r="D1873" s="10">
        <v>13644</v>
      </c>
      <c r="E1873" s="1" t="s">
        <v>5403</v>
      </c>
      <c r="F1873" s="1" t="s">
        <v>5404</v>
      </c>
      <c r="G1873" s="1" t="s">
        <v>4762</v>
      </c>
      <c r="H1873" s="1" t="s">
        <v>4755</v>
      </c>
      <c r="I1873" s="6" t="str">
        <f>IF(H1873="T30",1,IF(H1873="T30",3,IF(H1873="T46",6,IF(H1873="T46",10,IF(H1873="T78",14,IF(H1873="T78",18,IF(H1873="T46",22,"")))))))</f>
        <v/>
      </c>
      <c r="J1873" s="1" t="s">
        <v>1808</v>
      </c>
      <c r="K1873" s="10">
        <v>4</v>
      </c>
      <c r="L1873" s="10">
        <v>1</v>
      </c>
      <c r="N1873" s="10">
        <v>4</v>
      </c>
      <c r="O1873" s="6"/>
      <c r="P1873" s="45" t="s">
        <v>4756</v>
      </c>
      <c r="Q1873" s="42" t="s">
        <v>4798</v>
      </c>
      <c r="R1873" s="42"/>
      <c r="S1873" s="1" t="s">
        <v>5404</v>
      </c>
    </row>
    <row r="1874" spans="1:19" ht="18.75" customHeight="1" x14ac:dyDescent="0.3">
      <c r="A1874" s="10">
        <v>1873</v>
      </c>
      <c r="B1874" s="10">
        <f>_xlfn.XLOOKUP(1,(VALUE(D1874)&gt;=VALUE(block!$C$3:$C$500))*(VALUE(D1874)&lt;VALUE(block!$C$3:$C$500)+VALUE(block!$D$3:$D$500)),block!$A$3:$A$500,"无匹配",0,1)</f>
        <v>52</v>
      </c>
      <c r="C1874" s="3" t="str">
        <f>B1874 &amp; "-" &amp; COUNTIF($B$2:B1874, B1874)</f>
        <v>52-31</v>
      </c>
      <c r="D1874" s="10">
        <v>13648</v>
      </c>
      <c r="E1874" s="1" t="s">
        <v>5405</v>
      </c>
      <c r="F1874" s="1" t="s">
        <v>5406</v>
      </c>
      <c r="G1874" s="1" t="s">
        <v>4762</v>
      </c>
      <c r="H1874" s="1" t="s">
        <v>4755</v>
      </c>
      <c r="I1874" s="6" t="str">
        <f>IF(H1874="T31",1,IF(H1874="T31",3,IF(H1874="T47",6,IF(H1874="T47",10,IF(H1874="T79",14,IF(H1874="T79",18,IF(H1874="T47",22,"")))))))</f>
        <v/>
      </c>
      <c r="J1874" s="1" t="s">
        <v>1808</v>
      </c>
      <c r="K1874" s="10">
        <v>4</v>
      </c>
      <c r="L1874" s="10">
        <v>1</v>
      </c>
      <c r="N1874" s="10">
        <v>4</v>
      </c>
      <c r="O1874" s="6"/>
      <c r="P1874" s="45" t="s">
        <v>4756</v>
      </c>
      <c r="Q1874" s="42" t="s">
        <v>4798</v>
      </c>
      <c r="R1874" s="42"/>
      <c r="S1874" s="1" t="s">
        <v>5406</v>
      </c>
    </row>
    <row r="1875" spans="1:19" ht="18.75" customHeight="1" x14ac:dyDescent="0.3">
      <c r="A1875" s="10">
        <v>1874</v>
      </c>
      <c r="B1875" s="10">
        <f>_xlfn.XLOOKUP(1,(VALUE(D1875)&gt;=VALUE(block!$C$3:$C$500))*(VALUE(D1875)&lt;VALUE(block!$C$3:$C$500)+VALUE(block!$D$3:$D$500)),block!$A$3:$A$500,"无匹配",0,1)</f>
        <v>53</v>
      </c>
      <c r="C1875" s="3" t="str">
        <f>B1875 &amp; "-" &amp; COUNTIF($B$2:B1875, B1875)</f>
        <v>53-1</v>
      </c>
      <c r="D1875" s="10">
        <v>13652</v>
      </c>
      <c r="E1875" s="1" t="s">
        <v>5407</v>
      </c>
      <c r="F1875" s="1" t="s">
        <v>5408</v>
      </c>
      <c r="G1875" s="1" t="s">
        <v>4767</v>
      </c>
      <c r="H1875" s="1" t="s">
        <v>4755</v>
      </c>
      <c r="I1875" s="6" t="str">
        <f>IF(H1875="T32",1,IF(H1875="T32",3,IF(H1875="T48",6,IF(H1875="T48",10,IF(H1875="T80",14,IF(H1875="T80",18,IF(H1875="T48",22,"")))))))</f>
        <v/>
      </c>
      <c r="J1875" s="1" t="s">
        <v>1808</v>
      </c>
      <c r="K1875" s="10">
        <v>4</v>
      </c>
      <c r="L1875" s="10">
        <v>1</v>
      </c>
      <c r="N1875" s="10">
        <v>4</v>
      </c>
      <c r="O1875" s="6"/>
      <c r="P1875" s="45" t="s">
        <v>4756</v>
      </c>
      <c r="Q1875" s="42" t="s">
        <v>4798</v>
      </c>
      <c r="R1875" s="42"/>
      <c r="S1875" s="1" t="s">
        <v>5408</v>
      </c>
    </row>
    <row r="1876" spans="1:19" ht="18.75" customHeight="1" x14ac:dyDescent="0.3">
      <c r="A1876" s="10">
        <v>1875</v>
      </c>
      <c r="B1876" s="10">
        <f>_xlfn.XLOOKUP(1,(VALUE(D1876)&gt;=VALUE(block!$C$3:$C$500))*(VALUE(D1876)&lt;VALUE(block!$C$3:$C$500)+VALUE(block!$D$3:$D$500)),block!$A$3:$A$500,"无匹配",0,1)</f>
        <v>53</v>
      </c>
      <c r="C1876" s="3" t="str">
        <f>B1876 &amp; "-" &amp; COUNTIF($B$2:B1876, B1876)</f>
        <v>53-2</v>
      </c>
      <c r="D1876" s="10">
        <v>13656</v>
      </c>
      <c r="E1876" s="1" t="s">
        <v>5409</v>
      </c>
      <c r="F1876" s="1" t="s">
        <v>5410</v>
      </c>
      <c r="G1876" s="1" t="s">
        <v>4754</v>
      </c>
      <c r="H1876" s="1" t="s">
        <v>4755</v>
      </c>
      <c r="I1876" s="6" t="str">
        <f>IF(H1876="T33",1,IF(H1876="T33",3,IF(H1876="T49",6,IF(H1876="T49",10,IF(H1876="T81",14,IF(H1876="T81",18,IF(H1876="T49",22,"")))))))</f>
        <v/>
      </c>
      <c r="J1876" s="1" t="s">
        <v>1808</v>
      </c>
      <c r="K1876" s="10">
        <v>4</v>
      </c>
      <c r="L1876" s="10">
        <v>1</v>
      </c>
      <c r="N1876" s="10">
        <v>4</v>
      </c>
      <c r="O1876" s="6"/>
      <c r="P1876" s="45" t="s">
        <v>4756</v>
      </c>
      <c r="Q1876" s="42" t="s">
        <v>4798</v>
      </c>
      <c r="R1876" s="42"/>
      <c r="S1876" s="1" t="s">
        <v>5410</v>
      </c>
    </row>
    <row r="1877" spans="1:19" ht="18.75" customHeight="1" x14ac:dyDescent="0.3">
      <c r="A1877" s="10">
        <v>1876</v>
      </c>
      <c r="B1877" s="10">
        <f>_xlfn.XLOOKUP(1,(VALUE(D1877)&gt;=VALUE(block!$C$3:$C$500))*(VALUE(D1877)&lt;VALUE(block!$C$3:$C$500)+VALUE(block!$D$3:$D$500)),block!$A$3:$A$500,"无匹配",0,1)</f>
        <v>53</v>
      </c>
      <c r="C1877" s="3" t="str">
        <f>B1877 &amp; "-" &amp; COUNTIF($B$2:B1877, B1877)</f>
        <v>53-3</v>
      </c>
      <c r="D1877" s="10">
        <v>13660</v>
      </c>
      <c r="E1877" s="1" t="s">
        <v>5411</v>
      </c>
      <c r="F1877" s="1" t="s">
        <v>5412</v>
      </c>
      <c r="G1877" s="1" t="s">
        <v>4754</v>
      </c>
      <c r="H1877" s="1" t="s">
        <v>4755</v>
      </c>
      <c r="I1877" s="6" t="str">
        <f>IF(H1877="T34",1,IF(H1877="T34",3,IF(H1877="T50",6,IF(H1877="T50",10,IF(H1877="T82",14,IF(H1877="T82",18,IF(H1877="T50",22,"")))))))</f>
        <v/>
      </c>
      <c r="J1877" s="1" t="s">
        <v>1808</v>
      </c>
      <c r="K1877" s="10">
        <v>4</v>
      </c>
      <c r="L1877" s="10">
        <v>1</v>
      </c>
      <c r="N1877" s="10">
        <v>4</v>
      </c>
      <c r="O1877" s="6"/>
      <c r="P1877" s="45" t="s">
        <v>4756</v>
      </c>
      <c r="Q1877" s="42" t="s">
        <v>4798</v>
      </c>
      <c r="R1877" s="42"/>
      <c r="S1877" s="1" t="s">
        <v>5412</v>
      </c>
    </row>
    <row r="1878" spans="1:19" ht="18.75" customHeight="1" x14ac:dyDescent="0.3">
      <c r="A1878" s="10">
        <v>1877</v>
      </c>
      <c r="B1878" s="10">
        <f>_xlfn.XLOOKUP(1,(VALUE(D1878)&gt;=VALUE(block!$C$3:$C$500))*(VALUE(D1878)&lt;VALUE(block!$C$3:$C$500)+VALUE(block!$D$3:$D$500)),block!$A$3:$A$500,"无匹配",0,1)</f>
        <v>53</v>
      </c>
      <c r="C1878" s="3" t="str">
        <f>B1878 &amp; "-" &amp; COUNTIF($B$2:B1878, B1878)</f>
        <v>53-4</v>
      </c>
      <c r="D1878" s="10">
        <v>13664</v>
      </c>
      <c r="E1878" s="1" t="s">
        <v>5413</v>
      </c>
      <c r="F1878" s="1" t="s">
        <v>5414</v>
      </c>
      <c r="G1878" s="1" t="s">
        <v>4754</v>
      </c>
      <c r="H1878" s="1" t="s">
        <v>4755</v>
      </c>
      <c r="I1878" s="6" t="str">
        <f>IF(H1878="T35",1,IF(H1878="T35",3,IF(H1878="T51",6,IF(H1878="T51",10,IF(H1878="T83",14,IF(H1878="T83",18,IF(H1878="T51",22,"")))))))</f>
        <v/>
      </c>
      <c r="J1878" s="1" t="s">
        <v>1808</v>
      </c>
      <c r="K1878" s="10">
        <v>4</v>
      </c>
      <c r="L1878" s="10">
        <v>1</v>
      </c>
      <c r="N1878" s="10">
        <v>4</v>
      </c>
      <c r="O1878" s="6"/>
      <c r="P1878" s="45" t="s">
        <v>4756</v>
      </c>
      <c r="Q1878" s="42" t="s">
        <v>4798</v>
      </c>
      <c r="R1878" s="42"/>
      <c r="S1878" s="1" t="s">
        <v>5414</v>
      </c>
    </row>
    <row r="1879" spans="1:19" ht="18.75" customHeight="1" x14ac:dyDescent="0.3">
      <c r="A1879" s="10">
        <v>1878</v>
      </c>
      <c r="B1879" s="10">
        <f>_xlfn.XLOOKUP(1,(VALUE(D1879)&gt;=VALUE(block!$C$3:$C$500))*(VALUE(D1879)&lt;VALUE(block!$C$3:$C$500)+VALUE(block!$D$3:$D$500)),block!$A$3:$A$500,"无匹配",0,1)</f>
        <v>53</v>
      </c>
      <c r="C1879" s="3" t="str">
        <f>B1879 &amp; "-" &amp; COUNTIF($B$2:B1879, B1879)</f>
        <v>53-5</v>
      </c>
      <c r="D1879" s="10">
        <v>13668</v>
      </c>
      <c r="E1879" s="1" t="s">
        <v>5415</v>
      </c>
      <c r="F1879" s="1" t="s">
        <v>5416</v>
      </c>
      <c r="G1879" s="1" t="s">
        <v>4754</v>
      </c>
      <c r="H1879" s="1" t="s">
        <v>4755</v>
      </c>
      <c r="I1879" s="6" t="str">
        <f>IF(H1879="T36",1,IF(H1879="T36",3,IF(H1879="T52",6,IF(H1879="T52",10,IF(H1879="T84",14,IF(H1879="T84",18,IF(H1879="T52",22,"")))))))</f>
        <v/>
      </c>
      <c r="J1879" s="1" t="s">
        <v>1808</v>
      </c>
      <c r="K1879" s="10">
        <v>4</v>
      </c>
      <c r="L1879" s="10">
        <v>1</v>
      </c>
      <c r="N1879" s="10">
        <v>4</v>
      </c>
      <c r="O1879" s="6"/>
      <c r="P1879" s="45" t="s">
        <v>4756</v>
      </c>
      <c r="Q1879" s="42" t="s">
        <v>4798</v>
      </c>
      <c r="R1879" s="42"/>
      <c r="S1879" s="1" t="s">
        <v>5416</v>
      </c>
    </row>
    <row r="1880" spans="1:19" ht="18.75" customHeight="1" x14ac:dyDescent="0.3">
      <c r="A1880" s="10">
        <v>1879</v>
      </c>
      <c r="B1880" s="10">
        <f>_xlfn.XLOOKUP(1,(VALUE(D1880)&gt;=VALUE(block!$C$3:$C$500))*(VALUE(D1880)&lt;VALUE(block!$C$3:$C$500)+VALUE(block!$D$3:$D$500)),block!$A$3:$A$500,"无匹配",0,1)</f>
        <v>53</v>
      </c>
      <c r="C1880" s="3" t="str">
        <f>B1880 &amp; "-" &amp; COUNTIF($B$2:B1880, B1880)</f>
        <v>53-6</v>
      </c>
      <c r="D1880" s="10">
        <v>13672</v>
      </c>
      <c r="E1880" s="1" t="s">
        <v>5417</v>
      </c>
      <c r="F1880" s="1" t="s">
        <v>5418</v>
      </c>
      <c r="G1880" s="1" t="s">
        <v>4762</v>
      </c>
      <c r="H1880" s="1" t="s">
        <v>4755</v>
      </c>
      <c r="I1880" s="6" t="str">
        <f>IF(H1880="T37",1,IF(H1880="T37",3,IF(H1880="T53",6,IF(H1880="T53",10,IF(H1880="T85",14,IF(H1880="T85",18,IF(H1880="T53",22,"")))))))</f>
        <v/>
      </c>
      <c r="J1880" s="1" t="s">
        <v>1808</v>
      </c>
      <c r="K1880" s="10">
        <v>4</v>
      </c>
      <c r="L1880" s="10">
        <v>1</v>
      </c>
      <c r="N1880" s="10">
        <v>4</v>
      </c>
      <c r="O1880" s="6"/>
      <c r="P1880" s="45" t="s">
        <v>4756</v>
      </c>
      <c r="Q1880" s="42" t="s">
        <v>4798</v>
      </c>
      <c r="R1880" s="42"/>
      <c r="S1880" s="1" t="s">
        <v>5418</v>
      </c>
    </row>
    <row r="1881" spans="1:19" ht="18.75" customHeight="1" x14ac:dyDescent="0.3">
      <c r="A1881" s="10">
        <v>1880</v>
      </c>
      <c r="B1881" s="10">
        <f>_xlfn.XLOOKUP(1,(VALUE(D1881)&gt;=VALUE(block!$C$3:$C$500))*(VALUE(D1881)&lt;VALUE(block!$C$3:$C$500)+VALUE(block!$D$3:$D$500)),block!$A$3:$A$500,"无匹配",0,1)</f>
        <v>53</v>
      </c>
      <c r="C1881" s="3" t="str">
        <f>B1881 &amp; "-" &amp; COUNTIF($B$2:B1881, B1881)</f>
        <v>53-7</v>
      </c>
      <c r="D1881" s="10">
        <v>13676</v>
      </c>
      <c r="E1881" s="1" t="s">
        <v>5419</v>
      </c>
      <c r="F1881" s="1" t="s">
        <v>5420</v>
      </c>
      <c r="G1881" s="1" t="s">
        <v>4762</v>
      </c>
      <c r="H1881" s="1" t="s">
        <v>4755</v>
      </c>
      <c r="I1881" s="6" t="str">
        <f>IF(H1881="T38",1,IF(H1881="T38",3,IF(H1881="T54",6,IF(H1881="T54",10,IF(H1881="T86",14,IF(H1881="T86",18,IF(H1881="T54",22,"")))))))</f>
        <v/>
      </c>
      <c r="J1881" s="1" t="s">
        <v>1808</v>
      </c>
      <c r="K1881" s="10">
        <v>4</v>
      </c>
      <c r="L1881" s="10">
        <v>1</v>
      </c>
      <c r="N1881" s="10">
        <v>4</v>
      </c>
      <c r="O1881" s="6"/>
      <c r="P1881" s="45" t="s">
        <v>4756</v>
      </c>
      <c r="Q1881" s="42" t="s">
        <v>4798</v>
      </c>
      <c r="R1881" s="42"/>
      <c r="S1881" s="1" t="s">
        <v>5420</v>
      </c>
    </row>
    <row r="1882" spans="1:19" ht="18.75" customHeight="1" x14ac:dyDescent="0.3">
      <c r="A1882" s="10">
        <v>1881</v>
      </c>
      <c r="B1882" s="10">
        <f>_xlfn.XLOOKUP(1,(VALUE(D1882)&gt;=VALUE(block!$C$3:$C$500))*(VALUE(D1882)&lt;VALUE(block!$C$3:$C$500)+VALUE(block!$D$3:$D$500)),block!$A$3:$A$500,"无匹配",0,1)</f>
        <v>53</v>
      </c>
      <c r="C1882" s="3" t="str">
        <f>B1882 &amp; "-" &amp; COUNTIF($B$2:B1882, B1882)</f>
        <v>53-8</v>
      </c>
      <c r="D1882" s="10">
        <v>13680</v>
      </c>
      <c r="E1882" s="1" t="s">
        <v>5421</v>
      </c>
      <c r="F1882" s="1" t="s">
        <v>5422</v>
      </c>
      <c r="G1882" s="1" t="s">
        <v>4762</v>
      </c>
      <c r="H1882" s="1" t="s">
        <v>4755</v>
      </c>
      <c r="I1882" s="6" t="str">
        <f>IF(H1882="T39",1,IF(H1882="T39",3,IF(H1882="T55",6,IF(H1882="T55",10,IF(H1882="T87",14,IF(H1882="T87",18,IF(H1882="T55",22,"")))))))</f>
        <v/>
      </c>
      <c r="J1882" s="1" t="s">
        <v>1808</v>
      </c>
      <c r="K1882" s="10">
        <v>4</v>
      </c>
      <c r="L1882" s="10">
        <v>1</v>
      </c>
      <c r="N1882" s="10">
        <v>4</v>
      </c>
      <c r="O1882" s="6"/>
      <c r="P1882" s="45" t="s">
        <v>4756</v>
      </c>
      <c r="Q1882" s="42" t="s">
        <v>4798</v>
      </c>
      <c r="R1882" s="42"/>
      <c r="S1882" s="1" t="s">
        <v>5422</v>
      </c>
    </row>
    <row r="1883" spans="1:19" ht="18.75" customHeight="1" x14ac:dyDescent="0.3">
      <c r="A1883" s="10">
        <v>1882</v>
      </c>
      <c r="B1883" s="10">
        <f>_xlfn.XLOOKUP(1,(VALUE(D1883)&gt;=VALUE(block!$C$3:$C$500))*(VALUE(D1883)&lt;VALUE(block!$C$3:$C$500)+VALUE(block!$D$3:$D$500)),block!$A$3:$A$500,"无匹配",0,1)</f>
        <v>53</v>
      </c>
      <c r="C1883" s="3" t="str">
        <f>B1883 &amp; "-" &amp; COUNTIF($B$2:B1883, B1883)</f>
        <v>53-9</v>
      </c>
      <c r="D1883" s="10">
        <v>13684</v>
      </c>
      <c r="E1883" s="1" t="s">
        <v>5423</v>
      </c>
      <c r="F1883" s="1" t="s">
        <v>5424</v>
      </c>
      <c r="G1883" s="1" t="s">
        <v>4762</v>
      </c>
      <c r="H1883" s="1" t="s">
        <v>4755</v>
      </c>
      <c r="I1883" s="6" t="str">
        <f>IF(H1883="T40",1,IF(H1883="T40",3,IF(H1883="T56",6,IF(H1883="T56",10,IF(H1883="T88",14,IF(H1883="T88",18,IF(H1883="T56",22,"")))))))</f>
        <v/>
      </c>
      <c r="J1883" s="1" t="s">
        <v>1808</v>
      </c>
      <c r="K1883" s="10">
        <v>4</v>
      </c>
      <c r="L1883" s="10">
        <v>1</v>
      </c>
      <c r="N1883" s="10">
        <v>4</v>
      </c>
      <c r="O1883" s="6"/>
      <c r="P1883" s="45" t="s">
        <v>4756</v>
      </c>
      <c r="Q1883" s="42" t="s">
        <v>4798</v>
      </c>
      <c r="R1883" s="42"/>
      <c r="S1883" s="1" t="s">
        <v>5424</v>
      </c>
    </row>
    <row r="1884" spans="1:19" ht="18.75" customHeight="1" x14ac:dyDescent="0.3">
      <c r="A1884" s="10">
        <v>1883</v>
      </c>
      <c r="B1884" s="10">
        <f>_xlfn.XLOOKUP(1,(VALUE(D1884)&gt;=VALUE(block!$C$3:$C$500))*(VALUE(D1884)&lt;VALUE(block!$C$3:$C$500)+VALUE(block!$D$3:$D$500)),block!$A$3:$A$500,"无匹配",0,1)</f>
        <v>53</v>
      </c>
      <c r="C1884" s="3" t="str">
        <f>B1884 &amp; "-" &amp; COUNTIF($B$2:B1884, B1884)</f>
        <v>53-10</v>
      </c>
      <c r="D1884" s="10">
        <v>13688</v>
      </c>
      <c r="E1884" s="1" t="s">
        <v>5425</v>
      </c>
      <c r="F1884" s="1" t="s">
        <v>5426</v>
      </c>
      <c r="G1884" s="1" t="s">
        <v>4767</v>
      </c>
      <c r="H1884" s="1" t="s">
        <v>4755</v>
      </c>
      <c r="I1884" s="6" t="str">
        <f>IF(H1884="T41",1,IF(H1884="T41",3,IF(H1884="T57",6,IF(H1884="T57",10,IF(H1884="T89",14,IF(H1884="T89",18,IF(H1884="T57",22,"")))))))</f>
        <v/>
      </c>
      <c r="J1884" s="1" t="s">
        <v>1808</v>
      </c>
      <c r="K1884" s="10">
        <v>4</v>
      </c>
      <c r="L1884" s="10">
        <v>1</v>
      </c>
      <c r="N1884" s="10">
        <v>4</v>
      </c>
      <c r="O1884" s="6"/>
      <c r="P1884" s="45" t="s">
        <v>4756</v>
      </c>
      <c r="Q1884" s="42" t="s">
        <v>4798</v>
      </c>
      <c r="R1884" s="42"/>
      <c r="S1884" s="1" t="s">
        <v>5426</v>
      </c>
    </row>
    <row r="1885" spans="1:19" ht="18.75" customHeight="1" x14ac:dyDescent="0.3">
      <c r="A1885" s="10">
        <v>1884</v>
      </c>
      <c r="B1885" s="10">
        <f>_xlfn.XLOOKUP(1,(VALUE(D1885)&gt;=VALUE(block!$C$3:$C$500))*(VALUE(D1885)&lt;VALUE(block!$C$3:$C$500)+VALUE(block!$D$3:$D$500)),block!$A$3:$A$500,"无匹配",0,1)</f>
        <v>53</v>
      </c>
      <c r="C1885" s="3" t="str">
        <f>B1885 &amp; "-" &amp; COUNTIF($B$2:B1885, B1885)</f>
        <v>53-11</v>
      </c>
      <c r="D1885" s="10">
        <v>13692</v>
      </c>
      <c r="E1885" s="1" t="s">
        <v>5427</v>
      </c>
      <c r="F1885" s="1" t="s">
        <v>5428</v>
      </c>
      <c r="G1885" s="1" t="s">
        <v>4754</v>
      </c>
      <c r="H1885" s="1" t="s">
        <v>4755</v>
      </c>
      <c r="I1885" s="6" t="str">
        <f>IF(H1885="T42",1,IF(H1885="T42",3,IF(H1885="T58",6,IF(H1885="T58",10,IF(H1885="T90",14,IF(H1885="T90",18,IF(H1885="T58",22,"")))))))</f>
        <v/>
      </c>
      <c r="J1885" s="1" t="s">
        <v>1808</v>
      </c>
      <c r="K1885" s="10">
        <v>4</v>
      </c>
      <c r="L1885" s="10">
        <v>1</v>
      </c>
      <c r="N1885" s="10">
        <v>4</v>
      </c>
      <c r="O1885" s="6"/>
      <c r="P1885" s="45" t="s">
        <v>4756</v>
      </c>
      <c r="Q1885" s="42" t="s">
        <v>4798</v>
      </c>
      <c r="R1885" s="42"/>
      <c r="S1885" s="1" t="s">
        <v>5428</v>
      </c>
    </row>
    <row r="1886" spans="1:19" ht="18.75" customHeight="1" x14ac:dyDescent="0.3">
      <c r="A1886" s="10">
        <v>1885</v>
      </c>
      <c r="B1886" s="10">
        <f>_xlfn.XLOOKUP(1,(VALUE(D1886)&gt;=VALUE(block!$C$3:$C$500))*(VALUE(D1886)&lt;VALUE(block!$C$3:$C$500)+VALUE(block!$D$3:$D$500)),block!$A$3:$A$500,"无匹配",0,1)</f>
        <v>53</v>
      </c>
      <c r="C1886" s="3" t="str">
        <f>B1886 &amp; "-" &amp; COUNTIF($B$2:B1886, B1886)</f>
        <v>53-12</v>
      </c>
      <c r="D1886" s="10">
        <v>13696</v>
      </c>
      <c r="E1886" s="1" t="s">
        <v>5429</v>
      </c>
      <c r="F1886" s="1" t="s">
        <v>5430</v>
      </c>
      <c r="G1886" s="1" t="s">
        <v>4754</v>
      </c>
      <c r="H1886" s="1" t="s">
        <v>4755</v>
      </c>
      <c r="I1886" s="6" t="str">
        <f>IF(H1886="T43",1,IF(H1886="T43",3,IF(H1886="T59",6,IF(H1886="T59",10,IF(H1886="T91",14,IF(H1886="T91",18,IF(H1886="T59",22,"")))))))</f>
        <v/>
      </c>
      <c r="J1886" s="1" t="s">
        <v>1808</v>
      </c>
      <c r="K1886" s="10">
        <v>4</v>
      </c>
      <c r="L1886" s="10">
        <v>1</v>
      </c>
      <c r="N1886" s="10">
        <v>4</v>
      </c>
      <c r="O1886" s="6"/>
      <c r="P1886" s="45" t="s">
        <v>4756</v>
      </c>
      <c r="Q1886" s="42" t="s">
        <v>4798</v>
      </c>
      <c r="R1886" s="42"/>
      <c r="S1886" s="1" t="s">
        <v>5430</v>
      </c>
    </row>
    <row r="1887" spans="1:19" ht="18.75" customHeight="1" x14ac:dyDescent="0.3">
      <c r="A1887" s="10">
        <v>1886</v>
      </c>
      <c r="B1887" s="10">
        <f>_xlfn.XLOOKUP(1,(VALUE(D1887)&gt;=VALUE(block!$C$3:$C$500))*(VALUE(D1887)&lt;VALUE(block!$C$3:$C$500)+VALUE(block!$D$3:$D$500)),block!$A$3:$A$500,"无匹配",0,1)</f>
        <v>53</v>
      </c>
      <c r="C1887" s="3" t="str">
        <f>B1887 &amp; "-" &amp; COUNTIF($B$2:B1887, B1887)</f>
        <v>53-13</v>
      </c>
      <c r="D1887" s="10">
        <v>13700</v>
      </c>
      <c r="E1887" s="1" t="s">
        <v>5431</v>
      </c>
      <c r="F1887" s="1" t="s">
        <v>5432</v>
      </c>
      <c r="G1887" s="1" t="s">
        <v>4754</v>
      </c>
      <c r="H1887" s="1" t="s">
        <v>4755</v>
      </c>
      <c r="I1887" s="6" t="str">
        <f>IF(H1887="T44",1,IF(H1887="T44",3,IF(H1887="T60",6,IF(H1887="T60",10,IF(H1887="T92",14,IF(H1887="T92",18,IF(H1887="T60",22,"")))))))</f>
        <v/>
      </c>
      <c r="J1887" s="1" t="s">
        <v>1808</v>
      </c>
      <c r="K1887" s="10">
        <v>4</v>
      </c>
      <c r="L1887" s="10">
        <v>1</v>
      </c>
      <c r="N1887" s="10">
        <v>4</v>
      </c>
      <c r="O1887" s="6"/>
      <c r="P1887" s="45" t="s">
        <v>4756</v>
      </c>
      <c r="Q1887" s="42" t="s">
        <v>4798</v>
      </c>
      <c r="R1887" s="42"/>
      <c r="S1887" s="1" t="s">
        <v>5432</v>
      </c>
    </row>
    <row r="1888" spans="1:19" ht="18.75" customHeight="1" x14ac:dyDescent="0.3">
      <c r="A1888" s="10">
        <v>1887</v>
      </c>
      <c r="B1888" s="10">
        <f>_xlfn.XLOOKUP(1,(VALUE(D1888)&gt;=VALUE(block!$C$3:$C$500))*(VALUE(D1888)&lt;VALUE(block!$C$3:$C$500)+VALUE(block!$D$3:$D$500)),block!$A$3:$A$500,"无匹配",0,1)</f>
        <v>53</v>
      </c>
      <c r="C1888" s="3" t="str">
        <f>B1888 &amp; "-" &amp; COUNTIF($B$2:B1888, B1888)</f>
        <v>53-14</v>
      </c>
      <c r="D1888" s="10">
        <v>13704</v>
      </c>
      <c r="E1888" s="1" t="s">
        <v>5433</v>
      </c>
      <c r="F1888" s="1" t="s">
        <v>5434</v>
      </c>
      <c r="G1888" s="1" t="s">
        <v>4754</v>
      </c>
      <c r="H1888" s="1" t="s">
        <v>4755</v>
      </c>
      <c r="I1888" s="6" t="str">
        <f>IF(H1888="T45",1,IF(H1888="T45",3,IF(H1888="T61",6,IF(H1888="T61",10,IF(H1888="T93",14,IF(H1888="T93",18,IF(H1888="T61",22,"")))))))</f>
        <v/>
      </c>
      <c r="J1888" s="1" t="s">
        <v>1808</v>
      </c>
      <c r="K1888" s="10">
        <v>4</v>
      </c>
      <c r="L1888" s="10">
        <v>1</v>
      </c>
      <c r="N1888" s="10">
        <v>4</v>
      </c>
      <c r="O1888" s="6"/>
      <c r="P1888" s="45" t="s">
        <v>4756</v>
      </c>
      <c r="Q1888" s="42" t="s">
        <v>4798</v>
      </c>
      <c r="R1888" s="42"/>
      <c r="S1888" s="1" t="s">
        <v>5434</v>
      </c>
    </row>
    <row r="1889" spans="1:19" ht="18.75" customHeight="1" x14ac:dyDescent="0.3">
      <c r="A1889" s="10">
        <v>1888</v>
      </c>
      <c r="B1889" s="10">
        <f>_xlfn.XLOOKUP(1,(VALUE(D1889)&gt;=VALUE(block!$C$3:$C$500))*(VALUE(D1889)&lt;VALUE(block!$C$3:$C$500)+VALUE(block!$D$3:$D$500)),block!$A$3:$A$500,"无匹配",0,1)</f>
        <v>53</v>
      </c>
      <c r="C1889" s="3" t="str">
        <f>B1889 &amp; "-" &amp; COUNTIF($B$2:B1889, B1889)</f>
        <v>53-15</v>
      </c>
      <c r="D1889" s="10">
        <v>13708</v>
      </c>
      <c r="E1889" s="1" t="s">
        <v>5435</v>
      </c>
      <c r="F1889" s="1" t="s">
        <v>5436</v>
      </c>
      <c r="G1889" s="1" t="s">
        <v>4762</v>
      </c>
      <c r="H1889" s="1" t="s">
        <v>4755</v>
      </c>
      <c r="I1889" s="6" t="str">
        <f>IF(H1889="T46",1,IF(H1889="T46",3,IF(H1889="T62",6,IF(H1889="T62",10,IF(H1889="T94",14,IF(H1889="T94",18,IF(H1889="T62",22,"")))))))</f>
        <v/>
      </c>
      <c r="J1889" s="1" t="s">
        <v>1808</v>
      </c>
      <c r="K1889" s="10">
        <v>4</v>
      </c>
      <c r="L1889" s="10">
        <v>1</v>
      </c>
      <c r="N1889" s="10">
        <v>4</v>
      </c>
      <c r="O1889" s="6"/>
      <c r="P1889" s="45" t="s">
        <v>4756</v>
      </c>
      <c r="Q1889" s="42" t="s">
        <v>4798</v>
      </c>
      <c r="R1889" s="42"/>
      <c r="S1889" s="1" t="s">
        <v>5436</v>
      </c>
    </row>
    <row r="1890" spans="1:19" ht="18.75" customHeight="1" x14ac:dyDescent="0.3">
      <c r="A1890" s="10">
        <v>1889</v>
      </c>
      <c r="B1890" s="10">
        <f>_xlfn.XLOOKUP(1,(VALUE(D1890)&gt;=VALUE(block!$C$3:$C$500))*(VALUE(D1890)&lt;VALUE(block!$C$3:$C$500)+VALUE(block!$D$3:$D$500)),block!$A$3:$A$500,"无匹配",0,1)</f>
        <v>53</v>
      </c>
      <c r="C1890" s="3" t="str">
        <f>B1890 &amp; "-" &amp; COUNTIF($B$2:B1890, B1890)</f>
        <v>53-16</v>
      </c>
      <c r="D1890" s="10">
        <v>13712</v>
      </c>
      <c r="E1890" s="1" t="s">
        <v>5437</v>
      </c>
      <c r="F1890" s="1" t="s">
        <v>5438</v>
      </c>
      <c r="G1890" s="1" t="s">
        <v>4762</v>
      </c>
      <c r="H1890" s="1" t="s">
        <v>4755</v>
      </c>
      <c r="I1890" s="6" t="str">
        <f>IF(H1890="T47",1,IF(H1890="T47",3,IF(H1890="T63",6,IF(H1890="T63",10,IF(H1890="T95",14,IF(H1890="T95",18,IF(H1890="T63",22,"")))))))</f>
        <v/>
      </c>
      <c r="J1890" s="1" t="s">
        <v>1808</v>
      </c>
      <c r="K1890" s="10">
        <v>4</v>
      </c>
      <c r="L1890" s="10">
        <v>1</v>
      </c>
      <c r="N1890" s="10">
        <v>4</v>
      </c>
      <c r="O1890" s="6"/>
      <c r="P1890" s="45" t="s">
        <v>4756</v>
      </c>
      <c r="Q1890" s="42" t="s">
        <v>4798</v>
      </c>
      <c r="R1890" s="42"/>
      <c r="S1890" s="1" t="s">
        <v>5438</v>
      </c>
    </row>
    <row r="1891" spans="1:19" ht="18.75" customHeight="1" x14ac:dyDescent="0.3">
      <c r="A1891" s="10">
        <v>1890</v>
      </c>
      <c r="B1891" s="10">
        <f>_xlfn.XLOOKUP(1,(VALUE(D1891)&gt;=VALUE(block!$C$3:$C$500))*(VALUE(D1891)&lt;VALUE(block!$C$3:$C$500)+VALUE(block!$D$3:$D$500)),block!$A$3:$A$500,"无匹配",0,1)</f>
        <v>53</v>
      </c>
      <c r="C1891" s="3" t="str">
        <f>B1891 &amp; "-" &amp; COUNTIF($B$2:B1891, B1891)</f>
        <v>53-17</v>
      </c>
      <c r="D1891" s="10">
        <v>13716</v>
      </c>
      <c r="E1891" s="1" t="s">
        <v>5439</v>
      </c>
      <c r="F1891" s="1" t="s">
        <v>5440</v>
      </c>
      <c r="G1891" s="1" t="s">
        <v>4762</v>
      </c>
      <c r="H1891" s="1" t="s">
        <v>4755</v>
      </c>
      <c r="I1891" s="6" t="str">
        <f>IF(H1891="T48",1,IF(H1891="T48",3,IF(H1891="T64",6,IF(H1891="T64",10,IF(H1891="T96",14,IF(H1891="T96",18,IF(H1891="T64",22,"")))))))</f>
        <v/>
      </c>
      <c r="J1891" s="1" t="s">
        <v>1808</v>
      </c>
      <c r="K1891" s="10">
        <v>4</v>
      </c>
      <c r="L1891" s="10">
        <v>1</v>
      </c>
      <c r="N1891" s="10">
        <v>4</v>
      </c>
      <c r="O1891" s="6"/>
      <c r="P1891" s="45" t="s">
        <v>4756</v>
      </c>
      <c r="Q1891" s="42" t="s">
        <v>4798</v>
      </c>
      <c r="R1891" s="42"/>
      <c r="S1891" s="1" t="s">
        <v>5440</v>
      </c>
    </row>
    <row r="1892" spans="1:19" ht="18.75" customHeight="1" x14ac:dyDescent="0.3">
      <c r="A1892" s="10">
        <v>1891</v>
      </c>
      <c r="B1892" s="10">
        <f>_xlfn.XLOOKUP(1,(VALUE(D1892)&gt;=VALUE(block!$C$3:$C$500))*(VALUE(D1892)&lt;VALUE(block!$C$3:$C$500)+VALUE(block!$D$3:$D$500)),block!$A$3:$A$500,"无匹配",0,1)</f>
        <v>53</v>
      </c>
      <c r="C1892" s="3" t="str">
        <f>B1892 &amp; "-" &amp; COUNTIF($B$2:B1892, B1892)</f>
        <v>53-18</v>
      </c>
      <c r="D1892" s="10">
        <v>13720</v>
      </c>
      <c r="E1892" s="1" t="s">
        <v>5441</v>
      </c>
      <c r="F1892" s="1" t="s">
        <v>5442</v>
      </c>
      <c r="G1892" s="1" t="s">
        <v>4762</v>
      </c>
      <c r="H1892" s="1" t="s">
        <v>4755</v>
      </c>
      <c r="I1892" s="6" t="str">
        <f>IF(H1892="T49",1,IF(H1892="T49",3,IF(H1892="T65",6,IF(H1892="T65",10,IF(H1892="T97",14,IF(H1892="T97",18,IF(H1892="T65",22,"")))))))</f>
        <v/>
      </c>
      <c r="J1892" s="1" t="s">
        <v>1808</v>
      </c>
      <c r="K1892" s="10">
        <v>4</v>
      </c>
      <c r="L1892" s="10">
        <v>1</v>
      </c>
      <c r="N1892" s="10">
        <v>4</v>
      </c>
      <c r="O1892" s="6"/>
      <c r="P1892" s="45" t="s">
        <v>4756</v>
      </c>
      <c r="Q1892" s="42" t="s">
        <v>4798</v>
      </c>
      <c r="R1892" s="42"/>
      <c r="S1892" s="1" t="s">
        <v>5442</v>
      </c>
    </row>
    <row r="1893" spans="1:19" ht="18.75" customHeight="1" x14ac:dyDescent="0.3">
      <c r="A1893" s="10">
        <v>1892</v>
      </c>
      <c r="B1893" s="10">
        <f>_xlfn.XLOOKUP(1,(VALUE(D1893)&gt;=VALUE(block!$C$3:$C$500))*(VALUE(D1893)&lt;VALUE(block!$C$3:$C$500)+VALUE(block!$D$3:$D$500)),block!$A$3:$A$500,"无匹配",0,1)</f>
        <v>53</v>
      </c>
      <c r="C1893" s="3" t="str">
        <f>B1893 &amp; "-" &amp; COUNTIF($B$2:B1893, B1893)</f>
        <v>53-19</v>
      </c>
      <c r="D1893" s="10">
        <v>13724</v>
      </c>
      <c r="E1893" s="1" t="s">
        <v>5443</v>
      </c>
      <c r="F1893" s="1" t="s">
        <v>5444</v>
      </c>
      <c r="G1893" s="1" t="s">
        <v>4767</v>
      </c>
      <c r="H1893" s="1" t="s">
        <v>4755</v>
      </c>
      <c r="I1893" s="6" t="str">
        <f>IF(H1893="T50",1,IF(H1893="T50",3,IF(H1893="T66",6,IF(H1893="T66",10,IF(H1893="T98",14,IF(H1893="T98",18,IF(H1893="T66",22,"")))))))</f>
        <v/>
      </c>
      <c r="J1893" s="1" t="s">
        <v>1808</v>
      </c>
      <c r="K1893" s="10">
        <v>4</v>
      </c>
      <c r="L1893" s="10">
        <v>1</v>
      </c>
      <c r="N1893" s="10">
        <v>4</v>
      </c>
      <c r="O1893" s="6"/>
      <c r="P1893" s="45" t="s">
        <v>4756</v>
      </c>
      <c r="Q1893" s="42" t="s">
        <v>4798</v>
      </c>
      <c r="R1893" s="42"/>
      <c r="S1893" s="1" t="s">
        <v>5444</v>
      </c>
    </row>
    <row r="1894" spans="1:19" ht="18.75" customHeight="1" x14ac:dyDescent="0.3">
      <c r="A1894" s="10">
        <v>1893</v>
      </c>
      <c r="B1894" s="10">
        <f>_xlfn.XLOOKUP(1,(VALUE(D1894)&gt;=VALUE(block!$C$3:$C$500))*(VALUE(D1894)&lt;VALUE(block!$C$3:$C$500)+VALUE(block!$D$3:$D$500)),block!$A$3:$A$500,"无匹配",0,1)</f>
        <v>54</v>
      </c>
      <c r="C1894" s="3" t="str">
        <f>B1894 &amp; "-" &amp; COUNTIF($B$2:B1894, B1894)</f>
        <v>54-1</v>
      </c>
      <c r="D1894" s="10">
        <v>25600</v>
      </c>
      <c r="E1894" s="3" t="s">
        <v>5445</v>
      </c>
      <c r="F1894" s="3" t="s">
        <v>5446</v>
      </c>
      <c r="H1894" s="1" t="s">
        <v>1838</v>
      </c>
      <c r="I1894" s="10" t="str">
        <f>IF(H1894="T51",1,IF(H1894="T51",3,IF(H1894="T67",6,IF(H1894="T67",10,IF(H1894="T99",14,IF(H1894="T99",18,IF(H1894="T67",22,"")))))))</f>
        <v/>
      </c>
      <c r="J1894" s="3" t="s">
        <v>5447</v>
      </c>
      <c r="K1894" s="10">
        <v>2</v>
      </c>
      <c r="L1894" s="10">
        <v>1</v>
      </c>
      <c r="O1894" s="6"/>
      <c r="P1894" s="45" t="s">
        <v>5448</v>
      </c>
      <c r="Q1894" s="42" t="s">
        <v>5449</v>
      </c>
      <c r="R1894" s="42"/>
      <c r="S1894" s="3" t="s">
        <v>5446</v>
      </c>
    </row>
    <row r="1895" spans="1:19" ht="18.75" customHeight="1" x14ac:dyDescent="0.3">
      <c r="A1895" s="10">
        <v>1894</v>
      </c>
      <c r="B1895" s="10">
        <f>_xlfn.XLOOKUP(1,(VALUE(D1895)&gt;=VALUE(block!$C$3:$C$500))*(VALUE(D1895)&lt;VALUE(block!$C$3:$C$500)+VALUE(block!$D$3:$D$500)),block!$A$3:$A$500,"无匹配",0,1)</f>
        <v>54</v>
      </c>
      <c r="C1895" s="3" t="str">
        <f>B1895 &amp; "-" &amp; COUNTIF($B$2:B1895, B1895)</f>
        <v>54-2</v>
      </c>
      <c r="D1895" s="10">
        <v>25602</v>
      </c>
      <c r="E1895" s="1" t="s">
        <v>5450</v>
      </c>
      <c r="F1895" s="1" t="s">
        <v>5451</v>
      </c>
      <c r="H1895" s="1" t="s">
        <v>1838</v>
      </c>
      <c r="I1895" s="10" t="str">
        <f>IF(H1895="T52",1,IF(H1895="T52",3,IF(H1895="T68",6,IF(H1895="T68",10,IF(H1895="T100",14,IF(H1895="T100",18,IF(H1895="T68",22,"")))))))</f>
        <v/>
      </c>
      <c r="J1895" s="3" t="s">
        <v>5447</v>
      </c>
      <c r="K1895" s="10">
        <v>2</v>
      </c>
      <c r="L1895" s="10">
        <v>1</v>
      </c>
      <c r="O1895" s="6"/>
      <c r="P1895" s="45" t="s">
        <v>5448</v>
      </c>
      <c r="Q1895" s="42" t="s">
        <v>5449</v>
      </c>
      <c r="R1895" s="42"/>
      <c r="S1895" s="1" t="s">
        <v>5451</v>
      </c>
    </row>
    <row r="1896" spans="1:19" ht="18.75" customHeight="1" x14ac:dyDescent="0.3">
      <c r="A1896" s="10">
        <v>1895</v>
      </c>
      <c r="B1896" s="10">
        <f>_xlfn.XLOOKUP(1,(VALUE(D1896)&gt;=VALUE(block!$C$3:$C$500))*(VALUE(D1896)&lt;VALUE(block!$C$3:$C$500)+VALUE(block!$D$3:$D$500)),block!$A$3:$A$500,"无匹配",0,1)</f>
        <v>54</v>
      </c>
      <c r="C1896" s="3" t="str">
        <f>B1896 &amp; "-" &amp; COUNTIF($B$2:B1896, B1896)</f>
        <v>54-3</v>
      </c>
      <c r="D1896" s="10">
        <v>25604</v>
      </c>
      <c r="E1896" s="1" t="s">
        <v>5452</v>
      </c>
      <c r="F1896" s="1" t="s">
        <v>5453</v>
      </c>
      <c r="H1896" s="1" t="s">
        <v>1838</v>
      </c>
      <c r="I1896" s="10" t="str">
        <f>IF(H1896="T53",1,IF(H1896="T53",3,IF(H1896="T69",6,IF(H1896="T69",10,IF(H1896="T101",14,IF(H1896="T101",18,IF(H1896="T69",22,"")))))))</f>
        <v/>
      </c>
      <c r="J1896" s="3" t="s">
        <v>5447</v>
      </c>
      <c r="K1896" s="10">
        <v>2</v>
      </c>
      <c r="L1896" s="10">
        <v>1</v>
      </c>
      <c r="O1896" s="6"/>
      <c r="P1896" s="45" t="s">
        <v>5448</v>
      </c>
      <c r="Q1896" s="42" t="s">
        <v>5449</v>
      </c>
      <c r="R1896" s="42"/>
      <c r="S1896" s="1" t="s">
        <v>5453</v>
      </c>
    </row>
    <row r="1897" spans="1:19" ht="18.75" customHeight="1" x14ac:dyDescent="0.3">
      <c r="A1897" s="10">
        <v>1896</v>
      </c>
      <c r="B1897" s="10">
        <f>_xlfn.XLOOKUP(1,(VALUE(D1897)&gt;=VALUE(block!$C$3:$C$500))*(VALUE(D1897)&lt;VALUE(block!$C$3:$C$500)+VALUE(block!$D$3:$D$500)),block!$A$3:$A$500,"无匹配",0,1)</f>
        <v>54</v>
      </c>
      <c r="C1897" s="3" t="str">
        <f>B1897 &amp; "-" &amp; COUNTIF($B$2:B1897, B1897)</f>
        <v>54-4</v>
      </c>
      <c r="D1897" s="10">
        <v>25606</v>
      </c>
      <c r="E1897" s="1" t="s">
        <v>5454</v>
      </c>
      <c r="F1897" s="1" t="s">
        <v>5455</v>
      </c>
      <c r="H1897" s="1" t="s">
        <v>1838</v>
      </c>
      <c r="I1897" s="10" t="str">
        <f>IF(H1897="T54",1,IF(H1897="T54",3,IF(H1897="T70",6,IF(H1897="T70",10,IF(H1897="T102",14,IF(H1897="T102",18,IF(H1897="T70",22,"")))))))</f>
        <v/>
      </c>
      <c r="J1897" s="3" t="s">
        <v>5447</v>
      </c>
      <c r="K1897" s="10">
        <v>2</v>
      </c>
      <c r="L1897" s="10">
        <v>1</v>
      </c>
      <c r="O1897" s="6"/>
      <c r="P1897" s="45" t="s">
        <v>5448</v>
      </c>
      <c r="Q1897" s="42" t="s">
        <v>5449</v>
      </c>
      <c r="R1897" s="42"/>
      <c r="S1897" s="1" t="s">
        <v>5455</v>
      </c>
    </row>
    <row r="1898" spans="1:19" ht="18.75" customHeight="1" x14ac:dyDescent="0.3">
      <c r="A1898" s="10">
        <v>1897</v>
      </c>
      <c r="B1898" s="10">
        <f>_xlfn.XLOOKUP(1,(VALUE(D1898)&gt;=VALUE(block!$C$3:$C$500))*(VALUE(D1898)&lt;VALUE(block!$C$3:$C$500)+VALUE(block!$D$3:$D$500)),block!$A$3:$A$500,"无匹配",0,1)</f>
        <v>55</v>
      </c>
      <c r="C1898" s="3" t="str">
        <f>B1898 &amp; "-" &amp; COUNTIF($B$2:B1898, B1898)</f>
        <v>55-1</v>
      </c>
      <c r="D1898" s="10">
        <v>0</v>
      </c>
      <c r="E1898" s="3" t="s">
        <v>5456</v>
      </c>
      <c r="F1898" s="1" t="s">
        <v>5457</v>
      </c>
      <c r="H1898" s="3" t="s">
        <v>5458</v>
      </c>
      <c r="I1898" s="10" t="str">
        <f>IF(H1898="T55",1,IF(H1898="T55",3,IF(H1898="T71",6,IF(H1898="T71",10,IF(H1898="T103",14,IF(H1898="T103",18,IF(H1898="T71",22,"")))))))</f>
        <v/>
      </c>
      <c r="J1898" s="1" t="s">
        <v>1808</v>
      </c>
      <c r="K1898" s="10">
        <v>1</v>
      </c>
      <c r="L1898" s="10">
        <v>1</v>
      </c>
      <c r="O1898" s="6"/>
      <c r="P1898" s="45" t="s">
        <v>5459</v>
      </c>
      <c r="Q1898" s="42" t="s">
        <v>5449</v>
      </c>
      <c r="R1898" s="42"/>
      <c r="S1898" s="1" t="s">
        <v>5457</v>
      </c>
    </row>
    <row r="1899" spans="1:19" ht="18.75" customHeight="1" x14ac:dyDescent="0.3">
      <c r="A1899" s="10">
        <v>1898</v>
      </c>
      <c r="B1899" s="10">
        <f>_xlfn.XLOOKUP(1,(VALUE(D1899)&gt;=VALUE(block!$C$3:$C$500))*(VALUE(D1899)&lt;VALUE(block!$C$3:$C$500)+VALUE(block!$D$3:$D$500)),block!$A$3:$A$500,"无匹配",0,1)</f>
        <v>55</v>
      </c>
      <c r="C1899" s="3" t="str">
        <f>B1899 &amp; "-" &amp; COUNTIF($B$2:B1899, B1899)</f>
        <v>55-2</v>
      </c>
      <c r="D1899" s="10">
        <v>1</v>
      </c>
      <c r="E1899" s="1" t="s">
        <v>5460</v>
      </c>
      <c r="F1899" s="1" t="s">
        <v>5461</v>
      </c>
      <c r="H1899" s="3" t="s">
        <v>5458</v>
      </c>
      <c r="I1899" s="10" t="str">
        <f>IF(H1899="T56",1,IF(H1899="T56",3,IF(H1899="T72",6,IF(H1899="T72",10,IF(H1899="T104",14,IF(H1899="T104",18,IF(H1899="T72",22,"")))))))</f>
        <v/>
      </c>
      <c r="J1899" s="1" t="s">
        <v>1808</v>
      </c>
      <c r="K1899" s="10">
        <v>1</v>
      </c>
      <c r="L1899" s="10">
        <v>1</v>
      </c>
      <c r="O1899" s="6"/>
      <c r="P1899" s="45" t="s">
        <v>5459</v>
      </c>
      <c r="Q1899" s="42" t="s">
        <v>5449</v>
      </c>
      <c r="R1899" s="42"/>
      <c r="S1899" s="1" t="s">
        <v>5461</v>
      </c>
    </row>
    <row r="1900" spans="1:19" ht="18.75" customHeight="1" x14ac:dyDescent="0.3">
      <c r="A1900" s="10">
        <v>1899</v>
      </c>
      <c r="B1900" s="10">
        <f>_xlfn.XLOOKUP(1,(VALUE(D1900)&gt;=VALUE(block!$C$3:$C$500))*(VALUE(D1900)&lt;VALUE(block!$C$3:$C$500)+VALUE(block!$D$3:$D$500)),block!$A$3:$A$500,"无匹配",0,1)</f>
        <v>55</v>
      </c>
      <c r="C1900" s="3" t="str">
        <f>B1900 &amp; "-" &amp; COUNTIF($B$2:B1900, B1900)</f>
        <v>55-3</v>
      </c>
      <c r="D1900" s="10">
        <v>2</v>
      </c>
      <c r="E1900" s="1" t="s">
        <v>5462</v>
      </c>
      <c r="F1900" s="1" t="s">
        <v>5463</v>
      </c>
      <c r="H1900" s="3" t="s">
        <v>5458</v>
      </c>
      <c r="I1900" s="10" t="str">
        <f>IF(H1900="T57",1,IF(H1900="T57",3,IF(H1900="T73",6,IF(H1900="T73",10,IF(H1900="T105",14,IF(H1900="T105",18,IF(H1900="T73",22,"")))))))</f>
        <v/>
      </c>
      <c r="J1900" s="1" t="s">
        <v>1808</v>
      </c>
      <c r="K1900" s="10">
        <v>1</v>
      </c>
      <c r="L1900" s="10">
        <v>1</v>
      </c>
      <c r="O1900" s="6"/>
      <c r="P1900" s="45" t="s">
        <v>5459</v>
      </c>
      <c r="Q1900" s="42" t="s">
        <v>5449</v>
      </c>
      <c r="R1900" s="42"/>
      <c r="S1900" s="1" t="s">
        <v>5463</v>
      </c>
    </row>
    <row r="1901" spans="1:19" ht="18.75" customHeight="1" x14ac:dyDescent="0.3">
      <c r="A1901" s="10">
        <v>1900</v>
      </c>
      <c r="B1901" s="10">
        <f>_xlfn.XLOOKUP(1,(VALUE(D1901)&gt;=VALUE(block!$C$3:$C$500))*(VALUE(D1901)&lt;VALUE(block!$C$3:$C$500)+VALUE(block!$D$3:$D$500)),block!$A$3:$A$500,"无匹配",0,1)</f>
        <v>55</v>
      </c>
      <c r="C1901" s="3" t="str">
        <f>B1901 &amp; "-" &amp; COUNTIF($B$2:B1901, B1901)</f>
        <v>55-4</v>
      </c>
      <c r="D1901" s="10">
        <v>3</v>
      </c>
      <c r="E1901" s="1" t="s">
        <v>5464</v>
      </c>
      <c r="F1901" s="1" t="s">
        <v>5465</v>
      </c>
      <c r="H1901" s="3" t="s">
        <v>5458</v>
      </c>
      <c r="I1901" s="10" t="str">
        <f>IF(H1901="T58",1,IF(H1901="T58",3,IF(H1901="T74",6,IF(H1901="T74",10,IF(H1901="T106",14,IF(H1901="T106",18,IF(H1901="T74",22,"")))))))</f>
        <v/>
      </c>
      <c r="J1901" s="1" t="s">
        <v>1808</v>
      </c>
      <c r="K1901" s="10">
        <v>1</v>
      </c>
      <c r="L1901" s="10">
        <v>1</v>
      </c>
      <c r="O1901" s="6"/>
      <c r="P1901" s="45" t="s">
        <v>5459</v>
      </c>
      <c r="Q1901" s="42" t="s">
        <v>5449</v>
      </c>
      <c r="R1901" s="42"/>
      <c r="S1901" s="1" t="s">
        <v>5465</v>
      </c>
    </row>
    <row r="1902" spans="1:19" ht="18.75" customHeight="1" x14ac:dyDescent="0.3">
      <c r="A1902" s="10">
        <v>1901</v>
      </c>
      <c r="B1902" s="10">
        <f>_xlfn.XLOOKUP(1,(VALUE(D1902)&gt;=VALUE(block!$C$3:$C$500))*(VALUE(D1902)&lt;VALUE(block!$C$3:$C$500)+VALUE(block!$D$3:$D$500)),block!$A$3:$A$500,"无匹配",0,1)</f>
        <v>55</v>
      </c>
      <c r="C1902" s="3" t="str">
        <f>B1902 &amp; "-" &amp; COUNTIF($B$2:B1902, B1902)</f>
        <v>55-5</v>
      </c>
      <c r="D1902" s="10">
        <v>0</v>
      </c>
      <c r="E1902" s="1" t="s">
        <v>5466</v>
      </c>
      <c r="F1902" s="1" t="s">
        <v>5467</v>
      </c>
      <c r="H1902" s="3" t="s">
        <v>5458</v>
      </c>
      <c r="I1902" s="10" t="str">
        <f>IF(H1902="T59",1,IF(H1902="T59",3,IF(H1902="T75",6,IF(H1902="T75",10,IF(H1902="T107",14,IF(H1902="T107",18,IF(H1902="T75",22,"")))))))</f>
        <v/>
      </c>
      <c r="J1902" s="3" t="s">
        <v>5447</v>
      </c>
      <c r="K1902" s="10">
        <v>1</v>
      </c>
      <c r="L1902" s="10">
        <v>1</v>
      </c>
      <c r="O1902" s="6"/>
      <c r="P1902" s="45" t="s">
        <v>5468</v>
      </c>
      <c r="Q1902" s="42" t="s">
        <v>5449</v>
      </c>
      <c r="R1902" s="42"/>
      <c r="S1902" s="1" t="s">
        <v>5467</v>
      </c>
    </row>
    <row r="1903" spans="1:19" ht="18.75" customHeight="1" x14ac:dyDescent="0.3">
      <c r="A1903" s="10">
        <v>1902</v>
      </c>
      <c r="B1903" s="10">
        <f>_xlfn.XLOOKUP(1,(VALUE(D1903)&gt;=VALUE(block!$C$3:$C$500))*(VALUE(D1903)&lt;VALUE(block!$C$3:$C$500)+VALUE(block!$D$3:$D$500)),block!$A$3:$A$500,"无匹配",0,1)</f>
        <v>55</v>
      </c>
      <c r="C1903" s="3" t="str">
        <f>B1903 &amp; "-" &amp; COUNTIF($B$2:B1903, B1903)</f>
        <v>55-6</v>
      </c>
      <c r="D1903" s="10">
        <v>1</v>
      </c>
      <c r="E1903" s="1" t="s">
        <v>5469</v>
      </c>
      <c r="F1903" s="1" t="s">
        <v>5470</v>
      </c>
      <c r="H1903" s="3" t="s">
        <v>5458</v>
      </c>
      <c r="I1903" s="10" t="str">
        <f>IF(H1903="T60",1,IF(H1903="T60",3,IF(H1903="T76",6,IF(H1903="T76",10,IF(H1903="T108",14,IF(H1903="T108",18,IF(H1903="T76",22,"")))))))</f>
        <v/>
      </c>
      <c r="J1903" s="3" t="s">
        <v>5447</v>
      </c>
      <c r="K1903" s="10">
        <v>1</v>
      </c>
      <c r="L1903" s="10">
        <v>1</v>
      </c>
      <c r="O1903" s="6"/>
      <c r="P1903" s="45" t="s">
        <v>5468</v>
      </c>
      <c r="Q1903" s="42" t="s">
        <v>5449</v>
      </c>
      <c r="R1903" s="42"/>
      <c r="S1903" s="1" t="s">
        <v>5470</v>
      </c>
    </row>
    <row r="1904" spans="1:19" ht="18.75" customHeight="1" x14ac:dyDescent="0.3">
      <c r="A1904" s="10">
        <v>1903</v>
      </c>
      <c r="B1904" s="10">
        <f>_xlfn.XLOOKUP(1,(VALUE(D1904)&gt;=VALUE(block!$C$3:$C$500))*(VALUE(D1904)&lt;VALUE(block!$C$3:$C$500)+VALUE(block!$D$3:$D$500)),block!$A$3:$A$500,"无匹配",0,1)</f>
        <v>55</v>
      </c>
      <c r="C1904" s="3" t="str">
        <f>B1904 &amp; "-" &amp; COUNTIF($B$2:B1904, B1904)</f>
        <v>55-7</v>
      </c>
      <c r="D1904" s="10">
        <v>2</v>
      </c>
      <c r="E1904" s="1" t="s">
        <v>5471</v>
      </c>
      <c r="F1904" s="1" t="s">
        <v>5472</v>
      </c>
      <c r="H1904" s="3" t="s">
        <v>5458</v>
      </c>
      <c r="I1904" s="10" t="str">
        <f>IF(H1904="T61",1,IF(H1904="T61",3,IF(H1904="T77",6,IF(H1904="T77",10,IF(H1904="T109",14,IF(H1904="T109",18,IF(H1904="T77",22,"")))))))</f>
        <v/>
      </c>
      <c r="J1904" s="3" t="s">
        <v>5447</v>
      </c>
      <c r="K1904" s="10">
        <v>1</v>
      </c>
      <c r="L1904" s="10">
        <v>1</v>
      </c>
      <c r="O1904" s="6"/>
      <c r="P1904" s="45" t="s">
        <v>5468</v>
      </c>
      <c r="Q1904" s="42" t="s">
        <v>5449</v>
      </c>
      <c r="R1904" s="42"/>
      <c r="S1904" s="1" t="s">
        <v>5472</v>
      </c>
    </row>
    <row r="1905" spans="1:19" ht="18.75" customHeight="1" x14ac:dyDescent="0.3">
      <c r="A1905" s="10">
        <v>1904</v>
      </c>
      <c r="B1905" s="10">
        <f>_xlfn.XLOOKUP(1,(VALUE(D1905)&gt;=VALUE(block!$C$3:$C$500))*(VALUE(D1905)&lt;VALUE(block!$C$3:$C$500)+VALUE(block!$D$3:$D$500)),block!$A$3:$A$500,"无匹配",0,1)</f>
        <v>55</v>
      </c>
      <c r="C1905" s="3" t="str">
        <f>B1905 &amp; "-" &amp; COUNTIF($B$2:B1905, B1905)</f>
        <v>55-8</v>
      </c>
      <c r="D1905" s="10">
        <v>3</v>
      </c>
      <c r="E1905" s="1" t="s">
        <v>5473</v>
      </c>
      <c r="F1905" s="1" t="s">
        <v>5474</v>
      </c>
      <c r="H1905" s="3" t="s">
        <v>5458</v>
      </c>
      <c r="I1905" s="10" t="str">
        <f>IF(H1905="T62",1,IF(H1905="T62",3,IF(H1905="T78",6,IF(H1905="T78",10,IF(H1905="T110",14,IF(H1905="T110",18,IF(H1905="T78",22,"")))))))</f>
        <v/>
      </c>
      <c r="J1905" s="3" t="s">
        <v>5447</v>
      </c>
      <c r="K1905" s="10">
        <v>1</v>
      </c>
      <c r="L1905" s="10">
        <v>1</v>
      </c>
      <c r="O1905" s="6"/>
      <c r="P1905" s="45" t="s">
        <v>5468</v>
      </c>
      <c r="Q1905" s="42" t="s">
        <v>5449</v>
      </c>
      <c r="R1905" s="42"/>
      <c r="S1905" s="1" t="s">
        <v>5474</v>
      </c>
    </row>
    <row r="1906" spans="1:19" ht="18.75" customHeight="1" x14ac:dyDescent="0.3">
      <c r="A1906" s="10">
        <v>1905</v>
      </c>
      <c r="B1906" s="10">
        <f>_xlfn.XLOOKUP(1,(VALUE(D1906)&gt;=VALUE(block!$C$3:$C$500))*(VALUE(D1906)&lt;VALUE(block!$C$3:$C$500)+VALUE(block!$D$3:$D$500)),block!$A$3:$A$500,"无匹配",0,1)</f>
        <v>56</v>
      </c>
      <c r="C1906" s="3" t="str">
        <f>B1906 &amp; "-" &amp; COUNTIF($B$2:B1906, B1906)</f>
        <v>56-1</v>
      </c>
      <c r="D1906" s="10">
        <v>4</v>
      </c>
      <c r="E1906" s="1" t="s">
        <v>5475</v>
      </c>
      <c r="F1906" s="1" t="s">
        <v>5476</v>
      </c>
      <c r="H1906" s="3" t="s">
        <v>5458</v>
      </c>
      <c r="I1906" s="10" t="str">
        <f>IF(H1906="T63",1,IF(H1906="T63",3,IF(H1906="T79",6,IF(H1906="T79",10,IF(H1906="T111",14,IF(H1906="T111",18,IF(H1906="T79",22,"")))))))</f>
        <v/>
      </c>
      <c r="J1906" s="3" t="s">
        <v>5447</v>
      </c>
      <c r="K1906" s="10">
        <v>1</v>
      </c>
      <c r="L1906" s="10">
        <v>1</v>
      </c>
      <c r="O1906" s="6"/>
      <c r="P1906" s="45" t="s">
        <v>5468</v>
      </c>
      <c r="Q1906" s="42" t="s">
        <v>5449</v>
      </c>
      <c r="R1906" s="42"/>
      <c r="S1906" s="1" t="s">
        <v>5476</v>
      </c>
    </row>
    <row r="1907" spans="1:19" ht="18.75" customHeight="1" x14ac:dyDescent="0.3">
      <c r="A1907" s="10">
        <v>1906</v>
      </c>
      <c r="B1907" s="10">
        <f>_xlfn.XLOOKUP(1,(VALUE(D1907)&gt;=VALUE(block!$C$3:$C$500))*(VALUE(D1907)&lt;VALUE(block!$C$3:$C$500)+VALUE(block!$D$3:$D$500)),block!$A$3:$A$500,"无匹配",0,1)</f>
        <v>56</v>
      </c>
      <c r="C1907" s="3" t="str">
        <f>B1907 &amp; "-" &amp; COUNTIF($B$2:B1907, B1907)</f>
        <v>56-2</v>
      </c>
      <c r="D1907" s="10">
        <v>5</v>
      </c>
      <c r="E1907" s="1" t="s">
        <v>5477</v>
      </c>
      <c r="F1907" s="1" t="s">
        <v>5478</v>
      </c>
      <c r="H1907" s="3" t="s">
        <v>5458</v>
      </c>
      <c r="I1907" s="10" t="str">
        <f>IF(H1907="T64",1,IF(H1907="T64",3,IF(H1907="T80",6,IF(H1907="T80",10,IF(H1907="T112",14,IF(H1907="T112",18,IF(H1907="T80",22,"")))))))</f>
        <v/>
      </c>
      <c r="J1907" s="3" t="s">
        <v>5447</v>
      </c>
      <c r="K1907" s="10">
        <v>1</v>
      </c>
      <c r="L1907" s="10">
        <v>1</v>
      </c>
      <c r="O1907" s="6"/>
      <c r="P1907" s="45" t="s">
        <v>5468</v>
      </c>
      <c r="Q1907" s="42" t="s">
        <v>5449</v>
      </c>
      <c r="R1907" s="42"/>
      <c r="S1907" s="1" t="s">
        <v>5478</v>
      </c>
    </row>
    <row r="1908" spans="1:19" ht="18.75" customHeight="1" x14ac:dyDescent="0.3">
      <c r="A1908" s="10">
        <v>1907</v>
      </c>
      <c r="B1908" s="10">
        <f>_xlfn.XLOOKUP(1,(VALUE(D1908)&gt;=VALUE(block!$C$3:$C$500))*(VALUE(D1908)&lt;VALUE(block!$C$3:$C$500)+VALUE(block!$D$3:$D$500)),block!$A$3:$A$500,"无匹配",0,1)</f>
        <v>56</v>
      </c>
      <c r="C1908" s="3" t="str">
        <f>B1908 &amp; "-" &amp; COUNTIF($B$2:B1908, B1908)</f>
        <v>56-3</v>
      </c>
      <c r="D1908" s="10">
        <v>6</v>
      </c>
      <c r="E1908" s="1" t="s">
        <v>5479</v>
      </c>
      <c r="F1908" s="1" t="s">
        <v>5480</v>
      </c>
      <c r="H1908" s="3" t="s">
        <v>5458</v>
      </c>
      <c r="I1908" s="10" t="str">
        <f>IF(H1908="T65",1,IF(H1908="T65",3,IF(H1908="T81",6,IF(H1908="T81",10,IF(H1908="T113",14,IF(H1908="T113",18,IF(H1908="T81",22,"")))))))</f>
        <v/>
      </c>
      <c r="J1908" s="3" t="s">
        <v>5447</v>
      </c>
      <c r="K1908" s="10">
        <v>1</v>
      </c>
      <c r="L1908" s="10">
        <v>1</v>
      </c>
      <c r="O1908" s="6"/>
      <c r="P1908" s="45" t="s">
        <v>5468</v>
      </c>
      <c r="Q1908" s="42" t="s">
        <v>5449</v>
      </c>
      <c r="R1908" s="42"/>
      <c r="S1908" s="1" t="s">
        <v>5480</v>
      </c>
    </row>
    <row r="1909" spans="1:19" ht="18.75" customHeight="1" x14ac:dyDescent="0.3">
      <c r="A1909" s="10">
        <v>1908</v>
      </c>
      <c r="B1909" s="10">
        <f>_xlfn.XLOOKUP(1,(VALUE(D1909)&gt;=VALUE(block!$C$3:$C$500))*(VALUE(D1909)&lt;VALUE(block!$C$3:$C$500)+VALUE(block!$D$3:$D$500)),block!$A$3:$A$500,"无匹配",0,1)</f>
        <v>56</v>
      </c>
      <c r="C1909" s="3" t="str">
        <f>B1909 &amp; "-" &amp; COUNTIF($B$2:B1909, B1909)</f>
        <v>56-4</v>
      </c>
      <c r="D1909" s="10">
        <v>7</v>
      </c>
      <c r="E1909" s="1" t="s">
        <v>5481</v>
      </c>
      <c r="F1909" s="1" t="s">
        <v>5482</v>
      </c>
      <c r="H1909" s="3" t="s">
        <v>5458</v>
      </c>
      <c r="I1909" s="10" t="str">
        <f>IF(H1909="T66",1,IF(H1909="T66",3,IF(H1909="T82",6,IF(H1909="T82",10,IF(H1909="T114",14,IF(H1909="T114",18,IF(H1909="T82",22,"")))))))</f>
        <v/>
      </c>
      <c r="J1909" s="3" t="s">
        <v>5447</v>
      </c>
      <c r="K1909" s="10">
        <v>1</v>
      </c>
      <c r="L1909" s="10">
        <v>1</v>
      </c>
      <c r="O1909" s="6"/>
      <c r="P1909" s="45" t="s">
        <v>5468</v>
      </c>
      <c r="Q1909" s="42" t="s">
        <v>5449</v>
      </c>
      <c r="R1909" s="42"/>
      <c r="S1909" s="1" t="s">
        <v>5482</v>
      </c>
    </row>
    <row r="1910" spans="1:19" ht="18.75" customHeight="1" x14ac:dyDescent="0.3">
      <c r="A1910" s="10">
        <v>1909</v>
      </c>
      <c r="B1910" s="10">
        <f>_xlfn.XLOOKUP(1,(VALUE(D1910)&gt;=VALUE(block!$C$3:$C$500))*(VALUE(D1910)&lt;VALUE(block!$C$3:$C$500)+VALUE(block!$D$3:$D$500)),block!$A$3:$A$500,"无匹配",0,1)</f>
        <v>57</v>
      </c>
      <c r="C1910" s="3" t="str">
        <f>B1910 &amp; "-" &amp; COUNTIF($B$2:B1910, B1910)</f>
        <v>57-1</v>
      </c>
      <c r="D1910" s="10">
        <v>32</v>
      </c>
      <c r="E1910" s="3" t="s">
        <v>5483</v>
      </c>
      <c r="F1910" s="1" t="s">
        <v>5484</v>
      </c>
      <c r="H1910" s="3" t="s">
        <v>5458</v>
      </c>
      <c r="I1910" s="10" t="str">
        <f>IF(H1910="T67",1,IF(H1910="T67",3,IF(H1910="T83",6,IF(H1910="T83",10,IF(H1910="T115",14,IF(H1910="T115",18,IF(H1910="T83",22,"")))))))</f>
        <v/>
      </c>
      <c r="J1910" s="3" t="s">
        <v>5447</v>
      </c>
      <c r="K1910" s="10">
        <v>1</v>
      </c>
      <c r="L1910" s="10">
        <v>1</v>
      </c>
      <c r="O1910" s="6"/>
      <c r="P1910" s="45" t="s">
        <v>5485</v>
      </c>
      <c r="Q1910" s="42" t="s">
        <v>5449</v>
      </c>
      <c r="R1910" s="42"/>
      <c r="S1910" s="1" t="s">
        <v>5484</v>
      </c>
    </row>
    <row r="1911" spans="1:19" ht="18.75" customHeight="1" x14ac:dyDescent="0.3">
      <c r="A1911" s="10">
        <v>1910</v>
      </c>
      <c r="B1911" s="10">
        <f>_xlfn.XLOOKUP(1,(VALUE(D1911)&gt;=VALUE(block!$C$3:$C$500))*(VALUE(D1911)&lt;VALUE(block!$C$3:$C$500)+VALUE(block!$D$3:$D$500)),block!$A$3:$A$500,"无匹配",0,1)</f>
        <v>57</v>
      </c>
      <c r="C1911" s="3" t="str">
        <f>B1911 &amp; "-" &amp; COUNTIF($B$2:B1911, B1911)</f>
        <v>57-2</v>
      </c>
      <c r="D1911" s="10">
        <v>33</v>
      </c>
      <c r="E1911" s="1" t="s">
        <v>5486</v>
      </c>
      <c r="F1911" s="1" t="s">
        <v>5487</v>
      </c>
      <c r="H1911" s="3" t="s">
        <v>5458</v>
      </c>
      <c r="I1911" s="10" t="str">
        <f>IF(H1911="T68",1,IF(H1911="T68",3,IF(H1911="T84",6,IF(H1911="T84",10,IF(H1911="T116",14,IF(H1911="T116",18,IF(H1911="T84",22,"")))))))</f>
        <v/>
      </c>
      <c r="J1911" s="3" t="s">
        <v>5447</v>
      </c>
      <c r="K1911" s="10">
        <v>1</v>
      </c>
      <c r="L1911" s="10">
        <v>1</v>
      </c>
      <c r="O1911" s="6"/>
      <c r="P1911" s="45" t="s">
        <v>5485</v>
      </c>
      <c r="Q1911" s="42" t="s">
        <v>5449</v>
      </c>
      <c r="R1911" s="42"/>
      <c r="S1911" s="1" t="s">
        <v>5487</v>
      </c>
    </row>
    <row r="1912" spans="1:19" ht="18.75" hidden="1" customHeight="1" x14ac:dyDescent="0.3">
      <c r="A1912" s="10">
        <v>1911</v>
      </c>
      <c r="B1912" s="10">
        <f>_xlfn.XLOOKUP(1,(VALUE(D1912)&gt;=VALUE(block!$C$3:$C$500))*(VALUE(D1912)&lt;VALUE(block!$C$3:$C$500)+VALUE(block!$D$3:$D$500)),block!$A$3:$A$500,"无匹配",0,1)</f>
        <v>58</v>
      </c>
      <c r="C1912" s="3" t="str">
        <f>B1912 &amp; "-" &amp; COUNTIF($B$2:B1912, B1912)</f>
        <v>58-1</v>
      </c>
      <c r="D1912" s="10">
        <v>25856</v>
      </c>
      <c r="E1912" s="1" t="s">
        <v>5488</v>
      </c>
      <c r="F1912" s="1" t="s">
        <v>5489</v>
      </c>
      <c r="H1912" s="3" t="s">
        <v>5458</v>
      </c>
      <c r="I1912" s="10" t="str">
        <f>IF(H1912="T69",1,IF(H1912="T69",3,IF(H1912="T85",6,IF(H1912="T85",10,IF(H1912="T117",14,IF(H1912="T117",18,IF(H1912="T85",22,"")))))))</f>
        <v/>
      </c>
      <c r="J1912" s="3" t="s">
        <v>5447</v>
      </c>
      <c r="K1912" s="10">
        <v>1</v>
      </c>
      <c r="L1912" s="10">
        <v>1</v>
      </c>
      <c r="O1912" s="45" t="s">
        <v>5490</v>
      </c>
      <c r="Q1912" s="42" t="s">
        <v>5491</v>
      </c>
      <c r="R1912" s="42"/>
      <c r="S1912" s="1"/>
    </row>
    <row r="1913" spans="1:19" ht="18.75" hidden="1" customHeight="1" x14ac:dyDescent="0.3">
      <c r="A1913" s="10">
        <v>1912</v>
      </c>
      <c r="B1913" s="10">
        <f>_xlfn.XLOOKUP(1,(VALUE(D1913)&gt;=VALUE(block!$C$3:$C$500))*(VALUE(D1913)&lt;VALUE(block!$C$3:$C$500)+VALUE(block!$D$3:$D$500)),block!$A$3:$A$500,"无匹配",0,1)</f>
        <v>58</v>
      </c>
      <c r="C1913" s="3" t="str">
        <f>B1913 &amp; "-" &amp; COUNTIF($B$2:B1913, B1913)</f>
        <v>58-2</v>
      </c>
      <c r="D1913" s="10">
        <v>25857</v>
      </c>
      <c r="E1913" s="1" t="s">
        <v>5492</v>
      </c>
      <c r="F1913" s="1" t="s">
        <v>5493</v>
      </c>
      <c r="H1913" s="1" t="s">
        <v>5458</v>
      </c>
      <c r="I1913" s="10" t="str">
        <f>IF(H1913="T70",1,IF(H1913="T70",3,IF(H1913="T86",6,IF(H1913="T86",10,IF(H1913="T118",14,IF(H1913="T118",18,IF(H1913="T86",22,"")))))))</f>
        <v/>
      </c>
      <c r="J1913" s="3" t="s">
        <v>5447</v>
      </c>
      <c r="K1913" s="10">
        <v>1</v>
      </c>
      <c r="L1913" s="10">
        <v>1</v>
      </c>
      <c r="O1913" s="45" t="s">
        <v>5490</v>
      </c>
      <c r="Q1913" s="42" t="s">
        <v>5491</v>
      </c>
      <c r="R1913" s="42"/>
      <c r="S1913" s="1"/>
    </row>
    <row r="1914" spans="1:19" ht="18.75" hidden="1" customHeight="1" x14ac:dyDescent="0.3">
      <c r="A1914" s="10">
        <v>1913</v>
      </c>
      <c r="B1914" s="10">
        <f>_xlfn.XLOOKUP(1,(VALUE(D1914)&gt;=VALUE(block!$C$3:$C$500))*(VALUE(D1914)&lt;VALUE(block!$C$3:$C$500)+VALUE(block!$D$3:$D$500)),block!$A$3:$A$500,"无匹配",0,1)</f>
        <v>58</v>
      </c>
      <c r="C1914" s="3" t="str">
        <f>B1914 &amp; "-" &amp; COUNTIF($B$2:B1914, B1914)</f>
        <v>58-3</v>
      </c>
      <c r="D1914" s="10">
        <v>25858</v>
      </c>
      <c r="E1914" s="1" t="s">
        <v>5494</v>
      </c>
      <c r="F1914" s="1" t="s">
        <v>5495</v>
      </c>
      <c r="H1914" s="1" t="s">
        <v>5458</v>
      </c>
      <c r="I1914" s="10" t="str">
        <f>IF(H1914="T71",1,IF(H1914="T71",3,IF(H1914="T87",6,IF(H1914="T87",10,IF(H1914="T119",14,IF(H1914="T119",18,IF(H1914="T87",22,"")))))))</f>
        <v/>
      </c>
      <c r="J1914" s="3" t="s">
        <v>5447</v>
      </c>
      <c r="K1914" s="10">
        <v>1</v>
      </c>
      <c r="L1914" s="10">
        <v>1</v>
      </c>
      <c r="O1914" s="6">
        <v>27</v>
      </c>
      <c r="S1914" s="1"/>
    </row>
    <row r="1915" spans="1:19" ht="18.75" hidden="1" customHeight="1" x14ac:dyDescent="0.3">
      <c r="A1915" s="10">
        <v>1914</v>
      </c>
      <c r="B1915" s="10">
        <f>_xlfn.XLOOKUP(1,(VALUE(D1915)&gt;=VALUE(block!$C$3:$C$500))*(VALUE(D1915)&lt;VALUE(block!$C$3:$C$500)+VALUE(block!$D$3:$D$500)),block!$A$3:$A$500,"无匹配",0,1)</f>
        <v>58</v>
      </c>
      <c r="C1915" s="3" t="str">
        <f>B1915 &amp; "-" &amp; COUNTIF($B$2:B1915, B1915)</f>
        <v>58-4</v>
      </c>
      <c r="D1915" s="10">
        <v>25859</v>
      </c>
      <c r="E1915" s="1" t="s">
        <v>5496</v>
      </c>
      <c r="F1915" s="1" t="s">
        <v>5497</v>
      </c>
      <c r="H1915" s="1" t="s">
        <v>5458</v>
      </c>
      <c r="I1915" s="10" t="str">
        <f>IF(H1915="T72",1,IF(H1915="T72",3,IF(H1915="T88",6,IF(H1915="T88",10,IF(H1915="T120",14,IF(H1915="T120",18,IF(H1915="T88",22,"")))))))</f>
        <v/>
      </c>
      <c r="J1915" s="3" t="s">
        <v>5447</v>
      </c>
      <c r="K1915" s="10">
        <v>1</v>
      </c>
      <c r="L1915" s="10">
        <v>1</v>
      </c>
      <c r="O1915" s="6">
        <v>27</v>
      </c>
      <c r="S1915" s="1"/>
    </row>
    <row r="1916" spans="1:19" ht="18.75" hidden="1" customHeight="1" x14ac:dyDescent="0.3">
      <c r="A1916" s="10">
        <v>1915</v>
      </c>
      <c r="B1916" s="10">
        <f>_xlfn.XLOOKUP(1,(VALUE(D1916)&gt;=VALUE(block!$C$3:$C$500))*(VALUE(D1916)&lt;VALUE(block!$C$3:$C$500)+VALUE(block!$D$3:$D$500)),block!$A$3:$A$500,"无匹配",0,1)</f>
        <v>58</v>
      </c>
      <c r="C1916" s="3" t="str">
        <f>B1916 &amp; "-" &amp; COUNTIF($B$2:B1916, B1916)</f>
        <v>58-5</v>
      </c>
      <c r="D1916" s="10">
        <v>25860</v>
      </c>
      <c r="E1916" s="1" t="s">
        <v>5498</v>
      </c>
      <c r="F1916" s="1" t="s">
        <v>5499</v>
      </c>
      <c r="H1916" s="1" t="s">
        <v>5458</v>
      </c>
      <c r="I1916" s="10" t="str">
        <f>IF(H1916="T73",1,IF(H1916="T73",3,IF(H1916="T89",6,IF(H1916="T89",10,IF(H1916="T121",14,IF(H1916="T121",18,IF(H1916="T89",22,"")))))))</f>
        <v/>
      </c>
      <c r="J1916" s="3" t="s">
        <v>5447</v>
      </c>
      <c r="K1916" s="10">
        <v>1</v>
      </c>
      <c r="L1916" s="10">
        <v>1</v>
      </c>
      <c r="O1916" s="6">
        <v>27</v>
      </c>
      <c r="S1916" s="1"/>
    </row>
    <row r="1917" spans="1:19" ht="18.75" hidden="1" customHeight="1" x14ac:dyDescent="0.3">
      <c r="A1917" s="10">
        <v>1916</v>
      </c>
      <c r="B1917" s="10">
        <f>_xlfn.XLOOKUP(1,(VALUE(D1917)&gt;=VALUE(block!$C$3:$C$500))*(VALUE(D1917)&lt;VALUE(block!$C$3:$C$500)+VALUE(block!$D$3:$D$500)),block!$A$3:$A$500,"无匹配",0,1)</f>
        <v>58</v>
      </c>
      <c r="C1917" s="3" t="str">
        <f>B1917 &amp; "-" &amp; COUNTIF($B$2:B1917, B1917)</f>
        <v>58-6</v>
      </c>
      <c r="D1917" s="10">
        <v>25861</v>
      </c>
      <c r="E1917" s="1" t="s">
        <v>5500</v>
      </c>
      <c r="F1917" s="1" t="s">
        <v>5501</v>
      </c>
      <c r="H1917" s="1" t="s">
        <v>5458</v>
      </c>
      <c r="I1917" s="10" t="str">
        <f>IF(H1917="T74",1,IF(H1917="T74",3,IF(H1917="T90",6,IF(H1917="T90",10,IF(H1917="T122",14,IF(H1917="T122",18,IF(H1917="T90",22,"")))))))</f>
        <v/>
      </c>
      <c r="J1917" s="3" t="s">
        <v>5447</v>
      </c>
      <c r="K1917" s="10">
        <v>1</v>
      </c>
      <c r="L1917" s="10">
        <v>1</v>
      </c>
      <c r="O1917" s="6">
        <v>27</v>
      </c>
      <c r="S1917" s="1"/>
    </row>
    <row r="1918" spans="1:19" ht="18.75" hidden="1" customHeight="1" x14ac:dyDescent="0.3">
      <c r="A1918" s="10">
        <v>1917</v>
      </c>
      <c r="B1918" s="10">
        <f>_xlfn.XLOOKUP(1,(VALUE(D1918)&gt;=VALUE(block!$C$3:$C$500))*(VALUE(D1918)&lt;VALUE(block!$C$3:$C$500)+VALUE(block!$D$3:$D$500)),block!$A$3:$A$500,"无匹配",0,1)</f>
        <v>58</v>
      </c>
      <c r="C1918" s="3" t="str">
        <f>B1918 &amp; "-" &amp; COUNTIF($B$2:B1918, B1918)</f>
        <v>58-7</v>
      </c>
      <c r="D1918" s="10">
        <v>25862</v>
      </c>
      <c r="E1918" s="1" t="s">
        <v>5502</v>
      </c>
      <c r="F1918" s="1" t="s">
        <v>5503</v>
      </c>
      <c r="H1918" s="1" t="s">
        <v>5458</v>
      </c>
      <c r="I1918" s="10" t="str">
        <f>IF(H1918="T75",1,IF(H1918="T75",3,IF(H1918="T91",6,IF(H1918="T91",10,IF(H1918="T123",14,IF(H1918="T123",18,IF(H1918="T91",22,"")))))))</f>
        <v/>
      </c>
      <c r="J1918" s="3" t="s">
        <v>5447</v>
      </c>
      <c r="K1918" s="10">
        <v>1</v>
      </c>
      <c r="L1918" s="10">
        <v>1</v>
      </c>
      <c r="O1918" s="6">
        <v>27</v>
      </c>
      <c r="S1918" s="1"/>
    </row>
    <row r="1919" spans="1:19" ht="18.75" hidden="1" customHeight="1" x14ac:dyDescent="0.3">
      <c r="A1919" s="10">
        <v>1918</v>
      </c>
      <c r="B1919" s="10">
        <f>_xlfn.XLOOKUP(1,(VALUE(D1919)&gt;=VALUE(block!$C$3:$C$500))*(VALUE(D1919)&lt;VALUE(block!$C$3:$C$500)+VALUE(block!$D$3:$D$500)),block!$A$3:$A$500,"无匹配",0,1)</f>
        <v>58</v>
      </c>
      <c r="C1919" s="3" t="str">
        <f>B1919 &amp; "-" &amp; COUNTIF($B$2:B1919, B1919)</f>
        <v>58-8</v>
      </c>
      <c r="D1919" s="10">
        <v>25863</v>
      </c>
      <c r="E1919" s="1" t="s">
        <v>5504</v>
      </c>
      <c r="F1919" s="1" t="s">
        <v>5505</v>
      </c>
      <c r="H1919" s="1" t="s">
        <v>5458</v>
      </c>
      <c r="I1919" s="10" t="str">
        <f>IF(H1919="T76",1,IF(H1919="T76",3,IF(H1919="T92",6,IF(H1919="T92",10,IF(H1919="T124",14,IF(H1919="T124",18,IF(H1919="T92",22,"")))))))</f>
        <v/>
      </c>
      <c r="J1919" s="3" t="s">
        <v>5447</v>
      </c>
      <c r="K1919" s="10">
        <v>1</v>
      </c>
      <c r="L1919" s="10">
        <v>1</v>
      </c>
      <c r="O1919" s="6">
        <v>27</v>
      </c>
      <c r="S1919" s="1"/>
    </row>
    <row r="1920" spans="1:19" ht="18.75" hidden="1" customHeight="1" x14ac:dyDescent="0.3">
      <c r="A1920" s="10">
        <v>1919</v>
      </c>
      <c r="B1920" s="10">
        <f>_xlfn.XLOOKUP(1,(VALUE(D1920)&gt;=VALUE(block!$C$3:$C$500))*(VALUE(D1920)&lt;VALUE(block!$C$3:$C$500)+VALUE(block!$D$3:$D$500)),block!$A$3:$A$500,"无匹配",0,1)</f>
        <v>58</v>
      </c>
      <c r="C1920" s="3" t="str">
        <f>B1920 &amp; "-" &amp; COUNTIF($B$2:B1920, B1920)</f>
        <v>58-9</v>
      </c>
      <c r="D1920" s="10">
        <v>25864</v>
      </c>
      <c r="E1920" s="1" t="s">
        <v>5506</v>
      </c>
      <c r="F1920" s="1" t="s">
        <v>5507</v>
      </c>
      <c r="H1920" s="1" t="s">
        <v>5458</v>
      </c>
      <c r="I1920" s="10" t="str">
        <f>IF(H1920="T77",1,IF(H1920="T77",3,IF(H1920="T93",6,IF(H1920="T93",10,IF(H1920="T125",14,IF(H1920="T125",18,IF(H1920="T93",22,"")))))))</f>
        <v/>
      </c>
      <c r="J1920" s="3" t="s">
        <v>5447</v>
      </c>
      <c r="K1920" s="10">
        <v>1</v>
      </c>
      <c r="L1920" s="10">
        <v>1</v>
      </c>
      <c r="O1920" s="6">
        <v>27</v>
      </c>
      <c r="S1920" s="1"/>
    </row>
    <row r="1921" spans="1:19" ht="18.75" hidden="1" customHeight="1" x14ac:dyDescent="0.3">
      <c r="A1921" s="10">
        <v>1920</v>
      </c>
      <c r="B1921" s="10">
        <f>_xlfn.XLOOKUP(1,(VALUE(D1921)&gt;=VALUE(block!$C$3:$C$500))*(VALUE(D1921)&lt;VALUE(block!$C$3:$C$500)+VALUE(block!$D$3:$D$500)),block!$A$3:$A$500,"无匹配",0,1)</f>
        <v>58</v>
      </c>
      <c r="C1921" s="3" t="str">
        <f>B1921 &amp; "-" &amp; COUNTIF($B$2:B1921, B1921)</f>
        <v>58-10</v>
      </c>
      <c r="D1921" s="10">
        <v>25865</v>
      </c>
      <c r="E1921" s="1" t="s">
        <v>5508</v>
      </c>
      <c r="F1921" s="1" t="s">
        <v>5509</v>
      </c>
      <c r="H1921" s="1" t="s">
        <v>5458</v>
      </c>
      <c r="I1921" s="10" t="str">
        <f>IF(H1921="T78",1,IF(H1921="T78",3,IF(H1921="T94",6,IF(H1921="T94",10,IF(H1921="T126",14,IF(H1921="T126",18,IF(H1921="T94",22,"")))))))</f>
        <v/>
      </c>
      <c r="J1921" s="3" t="s">
        <v>5447</v>
      </c>
      <c r="K1921" s="10">
        <v>1</v>
      </c>
      <c r="L1921" s="10">
        <v>1</v>
      </c>
      <c r="O1921" s="6">
        <v>27</v>
      </c>
      <c r="S1921" s="1"/>
    </row>
    <row r="1922" spans="1:19" ht="18.75" hidden="1" customHeight="1" x14ac:dyDescent="0.3">
      <c r="A1922" s="10">
        <v>1921</v>
      </c>
      <c r="B1922" s="10">
        <f>_xlfn.XLOOKUP(1,(VALUE(D1922)&gt;=VALUE(block!$C$3:$C$500))*(VALUE(D1922)&lt;VALUE(block!$C$3:$C$500)+VALUE(block!$D$3:$D$500)),block!$A$3:$A$500,"无匹配",0,1)</f>
        <v>58</v>
      </c>
      <c r="C1922" s="3" t="str">
        <f>B1922 &amp; "-" &amp; COUNTIF($B$2:B1922, B1922)</f>
        <v>58-11</v>
      </c>
      <c r="D1922" s="10">
        <v>25866</v>
      </c>
      <c r="E1922" s="1" t="s">
        <v>5510</v>
      </c>
      <c r="F1922" s="1" t="s">
        <v>5511</v>
      </c>
      <c r="H1922" s="1" t="s">
        <v>5458</v>
      </c>
      <c r="I1922" s="10" t="str">
        <f>IF(H1922="T79",1,IF(H1922="T79",3,IF(H1922="T95",6,IF(H1922="T95",10,IF(H1922="T127",14,IF(H1922="T127",18,IF(H1922="T95",22,"")))))))</f>
        <v/>
      </c>
      <c r="J1922" s="3" t="s">
        <v>5447</v>
      </c>
      <c r="K1922" s="10">
        <v>1</v>
      </c>
      <c r="L1922" s="10">
        <v>1</v>
      </c>
      <c r="O1922" s="6">
        <v>27</v>
      </c>
      <c r="S1922" s="1"/>
    </row>
    <row r="1923" spans="1:19" ht="18.75" hidden="1" customHeight="1" x14ac:dyDescent="0.3">
      <c r="A1923" s="10">
        <v>1922</v>
      </c>
      <c r="B1923" s="10">
        <f>_xlfn.XLOOKUP(1,(VALUE(D1923)&gt;=VALUE(block!$C$3:$C$500))*(VALUE(D1923)&lt;VALUE(block!$C$3:$C$500)+VALUE(block!$D$3:$D$500)),block!$A$3:$A$500,"无匹配",0,1)</f>
        <v>58</v>
      </c>
      <c r="C1923" s="3" t="str">
        <f>B1923 &amp; "-" &amp; COUNTIF($B$2:B1923, B1923)</f>
        <v>58-12</v>
      </c>
      <c r="D1923" s="10">
        <v>25867</v>
      </c>
      <c r="E1923" s="1" t="s">
        <v>5512</v>
      </c>
      <c r="F1923" s="1" t="s">
        <v>5513</v>
      </c>
      <c r="H1923" s="1" t="s">
        <v>5458</v>
      </c>
      <c r="I1923" s="10">
        <f>IF(H1923="uint16",1,IF(H1923="int16",3,IF(H1923="uint32",6,IF(H1923="int32",10,IF(H1923="uint64",14,IF(H1923="int64",18,IF(H1923="float32",22,"")))))))</f>
        <v>1</v>
      </c>
      <c r="J1923" s="3" t="s">
        <v>5447</v>
      </c>
      <c r="K1923" s="10">
        <v>1</v>
      </c>
      <c r="L1923" s="10">
        <v>1</v>
      </c>
      <c r="O1923" s="6">
        <v>27</v>
      </c>
      <c r="S1923" s="1"/>
    </row>
    <row r="1924" spans="1:19" ht="18.75" hidden="1" customHeight="1" x14ac:dyDescent="0.3">
      <c r="A1924" s="10">
        <v>1923</v>
      </c>
      <c r="B1924" s="10">
        <f>_xlfn.XLOOKUP(1,(VALUE(D1924)&gt;=VALUE(block!$C$3:$C$500))*(VALUE(D1924)&lt;VALUE(block!$C$3:$C$500)+VALUE(block!$D$3:$D$500)),block!$A$3:$A$500,"无匹配",0,1)</f>
        <v>58</v>
      </c>
      <c r="C1924" s="3" t="str">
        <f>B1924 &amp; "-" &amp; COUNTIF($B$2:B1924, B1924)</f>
        <v>58-13</v>
      </c>
      <c r="D1924" s="10">
        <v>25868</v>
      </c>
      <c r="E1924" s="1" t="s">
        <v>5514</v>
      </c>
      <c r="F1924" s="1" t="s">
        <v>5515</v>
      </c>
      <c r="H1924" s="1" t="s">
        <v>5458</v>
      </c>
      <c r="I1924" s="10" t="str">
        <f>IF(H1924="T17",1,IF(H1924="T17",3,IF(H1924="T33",6,IF(H1924="T33",10,IF(H1924="T65",14,IF(H1924="T65",18,IF(H1924="T33",22,"")))))))</f>
        <v/>
      </c>
      <c r="J1924" s="3" t="s">
        <v>5447</v>
      </c>
      <c r="K1924" s="10">
        <v>1</v>
      </c>
      <c r="L1924" s="10">
        <v>1</v>
      </c>
      <c r="O1924" s="6">
        <v>27</v>
      </c>
      <c r="S1924" s="1"/>
    </row>
    <row r="1925" spans="1:19" ht="18.75" hidden="1" customHeight="1" x14ac:dyDescent="0.3">
      <c r="A1925" s="10">
        <v>1924</v>
      </c>
      <c r="B1925" s="10">
        <f>_xlfn.XLOOKUP(1,(VALUE(D1925)&gt;=VALUE(block!$C$3:$C$500))*(VALUE(D1925)&lt;VALUE(block!$C$3:$C$500)+VALUE(block!$D$3:$D$500)),block!$A$3:$A$500,"无匹配",0,1)</f>
        <v>58</v>
      </c>
      <c r="C1925" s="3" t="str">
        <f>B1925 &amp; "-" &amp; COUNTIF($B$2:B1925, B1925)</f>
        <v>58-14</v>
      </c>
      <c r="D1925" s="10">
        <v>25869</v>
      </c>
      <c r="E1925" s="1" t="s">
        <v>5516</v>
      </c>
      <c r="F1925" s="1" t="s">
        <v>5517</v>
      </c>
      <c r="H1925" s="1" t="s">
        <v>5458</v>
      </c>
      <c r="I1925" s="10" t="str">
        <f>IF(H1925="T18",1,IF(H1925="T18",3,IF(H1925="T34",6,IF(H1925="T34",10,IF(H1925="T66",14,IF(H1925="T66",18,IF(H1925="T34",22,"")))))))</f>
        <v/>
      </c>
      <c r="J1925" s="3" t="s">
        <v>5447</v>
      </c>
      <c r="K1925" s="10">
        <v>1</v>
      </c>
      <c r="L1925" s="10">
        <v>1</v>
      </c>
      <c r="O1925" s="6">
        <v>27</v>
      </c>
      <c r="S1925" s="1"/>
    </row>
    <row r="1926" spans="1:19" ht="18.75" hidden="1" customHeight="1" x14ac:dyDescent="0.3">
      <c r="A1926" s="10">
        <v>1925</v>
      </c>
      <c r="B1926" s="10">
        <f>_xlfn.XLOOKUP(1,(VALUE(D1926)&gt;=VALUE(block!$C$3:$C$500))*(VALUE(D1926)&lt;VALUE(block!$C$3:$C$500)+VALUE(block!$D$3:$D$500)),block!$A$3:$A$500,"无匹配",0,1)</f>
        <v>58</v>
      </c>
      <c r="C1926" s="3" t="str">
        <f>B1926 &amp; "-" &amp; COUNTIF($B$2:B1926, B1926)</f>
        <v>58-15</v>
      </c>
      <c r="D1926" s="10">
        <v>25870</v>
      </c>
      <c r="E1926" s="1" t="s">
        <v>5518</v>
      </c>
      <c r="F1926" s="1" t="s">
        <v>5519</v>
      </c>
      <c r="H1926" s="1" t="s">
        <v>5458</v>
      </c>
      <c r="I1926" s="10" t="str">
        <f>IF(H1926="T19",1,IF(H1926="T19",3,IF(H1926="T35",6,IF(H1926="T35",10,IF(H1926="T67",14,IF(H1926="T67",18,IF(H1926="T35",22,"")))))))</f>
        <v/>
      </c>
      <c r="J1926" s="3" t="s">
        <v>5447</v>
      </c>
      <c r="K1926" s="10">
        <v>1</v>
      </c>
      <c r="L1926" s="10">
        <v>1</v>
      </c>
      <c r="O1926" s="6">
        <v>27</v>
      </c>
      <c r="S1926" s="1"/>
    </row>
    <row r="1927" spans="1:19" ht="18.75" hidden="1" customHeight="1" x14ac:dyDescent="0.3">
      <c r="A1927" s="10">
        <v>1926</v>
      </c>
      <c r="B1927" s="10">
        <f>_xlfn.XLOOKUP(1,(VALUE(D1927)&gt;=VALUE(block!$C$3:$C$500))*(VALUE(D1927)&lt;VALUE(block!$C$3:$C$500)+VALUE(block!$D$3:$D$500)),block!$A$3:$A$500,"无匹配",0,1)</f>
        <v>58</v>
      </c>
      <c r="C1927" s="3" t="str">
        <f>B1927 &amp; "-" &amp; COUNTIF($B$2:B1927, B1927)</f>
        <v>58-16</v>
      </c>
      <c r="D1927" s="10">
        <v>25871</v>
      </c>
      <c r="E1927" s="1" t="s">
        <v>5520</v>
      </c>
      <c r="F1927" s="1" t="s">
        <v>5521</v>
      </c>
      <c r="H1927" s="1" t="s">
        <v>5458</v>
      </c>
      <c r="I1927" s="10" t="str">
        <f>IF(H1927="T20",1,IF(H1927="T20",3,IF(H1927="T36",6,IF(H1927="T36",10,IF(H1927="T68",14,IF(H1927="T68",18,IF(H1927="T36",22,"")))))))</f>
        <v/>
      </c>
      <c r="J1927" s="3" t="s">
        <v>5447</v>
      </c>
      <c r="K1927" s="10">
        <v>1</v>
      </c>
      <c r="L1927" s="10">
        <v>1</v>
      </c>
      <c r="O1927" s="6">
        <v>27</v>
      </c>
      <c r="S1927" s="1"/>
    </row>
    <row r="1928" spans="1:19" ht="18.75" hidden="1" customHeight="1" x14ac:dyDescent="0.3">
      <c r="A1928" s="10">
        <v>1927</v>
      </c>
      <c r="B1928" s="10">
        <f>_xlfn.XLOOKUP(1,(VALUE(D1928)&gt;=VALUE(block!$C$3:$C$500))*(VALUE(D1928)&lt;VALUE(block!$C$3:$C$500)+VALUE(block!$D$3:$D$500)),block!$A$3:$A$500,"无匹配",0,1)</f>
        <v>58</v>
      </c>
      <c r="C1928" s="3" t="str">
        <f>B1928 &amp; "-" &amp; COUNTIF($B$2:B1928, B1928)</f>
        <v>58-17</v>
      </c>
      <c r="D1928" s="10">
        <v>25872</v>
      </c>
      <c r="E1928" s="1" t="s">
        <v>5522</v>
      </c>
      <c r="F1928" s="1" t="s">
        <v>5523</v>
      </c>
      <c r="H1928" s="1" t="s">
        <v>5458</v>
      </c>
      <c r="I1928" s="10" t="str">
        <f>IF(H1928="T21",1,IF(H1928="T21",3,IF(H1928="T37",6,IF(H1928="T37",10,IF(H1928="T69",14,IF(H1928="T69",18,IF(H1928="T37",22,"")))))))</f>
        <v/>
      </c>
      <c r="J1928" s="3" t="s">
        <v>5447</v>
      </c>
      <c r="K1928" s="10">
        <v>1</v>
      </c>
      <c r="L1928" s="10">
        <v>1</v>
      </c>
      <c r="O1928" s="6">
        <v>27</v>
      </c>
      <c r="S1928" s="1"/>
    </row>
    <row r="1929" spans="1:19" ht="18.75" hidden="1" customHeight="1" x14ac:dyDescent="0.3">
      <c r="A1929" s="10">
        <v>1928</v>
      </c>
      <c r="B1929" s="10">
        <f>_xlfn.XLOOKUP(1,(VALUE(D1929)&gt;=VALUE(block!$C$3:$C$500))*(VALUE(D1929)&lt;VALUE(block!$C$3:$C$500)+VALUE(block!$D$3:$D$500)),block!$A$3:$A$500,"无匹配",0,1)</f>
        <v>58</v>
      </c>
      <c r="C1929" s="3" t="str">
        <f>B1929 &amp; "-" &amp; COUNTIF($B$2:B1929, B1929)</f>
        <v>58-18</v>
      </c>
      <c r="D1929" s="10">
        <v>25873</v>
      </c>
      <c r="E1929" s="1" t="s">
        <v>5524</v>
      </c>
      <c r="F1929" s="1" t="s">
        <v>5525</v>
      </c>
      <c r="H1929" s="1" t="s">
        <v>5458</v>
      </c>
      <c r="I1929" s="10" t="str">
        <f>IF(H1929="T22",1,IF(H1929="T22",3,IF(H1929="T38",6,IF(H1929="T38",10,IF(H1929="T70",14,IF(H1929="T70",18,IF(H1929="T38",22,"")))))))</f>
        <v/>
      </c>
      <c r="J1929" s="3" t="s">
        <v>5447</v>
      </c>
      <c r="K1929" s="10">
        <v>1</v>
      </c>
      <c r="L1929" s="10">
        <v>1</v>
      </c>
      <c r="O1929" s="6">
        <v>27</v>
      </c>
      <c r="S1929" s="1"/>
    </row>
    <row r="1930" spans="1:19" ht="18.75" hidden="1" customHeight="1" x14ac:dyDescent="0.3">
      <c r="A1930" s="10">
        <v>1929</v>
      </c>
      <c r="B1930" s="10">
        <f>_xlfn.XLOOKUP(1,(VALUE(D1930)&gt;=VALUE(block!$C$3:$C$500))*(VALUE(D1930)&lt;VALUE(block!$C$3:$C$500)+VALUE(block!$D$3:$D$500)),block!$A$3:$A$500,"无匹配",0,1)</f>
        <v>58</v>
      </c>
      <c r="C1930" s="3" t="str">
        <f>B1930 &amp; "-" &amp; COUNTIF($B$2:B1930, B1930)</f>
        <v>58-19</v>
      </c>
      <c r="D1930" s="10">
        <v>25874</v>
      </c>
      <c r="E1930" s="1" t="s">
        <v>5526</v>
      </c>
      <c r="F1930" s="1" t="s">
        <v>5527</v>
      </c>
      <c r="H1930" s="1" t="s">
        <v>5458</v>
      </c>
      <c r="I1930" s="10" t="str">
        <f>IF(H1930="T23",1,IF(H1930="T23",3,IF(H1930="T39",6,IF(H1930="T39",10,IF(H1930="T71",14,IF(H1930="T71",18,IF(H1930="T39",22,"")))))))</f>
        <v/>
      </c>
      <c r="J1930" s="3" t="s">
        <v>5447</v>
      </c>
      <c r="K1930" s="10">
        <v>1</v>
      </c>
      <c r="L1930" s="10">
        <v>1</v>
      </c>
      <c r="O1930" s="6">
        <v>27</v>
      </c>
      <c r="S1930" s="1"/>
    </row>
    <row r="1931" spans="1:19" ht="18.75" hidden="1" customHeight="1" x14ac:dyDescent="0.3">
      <c r="A1931" s="10">
        <v>1930</v>
      </c>
      <c r="B1931" s="10">
        <f>_xlfn.XLOOKUP(1,(VALUE(D1931)&gt;=VALUE(block!$C$3:$C$500))*(VALUE(D1931)&lt;VALUE(block!$C$3:$C$500)+VALUE(block!$D$3:$D$500)),block!$A$3:$A$500,"无匹配",0,1)</f>
        <v>58</v>
      </c>
      <c r="C1931" s="3" t="str">
        <f>B1931 &amp; "-" &amp; COUNTIF($B$2:B1931, B1931)</f>
        <v>58-20</v>
      </c>
      <c r="D1931" s="10">
        <v>25875</v>
      </c>
      <c r="E1931" s="1" t="s">
        <v>5528</v>
      </c>
      <c r="F1931" s="1" t="s">
        <v>5529</v>
      </c>
      <c r="H1931" s="1" t="s">
        <v>5458</v>
      </c>
      <c r="I1931" s="10" t="str">
        <f>IF(H1931="T24",1,IF(H1931="T24",3,IF(H1931="T40",6,IF(H1931="T40",10,IF(H1931="T72",14,IF(H1931="T72",18,IF(H1931="T40",22,"")))))))</f>
        <v/>
      </c>
      <c r="J1931" s="3" t="s">
        <v>5447</v>
      </c>
      <c r="K1931" s="10">
        <v>1</v>
      </c>
      <c r="L1931" s="10">
        <v>1</v>
      </c>
      <c r="O1931" s="6">
        <v>27</v>
      </c>
      <c r="S1931" s="1"/>
    </row>
    <row r="1932" spans="1:19" ht="18.75" hidden="1" customHeight="1" x14ac:dyDescent="0.3">
      <c r="A1932" s="10">
        <v>1931</v>
      </c>
      <c r="B1932" s="10">
        <f>_xlfn.XLOOKUP(1,(VALUE(D1932)&gt;=VALUE(block!$C$3:$C$500))*(VALUE(D1932)&lt;VALUE(block!$C$3:$C$500)+VALUE(block!$D$3:$D$500)),block!$A$3:$A$500,"无匹配",0,1)</f>
        <v>58</v>
      </c>
      <c r="C1932" s="3" t="str">
        <f>B1932 &amp; "-" &amp; COUNTIF($B$2:B1932, B1932)</f>
        <v>58-21</v>
      </c>
      <c r="D1932" s="10">
        <v>25876</v>
      </c>
      <c r="E1932" s="1" t="s">
        <v>5530</v>
      </c>
      <c r="F1932" s="1" t="s">
        <v>5531</v>
      </c>
      <c r="H1932" s="1" t="s">
        <v>5458</v>
      </c>
      <c r="I1932" s="10" t="str">
        <f>IF(H1932="T25",1,IF(H1932="T25",3,IF(H1932="T41",6,IF(H1932="T41",10,IF(H1932="T73",14,IF(H1932="T73",18,IF(H1932="T41",22,"")))))))</f>
        <v/>
      </c>
      <c r="J1932" s="3" t="s">
        <v>5447</v>
      </c>
      <c r="K1932" s="10">
        <v>1</v>
      </c>
      <c r="L1932" s="10">
        <v>1</v>
      </c>
      <c r="O1932" s="6">
        <v>27</v>
      </c>
      <c r="S1932" s="1"/>
    </row>
    <row r="1933" spans="1:19" ht="18.75" hidden="1" customHeight="1" x14ac:dyDescent="0.3">
      <c r="A1933" s="10">
        <v>1932</v>
      </c>
      <c r="B1933" s="10">
        <f>_xlfn.XLOOKUP(1,(VALUE(D1933)&gt;=VALUE(block!$C$3:$C$500))*(VALUE(D1933)&lt;VALUE(block!$C$3:$C$500)+VALUE(block!$D$3:$D$500)),block!$A$3:$A$500,"无匹配",0,1)</f>
        <v>58</v>
      </c>
      <c r="C1933" s="3" t="str">
        <f>B1933 &amp; "-" &amp; COUNTIF($B$2:B1933, B1933)</f>
        <v>58-22</v>
      </c>
      <c r="D1933" s="10">
        <v>25877</v>
      </c>
      <c r="E1933" s="1" t="s">
        <v>5532</v>
      </c>
      <c r="F1933" s="1" t="s">
        <v>5533</v>
      </c>
      <c r="H1933" s="1" t="s">
        <v>5458</v>
      </c>
      <c r="I1933" s="10" t="str">
        <f>IF(H1933="T26",1,IF(H1933="T26",3,IF(H1933="T42",6,IF(H1933="T42",10,IF(H1933="T74",14,IF(H1933="T74",18,IF(H1933="T42",22,"")))))))</f>
        <v/>
      </c>
      <c r="J1933" s="3" t="s">
        <v>5447</v>
      </c>
      <c r="K1933" s="10">
        <v>1</v>
      </c>
      <c r="L1933" s="10">
        <v>1</v>
      </c>
      <c r="O1933" s="6">
        <v>27</v>
      </c>
      <c r="S1933" s="1"/>
    </row>
    <row r="1934" spans="1:19" ht="18.75" hidden="1" customHeight="1" x14ac:dyDescent="0.3">
      <c r="A1934" s="10">
        <v>1933</v>
      </c>
      <c r="B1934" s="10">
        <f>_xlfn.XLOOKUP(1,(VALUE(D1934)&gt;=VALUE(block!$C$3:$C$500))*(VALUE(D1934)&lt;VALUE(block!$C$3:$C$500)+VALUE(block!$D$3:$D$500)),block!$A$3:$A$500,"无匹配",0,1)</f>
        <v>58</v>
      </c>
      <c r="C1934" s="3" t="str">
        <f>B1934 &amp; "-" &amp; COUNTIF($B$2:B1934, B1934)</f>
        <v>58-23</v>
      </c>
      <c r="D1934" s="10">
        <v>25878</v>
      </c>
      <c r="E1934" s="1" t="s">
        <v>5534</v>
      </c>
      <c r="F1934" s="1" t="s">
        <v>5535</v>
      </c>
      <c r="H1934" s="1" t="s">
        <v>5458</v>
      </c>
      <c r="I1934" s="10" t="str">
        <f>IF(H1934="T27",1,IF(H1934="T27",3,IF(H1934="T43",6,IF(H1934="T43",10,IF(H1934="T75",14,IF(H1934="T75",18,IF(H1934="T43",22,"")))))))</f>
        <v/>
      </c>
      <c r="J1934" s="3" t="s">
        <v>5447</v>
      </c>
      <c r="K1934" s="10">
        <v>1</v>
      </c>
      <c r="L1934" s="10">
        <v>1</v>
      </c>
      <c r="O1934" s="6">
        <v>27</v>
      </c>
      <c r="S1934" s="1"/>
    </row>
    <row r="1935" spans="1:19" ht="18.75" hidden="1" customHeight="1" x14ac:dyDescent="0.3">
      <c r="A1935" s="10">
        <v>1934</v>
      </c>
      <c r="B1935" s="10">
        <f>_xlfn.XLOOKUP(1,(VALUE(D1935)&gt;=VALUE(block!$C$3:$C$500))*(VALUE(D1935)&lt;VALUE(block!$C$3:$C$500)+VALUE(block!$D$3:$D$500)),block!$A$3:$A$500,"无匹配",0,1)</f>
        <v>58</v>
      </c>
      <c r="C1935" s="3" t="str">
        <f>B1935 &amp; "-" &amp; COUNTIF($B$2:B1935, B1935)</f>
        <v>58-24</v>
      </c>
      <c r="D1935" s="10">
        <v>25879</v>
      </c>
      <c r="E1935" s="1" t="s">
        <v>5536</v>
      </c>
      <c r="F1935" s="1" t="s">
        <v>5537</v>
      </c>
      <c r="H1935" s="1" t="s">
        <v>5458</v>
      </c>
      <c r="I1935" s="10" t="str">
        <f>IF(H1935="T28",1,IF(H1935="T28",3,IF(H1935="T44",6,IF(H1935="T44",10,IF(H1935="T76",14,IF(H1935="T76",18,IF(H1935="T44",22,"")))))))</f>
        <v/>
      </c>
      <c r="J1935" s="3" t="s">
        <v>5447</v>
      </c>
      <c r="K1935" s="10">
        <v>1</v>
      </c>
      <c r="L1935" s="10">
        <v>1</v>
      </c>
      <c r="O1935" s="6">
        <v>27</v>
      </c>
      <c r="S1935" s="1"/>
    </row>
    <row r="1936" spans="1:19" ht="18.75" hidden="1" customHeight="1" x14ac:dyDescent="0.3">
      <c r="A1936" s="10">
        <v>1935</v>
      </c>
      <c r="B1936" s="10">
        <f>_xlfn.XLOOKUP(1,(VALUE(D1936)&gt;=VALUE(block!$C$3:$C$500))*(VALUE(D1936)&lt;VALUE(block!$C$3:$C$500)+VALUE(block!$D$3:$D$500)),block!$A$3:$A$500,"无匹配",0,1)</f>
        <v>58</v>
      </c>
      <c r="C1936" s="3" t="str">
        <f>B1936 &amp; "-" &amp; COUNTIF($B$2:B1936, B1936)</f>
        <v>58-25</v>
      </c>
      <c r="D1936" s="10">
        <v>25880</v>
      </c>
      <c r="E1936" s="1" t="s">
        <v>5538</v>
      </c>
      <c r="F1936" s="1" t="s">
        <v>5539</v>
      </c>
      <c r="H1936" s="1" t="s">
        <v>5458</v>
      </c>
      <c r="I1936" s="10" t="str">
        <f>IF(H1936="T29",1,IF(H1936="T29",3,IF(H1936="T45",6,IF(H1936="T45",10,IF(H1936="T77",14,IF(H1936="T77",18,IF(H1936="T45",22,"")))))))</f>
        <v/>
      </c>
      <c r="J1936" s="3" t="s">
        <v>5447</v>
      </c>
      <c r="K1936" s="10">
        <v>1</v>
      </c>
      <c r="L1936" s="10">
        <v>1</v>
      </c>
      <c r="O1936" s="6">
        <v>27</v>
      </c>
      <c r="S1936" s="1"/>
    </row>
    <row r="1937" spans="1:19" ht="18.75" hidden="1" customHeight="1" x14ac:dyDescent="0.3">
      <c r="A1937" s="10">
        <v>1936</v>
      </c>
      <c r="B1937" s="10">
        <f>_xlfn.XLOOKUP(1,(VALUE(D1937)&gt;=VALUE(block!$C$3:$C$500))*(VALUE(D1937)&lt;VALUE(block!$C$3:$C$500)+VALUE(block!$D$3:$D$500)),block!$A$3:$A$500,"无匹配",0,1)</f>
        <v>58</v>
      </c>
      <c r="C1937" s="3" t="str">
        <f>B1937 &amp; "-" &amp; COUNTIF($B$2:B1937, B1937)</f>
        <v>58-26</v>
      </c>
      <c r="D1937" s="10">
        <v>25881</v>
      </c>
      <c r="E1937" s="1" t="s">
        <v>5540</v>
      </c>
      <c r="F1937" s="1" t="s">
        <v>5541</v>
      </c>
      <c r="H1937" s="1" t="s">
        <v>5458</v>
      </c>
      <c r="I1937" s="10" t="str">
        <f>IF(H1937="T30",1,IF(H1937="T30",3,IF(H1937="T46",6,IF(H1937="T46",10,IF(H1937="T78",14,IF(H1937="T78",18,IF(H1937="T46",22,"")))))))</f>
        <v/>
      </c>
      <c r="J1937" s="3" t="s">
        <v>5447</v>
      </c>
      <c r="K1937" s="10">
        <v>1</v>
      </c>
      <c r="L1937" s="10">
        <v>1</v>
      </c>
      <c r="O1937" s="6">
        <v>27</v>
      </c>
      <c r="S1937" s="1"/>
    </row>
    <row r="1938" spans="1:19" ht="18.75" hidden="1" customHeight="1" x14ac:dyDescent="0.3">
      <c r="A1938" s="10">
        <v>1937</v>
      </c>
      <c r="B1938" s="10">
        <f>_xlfn.XLOOKUP(1,(VALUE(D1938)&gt;=VALUE(block!$C$3:$C$500))*(VALUE(D1938)&lt;VALUE(block!$C$3:$C$500)+VALUE(block!$D$3:$D$500)),block!$A$3:$A$500,"无匹配",0,1)</f>
        <v>59</v>
      </c>
      <c r="C1938" s="3" t="str">
        <f>B1938 &amp; "-" &amp; COUNTIF($B$2:B1938, B1938)</f>
        <v>59-1</v>
      </c>
      <c r="D1938" s="10">
        <v>25968</v>
      </c>
      <c r="E1938" s="1" t="s">
        <v>5542</v>
      </c>
      <c r="F1938" s="1" t="s">
        <v>5543</v>
      </c>
      <c r="H1938" s="1" t="s">
        <v>5458</v>
      </c>
      <c r="I1938" s="10" t="str">
        <f>IF(H1938="T31",1,IF(H1938="T31",3,IF(H1938="T47",6,IF(H1938="T47",10,IF(H1938="T79",14,IF(H1938="T79",18,IF(H1938="T47",22,"")))))))</f>
        <v/>
      </c>
      <c r="J1938" s="3" t="s">
        <v>5447</v>
      </c>
      <c r="K1938" s="10">
        <v>1</v>
      </c>
      <c r="L1938" s="10">
        <v>1</v>
      </c>
      <c r="O1938" s="6">
        <v>27</v>
      </c>
      <c r="S1938" s="1"/>
    </row>
    <row r="1939" spans="1:19" ht="18.75" hidden="1" customHeight="1" x14ac:dyDescent="0.3">
      <c r="A1939" s="10">
        <v>1938</v>
      </c>
      <c r="B1939" s="10">
        <f>_xlfn.XLOOKUP(1,(VALUE(D1939)&gt;=VALUE(block!$C$3:$C$500))*(VALUE(D1939)&lt;VALUE(block!$C$3:$C$500)+VALUE(block!$D$3:$D$500)),block!$A$3:$A$500,"无匹配",0,1)</f>
        <v>59</v>
      </c>
      <c r="C1939" s="3" t="str">
        <f>B1939 &amp; "-" &amp; COUNTIF($B$2:B1939, B1939)</f>
        <v>59-2</v>
      </c>
      <c r="D1939" s="10">
        <v>25969</v>
      </c>
      <c r="E1939" s="1" t="s">
        <v>5544</v>
      </c>
      <c r="F1939" s="1" t="s">
        <v>5545</v>
      </c>
      <c r="H1939" s="1" t="s">
        <v>5458</v>
      </c>
      <c r="I1939" s="10" t="str">
        <f>IF(H1939="T32",1,IF(H1939="T32",3,IF(H1939="T48",6,IF(H1939="T48",10,IF(H1939="T80",14,IF(H1939="T80",18,IF(H1939="T48",22,"")))))))</f>
        <v/>
      </c>
      <c r="J1939" s="3" t="s">
        <v>5447</v>
      </c>
      <c r="K1939" s="10">
        <v>1</v>
      </c>
      <c r="L1939" s="10">
        <v>1</v>
      </c>
      <c r="O1939" s="6">
        <v>27</v>
      </c>
      <c r="S1939" s="1"/>
    </row>
    <row r="1940" spans="1:19" ht="18.75" hidden="1" customHeight="1" x14ac:dyDescent="0.3">
      <c r="A1940" s="10">
        <v>1939</v>
      </c>
      <c r="B1940" s="10">
        <f>_xlfn.XLOOKUP(1,(VALUE(D1940)&gt;=VALUE(block!$C$3:$C$500))*(VALUE(D1940)&lt;VALUE(block!$C$3:$C$500)+VALUE(block!$D$3:$D$500)),block!$A$3:$A$500,"无匹配",0,1)</f>
        <v>59</v>
      </c>
      <c r="C1940" s="3" t="str">
        <f>B1940 &amp; "-" &amp; COUNTIF($B$2:B1940, B1940)</f>
        <v>59-3</v>
      </c>
      <c r="D1940" s="10">
        <v>25970</v>
      </c>
      <c r="E1940" s="1" t="s">
        <v>5546</v>
      </c>
      <c r="F1940" s="1" t="s">
        <v>5547</v>
      </c>
      <c r="H1940" s="1" t="s">
        <v>5458</v>
      </c>
      <c r="I1940" s="10" t="str">
        <f>IF(H1940="T33",1,IF(H1940="T33",3,IF(H1940="T49",6,IF(H1940="T49",10,IF(H1940="T81",14,IF(H1940="T81",18,IF(H1940="T49",22,"")))))))</f>
        <v/>
      </c>
      <c r="J1940" s="3" t="s">
        <v>5447</v>
      </c>
      <c r="K1940" s="10">
        <v>1</v>
      </c>
      <c r="L1940" s="10">
        <v>1</v>
      </c>
      <c r="O1940" s="6">
        <v>27</v>
      </c>
      <c r="S1940" s="1"/>
    </row>
    <row r="1941" spans="1:19" ht="18.75" hidden="1" customHeight="1" x14ac:dyDescent="0.3">
      <c r="A1941" s="10">
        <v>1940</v>
      </c>
      <c r="B1941" s="10">
        <f>_xlfn.XLOOKUP(1,(VALUE(D1941)&gt;=VALUE(block!$C$3:$C$500))*(VALUE(D1941)&lt;VALUE(block!$C$3:$C$500)+VALUE(block!$D$3:$D$500)),block!$A$3:$A$500,"无匹配",0,1)</f>
        <v>59</v>
      </c>
      <c r="C1941" s="3" t="str">
        <f>B1941 &amp; "-" &amp; COUNTIF($B$2:B1941, B1941)</f>
        <v>59-4</v>
      </c>
      <c r="D1941" s="10">
        <v>25971</v>
      </c>
      <c r="E1941" s="1" t="s">
        <v>5548</v>
      </c>
      <c r="F1941" s="1" t="s">
        <v>5549</v>
      </c>
      <c r="H1941" s="1" t="s">
        <v>5458</v>
      </c>
      <c r="I1941" s="10" t="str">
        <f>IF(H1941="T34",1,IF(H1941="T34",3,IF(H1941="T50",6,IF(H1941="T50",10,IF(H1941="T82",14,IF(H1941="T82",18,IF(H1941="T50",22,"")))))))</f>
        <v/>
      </c>
      <c r="J1941" s="3" t="s">
        <v>5447</v>
      </c>
      <c r="K1941" s="10">
        <v>1</v>
      </c>
      <c r="L1941" s="10">
        <v>1</v>
      </c>
      <c r="O1941" s="6">
        <v>27</v>
      </c>
      <c r="S1941" s="1"/>
    </row>
    <row r="1942" spans="1:19" ht="18.75" hidden="1" customHeight="1" x14ac:dyDescent="0.3">
      <c r="A1942" s="10">
        <v>1941</v>
      </c>
      <c r="B1942" s="10">
        <f>_xlfn.XLOOKUP(1,(VALUE(D1942)&gt;=VALUE(block!$C$3:$C$500))*(VALUE(D1942)&lt;VALUE(block!$C$3:$C$500)+VALUE(block!$D$3:$D$500)),block!$A$3:$A$500,"无匹配",0,1)</f>
        <v>59</v>
      </c>
      <c r="C1942" s="3" t="str">
        <f>B1942 &amp; "-" &amp; COUNTIF($B$2:B1942, B1942)</f>
        <v>59-5</v>
      </c>
      <c r="D1942" s="10">
        <v>25972</v>
      </c>
      <c r="E1942" s="1" t="s">
        <v>5550</v>
      </c>
      <c r="F1942" s="1" t="s">
        <v>5551</v>
      </c>
      <c r="H1942" s="1" t="s">
        <v>5458</v>
      </c>
      <c r="I1942" s="10" t="str">
        <f>IF(H1942="T35",1,IF(H1942="T35",3,IF(H1942="T51",6,IF(H1942="T51",10,IF(H1942="T83",14,IF(H1942="T83",18,IF(H1942="T51",22,"")))))))</f>
        <v/>
      </c>
      <c r="J1942" s="3" t="s">
        <v>5447</v>
      </c>
      <c r="K1942" s="10">
        <v>1</v>
      </c>
      <c r="L1942" s="10">
        <v>1</v>
      </c>
      <c r="O1942" s="6">
        <v>27</v>
      </c>
      <c r="S1942" s="1"/>
    </row>
    <row r="1943" spans="1:19" ht="18.75" hidden="1" customHeight="1" x14ac:dyDescent="0.3">
      <c r="A1943" s="10">
        <v>1942</v>
      </c>
      <c r="B1943" s="10">
        <f>_xlfn.XLOOKUP(1,(VALUE(D1943)&gt;=VALUE(block!$C$3:$C$500))*(VALUE(D1943)&lt;VALUE(block!$C$3:$C$500)+VALUE(block!$D$3:$D$500)),block!$A$3:$A$500,"无匹配",0,1)</f>
        <v>59</v>
      </c>
      <c r="C1943" s="3" t="str">
        <f>B1943 &amp; "-" &amp; COUNTIF($B$2:B1943, B1943)</f>
        <v>59-6</v>
      </c>
      <c r="D1943" s="10">
        <v>25973</v>
      </c>
      <c r="E1943" s="1" t="s">
        <v>5552</v>
      </c>
      <c r="F1943" s="1" t="s">
        <v>5553</v>
      </c>
      <c r="H1943" s="1" t="s">
        <v>5458</v>
      </c>
      <c r="I1943" s="10" t="str">
        <f>IF(H1943="T36",1,IF(H1943="T36",3,IF(H1943="T52",6,IF(H1943="T52",10,IF(H1943="T84",14,IF(H1943="T84",18,IF(H1943="T52",22,"")))))))</f>
        <v/>
      </c>
      <c r="J1943" s="3" t="s">
        <v>5447</v>
      </c>
      <c r="K1943" s="10">
        <v>1</v>
      </c>
      <c r="L1943" s="10">
        <v>1</v>
      </c>
      <c r="O1943" s="6">
        <v>27</v>
      </c>
      <c r="S1943" s="1"/>
    </row>
    <row r="1944" spans="1:19" ht="18.75" hidden="1" customHeight="1" x14ac:dyDescent="0.3">
      <c r="A1944" s="10">
        <v>1943</v>
      </c>
      <c r="B1944" s="10">
        <f>_xlfn.XLOOKUP(1,(VALUE(D1944)&gt;=VALUE(block!$C$3:$C$500))*(VALUE(D1944)&lt;VALUE(block!$C$3:$C$500)+VALUE(block!$D$3:$D$500)),block!$A$3:$A$500,"无匹配",0,1)</f>
        <v>59</v>
      </c>
      <c r="C1944" s="3" t="str">
        <f>B1944 &amp; "-" &amp; COUNTIF($B$2:B1944, B1944)</f>
        <v>59-7</v>
      </c>
      <c r="D1944" s="10">
        <v>25974</v>
      </c>
      <c r="E1944" s="1" t="s">
        <v>5554</v>
      </c>
      <c r="F1944" s="1" t="s">
        <v>5555</v>
      </c>
      <c r="H1944" s="1" t="s">
        <v>5458</v>
      </c>
      <c r="I1944" s="10" t="str">
        <f>IF(H1944="T37",1,IF(H1944="T37",3,IF(H1944="T53",6,IF(H1944="T53",10,IF(H1944="T85",14,IF(H1944="T85",18,IF(H1944="T53",22,"")))))))</f>
        <v/>
      </c>
      <c r="J1944" s="3" t="s">
        <v>5447</v>
      </c>
      <c r="K1944" s="10">
        <v>1</v>
      </c>
      <c r="L1944" s="10">
        <v>1</v>
      </c>
      <c r="O1944" s="6">
        <v>27</v>
      </c>
      <c r="S1944" s="1"/>
    </row>
    <row r="1945" spans="1:19" ht="18.75" hidden="1" customHeight="1" x14ac:dyDescent="0.3">
      <c r="A1945" s="10">
        <v>1944</v>
      </c>
      <c r="B1945" s="10">
        <f>_xlfn.XLOOKUP(1,(VALUE(D1945)&gt;=VALUE(block!$C$3:$C$500))*(VALUE(D1945)&lt;VALUE(block!$C$3:$C$500)+VALUE(block!$D$3:$D$500)),block!$A$3:$A$500,"无匹配",0,1)</f>
        <v>59</v>
      </c>
      <c r="C1945" s="3" t="str">
        <f>B1945 &amp; "-" &amp; COUNTIF($B$2:B1945, B1945)</f>
        <v>59-8</v>
      </c>
      <c r="D1945" s="10">
        <v>25975</v>
      </c>
      <c r="E1945" s="1" t="s">
        <v>5556</v>
      </c>
      <c r="F1945" s="1" t="s">
        <v>5557</v>
      </c>
      <c r="H1945" s="1" t="s">
        <v>5458</v>
      </c>
      <c r="I1945" s="10" t="str">
        <f>IF(H1945="T38",1,IF(H1945="T38",3,IF(H1945="T54",6,IF(H1945="T54",10,IF(H1945="T86",14,IF(H1945="T86",18,IF(H1945="T54",22,"")))))))</f>
        <v/>
      </c>
      <c r="J1945" s="3" t="s">
        <v>5447</v>
      </c>
      <c r="K1945" s="10">
        <v>1</v>
      </c>
      <c r="L1945" s="10">
        <v>1</v>
      </c>
      <c r="O1945" s="6">
        <v>27</v>
      </c>
      <c r="S1945" s="1"/>
    </row>
    <row r="1946" spans="1:19" ht="18.75" hidden="1" customHeight="1" x14ac:dyDescent="0.3">
      <c r="A1946" s="10">
        <v>1945</v>
      </c>
      <c r="B1946" s="10">
        <f>_xlfn.XLOOKUP(1,(VALUE(D1946)&gt;=VALUE(block!$C$3:$C$500))*(VALUE(D1946)&lt;VALUE(block!$C$3:$C$500)+VALUE(block!$D$3:$D$500)),block!$A$3:$A$500,"无匹配",0,1)</f>
        <v>60</v>
      </c>
      <c r="C1946" s="3" t="str">
        <f>B1946 &amp; "-" &amp; COUNTIF($B$2:B1946, B1946)</f>
        <v>60-1</v>
      </c>
      <c r="D1946" s="10">
        <v>14080</v>
      </c>
      <c r="E1946" s="1" t="s">
        <v>5558</v>
      </c>
      <c r="F1946" s="1" t="s">
        <v>5559</v>
      </c>
      <c r="G1946" s="1" t="s">
        <v>1830</v>
      </c>
      <c r="H1946" s="1" t="s">
        <v>1812</v>
      </c>
      <c r="I1946" s="10" t="str">
        <f>IF(H1946="T39",1,IF(H1946="T39",3,IF(H1946="T55",6,IF(H1946="T55",10,IF(H1946="T87",14,IF(H1946="T87",18,IF(H1946="T55",22,"")))))))</f>
        <v/>
      </c>
      <c r="J1946" s="1" t="s">
        <v>1808</v>
      </c>
      <c r="K1946" s="10">
        <v>2</v>
      </c>
      <c r="L1946" s="10">
        <v>1</v>
      </c>
      <c r="O1946" s="6"/>
      <c r="P1946" s="42" t="s">
        <v>5560</v>
      </c>
      <c r="Q1946" s="42" t="s">
        <v>5561</v>
      </c>
      <c r="R1946" s="42"/>
      <c r="S1946" s="1"/>
    </row>
    <row r="1947" spans="1:19" ht="18.75" hidden="1" customHeight="1" x14ac:dyDescent="0.3">
      <c r="A1947" s="10">
        <v>1946</v>
      </c>
      <c r="B1947" s="10">
        <f>_xlfn.XLOOKUP(1,(VALUE(D1947)&gt;=VALUE(block!$C$3:$C$500))*(VALUE(D1947)&lt;VALUE(block!$C$3:$C$500)+VALUE(block!$D$3:$D$500)),block!$A$3:$A$500,"无匹配",0,1)</f>
        <v>60</v>
      </c>
      <c r="C1947" s="3" t="str">
        <f>B1947 &amp; "-" &amp; COUNTIF($B$2:B1947, B1947)</f>
        <v>60-2</v>
      </c>
      <c r="D1947" s="10">
        <f t="shared" ref="D1947:D2010" si="0">D1946+K1946</f>
        <v>14082</v>
      </c>
      <c r="E1947" s="3" t="s">
        <v>5562</v>
      </c>
      <c r="F1947" s="1" t="s">
        <v>5563</v>
      </c>
      <c r="H1947" s="3" t="s">
        <v>1838</v>
      </c>
      <c r="I1947" s="10" t="str">
        <f>IF(H1947="T40",1,IF(H1947="T40",3,IF(H1947="T56",6,IF(H1947="T56",10,IF(H1947="T88",14,IF(H1947="T88",18,IF(H1947="T56",22,"")))))))</f>
        <v/>
      </c>
      <c r="J1947" s="1" t="s">
        <v>1808</v>
      </c>
      <c r="K1947" s="10">
        <v>2</v>
      </c>
      <c r="L1947" s="10">
        <v>1</v>
      </c>
      <c r="O1947" s="6"/>
      <c r="Q1947" s="42" t="s">
        <v>5561</v>
      </c>
      <c r="R1947" s="42"/>
      <c r="S1947" s="1"/>
    </row>
    <row r="1948" spans="1:19" ht="18.75" hidden="1" customHeight="1" x14ac:dyDescent="0.3">
      <c r="A1948" s="10">
        <v>1947</v>
      </c>
      <c r="B1948" s="10">
        <f>_xlfn.XLOOKUP(1,(VALUE(D1948)&gt;=VALUE(block!$C$3:$C$500))*(VALUE(D1948)&lt;VALUE(block!$C$3:$C$500)+VALUE(block!$D$3:$D$500)),block!$A$3:$A$500,"无匹配",0,1)</f>
        <v>60</v>
      </c>
      <c r="C1948" s="3" t="str">
        <f>B1948 &amp; "-" &amp; COUNTIF($B$2:B1948, B1948)</f>
        <v>60-3</v>
      </c>
      <c r="D1948" s="10">
        <f t="shared" si="0"/>
        <v>14084</v>
      </c>
      <c r="E1948" s="3" t="s">
        <v>5562</v>
      </c>
      <c r="F1948" s="1" t="s">
        <v>5564</v>
      </c>
      <c r="H1948" s="3" t="s">
        <v>5458</v>
      </c>
      <c r="I1948" s="10" t="str">
        <f>IF(H1948="T41",1,IF(H1948="T41",3,IF(H1948="T57",6,IF(H1948="T57",10,IF(H1948="T89",14,IF(H1948="T89",18,IF(H1948="T57",22,"")))))))</f>
        <v/>
      </c>
      <c r="J1948" s="1" t="s">
        <v>1808</v>
      </c>
      <c r="K1948" s="10">
        <v>1</v>
      </c>
      <c r="L1948" s="10">
        <v>1</v>
      </c>
      <c r="O1948" s="6"/>
      <c r="Q1948" s="42" t="s">
        <v>5561</v>
      </c>
      <c r="R1948" s="42"/>
      <c r="S1948" s="1"/>
    </row>
    <row r="1949" spans="1:19" ht="18.75" hidden="1" customHeight="1" x14ac:dyDescent="0.3">
      <c r="A1949" s="10">
        <v>1948</v>
      </c>
      <c r="B1949" s="10">
        <f>_xlfn.XLOOKUP(1,(VALUE(D1949)&gt;=VALUE(block!$C$3:$C$500))*(VALUE(D1949)&lt;VALUE(block!$C$3:$C$500)+VALUE(block!$D$3:$D$500)),block!$A$3:$A$500,"无匹配",0,1)</f>
        <v>60</v>
      </c>
      <c r="C1949" s="3" t="str">
        <f>B1949 &amp; "-" &amp; COUNTIF($B$2:B1949, B1949)</f>
        <v>60-4</v>
      </c>
      <c r="D1949" s="10">
        <f t="shared" si="0"/>
        <v>14085</v>
      </c>
      <c r="E1949" s="1" t="s">
        <v>5565</v>
      </c>
      <c r="F1949" s="1" t="s">
        <v>5566</v>
      </c>
      <c r="G1949" s="1" t="s">
        <v>1832</v>
      </c>
      <c r="H1949" s="1" t="s">
        <v>1812</v>
      </c>
      <c r="I1949" s="10" t="str">
        <f>IF(H1949="T42",1,IF(H1949="T42",3,IF(H1949="T58",6,IF(H1949="T58",10,IF(H1949="T90",14,IF(H1949="T90",18,IF(H1949="T58",22,"")))))))</f>
        <v/>
      </c>
      <c r="J1949" s="1" t="s">
        <v>1808</v>
      </c>
      <c r="K1949" s="10">
        <v>2</v>
      </c>
      <c r="L1949" s="10">
        <v>1</v>
      </c>
      <c r="O1949" s="6"/>
      <c r="P1949" s="42" t="s">
        <v>5560</v>
      </c>
      <c r="Q1949" s="42" t="s">
        <v>5561</v>
      </c>
      <c r="R1949" s="42"/>
      <c r="S1949" s="1"/>
    </row>
    <row r="1950" spans="1:19" ht="18.75" hidden="1" customHeight="1" x14ac:dyDescent="0.3">
      <c r="A1950" s="10">
        <v>1949</v>
      </c>
      <c r="B1950" s="10">
        <f>_xlfn.XLOOKUP(1,(VALUE(D1950)&gt;=VALUE(block!$C$3:$C$500))*(VALUE(D1950)&lt;VALUE(block!$C$3:$C$500)+VALUE(block!$D$3:$D$500)),block!$A$3:$A$500,"无匹配",0,1)</f>
        <v>60</v>
      </c>
      <c r="C1950" s="3" t="str">
        <f>B1950 &amp; "-" &amp; COUNTIF($B$2:B1950, B1950)</f>
        <v>60-5</v>
      </c>
      <c r="D1950" s="10">
        <f t="shared" si="0"/>
        <v>14087</v>
      </c>
      <c r="E1950" s="3" t="s">
        <v>5567</v>
      </c>
      <c r="F1950" s="1" t="s">
        <v>5568</v>
      </c>
      <c r="H1950" s="3" t="s">
        <v>1838</v>
      </c>
      <c r="I1950" s="10" t="str">
        <f>IF(H1950="T43",1,IF(H1950="T43",3,IF(H1950="T59",6,IF(H1950="T59",10,IF(H1950="T91",14,IF(H1950="T91",18,IF(H1950="T59",22,"")))))))</f>
        <v/>
      </c>
      <c r="J1950" s="1" t="s">
        <v>1808</v>
      </c>
      <c r="K1950" s="10">
        <v>2</v>
      </c>
      <c r="L1950" s="10">
        <v>1</v>
      </c>
      <c r="O1950" s="6"/>
      <c r="Q1950" s="42" t="s">
        <v>5561</v>
      </c>
      <c r="R1950" s="42"/>
      <c r="S1950" s="1"/>
    </row>
    <row r="1951" spans="1:19" ht="18.75" hidden="1" customHeight="1" x14ac:dyDescent="0.3">
      <c r="A1951" s="10">
        <v>1950</v>
      </c>
      <c r="B1951" s="10">
        <f>_xlfn.XLOOKUP(1,(VALUE(D1951)&gt;=VALUE(block!$C$3:$C$500))*(VALUE(D1951)&lt;VALUE(block!$C$3:$C$500)+VALUE(block!$D$3:$D$500)),block!$A$3:$A$500,"无匹配",0,1)</f>
        <v>60</v>
      </c>
      <c r="C1951" s="3" t="str">
        <f>B1951 &amp; "-" &amp; COUNTIF($B$2:B1951, B1951)</f>
        <v>60-6</v>
      </c>
      <c r="D1951" s="10">
        <f t="shared" si="0"/>
        <v>14089</v>
      </c>
      <c r="E1951" s="3" t="s">
        <v>5567</v>
      </c>
      <c r="F1951" s="1" t="s">
        <v>5569</v>
      </c>
      <c r="H1951" s="3" t="s">
        <v>5458</v>
      </c>
      <c r="I1951" s="10" t="str">
        <f>IF(H1951="T44",1,IF(H1951="T44",3,IF(H1951="T60",6,IF(H1951="T60",10,IF(H1951="T92",14,IF(H1951="T92",18,IF(H1951="T60",22,"")))))))</f>
        <v/>
      </c>
      <c r="J1951" s="1" t="s">
        <v>1808</v>
      </c>
      <c r="K1951" s="10">
        <v>1</v>
      </c>
      <c r="L1951" s="10">
        <v>1</v>
      </c>
      <c r="O1951" s="6"/>
      <c r="Q1951" s="42" t="s">
        <v>5561</v>
      </c>
      <c r="R1951" s="42"/>
      <c r="S1951" s="1"/>
    </row>
    <row r="1952" spans="1:19" ht="18.75" hidden="1" customHeight="1" x14ac:dyDescent="0.3">
      <c r="A1952" s="10">
        <v>1951</v>
      </c>
      <c r="B1952" s="10">
        <f>_xlfn.XLOOKUP(1,(VALUE(D1952)&gt;=VALUE(block!$C$3:$C$500))*(VALUE(D1952)&lt;VALUE(block!$C$3:$C$500)+VALUE(block!$D$3:$D$500)),block!$A$3:$A$500,"无匹配",0,1)</f>
        <v>60</v>
      </c>
      <c r="C1952" s="3" t="str">
        <f>B1952 &amp; "-" &amp; COUNTIF($B$2:B1952, B1952)</f>
        <v>60-7</v>
      </c>
      <c r="D1952" s="10">
        <f t="shared" si="0"/>
        <v>14090</v>
      </c>
      <c r="E1952" s="1" t="s">
        <v>5570</v>
      </c>
      <c r="F1952" s="1" t="s">
        <v>5571</v>
      </c>
      <c r="G1952" s="1" t="s">
        <v>1832</v>
      </c>
      <c r="H1952" s="1" t="s">
        <v>1812</v>
      </c>
      <c r="I1952" s="10" t="str">
        <f>IF(H1952="T45",1,IF(H1952="T45",3,IF(H1952="T61",6,IF(H1952="T61",10,IF(H1952="T93",14,IF(H1952="T93",18,IF(H1952="T61",22,"")))))))</f>
        <v/>
      </c>
      <c r="J1952" s="1" t="s">
        <v>1808</v>
      </c>
      <c r="K1952" s="10">
        <v>2</v>
      </c>
      <c r="L1952" s="10">
        <v>1</v>
      </c>
      <c r="O1952" s="6"/>
      <c r="P1952" s="42" t="s">
        <v>5560</v>
      </c>
      <c r="Q1952" s="42" t="s">
        <v>5561</v>
      </c>
      <c r="R1952" s="42"/>
      <c r="S1952" s="1"/>
    </row>
    <row r="1953" spans="1:19" ht="18.75" hidden="1" customHeight="1" x14ac:dyDescent="0.3">
      <c r="A1953" s="10">
        <v>1952</v>
      </c>
      <c r="B1953" s="10">
        <f>_xlfn.XLOOKUP(1,(VALUE(D1953)&gt;=VALUE(block!$C$3:$C$500))*(VALUE(D1953)&lt;VALUE(block!$C$3:$C$500)+VALUE(block!$D$3:$D$500)),block!$A$3:$A$500,"无匹配",0,1)</f>
        <v>60</v>
      </c>
      <c r="C1953" s="3" t="str">
        <f>B1953 &amp; "-" &amp; COUNTIF($B$2:B1953, B1953)</f>
        <v>60-8</v>
      </c>
      <c r="D1953" s="10">
        <f t="shared" si="0"/>
        <v>14092</v>
      </c>
      <c r="E1953" s="3" t="s">
        <v>5572</v>
      </c>
      <c r="F1953" s="1" t="s">
        <v>5573</v>
      </c>
      <c r="H1953" s="3" t="s">
        <v>1838</v>
      </c>
      <c r="I1953" s="10" t="str">
        <f>IF(H1953="T46",1,IF(H1953="T46",3,IF(H1953="T62",6,IF(H1953="T62",10,IF(H1953="T94",14,IF(H1953="T94",18,IF(H1953="T62",22,"")))))))</f>
        <v/>
      </c>
      <c r="J1953" s="1" t="s">
        <v>1808</v>
      </c>
      <c r="K1953" s="10">
        <v>2</v>
      </c>
      <c r="L1953" s="10">
        <v>1</v>
      </c>
      <c r="O1953" s="6"/>
      <c r="Q1953" s="42" t="s">
        <v>5561</v>
      </c>
      <c r="R1953" s="42"/>
      <c r="S1953" s="1"/>
    </row>
    <row r="1954" spans="1:19" ht="18.75" hidden="1" customHeight="1" x14ac:dyDescent="0.3">
      <c r="A1954" s="10">
        <v>1953</v>
      </c>
      <c r="B1954" s="10">
        <f>_xlfn.XLOOKUP(1,(VALUE(D1954)&gt;=VALUE(block!$C$3:$C$500))*(VALUE(D1954)&lt;VALUE(block!$C$3:$C$500)+VALUE(block!$D$3:$D$500)),block!$A$3:$A$500,"无匹配",0,1)</f>
        <v>60</v>
      </c>
      <c r="C1954" s="3" t="str">
        <f>B1954 &amp; "-" &amp; COUNTIF($B$2:B1954, B1954)</f>
        <v>60-9</v>
      </c>
      <c r="D1954" s="10">
        <f t="shared" si="0"/>
        <v>14094</v>
      </c>
      <c r="E1954" s="3" t="s">
        <v>5572</v>
      </c>
      <c r="F1954" s="1" t="s">
        <v>5574</v>
      </c>
      <c r="H1954" s="3" t="s">
        <v>5458</v>
      </c>
      <c r="I1954" s="10" t="str">
        <f>IF(H1954="T47",1,IF(H1954="T47",3,IF(H1954="T63",6,IF(H1954="T63",10,IF(H1954="T95",14,IF(H1954="T95",18,IF(H1954="T63",22,"")))))))</f>
        <v/>
      </c>
      <c r="J1954" s="1" t="s">
        <v>1808</v>
      </c>
      <c r="K1954" s="10">
        <v>1</v>
      </c>
      <c r="L1954" s="10">
        <v>1</v>
      </c>
      <c r="O1954" s="6"/>
      <c r="Q1954" s="42" t="s">
        <v>5561</v>
      </c>
      <c r="R1954" s="42"/>
      <c r="S1954" s="1"/>
    </row>
    <row r="1955" spans="1:19" ht="18.75" hidden="1" customHeight="1" x14ac:dyDescent="0.3">
      <c r="A1955" s="10">
        <v>1954</v>
      </c>
      <c r="B1955" s="10">
        <f>_xlfn.XLOOKUP(1,(VALUE(D1955)&gt;=VALUE(block!$C$3:$C$500))*(VALUE(D1955)&lt;VALUE(block!$C$3:$C$500)+VALUE(block!$D$3:$D$500)),block!$A$3:$A$500,"无匹配",0,1)</f>
        <v>60</v>
      </c>
      <c r="C1955" s="3" t="str">
        <f>B1955 &amp; "-" &amp; COUNTIF($B$2:B1955, B1955)</f>
        <v>60-10</v>
      </c>
      <c r="D1955" s="10">
        <f t="shared" si="0"/>
        <v>14095</v>
      </c>
      <c r="E1955" s="1" t="s">
        <v>5575</v>
      </c>
      <c r="F1955" s="1" t="s">
        <v>5576</v>
      </c>
      <c r="G1955" s="1" t="s">
        <v>1834</v>
      </c>
      <c r="H1955" s="1" t="s">
        <v>1812</v>
      </c>
      <c r="I1955" s="10" t="str">
        <f>IF(H1955="T48",1,IF(H1955="T48",3,IF(H1955="T64",6,IF(H1955="T64",10,IF(H1955="T96",14,IF(H1955="T96",18,IF(H1955="T64",22,"")))))))</f>
        <v/>
      </c>
      <c r="J1955" s="1" t="s">
        <v>1808</v>
      </c>
      <c r="K1955" s="10">
        <v>2</v>
      </c>
      <c r="L1955" s="10">
        <v>1</v>
      </c>
      <c r="O1955" s="6"/>
      <c r="P1955" s="42" t="s">
        <v>5560</v>
      </c>
      <c r="Q1955" s="42" t="s">
        <v>5561</v>
      </c>
      <c r="R1955" s="42"/>
      <c r="S1955" s="1"/>
    </row>
    <row r="1956" spans="1:19" ht="18.75" hidden="1" customHeight="1" x14ac:dyDescent="0.3">
      <c r="A1956" s="10">
        <v>1955</v>
      </c>
      <c r="B1956" s="10">
        <f>_xlfn.XLOOKUP(1,(VALUE(D1956)&gt;=VALUE(block!$C$3:$C$500))*(VALUE(D1956)&lt;VALUE(block!$C$3:$C$500)+VALUE(block!$D$3:$D$500)),block!$A$3:$A$500,"无匹配",0,1)</f>
        <v>60</v>
      </c>
      <c r="C1956" s="3" t="str">
        <f>B1956 &amp; "-" &amp; COUNTIF($B$2:B1956, B1956)</f>
        <v>60-11</v>
      </c>
      <c r="D1956" s="10">
        <f t="shared" si="0"/>
        <v>14097</v>
      </c>
      <c r="E1956" s="3" t="s">
        <v>5577</v>
      </c>
      <c r="F1956" s="1" t="s">
        <v>5578</v>
      </c>
      <c r="H1956" s="3" t="s">
        <v>1838</v>
      </c>
      <c r="I1956" s="10" t="str">
        <f>IF(H1956="T49",1,IF(H1956="T49",3,IF(H1956="T65",6,IF(H1956="T65",10,IF(H1956="T97",14,IF(H1956="T97",18,IF(H1956="T65",22,"")))))))</f>
        <v/>
      </c>
      <c r="J1956" s="1" t="s">
        <v>1808</v>
      </c>
      <c r="K1956" s="10">
        <v>2</v>
      </c>
      <c r="L1956" s="10">
        <v>1</v>
      </c>
      <c r="O1956" s="6"/>
      <c r="Q1956" s="42" t="s">
        <v>5561</v>
      </c>
      <c r="R1956" s="42"/>
      <c r="S1956" s="1"/>
    </row>
    <row r="1957" spans="1:19" ht="18.75" hidden="1" customHeight="1" x14ac:dyDescent="0.3">
      <c r="A1957" s="10">
        <v>1956</v>
      </c>
      <c r="B1957" s="10">
        <f>_xlfn.XLOOKUP(1,(VALUE(D1957)&gt;=VALUE(block!$C$3:$C$500))*(VALUE(D1957)&lt;VALUE(block!$C$3:$C$500)+VALUE(block!$D$3:$D$500)),block!$A$3:$A$500,"无匹配",0,1)</f>
        <v>60</v>
      </c>
      <c r="C1957" s="3" t="str">
        <f>B1957 &amp; "-" &amp; COUNTIF($B$2:B1957, B1957)</f>
        <v>60-12</v>
      </c>
      <c r="D1957" s="10">
        <f t="shared" si="0"/>
        <v>14099</v>
      </c>
      <c r="E1957" s="3" t="s">
        <v>5577</v>
      </c>
      <c r="F1957" s="1" t="s">
        <v>5579</v>
      </c>
      <c r="H1957" s="3" t="s">
        <v>5458</v>
      </c>
      <c r="I1957" s="10" t="str">
        <f>IF(H1957="T50",1,IF(H1957="T50",3,IF(H1957="T66",6,IF(H1957="T66",10,IF(H1957="T98",14,IF(H1957="T98",18,IF(H1957="T66",22,"")))))))</f>
        <v/>
      </c>
      <c r="J1957" s="1" t="s">
        <v>1808</v>
      </c>
      <c r="K1957" s="10">
        <v>1</v>
      </c>
      <c r="L1957" s="10">
        <v>1</v>
      </c>
      <c r="O1957" s="6"/>
      <c r="Q1957" s="42" t="s">
        <v>5561</v>
      </c>
      <c r="R1957" s="42"/>
      <c r="S1957" s="1"/>
    </row>
    <row r="1958" spans="1:19" ht="18.75" hidden="1" customHeight="1" x14ac:dyDescent="0.3">
      <c r="A1958" s="10">
        <v>1957</v>
      </c>
      <c r="B1958" s="10">
        <f>_xlfn.XLOOKUP(1,(VALUE(D1958)&gt;=VALUE(block!$C$3:$C$500))*(VALUE(D1958)&lt;VALUE(block!$C$3:$C$500)+VALUE(block!$D$3:$D$500)),block!$A$3:$A$500,"无匹配",0,1)</f>
        <v>60</v>
      </c>
      <c r="C1958" s="3" t="str">
        <f>B1958 &amp; "-" &amp; COUNTIF($B$2:B1958, B1958)</f>
        <v>60-13</v>
      </c>
      <c r="D1958" s="10">
        <f t="shared" si="0"/>
        <v>14100</v>
      </c>
      <c r="E1958" s="1" t="s">
        <v>5580</v>
      </c>
      <c r="F1958" s="1" t="s">
        <v>5581</v>
      </c>
      <c r="G1958" s="1" t="s">
        <v>1834</v>
      </c>
      <c r="H1958" s="1" t="s">
        <v>1812</v>
      </c>
      <c r="I1958" s="10" t="str">
        <f>IF(H1958="T51",1,IF(H1958="T51",3,IF(H1958="T67",6,IF(H1958="T67",10,IF(H1958="T99",14,IF(H1958="T99",18,IF(H1958="T67",22,"")))))))</f>
        <v/>
      </c>
      <c r="J1958" s="1" t="s">
        <v>1808</v>
      </c>
      <c r="K1958" s="10">
        <v>2</v>
      </c>
      <c r="L1958" s="10">
        <v>1</v>
      </c>
      <c r="O1958" s="6"/>
      <c r="P1958" s="42" t="s">
        <v>5560</v>
      </c>
      <c r="Q1958" s="42" t="s">
        <v>5561</v>
      </c>
      <c r="R1958" s="42"/>
      <c r="S1958" s="1"/>
    </row>
    <row r="1959" spans="1:19" ht="18.75" hidden="1" customHeight="1" x14ac:dyDescent="0.3">
      <c r="A1959" s="10">
        <v>1958</v>
      </c>
      <c r="B1959" s="10">
        <f>_xlfn.XLOOKUP(1,(VALUE(D1959)&gt;=VALUE(block!$C$3:$C$500))*(VALUE(D1959)&lt;VALUE(block!$C$3:$C$500)+VALUE(block!$D$3:$D$500)),block!$A$3:$A$500,"无匹配",0,1)</f>
        <v>60</v>
      </c>
      <c r="C1959" s="3" t="str">
        <f>B1959 &amp; "-" &amp; COUNTIF($B$2:B1959, B1959)</f>
        <v>60-14</v>
      </c>
      <c r="D1959" s="10">
        <f t="shared" si="0"/>
        <v>14102</v>
      </c>
      <c r="E1959" s="3" t="s">
        <v>5582</v>
      </c>
      <c r="F1959" s="1" t="s">
        <v>5583</v>
      </c>
      <c r="H1959" s="3" t="s">
        <v>1838</v>
      </c>
      <c r="I1959" s="10" t="str">
        <f>IF(H1959="T52",1,IF(H1959="T52",3,IF(H1959="T68",6,IF(H1959="T68",10,IF(H1959="T100",14,IF(H1959="T100",18,IF(H1959="T68",22,"")))))))</f>
        <v/>
      </c>
      <c r="J1959" s="1" t="s">
        <v>1808</v>
      </c>
      <c r="K1959" s="10">
        <v>2</v>
      </c>
      <c r="L1959" s="10">
        <v>1</v>
      </c>
      <c r="O1959" s="6"/>
      <c r="Q1959" s="42" t="s">
        <v>5561</v>
      </c>
      <c r="R1959" s="42"/>
      <c r="S1959" s="1"/>
    </row>
    <row r="1960" spans="1:19" ht="18.75" hidden="1" customHeight="1" x14ac:dyDescent="0.3">
      <c r="A1960" s="10">
        <v>1959</v>
      </c>
      <c r="B1960" s="10">
        <f>_xlfn.XLOOKUP(1,(VALUE(D1960)&gt;=VALUE(block!$C$3:$C$500))*(VALUE(D1960)&lt;VALUE(block!$C$3:$C$500)+VALUE(block!$D$3:$D$500)),block!$A$3:$A$500,"无匹配",0,1)</f>
        <v>60</v>
      </c>
      <c r="C1960" s="3" t="str">
        <f>B1960 &amp; "-" &amp; COUNTIF($B$2:B1960, B1960)</f>
        <v>60-15</v>
      </c>
      <c r="D1960" s="10">
        <f t="shared" si="0"/>
        <v>14104</v>
      </c>
      <c r="E1960" s="3" t="s">
        <v>5582</v>
      </c>
      <c r="F1960" s="1" t="s">
        <v>5584</v>
      </c>
      <c r="H1960" s="3" t="s">
        <v>5458</v>
      </c>
      <c r="I1960" s="10" t="str">
        <f>IF(H1960="T53",1,IF(H1960="T53",3,IF(H1960="T69",6,IF(H1960="T69",10,IF(H1960="T101",14,IF(H1960="T101",18,IF(H1960="T69",22,"")))))))</f>
        <v/>
      </c>
      <c r="J1960" s="1" t="s">
        <v>1808</v>
      </c>
      <c r="K1960" s="10">
        <v>1</v>
      </c>
      <c r="L1960" s="10">
        <v>1</v>
      </c>
      <c r="O1960" s="6"/>
      <c r="Q1960" s="42" t="s">
        <v>5561</v>
      </c>
      <c r="R1960" s="42"/>
      <c r="S1960" s="1"/>
    </row>
    <row r="1961" spans="1:19" ht="18.75" hidden="1" customHeight="1" x14ac:dyDescent="0.3">
      <c r="A1961" s="10">
        <v>1960</v>
      </c>
      <c r="B1961" s="10">
        <f>_xlfn.XLOOKUP(1,(VALUE(D1961)&gt;=VALUE(block!$C$3:$C$500))*(VALUE(D1961)&lt;VALUE(block!$C$3:$C$500)+VALUE(block!$D$3:$D$500)),block!$A$3:$A$500,"无匹配",0,1)</f>
        <v>60</v>
      </c>
      <c r="C1961" s="3" t="str">
        <f>B1961 &amp; "-" &amp; COUNTIF($B$2:B1961, B1961)</f>
        <v>60-16</v>
      </c>
      <c r="D1961" s="10">
        <f t="shared" si="0"/>
        <v>14105</v>
      </c>
      <c r="E1961" s="1" t="s">
        <v>5585</v>
      </c>
      <c r="F1961" s="1" t="s">
        <v>5586</v>
      </c>
      <c r="G1961" s="1" t="s">
        <v>1836</v>
      </c>
      <c r="H1961" s="1" t="s">
        <v>1812</v>
      </c>
      <c r="I1961" s="10" t="str">
        <f>IF(H1961="T54",1,IF(H1961="T54",3,IF(H1961="T70",6,IF(H1961="T70",10,IF(H1961="T102",14,IF(H1961="T102",18,IF(H1961="T70",22,"")))))))</f>
        <v/>
      </c>
      <c r="J1961" s="1" t="s">
        <v>1808</v>
      </c>
      <c r="K1961" s="10">
        <v>2</v>
      </c>
      <c r="L1961" s="10">
        <v>1</v>
      </c>
      <c r="O1961" s="6"/>
      <c r="P1961" s="42" t="s">
        <v>5560</v>
      </c>
      <c r="Q1961" s="42" t="s">
        <v>5561</v>
      </c>
      <c r="R1961" s="42"/>
      <c r="S1961" s="1"/>
    </row>
    <row r="1962" spans="1:19" ht="18.75" hidden="1" customHeight="1" x14ac:dyDescent="0.3">
      <c r="A1962" s="10">
        <v>1961</v>
      </c>
      <c r="B1962" s="10">
        <f>_xlfn.XLOOKUP(1,(VALUE(D1962)&gt;=VALUE(block!$C$3:$C$500))*(VALUE(D1962)&lt;VALUE(block!$C$3:$C$500)+VALUE(block!$D$3:$D$500)),block!$A$3:$A$500,"无匹配",0,1)</f>
        <v>60</v>
      </c>
      <c r="C1962" s="3" t="str">
        <f>B1962 &amp; "-" &amp; COUNTIF($B$2:B1962, B1962)</f>
        <v>60-17</v>
      </c>
      <c r="D1962" s="10">
        <f t="shared" si="0"/>
        <v>14107</v>
      </c>
      <c r="E1962" s="3" t="s">
        <v>5587</v>
      </c>
      <c r="F1962" s="1" t="s">
        <v>5588</v>
      </c>
      <c r="H1962" s="3" t="s">
        <v>1838</v>
      </c>
      <c r="I1962" s="10" t="str">
        <f>IF(H1962="T55",1,IF(H1962="T55",3,IF(H1962="T71",6,IF(H1962="T71",10,IF(H1962="T103",14,IF(H1962="T103",18,IF(H1962="T71",22,"")))))))</f>
        <v/>
      </c>
      <c r="J1962" s="1" t="s">
        <v>1808</v>
      </c>
      <c r="K1962" s="10">
        <v>2</v>
      </c>
      <c r="L1962" s="10">
        <v>1</v>
      </c>
      <c r="O1962" s="6"/>
      <c r="Q1962" s="42" t="s">
        <v>5561</v>
      </c>
      <c r="R1962" s="42"/>
      <c r="S1962" s="1"/>
    </row>
    <row r="1963" spans="1:19" ht="18.75" hidden="1" customHeight="1" x14ac:dyDescent="0.3">
      <c r="A1963" s="10">
        <v>1962</v>
      </c>
      <c r="B1963" s="10">
        <f>_xlfn.XLOOKUP(1,(VALUE(D1963)&gt;=VALUE(block!$C$3:$C$500))*(VALUE(D1963)&lt;VALUE(block!$C$3:$C$500)+VALUE(block!$D$3:$D$500)),block!$A$3:$A$500,"无匹配",0,1)</f>
        <v>60</v>
      </c>
      <c r="C1963" s="3" t="str">
        <f>B1963 &amp; "-" &amp; COUNTIF($B$2:B1963, B1963)</f>
        <v>60-18</v>
      </c>
      <c r="D1963" s="10">
        <f t="shared" si="0"/>
        <v>14109</v>
      </c>
      <c r="E1963" s="3" t="s">
        <v>5587</v>
      </c>
      <c r="F1963" s="1" t="s">
        <v>5589</v>
      </c>
      <c r="H1963" s="3" t="s">
        <v>5458</v>
      </c>
      <c r="I1963" s="10" t="str">
        <f>IF(H1963="T56",1,IF(H1963="T56",3,IF(H1963="T72",6,IF(H1963="T72",10,IF(H1963="T104",14,IF(H1963="T104",18,IF(H1963="T72",22,"")))))))</f>
        <v/>
      </c>
      <c r="J1963" s="1" t="s">
        <v>1808</v>
      </c>
      <c r="K1963" s="10">
        <v>1</v>
      </c>
      <c r="L1963" s="10">
        <v>1</v>
      </c>
      <c r="O1963" s="6"/>
      <c r="Q1963" s="42" t="s">
        <v>5561</v>
      </c>
      <c r="R1963" s="42"/>
      <c r="S1963" s="1"/>
    </row>
    <row r="1964" spans="1:19" ht="18.75" hidden="1" customHeight="1" x14ac:dyDescent="0.3">
      <c r="A1964" s="10">
        <v>1963</v>
      </c>
      <c r="B1964" s="10">
        <f>_xlfn.XLOOKUP(1,(VALUE(D1964)&gt;=VALUE(block!$C$3:$C$500))*(VALUE(D1964)&lt;VALUE(block!$C$3:$C$500)+VALUE(block!$D$3:$D$500)),block!$A$3:$A$500,"无匹配",0,1)</f>
        <v>60</v>
      </c>
      <c r="C1964" s="3" t="str">
        <f>B1964 &amp; "-" &amp; COUNTIF($B$2:B1964, B1964)</f>
        <v>60-19</v>
      </c>
      <c r="D1964" s="10">
        <f t="shared" si="0"/>
        <v>14110</v>
      </c>
      <c r="E1964" s="1" t="s">
        <v>5590</v>
      </c>
      <c r="F1964" s="1" t="s">
        <v>5591</v>
      </c>
      <c r="G1964" s="1" t="s">
        <v>1830</v>
      </c>
      <c r="H1964" s="1" t="s">
        <v>1812</v>
      </c>
      <c r="I1964" s="10" t="str">
        <f>IF(H1964="T57",1,IF(H1964="T57",3,IF(H1964="T73",6,IF(H1964="T73",10,IF(H1964="T105",14,IF(H1964="T105",18,IF(H1964="T73",22,"")))))))</f>
        <v/>
      </c>
      <c r="J1964" s="1" t="s">
        <v>1808</v>
      </c>
      <c r="K1964" s="10">
        <v>2</v>
      </c>
      <c r="L1964" s="10">
        <v>1</v>
      </c>
      <c r="O1964" s="6"/>
      <c r="P1964" s="42" t="s">
        <v>5560</v>
      </c>
      <c r="Q1964" s="42" t="s">
        <v>5561</v>
      </c>
      <c r="R1964" s="42"/>
      <c r="S1964" s="1"/>
    </row>
    <row r="1965" spans="1:19" ht="18.75" hidden="1" customHeight="1" x14ac:dyDescent="0.3">
      <c r="A1965" s="10">
        <v>1964</v>
      </c>
      <c r="B1965" s="10">
        <f>_xlfn.XLOOKUP(1,(VALUE(D1965)&gt;=VALUE(block!$C$3:$C$500))*(VALUE(D1965)&lt;VALUE(block!$C$3:$C$500)+VALUE(block!$D$3:$D$500)),block!$A$3:$A$500,"无匹配",0,1)</f>
        <v>60</v>
      </c>
      <c r="C1965" s="3" t="str">
        <f>B1965 &amp; "-" &amp; COUNTIF($B$2:B1965, B1965)</f>
        <v>60-20</v>
      </c>
      <c r="D1965" s="10">
        <f t="shared" si="0"/>
        <v>14112</v>
      </c>
      <c r="E1965" s="3" t="s">
        <v>5592</v>
      </c>
      <c r="F1965" s="1" t="s">
        <v>5593</v>
      </c>
      <c r="H1965" s="3" t="s">
        <v>1838</v>
      </c>
      <c r="I1965" s="10" t="str">
        <f>IF(H1965="T58",1,IF(H1965="T58",3,IF(H1965="T74",6,IF(H1965="T74",10,IF(H1965="T106",14,IF(H1965="T106",18,IF(H1965="T74",22,"")))))))</f>
        <v/>
      </c>
      <c r="J1965" s="1" t="s">
        <v>1808</v>
      </c>
      <c r="K1965" s="10">
        <v>2</v>
      </c>
      <c r="L1965" s="10">
        <v>1</v>
      </c>
      <c r="O1965" s="6"/>
      <c r="Q1965" s="42" t="s">
        <v>5561</v>
      </c>
      <c r="R1965" s="42"/>
      <c r="S1965" s="1"/>
    </row>
    <row r="1966" spans="1:19" ht="18.75" hidden="1" customHeight="1" x14ac:dyDescent="0.3">
      <c r="A1966" s="10">
        <v>1965</v>
      </c>
      <c r="B1966" s="10">
        <f>_xlfn.XLOOKUP(1,(VALUE(D1966)&gt;=VALUE(block!$C$3:$C$500))*(VALUE(D1966)&lt;VALUE(block!$C$3:$C$500)+VALUE(block!$D$3:$D$500)),block!$A$3:$A$500,"无匹配",0,1)</f>
        <v>60</v>
      </c>
      <c r="C1966" s="3" t="str">
        <f>B1966 &amp; "-" &amp; COUNTIF($B$2:B1966, B1966)</f>
        <v>60-21</v>
      </c>
      <c r="D1966" s="10">
        <f t="shared" si="0"/>
        <v>14114</v>
      </c>
      <c r="E1966" s="3" t="s">
        <v>5592</v>
      </c>
      <c r="F1966" s="1" t="s">
        <v>5594</v>
      </c>
      <c r="H1966" s="3" t="s">
        <v>5458</v>
      </c>
      <c r="I1966" s="10" t="str">
        <f>IF(H1966="T59",1,IF(H1966="T59",3,IF(H1966="T75",6,IF(H1966="T75",10,IF(H1966="T107",14,IF(H1966="T107",18,IF(H1966="T75",22,"")))))))</f>
        <v/>
      </c>
      <c r="J1966" s="1" t="s">
        <v>1808</v>
      </c>
      <c r="K1966" s="10">
        <v>1</v>
      </c>
      <c r="L1966" s="10">
        <v>1</v>
      </c>
      <c r="O1966" s="6"/>
      <c r="Q1966" s="42" t="s">
        <v>5561</v>
      </c>
      <c r="R1966" s="42"/>
      <c r="S1966" s="1"/>
    </row>
    <row r="1967" spans="1:19" ht="18.75" hidden="1" customHeight="1" x14ac:dyDescent="0.3">
      <c r="A1967" s="10">
        <v>1966</v>
      </c>
      <c r="B1967" s="10">
        <f>_xlfn.XLOOKUP(1,(VALUE(D1967)&gt;=VALUE(block!$C$3:$C$500))*(VALUE(D1967)&lt;VALUE(block!$C$3:$C$500)+VALUE(block!$D$3:$D$500)),block!$A$3:$A$500,"无匹配",0,1)</f>
        <v>60</v>
      </c>
      <c r="C1967" s="3" t="str">
        <f>B1967 &amp; "-" &amp; COUNTIF($B$2:B1967, B1967)</f>
        <v>60-22</v>
      </c>
      <c r="D1967" s="10">
        <f t="shared" si="0"/>
        <v>14115</v>
      </c>
      <c r="E1967" s="1" t="s">
        <v>5595</v>
      </c>
      <c r="F1967" s="1" t="s">
        <v>5596</v>
      </c>
      <c r="G1967" s="1" t="s">
        <v>1832</v>
      </c>
      <c r="H1967" s="1" t="s">
        <v>1812</v>
      </c>
      <c r="I1967" s="10" t="str">
        <f>IF(H1967="T60",1,IF(H1967="T60",3,IF(H1967="T76",6,IF(H1967="T76",10,IF(H1967="T108",14,IF(H1967="T108",18,IF(H1967="T76",22,"")))))))</f>
        <v/>
      </c>
      <c r="J1967" s="1" t="s">
        <v>1808</v>
      </c>
      <c r="K1967" s="10">
        <v>2</v>
      </c>
      <c r="L1967" s="10">
        <v>1</v>
      </c>
      <c r="O1967" s="6"/>
      <c r="P1967" s="42" t="s">
        <v>5560</v>
      </c>
      <c r="Q1967" s="42" t="s">
        <v>5561</v>
      </c>
      <c r="R1967" s="42"/>
      <c r="S1967" s="1"/>
    </row>
    <row r="1968" spans="1:19" ht="18.75" hidden="1" customHeight="1" x14ac:dyDescent="0.3">
      <c r="A1968" s="10">
        <v>1967</v>
      </c>
      <c r="B1968" s="10">
        <f>_xlfn.XLOOKUP(1,(VALUE(D1968)&gt;=VALUE(block!$C$3:$C$500))*(VALUE(D1968)&lt;VALUE(block!$C$3:$C$500)+VALUE(block!$D$3:$D$500)),block!$A$3:$A$500,"无匹配",0,1)</f>
        <v>60</v>
      </c>
      <c r="C1968" s="3" t="str">
        <f>B1968 &amp; "-" &amp; COUNTIF($B$2:B1968, B1968)</f>
        <v>60-23</v>
      </c>
      <c r="D1968" s="10">
        <f t="shared" si="0"/>
        <v>14117</v>
      </c>
      <c r="E1968" s="3" t="s">
        <v>5597</v>
      </c>
      <c r="F1968" s="1" t="s">
        <v>5598</v>
      </c>
      <c r="H1968" s="3" t="s">
        <v>1838</v>
      </c>
      <c r="I1968" s="10" t="str">
        <f>IF(H1968="T61",1,IF(H1968="T61",3,IF(H1968="T77",6,IF(H1968="T77",10,IF(H1968="T109",14,IF(H1968="T109",18,IF(H1968="T77",22,"")))))))</f>
        <v/>
      </c>
      <c r="J1968" s="1" t="s">
        <v>1808</v>
      </c>
      <c r="K1968" s="10">
        <v>2</v>
      </c>
      <c r="L1968" s="10">
        <v>1</v>
      </c>
      <c r="O1968" s="6"/>
      <c r="Q1968" s="42" t="s">
        <v>5561</v>
      </c>
      <c r="R1968" s="42"/>
      <c r="S1968" s="1"/>
    </row>
    <row r="1969" spans="1:19" ht="18.75" hidden="1" customHeight="1" x14ac:dyDescent="0.3">
      <c r="A1969" s="10">
        <v>1968</v>
      </c>
      <c r="B1969" s="10">
        <f>_xlfn.XLOOKUP(1,(VALUE(D1969)&gt;=VALUE(block!$C$3:$C$500))*(VALUE(D1969)&lt;VALUE(block!$C$3:$C$500)+VALUE(block!$D$3:$D$500)),block!$A$3:$A$500,"无匹配",0,1)</f>
        <v>60</v>
      </c>
      <c r="C1969" s="3" t="str">
        <f>B1969 &amp; "-" &amp; COUNTIF($B$2:B1969, B1969)</f>
        <v>60-24</v>
      </c>
      <c r="D1969" s="10">
        <f t="shared" si="0"/>
        <v>14119</v>
      </c>
      <c r="E1969" s="3" t="s">
        <v>5597</v>
      </c>
      <c r="F1969" s="1" t="s">
        <v>5599</v>
      </c>
      <c r="H1969" s="3" t="s">
        <v>5458</v>
      </c>
      <c r="I1969" s="10" t="str">
        <f>IF(H1969="T62",1,IF(H1969="T62",3,IF(H1969="T78",6,IF(H1969="T78",10,IF(H1969="T110",14,IF(H1969="T110",18,IF(H1969="T78",22,"")))))))</f>
        <v/>
      </c>
      <c r="J1969" s="1" t="s">
        <v>1808</v>
      </c>
      <c r="K1969" s="10">
        <v>1</v>
      </c>
      <c r="L1969" s="10">
        <v>1</v>
      </c>
      <c r="O1969" s="6"/>
      <c r="Q1969" s="42" t="s">
        <v>5561</v>
      </c>
      <c r="R1969" s="42"/>
      <c r="S1969" s="1"/>
    </row>
    <row r="1970" spans="1:19" ht="18.75" hidden="1" customHeight="1" x14ac:dyDescent="0.3">
      <c r="A1970" s="10">
        <v>1969</v>
      </c>
      <c r="B1970" s="10">
        <f>_xlfn.XLOOKUP(1,(VALUE(D1970)&gt;=VALUE(block!$C$3:$C$500))*(VALUE(D1970)&lt;VALUE(block!$C$3:$C$500)+VALUE(block!$D$3:$D$500)),block!$A$3:$A$500,"无匹配",0,1)</f>
        <v>60</v>
      </c>
      <c r="C1970" s="3" t="str">
        <f>B1970 &amp; "-" &amp; COUNTIF($B$2:B1970, B1970)</f>
        <v>60-25</v>
      </c>
      <c r="D1970" s="10">
        <f t="shared" si="0"/>
        <v>14120</v>
      </c>
      <c r="E1970" s="1" t="s">
        <v>5600</v>
      </c>
      <c r="F1970" s="1" t="s">
        <v>5601</v>
      </c>
      <c r="G1970" s="1" t="s">
        <v>1832</v>
      </c>
      <c r="H1970" s="1" t="s">
        <v>1812</v>
      </c>
      <c r="I1970" s="10" t="str">
        <f>IF(H1970="T63",1,IF(H1970="T63",3,IF(H1970="T79",6,IF(H1970="T79",10,IF(H1970="T111",14,IF(H1970="T111",18,IF(H1970="T79",22,"")))))))</f>
        <v/>
      </c>
      <c r="J1970" s="1" t="s">
        <v>1808</v>
      </c>
      <c r="K1970" s="10">
        <v>2</v>
      </c>
      <c r="L1970" s="10">
        <v>1</v>
      </c>
      <c r="O1970" s="6"/>
      <c r="P1970" s="42" t="s">
        <v>5560</v>
      </c>
      <c r="Q1970" s="42" t="s">
        <v>5561</v>
      </c>
      <c r="R1970" s="42"/>
      <c r="S1970" s="1"/>
    </row>
    <row r="1971" spans="1:19" ht="18.75" hidden="1" customHeight="1" x14ac:dyDescent="0.3">
      <c r="A1971" s="10">
        <v>1970</v>
      </c>
      <c r="B1971" s="10">
        <f>_xlfn.XLOOKUP(1,(VALUE(D1971)&gt;=VALUE(block!$C$3:$C$500))*(VALUE(D1971)&lt;VALUE(block!$C$3:$C$500)+VALUE(block!$D$3:$D$500)),block!$A$3:$A$500,"无匹配",0,1)</f>
        <v>60</v>
      </c>
      <c r="C1971" s="3" t="str">
        <f>B1971 &amp; "-" &amp; COUNTIF($B$2:B1971, B1971)</f>
        <v>60-26</v>
      </c>
      <c r="D1971" s="10">
        <f t="shared" si="0"/>
        <v>14122</v>
      </c>
      <c r="E1971" s="3" t="s">
        <v>5602</v>
      </c>
      <c r="F1971" s="1" t="s">
        <v>5603</v>
      </c>
      <c r="H1971" s="3" t="s">
        <v>1838</v>
      </c>
      <c r="I1971" s="10" t="str">
        <f>IF(H1971="T64",1,IF(H1971="T64",3,IF(H1971="T80",6,IF(H1971="T80",10,IF(H1971="T112",14,IF(H1971="T112",18,IF(H1971="T80",22,"")))))))</f>
        <v/>
      </c>
      <c r="J1971" s="1" t="s">
        <v>1808</v>
      </c>
      <c r="K1971" s="10">
        <v>2</v>
      </c>
      <c r="L1971" s="10">
        <v>1</v>
      </c>
      <c r="O1971" s="6"/>
      <c r="Q1971" s="42" t="s">
        <v>5561</v>
      </c>
      <c r="R1971" s="42"/>
      <c r="S1971" s="1"/>
    </row>
    <row r="1972" spans="1:19" ht="18.75" hidden="1" customHeight="1" x14ac:dyDescent="0.3">
      <c r="A1972" s="10">
        <v>1971</v>
      </c>
      <c r="B1972" s="10">
        <f>_xlfn.XLOOKUP(1,(VALUE(D1972)&gt;=VALUE(block!$C$3:$C$500))*(VALUE(D1972)&lt;VALUE(block!$C$3:$C$500)+VALUE(block!$D$3:$D$500)),block!$A$3:$A$500,"无匹配",0,1)</f>
        <v>60</v>
      </c>
      <c r="C1972" s="3" t="str">
        <f>B1972 &amp; "-" &amp; COUNTIF($B$2:B1972, B1972)</f>
        <v>60-27</v>
      </c>
      <c r="D1972" s="10">
        <f t="shared" si="0"/>
        <v>14124</v>
      </c>
      <c r="E1972" s="3" t="s">
        <v>5602</v>
      </c>
      <c r="F1972" s="1" t="s">
        <v>5604</v>
      </c>
      <c r="H1972" s="3" t="s">
        <v>5458</v>
      </c>
      <c r="I1972" s="10" t="str">
        <f>IF(H1972="T65",1,IF(H1972="T65",3,IF(H1972="T81",6,IF(H1972="T81",10,IF(H1972="T113",14,IF(H1972="T113",18,IF(H1972="T81",22,"")))))))</f>
        <v/>
      </c>
      <c r="J1972" s="1" t="s">
        <v>1808</v>
      </c>
      <c r="K1972" s="10">
        <v>1</v>
      </c>
      <c r="L1972" s="10">
        <v>1</v>
      </c>
      <c r="O1972" s="6"/>
      <c r="Q1972" s="42" t="s">
        <v>5561</v>
      </c>
      <c r="R1972" s="42"/>
      <c r="S1972" s="1"/>
    </row>
    <row r="1973" spans="1:19" ht="18.75" hidden="1" customHeight="1" x14ac:dyDescent="0.3">
      <c r="A1973" s="10">
        <v>1972</v>
      </c>
      <c r="B1973" s="10">
        <f>_xlfn.XLOOKUP(1,(VALUE(D1973)&gt;=VALUE(block!$C$3:$C$500))*(VALUE(D1973)&lt;VALUE(block!$C$3:$C$500)+VALUE(block!$D$3:$D$500)),block!$A$3:$A$500,"无匹配",0,1)</f>
        <v>60</v>
      </c>
      <c r="C1973" s="3" t="str">
        <f>B1973 &amp; "-" &amp; COUNTIF($B$2:B1973, B1973)</f>
        <v>60-28</v>
      </c>
      <c r="D1973" s="10">
        <f t="shared" si="0"/>
        <v>14125</v>
      </c>
      <c r="E1973" s="1" t="s">
        <v>5605</v>
      </c>
      <c r="F1973" s="1" t="s">
        <v>5606</v>
      </c>
      <c r="G1973" s="1" t="s">
        <v>1834</v>
      </c>
      <c r="H1973" s="1" t="s">
        <v>1812</v>
      </c>
      <c r="I1973" s="10" t="str">
        <f>IF(H1973="T66",1,IF(H1973="T66",3,IF(H1973="T82",6,IF(H1973="T82",10,IF(H1973="T114",14,IF(H1973="T114",18,IF(H1973="T82",22,"")))))))</f>
        <v/>
      </c>
      <c r="J1973" s="1" t="s">
        <v>1808</v>
      </c>
      <c r="K1973" s="10">
        <v>2</v>
      </c>
      <c r="L1973" s="10">
        <v>1</v>
      </c>
      <c r="O1973" s="6"/>
      <c r="P1973" s="42" t="s">
        <v>5560</v>
      </c>
      <c r="Q1973" s="42" t="s">
        <v>5561</v>
      </c>
      <c r="R1973" s="42"/>
      <c r="S1973" s="1"/>
    </row>
    <row r="1974" spans="1:19" ht="18.75" hidden="1" customHeight="1" x14ac:dyDescent="0.3">
      <c r="A1974" s="10">
        <v>1973</v>
      </c>
      <c r="B1974" s="10">
        <f>_xlfn.XLOOKUP(1,(VALUE(D1974)&gt;=VALUE(block!$C$3:$C$500))*(VALUE(D1974)&lt;VALUE(block!$C$3:$C$500)+VALUE(block!$D$3:$D$500)),block!$A$3:$A$500,"无匹配",0,1)</f>
        <v>60</v>
      </c>
      <c r="C1974" s="3" t="str">
        <f>B1974 &amp; "-" &amp; COUNTIF($B$2:B1974, B1974)</f>
        <v>60-29</v>
      </c>
      <c r="D1974" s="10">
        <f t="shared" si="0"/>
        <v>14127</v>
      </c>
      <c r="E1974" s="3" t="s">
        <v>5607</v>
      </c>
      <c r="F1974" s="1" t="s">
        <v>5608</v>
      </c>
      <c r="H1974" s="3" t="s">
        <v>1838</v>
      </c>
      <c r="I1974" s="10" t="str">
        <f>IF(H1974="T67",1,IF(H1974="T67",3,IF(H1974="T83",6,IF(H1974="T83",10,IF(H1974="T115",14,IF(H1974="T115",18,IF(H1974="T83",22,"")))))))</f>
        <v/>
      </c>
      <c r="J1974" s="1" t="s">
        <v>1808</v>
      </c>
      <c r="K1974" s="10">
        <v>2</v>
      </c>
      <c r="L1974" s="10">
        <v>1</v>
      </c>
      <c r="O1974" s="6"/>
      <c r="Q1974" s="42" t="s">
        <v>5561</v>
      </c>
      <c r="R1974" s="42"/>
      <c r="S1974" s="1"/>
    </row>
    <row r="1975" spans="1:19" ht="18.75" hidden="1" customHeight="1" x14ac:dyDescent="0.3">
      <c r="A1975" s="10">
        <v>1974</v>
      </c>
      <c r="B1975" s="10">
        <f>_xlfn.XLOOKUP(1,(VALUE(D1975)&gt;=VALUE(block!$C$3:$C$500))*(VALUE(D1975)&lt;VALUE(block!$C$3:$C$500)+VALUE(block!$D$3:$D$500)),block!$A$3:$A$500,"无匹配",0,1)</f>
        <v>60</v>
      </c>
      <c r="C1975" s="3" t="str">
        <f>B1975 &amp; "-" &amp; COUNTIF($B$2:B1975, B1975)</f>
        <v>60-30</v>
      </c>
      <c r="D1975" s="10">
        <f t="shared" si="0"/>
        <v>14129</v>
      </c>
      <c r="E1975" s="3" t="s">
        <v>5607</v>
      </c>
      <c r="F1975" s="1" t="s">
        <v>5609</v>
      </c>
      <c r="H1975" s="3" t="s">
        <v>5458</v>
      </c>
      <c r="I1975" s="10" t="str">
        <f>IF(H1975="T68",1,IF(H1975="T68",3,IF(H1975="T84",6,IF(H1975="T84",10,IF(H1975="T116",14,IF(H1975="T116",18,IF(H1975="T84",22,"")))))))</f>
        <v/>
      </c>
      <c r="J1975" s="1" t="s">
        <v>1808</v>
      </c>
      <c r="K1975" s="10">
        <v>1</v>
      </c>
      <c r="L1975" s="10">
        <v>1</v>
      </c>
      <c r="O1975" s="6"/>
      <c r="Q1975" s="42" t="s">
        <v>5561</v>
      </c>
      <c r="R1975" s="42"/>
      <c r="S1975" s="1"/>
    </row>
    <row r="1976" spans="1:19" ht="18.75" hidden="1" customHeight="1" x14ac:dyDescent="0.3">
      <c r="A1976" s="10">
        <v>1975</v>
      </c>
      <c r="B1976" s="10">
        <f>_xlfn.XLOOKUP(1,(VALUE(D1976)&gt;=VALUE(block!$C$3:$C$500))*(VALUE(D1976)&lt;VALUE(block!$C$3:$C$500)+VALUE(block!$D$3:$D$500)),block!$A$3:$A$500,"无匹配",0,1)</f>
        <v>60</v>
      </c>
      <c r="C1976" s="3" t="str">
        <f>B1976 &amp; "-" &amp; COUNTIF($B$2:B1976, B1976)</f>
        <v>60-31</v>
      </c>
      <c r="D1976" s="10">
        <f t="shared" si="0"/>
        <v>14130</v>
      </c>
      <c r="E1976" s="1" t="s">
        <v>5610</v>
      </c>
      <c r="F1976" s="1" t="s">
        <v>5611</v>
      </c>
      <c r="G1976" s="1" t="s">
        <v>1834</v>
      </c>
      <c r="H1976" s="1" t="s">
        <v>1812</v>
      </c>
      <c r="I1976" s="10" t="str">
        <f>IF(H1976="T69",1,IF(H1976="T69",3,IF(H1976="T85",6,IF(H1976="T85",10,IF(H1976="T117",14,IF(H1976="T117",18,IF(H1976="T85",22,"")))))))</f>
        <v/>
      </c>
      <c r="J1976" s="1" t="s">
        <v>1808</v>
      </c>
      <c r="K1976" s="10">
        <v>2</v>
      </c>
      <c r="L1976" s="10">
        <v>1</v>
      </c>
      <c r="O1976" s="6"/>
      <c r="P1976" s="42" t="s">
        <v>5560</v>
      </c>
      <c r="Q1976" s="42" t="s">
        <v>5561</v>
      </c>
      <c r="R1976" s="42"/>
      <c r="S1976" s="1"/>
    </row>
    <row r="1977" spans="1:19" ht="18.75" hidden="1" customHeight="1" x14ac:dyDescent="0.3">
      <c r="A1977" s="10">
        <v>1976</v>
      </c>
      <c r="B1977" s="10">
        <f>_xlfn.XLOOKUP(1,(VALUE(D1977)&gt;=VALUE(block!$C$3:$C$500))*(VALUE(D1977)&lt;VALUE(block!$C$3:$C$500)+VALUE(block!$D$3:$D$500)),block!$A$3:$A$500,"无匹配",0,1)</f>
        <v>60</v>
      </c>
      <c r="C1977" s="3" t="str">
        <f>B1977 &amp; "-" &amp; COUNTIF($B$2:B1977, B1977)</f>
        <v>60-32</v>
      </c>
      <c r="D1977" s="10">
        <f t="shared" si="0"/>
        <v>14132</v>
      </c>
      <c r="E1977" s="3" t="s">
        <v>5612</v>
      </c>
      <c r="F1977" s="1" t="s">
        <v>5613</v>
      </c>
      <c r="H1977" s="3" t="s">
        <v>1838</v>
      </c>
      <c r="I1977" s="10" t="str">
        <f>IF(H1977="T70",1,IF(H1977="T70",3,IF(H1977="T86",6,IF(H1977="T86",10,IF(H1977="T118",14,IF(H1977="T118",18,IF(H1977="T86",22,"")))))))</f>
        <v/>
      </c>
      <c r="J1977" s="1" t="s">
        <v>1808</v>
      </c>
      <c r="K1977" s="10">
        <v>2</v>
      </c>
      <c r="L1977" s="10">
        <v>1</v>
      </c>
      <c r="O1977" s="6"/>
      <c r="Q1977" s="42" t="s">
        <v>5561</v>
      </c>
      <c r="R1977" s="42"/>
      <c r="S1977" s="1"/>
    </row>
    <row r="1978" spans="1:19" ht="18.75" hidden="1" customHeight="1" x14ac:dyDescent="0.3">
      <c r="A1978" s="10">
        <v>1977</v>
      </c>
      <c r="B1978" s="10">
        <f>_xlfn.XLOOKUP(1,(VALUE(D1978)&gt;=VALUE(block!$C$3:$C$500))*(VALUE(D1978)&lt;VALUE(block!$C$3:$C$500)+VALUE(block!$D$3:$D$500)),block!$A$3:$A$500,"无匹配",0,1)</f>
        <v>60</v>
      </c>
      <c r="C1978" s="3" t="str">
        <f>B1978 &amp; "-" &amp; COUNTIF($B$2:B1978, B1978)</f>
        <v>60-33</v>
      </c>
      <c r="D1978" s="10">
        <f t="shared" si="0"/>
        <v>14134</v>
      </c>
      <c r="E1978" s="3" t="s">
        <v>5612</v>
      </c>
      <c r="F1978" s="1" t="s">
        <v>5614</v>
      </c>
      <c r="H1978" s="3" t="s">
        <v>5458</v>
      </c>
      <c r="I1978" s="10" t="str">
        <f>IF(H1978="T71",1,IF(H1978="T71",3,IF(H1978="T87",6,IF(H1978="T87",10,IF(H1978="T119",14,IF(H1978="T119",18,IF(H1978="T87",22,"")))))))</f>
        <v/>
      </c>
      <c r="J1978" s="1" t="s">
        <v>1808</v>
      </c>
      <c r="K1978" s="10">
        <v>1</v>
      </c>
      <c r="L1978" s="10">
        <v>1</v>
      </c>
      <c r="O1978" s="6"/>
      <c r="Q1978" s="42" t="s">
        <v>5561</v>
      </c>
      <c r="R1978" s="42"/>
      <c r="S1978" s="1"/>
    </row>
    <row r="1979" spans="1:19" ht="18.75" hidden="1" customHeight="1" x14ac:dyDescent="0.3">
      <c r="A1979" s="10">
        <v>1978</v>
      </c>
      <c r="B1979" s="10">
        <f>_xlfn.XLOOKUP(1,(VALUE(D1979)&gt;=VALUE(block!$C$3:$C$500))*(VALUE(D1979)&lt;VALUE(block!$C$3:$C$500)+VALUE(block!$D$3:$D$500)),block!$A$3:$A$500,"无匹配",0,1)</f>
        <v>60</v>
      </c>
      <c r="C1979" s="3" t="str">
        <f>B1979 &amp; "-" &amp; COUNTIF($B$2:B1979, B1979)</f>
        <v>60-34</v>
      </c>
      <c r="D1979" s="10">
        <f t="shared" si="0"/>
        <v>14135</v>
      </c>
      <c r="E1979" s="1" t="s">
        <v>5615</v>
      </c>
      <c r="F1979" s="1" t="s">
        <v>5616</v>
      </c>
      <c r="G1979" s="1" t="s">
        <v>1836</v>
      </c>
      <c r="H1979" s="1" t="s">
        <v>1812</v>
      </c>
      <c r="I1979" s="10" t="str">
        <f>IF(H1979="T72",1,IF(H1979="T72",3,IF(H1979="T88",6,IF(H1979="T88",10,IF(H1979="T120",14,IF(H1979="T120",18,IF(H1979="T88",22,"")))))))</f>
        <v/>
      </c>
      <c r="J1979" s="1" t="s">
        <v>1808</v>
      </c>
      <c r="K1979" s="10">
        <v>2</v>
      </c>
      <c r="L1979" s="10">
        <v>1</v>
      </c>
      <c r="O1979" s="6"/>
      <c r="P1979" s="42" t="s">
        <v>5560</v>
      </c>
      <c r="Q1979" s="42" t="s">
        <v>5561</v>
      </c>
      <c r="R1979" s="42"/>
      <c r="S1979" s="1"/>
    </row>
    <row r="1980" spans="1:19" ht="18.75" hidden="1" customHeight="1" x14ac:dyDescent="0.3">
      <c r="A1980" s="10">
        <v>1979</v>
      </c>
      <c r="B1980" s="10">
        <f>_xlfn.XLOOKUP(1,(VALUE(D1980)&gt;=VALUE(block!$C$3:$C$500))*(VALUE(D1980)&lt;VALUE(block!$C$3:$C$500)+VALUE(block!$D$3:$D$500)),block!$A$3:$A$500,"无匹配",0,1)</f>
        <v>60</v>
      </c>
      <c r="C1980" s="3" t="str">
        <f>B1980 &amp; "-" &amp; COUNTIF($B$2:B1980, B1980)</f>
        <v>60-35</v>
      </c>
      <c r="D1980" s="10">
        <f t="shared" si="0"/>
        <v>14137</v>
      </c>
      <c r="E1980" s="3" t="s">
        <v>5617</v>
      </c>
      <c r="F1980" s="1" t="s">
        <v>5618</v>
      </c>
      <c r="H1980" s="3" t="s">
        <v>1838</v>
      </c>
      <c r="I1980" s="10" t="str">
        <f>IF(H1980="T73",1,IF(H1980="T73",3,IF(H1980="T89",6,IF(H1980="T89",10,IF(H1980="T121",14,IF(H1980="T121",18,IF(H1980="T89",22,"")))))))</f>
        <v/>
      </c>
      <c r="J1980" s="1" t="s">
        <v>1808</v>
      </c>
      <c r="K1980" s="10">
        <v>2</v>
      </c>
      <c r="L1980" s="10">
        <v>1</v>
      </c>
      <c r="O1980" s="6"/>
      <c r="Q1980" s="42" t="s">
        <v>5561</v>
      </c>
      <c r="R1980" s="42"/>
      <c r="S1980" s="1"/>
    </row>
    <row r="1981" spans="1:19" ht="18.75" hidden="1" customHeight="1" x14ac:dyDescent="0.3">
      <c r="A1981" s="10">
        <v>1980</v>
      </c>
      <c r="B1981" s="10">
        <f>_xlfn.XLOOKUP(1,(VALUE(D1981)&gt;=VALUE(block!$C$3:$C$500))*(VALUE(D1981)&lt;VALUE(block!$C$3:$C$500)+VALUE(block!$D$3:$D$500)),block!$A$3:$A$500,"无匹配",0,1)</f>
        <v>60</v>
      </c>
      <c r="C1981" s="3" t="str">
        <f>B1981 &amp; "-" &amp; COUNTIF($B$2:B1981, B1981)</f>
        <v>60-36</v>
      </c>
      <c r="D1981" s="10">
        <f t="shared" si="0"/>
        <v>14139</v>
      </c>
      <c r="E1981" s="3" t="s">
        <v>5617</v>
      </c>
      <c r="F1981" s="1" t="s">
        <v>5619</v>
      </c>
      <c r="H1981" s="3" t="s">
        <v>5458</v>
      </c>
      <c r="I1981" s="10" t="str">
        <f>IF(H1981="T74",1,IF(H1981="T74",3,IF(H1981="T90",6,IF(H1981="T90",10,IF(H1981="T122",14,IF(H1981="T122",18,IF(H1981="T90",22,"")))))))</f>
        <v/>
      </c>
      <c r="J1981" s="1" t="s">
        <v>1808</v>
      </c>
      <c r="K1981" s="10">
        <v>1</v>
      </c>
      <c r="L1981" s="10">
        <v>1</v>
      </c>
      <c r="O1981" s="6"/>
      <c r="Q1981" s="42" t="s">
        <v>5561</v>
      </c>
      <c r="R1981" s="42"/>
      <c r="S1981" s="1"/>
    </row>
    <row r="1982" spans="1:19" ht="18.75" hidden="1" customHeight="1" x14ac:dyDescent="0.3">
      <c r="A1982" s="10">
        <v>1981</v>
      </c>
      <c r="B1982" s="10">
        <f>_xlfn.XLOOKUP(1,(VALUE(D1982)&gt;=VALUE(block!$C$3:$C$500))*(VALUE(D1982)&lt;VALUE(block!$C$3:$C$500)+VALUE(block!$D$3:$D$500)),block!$A$3:$A$500,"无匹配",0,1)</f>
        <v>60</v>
      </c>
      <c r="C1982" s="3" t="str">
        <f>B1982 &amp; "-" &amp; COUNTIF($B$2:B1982, B1982)</f>
        <v>60-37</v>
      </c>
      <c r="D1982" s="10">
        <f t="shared" si="0"/>
        <v>14140</v>
      </c>
      <c r="E1982" s="3" t="s">
        <v>5620</v>
      </c>
      <c r="F1982" s="1" t="s">
        <v>5621</v>
      </c>
      <c r="G1982" s="1" t="s">
        <v>1830</v>
      </c>
      <c r="H1982" s="1" t="s">
        <v>1812</v>
      </c>
      <c r="I1982" s="10" t="str">
        <f>IF(H1982="T75",1,IF(H1982="T75",3,IF(H1982="T91",6,IF(H1982="T91",10,IF(H1982="T123",14,IF(H1982="T123",18,IF(H1982="T91",22,"")))))))</f>
        <v/>
      </c>
      <c r="J1982" s="1" t="s">
        <v>1808</v>
      </c>
      <c r="K1982" s="10">
        <v>2</v>
      </c>
      <c r="L1982" s="10">
        <v>1</v>
      </c>
      <c r="O1982" s="6"/>
      <c r="P1982" s="42" t="s">
        <v>5560</v>
      </c>
      <c r="Q1982" s="42" t="s">
        <v>5561</v>
      </c>
      <c r="R1982" s="42"/>
      <c r="S1982" s="1"/>
    </row>
    <row r="1983" spans="1:19" ht="18.75" hidden="1" customHeight="1" x14ac:dyDescent="0.3">
      <c r="A1983" s="10">
        <v>1982</v>
      </c>
      <c r="B1983" s="10">
        <f>_xlfn.XLOOKUP(1,(VALUE(D1983)&gt;=VALUE(block!$C$3:$C$500))*(VALUE(D1983)&lt;VALUE(block!$C$3:$C$500)+VALUE(block!$D$3:$D$500)),block!$A$3:$A$500,"无匹配",0,1)</f>
        <v>60</v>
      </c>
      <c r="C1983" s="3" t="str">
        <f>B1983 &amp; "-" &amp; COUNTIF($B$2:B1983, B1983)</f>
        <v>60-38</v>
      </c>
      <c r="D1983" s="10">
        <f t="shared" si="0"/>
        <v>14142</v>
      </c>
      <c r="E1983" s="3" t="s">
        <v>5622</v>
      </c>
      <c r="F1983" s="1" t="s">
        <v>5623</v>
      </c>
      <c r="H1983" s="3" t="s">
        <v>1838</v>
      </c>
      <c r="I1983" s="10" t="str">
        <f>IF(H1983="T76",1,IF(H1983="T76",3,IF(H1983="T92",6,IF(H1983="T92",10,IF(H1983="T124",14,IF(H1983="T124",18,IF(H1983="T92",22,"")))))))</f>
        <v/>
      </c>
      <c r="J1983" s="1" t="s">
        <v>1808</v>
      </c>
      <c r="K1983" s="10">
        <v>2</v>
      </c>
      <c r="L1983" s="10">
        <v>1</v>
      </c>
      <c r="O1983" s="6"/>
      <c r="Q1983" s="42" t="s">
        <v>5561</v>
      </c>
      <c r="R1983" s="42"/>
      <c r="S1983" s="1"/>
    </row>
    <row r="1984" spans="1:19" ht="18.75" hidden="1" customHeight="1" x14ac:dyDescent="0.3">
      <c r="A1984" s="10">
        <v>1983</v>
      </c>
      <c r="B1984" s="10">
        <f>_xlfn.XLOOKUP(1,(VALUE(D1984)&gt;=VALUE(block!$C$3:$C$500))*(VALUE(D1984)&lt;VALUE(block!$C$3:$C$500)+VALUE(block!$D$3:$D$500)),block!$A$3:$A$500,"无匹配",0,1)</f>
        <v>60</v>
      </c>
      <c r="C1984" s="3" t="str">
        <f>B1984 &amp; "-" &amp; COUNTIF($B$2:B1984, B1984)</f>
        <v>60-39</v>
      </c>
      <c r="D1984" s="10">
        <f t="shared" si="0"/>
        <v>14144</v>
      </c>
      <c r="E1984" s="3" t="s">
        <v>5622</v>
      </c>
      <c r="F1984" s="1" t="s">
        <v>5624</v>
      </c>
      <c r="H1984" s="3" t="s">
        <v>5458</v>
      </c>
      <c r="I1984" s="10" t="str">
        <f>IF(H1984="T77",1,IF(H1984="T77",3,IF(H1984="T93",6,IF(H1984="T93",10,IF(H1984="T125",14,IF(H1984="T125",18,IF(H1984="T93",22,"")))))))</f>
        <v/>
      </c>
      <c r="J1984" s="1" t="s">
        <v>1808</v>
      </c>
      <c r="K1984" s="10">
        <v>1</v>
      </c>
      <c r="L1984" s="10">
        <v>1</v>
      </c>
      <c r="O1984" s="6"/>
      <c r="Q1984" s="42" t="s">
        <v>5561</v>
      </c>
      <c r="R1984" s="42"/>
      <c r="S1984" s="1"/>
    </row>
    <row r="1985" spans="1:19" ht="18.75" hidden="1" customHeight="1" x14ac:dyDescent="0.3">
      <c r="A1985" s="10">
        <v>1984</v>
      </c>
      <c r="B1985" s="10">
        <f>_xlfn.XLOOKUP(1,(VALUE(D1985)&gt;=VALUE(block!$C$3:$C$500))*(VALUE(D1985)&lt;VALUE(block!$C$3:$C$500)+VALUE(block!$D$3:$D$500)),block!$A$3:$A$500,"无匹配",0,1)</f>
        <v>60</v>
      </c>
      <c r="C1985" s="3" t="str">
        <f>B1985 &amp; "-" &amp; COUNTIF($B$2:B1985, B1985)</f>
        <v>60-40</v>
      </c>
      <c r="D1985" s="10">
        <f t="shared" si="0"/>
        <v>14145</v>
      </c>
      <c r="E1985" s="1" t="s">
        <v>5625</v>
      </c>
      <c r="F1985" s="1" t="s">
        <v>5626</v>
      </c>
      <c r="G1985" s="1" t="s">
        <v>1832</v>
      </c>
      <c r="H1985" s="1" t="s">
        <v>1812</v>
      </c>
      <c r="I1985" s="10" t="str">
        <f>IF(H1985="T78",1,IF(H1985="T78",3,IF(H1985="T94",6,IF(H1985="T94",10,IF(H1985="T126",14,IF(H1985="T126",18,IF(H1985="T94",22,"")))))))</f>
        <v/>
      </c>
      <c r="J1985" s="1" t="s">
        <v>1808</v>
      </c>
      <c r="K1985" s="10">
        <v>2</v>
      </c>
      <c r="L1985" s="10">
        <v>1</v>
      </c>
      <c r="O1985" s="6"/>
      <c r="P1985" s="42" t="s">
        <v>5560</v>
      </c>
      <c r="Q1985" s="42" t="s">
        <v>5561</v>
      </c>
      <c r="R1985" s="42"/>
      <c r="S1985" s="1"/>
    </row>
    <row r="1986" spans="1:19" ht="18.75" hidden="1" customHeight="1" x14ac:dyDescent="0.3">
      <c r="A1986" s="10">
        <v>1985</v>
      </c>
      <c r="B1986" s="10">
        <f>_xlfn.XLOOKUP(1,(VALUE(D1986)&gt;=VALUE(block!$C$3:$C$500))*(VALUE(D1986)&lt;VALUE(block!$C$3:$C$500)+VALUE(block!$D$3:$D$500)),block!$A$3:$A$500,"无匹配",0,1)</f>
        <v>60</v>
      </c>
      <c r="C1986" s="3" t="str">
        <f>B1986 &amp; "-" &amp; COUNTIF($B$2:B1986, B1986)</f>
        <v>60-41</v>
      </c>
      <c r="D1986" s="10">
        <f t="shared" si="0"/>
        <v>14147</v>
      </c>
      <c r="E1986" s="3" t="s">
        <v>5627</v>
      </c>
      <c r="F1986" s="1" t="s">
        <v>5628</v>
      </c>
      <c r="H1986" s="3" t="s">
        <v>1838</v>
      </c>
      <c r="I1986" s="10" t="str">
        <f>IF(H1986="T79",1,IF(H1986="T79",3,IF(H1986="T95",6,IF(H1986="T95",10,IF(H1986="T127",14,IF(H1986="T127",18,IF(H1986="T95",22,"")))))))</f>
        <v/>
      </c>
      <c r="J1986" s="1" t="s">
        <v>1808</v>
      </c>
      <c r="K1986" s="10">
        <v>2</v>
      </c>
      <c r="L1986" s="10">
        <v>1</v>
      </c>
      <c r="O1986" s="6"/>
      <c r="Q1986" s="42" t="s">
        <v>5561</v>
      </c>
      <c r="R1986" s="42"/>
      <c r="S1986" s="1"/>
    </row>
    <row r="1987" spans="1:19" ht="18.75" hidden="1" customHeight="1" x14ac:dyDescent="0.3">
      <c r="A1987" s="10">
        <v>1986</v>
      </c>
      <c r="B1987" s="10">
        <f>_xlfn.XLOOKUP(1,(VALUE(D1987)&gt;=VALUE(block!$C$3:$C$500))*(VALUE(D1987)&lt;VALUE(block!$C$3:$C$500)+VALUE(block!$D$3:$D$500)),block!$A$3:$A$500,"无匹配",0,1)</f>
        <v>60</v>
      </c>
      <c r="C1987" s="3" t="str">
        <f>B1987 &amp; "-" &amp; COUNTIF($B$2:B1987, B1987)</f>
        <v>60-42</v>
      </c>
      <c r="D1987" s="10">
        <f t="shared" si="0"/>
        <v>14149</v>
      </c>
      <c r="E1987" s="3" t="s">
        <v>5627</v>
      </c>
      <c r="F1987" s="1" t="s">
        <v>5629</v>
      </c>
      <c r="H1987" s="3" t="s">
        <v>5458</v>
      </c>
      <c r="I1987" s="10">
        <f>IF(H1987="uint16",1,IF(H1987="int16",3,IF(H1987="uint32",6,IF(H1987="int32",10,IF(H1987="uint64",14,IF(H1987="int64",18,IF(H1987="float32",22,"")))))))</f>
        <v>1</v>
      </c>
      <c r="J1987" s="1" t="s">
        <v>1808</v>
      </c>
      <c r="K1987" s="10">
        <v>1</v>
      </c>
      <c r="L1987" s="10">
        <v>1</v>
      </c>
      <c r="O1987" s="6"/>
      <c r="Q1987" s="42" t="s">
        <v>5561</v>
      </c>
      <c r="R1987" s="42"/>
      <c r="S1987" s="1"/>
    </row>
    <row r="1988" spans="1:19" ht="18.75" hidden="1" customHeight="1" x14ac:dyDescent="0.3">
      <c r="A1988" s="10">
        <v>1987</v>
      </c>
      <c r="B1988" s="10">
        <f>_xlfn.XLOOKUP(1,(VALUE(D1988)&gt;=VALUE(block!$C$3:$C$500))*(VALUE(D1988)&lt;VALUE(block!$C$3:$C$500)+VALUE(block!$D$3:$D$500)),block!$A$3:$A$500,"无匹配",0,1)</f>
        <v>60</v>
      </c>
      <c r="C1988" s="3" t="str">
        <f>B1988 &amp; "-" &amp; COUNTIF($B$2:B1988, B1988)</f>
        <v>60-43</v>
      </c>
      <c r="D1988" s="10">
        <f t="shared" si="0"/>
        <v>14150</v>
      </c>
      <c r="E1988" s="1" t="s">
        <v>5630</v>
      </c>
      <c r="F1988" s="1" t="s">
        <v>5631</v>
      </c>
      <c r="G1988" s="1" t="s">
        <v>1832</v>
      </c>
      <c r="H1988" s="1" t="s">
        <v>1812</v>
      </c>
      <c r="I1988" s="10" t="str">
        <f>IF(H1988="T17",1,IF(H1988="T17",3,IF(H1988="T33",6,IF(H1988="T33",10,IF(H1988="T65",14,IF(H1988="T65",18,IF(H1988="T33",22,"")))))))</f>
        <v/>
      </c>
      <c r="J1988" s="1" t="s">
        <v>1808</v>
      </c>
      <c r="K1988" s="10">
        <v>2</v>
      </c>
      <c r="L1988" s="10">
        <v>1</v>
      </c>
      <c r="O1988" s="6"/>
      <c r="P1988" s="42" t="s">
        <v>5560</v>
      </c>
      <c r="Q1988" s="42" t="s">
        <v>5561</v>
      </c>
      <c r="R1988" s="42"/>
      <c r="S1988" s="1"/>
    </row>
    <row r="1989" spans="1:19" ht="18.75" hidden="1" customHeight="1" x14ac:dyDescent="0.3">
      <c r="A1989" s="10">
        <v>1988</v>
      </c>
      <c r="B1989" s="10">
        <f>_xlfn.XLOOKUP(1,(VALUE(D1989)&gt;=VALUE(block!$C$3:$C$500))*(VALUE(D1989)&lt;VALUE(block!$C$3:$C$500)+VALUE(block!$D$3:$D$500)),block!$A$3:$A$500,"无匹配",0,1)</f>
        <v>60</v>
      </c>
      <c r="C1989" s="3" t="str">
        <f>B1989 &amp; "-" &amp; COUNTIF($B$2:B1989, B1989)</f>
        <v>60-44</v>
      </c>
      <c r="D1989" s="10">
        <f t="shared" si="0"/>
        <v>14152</v>
      </c>
      <c r="E1989" s="3" t="s">
        <v>5632</v>
      </c>
      <c r="F1989" s="1" t="s">
        <v>5633</v>
      </c>
      <c r="H1989" s="3" t="s">
        <v>1838</v>
      </c>
      <c r="I1989" s="10" t="str">
        <f>IF(H1989="T18",1,IF(H1989="T18",3,IF(H1989="T34",6,IF(H1989="T34",10,IF(H1989="T66",14,IF(H1989="T66",18,IF(H1989="T34",22,"")))))))</f>
        <v/>
      </c>
      <c r="J1989" s="1" t="s">
        <v>1808</v>
      </c>
      <c r="K1989" s="10">
        <v>2</v>
      </c>
      <c r="L1989" s="10">
        <v>1</v>
      </c>
      <c r="O1989" s="6"/>
      <c r="Q1989" s="42" t="s">
        <v>5561</v>
      </c>
      <c r="R1989" s="42"/>
      <c r="S1989" s="1"/>
    </row>
    <row r="1990" spans="1:19" ht="18.75" hidden="1" customHeight="1" x14ac:dyDescent="0.3">
      <c r="A1990" s="10">
        <v>1989</v>
      </c>
      <c r="B1990" s="10">
        <f>_xlfn.XLOOKUP(1,(VALUE(D1990)&gt;=VALUE(block!$C$3:$C$500))*(VALUE(D1990)&lt;VALUE(block!$C$3:$C$500)+VALUE(block!$D$3:$D$500)),block!$A$3:$A$500,"无匹配",0,1)</f>
        <v>60</v>
      </c>
      <c r="C1990" s="3" t="str">
        <f>B1990 &amp; "-" &amp; COUNTIF($B$2:B1990, B1990)</f>
        <v>60-45</v>
      </c>
      <c r="D1990" s="10">
        <f t="shared" si="0"/>
        <v>14154</v>
      </c>
      <c r="E1990" s="3" t="s">
        <v>5632</v>
      </c>
      <c r="F1990" s="1" t="s">
        <v>5634</v>
      </c>
      <c r="H1990" s="3" t="s">
        <v>5458</v>
      </c>
      <c r="I1990" s="10" t="str">
        <f>IF(H1990="T19",1,IF(H1990="T19",3,IF(H1990="T35",6,IF(H1990="T35",10,IF(H1990="T67",14,IF(H1990="T67",18,IF(H1990="T35",22,"")))))))</f>
        <v/>
      </c>
      <c r="J1990" s="1" t="s">
        <v>1808</v>
      </c>
      <c r="K1990" s="10">
        <v>1</v>
      </c>
      <c r="L1990" s="10">
        <v>1</v>
      </c>
      <c r="O1990" s="6"/>
      <c r="Q1990" s="42" t="s">
        <v>5561</v>
      </c>
      <c r="R1990" s="42"/>
      <c r="S1990" s="1"/>
    </row>
    <row r="1991" spans="1:19" ht="18.75" hidden="1" customHeight="1" x14ac:dyDescent="0.3">
      <c r="A1991" s="10">
        <v>1990</v>
      </c>
      <c r="B1991" s="10">
        <f>_xlfn.XLOOKUP(1,(VALUE(D1991)&gt;=VALUE(block!$C$3:$C$500))*(VALUE(D1991)&lt;VALUE(block!$C$3:$C$500)+VALUE(block!$D$3:$D$500)),block!$A$3:$A$500,"无匹配",0,1)</f>
        <v>60</v>
      </c>
      <c r="C1991" s="3" t="str">
        <f>B1991 &amp; "-" &amp; COUNTIF($B$2:B1991, B1991)</f>
        <v>60-46</v>
      </c>
      <c r="D1991" s="10">
        <f t="shared" si="0"/>
        <v>14155</v>
      </c>
      <c r="E1991" s="1" t="s">
        <v>5635</v>
      </c>
      <c r="F1991" s="1" t="s">
        <v>5636</v>
      </c>
      <c r="G1991" s="1" t="s">
        <v>1834</v>
      </c>
      <c r="H1991" s="1" t="s">
        <v>1812</v>
      </c>
      <c r="I1991" s="10" t="str">
        <f>IF(H1991="T20",1,IF(H1991="T20",3,IF(H1991="T36",6,IF(H1991="T36",10,IF(H1991="T68",14,IF(H1991="T68",18,IF(H1991="T36",22,"")))))))</f>
        <v/>
      </c>
      <c r="J1991" s="1" t="s">
        <v>1808</v>
      </c>
      <c r="K1991" s="10">
        <v>2</v>
      </c>
      <c r="L1991" s="10">
        <v>1</v>
      </c>
      <c r="O1991" s="6"/>
      <c r="P1991" s="42" t="s">
        <v>5560</v>
      </c>
      <c r="Q1991" s="42" t="s">
        <v>5561</v>
      </c>
      <c r="R1991" s="42"/>
      <c r="S1991" s="1"/>
    </row>
    <row r="1992" spans="1:19" ht="18.75" hidden="1" customHeight="1" x14ac:dyDescent="0.3">
      <c r="A1992" s="10">
        <v>1991</v>
      </c>
      <c r="B1992" s="10">
        <f>_xlfn.XLOOKUP(1,(VALUE(D1992)&gt;=VALUE(block!$C$3:$C$500))*(VALUE(D1992)&lt;VALUE(block!$C$3:$C$500)+VALUE(block!$D$3:$D$500)),block!$A$3:$A$500,"无匹配",0,1)</f>
        <v>60</v>
      </c>
      <c r="C1992" s="3" t="str">
        <f>B1992 &amp; "-" &amp; COUNTIF($B$2:B1992, B1992)</f>
        <v>60-47</v>
      </c>
      <c r="D1992" s="10">
        <f t="shared" si="0"/>
        <v>14157</v>
      </c>
      <c r="E1992" s="3" t="s">
        <v>5637</v>
      </c>
      <c r="F1992" s="1" t="s">
        <v>5638</v>
      </c>
      <c r="H1992" s="3" t="s">
        <v>1838</v>
      </c>
      <c r="I1992" s="10" t="str">
        <f>IF(H1992="T21",1,IF(H1992="T21",3,IF(H1992="T37",6,IF(H1992="T37",10,IF(H1992="T69",14,IF(H1992="T69",18,IF(H1992="T37",22,"")))))))</f>
        <v/>
      </c>
      <c r="J1992" s="1" t="s">
        <v>1808</v>
      </c>
      <c r="K1992" s="10">
        <v>2</v>
      </c>
      <c r="L1992" s="10">
        <v>1</v>
      </c>
      <c r="O1992" s="6"/>
      <c r="Q1992" s="42" t="s">
        <v>5561</v>
      </c>
      <c r="R1992" s="42"/>
      <c r="S1992" s="1"/>
    </row>
    <row r="1993" spans="1:19" ht="18.75" hidden="1" customHeight="1" x14ac:dyDescent="0.3">
      <c r="A1993" s="10">
        <v>1992</v>
      </c>
      <c r="B1993" s="10">
        <f>_xlfn.XLOOKUP(1,(VALUE(D1993)&gt;=VALUE(block!$C$3:$C$500))*(VALUE(D1993)&lt;VALUE(block!$C$3:$C$500)+VALUE(block!$D$3:$D$500)),block!$A$3:$A$500,"无匹配",0,1)</f>
        <v>60</v>
      </c>
      <c r="C1993" s="3" t="str">
        <f>B1993 &amp; "-" &amp; COUNTIF($B$2:B1993, B1993)</f>
        <v>60-48</v>
      </c>
      <c r="D1993" s="10">
        <f t="shared" si="0"/>
        <v>14159</v>
      </c>
      <c r="E1993" s="3" t="s">
        <v>5637</v>
      </c>
      <c r="F1993" s="1" t="s">
        <v>5639</v>
      </c>
      <c r="H1993" s="3" t="s">
        <v>5458</v>
      </c>
      <c r="I1993" s="10" t="str">
        <f>IF(H1993="T22",1,IF(H1993="T22",3,IF(H1993="T38",6,IF(H1993="T38",10,IF(H1993="T70",14,IF(H1993="T70",18,IF(H1993="T38",22,"")))))))</f>
        <v/>
      </c>
      <c r="J1993" s="1" t="s">
        <v>1808</v>
      </c>
      <c r="K1993" s="10">
        <v>1</v>
      </c>
      <c r="L1993" s="10">
        <v>1</v>
      </c>
      <c r="O1993" s="6"/>
      <c r="Q1993" s="42" t="s">
        <v>5561</v>
      </c>
      <c r="R1993" s="42"/>
      <c r="S1993" s="1"/>
    </row>
    <row r="1994" spans="1:19" ht="18.75" hidden="1" customHeight="1" x14ac:dyDescent="0.3">
      <c r="A1994" s="10">
        <v>1993</v>
      </c>
      <c r="B1994" s="10">
        <f>_xlfn.XLOOKUP(1,(VALUE(D1994)&gt;=VALUE(block!$C$3:$C$500))*(VALUE(D1994)&lt;VALUE(block!$C$3:$C$500)+VALUE(block!$D$3:$D$500)),block!$A$3:$A$500,"无匹配",0,1)</f>
        <v>60</v>
      </c>
      <c r="C1994" s="3" t="str">
        <f>B1994 &amp; "-" &amp; COUNTIF($B$2:B1994, B1994)</f>
        <v>60-49</v>
      </c>
      <c r="D1994" s="10">
        <f t="shared" si="0"/>
        <v>14160</v>
      </c>
      <c r="E1994" s="1" t="s">
        <v>5640</v>
      </c>
      <c r="F1994" s="1" t="s">
        <v>5641</v>
      </c>
      <c r="G1994" s="1" t="s">
        <v>1834</v>
      </c>
      <c r="H1994" s="1" t="s">
        <v>1812</v>
      </c>
      <c r="I1994" s="10" t="str">
        <f>IF(H1994="T23",1,IF(H1994="T23",3,IF(H1994="T39",6,IF(H1994="T39",10,IF(H1994="T71",14,IF(H1994="T71",18,IF(H1994="T39",22,"")))))))</f>
        <v/>
      </c>
      <c r="J1994" s="1" t="s">
        <v>1808</v>
      </c>
      <c r="K1994" s="10">
        <v>2</v>
      </c>
      <c r="L1994" s="10">
        <v>1</v>
      </c>
      <c r="O1994" s="6"/>
      <c r="P1994" s="42" t="s">
        <v>5560</v>
      </c>
      <c r="Q1994" s="42" t="s">
        <v>5561</v>
      </c>
      <c r="R1994" s="42"/>
      <c r="S1994" s="1"/>
    </row>
    <row r="1995" spans="1:19" ht="18.75" hidden="1" customHeight="1" x14ac:dyDescent="0.3">
      <c r="A1995" s="10">
        <v>1994</v>
      </c>
      <c r="B1995" s="10">
        <f>_xlfn.XLOOKUP(1,(VALUE(D1995)&gt;=VALUE(block!$C$3:$C$500))*(VALUE(D1995)&lt;VALUE(block!$C$3:$C$500)+VALUE(block!$D$3:$D$500)),block!$A$3:$A$500,"无匹配",0,1)</f>
        <v>60</v>
      </c>
      <c r="C1995" s="3" t="str">
        <f>B1995 &amp; "-" &amp; COUNTIF($B$2:B1995, B1995)</f>
        <v>60-50</v>
      </c>
      <c r="D1995" s="10">
        <f t="shared" si="0"/>
        <v>14162</v>
      </c>
      <c r="E1995" s="3" t="s">
        <v>5642</v>
      </c>
      <c r="F1995" s="1" t="s">
        <v>5643</v>
      </c>
      <c r="H1995" s="3" t="s">
        <v>1838</v>
      </c>
      <c r="I1995" s="10" t="str">
        <f>IF(H1995="T24",1,IF(H1995="T24",3,IF(H1995="T40",6,IF(H1995="T40",10,IF(H1995="T72",14,IF(H1995="T72",18,IF(H1995="T40",22,"")))))))</f>
        <v/>
      </c>
      <c r="J1995" s="1" t="s">
        <v>1808</v>
      </c>
      <c r="K1995" s="10">
        <v>2</v>
      </c>
      <c r="L1995" s="10">
        <v>1</v>
      </c>
      <c r="O1995" s="6"/>
      <c r="Q1995" s="42" t="s">
        <v>5561</v>
      </c>
      <c r="R1995" s="42"/>
      <c r="S1995" s="1"/>
    </row>
    <row r="1996" spans="1:19" ht="18.75" hidden="1" customHeight="1" x14ac:dyDescent="0.3">
      <c r="A1996" s="10">
        <v>1995</v>
      </c>
      <c r="B1996" s="10">
        <f>_xlfn.XLOOKUP(1,(VALUE(D1996)&gt;=VALUE(block!$C$3:$C$500))*(VALUE(D1996)&lt;VALUE(block!$C$3:$C$500)+VALUE(block!$D$3:$D$500)),block!$A$3:$A$500,"无匹配",0,1)</f>
        <v>60</v>
      </c>
      <c r="C1996" s="3" t="str">
        <f>B1996 &amp; "-" &amp; COUNTIF($B$2:B1996, B1996)</f>
        <v>60-51</v>
      </c>
      <c r="D1996" s="10">
        <f t="shared" si="0"/>
        <v>14164</v>
      </c>
      <c r="E1996" s="3" t="s">
        <v>5642</v>
      </c>
      <c r="F1996" s="1" t="s">
        <v>5644</v>
      </c>
      <c r="H1996" s="3" t="s">
        <v>5458</v>
      </c>
      <c r="I1996" s="10" t="str">
        <f>IF(H1996="T25",1,IF(H1996="T25",3,IF(H1996="T41",6,IF(H1996="T41",10,IF(H1996="T73",14,IF(H1996="T73",18,IF(H1996="T41",22,"")))))))</f>
        <v/>
      </c>
      <c r="J1996" s="1" t="s">
        <v>1808</v>
      </c>
      <c r="K1996" s="10">
        <v>1</v>
      </c>
      <c r="L1996" s="10">
        <v>1</v>
      </c>
      <c r="O1996" s="6"/>
      <c r="Q1996" s="42" t="s">
        <v>5561</v>
      </c>
      <c r="R1996" s="42"/>
      <c r="S1996" s="1"/>
    </row>
    <row r="1997" spans="1:19" ht="18.75" hidden="1" customHeight="1" x14ac:dyDescent="0.3">
      <c r="A1997" s="10">
        <v>1996</v>
      </c>
      <c r="B1997" s="10">
        <f>_xlfn.XLOOKUP(1,(VALUE(D1997)&gt;=VALUE(block!$C$3:$C$500))*(VALUE(D1997)&lt;VALUE(block!$C$3:$C$500)+VALUE(block!$D$3:$D$500)),block!$A$3:$A$500,"无匹配",0,1)</f>
        <v>60</v>
      </c>
      <c r="C1997" s="3" t="str">
        <f>B1997 &amp; "-" &amp; COUNTIF($B$2:B1997, B1997)</f>
        <v>60-52</v>
      </c>
      <c r="D1997" s="10">
        <f t="shared" si="0"/>
        <v>14165</v>
      </c>
      <c r="E1997" s="1" t="s">
        <v>5645</v>
      </c>
      <c r="F1997" s="1" t="s">
        <v>5646</v>
      </c>
      <c r="G1997" s="1" t="s">
        <v>1836</v>
      </c>
      <c r="H1997" s="1" t="s">
        <v>1812</v>
      </c>
      <c r="I1997" s="10" t="str">
        <f>IF(H1997="T26",1,IF(H1997="T26",3,IF(H1997="T42",6,IF(H1997="T42",10,IF(H1997="T74",14,IF(H1997="T74",18,IF(H1997="T42",22,"")))))))</f>
        <v/>
      </c>
      <c r="J1997" s="1" t="s">
        <v>1808</v>
      </c>
      <c r="K1997" s="10">
        <v>2</v>
      </c>
      <c r="L1997" s="10">
        <v>1</v>
      </c>
      <c r="O1997" s="6"/>
      <c r="P1997" s="42" t="s">
        <v>5560</v>
      </c>
      <c r="Q1997" s="42" t="s">
        <v>5561</v>
      </c>
      <c r="R1997" s="42"/>
      <c r="S1997" s="1"/>
    </row>
    <row r="1998" spans="1:19" ht="18.75" hidden="1" customHeight="1" x14ac:dyDescent="0.3">
      <c r="A1998" s="10">
        <v>1997</v>
      </c>
      <c r="B1998" s="10">
        <f>_xlfn.XLOOKUP(1,(VALUE(D1998)&gt;=VALUE(block!$C$3:$C$500))*(VALUE(D1998)&lt;VALUE(block!$C$3:$C$500)+VALUE(block!$D$3:$D$500)),block!$A$3:$A$500,"无匹配",0,1)</f>
        <v>60</v>
      </c>
      <c r="C1998" s="3" t="str">
        <f>B1998 &amp; "-" &amp; COUNTIF($B$2:B1998, B1998)</f>
        <v>60-53</v>
      </c>
      <c r="D1998" s="10">
        <f t="shared" si="0"/>
        <v>14167</v>
      </c>
      <c r="E1998" s="3" t="s">
        <v>5647</v>
      </c>
      <c r="F1998" s="1" t="s">
        <v>5648</v>
      </c>
      <c r="H1998" s="3" t="s">
        <v>1838</v>
      </c>
      <c r="I1998" s="10" t="str">
        <f>IF(H1998="T27",1,IF(H1998="T27",3,IF(H1998="T43",6,IF(H1998="T43",10,IF(H1998="T75",14,IF(H1998="T75",18,IF(H1998="T43",22,"")))))))</f>
        <v/>
      </c>
      <c r="J1998" s="1" t="s">
        <v>1808</v>
      </c>
      <c r="K1998" s="10">
        <v>2</v>
      </c>
      <c r="L1998" s="10">
        <v>1</v>
      </c>
      <c r="O1998" s="6"/>
      <c r="Q1998" s="42" t="s">
        <v>5561</v>
      </c>
      <c r="R1998" s="42"/>
      <c r="S1998" s="1"/>
    </row>
    <row r="1999" spans="1:19" ht="18.75" hidden="1" customHeight="1" x14ac:dyDescent="0.3">
      <c r="A1999" s="10">
        <v>1998</v>
      </c>
      <c r="B1999" s="10">
        <f>_xlfn.XLOOKUP(1,(VALUE(D1999)&gt;=VALUE(block!$C$3:$C$500))*(VALUE(D1999)&lt;VALUE(block!$C$3:$C$500)+VALUE(block!$D$3:$D$500)),block!$A$3:$A$500,"无匹配",0,1)</f>
        <v>60</v>
      </c>
      <c r="C1999" s="3" t="str">
        <f>B1999 &amp; "-" &amp; COUNTIF($B$2:B1999, B1999)</f>
        <v>60-54</v>
      </c>
      <c r="D1999" s="10">
        <f t="shared" si="0"/>
        <v>14169</v>
      </c>
      <c r="E1999" s="3" t="s">
        <v>5647</v>
      </c>
      <c r="F1999" s="1" t="s">
        <v>5649</v>
      </c>
      <c r="H1999" s="3" t="s">
        <v>5458</v>
      </c>
      <c r="I1999" s="10" t="str">
        <f>IF(H1999="T28",1,IF(H1999="T28",3,IF(H1999="T44",6,IF(H1999="T44",10,IF(H1999="T76",14,IF(H1999="T76",18,IF(H1999="T44",22,"")))))))</f>
        <v/>
      </c>
      <c r="J1999" s="1" t="s">
        <v>1808</v>
      </c>
      <c r="K1999" s="10">
        <v>1</v>
      </c>
      <c r="L1999" s="10">
        <v>1</v>
      </c>
      <c r="O1999" s="6"/>
      <c r="Q1999" s="42" t="s">
        <v>5561</v>
      </c>
      <c r="R1999" s="42"/>
      <c r="S1999" s="1"/>
    </row>
    <row r="2000" spans="1:19" ht="18.75" hidden="1" customHeight="1" x14ac:dyDescent="0.3">
      <c r="A2000" s="10">
        <v>1999</v>
      </c>
      <c r="B2000" s="10">
        <f>_xlfn.XLOOKUP(1,(VALUE(D2000)&gt;=VALUE(block!$C$3:$C$500))*(VALUE(D2000)&lt;VALUE(block!$C$3:$C$500)+VALUE(block!$D$3:$D$500)),block!$A$3:$A$500,"无匹配",0,1)</f>
        <v>60</v>
      </c>
      <c r="C2000" s="3" t="str">
        <f>B2000 &amp; "-" &amp; COUNTIF($B$2:B2000, B2000)</f>
        <v>60-55</v>
      </c>
      <c r="D2000" s="10">
        <f t="shared" si="0"/>
        <v>14170</v>
      </c>
      <c r="E2000" s="1" t="s">
        <v>5650</v>
      </c>
      <c r="F2000" s="1" t="s">
        <v>5651</v>
      </c>
      <c r="G2000" s="1" t="s">
        <v>1830</v>
      </c>
      <c r="H2000" s="1" t="s">
        <v>1812</v>
      </c>
      <c r="I2000" s="10" t="str">
        <f>IF(H2000="T29",1,IF(H2000="T29",3,IF(H2000="T45",6,IF(H2000="T45",10,IF(H2000="T77",14,IF(H2000="T77",18,IF(H2000="T45",22,"")))))))</f>
        <v/>
      </c>
      <c r="J2000" s="1" t="s">
        <v>1808</v>
      </c>
      <c r="K2000" s="10">
        <v>2</v>
      </c>
      <c r="L2000" s="10">
        <v>1</v>
      </c>
      <c r="O2000" s="6"/>
      <c r="P2000" s="42" t="s">
        <v>5560</v>
      </c>
      <c r="Q2000" s="42" t="s">
        <v>5561</v>
      </c>
      <c r="R2000" s="42"/>
      <c r="S2000" s="1"/>
    </row>
    <row r="2001" spans="1:19" ht="18.75" hidden="1" customHeight="1" x14ac:dyDescent="0.3">
      <c r="A2001" s="10">
        <v>2000</v>
      </c>
      <c r="B2001" s="10">
        <f>_xlfn.XLOOKUP(1,(VALUE(D2001)&gt;=VALUE(block!$C$3:$C$500))*(VALUE(D2001)&lt;VALUE(block!$C$3:$C$500)+VALUE(block!$D$3:$D$500)),block!$A$3:$A$500,"无匹配",0,1)</f>
        <v>60</v>
      </c>
      <c r="C2001" s="3" t="str">
        <f>B2001 &amp; "-" &amp; COUNTIF($B$2:B2001, B2001)</f>
        <v>60-56</v>
      </c>
      <c r="D2001" s="10">
        <f t="shared" si="0"/>
        <v>14172</v>
      </c>
      <c r="E2001" s="3" t="s">
        <v>5652</v>
      </c>
      <c r="F2001" s="1" t="s">
        <v>5653</v>
      </c>
      <c r="H2001" s="3" t="s">
        <v>1838</v>
      </c>
      <c r="I2001" s="10" t="str">
        <f>IF(H2001="T30",1,IF(H2001="T30",3,IF(H2001="T46",6,IF(H2001="T46",10,IF(H2001="T78",14,IF(H2001="T78",18,IF(H2001="T46",22,"")))))))</f>
        <v/>
      </c>
      <c r="J2001" s="1" t="s">
        <v>1808</v>
      </c>
      <c r="K2001" s="10">
        <v>2</v>
      </c>
      <c r="L2001" s="10">
        <v>1</v>
      </c>
      <c r="O2001" s="6"/>
      <c r="Q2001" s="42" t="s">
        <v>5561</v>
      </c>
      <c r="R2001" s="42"/>
      <c r="S2001" s="1"/>
    </row>
    <row r="2002" spans="1:19" ht="18.75" hidden="1" customHeight="1" x14ac:dyDescent="0.3">
      <c r="A2002" s="10">
        <v>2001</v>
      </c>
      <c r="B2002" s="10">
        <f>_xlfn.XLOOKUP(1,(VALUE(D2002)&gt;=VALUE(block!$C$3:$C$500))*(VALUE(D2002)&lt;VALUE(block!$C$3:$C$500)+VALUE(block!$D$3:$D$500)),block!$A$3:$A$500,"无匹配",0,1)</f>
        <v>60</v>
      </c>
      <c r="C2002" s="3" t="str">
        <f>B2002 &amp; "-" &amp; COUNTIF($B$2:B2002, B2002)</f>
        <v>60-57</v>
      </c>
      <c r="D2002" s="10">
        <f t="shared" si="0"/>
        <v>14174</v>
      </c>
      <c r="E2002" s="3" t="s">
        <v>5652</v>
      </c>
      <c r="F2002" s="1" t="s">
        <v>5654</v>
      </c>
      <c r="H2002" s="3" t="s">
        <v>5458</v>
      </c>
      <c r="I2002" s="10" t="str">
        <f>IF(H2002="T31",1,IF(H2002="T31",3,IF(H2002="T47",6,IF(H2002="T47",10,IF(H2002="T79",14,IF(H2002="T79",18,IF(H2002="T47",22,"")))))))</f>
        <v/>
      </c>
      <c r="J2002" s="1" t="s">
        <v>1808</v>
      </c>
      <c r="K2002" s="10">
        <v>1</v>
      </c>
      <c r="L2002" s="10">
        <v>1</v>
      </c>
      <c r="O2002" s="6"/>
      <c r="Q2002" s="42" t="s">
        <v>5561</v>
      </c>
      <c r="R2002" s="42"/>
      <c r="S2002" s="1"/>
    </row>
    <row r="2003" spans="1:19" ht="18.75" hidden="1" customHeight="1" x14ac:dyDescent="0.3">
      <c r="A2003" s="10">
        <v>2002</v>
      </c>
      <c r="B2003" s="10">
        <f>_xlfn.XLOOKUP(1,(VALUE(D2003)&gt;=VALUE(block!$C$3:$C$500))*(VALUE(D2003)&lt;VALUE(block!$C$3:$C$500)+VALUE(block!$D$3:$D$500)),block!$A$3:$A$500,"无匹配",0,1)</f>
        <v>60</v>
      </c>
      <c r="C2003" s="3" t="str">
        <f>B2003 &amp; "-" &amp; COUNTIF($B$2:B2003, B2003)</f>
        <v>60-58</v>
      </c>
      <c r="D2003" s="10">
        <f t="shared" si="0"/>
        <v>14175</v>
      </c>
      <c r="E2003" s="1" t="s">
        <v>5655</v>
      </c>
      <c r="F2003" s="1" t="s">
        <v>5656</v>
      </c>
      <c r="G2003" s="1" t="s">
        <v>1832</v>
      </c>
      <c r="H2003" s="1" t="s">
        <v>1812</v>
      </c>
      <c r="I2003" s="10" t="str">
        <f>IF(H2003="T32",1,IF(H2003="T32",3,IF(H2003="T48",6,IF(H2003="T48",10,IF(H2003="T80",14,IF(H2003="T80",18,IF(H2003="T48",22,"")))))))</f>
        <v/>
      </c>
      <c r="J2003" s="1" t="s">
        <v>1808</v>
      </c>
      <c r="K2003" s="10">
        <v>2</v>
      </c>
      <c r="L2003" s="10">
        <v>1</v>
      </c>
      <c r="O2003" s="6"/>
      <c r="P2003" s="42" t="s">
        <v>5560</v>
      </c>
      <c r="Q2003" s="42" t="s">
        <v>5561</v>
      </c>
      <c r="R2003" s="42"/>
      <c r="S2003" s="1"/>
    </row>
    <row r="2004" spans="1:19" ht="18.75" hidden="1" customHeight="1" x14ac:dyDescent="0.3">
      <c r="A2004" s="10">
        <v>2003</v>
      </c>
      <c r="B2004" s="10">
        <f>_xlfn.XLOOKUP(1,(VALUE(D2004)&gt;=VALUE(block!$C$3:$C$500))*(VALUE(D2004)&lt;VALUE(block!$C$3:$C$500)+VALUE(block!$D$3:$D$500)),block!$A$3:$A$500,"无匹配",0,1)</f>
        <v>60</v>
      </c>
      <c r="C2004" s="3" t="str">
        <f>B2004 &amp; "-" &amp; COUNTIF($B$2:B2004, B2004)</f>
        <v>60-59</v>
      </c>
      <c r="D2004" s="10">
        <f t="shared" si="0"/>
        <v>14177</v>
      </c>
      <c r="E2004" s="3" t="s">
        <v>5657</v>
      </c>
      <c r="F2004" s="1" t="s">
        <v>5658</v>
      </c>
      <c r="H2004" s="3" t="s">
        <v>1838</v>
      </c>
      <c r="I2004" s="10" t="str">
        <f>IF(H2004="T33",1,IF(H2004="T33",3,IF(H2004="T49",6,IF(H2004="T49",10,IF(H2004="T81",14,IF(H2004="T81",18,IF(H2004="T49",22,"")))))))</f>
        <v/>
      </c>
      <c r="J2004" s="1" t="s">
        <v>1808</v>
      </c>
      <c r="K2004" s="10">
        <v>2</v>
      </c>
      <c r="L2004" s="10">
        <v>1</v>
      </c>
      <c r="O2004" s="6"/>
      <c r="Q2004" s="42" t="s">
        <v>5561</v>
      </c>
      <c r="R2004" s="42"/>
      <c r="S2004" s="1"/>
    </row>
    <row r="2005" spans="1:19" ht="18.75" hidden="1" customHeight="1" x14ac:dyDescent="0.3">
      <c r="A2005" s="10">
        <v>2004</v>
      </c>
      <c r="B2005" s="10">
        <f>_xlfn.XLOOKUP(1,(VALUE(D2005)&gt;=VALUE(block!$C$3:$C$500))*(VALUE(D2005)&lt;VALUE(block!$C$3:$C$500)+VALUE(block!$D$3:$D$500)),block!$A$3:$A$500,"无匹配",0,1)</f>
        <v>60</v>
      </c>
      <c r="C2005" s="3" t="str">
        <f>B2005 &amp; "-" &amp; COUNTIF($B$2:B2005, B2005)</f>
        <v>60-60</v>
      </c>
      <c r="D2005" s="10">
        <f t="shared" si="0"/>
        <v>14179</v>
      </c>
      <c r="E2005" s="3" t="s">
        <v>5657</v>
      </c>
      <c r="F2005" s="1" t="s">
        <v>5659</v>
      </c>
      <c r="H2005" s="3" t="s">
        <v>5458</v>
      </c>
      <c r="I2005" s="10" t="str">
        <f>IF(H2005="T34",1,IF(H2005="T34",3,IF(H2005="T50",6,IF(H2005="T50",10,IF(H2005="T82",14,IF(H2005="T82",18,IF(H2005="T50",22,"")))))))</f>
        <v/>
      </c>
      <c r="J2005" s="1" t="s">
        <v>1808</v>
      </c>
      <c r="K2005" s="10">
        <v>1</v>
      </c>
      <c r="L2005" s="10">
        <v>1</v>
      </c>
      <c r="O2005" s="6"/>
      <c r="Q2005" s="42" t="s">
        <v>5561</v>
      </c>
      <c r="R2005" s="42"/>
      <c r="S2005" s="1"/>
    </row>
    <row r="2006" spans="1:19" ht="18.75" hidden="1" customHeight="1" x14ac:dyDescent="0.3">
      <c r="A2006" s="10">
        <v>2005</v>
      </c>
      <c r="B2006" s="10">
        <f>_xlfn.XLOOKUP(1,(VALUE(D2006)&gt;=VALUE(block!$C$3:$C$500))*(VALUE(D2006)&lt;VALUE(block!$C$3:$C$500)+VALUE(block!$D$3:$D$500)),block!$A$3:$A$500,"无匹配",0,1)</f>
        <v>60</v>
      </c>
      <c r="C2006" s="3" t="str">
        <f>B2006 &amp; "-" &amp; COUNTIF($B$2:B2006, B2006)</f>
        <v>60-61</v>
      </c>
      <c r="D2006" s="10">
        <f t="shared" si="0"/>
        <v>14180</v>
      </c>
      <c r="E2006" s="1" t="s">
        <v>5660</v>
      </c>
      <c r="F2006" s="1" t="s">
        <v>5661</v>
      </c>
      <c r="G2006" s="1" t="s">
        <v>1832</v>
      </c>
      <c r="H2006" s="1" t="s">
        <v>1812</v>
      </c>
      <c r="I2006" s="10" t="str">
        <f>IF(H2006="T35",1,IF(H2006="T35",3,IF(H2006="T51",6,IF(H2006="T51",10,IF(H2006="T83",14,IF(H2006="T83",18,IF(H2006="T51",22,"")))))))</f>
        <v/>
      </c>
      <c r="J2006" s="1" t="s">
        <v>1808</v>
      </c>
      <c r="K2006" s="10">
        <v>2</v>
      </c>
      <c r="L2006" s="10">
        <v>1</v>
      </c>
      <c r="O2006" s="6"/>
      <c r="P2006" s="42" t="s">
        <v>5560</v>
      </c>
      <c r="Q2006" s="42" t="s">
        <v>5561</v>
      </c>
      <c r="R2006" s="42"/>
      <c r="S2006" s="1"/>
    </row>
    <row r="2007" spans="1:19" ht="18.75" hidden="1" customHeight="1" x14ac:dyDescent="0.3">
      <c r="A2007" s="10">
        <v>2006</v>
      </c>
      <c r="B2007" s="10">
        <f>_xlfn.XLOOKUP(1,(VALUE(D2007)&gt;=VALUE(block!$C$3:$C$500))*(VALUE(D2007)&lt;VALUE(block!$C$3:$C$500)+VALUE(block!$D$3:$D$500)),block!$A$3:$A$500,"无匹配",0,1)</f>
        <v>60</v>
      </c>
      <c r="C2007" s="3" t="str">
        <f>B2007 &amp; "-" &amp; COUNTIF($B$2:B2007, B2007)</f>
        <v>60-62</v>
      </c>
      <c r="D2007" s="10">
        <f t="shared" si="0"/>
        <v>14182</v>
      </c>
      <c r="E2007" s="3" t="s">
        <v>5662</v>
      </c>
      <c r="F2007" s="1" t="s">
        <v>5663</v>
      </c>
      <c r="H2007" s="3" t="s">
        <v>1838</v>
      </c>
      <c r="I2007" s="10" t="str">
        <f>IF(H2007="T36",1,IF(H2007="T36",3,IF(H2007="T52",6,IF(H2007="T52",10,IF(H2007="T84",14,IF(H2007="T84",18,IF(H2007="T52",22,"")))))))</f>
        <v/>
      </c>
      <c r="J2007" s="1" t="s">
        <v>1808</v>
      </c>
      <c r="K2007" s="10">
        <v>2</v>
      </c>
      <c r="L2007" s="10">
        <v>1</v>
      </c>
      <c r="O2007" s="6"/>
      <c r="Q2007" s="42" t="s">
        <v>5561</v>
      </c>
      <c r="R2007" s="42"/>
      <c r="S2007" s="1"/>
    </row>
    <row r="2008" spans="1:19" ht="18.75" hidden="1" customHeight="1" x14ac:dyDescent="0.3">
      <c r="A2008" s="10">
        <v>2007</v>
      </c>
      <c r="B2008" s="10">
        <f>_xlfn.XLOOKUP(1,(VALUE(D2008)&gt;=VALUE(block!$C$3:$C$500))*(VALUE(D2008)&lt;VALUE(block!$C$3:$C$500)+VALUE(block!$D$3:$D$500)),block!$A$3:$A$500,"无匹配",0,1)</f>
        <v>60</v>
      </c>
      <c r="C2008" s="3" t="str">
        <f>B2008 &amp; "-" &amp; COUNTIF($B$2:B2008, B2008)</f>
        <v>60-63</v>
      </c>
      <c r="D2008" s="10">
        <f t="shared" si="0"/>
        <v>14184</v>
      </c>
      <c r="E2008" s="3" t="s">
        <v>5662</v>
      </c>
      <c r="F2008" s="1" t="s">
        <v>5664</v>
      </c>
      <c r="H2008" s="3" t="s">
        <v>5458</v>
      </c>
      <c r="I2008" s="10" t="str">
        <f>IF(H2008="T37",1,IF(H2008="T37",3,IF(H2008="T53",6,IF(H2008="T53",10,IF(H2008="T85",14,IF(H2008="T85",18,IF(H2008="T53",22,"")))))))</f>
        <v/>
      </c>
      <c r="J2008" s="1" t="s">
        <v>1808</v>
      </c>
      <c r="K2008" s="10">
        <v>1</v>
      </c>
      <c r="L2008" s="10">
        <v>1</v>
      </c>
      <c r="O2008" s="6"/>
      <c r="Q2008" s="42" t="s">
        <v>5561</v>
      </c>
      <c r="R2008" s="42"/>
      <c r="S2008" s="1"/>
    </row>
    <row r="2009" spans="1:19" ht="18.75" hidden="1" customHeight="1" x14ac:dyDescent="0.3">
      <c r="A2009" s="10">
        <v>2008</v>
      </c>
      <c r="B2009" s="10">
        <f>_xlfn.XLOOKUP(1,(VALUE(D2009)&gt;=VALUE(block!$C$3:$C$500))*(VALUE(D2009)&lt;VALUE(block!$C$3:$C$500)+VALUE(block!$D$3:$D$500)),block!$A$3:$A$500,"无匹配",0,1)</f>
        <v>60</v>
      </c>
      <c r="C2009" s="3" t="str">
        <f>B2009 &amp; "-" &amp; COUNTIF($B$2:B2009, B2009)</f>
        <v>60-64</v>
      </c>
      <c r="D2009" s="10">
        <f t="shared" si="0"/>
        <v>14185</v>
      </c>
      <c r="E2009" s="1" t="s">
        <v>5665</v>
      </c>
      <c r="F2009" s="1" t="s">
        <v>5666</v>
      </c>
      <c r="G2009" s="1" t="s">
        <v>1834</v>
      </c>
      <c r="H2009" s="1" t="s">
        <v>1812</v>
      </c>
      <c r="I2009" s="10" t="str">
        <f>IF(H2009="T38",1,IF(H2009="T38",3,IF(H2009="T54",6,IF(H2009="T54",10,IF(H2009="T86",14,IF(H2009="T86",18,IF(H2009="T54",22,"")))))))</f>
        <v/>
      </c>
      <c r="J2009" s="1" t="s">
        <v>1808</v>
      </c>
      <c r="K2009" s="10">
        <v>2</v>
      </c>
      <c r="L2009" s="10">
        <v>1</v>
      </c>
      <c r="O2009" s="6"/>
      <c r="P2009" s="42" t="s">
        <v>5560</v>
      </c>
      <c r="Q2009" s="42" t="s">
        <v>5561</v>
      </c>
      <c r="R2009" s="42"/>
      <c r="S2009" s="1"/>
    </row>
    <row r="2010" spans="1:19" ht="18.75" hidden="1" customHeight="1" x14ac:dyDescent="0.3">
      <c r="A2010" s="10">
        <v>2009</v>
      </c>
      <c r="B2010" s="10">
        <f>_xlfn.XLOOKUP(1,(VALUE(D2010)&gt;=VALUE(block!$C$3:$C$500))*(VALUE(D2010)&lt;VALUE(block!$C$3:$C$500)+VALUE(block!$D$3:$D$500)),block!$A$3:$A$500,"无匹配",0,1)</f>
        <v>60</v>
      </c>
      <c r="C2010" s="3" t="str">
        <f>B2010 &amp; "-" &amp; COUNTIF($B$2:B2010, B2010)</f>
        <v>60-65</v>
      </c>
      <c r="D2010" s="10">
        <f t="shared" si="0"/>
        <v>14187</v>
      </c>
      <c r="E2010" s="3" t="s">
        <v>5667</v>
      </c>
      <c r="F2010" s="1" t="s">
        <v>5668</v>
      </c>
      <c r="H2010" s="3" t="s">
        <v>1838</v>
      </c>
      <c r="I2010" s="10" t="str">
        <f>IF(H2010="T39",1,IF(H2010="T39",3,IF(H2010="T55",6,IF(H2010="T55",10,IF(H2010="T87",14,IF(H2010="T87",18,IF(H2010="T55",22,"")))))))</f>
        <v/>
      </c>
      <c r="J2010" s="1" t="s">
        <v>1808</v>
      </c>
      <c r="K2010" s="10">
        <v>2</v>
      </c>
      <c r="L2010" s="10">
        <v>1</v>
      </c>
      <c r="O2010" s="6"/>
      <c r="Q2010" s="42" t="s">
        <v>5561</v>
      </c>
      <c r="R2010" s="42"/>
      <c r="S2010" s="1"/>
    </row>
    <row r="2011" spans="1:19" ht="18.75" hidden="1" customHeight="1" x14ac:dyDescent="0.3">
      <c r="A2011" s="10">
        <v>2010</v>
      </c>
      <c r="B2011" s="10">
        <f>_xlfn.XLOOKUP(1,(VALUE(D2011)&gt;=VALUE(block!$C$3:$C$500))*(VALUE(D2011)&lt;VALUE(block!$C$3:$C$500)+VALUE(block!$D$3:$D$500)),block!$A$3:$A$500,"无匹配",0,1)</f>
        <v>60</v>
      </c>
      <c r="C2011" s="3" t="str">
        <f>B2011 &amp; "-" &amp; COUNTIF($B$2:B2011, B2011)</f>
        <v>60-66</v>
      </c>
      <c r="D2011" s="10">
        <f t="shared" ref="D2011:D2074" si="1">D2010+K2010</f>
        <v>14189</v>
      </c>
      <c r="E2011" s="3" t="s">
        <v>5667</v>
      </c>
      <c r="F2011" s="1" t="s">
        <v>5669</v>
      </c>
      <c r="H2011" s="3" t="s">
        <v>5458</v>
      </c>
      <c r="I2011" s="10" t="str">
        <f>IF(H2011="T40",1,IF(H2011="T40",3,IF(H2011="T56",6,IF(H2011="T56",10,IF(H2011="T88",14,IF(H2011="T88",18,IF(H2011="T56",22,"")))))))</f>
        <v/>
      </c>
      <c r="J2011" s="1" t="s">
        <v>1808</v>
      </c>
      <c r="K2011" s="10">
        <v>1</v>
      </c>
      <c r="L2011" s="10">
        <v>1</v>
      </c>
      <c r="O2011" s="6"/>
      <c r="Q2011" s="42" t="s">
        <v>5561</v>
      </c>
      <c r="R2011" s="42"/>
      <c r="S2011" s="1"/>
    </row>
    <row r="2012" spans="1:19" ht="18.75" hidden="1" customHeight="1" x14ac:dyDescent="0.3">
      <c r="A2012" s="10">
        <v>2011</v>
      </c>
      <c r="B2012" s="10">
        <f>_xlfn.XLOOKUP(1,(VALUE(D2012)&gt;=VALUE(block!$C$3:$C$500))*(VALUE(D2012)&lt;VALUE(block!$C$3:$C$500)+VALUE(block!$D$3:$D$500)),block!$A$3:$A$500,"无匹配",0,1)</f>
        <v>60</v>
      </c>
      <c r="C2012" s="3" t="str">
        <f>B2012 &amp; "-" &amp; COUNTIF($B$2:B2012, B2012)</f>
        <v>60-67</v>
      </c>
      <c r="D2012" s="10">
        <f t="shared" si="1"/>
        <v>14190</v>
      </c>
      <c r="E2012" s="1" t="s">
        <v>5670</v>
      </c>
      <c r="F2012" s="1" t="s">
        <v>5671</v>
      </c>
      <c r="G2012" s="1" t="s">
        <v>1834</v>
      </c>
      <c r="H2012" s="1" t="s">
        <v>1812</v>
      </c>
      <c r="I2012" s="10" t="str">
        <f>IF(H2012="T41",1,IF(H2012="T41",3,IF(H2012="T57",6,IF(H2012="T57",10,IF(H2012="T89",14,IF(H2012="T89",18,IF(H2012="T57",22,"")))))))</f>
        <v/>
      </c>
      <c r="J2012" s="1" t="s">
        <v>1808</v>
      </c>
      <c r="K2012" s="10">
        <v>2</v>
      </c>
      <c r="L2012" s="10">
        <v>1</v>
      </c>
      <c r="O2012" s="6"/>
      <c r="P2012" s="42" t="s">
        <v>5560</v>
      </c>
      <c r="Q2012" s="42" t="s">
        <v>5561</v>
      </c>
      <c r="R2012" s="42"/>
      <c r="S2012" s="1"/>
    </row>
    <row r="2013" spans="1:19" ht="18.75" hidden="1" customHeight="1" x14ac:dyDescent="0.3">
      <c r="A2013" s="10">
        <v>2012</v>
      </c>
      <c r="B2013" s="10">
        <f>_xlfn.XLOOKUP(1,(VALUE(D2013)&gt;=VALUE(block!$C$3:$C$500))*(VALUE(D2013)&lt;VALUE(block!$C$3:$C$500)+VALUE(block!$D$3:$D$500)),block!$A$3:$A$500,"无匹配",0,1)</f>
        <v>60</v>
      </c>
      <c r="C2013" s="3" t="str">
        <f>B2013 &amp; "-" &amp; COUNTIF($B$2:B2013, B2013)</f>
        <v>60-68</v>
      </c>
      <c r="D2013" s="10">
        <f t="shared" si="1"/>
        <v>14192</v>
      </c>
      <c r="E2013" s="3" t="s">
        <v>5672</v>
      </c>
      <c r="F2013" s="1" t="s">
        <v>5673</v>
      </c>
      <c r="H2013" s="3" t="s">
        <v>1838</v>
      </c>
      <c r="I2013" s="10" t="str">
        <f>IF(H2013="T42",1,IF(H2013="T42",3,IF(H2013="T58",6,IF(H2013="T58",10,IF(H2013="T90",14,IF(H2013="T90",18,IF(H2013="T58",22,"")))))))</f>
        <v/>
      </c>
      <c r="J2013" s="1" t="s">
        <v>1808</v>
      </c>
      <c r="K2013" s="10">
        <v>2</v>
      </c>
      <c r="L2013" s="10">
        <v>1</v>
      </c>
      <c r="O2013" s="6"/>
      <c r="Q2013" s="42" t="s">
        <v>5561</v>
      </c>
      <c r="R2013" s="42"/>
      <c r="S2013" s="1"/>
    </row>
    <row r="2014" spans="1:19" ht="18.75" hidden="1" customHeight="1" x14ac:dyDescent="0.3">
      <c r="A2014" s="10">
        <v>2013</v>
      </c>
      <c r="B2014" s="10">
        <f>_xlfn.XLOOKUP(1,(VALUE(D2014)&gt;=VALUE(block!$C$3:$C$500))*(VALUE(D2014)&lt;VALUE(block!$C$3:$C$500)+VALUE(block!$D$3:$D$500)),block!$A$3:$A$500,"无匹配",0,1)</f>
        <v>60</v>
      </c>
      <c r="C2014" s="3" t="str">
        <f>B2014 &amp; "-" &amp; COUNTIF($B$2:B2014, B2014)</f>
        <v>60-69</v>
      </c>
      <c r="D2014" s="10">
        <f t="shared" si="1"/>
        <v>14194</v>
      </c>
      <c r="E2014" s="3" t="s">
        <v>5672</v>
      </c>
      <c r="F2014" s="1" t="s">
        <v>5674</v>
      </c>
      <c r="H2014" s="3" t="s">
        <v>5458</v>
      </c>
      <c r="I2014" s="10" t="str">
        <f>IF(H2014="T43",1,IF(H2014="T43",3,IF(H2014="T59",6,IF(H2014="T59",10,IF(H2014="T91",14,IF(H2014="T91",18,IF(H2014="T59",22,"")))))))</f>
        <v/>
      </c>
      <c r="J2014" s="1" t="s">
        <v>1808</v>
      </c>
      <c r="K2014" s="10">
        <v>1</v>
      </c>
      <c r="L2014" s="10">
        <v>1</v>
      </c>
      <c r="O2014" s="6"/>
      <c r="Q2014" s="42" t="s">
        <v>5561</v>
      </c>
      <c r="R2014" s="42"/>
      <c r="S2014" s="1"/>
    </row>
    <row r="2015" spans="1:19" ht="18.75" hidden="1" customHeight="1" x14ac:dyDescent="0.3">
      <c r="A2015" s="10">
        <v>2014</v>
      </c>
      <c r="B2015" s="10">
        <f>_xlfn.XLOOKUP(1,(VALUE(D2015)&gt;=VALUE(block!$C$3:$C$500))*(VALUE(D2015)&lt;VALUE(block!$C$3:$C$500)+VALUE(block!$D$3:$D$500)),block!$A$3:$A$500,"无匹配",0,1)</f>
        <v>60</v>
      </c>
      <c r="C2015" s="3" t="str">
        <f>B2015 &amp; "-" &amp; COUNTIF($B$2:B2015, B2015)</f>
        <v>60-70</v>
      </c>
      <c r="D2015" s="10">
        <f t="shared" si="1"/>
        <v>14195</v>
      </c>
      <c r="E2015" s="1" t="s">
        <v>5675</v>
      </c>
      <c r="F2015" s="3" t="s">
        <v>5676</v>
      </c>
      <c r="G2015" s="1" t="s">
        <v>1836</v>
      </c>
      <c r="H2015" s="1" t="s">
        <v>1812</v>
      </c>
      <c r="I2015" s="10" t="str">
        <f>IF(H2015="T44",1,IF(H2015="T44",3,IF(H2015="T60",6,IF(H2015="T60",10,IF(H2015="T92",14,IF(H2015="T92",18,IF(H2015="T60",22,"")))))))</f>
        <v/>
      </c>
      <c r="J2015" s="1" t="s">
        <v>1808</v>
      </c>
      <c r="K2015" s="10">
        <v>2</v>
      </c>
      <c r="L2015" s="10">
        <v>1</v>
      </c>
      <c r="O2015" s="6"/>
      <c r="P2015" s="42" t="s">
        <v>5560</v>
      </c>
      <c r="Q2015" s="42" t="s">
        <v>5561</v>
      </c>
      <c r="R2015" s="42"/>
      <c r="S2015" s="3"/>
    </row>
    <row r="2016" spans="1:19" ht="18.75" hidden="1" customHeight="1" x14ac:dyDescent="0.3">
      <c r="A2016" s="10">
        <v>2015</v>
      </c>
      <c r="B2016" s="10">
        <f>_xlfn.XLOOKUP(1,(VALUE(D2016)&gt;=VALUE(block!$C$3:$C$500))*(VALUE(D2016)&lt;VALUE(block!$C$3:$C$500)+VALUE(block!$D$3:$D$500)),block!$A$3:$A$500,"无匹配",0,1)</f>
        <v>60</v>
      </c>
      <c r="C2016" s="3" t="str">
        <f>B2016 &amp; "-" &amp; COUNTIF($B$2:B2016, B2016)</f>
        <v>60-71</v>
      </c>
      <c r="D2016" s="10">
        <f t="shared" si="1"/>
        <v>14197</v>
      </c>
      <c r="E2016" s="3" t="s">
        <v>5677</v>
      </c>
      <c r="F2016" s="1" t="s">
        <v>5678</v>
      </c>
      <c r="H2016" s="3" t="s">
        <v>1838</v>
      </c>
      <c r="I2016" s="10" t="str">
        <f>IF(H2016="T45",1,IF(H2016="T45",3,IF(H2016="T61",6,IF(H2016="T61",10,IF(H2016="T93",14,IF(H2016="T93",18,IF(H2016="T61",22,"")))))))</f>
        <v/>
      </c>
      <c r="J2016" s="1" t="s">
        <v>1808</v>
      </c>
      <c r="K2016" s="10">
        <v>2</v>
      </c>
      <c r="L2016" s="10">
        <v>1</v>
      </c>
      <c r="O2016" s="6"/>
      <c r="Q2016" s="42" t="s">
        <v>5561</v>
      </c>
      <c r="R2016" s="42"/>
      <c r="S2016" s="1"/>
    </row>
    <row r="2017" spans="1:19" ht="18.75" hidden="1" customHeight="1" x14ac:dyDescent="0.3">
      <c r="A2017" s="10">
        <v>2016</v>
      </c>
      <c r="B2017" s="10">
        <f>_xlfn.XLOOKUP(1,(VALUE(D2017)&gt;=VALUE(block!$C$3:$C$500))*(VALUE(D2017)&lt;VALUE(block!$C$3:$C$500)+VALUE(block!$D$3:$D$500)),block!$A$3:$A$500,"无匹配",0,1)</f>
        <v>60</v>
      </c>
      <c r="C2017" s="3" t="str">
        <f>B2017 &amp; "-" &amp; COUNTIF($B$2:B2017, B2017)</f>
        <v>60-72</v>
      </c>
      <c r="D2017" s="10">
        <f t="shared" si="1"/>
        <v>14199</v>
      </c>
      <c r="E2017" s="3" t="s">
        <v>5677</v>
      </c>
      <c r="F2017" s="1" t="s">
        <v>5679</v>
      </c>
      <c r="H2017" s="3" t="s">
        <v>5458</v>
      </c>
      <c r="I2017" s="10" t="str">
        <f>IF(H2017="T46",1,IF(H2017="T46",3,IF(H2017="T62",6,IF(H2017="T62",10,IF(H2017="T94",14,IF(H2017="T94",18,IF(H2017="T62",22,"")))))))</f>
        <v/>
      </c>
      <c r="J2017" s="1" t="s">
        <v>1808</v>
      </c>
      <c r="K2017" s="10">
        <v>1</v>
      </c>
      <c r="L2017" s="10">
        <v>1</v>
      </c>
      <c r="O2017" s="6"/>
      <c r="Q2017" s="42" t="s">
        <v>5561</v>
      </c>
      <c r="R2017" s="42"/>
      <c r="S2017" s="1"/>
    </row>
    <row r="2018" spans="1:19" ht="18.75" hidden="1" customHeight="1" x14ac:dyDescent="0.3">
      <c r="A2018" s="10">
        <v>2017</v>
      </c>
      <c r="B2018" s="10">
        <f>_xlfn.XLOOKUP(1,(VALUE(D2018)&gt;=VALUE(block!$C$3:$C$500))*(VALUE(D2018)&lt;VALUE(block!$C$3:$C$500)+VALUE(block!$D$3:$D$500)),block!$A$3:$A$500,"无匹配",0,1)</f>
        <v>61</v>
      </c>
      <c r="C2018" s="3" t="str">
        <f>B2018 &amp; "-" &amp; COUNTIF($B$2:B2018, B2018)</f>
        <v>61-1</v>
      </c>
      <c r="D2018" s="10">
        <f t="shared" si="1"/>
        <v>14200</v>
      </c>
      <c r="E2018" s="1" t="s">
        <v>5680</v>
      </c>
      <c r="F2018" s="1" t="s">
        <v>5681</v>
      </c>
      <c r="G2018" s="1" t="s">
        <v>1830</v>
      </c>
      <c r="H2018" s="1" t="s">
        <v>1812</v>
      </c>
      <c r="I2018" s="10" t="str">
        <f>IF(H2018="T47",1,IF(H2018="T47",3,IF(H2018="T63",6,IF(H2018="T63",10,IF(H2018="T95",14,IF(H2018="T95",18,IF(H2018="T63",22,"")))))))</f>
        <v/>
      </c>
      <c r="J2018" s="1" t="s">
        <v>1808</v>
      </c>
      <c r="K2018" s="10">
        <v>2</v>
      </c>
      <c r="L2018" s="10">
        <v>1</v>
      </c>
      <c r="O2018" s="6"/>
      <c r="P2018" s="42" t="s">
        <v>5560</v>
      </c>
      <c r="Q2018" s="42" t="s">
        <v>5682</v>
      </c>
      <c r="R2018" s="42"/>
      <c r="S2018" s="1"/>
    </row>
    <row r="2019" spans="1:19" ht="18.75" hidden="1" customHeight="1" x14ac:dyDescent="0.3">
      <c r="A2019" s="10">
        <v>2018</v>
      </c>
      <c r="B2019" s="10">
        <f>_xlfn.XLOOKUP(1,(VALUE(D2019)&gt;=VALUE(block!$C$3:$C$500))*(VALUE(D2019)&lt;VALUE(block!$C$3:$C$500)+VALUE(block!$D$3:$D$500)),block!$A$3:$A$500,"无匹配",0,1)</f>
        <v>61</v>
      </c>
      <c r="C2019" s="3" t="str">
        <f>B2019 &amp; "-" &amp; COUNTIF($B$2:B2019, B2019)</f>
        <v>61-2</v>
      </c>
      <c r="D2019" s="10">
        <f t="shared" si="1"/>
        <v>14202</v>
      </c>
      <c r="E2019" s="3" t="s">
        <v>5683</v>
      </c>
      <c r="F2019" s="1" t="s">
        <v>5684</v>
      </c>
      <c r="H2019" s="3" t="s">
        <v>1838</v>
      </c>
      <c r="I2019" s="10" t="str">
        <f>IF(H2019="T48",1,IF(H2019="T48",3,IF(H2019="T64",6,IF(H2019="T64",10,IF(H2019="T96",14,IF(H2019="T96",18,IF(H2019="T64",22,"")))))))</f>
        <v/>
      </c>
      <c r="J2019" s="1" t="s">
        <v>1808</v>
      </c>
      <c r="K2019" s="10">
        <v>2</v>
      </c>
      <c r="L2019" s="10">
        <v>1</v>
      </c>
      <c r="O2019" s="6"/>
      <c r="Q2019" s="42" t="s">
        <v>5682</v>
      </c>
      <c r="R2019" s="42"/>
      <c r="S2019" s="1"/>
    </row>
    <row r="2020" spans="1:19" ht="18.75" hidden="1" customHeight="1" x14ac:dyDescent="0.3">
      <c r="A2020" s="10">
        <v>2019</v>
      </c>
      <c r="B2020" s="10">
        <f>_xlfn.XLOOKUP(1,(VALUE(D2020)&gt;=VALUE(block!$C$3:$C$500))*(VALUE(D2020)&lt;VALUE(block!$C$3:$C$500)+VALUE(block!$D$3:$D$500)),block!$A$3:$A$500,"无匹配",0,1)</f>
        <v>61</v>
      </c>
      <c r="C2020" s="3" t="str">
        <f>B2020 &amp; "-" &amp; COUNTIF($B$2:B2020, B2020)</f>
        <v>61-3</v>
      </c>
      <c r="D2020" s="10">
        <f t="shared" si="1"/>
        <v>14204</v>
      </c>
      <c r="E2020" s="3" t="s">
        <v>5683</v>
      </c>
      <c r="F2020" s="1" t="s">
        <v>5685</v>
      </c>
      <c r="H2020" s="3" t="s">
        <v>5458</v>
      </c>
      <c r="I2020" s="10" t="str">
        <f>IF(H2020="T49",1,IF(H2020="T49",3,IF(H2020="T65",6,IF(H2020="T65",10,IF(H2020="T97",14,IF(H2020="T97",18,IF(H2020="T65",22,"")))))))</f>
        <v/>
      </c>
      <c r="J2020" s="1" t="s">
        <v>1808</v>
      </c>
      <c r="K2020" s="10">
        <v>1</v>
      </c>
      <c r="L2020" s="10">
        <v>1</v>
      </c>
      <c r="O2020" s="6"/>
      <c r="Q2020" s="42" t="s">
        <v>5682</v>
      </c>
      <c r="R2020" s="42"/>
      <c r="S2020" s="1"/>
    </row>
    <row r="2021" spans="1:19" ht="18.75" hidden="1" customHeight="1" x14ac:dyDescent="0.3">
      <c r="A2021" s="10">
        <v>2020</v>
      </c>
      <c r="B2021" s="10">
        <f>_xlfn.XLOOKUP(1,(VALUE(D2021)&gt;=VALUE(block!$C$3:$C$500))*(VALUE(D2021)&lt;VALUE(block!$C$3:$C$500)+VALUE(block!$D$3:$D$500)),block!$A$3:$A$500,"无匹配",0,1)</f>
        <v>61</v>
      </c>
      <c r="C2021" s="3" t="str">
        <f>B2021 &amp; "-" &amp; COUNTIF($B$2:B2021, B2021)</f>
        <v>61-4</v>
      </c>
      <c r="D2021" s="10">
        <f t="shared" si="1"/>
        <v>14205</v>
      </c>
      <c r="E2021" s="1" t="s">
        <v>5686</v>
      </c>
      <c r="F2021" s="1" t="s">
        <v>5687</v>
      </c>
      <c r="G2021" s="1" t="s">
        <v>1832</v>
      </c>
      <c r="H2021" s="1" t="s">
        <v>1812</v>
      </c>
      <c r="I2021" s="10" t="str">
        <f>IF(H2021="T50",1,IF(H2021="T50",3,IF(H2021="T66",6,IF(H2021="T66",10,IF(H2021="T98",14,IF(H2021="T98",18,IF(H2021="T66",22,"")))))))</f>
        <v/>
      </c>
      <c r="J2021" s="1" t="s">
        <v>1808</v>
      </c>
      <c r="K2021" s="10">
        <v>2</v>
      </c>
      <c r="L2021" s="10">
        <v>1</v>
      </c>
      <c r="O2021" s="6"/>
      <c r="P2021" s="42" t="s">
        <v>5560</v>
      </c>
      <c r="Q2021" s="42" t="s">
        <v>5682</v>
      </c>
      <c r="R2021" s="42"/>
      <c r="S2021" s="1"/>
    </row>
    <row r="2022" spans="1:19" ht="18.75" hidden="1" customHeight="1" x14ac:dyDescent="0.3">
      <c r="A2022" s="10">
        <v>2021</v>
      </c>
      <c r="B2022" s="10">
        <f>_xlfn.XLOOKUP(1,(VALUE(D2022)&gt;=VALUE(block!$C$3:$C$500))*(VALUE(D2022)&lt;VALUE(block!$C$3:$C$500)+VALUE(block!$D$3:$D$500)),block!$A$3:$A$500,"无匹配",0,1)</f>
        <v>61</v>
      </c>
      <c r="C2022" s="3" t="str">
        <f>B2022 &amp; "-" &amp; COUNTIF($B$2:B2022, B2022)</f>
        <v>61-5</v>
      </c>
      <c r="D2022" s="10">
        <f t="shared" si="1"/>
        <v>14207</v>
      </c>
      <c r="E2022" s="3" t="s">
        <v>5688</v>
      </c>
      <c r="F2022" s="1" t="s">
        <v>5689</v>
      </c>
      <c r="H2022" s="3" t="s">
        <v>1838</v>
      </c>
      <c r="I2022" s="10" t="str">
        <f>IF(H2022="T51",1,IF(H2022="T51",3,IF(H2022="T67",6,IF(H2022="T67",10,IF(H2022="T99",14,IF(H2022="T99",18,IF(H2022="T67",22,"")))))))</f>
        <v/>
      </c>
      <c r="J2022" s="1" t="s">
        <v>1808</v>
      </c>
      <c r="K2022" s="10">
        <v>2</v>
      </c>
      <c r="L2022" s="10">
        <v>1</v>
      </c>
      <c r="O2022" s="6"/>
      <c r="Q2022" s="42" t="s">
        <v>5682</v>
      </c>
      <c r="R2022" s="42"/>
      <c r="S2022" s="1"/>
    </row>
    <row r="2023" spans="1:19" ht="18.75" hidden="1" customHeight="1" x14ac:dyDescent="0.3">
      <c r="A2023" s="10">
        <v>2022</v>
      </c>
      <c r="B2023" s="10">
        <f>_xlfn.XLOOKUP(1,(VALUE(D2023)&gt;=VALUE(block!$C$3:$C$500))*(VALUE(D2023)&lt;VALUE(block!$C$3:$C$500)+VALUE(block!$D$3:$D$500)),block!$A$3:$A$500,"无匹配",0,1)</f>
        <v>61</v>
      </c>
      <c r="C2023" s="3" t="str">
        <f>B2023 &amp; "-" &amp; COUNTIF($B$2:B2023, B2023)</f>
        <v>61-6</v>
      </c>
      <c r="D2023" s="10">
        <f t="shared" si="1"/>
        <v>14209</v>
      </c>
      <c r="E2023" s="3" t="s">
        <v>5688</v>
      </c>
      <c r="F2023" s="1" t="s">
        <v>5690</v>
      </c>
      <c r="H2023" s="3" t="s">
        <v>5458</v>
      </c>
      <c r="I2023" s="10" t="str">
        <f>IF(H2023="T52",1,IF(H2023="T52",3,IF(H2023="T68",6,IF(H2023="T68",10,IF(H2023="T100",14,IF(H2023="T100",18,IF(H2023="T68",22,"")))))))</f>
        <v/>
      </c>
      <c r="J2023" s="1" t="s">
        <v>1808</v>
      </c>
      <c r="K2023" s="10">
        <v>1</v>
      </c>
      <c r="L2023" s="10">
        <v>1</v>
      </c>
      <c r="O2023" s="6"/>
      <c r="Q2023" s="42" t="s">
        <v>5682</v>
      </c>
      <c r="R2023" s="42"/>
      <c r="S2023" s="1"/>
    </row>
    <row r="2024" spans="1:19" ht="18.75" hidden="1" customHeight="1" x14ac:dyDescent="0.3">
      <c r="A2024" s="10">
        <v>2023</v>
      </c>
      <c r="B2024" s="10">
        <f>_xlfn.XLOOKUP(1,(VALUE(D2024)&gt;=VALUE(block!$C$3:$C$500))*(VALUE(D2024)&lt;VALUE(block!$C$3:$C$500)+VALUE(block!$D$3:$D$500)),block!$A$3:$A$500,"无匹配",0,1)</f>
        <v>61</v>
      </c>
      <c r="C2024" s="3" t="str">
        <f>B2024 &amp; "-" &amp; COUNTIF($B$2:B2024, B2024)</f>
        <v>61-7</v>
      </c>
      <c r="D2024" s="10">
        <f t="shared" si="1"/>
        <v>14210</v>
      </c>
      <c r="E2024" s="1" t="s">
        <v>5691</v>
      </c>
      <c r="F2024" s="1" t="s">
        <v>5692</v>
      </c>
      <c r="G2024" s="1" t="s">
        <v>1832</v>
      </c>
      <c r="H2024" s="1" t="s">
        <v>1812</v>
      </c>
      <c r="I2024" s="10" t="str">
        <f>IF(H2024="T53",1,IF(H2024="T53",3,IF(H2024="T69",6,IF(H2024="T69",10,IF(H2024="T101",14,IF(H2024="T101",18,IF(H2024="T69",22,"")))))))</f>
        <v/>
      </c>
      <c r="J2024" s="1" t="s">
        <v>1808</v>
      </c>
      <c r="K2024" s="10">
        <v>2</v>
      </c>
      <c r="L2024" s="10">
        <v>1</v>
      </c>
      <c r="O2024" s="6"/>
      <c r="P2024" s="42" t="s">
        <v>5560</v>
      </c>
      <c r="Q2024" s="42" t="s">
        <v>5682</v>
      </c>
      <c r="R2024" s="42"/>
      <c r="S2024" s="1"/>
    </row>
    <row r="2025" spans="1:19" ht="18.75" hidden="1" customHeight="1" x14ac:dyDescent="0.3">
      <c r="A2025" s="10">
        <v>2024</v>
      </c>
      <c r="B2025" s="10">
        <f>_xlfn.XLOOKUP(1,(VALUE(D2025)&gt;=VALUE(block!$C$3:$C$500))*(VALUE(D2025)&lt;VALUE(block!$C$3:$C$500)+VALUE(block!$D$3:$D$500)),block!$A$3:$A$500,"无匹配",0,1)</f>
        <v>61</v>
      </c>
      <c r="C2025" s="3" t="str">
        <f>B2025 &amp; "-" &amp; COUNTIF($B$2:B2025, B2025)</f>
        <v>61-8</v>
      </c>
      <c r="D2025" s="10">
        <f t="shared" si="1"/>
        <v>14212</v>
      </c>
      <c r="E2025" s="3" t="s">
        <v>5693</v>
      </c>
      <c r="F2025" s="1" t="s">
        <v>5694</v>
      </c>
      <c r="H2025" s="3" t="s">
        <v>1838</v>
      </c>
      <c r="I2025" s="10" t="str">
        <f>IF(H2025="T54",1,IF(H2025="T54",3,IF(H2025="T70",6,IF(H2025="T70",10,IF(H2025="T102",14,IF(H2025="T102",18,IF(H2025="T70",22,"")))))))</f>
        <v/>
      </c>
      <c r="J2025" s="1" t="s">
        <v>1808</v>
      </c>
      <c r="K2025" s="10">
        <v>2</v>
      </c>
      <c r="L2025" s="10">
        <v>1</v>
      </c>
      <c r="O2025" s="6"/>
      <c r="Q2025" s="42" t="s">
        <v>5682</v>
      </c>
      <c r="R2025" s="42"/>
      <c r="S2025" s="1"/>
    </row>
    <row r="2026" spans="1:19" ht="18.75" hidden="1" customHeight="1" x14ac:dyDescent="0.3">
      <c r="A2026" s="10">
        <v>2025</v>
      </c>
      <c r="B2026" s="10">
        <f>_xlfn.XLOOKUP(1,(VALUE(D2026)&gt;=VALUE(block!$C$3:$C$500))*(VALUE(D2026)&lt;VALUE(block!$C$3:$C$500)+VALUE(block!$D$3:$D$500)),block!$A$3:$A$500,"无匹配",0,1)</f>
        <v>61</v>
      </c>
      <c r="C2026" s="3" t="str">
        <f>B2026 &amp; "-" &amp; COUNTIF($B$2:B2026, B2026)</f>
        <v>61-9</v>
      </c>
      <c r="D2026" s="10">
        <f t="shared" si="1"/>
        <v>14214</v>
      </c>
      <c r="E2026" s="3" t="s">
        <v>5693</v>
      </c>
      <c r="F2026" s="1" t="s">
        <v>5695</v>
      </c>
      <c r="H2026" s="3" t="s">
        <v>5458</v>
      </c>
      <c r="I2026" s="10" t="str">
        <f>IF(H2026="T55",1,IF(H2026="T55",3,IF(H2026="T71",6,IF(H2026="T71",10,IF(H2026="T103",14,IF(H2026="T103",18,IF(H2026="T71",22,"")))))))</f>
        <v/>
      </c>
      <c r="J2026" s="1" t="s">
        <v>1808</v>
      </c>
      <c r="K2026" s="10">
        <v>1</v>
      </c>
      <c r="L2026" s="10">
        <v>1</v>
      </c>
      <c r="O2026" s="6"/>
      <c r="Q2026" s="42" t="s">
        <v>5682</v>
      </c>
      <c r="R2026" s="42"/>
      <c r="S2026" s="1"/>
    </row>
    <row r="2027" spans="1:19" ht="18.75" hidden="1" customHeight="1" x14ac:dyDescent="0.3">
      <c r="A2027" s="10">
        <v>2026</v>
      </c>
      <c r="B2027" s="10">
        <f>_xlfn.XLOOKUP(1,(VALUE(D2027)&gt;=VALUE(block!$C$3:$C$500))*(VALUE(D2027)&lt;VALUE(block!$C$3:$C$500)+VALUE(block!$D$3:$D$500)),block!$A$3:$A$500,"无匹配",0,1)</f>
        <v>61</v>
      </c>
      <c r="C2027" s="3" t="str">
        <f>B2027 &amp; "-" &amp; COUNTIF($B$2:B2027, B2027)</f>
        <v>61-10</v>
      </c>
      <c r="D2027" s="10">
        <f t="shared" si="1"/>
        <v>14215</v>
      </c>
      <c r="E2027" s="1" t="s">
        <v>5696</v>
      </c>
      <c r="F2027" s="1" t="s">
        <v>5697</v>
      </c>
      <c r="G2027" s="1" t="s">
        <v>1834</v>
      </c>
      <c r="H2027" s="1" t="s">
        <v>1812</v>
      </c>
      <c r="I2027" s="10" t="str">
        <f>IF(H2027="T56",1,IF(H2027="T56",3,IF(H2027="T72",6,IF(H2027="T72",10,IF(H2027="T104",14,IF(H2027="T104",18,IF(H2027="T72",22,"")))))))</f>
        <v/>
      </c>
      <c r="J2027" s="1" t="s">
        <v>1808</v>
      </c>
      <c r="K2027" s="10">
        <v>2</v>
      </c>
      <c r="L2027" s="10">
        <v>1</v>
      </c>
      <c r="O2027" s="6"/>
      <c r="P2027" s="42" t="s">
        <v>5560</v>
      </c>
      <c r="Q2027" s="42" t="s">
        <v>5682</v>
      </c>
      <c r="R2027" s="42"/>
      <c r="S2027" s="1"/>
    </row>
    <row r="2028" spans="1:19" ht="18.75" hidden="1" customHeight="1" x14ac:dyDescent="0.3">
      <c r="A2028" s="10">
        <v>2027</v>
      </c>
      <c r="B2028" s="10">
        <f>_xlfn.XLOOKUP(1,(VALUE(D2028)&gt;=VALUE(block!$C$3:$C$500))*(VALUE(D2028)&lt;VALUE(block!$C$3:$C$500)+VALUE(block!$D$3:$D$500)),block!$A$3:$A$500,"无匹配",0,1)</f>
        <v>61</v>
      </c>
      <c r="C2028" s="3" t="str">
        <f>B2028 &amp; "-" &amp; COUNTIF($B$2:B2028, B2028)</f>
        <v>61-11</v>
      </c>
      <c r="D2028" s="10">
        <f t="shared" si="1"/>
        <v>14217</v>
      </c>
      <c r="E2028" s="3" t="s">
        <v>5698</v>
      </c>
      <c r="F2028" s="1" t="s">
        <v>5699</v>
      </c>
      <c r="H2028" s="3" t="s">
        <v>1838</v>
      </c>
      <c r="I2028" s="10" t="str">
        <f>IF(H2028="T57",1,IF(H2028="T57",3,IF(H2028="T73",6,IF(H2028="T73",10,IF(H2028="T105",14,IF(H2028="T105",18,IF(H2028="T73",22,"")))))))</f>
        <v/>
      </c>
      <c r="J2028" s="1" t="s">
        <v>1808</v>
      </c>
      <c r="K2028" s="10">
        <v>2</v>
      </c>
      <c r="L2028" s="10">
        <v>1</v>
      </c>
      <c r="O2028" s="6"/>
      <c r="Q2028" s="42" t="s">
        <v>5682</v>
      </c>
      <c r="R2028" s="42"/>
      <c r="S2028" s="1"/>
    </row>
    <row r="2029" spans="1:19" ht="18.75" hidden="1" customHeight="1" x14ac:dyDescent="0.3">
      <c r="A2029" s="10">
        <v>2028</v>
      </c>
      <c r="B2029" s="10">
        <f>_xlfn.XLOOKUP(1,(VALUE(D2029)&gt;=VALUE(block!$C$3:$C$500))*(VALUE(D2029)&lt;VALUE(block!$C$3:$C$500)+VALUE(block!$D$3:$D$500)),block!$A$3:$A$500,"无匹配",0,1)</f>
        <v>61</v>
      </c>
      <c r="C2029" s="3" t="str">
        <f>B2029 &amp; "-" &amp; COUNTIF($B$2:B2029, B2029)</f>
        <v>61-12</v>
      </c>
      <c r="D2029" s="10">
        <f t="shared" si="1"/>
        <v>14219</v>
      </c>
      <c r="E2029" s="3" t="s">
        <v>5698</v>
      </c>
      <c r="F2029" s="1" t="s">
        <v>5700</v>
      </c>
      <c r="H2029" s="3" t="s">
        <v>5458</v>
      </c>
      <c r="I2029" s="10" t="str">
        <f>IF(H2029="T58",1,IF(H2029="T58",3,IF(H2029="T74",6,IF(H2029="T74",10,IF(H2029="T106",14,IF(H2029="T106",18,IF(H2029="T74",22,"")))))))</f>
        <v/>
      </c>
      <c r="J2029" s="1" t="s">
        <v>1808</v>
      </c>
      <c r="K2029" s="10">
        <v>1</v>
      </c>
      <c r="L2029" s="10">
        <v>1</v>
      </c>
      <c r="O2029" s="6"/>
      <c r="Q2029" s="42" t="s">
        <v>5682</v>
      </c>
      <c r="R2029" s="42"/>
      <c r="S2029" s="1"/>
    </row>
    <row r="2030" spans="1:19" ht="18.75" hidden="1" customHeight="1" x14ac:dyDescent="0.3">
      <c r="A2030" s="10">
        <v>2029</v>
      </c>
      <c r="B2030" s="10">
        <f>_xlfn.XLOOKUP(1,(VALUE(D2030)&gt;=VALUE(block!$C$3:$C$500))*(VALUE(D2030)&lt;VALUE(block!$C$3:$C$500)+VALUE(block!$D$3:$D$500)),block!$A$3:$A$500,"无匹配",0,1)</f>
        <v>61</v>
      </c>
      <c r="C2030" s="3" t="str">
        <f>B2030 &amp; "-" &amp; COUNTIF($B$2:B2030, B2030)</f>
        <v>61-13</v>
      </c>
      <c r="D2030" s="10">
        <f t="shared" si="1"/>
        <v>14220</v>
      </c>
      <c r="E2030" s="1" t="s">
        <v>5701</v>
      </c>
      <c r="F2030" s="1" t="s">
        <v>5702</v>
      </c>
      <c r="G2030" s="1" t="s">
        <v>1834</v>
      </c>
      <c r="H2030" s="1" t="s">
        <v>1812</v>
      </c>
      <c r="I2030" s="10" t="str">
        <f>IF(H2030="T59",1,IF(H2030="T59",3,IF(H2030="T75",6,IF(H2030="T75",10,IF(H2030="T107",14,IF(H2030="T107",18,IF(H2030="T75",22,"")))))))</f>
        <v/>
      </c>
      <c r="J2030" s="1" t="s">
        <v>1808</v>
      </c>
      <c r="K2030" s="10">
        <v>2</v>
      </c>
      <c r="L2030" s="10">
        <v>1</v>
      </c>
      <c r="O2030" s="6"/>
      <c r="P2030" s="42" t="s">
        <v>5560</v>
      </c>
      <c r="Q2030" s="42" t="s">
        <v>5682</v>
      </c>
      <c r="R2030" s="42"/>
      <c r="S2030" s="1"/>
    </row>
    <row r="2031" spans="1:19" ht="18.75" hidden="1" customHeight="1" x14ac:dyDescent="0.3">
      <c r="A2031" s="10">
        <v>2030</v>
      </c>
      <c r="B2031" s="10">
        <f>_xlfn.XLOOKUP(1,(VALUE(D2031)&gt;=VALUE(block!$C$3:$C$500))*(VALUE(D2031)&lt;VALUE(block!$C$3:$C$500)+VALUE(block!$D$3:$D$500)),block!$A$3:$A$500,"无匹配",0,1)</f>
        <v>61</v>
      </c>
      <c r="C2031" s="3" t="str">
        <f>B2031 &amp; "-" &amp; COUNTIF($B$2:B2031, B2031)</f>
        <v>61-14</v>
      </c>
      <c r="D2031" s="10">
        <f t="shared" si="1"/>
        <v>14222</v>
      </c>
      <c r="E2031" s="3" t="s">
        <v>5703</v>
      </c>
      <c r="F2031" s="1" t="s">
        <v>5704</v>
      </c>
      <c r="H2031" s="3" t="s">
        <v>1838</v>
      </c>
      <c r="I2031" s="10" t="str">
        <f>IF(H2031="T60",1,IF(H2031="T60",3,IF(H2031="T76",6,IF(H2031="T76",10,IF(H2031="T108",14,IF(H2031="T108",18,IF(H2031="T76",22,"")))))))</f>
        <v/>
      </c>
      <c r="J2031" s="1" t="s">
        <v>1808</v>
      </c>
      <c r="K2031" s="10">
        <v>2</v>
      </c>
      <c r="L2031" s="10">
        <v>1</v>
      </c>
      <c r="O2031" s="6"/>
      <c r="Q2031" s="42" t="s">
        <v>5682</v>
      </c>
      <c r="R2031" s="42"/>
      <c r="S2031" s="1"/>
    </row>
    <row r="2032" spans="1:19" ht="18.75" hidden="1" customHeight="1" x14ac:dyDescent="0.3">
      <c r="A2032" s="10">
        <v>2031</v>
      </c>
      <c r="B2032" s="10">
        <f>_xlfn.XLOOKUP(1,(VALUE(D2032)&gt;=VALUE(block!$C$3:$C$500))*(VALUE(D2032)&lt;VALUE(block!$C$3:$C$500)+VALUE(block!$D$3:$D$500)),block!$A$3:$A$500,"无匹配",0,1)</f>
        <v>61</v>
      </c>
      <c r="C2032" s="3" t="str">
        <f>B2032 &amp; "-" &amp; COUNTIF($B$2:B2032, B2032)</f>
        <v>61-15</v>
      </c>
      <c r="D2032" s="10">
        <f t="shared" si="1"/>
        <v>14224</v>
      </c>
      <c r="E2032" s="3" t="s">
        <v>5703</v>
      </c>
      <c r="F2032" s="1" t="s">
        <v>5705</v>
      </c>
      <c r="H2032" s="3" t="s">
        <v>5458</v>
      </c>
      <c r="I2032" s="10" t="str">
        <f>IF(H2032="T61",1,IF(H2032="T61",3,IF(H2032="T77",6,IF(H2032="T77",10,IF(H2032="T109",14,IF(H2032="T109",18,IF(H2032="T77",22,"")))))))</f>
        <v/>
      </c>
      <c r="J2032" s="1" t="s">
        <v>1808</v>
      </c>
      <c r="K2032" s="10">
        <v>1</v>
      </c>
      <c r="L2032" s="10">
        <v>1</v>
      </c>
      <c r="O2032" s="6"/>
      <c r="Q2032" s="42" t="s">
        <v>5682</v>
      </c>
      <c r="R2032" s="42"/>
      <c r="S2032" s="1"/>
    </row>
    <row r="2033" spans="1:19" ht="18.75" hidden="1" customHeight="1" x14ac:dyDescent="0.3">
      <c r="A2033" s="10">
        <v>2032</v>
      </c>
      <c r="B2033" s="10">
        <f>_xlfn.XLOOKUP(1,(VALUE(D2033)&gt;=VALUE(block!$C$3:$C$500))*(VALUE(D2033)&lt;VALUE(block!$C$3:$C$500)+VALUE(block!$D$3:$D$500)),block!$A$3:$A$500,"无匹配",0,1)</f>
        <v>61</v>
      </c>
      <c r="C2033" s="3" t="str">
        <f>B2033 &amp; "-" &amp; COUNTIF($B$2:B2033, B2033)</f>
        <v>61-16</v>
      </c>
      <c r="D2033" s="10">
        <f t="shared" si="1"/>
        <v>14225</v>
      </c>
      <c r="E2033" s="1" t="s">
        <v>5706</v>
      </c>
      <c r="F2033" s="1" t="s">
        <v>5707</v>
      </c>
      <c r="G2033" s="1" t="s">
        <v>1836</v>
      </c>
      <c r="H2033" s="1" t="s">
        <v>1812</v>
      </c>
      <c r="I2033" s="10" t="str">
        <f>IF(H2033="T62",1,IF(H2033="T62",3,IF(H2033="T78",6,IF(H2033="T78",10,IF(H2033="T110",14,IF(H2033="T110",18,IF(H2033="T78",22,"")))))))</f>
        <v/>
      </c>
      <c r="J2033" s="1" t="s">
        <v>1808</v>
      </c>
      <c r="K2033" s="10">
        <v>2</v>
      </c>
      <c r="L2033" s="10">
        <v>1</v>
      </c>
      <c r="O2033" s="6"/>
      <c r="P2033" s="42" t="s">
        <v>5560</v>
      </c>
      <c r="Q2033" s="42" t="s">
        <v>5682</v>
      </c>
      <c r="R2033" s="42"/>
      <c r="S2033" s="1"/>
    </row>
    <row r="2034" spans="1:19" ht="18.75" hidden="1" customHeight="1" x14ac:dyDescent="0.3">
      <c r="A2034" s="10">
        <v>2033</v>
      </c>
      <c r="B2034" s="10">
        <f>_xlfn.XLOOKUP(1,(VALUE(D2034)&gt;=VALUE(block!$C$3:$C$500))*(VALUE(D2034)&lt;VALUE(block!$C$3:$C$500)+VALUE(block!$D$3:$D$500)),block!$A$3:$A$500,"无匹配",0,1)</f>
        <v>61</v>
      </c>
      <c r="C2034" s="3" t="str">
        <f>B2034 &amp; "-" &amp; COUNTIF($B$2:B2034, B2034)</f>
        <v>61-17</v>
      </c>
      <c r="D2034" s="10">
        <f t="shared" si="1"/>
        <v>14227</v>
      </c>
      <c r="E2034" s="3" t="s">
        <v>5708</v>
      </c>
      <c r="F2034" s="1" t="s">
        <v>5709</v>
      </c>
      <c r="H2034" s="3" t="s">
        <v>1838</v>
      </c>
      <c r="I2034" s="10" t="str">
        <f>IF(H2034="T63",1,IF(H2034="T63",3,IF(H2034="T79",6,IF(H2034="T79",10,IF(H2034="T111",14,IF(H2034="T111",18,IF(H2034="T79",22,"")))))))</f>
        <v/>
      </c>
      <c r="J2034" s="1" t="s">
        <v>1808</v>
      </c>
      <c r="K2034" s="10">
        <v>2</v>
      </c>
      <c r="L2034" s="10">
        <v>1</v>
      </c>
      <c r="O2034" s="6"/>
      <c r="Q2034" s="42" t="s">
        <v>5682</v>
      </c>
      <c r="R2034" s="42"/>
      <c r="S2034" s="1"/>
    </row>
    <row r="2035" spans="1:19" ht="18.75" hidden="1" customHeight="1" x14ac:dyDescent="0.3">
      <c r="A2035" s="10">
        <v>2034</v>
      </c>
      <c r="B2035" s="10">
        <f>_xlfn.XLOOKUP(1,(VALUE(D2035)&gt;=VALUE(block!$C$3:$C$500))*(VALUE(D2035)&lt;VALUE(block!$C$3:$C$500)+VALUE(block!$D$3:$D$500)),block!$A$3:$A$500,"无匹配",0,1)</f>
        <v>61</v>
      </c>
      <c r="C2035" s="3" t="str">
        <f>B2035 &amp; "-" &amp; COUNTIF($B$2:B2035, B2035)</f>
        <v>61-18</v>
      </c>
      <c r="D2035" s="10">
        <f t="shared" si="1"/>
        <v>14229</v>
      </c>
      <c r="E2035" s="3" t="s">
        <v>5708</v>
      </c>
      <c r="F2035" s="1" t="s">
        <v>5710</v>
      </c>
      <c r="H2035" s="3" t="s">
        <v>5458</v>
      </c>
      <c r="I2035" s="10" t="str">
        <f>IF(H2035="T64",1,IF(H2035="T64",3,IF(H2035="T80",6,IF(H2035="T80",10,IF(H2035="T112",14,IF(H2035="T112",18,IF(H2035="T80",22,"")))))))</f>
        <v/>
      </c>
      <c r="J2035" s="1" t="s">
        <v>1808</v>
      </c>
      <c r="K2035" s="10">
        <v>1</v>
      </c>
      <c r="L2035" s="10">
        <v>1</v>
      </c>
      <c r="O2035" s="6"/>
      <c r="Q2035" s="42" t="s">
        <v>5682</v>
      </c>
      <c r="R2035" s="42"/>
      <c r="S2035" s="1"/>
    </row>
    <row r="2036" spans="1:19" ht="18.75" hidden="1" customHeight="1" x14ac:dyDescent="0.3">
      <c r="A2036" s="10">
        <v>2035</v>
      </c>
      <c r="B2036" s="10">
        <f>_xlfn.XLOOKUP(1,(VALUE(D2036)&gt;=VALUE(block!$C$3:$C$500))*(VALUE(D2036)&lt;VALUE(block!$C$3:$C$500)+VALUE(block!$D$3:$D$500)),block!$A$3:$A$500,"无匹配",0,1)</f>
        <v>61</v>
      </c>
      <c r="C2036" s="3" t="str">
        <f>B2036 &amp; "-" &amp; COUNTIF($B$2:B2036, B2036)</f>
        <v>61-19</v>
      </c>
      <c r="D2036" s="10">
        <f t="shared" si="1"/>
        <v>14230</v>
      </c>
      <c r="E2036" s="3" t="s">
        <v>5711</v>
      </c>
      <c r="F2036" s="1" t="s">
        <v>5712</v>
      </c>
      <c r="G2036" s="1" t="s">
        <v>1830</v>
      </c>
      <c r="H2036" s="1" t="s">
        <v>1812</v>
      </c>
      <c r="I2036" s="10" t="str">
        <f>IF(H2036="T65",1,IF(H2036="T65",3,IF(H2036="T81",6,IF(H2036="T81",10,IF(H2036="T113",14,IF(H2036="T113",18,IF(H2036="T81",22,"")))))))</f>
        <v/>
      </c>
      <c r="J2036" s="1" t="s">
        <v>1808</v>
      </c>
      <c r="K2036" s="10">
        <v>2</v>
      </c>
      <c r="L2036" s="10">
        <v>1</v>
      </c>
      <c r="O2036" s="6"/>
      <c r="P2036" s="42" t="s">
        <v>5560</v>
      </c>
      <c r="Q2036" s="42" t="s">
        <v>5682</v>
      </c>
      <c r="R2036" s="42"/>
      <c r="S2036" s="1"/>
    </row>
    <row r="2037" spans="1:19" ht="18.75" hidden="1" customHeight="1" x14ac:dyDescent="0.3">
      <c r="A2037" s="10">
        <v>2036</v>
      </c>
      <c r="B2037" s="10">
        <f>_xlfn.XLOOKUP(1,(VALUE(D2037)&gt;=VALUE(block!$C$3:$C$500))*(VALUE(D2037)&lt;VALUE(block!$C$3:$C$500)+VALUE(block!$D$3:$D$500)),block!$A$3:$A$500,"无匹配",0,1)</f>
        <v>61</v>
      </c>
      <c r="C2037" s="3" t="str">
        <f>B2037 &amp; "-" &amp; COUNTIF($B$2:B2037, B2037)</f>
        <v>61-20</v>
      </c>
      <c r="D2037" s="10">
        <f t="shared" si="1"/>
        <v>14232</v>
      </c>
      <c r="E2037" s="3" t="s">
        <v>5713</v>
      </c>
      <c r="F2037" s="1" t="s">
        <v>5714</v>
      </c>
      <c r="H2037" s="3" t="s">
        <v>1838</v>
      </c>
      <c r="I2037" s="10" t="str">
        <f>IF(H2037="T66",1,IF(H2037="T66",3,IF(H2037="T82",6,IF(H2037="T82",10,IF(H2037="T114",14,IF(H2037="T114",18,IF(H2037="T82",22,"")))))))</f>
        <v/>
      </c>
      <c r="J2037" s="1" t="s">
        <v>1808</v>
      </c>
      <c r="K2037" s="10">
        <v>2</v>
      </c>
      <c r="L2037" s="10">
        <v>1</v>
      </c>
      <c r="O2037" s="6"/>
      <c r="Q2037" s="42" t="s">
        <v>5682</v>
      </c>
      <c r="R2037" s="42"/>
      <c r="S2037" s="1"/>
    </row>
    <row r="2038" spans="1:19" ht="18.75" hidden="1" customHeight="1" x14ac:dyDescent="0.3">
      <c r="A2038" s="10">
        <v>2037</v>
      </c>
      <c r="B2038" s="10">
        <f>_xlfn.XLOOKUP(1,(VALUE(D2038)&gt;=VALUE(block!$C$3:$C$500))*(VALUE(D2038)&lt;VALUE(block!$C$3:$C$500)+VALUE(block!$D$3:$D$500)),block!$A$3:$A$500,"无匹配",0,1)</f>
        <v>61</v>
      </c>
      <c r="C2038" s="3" t="str">
        <f>B2038 &amp; "-" &amp; COUNTIF($B$2:B2038, B2038)</f>
        <v>61-21</v>
      </c>
      <c r="D2038" s="10">
        <f t="shared" si="1"/>
        <v>14234</v>
      </c>
      <c r="E2038" s="3" t="s">
        <v>5713</v>
      </c>
      <c r="F2038" s="1" t="s">
        <v>5715</v>
      </c>
      <c r="H2038" s="3" t="s">
        <v>5458</v>
      </c>
      <c r="I2038" s="10" t="str">
        <f>IF(H2038="T67",1,IF(H2038="T67",3,IF(H2038="T83",6,IF(H2038="T83",10,IF(H2038="T115",14,IF(H2038="T115",18,IF(H2038="T83",22,"")))))))</f>
        <v/>
      </c>
      <c r="J2038" s="1" t="s">
        <v>1808</v>
      </c>
      <c r="K2038" s="10">
        <v>1</v>
      </c>
      <c r="L2038" s="10">
        <v>1</v>
      </c>
      <c r="O2038" s="6"/>
      <c r="Q2038" s="42" t="s">
        <v>5682</v>
      </c>
      <c r="R2038" s="42"/>
      <c r="S2038" s="1"/>
    </row>
    <row r="2039" spans="1:19" ht="18.75" hidden="1" customHeight="1" x14ac:dyDescent="0.3">
      <c r="A2039" s="10">
        <v>2038</v>
      </c>
      <c r="B2039" s="10">
        <f>_xlfn.XLOOKUP(1,(VALUE(D2039)&gt;=VALUE(block!$C$3:$C$500))*(VALUE(D2039)&lt;VALUE(block!$C$3:$C$500)+VALUE(block!$D$3:$D$500)),block!$A$3:$A$500,"无匹配",0,1)</f>
        <v>61</v>
      </c>
      <c r="C2039" s="3" t="str">
        <f>B2039 &amp; "-" &amp; COUNTIF($B$2:B2039, B2039)</f>
        <v>61-22</v>
      </c>
      <c r="D2039" s="10">
        <f t="shared" si="1"/>
        <v>14235</v>
      </c>
      <c r="E2039" s="1" t="s">
        <v>5716</v>
      </c>
      <c r="F2039" s="1" t="s">
        <v>5717</v>
      </c>
      <c r="G2039" s="1" t="s">
        <v>1832</v>
      </c>
      <c r="H2039" s="1" t="s">
        <v>1812</v>
      </c>
      <c r="I2039" s="10" t="str">
        <f>IF(H2039="T68",1,IF(H2039="T68",3,IF(H2039="T84",6,IF(H2039="T84",10,IF(H2039="T116",14,IF(H2039="T116",18,IF(H2039="T84",22,"")))))))</f>
        <v/>
      </c>
      <c r="J2039" s="1" t="s">
        <v>1808</v>
      </c>
      <c r="K2039" s="10">
        <v>2</v>
      </c>
      <c r="L2039" s="10">
        <v>1</v>
      </c>
      <c r="O2039" s="6"/>
      <c r="P2039" s="42" t="s">
        <v>5560</v>
      </c>
      <c r="Q2039" s="42" t="s">
        <v>5682</v>
      </c>
      <c r="R2039" s="42"/>
      <c r="S2039" s="1"/>
    </row>
    <row r="2040" spans="1:19" ht="18.75" hidden="1" customHeight="1" x14ac:dyDescent="0.3">
      <c r="A2040" s="10">
        <v>2039</v>
      </c>
      <c r="B2040" s="10">
        <f>_xlfn.XLOOKUP(1,(VALUE(D2040)&gt;=VALUE(block!$C$3:$C$500))*(VALUE(D2040)&lt;VALUE(block!$C$3:$C$500)+VALUE(block!$D$3:$D$500)),block!$A$3:$A$500,"无匹配",0,1)</f>
        <v>61</v>
      </c>
      <c r="C2040" s="3" t="str">
        <f>B2040 &amp; "-" &amp; COUNTIF($B$2:B2040, B2040)</f>
        <v>61-23</v>
      </c>
      <c r="D2040" s="10">
        <f t="shared" si="1"/>
        <v>14237</v>
      </c>
      <c r="E2040" s="3" t="s">
        <v>5718</v>
      </c>
      <c r="F2040" s="1" t="s">
        <v>5719</v>
      </c>
      <c r="H2040" s="3" t="s">
        <v>1838</v>
      </c>
      <c r="I2040" s="10" t="str">
        <f>IF(H2040="T69",1,IF(H2040="T69",3,IF(H2040="T85",6,IF(H2040="T85",10,IF(H2040="T117",14,IF(H2040="T117",18,IF(H2040="T85",22,"")))))))</f>
        <v/>
      </c>
      <c r="J2040" s="1" t="s">
        <v>1808</v>
      </c>
      <c r="K2040" s="10">
        <v>2</v>
      </c>
      <c r="L2040" s="10">
        <v>1</v>
      </c>
      <c r="O2040" s="6"/>
      <c r="Q2040" s="42" t="s">
        <v>5682</v>
      </c>
      <c r="R2040" s="42"/>
      <c r="S2040" s="1"/>
    </row>
    <row r="2041" spans="1:19" ht="18.75" hidden="1" customHeight="1" x14ac:dyDescent="0.3">
      <c r="A2041" s="10">
        <v>2040</v>
      </c>
      <c r="B2041" s="10">
        <f>_xlfn.XLOOKUP(1,(VALUE(D2041)&gt;=VALUE(block!$C$3:$C$500))*(VALUE(D2041)&lt;VALUE(block!$C$3:$C$500)+VALUE(block!$D$3:$D$500)),block!$A$3:$A$500,"无匹配",0,1)</f>
        <v>61</v>
      </c>
      <c r="C2041" s="3" t="str">
        <f>B2041 &amp; "-" &amp; COUNTIF($B$2:B2041, B2041)</f>
        <v>61-24</v>
      </c>
      <c r="D2041" s="10">
        <f t="shared" si="1"/>
        <v>14239</v>
      </c>
      <c r="E2041" s="3" t="s">
        <v>5718</v>
      </c>
      <c r="F2041" s="1" t="s">
        <v>5720</v>
      </c>
      <c r="H2041" s="3" t="s">
        <v>5458</v>
      </c>
      <c r="I2041" s="10" t="str">
        <f>IF(H2041="T70",1,IF(H2041="T70",3,IF(H2041="T86",6,IF(H2041="T86",10,IF(H2041="T118",14,IF(H2041="T118",18,IF(H2041="T86",22,"")))))))</f>
        <v/>
      </c>
      <c r="J2041" s="1" t="s">
        <v>1808</v>
      </c>
      <c r="K2041" s="10">
        <v>1</v>
      </c>
      <c r="L2041" s="10">
        <v>1</v>
      </c>
      <c r="O2041" s="6"/>
      <c r="Q2041" s="42" t="s">
        <v>5682</v>
      </c>
      <c r="R2041" s="42"/>
      <c r="S2041" s="1"/>
    </row>
    <row r="2042" spans="1:19" ht="18.75" hidden="1" customHeight="1" x14ac:dyDescent="0.3">
      <c r="A2042" s="10">
        <v>2041</v>
      </c>
      <c r="B2042" s="10">
        <f>_xlfn.XLOOKUP(1,(VALUE(D2042)&gt;=VALUE(block!$C$3:$C$500))*(VALUE(D2042)&lt;VALUE(block!$C$3:$C$500)+VALUE(block!$D$3:$D$500)),block!$A$3:$A$500,"无匹配",0,1)</f>
        <v>61</v>
      </c>
      <c r="C2042" s="3" t="str">
        <f>B2042 &amp; "-" &amp; COUNTIF($B$2:B2042, B2042)</f>
        <v>61-25</v>
      </c>
      <c r="D2042" s="10">
        <f t="shared" si="1"/>
        <v>14240</v>
      </c>
      <c r="E2042" s="1" t="s">
        <v>5721</v>
      </c>
      <c r="F2042" s="1" t="s">
        <v>5722</v>
      </c>
      <c r="G2042" s="1" t="s">
        <v>1832</v>
      </c>
      <c r="H2042" s="1" t="s">
        <v>1812</v>
      </c>
      <c r="I2042" s="10" t="str">
        <f>IF(H2042="T71",1,IF(H2042="T71",3,IF(H2042="T87",6,IF(H2042="T87",10,IF(H2042="T119",14,IF(H2042="T119",18,IF(H2042="T87",22,"")))))))</f>
        <v/>
      </c>
      <c r="J2042" s="1" t="s">
        <v>1808</v>
      </c>
      <c r="K2042" s="10">
        <v>2</v>
      </c>
      <c r="L2042" s="10">
        <v>1</v>
      </c>
      <c r="O2042" s="6"/>
      <c r="P2042" s="42" t="s">
        <v>5560</v>
      </c>
      <c r="Q2042" s="42" t="s">
        <v>5682</v>
      </c>
      <c r="R2042" s="42"/>
      <c r="S2042" s="1"/>
    </row>
    <row r="2043" spans="1:19" ht="18.75" hidden="1" customHeight="1" x14ac:dyDescent="0.3">
      <c r="A2043" s="10">
        <v>2042</v>
      </c>
      <c r="B2043" s="10">
        <f>_xlfn.XLOOKUP(1,(VALUE(D2043)&gt;=VALUE(block!$C$3:$C$500))*(VALUE(D2043)&lt;VALUE(block!$C$3:$C$500)+VALUE(block!$D$3:$D$500)),block!$A$3:$A$500,"无匹配",0,1)</f>
        <v>61</v>
      </c>
      <c r="C2043" s="3" t="str">
        <f>B2043 &amp; "-" &amp; COUNTIF($B$2:B2043, B2043)</f>
        <v>61-26</v>
      </c>
      <c r="D2043" s="10">
        <f t="shared" si="1"/>
        <v>14242</v>
      </c>
      <c r="E2043" s="3" t="s">
        <v>5723</v>
      </c>
      <c r="F2043" s="1" t="s">
        <v>5724</v>
      </c>
      <c r="H2043" s="3" t="s">
        <v>1838</v>
      </c>
      <c r="I2043" s="10" t="str">
        <f>IF(H2043="T72",1,IF(H2043="T72",3,IF(H2043="T88",6,IF(H2043="T88",10,IF(H2043="T120",14,IF(H2043="T120",18,IF(H2043="T88",22,"")))))))</f>
        <v/>
      </c>
      <c r="J2043" s="1" t="s">
        <v>1808</v>
      </c>
      <c r="K2043" s="10">
        <v>2</v>
      </c>
      <c r="L2043" s="10">
        <v>1</v>
      </c>
      <c r="O2043" s="6"/>
      <c r="Q2043" s="42" t="s">
        <v>5682</v>
      </c>
      <c r="R2043" s="42"/>
      <c r="S2043" s="1"/>
    </row>
    <row r="2044" spans="1:19" ht="18.75" hidden="1" customHeight="1" x14ac:dyDescent="0.3">
      <c r="A2044" s="10">
        <v>2043</v>
      </c>
      <c r="B2044" s="10">
        <f>_xlfn.XLOOKUP(1,(VALUE(D2044)&gt;=VALUE(block!$C$3:$C$500))*(VALUE(D2044)&lt;VALUE(block!$C$3:$C$500)+VALUE(block!$D$3:$D$500)),block!$A$3:$A$500,"无匹配",0,1)</f>
        <v>61</v>
      </c>
      <c r="C2044" s="3" t="str">
        <f>B2044 &amp; "-" &amp; COUNTIF($B$2:B2044, B2044)</f>
        <v>61-27</v>
      </c>
      <c r="D2044" s="10">
        <f t="shared" si="1"/>
        <v>14244</v>
      </c>
      <c r="E2044" s="3" t="s">
        <v>5723</v>
      </c>
      <c r="F2044" s="1" t="s">
        <v>5725</v>
      </c>
      <c r="H2044" s="3" t="s">
        <v>5458</v>
      </c>
      <c r="I2044" s="10" t="str">
        <f>IF(H2044="T73",1,IF(H2044="T73",3,IF(H2044="T89",6,IF(H2044="T89",10,IF(H2044="T121",14,IF(H2044="T121",18,IF(H2044="T89",22,"")))))))</f>
        <v/>
      </c>
      <c r="J2044" s="1" t="s">
        <v>1808</v>
      </c>
      <c r="K2044" s="10">
        <v>1</v>
      </c>
      <c r="L2044" s="10">
        <v>1</v>
      </c>
      <c r="O2044" s="6"/>
      <c r="Q2044" s="42" t="s">
        <v>5682</v>
      </c>
      <c r="R2044" s="42"/>
      <c r="S2044" s="1"/>
    </row>
    <row r="2045" spans="1:19" ht="18.75" hidden="1" customHeight="1" x14ac:dyDescent="0.3">
      <c r="A2045" s="10">
        <v>2044</v>
      </c>
      <c r="B2045" s="10">
        <f>_xlfn.XLOOKUP(1,(VALUE(D2045)&gt;=VALUE(block!$C$3:$C$500))*(VALUE(D2045)&lt;VALUE(block!$C$3:$C$500)+VALUE(block!$D$3:$D$500)),block!$A$3:$A$500,"无匹配",0,1)</f>
        <v>61</v>
      </c>
      <c r="C2045" s="3" t="str">
        <f>B2045 &amp; "-" &amp; COUNTIF($B$2:B2045, B2045)</f>
        <v>61-28</v>
      </c>
      <c r="D2045" s="10">
        <f t="shared" si="1"/>
        <v>14245</v>
      </c>
      <c r="E2045" s="1" t="s">
        <v>5726</v>
      </c>
      <c r="F2045" s="1" t="s">
        <v>5727</v>
      </c>
      <c r="G2045" s="1" t="s">
        <v>1834</v>
      </c>
      <c r="H2045" s="1" t="s">
        <v>1812</v>
      </c>
      <c r="I2045" s="10" t="str">
        <f>IF(H2045="T74",1,IF(H2045="T74",3,IF(H2045="T90",6,IF(H2045="T90",10,IF(H2045="T122",14,IF(H2045="T122",18,IF(H2045="T90",22,"")))))))</f>
        <v/>
      </c>
      <c r="J2045" s="1" t="s">
        <v>1808</v>
      </c>
      <c r="K2045" s="10">
        <v>2</v>
      </c>
      <c r="L2045" s="10">
        <v>1</v>
      </c>
      <c r="O2045" s="6"/>
      <c r="P2045" s="42" t="s">
        <v>5560</v>
      </c>
      <c r="Q2045" s="42" t="s">
        <v>5682</v>
      </c>
      <c r="R2045" s="42"/>
      <c r="S2045" s="1"/>
    </row>
    <row r="2046" spans="1:19" ht="18.75" hidden="1" customHeight="1" x14ac:dyDescent="0.3">
      <c r="A2046" s="10">
        <v>2045</v>
      </c>
      <c r="B2046" s="10">
        <f>_xlfn.XLOOKUP(1,(VALUE(D2046)&gt;=VALUE(block!$C$3:$C$500))*(VALUE(D2046)&lt;VALUE(block!$C$3:$C$500)+VALUE(block!$D$3:$D$500)),block!$A$3:$A$500,"无匹配",0,1)</f>
        <v>61</v>
      </c>
      <c r="C2046" s="3" t="str">
        <f>B2046 &amp; "-" &amp; COUNTIF($B$2:B2046, B2046)</f>
        <v>61-29</v>
      </c>
      <c r="D2046" s="10">
        <f t="shared" si="1"/>
        <v>14247</v>
      </c>
      <c r="E2046" s="3" t="s">
        <v>5728</v>
      </c>
      <c r="F2046" s="1" t="s">
        <v>5729</v>
      </c>
      <c r="H2046" s="3" t="s">
        <v>1838</v>
      </c>
      <c r="I2046" s="10" t="str">
        <f>IF(H2046="T75",1,IF(H2046="T75",3,IF(H2046="T91",6,IF(H2046="T91",10,IF(H2046="T123",14,IF(H2046="T123",18,IF(H2046="T91",22,"")))))))</f>
        <v/>
      </c>
      <c r="J2046" s="1" t="s">
        <v>1808</v>
      </c>
      <c r="K2046" s="10">
        <v>2</v>
      </c>
      <c r="L2046" s="10">
        <v>1</v>
      </c>
      <c r="O2046" s="6"/>
      <c r="Q2046" s="42" t="s">
        <v>5682</v>
      </c>
      <c r="R2046" s="42"/>
      <c r="S2046" s="1"/>
    </row>
    <row r="2047" spans="1:19" ht="18.75" hidden="1" customHeight="1" x14ac:dyDescent="0.3">
      <c r="A2047" s="10">
        <v>2046</v>
      </c>
      <c r="B2047" s="10">
        <f>_xlfn.XLOOKUP(1,(VALUE(D2047)&gt;=VALUE(block!$C$3:$C$500))*(VALUE(D2047)&lt;VALUE(block!$C$3:$C$500)+VALUE(block!$D$3:$D$500)),block!$A$3:$A$500,"无匹配",0,1)</f>
        <v>61</v>
      </c>
      <c r="C2047" s="3" t="str">
        <f>B2047 &amp; "-" &amp; COUNTIF($B$2:B2047, B2047)</f>
        <v>61-30</v>
      </c>
      <c r="D2047" s="10">
        <f t="shared" si="1"/>
        <v>14249</v>
      </c>
      <c r="E2047" s="3" t="s">
        <v>5728</v>
      </c>
      <c r="F2047" s="1" t="s">
        <v>5730</v>
      </c>
      <c r="H2047" s="3" t="s">
        <v>5458</v>
      </c>
      <c r="I2047" s="10" t="str">
        <f>IF(H2047="T76",1,IF(H2047="T76",3,IF(H2047="T92",6,IF(H2047="T92",10,IF(H2047="T124",14,IF(H2047="T124",18,IF(H2047="T92",22,"")))))))</f>
        <v/>
      </c>
      <c r="J2047" s="1" t="s">
        <v>1808</v>
      </c>
      <c r="K2047" s="10">
        <v>1</v>
      </c>
      <c r="L2047" s="10">
        <v>1</v>
      </c>
      <c r="O2047" s="6"/>
      <c r="Q2047" s="42" t="s">
        <v>5682</v>
      </c>
      <c r="R2047" s="42"/>
      <c r="S2047" s="1"/>
    </row>
    <row r="2048" spans="1:19" ht="18.75" hidden="1" customHeight="1" x14ac:dyDescent="0.3">
      <c r="A2048" s="10">
        <v>2047</v>
      </c>
      <c r="B2048" s="10">
        <f>_xlfn.XLOOKUP(1,(VALUE(D2048)&gt;=VALUE(block!$C$3:$C$500))*(VALUE(D2048)&lt;VALUE(block!$C$3:$C$500)+VALUE(block!$D$3:$D$500)),block!$A$3:$A$500,"无匹配",0,1)</f>
        <v>61</v>
      </c>
      <c r="C2048" s="3" t="str">
        <f>B2048 &amp; "-" &amp; COUNTIF($B$2:B2048, B2048)</f>
        <v>61-31</v>
      </c>
      <c r="D2048" s="10">
        <f t="shared" si="1"/>
        <v>14250</v>
      </c>
      <c r="E2048" s="1" t="s">
        <v>5731</v>
      </c>
      <c r="F2048" s="1" t="s">
        <v>5732</v>
      </c>
      <c r="G2048" s="1" t="s">
        <v>1834</v>
      </c>
      <c r="H2048" s="1" t="s">
        <v>1812</v>
      </c>
      <c r="I2048" s="10" t="str">
        <f>IF(H2048="T77",1,IF(H2048="T77",3,IF(H2048="T93",6,IF(H2048="T93",10,IF(H2048="T125",14,IF(H2048="T125",18,IF(H2048="T93",22,"")))))))</f>
        <v/>
      </c>
      <c r="J2048" s="1" t="s">
        <v>1808</v>
      </c>
      <c r="K2048" s="10">
        <v>2</v>
      </c>
      <c r="L2048" s="10">
        <v>1</v>
      </c>
      <c r="O2048" s="6"/>
      <c r="P2048" s="42" t="s">
        <v>5560</v>
      </c>
      <c r="Q2048" s="42" t="s">
        <v>5682</v>
      </c>
      <c r="R2048" s="42"/>
      <c r="S2048" s="1"/>
    </row>
    <row r="2049" spans="1:19" ht="18.75" hidden="1" customHeight="1" x14ac:dyDescent="0.3">
      <c r="A2049" s="10">
        <v>2048</v>
      </c>
      <c r="B2049" s="10">
        <f>_xlfn.XLOOKUP(1,(VALUE(D2049)&gt;=VALUE(block!$C$3:$C$500))*(VALUE(D2049)&lt;VALUE(block!$C$3:$C$500)+VALUE(block!$D$3:$D$500)),block!$A$3:$A$500,"无匹配",0,1)</f>
        <v>61</v>
      </c>
      <c r="C2049" s="3" t="str">
        <f>B2049 &amp; "-" &amp; COUNTIF($B$2:B2049, B2049)</f>
        <v>61-32</v>
      </c>
      <c r="D2049" s="10">
        <f t="shared" si="1"/>
        <v>14252</v>
      </c>
      <c r="E2049" s="3" t="s">
        <v>5733</v>
      </c>
      <c r="F2049" s="1" t="s">
        <v>5734</v>
      </c>
      <c r="H2049" s="3" t="s">
        <v>1838</v>
      </c>
      <c r="I2049" s="10" t="str">
        <f>IF(H2049="T78",1,IF(H2049="T78",3,IF(H2049="T94",6,IF(H2049="T94",10,IF(H2049="T126",14,IF(H2049="T126",18,IF(H2049="T94",22,"")))))))</f>
        <v/>
      </c>
      <c r="J2049" s="1" t="s">
        <v>1808</v>
      </c>
      <c r="K2049" s="10">
        <v>2</v>
      </c>
      <c r="L2049" s="10">
        <v>1</v>
      </c>
      <c r="O2049" s="6"/>
      <c r="Q2049" s="42" t="s">
        <v>5682</v>
      </c>
      <c r="R2049" s="42"/>
      <c r="S2049" s="1"/>
    </row>
    <row r="2050" spans="1:19" ht="18.75" hidden="1" customHeight="1" x14ac:dyDescent="0.3">
      <c r="A2050" s="10">
        <v>2049</v>
      </c>
      <c r="B2050" s="10">
        <f>_xlfn.XLOOKUP(1,(VALUE(D2050)&gt;=VALUE(block!$C$3:$C$500))*(VALUE(D2050)&lt;VALUE(block!$C$3:$C$500)+VALUE(block!$D$3:$D$500)),block!$A$3:$A$500,"无匹配",0,1)</f>
        <v>61</v>
      </c>
      <c r="C2050" s="3" t="str">
        <f>B2050 &amp; "-" &amp; COUNTIF($B$2:B2050, B2050)</f>
        <v>61-33</v>
      </c>
      <c r="D2050" s="10">
        <f t="shared" si="1"/>
        <v>14254</v>
      </c>
      <c r="E2050" s="3" t="s">
        <v>5733</v>
      </c>
      <c r="F2050" s="1" t="s">
        <v>5735</v>
      </c>
      <c r="H2050" s="3" t="s">
        <v>5458</v>
      </c>
      <c r="I2050" s="10" t="str">
        <f>IF(H2050="T79",1,IF(H2050="T79",3,IF(H2050="T95",6,IF(H2050="T95",10,IF(H2050="T127",14,IF(H2050="T127",18,IF(H2050="T95",22,"")))))))</f>
        <v/>
      </c>
      <c r="J2050" s="1" t="s">
        <v>1808</v>
      </c>
      <c r="K2050" s="10">
        <v>1</v>
      </c>
      <c r="L2050" s="10">
        <v>1</v>
      </c>
      <c r="O2050" s="6"/>
      <c r="Q2050" s="42" t="s">
        <v>5682</v>
      </c>
      <c r="R2050" s="42"/>
      <c r="S2050" s="1"/>
    </row>
    <row r="2051" spans="1:19" ht="18.75" hidden="1" customHeight="1" x14ac:dyDescent="0.3">
      <c r="A2051" s="10">
        <v>2050</v>
      </c>
      <c r="B2051" s="10">
        <f>_xlfn.XLOOKUP(1,(VALUE(D2051)&gt;=VALUE(block!$C$3:$C$500))*(VALUE(D2051)&lt;VALUE(block!$C$3:$C$500)+VALUE(block!$D$3:$D$500)),block!$A$3:$A$500,"无匹配",0,1)</f>
        <v>61</v>
      </c>
      <c r="C2051" s="3" t="str">
        <f>B2051 &amp; "-" &amp; COUNTIF($B$2:B2051, B2051)</f>
        <v>61-34</v>
      </c>
      <c r="D2051" s="10">
        <f t="shared" si="1"/>
        <v>14255</v>
      </c>
      <c r="E2051" s="1" t="s">
        <v>5736</v>
      </c>
      <c r="F2051" s="1" t="s">
        <v>5737</v>
      </c>
      <c r="G2051" s="1" t="s">
        <v>1836</v>
      </c>
      <c r="H2051" s="1" t="s">
        <v>1812</v>
      </c>
      <c r="I2051" s="10">
        <f>IF(H2051="uint16",1,IF(H2051="int16",3,IF(H2051="uint32",6,IF(H2051="int32",10,IF(H2051="uint64",14,IF(H2051="int64",18,IF(H2051="float32",22,"")))))))</f>
        <v>22</v>
      </c>
      <c r="J2051" s="1" t="s">
        <v>1808</v>
      </c>
      <c r="K2051" s="10">
        <v>2</v>
      </c>
      <c r="L2051" s="10">
        <v>1</v>
      </c>
      <c r="O2051" s="6"/>
      <c r="P2051" s="42" t="s">
        <v>5560</v>
      </c>
      <c r="Q2051" s="42" t="s">
        <v>5682</v>
      </c>
      <c r="R2051" s="42"/>
      <c r="S2051" s="1"/>
    </row>
    <row r="2052" spans="1:19" ht="18.75" hidden="1" customHeight="1" x14ac:dyDescent="0.3">
      <c r="A2052" s="10">
        <v>2051</v>
      </c>
      <c r="B2052" s="10">
        <f>_xlfn.XLOOKUP(1,(VALUE(D2052)&gt;=VALUE(block!$C$3:$C$500))*(VALUE(D2052)&lt;VALUE(block!$C$3:$C$500)+VALUE(block!$D$3:$D$500)),block!$A$3:$A$500,"无匹配",0,1)</f>
        <v>61</v>
      </c>
      <c r="C2052" s="3" t="str">
        <f>B2052 &amp; "-" &amp; COUNTIF($B$2:B2052, B2052)</f>
        <v>61-35</v>
      </c>
      <c r="D2052" s="10">
        <f t="shared" si="1"/>
        <v>14257</v>
      </c>
      <c r="E2052" s="3" t="s">
        <v>5738</v>
      </c>
      <c r="F2052" s="1" t="s">
        <v>5739</v>
      </c>
      <c r="H2052" s="3" t="s">
        <v>1838</v>
      </c>
      <c r="I2052" s="10" t="str">
        <f>IF(H2052="T17",1,IF(H2052="T17",3,IF(H2052="T33",6,IF(H2052="T33",10,IF(H2052="T65",14,IF(H2052="T65",18,IF(H2052="T33",22,"")))))))</f>
        <v/>
      </c>
      <c r="J2052" s="1" t="s">
        <v>1808</v>
      </c>
      <c r="K2052" s="10">
        <v>2</v>
      </c>
      <c r="L2052" s="10">
        <v>1</v>
      </c>
      <c r="O2052" s="6"/>
      <c r="Q2052" s="42" t="s">
        <v>5682</v>
      </c>
      <c r="R2052" s="42"/>
      <c r="S2052" s="1"/>
    </row>
    <row r="2053" spans="1:19" ht="18.75" hidden="1" customHeight="1" x14ac:dyDescent="0.3">
      <c r="A2053" s="10">
        <v>2052</v>
      </c>
      <c r="B2053" s="10">
        <f>_xlfn.XLOOKUP(1,(VALUE(D2053)&gt;=VALUE(block!$C$3:$C$500))*(VALUE(D2053)&lt;VALUE(block!$C$3:$C$500)+VALUE(block!$D$3:$D$500)),block!$A$3:$A$500,"无匹配",0,1)</f>
        <v>61</v>
      </c>
      <c r="C2053" s="3" t="str">
        <f>B2053 &amp; "-" &amp; COUNTIF($B$2:B2053, B2053)</f>
        <v>61-36</v>
      </c>
      <c r="D2053" s="10">
        <f t="shared" si="1"/>
        <v>14259</v>
      </c>
      <c r="E2053" s="3" t="s">
        <v>5738</v>
      </c>
      <c r="F2053" s="1" t="s">
        <v>5740</v>
      </c>
      <c r="H2053" s="3" t="s">
        <v>5458</v>
      </c>
      <c r="I2053" s="10" t="str">
        <f>IF(H2053="T18",1,IF(H2053="T18",3,IF(H2053="T34",6,IF(H2053="T34",10,IF(H2053="T66",14,IF(H2053="T66",18,IF(H2053="T34",22,"")))))))</f>
        <v/>
      </c>
      <c r="J2053" s="1" t="s">
        <v>1808</v>
      </c>
      <c r="K2053" s="10">
        <v>1</v>
      </c>
      <c r="L2053" s="10">
        <v>1</v>
      </c>
      <c r="O2053" s="6"/>
      <c r="Q2053" s="42" t="s">
        <v>5682</v>
      </c>
      <c r="R2053" s="42"/>
      <c r="S2053" s="1"/>
    </row>
    <row r="2054" spans="1:19" ht="18.75" hidden="1" customHeight="1" x14ac:dyDescent="0.3">
      <c r="A2054" s="10">
        <v>2053</v>
      </c>
      <c r="B2054" s="10">
        <f>_xlfn.XLOOKUP(1,(VALUE(D2054)&gt;=VALUE(block!$C$3:$C$500))*(VALUE(D2054)&lt;VALUE(block!$C$3:$C$500)+VALUE(block!$D$3:$D$500)),block!$A$3:$A$500,"无匹配",0,1)</f>
        <v>61</v>
      </c>
      <c r="C2054" s="3" t="str">
        <f>B2054 &amp; "-" &amp; COUNTIF($B$2:B2054, B2054)</f>
        <v>61-37</v>
      </c>
      <c r="D2054" s="10">
        <f t="shared" si="1"/>
        <v>14260</v>
      </c>
      <c r="E2054" s="1" t="s">
        <v>5741</v>
      </c>
      <c r="F2054" s="1" t="s">
        <v>5742</v>
      </c>
      <c r="G2054" s="1" t="s">
        <v>1830</v>
      </c>
      <c r="H2054" s="1" t="s">
        <v>1812</v>
      </c>
      <c r="I2054" s="10" t="str">
        <f>IF(H2054="T19",1,IF(H2054="T19",3,IF(H2054="T35",6,IF(H2054="T35",10,IF(H2054="T67",14,IF(H2054="T67",18,IF(H2054="T35",22,"")))))))</f>
        <v/>
      </c>
      <c r="J2054" s="1" t="s">
        <v>1808</v>
      </c>
      <c r="K2054" s="10">
        <v>2</v>
      </c>
      <c r="L2054" s="10">
        <v>1</v>
      </c>
      <c r="O2054" s="6"/>
      <c r="P2054" s="42" t="s">
        <v>5560</v>
      </c>
      <c r="Q2054" s="42" t="s">
        <v>5682</v>
      </c>
      <c r="R2054" s="42"/>
      <c r="S2054" s="1"/>
    </row>
    <row r="2055" spans="1:19" ht="18.75" hidden="1" customHeight="1" x14ac:dyDescent="0.3">
      <c r="A2055" s="10">
        <v>2054</v>
      </c>
      <c r="B2055" s="10">
        <f>_xlfn.XLOOKUP(1,(VALUE(D2055)&gt;=VALUE(block!$C$3:$C$500))*(VALUE(D2055)&lt;VALUE(block!$C$3:$C$500)+VALUE(block!$D$3:$D$500)),block!$A$3:$A$500,"无匹配",0,1)</f>
        <v>61</v>
      </c>
      <c r="C2055" s="3" t="str">
        <f>B2055 &amp; "-" &amp; COUNTIF($B$2:B2055, B2055)</f>
        <v>61-38</v>
      </c>
      <c r="D2055" s="10">
        <f t="shared" si="1"/>
        <v>14262</v>
      </c>
      <c r="E2055" s="3" t="s">
        <v>5743</v>
      </c>
      <c r="F2055" s="1" t="s">
        <v>5744</v>
      </c>
      <c r="H2055" s="3" t="s">
        <v>1838</v>
      </c>
      <c r="I2055" s="10" t="str">
        <f>IF(H2055="T20",1,IF(H2055="T20",3,IF(H2055="T36",6,IF(H2055="T36",10,IF(H2055="T68",14,IF(H2055="T68",18,IF(H2055="T36",22,"")))))))</f>
        <v/>
      </c>
      <c r="J2055" s="1" t="s">
        <v>1808</v>
      </c>
      <c r="K2055" s="10">
        <v>2</v>
      </c>
      <c r="L2055" s="10">
        <v>1</v>
      </c>
      <c r="O2055" s="6"/>
      <c r="Q2055" s="42" t="s">
        <v>5682</v>
      </c>
      <c r="R2055" s="42"/>
      <c r="S2055" s="1"/>
    </row>
    <row r="2056" spans="1:19" ht="18.75" hidden="1" customHeight="1" x14ac:dyDescent="0.3">
      <c r="A2056" s="10">
        <v>2055</v>
      </c>
      <c r="B2056" s="10">
        <f>_xlfn.XLOOKUP(1,(VALUE(D2056)&gt;=VALUE(block!$C$3:$C$500))*(VALUE(D2056)&lt;VALUE(block!$C$3:$C$500)+VALUE(block!$D$3:$D$500)),block!$A$3:$A$500,"无匹配",0,1)</f>
        <v>61</v>
      </c>
      <c r="C2056" s="3" t="str">
        <f>B2056 &amp; "-" &amp; COUNTIF($B$2:B2056, B2056)</f>
        <v>61-39</v>
      </c>
      <c r="D2056" s="10">
        <f t="shared" si="1"/>
        <v>14264</v>
      </c>
      <c r="E2056" s="3" t="s">
        <v>5743</v>
      </c>
      <c r="F2056" s="1" t="s">
        <v>5745</v>
      </c>
      <c r="H2056" s="3" t="s">
        <v>5458</v>
      </c>
      <c r="I2056" s="10" t="str">
        <f>IF(H2056="T21",1,IF(H2056="T21",3,IF(H2056="T37",6,IF(H2056="T37",10,IF(H2056="T69",14,IF(H2056="T69",18,IF(H2056="T37",22,"")))))))</f>
        <v/>
      </c>
      <c r="J2056" s="1" t="s">
        <v>1808</v>
      </c>
      <c r="K2056" s="10">
        <v>1</v>
      </c>
      <c r="L2056" s="10">
        <v>1</v>
      </c>
      <c r="O2056" s="6"/>
      <c r="Q2056" s="42" t="s">
        <v>5682</v>
      </c>
      <c r="R2056" s="42"/>
      <c r="S2056" s="1"/>
    </row>
    <row r="2057" spans="1:19" ht="18.75" hidden="1" customHeight="1" x14ac:dyDescent="0.3">
      <c r="A2057" s="10">
        <v>2056</v>
      </c>
      <c r="B2057" s="10">
        <f>_xlfn.XLOOKUP(1,(VALUE(D2057)&gt;=VALUE(block!$C$3:$C$500))*(VALUE(D2057)&lt;VALUE(block!$C$3:$C$500)+VALUE(block!$D$3:$D$500)),block!$A$3:$A$500,"无匹配",0,1)</f>
        <v>61</v>
      </c>
      <c r="C2057" s="3" t="str">
        <f>B2057 &amp; "-" &amp; COUNTIF($B$2:B2057, B2057)</f>
        <v>61-40</v>
      </c>
      <c r="D2057" s="10">
        <f t="shared" si="1"/>
        <v>14265</v>
      </c>
      <c r="E2057" s="1" t="s">
        <v>5746</v>
      </c>
      <c r="F2057" s="1" t="s">
        <v>5747</v>
      </c>
      <c r="G2057" s="1" t="s">
        <v>1832</v>
      </c>
      <c r="H2057" s="1" t="s">
        <v>1812</v>
      </c>
      <c r="I2057" s="10" t="str">
        <f>IF(H2057="T22",1,IF(H2057="T22",3,IF(H2057="T38",6,IF(H2057="T38",10,IF(H2057="T70",14,IF(H2057="T70",18,IF(H2057="T38",22,"")))))))</f>
        <v/>
      </c>
      <c r="J2057" s="1" t="s">
        <v>1808</v>
      </c>
      <c r="K2057" s="10">
        <v>2</v>
      </c>
      <c r="L2057" s="10">
        <v>1</v>
      </c>
      <c r="O2057" s="6"/>
      <c r="P2057" s="42" t="s">
        <v>5560</v>
      </c>
      <c r="Q2057" s="42" t="s">
        <v>5682</v>
      </c>
      <c r="R2057" s="42"/>
      <c r="S2057" s="1"/>
    </row>
    <row r="2058" spans="1:19" ht="18.75" hidden="1" customHeight="1" x14ac:dyDescent="0.3">
      <c r="A2058" s="10">
        <v>2057</v>
      </c>
      <c r="B2058" s="10">
        <f>_xlfn.XLOOKUP(1,(VALUE(D2058)&gt;=VALUE(block!$C$3:$C$500))*(VALUE(D2058)&lt;VALUE(block!$C$3:$C$500)+VALUE(block!$D$3:$D$500)),block!$A$3:$A$500,"无匹配",0,1)</f>
        <v>61</v>
      </c>
      <c r="C2058" s="3" t="str">
        <f>B2058 &amp; "-" &amp; COUNTIF($B$2:B2058, B2058)</f>
        <v>61-41</v>
      </c>
      <c r="D2058" s="10">
        <f t="shared" si="1"/>
        <v>14267</v>
      </c>
      <c r="E2058" s="3" t="s">
        <v>5748</v>
      </c>
      <c r="F2058" s="1" t="s">
        <v>5749</v>
      </c>
      <c r="H2058" s="3" t="s">
        <v>1838</v>
      </c>
      <c r="I2058" s="10" t="str">
        <f>IF(H2058="T23",1,IF(H2058="T23",3,IF(H2058="T39",6,IF(H2058="T39",10,IF(H2058="T71",14,IF(H2058="T71",18,IF(H2058="T39",22,"")))))))</f>
        <v/>
      </c>
      <c r="J2058" s="1" t="s">
        <v>1808</v>
      </c>
      <c r="K2058" s="10">
        <v>2</v>
      </c>
      <c r="L2058" s="10">
        <v>1</v>
      </c>
      <c r="O2058" s="6"/>
      <c r="Q2058" s="42" t="s">
        <v>5682</v>
      </c>
      <c r="R2058" s="42"/>
      <c r="S2058" s="1"/>
    </row>
    <row r="2059" spans="1:19" ht="18.75" hidden="1" customHeight="1" x14ac:dyDescent="0.3">
      <c r="A2059" s="10">
        <v>2058</v>
      </c>
      <c r="B2059" s="10">
        <f>_xlfn.XLOOKUP(1,(VALUE(D2059)&gt;=VALUE(block!$C$3:$C$500))*(VALUE(D2059)&lt;VALUE(block!$C$3:$C$500)+VALUE(block!$D$3:$D$500)),block!$A$3:$A$500,"无匹配",0,1)</f>
        <v>61</v>
      </c>
      <c r="C2059" s="3" t="str">
        <f>B2059 &amp; "-" &amp; COUNTIF($B$2:B2059, B2059)</f>
        <v>61-42</v>
      </c>
      <c r="D2059" s="10">
        <f t="shared" si="1"/>
        <v>14269</v>
      </c>
      <c r="E2059" s="3" t="s">
        <v>5748</v>
      </c>
      <c r="F2059" s="1" t="s">
        <v>5750</v>
      </c>
      <c r="H2059" s="3" t="s">
        <v>5458</v>
      </c>
      <c r="I2059" s="10" t="str">
        <f>IF(H2059="T24",1,IF(H2059="T24",3,IF(H2059="T40",6,IF(H2059="T40",10,IF(H2059="T72",14,IF(H2059="T72",18,IF(H2059="T40",22,"")))))))</f>
        <v/>
      </c>
      <c r="J2059" s="1" t="s">
        <v>1808</v>
      </c>
      <c r="K2059" s="10">
        <v>1</v>
      </c>
      <c r="L2059" s="10">
        <v>1</v>
      </c>
      <c r="O2059" s="6"/>
      <c r="Q2059" s="42" t="s">
        <v>5682</v>
      </c>
      <c r="R2059" s="42"/>
      <c r="S2059" s="1"/>
    </row>
    <row r="2060" spans="1:19" ht="18.75" hidden="1" customHeight="1" x14ac:dyDescent="0.3">
      <c r="A2060" s="10">
        <v>2059</v>
      </c>
      <c r="B2060" s="10">
        <f>_xlfn.XLOOKUP(1,(VALUE(D2060)&gt;=VALUE(block!$C$3:$C$500))*(VALUE(D2060)&lt;VALUE(block!$C$3:$C$500)+VALUE(block!$D$3:$D$500)),block!$A$3:$A$500,"无匹配",0,1)</f>
        <v>61</v>
      </c>
      <c r="C2060" s="3" t="str">
        <f>B2060 &amp; "-" &amp; COUNTIF($B$2:B2060, B2060)</f>
        <v>61-43</v>
      </c>
      <c r="D2060" s="10">
        <f t="shared" si="1"/>
        <v>14270</v>
      </c>
      <c r="E2060" s="1" t="s">
        <v>5751</v>
      </c>
      <c r="F2060" s="1" t="s">
        <v>5752</v>
      </c>
      <c r="G2060" s="1" t="s">
        <v>1832</v>
      </c>
      <c r="H2060" s="1" t="s">
        <v>1812</v>
      </c>
      <c r="I2060" s="10" t="str">
        <f>IF(H2060="T25",1,IF(H2060="T25",3,IF(H2060="T41",6,IF(H2060="T41",10,IF(H2060="T73",14,IF(H2060="T73",18,IF(H2060="T41",22,"")))))))</f>
        <v/>
      </c>
      <c r="J2060" s="1" t="s">
        <v>1808</v>
      </c>
      <c r="K2060" s="10">
        <v>2</v>
      </c>
      <c r="L2060" s="10">
        <v>1</v>
      </c>
      <c r="O2060" s="6"/>
      <c r="P2060" s="42" t="s">
        <v>5560</v>
      </c>
      <c r="Q2060" s="42" t="s">
        <v>5682</v>
      </c>
      <c r="R2060" s="42"/>
      <c r="S2060" s="1"/>
    </row>
    <row r="2061" spans="1:19" ht="18.75" hidden="1" customHeight="1" x14ac:dyDescent="0.3">
      <c r="A2061" s="10">
        <v>2060</v>
      </c>
      <c r="B2061" s="10">
        <f>_xlfn.XLOOKUP(1,(VALUE(D2061)&gt;=VALUE(block!$C$3:$C$500))*(VALUE(D2061)&lt;VALUE(block!$C$3:$C$500)+VALUE(block!$D$3:$D$500)),block!$A$3:$A$500,"无匹配",0,1)</f>
        <v>61</v>
      </c>
      <c r="C2061" s="3" t="str">
        <f>B2061 &amp; "-" &amp; COUNTIF($B$2:B2061, B2061)</f>
        <v>61-44</v>
      </c>
      <c r="D2061" s="10">
        <f t="shared" si="1"/>
        <v>14272</v>
      </c>
      <c r="E2061" s="3" t="s">
        <v>5753</v>
      </c>
      <c r="F2061" s="1" t="s">
        <v>5754</v>
      </c>
      <c r="H2061" s="3" t="s">
        <v>1838</v>
      </c>
      <c r="I2061" s="10" t="str">
        <f>IF(H2061="T26",1,IF(H2061="T26",3,IF(H2061="T42",6,IF(H2061="T42",10,IF(H2061="T74",14,IF(H2061="T74",18,IF(H2061="T42",22,"")))))))</f>
        <v/>
      </c>
      <c r="J2061" s="1" t="s">
        <v>1808</v>
      </c>
      <c r="K2061" s="10">
        <v>2</v>
      </c>
      <c r="L2061" s="10">
        <v>1</v>
      </c>
      <c r="O2061" s="6"/>
      <c r="Q2061" s="42" t="s">
        <v>5682</v>
      </c>
      <c r="R2061" s="42"/>
      <c r="S2061" s="1"/>
    </row>
    <row r="2062" spans="1:19" ht="18.75" hidden="1" customHeight="1" x14ac:dyDescent="0.3">
      <c r="A2062" s="10">
        <v>2061</v>
      </c>
      <c r="B2062" s="10">
        <f>_xlfn.XLOOKUP(1,(VALUE(D2062)&gt;=VALUE(block!$C$3:$C$500))*(VALUE(D2062)&lt;VALUE(block!$C$3:$C$500)+VALUE(block!$D$3:$D$500)),block!$A$3:$A$500,"无匹配",0,1)</f>
        <v>61</v>
      </c>
      <c r="C2062" s="3" t="str">
        <f>B2062 &amp; "-" &amp; COUNTIF($B$2:B2062, B2062)</f>
        <v>61-45</v>
      </c>
      <c r="D2062" s="10">
        <f t="shared" si="1"/>
        <v>14274</v>
      </c>
      <c r="E2062" s="3" t="s">
        <v>5753</v>
      </c>
      <c r="F2062" s="1" t="s">
        <v>5755</v>
      </c>
      <c r="H2062" s="3" t="s">
        <v>5458</v>
      </c>
      <c r="I2062" s="10" t="str">
        <f>IF(H2062="T27",1,IF(H2062="T27",3,IF(H2062="T43",6,IF(H2062="T43",10,IF(H2062="T75",14,IF(H2062="T75",18,IF(H2062="T43",22,"")))))))</f>
        <v/>
      </c>
      <c r="J2062" s="1" t="s">
        <v>1808</v>
      </c>
      <c r="K2062" s="10">
        <v>1</v>
      </c>
      <c r="L2062" s="10">
        <v>1</v>
      </c>
      <c r="O2062" s="6"/>
      <c r="Q2062" s="42" t="s">
        <v>5682</v>
      </c>
      <c r="R2062" s="42"/>
      <c r="S2062" s="1"/>
    </row>
    <row r="2063" spans="1:19" ht="18.75" hidden="1" customHeight="1" x14ac:dyDescent="0.3">
      <c r="A2063" s="10">
        <v>2062</v>
      </c>
      <c r="B2063" s="10">
        <f>_xlfn.XLOOKUP(1,(VALUE(D2063)&gt;=VALUE(block!$C$3:$C$500))*(VALUE(D2063)&lt;VALUE(block!$C$3:$C$500)+VALUE(block!$D$3:$D$500)),block!$A$3:$A$500,"无匹配",0,1)</f>
        <v>61</v>
      </c>
      <c r="C2063" s="3" t="str">
        <f>B2063 &amp; "-" &amp; COUNTIF($B$2:B2063, B2063)</f>
        <v>61-46</v>
      </c>
      <c r="D2063" s="10">
        <f t="shared" si="1"/>
        <v>14275</v>
      </c>
      <c r="E2063" s="1" t="s">
        <v>5756</v>
      </c>
      <c r="F2063" s="1" t="s">
        <v>5757</v>
      </c>
      <c r="G2063" s="1" t="s">
        <v>1834</v>
      </c>
      <c r="H2063" s="1" t="s">
        <v>1812</v>
      </c>
      <c r="I2063" s="10" t="str">
        <f>IF(H2063="T28",1,IF(H2063="T28",3,IF(H2063="T44",6,IF(H2063="T44",10,IF(H2063="T76",14,IF(H2063="T76",18,IF(H2063="T44",22,"")))))))</f>
        <v/>
      </c>
      <c r="J2063" s="1" t="s">
        <v>1808</v>
      </c>
      <c r="K2063" s="10">
        <v>2</v>
      </c>
      <c r="L2063" s="10">
        <v>1</v>
      </c>
      <c r="O2063" s="6"/>
      <c r="P2063" s="42" t="s">
        <v>5560</v>
      </c>
      <c r="Q2063" s="42" t="s">
        <v>5682</v>
      </c>
      <c r="R2063" s="42"/>
      <c r="S2063" s="1"/>
    </row>
    <row r="2064" spans="1:19" ht="18.75" hidden="1" customHeight="1" x14ac:dyDescent="0.3">
      <c r="A2064" s="10">
        <v>2063</v>
      </c>
      <c r="B2064" s="10">
        <f>_xlfn.XLOOKUP(1,(VALUE(D2064)&gt;=VALUE(block!$C$3:$C$500))*(VALUE(D2064)&lt;VALUE(block!$C$3:$C$500)+VALUE(block!$D$3:$D$500)),block!$A$3:$A$500,"无匹配",0,1)</f>
        <v>61</v>
      </c>
      <c r="C2064" s="3" t="str">
        <f>B2064 &amp; "-" &amp; COUNTIF($B$2:B2064, B2064)</f>
        <v>61-47</v>
      </c>
      <c r="D2064" s="10">
        <f t="shared" si="1"/>
        <v>14277</v>
      </c>
      <c r="E2064" s="3" t="s">
        <v>5758</v>
      </c>
      <c r="F2064" s="1" t="s">
        <v>5759</v>
      </c>
      <c r="H2064" s="3" t="s">
        <v>1838</v>
      </c>
      <c r="I2064" s="10" t="str">
        <f>IF(H2064="T29",1,IF(H2064="T29",3,IF(H2064="T45",6,IF(H2064="T45",10,IF(H2064="T77",14,IF(H2064="T77",18,IF(H2064="T45",22,"")))))))</f>
        <v/>
      </c>
      <c r="J2064" s="1" t="s">
        <v>1808</v>
      </c>
      <c r="K2064" s="10">
        <v>2</v>
      </c>
      <c r="L2064" s="10">
        <v>1</v>
      </c>
      <c r="O2064" s="6"/>
      <c r="Q2064" s="42" t="s">
        <v>5682</v>
      </c>
      <c r="R2064" s="42"/>
      <c r="S2064" s="1"/>
    </row>
    <row r="2065" spans="1:19" ht="18.75" hidden="1" customHeight="1" x14ac:dyDescent="0.3">
      <c r="A2065" s="10">
        <v>2064</v>
      </c>
      <c r="B2065" s="10">
        <f>_xlfn.XLOOKUP(1,(VALUE(D2065)&gt;=VALUE(block!$C$3:$C$500))*(VALUE(D2065)&lt;VALUE(block!$C$3:$C$500)+VALUE(block!$D$3:$D$500)),block!$A$3:$A$500,"无匹配",0,1)</f>
        <v>61</v>
      </c>
      <c r="C2065" s="3" t="str">
        <f>B2065 &amp; "-" &amp; COUNTIF($B$2:B2065, B2065)</f>
        <v>61-48</v>
      </c>
      <c r="D2065" s="10">
        <f t="shared" si="1"/>
        <v>14279</v>
      </c>
      <c r="E2065" s="3" t="s">
        <v>5758</v>
      </c>
      <c r="F2065" s="1" t="s">
        <v>5760</v>
      </c>
      <c r="H2065" s="3" t="s">
        <v>5458</v>
      </c>
      <c r="I2065" s="10" t="str">
        <f>IF(H2065="T30",1,IF(H2065="T30",3,IF(H2065="T46",6,IF(H2065="T46",10,IF(H2065="T78",14,IF(H2065="T78",18,IF(H2065="T46",22,"")))))))</f>
        <v/>
      </c>
      <c r="J2065" s="1" t="s">
        <v>1808</v>
      </c>
      <c r="K2065" s="10">
        <v>1</v>
      </c>
      <c r="L2065" s="10">
        <v>1</v>
      </c>
      <c r="O2065" s="6"/>
      <c r="Q2065" s="42" t="s">
        <v>5682</v>
      </c>
      <c r="R2065" s="42"/>
      <c r="S2065" s="1"/>
    </row>
    <row r="2066" spans="1:19" ht="18.75" hidden="1" customHeight="1" x14ac:dyDescent="0.3">
      <c r="A2066" s="10">
        <v>2065</v>
      </c>
      <c r="B2066" s="10">
        <f>_xlfn.XLOOKUP(1,(VALUE(D2066)&gt;=VALUE(block!$C$3:$C$500))*(VALUE(D2066)&lt;VALUE(block!$C$3:$C$500)+VALUE(block!$D$3:$D$500)),block!$A$3:$A$500,"无匹配",0,1)</f>
        <v>61</v>
      </c>
      <c r="C2066" s="3" t="str">
        <f>B2066 &amp; "-" &amp; COUNTIF($B$2:B2066, B2066)</f>
        <v>61-49</v>
      </c>
      <c r="D2066" s="10">
        <f t="shared" si="1"/>
        <v>14280</v>
      </c>
      <c r="E2066" s="1" t="s">
        <v>5761</v>
      </c>
      <c r="F2066" s="1" t="s">
        <v>5762</v>
      </c>
      <c r="G2066" s="1" t="s">
        <v>1834</v>
      </c>
      <c r="H2066" s="1" t="s">
        <v>1812</v>
      </c>
      <c r="I2066" s="10" t="str">
        <f>IF(H2066="T31",1,IF(H2066="T31",3,IF(H2066="T47",6,IF(H2066="T47",10,IF(H2066="T79",14,IF(H2066="T79",18,IF(H2066="T47",22,"")))))))</f>
        <v/>
      </c>
      <c r="J2066" s="1" t="s">
        <v>1808</v>
      </c>
      <c r="K2066" s="10">
        <v>2</v>
      </c>
      <c r="L2066" s="10">
        <v>1</v>
      </c>
      <c r="O2066" s="6"/>
      <c r="P2066" s="42" t="s">
        <v>5560</v>
      </c>
      <c r="Q2066" s="42" t="s">
        <v>5682</v>
      </c>
      <c r="R2066" s="42"/>
      <c r="S2066" s="1"/>
    </row>
    <row r="2067" spans="1:19" ht="18.75" hidden="1" customHeight="1" x14ac:dyDescent="0.3">
      <c r="A2067" s="10">
        <v>2066</v>
      </c>
      <c r="B2067" s="10">
        <f>_xlfn.XLOOKUP(1,(VALUE(D2067)&gt;=VALUE(block!$C$3:$C$500))*(VALUE(D2067)&lt;VALUE(block!$C$3:$C$500)+VALUE(block!$D$3:$D$500)),block!$A$3:$A$500,"无匹配",0,1)</f>
        <v>61</v>
      </c>
      <c r="C2067" s="3" t="str">
        <f>B2067 &amp; "-" &amp; COUNTIF($B$2:B2067, B2067)</f>
        <v>61-50</v>
      </c>
      <c r="D2067" s="10">
        <f t="shared" si="1"/>
        <v>14282</v>
      </c>
      <c r="E2067" s="3" t="s">
        <v>5763</v>
      </c>
      <c r="F2067" s="1" t="s">
        <v>5764</v>
      </c>
      <c r="H2067" s="3" t="s">
        <v>1838</v>
      </c>
      <c r="I2067" s="10" t="str">
        <f>IF(H2067="T32",1,IF(H2067="T32",3,IF(H2067="T48",6,IF(H2067="T48",10,IF(H2067="T80",14,IF(H2067="T80",18,IF(H2067="T48",22,"")))))))</f>
        <v/>
      </c>
      <c r="J2067" s="1" t="s">
        <v>1808</v>
      </c>
      <c r="K2067" s="10">
        <v>2</v>
      </c>
      <c r="L2067" s="10">
        <v>1</v>
      </c>
      <c r="O2067" s="6"/>
      <c r="Q2067" s="42" t="s">
        <v>5682</v>
      </c>
      <c r="R2067" s="42"/>
      <c r="S2067" s="1"/>
    </row>
    <row r="2068" spans="1:19" ht="18.75" hidden="1" customHeight="1" x14ac:dyDescent="0.3">
      <c r="A2068" s="10">
        <v>2067</v>
      </c>
      <c r="B2068" s="10">
        <f>_xlfn.XLOOKUP(1,(VALUE(D2068)&gt;=VALUE(block!$C$3:$C$500))*(VALUE(D2068)&lt;VALUE(block!$C$3:$C$500)+VALUE(block!$D$3:$D$500)),block!$A$3:$A$500,"无匹配",0,1)</f>
        <v>61</v>
      </c>
      <c r="C2068" s="3" t="str">
        <f>B2068 &amp; "-" &amp; COUNTIF($B$2:B2068, B2068)</f>
        <v>61-51</v>
      </c>
      <c r="D2068" s="10">
        <f t="shared" si="1"/>
        <v>14284</v>
      </c>
      <c r="E2068" s="3" t="s">
        <v>5763</v>
      </c>
      <c r="F2068" s="1" t="s">
        <v>5765</v>
      </c>
      <c r="H2068" s="3" t="s">
        <v>5458</v>
      </c>
      <c r="I2068" s="10" t="str">
        <f>IF(H2068="T33",1,IF(H2068="T33",3,IF(H2068="T49",6,IF(H2068="T49",10,IF(H2068="T81",14,IF(H2068="T81",18,IF(H2068="T49",22,"")))))))</f>
        <v/>
      </c>
      <c r="J2068" s="1" t="s">
        <v>1808</v>
      </c>
      <c r="K2068" s="10">
        <v>1</v>
      </c>
      <c r="L2068" s="10">
        <v>1</v>
      </c>
      <c r="O2068" s="6"/>
      <c r="Q2068" s="42" t="s">
        <v>5682</v>
      </c>
      <c r="R2068" s="42"/>
      <c r="S2068" s="1"/>
    </row>
    <row r="2069" spans="1:19" ht="18.75" hidden="1" customHeight="1" x14ac:dyDescent="0.3">
      <c r="A2069" s="10">
        <v>2068</v>
      </c>
      <c r="B2069" s="10">
        <f>_xlfn.XLOOKUP(1,(VALUE(D2069)&gt;=VALUE(block!$C$3:$C$500))*(VALUE(D2069)&lt;VALUE(block!$C$3:$C$500)+VALUE(block!$D$3:$D$500)),block!$A$3:$A$500,"无匹配",0,1)</f>
        <v>61</v>
      </c>
      <c r="C2069" s="3" t="str">
        <f>B2069 &amp; "-" &amp; COUNTIF($B$2:B2069, B2069)</f>
        <v>61-52</v>
      </c>
      <c r="D2069" s="10">
        <f t="shared" si="1"/>
        <v>14285</v>
      </c>
      <c r="E2069" s="1" t="s">
        <v>5766</v>
      </c>
      <c r="F2069" s="1" t="s">
        <v>5767</v>
      </c>
      <c r="G2069" s="1" t="s">
        <v>1836</v>
      </c>
      <c r="H2069" s="1" t="s">
        <v>1812</v>
      </c>
      <c r="I2069" s="10" t="str">
        <f>IF(H2069="T34",1,IF(H2069="T34",3,IF(H2069="T50",6,IF(H2069="T50",10,IF(H2069="T82",14,IF(H2069="T82",18,IF(H2069="T50",22,"")))))))</f>
        <v/>
      </c>
      <c r="J2069" s="1" t="s">
        <v>1808</v>
      </c>
      <c r="K2069" s="10">
        <v>2</v>
      </c>
      <c r="L2069" s="10">
        <v>1</v>
      </c>
      <c r="O2069" s="6"/>
      <c r="P2069" s="42" t="s">
        <v>5560</v>
      </c>
      <c r="Q2069" s="42" t="s">
        <v>5682</v>
      </c>
      <c r="R2069" s="42"/>
      <c r="S2069" s="1"/>
    </row>
    <row r="2070" spans="1:19" ht="18.75" hidden="1" customHeight="1" x14ac:dyDescent="0.3">
      <c r="A2070" s="10">
        <v>2069</v>
      </c>
      <c r="B2070" s="10">
        <f>_xlfn.XLOOKUP(1,(VALUE(D2070)&gt;=VALUE(block!$C$3:$C$500))*(VALUE(D2070)&lt;VALUE(block!$C$3:$C$500)+VALUE(block!$D$3:$D$500)),block!$A$3:$A$500,"无匹配",0,1)</f>
        <v>61</v>
      </c>
      <c r="C2070" s="3" t="str">
        <f>B2070 &amp; "-" &amp; COUNTIF($B$2:B2070, B2070)</f>
        <v>61-53</v>
      </c>
      <c r="D2070" s="10">
        <f t="shared" si="1"/>
        <v>14287</v>
      </c>
      <c r="E2070" s="3" t="s">
        <v>5768</v>
      </c>
      <c r="F2070" s="1" t="s">
        <v>5769</v>
      </c>
      <c r="H2070" s="3" t="s">
        <v>1838</v>
      </c>
      <c r="I2070" s="10" t="str">
        <f>IF(H2070="T35",1,IF(H2070="T35",3,IF(H2070="T51",6,IF(H2070="T51",10,IF(H2070="T83",14,IF(H2070="T83",18,IF(H2070="T51",22,"")))))))</f>
        <v/>
      </c>
      <c r="J2070" s="1" t="s">
        <v>1808</v>
      </c>
      <c r="K2070" s="10">
        <v>2</v>
      </c>
      <c r="L2070" s="10">
        <v>1</v>
      </c>
      <c r="O2070" s="6"/>
      <c r="Q2070" s="42" t="s">
        <v>5682</v>
      </c>
      <c r="R2070" s="42"/>
      <c r="S2070" s="1"/>
    </row>
    <row r="2071" spans="1:19" ht="18.75" hidden="1" customHeight="1" x14ac:dyDescent="0.3">
      <c r="A2071" s="10">
        <v>2070</v>
      </c>
      <c r="B2071" s="10">
        <f>_xlfn.XLOOKUP(1,(VALUE(D2071)&gt;=VALUE(block!$C$3:$C$500))*(VALUE(D2071)&lt;VALUE(block!$C$3:$C$500)+VALUE(block!$D$3:$D$500)),block!$A$3:$A$500,"无匹配",0,1)</f>
        <v>61</v>
      </c>
      <c r="C2071" s="3" t="str">
        <f>B2071 &amp; "-" &amp; COUNTIF($B$2:B2071, B2071)</f>
        <v>61-54</v>
      </c>
      <c r="D2071" s="10">
        <f t="shared" si="1"/>
        <v>14289</v>
      </c>
      <c r="E2071" s="3" t="s">
        <v>5768</v>
      </c>
      <c r="F2071" s="1" t="s">
        <v>5770</v>
      </c>
      <c r="H2071" s="3" t="s">
        <v>5458</v>
      </c>
      <c r="I2071" s="10" t="str">
        <f>IF(H2071="T36",1,IF(H2071="T36",3,IF(H2071="T52",6,IF(H2071="T52",10,IF(H2071="T84",14,IF(H2071="T84",18,IF(H2071="T52",22,"")))))))</f>
        <v/>
      </c>
      <c r="J2071" s="1" t="s">
        <v>1808</v>
      </c>
      <c r="K2071" s="10">
        <v>1</v>
      </c>
      <c r="L2071" s="10">
        <v>1</v>
      </c>
      <c r="O2071" s="6"/>
      <c r="Q2071" s="42" t="s">
        <v>5682</v>
      </c>
      <c r="R2071" s="42"/>
      <c r="S2071" s="1"/>
    </row>
    <row r="2072" spans="1:19" ht="18.75" hidden="1" customHeight="1" x14ac:dyDescent="0.3">
      <c r="A2072" s="10">
        <v>2071</v>
      </c>
      <c r="B2072" s="10">
        <f>_xlfn.XLOOKUP(1,(VALUE(D2072)&gt;=VALUE(block!$C$3:$C$500))*(VALUE(D2072)&lt;VALUE(block!$C$3:$C$500)+VALUE(block!$D$3:$D$500)),block!$A$3:$A$500,"无匹配",0,1)</f>
        <v>61</v>
      </c>
      <c r="C2072" s="3" t="str">
        <f>B2072 &amp; "-" &amp; COUNTIF($B$2:B2072, B2072)</f>
        <v>61-55</v>
      </c>
      <c r="D2072" s="10">
        <f t="shared" si="1"/>
        <v>14290</v>
      </c>
      <c r="E2072" s="1" t="s">
        <v>5771</v>
      </c>
      <c r="F2072" s="1" t="s">
        <v>5772</v>
      </c>
      <c r="G2072" s="1" t="s">
        <v>1830</v>
      </c>
      <c r="H2072" s="1" t="s">
        <v>1812</v>
      </c>
      <c r="I2072" s="10" t="str">
        <f>IF(H2072="T37",1,IF(H2072="T37",3,IF(H2072="T53",6,IF(H2072="T53",10,IF(H2072="T85",14,IF(H2072="T85",18,IF(H2072="T53",22,"")))))))</f>
        <v/>
      </c>
      <c r="J2072" s="1" t="s">
        <v>1808</v>
      </c>
      <c r="K2072" s="10">
        <v>2</v>
      </c>
      <c r="L2072" s="10">
        <v>1</v>
      </c>
      <c r="O2072" s="6"/>
      <c r="P2072" s="42" t="s">
        <v>5560</v>
      </c>
      <c r="Q2072" s="42" t="s">
        <v>5682</v>
      </c>
      <c r="R2072" s="42"/>
      <c r="S2072" s="1"/>
    </row>
    <row r="2073" spans="1:19" ht="18.75" hidden="1" customHeight="1" x14ac:dyDescent="0.3">
      <c r="A2073" s="10">
        <v>2072</v>
      </c>
      <c r="B2073" s="10">
        <f>_xlfn.XLOOKUP(1,(VALUE(D2073)&gt;=VALUE(block!$C$3:$C$500))*(VALUE(D2073)&lt;VALUE(block!$C$3:$C$500)+VALUE(block!$D$3:$D$500)),block!$A$3:$A$500,"无匹配",0,1)</f>
        <v>61</v>
      </c>
      <c r="C2073" s="3" t="str">
        <f>B2073 &amp; "-" &amp; COUNTIF($B$2:B2073, B2073)</f>
        <v>61-56</v>
      </c>
      <c r="D2073" s="10">
        <f t="shared" si="1"/>
        <v>14292</v>
      </c>
      <c r="E2073" s="3" t="s">
        <v>5773</v>
      </c>
      <c r="F2073" s="1" t="s">
        <v>5774</v>
      </c>
      <c r="H2073" s="3" t="s">
        <v>1838</v>
      </c>
      <c r="I2073" s="10" t="str">
        <f>IF(H2073="T38",1,IF(H2073="T38",3,IF(H2073="T54",6,IF(H2073="T54",10,IF(H2073="T86",14,IF(H2073="T86",18,IF(H2073="T54",22,"")))))))</f>
        <v/>
      </c>
      <c r="J2073" s="1" t="s">
        <v>1808</v>
      </c>
      <c r="K2073" s="10">
        <v>2</v>
      </c>
      <c r="L2073" s="10">
        <v>1</v>
      </c>
      <c r="O2073" s="6"/>
      <c r="Q2073" s="42" t="s">
        <v>5682</v>
      </c>
      <c r="R2073" s="42"/>
      <c r="S2073" s="1"/>
    </row>
    <row r="2074" spans="1:19" ht="18.75" hidden="1" customHeight="1" x14ac:dyDescent="0.3">
      <c r="A2074" s="10">
        <v>2073</v>
      </c>
      <c r="B2074" s="10">
        <f>_xlfn.XLOOKUP(1,(VALUE(D2074)&gt;=VALUE(block!$C$3:$C$500))*(VALUE(D2074)&lt;VALUE(block!$C$3:$C$500)+VALUE(block!$D$3:$D$500)),block!$A$3:$A$500,"无匹配",0,1)</f>
        <v>61</v>
      </c>
      <c r="C2074" s="3" t="str">
        <f>B2074 &amp; "-" &amp; COUNTIF($B$2:B2074, B2074)</f>
        <v>61-57</v>
      </c>
      <c r="D2074" s="10">
        <f t="shared" si="1"/>
        <v>14294</v>
      </c>
      <c r="E2074" s="3" t="s">
        <v>5773</v>
      </c>
      <c r="F2074" s="1" t="s">
        <v>5775</v>
      </c>
      <c r="H2074" s="3" t="s">
        <v>5458</v>
      </c>
      <c r="I2074" s="10" t="str">
        <f>IF(H2074="T39",1,IF(H2074="T39",3,IF(H2074="T55",6,IF(H2074="T55",10,IF(H2074="T87",14,IF(H2074="T87",18,IF(H2074="T55",22,"")))))))</f>
        <v/>
      </c>
      <c r="J2074" s="1" t="s">
        <v>1808</v>
      </c>
      <c r="K2074" s="10">
        <v>1</v>
      </c>
      <c r="L2074" s="10">
        <v>1</v>
      </c>
      <c r="O2074" s="6"/>
      <c r="Q2074" s="42" t="s">
        <v>5682</v>
      </c>
      <c r="R2074" s="42"/>
      <c r="S2074" s="1"/>
    </row>
    <row r="2075" spans="1:19" ht="18.75" hidden="1" customHeight="1" x14ac:dyDescent="0.3">
      <c r="A2075" s="10">
        <v>2074</v>
      </c>
      <c r="B2075" s="10">
        <f>_xlfn.XLOOKUP(1,(VALUE(D2075)&gt;=VALUE(block!$C$3:$C$500))*(VALUE(D2075)&lt;VALUE(block!$C$3:$C$500)+VALUE(block!$D$3:$D$500)),block!$A$3:$A$500,"无匹配",0,1)</f>
        <v>61</v>
      </c>
      <c r="C2075" s="3" t="str">
        <f>B2075 &amp; "-" &amp; COUNTIF($B$2:B2075, B2075)</f>
        <v>61-58</v>
      </c>
      <c r="D2075" s="10">
        <f t="shared" ref="D2075:D2138" si="2">D2074+K2074</f>
        <v>14295</v>
      </c>
      <c r="E2075" s="1" t="s">
        <v>5776</v>
      </c>
      <c r="F2075" s="1" t="s">
        <v>5777</v>
      </c>
      <c r="G2075" s="1" t="s">
        <v>1832</v>
      </c>
      <c r="H2075" s="1" t="s">
        <v>1812</v>
      </c>
      <c r="I2075" s="10" t="str">
        <f>IF(H2075="T40",1,IF(H2075="T40",3,IF(H2075="T56",6,IF(H2075="T56",10,IF(H2075="T88",14,IF(H2075="T88",18,IF(H2075="T56",22,"")))))))</f>
        <v/>
      </c>
      <c r="J2075" s="1" t="s">
        <v>1808</v>
      </c>
      <c r="K2075" s="10">
        <v>2</v>
      </c>
      <c r="L2075" s="10">
        <v>1</v>
      </c>
      <c r="O2075" s="6"/>
      <c r="P2075" s="42" t="s">
        <v>5560</v>
      </c>
      <c r="Q2075" s="42" t="s">
        <v>5682</v>
      </c>
      <c r="R2075" s="42"/>
      <c r="S2075" s="1"/>
    </row>
    <row r="2076" spans="1:19" ht="18.75" hidden="1" customHeight="1" x14ac:dyDescent="0.3">
      <c r="A2076" s="10">
        <v>2075</v>
      </c>
      <c r="B2076" s="10">
        <f>_xlfn.XLOOKUP(1,(VALUE(D2076)&gt;=VALUE(block!$C$3:$C$500))*(VALUE(D2076)&lt;VALUE(block!$C$3:$C$500)+VALUE(block!$D$3:$D$500)),block!$A$3:$A$500,"无匹配",0,1)</f>
        <v>61</v>
      </c>
      <c r="C2076" s="3" t="str">
        <f>B2076 &amp; "-" &amp; COUNTIF($B$2:B2076, B2076)</f>
        <v>61-59</v>
      </c>
      <c r="D2076" s="10">
        <f t="shared" si="2"/>
        <v>14297</v>
      </c>
      <c r="E2076" s="3" t="s">
        <v>5778</v>
      </c>
      <c r="F2076" s="1" t="s">
        <v>5779</v>
      </c>
      <c r="H2076" s="3" t="s">
        <v>1838</v>
      </c>
      <c r="I2076" s="10" t="str">
        <f>IF(H2076="T41",1,IF(H2076="T41",3,IF(H2076="T57",6,IF(H2076="T57",10,IF(H2076="T89",14,IF(H2076="T89",18,IF(H2076="T57",22,"")))))))</f>
        <v/>
      </c>
      <c r="J2076" s="1" t="s">
        <v>1808</v>
      </c>
      <c r="K2076" s="10">
        <v>2</v>
      </c>
      <c r="L2076" s="10">
        <v>1</v>
      </c>
      <c r="O2076" s="6"/>
      <c r="Q2076" s="42" t="s">
        <v>5682</v>
      </c>
      <c r="R2076" s="42"/>
      <c r="S2076" s="1"/>
    </row>
    <row r="2077" spans="1:19" ht="18.75" hidden="1" customHeight="1" x14ac:dyDescent="0.3">
      <c r="A2077" s="10">
        <v>2076</v>
      </c>
      <c r="B2077" s="10">
        <f>_xlfn.XLOOKUP(1,(VALUE(D2077)&gt;=VALUE(block!$C$3:$C$500))*(VALUE(D2077)&lt;VALUE(block!$C$3:$C$500)+VALUE(block!$D$3:$D$500)),block!$A$3:$A$500,"无匹配",0,1)</f>
        <v>61</v>
      </c>
      <c r="C2077" s="3" t="str">
        <f>B2077 &amp; "-" &amp; COUNTIF($B$2:B2077, B2077)</f>
        <v>61-60</v>
      </c>
      <c r="D2077" s="10">
        <f t="shared" si="2"/>
        <v>14299</v>
      </c>
      <c r="E2077" s="3" t="s">
        <v>5778</v>
      </c>
      <c r="F2077" s="1" t="s">
        <v>5780</v>
      </c>
      <c r="H2077" s="3" t="s">
        <v>5458</v>
      </c>
      <c r="I2077" s="10" t="str">
        <f>IF(H2077="T42",1,IF(H2077="T42",3,IF(H2077="T58",6,IF(H2077="T58",10,IF(H2077="T90",14,IF(H2077="T90",18,IF(H2077="T58",22,"")))))))</f>
        <v/>
      </c>
      <c r="J2077" s="1" t="s">
        <v>1808</v>
      </c>
      <c r="K2077" s="10">
        <v>1</v>
      </c>
      <c r="L2077" s="10">
        <v>1</v>
      </c>
      <c r="O2077" s="6"/>
      <c r="Q2077" s="42" t="s">
        <v>5682</v>
      </c>
      <c r="R2077" s="42"/>
      <c r="S2077" s="1"/>
    </row>
    <row r="2078" spans="1:19" ht="18.75" hidden="1" customHeight="1" x14ac:dyDescent="0.3">
      <c r="A2078" s="10">
        <v>2077</v>
      </c>
      <c r="B2078" s="10">
        <f>_xlfn.XLOOKUP(1,(VALUE(D2078)&gt;=VALUE(block!$C$3:$C$500))*(VALUE(D2078)&lt;VALUE(block!$C$3:$C$500)+VALUE(block!$D$3:$D$500)),block!$A$3:$A$500,"无匹配",0,1)</f>
        <v>61</v>
      </c>
      <c r="C2078" s="3" t="str">
        <f>B2078 &amp; "-" &amp; COUNTIF($B$2:B2078, B2078)</f>
        <v>61-61</v>
      </c>
      <c r="D2078" s="10">
        <f t="shared" si="2"/>
        <v>14300</v>
      </c>
      <c r="E2078" s="1" t="s">
        <v>5781</v>
      </c>
      <c r="F2078" s="1" t="s">
        <v>5782</v>
      </c>
      <c r="G2078" s="1" t="s">
        <v>1832</v>
      </c>
      <c r="H2078" s="1" t="s">
        <v>1812</v>
      </c>
      <c r="I2078" s="10" t="str">
        <f>IF(H2078="T43",1,IF(H2078="T43",3,IF(H2078="T59",6,IF(H2078="T59",10,IF(H2078="T91",14,IF(H2078="T91",18,IF(H2078="T59",22,"")))))))</f>
        <v/>
      </c>
      <c r="J2078" s="1" t="s">
        <v>1808</v>
      </c>
      <c r="K2078" s="10">
        <v>2</v>
      </c>
      <c r="L2078" s="10">
        <v>1</v>
      </c>
      <c r="O2078" s="6"/>
      <c r="P2078" s="42" t="s">
        <v>5560</v>
      </c>
      <c r="Q2078" s="42" t="s">
        <v>5682</v>
      </c>
      <c r="R2078" s="42"/>
      <c r="S2078" s="1"/>
    </row>
    <row r="2079" spans="1:19" ht="18.75" hidden="1" customHeight="1" x14ac:dyDescent="0.3">
      <c r="A2079" s="10">
        <v>2078</v>
      </c>
      <c r="B2079" s="10">
        <f>_xlfn.XLOOKUP(1,(VALUE(D2079)&gt;=VALUE(block!$C$3:$C$500))*(VALUE(D2079)&lt;VALUE(block!$C$3:$C$500)+VALUE(block!$D$3:$D$500)),block!$A$3:$A$500,"无匹配",0,1)</f>
        <v>61</v>
      </c>
      <c r="C2079" s="3" t="str">
        <f>B2079 &amp; "-" &amp; COUNTIF($B$2:B2079, B2079)</f>
        <v>61-62</v>
      </c>
      <c r="D2079" s="10">
        <f t="shared" si="2"/>
        <v>14302</v>
      </c>
      <c r="E2079" s="3" t="s">
        <v>5783</v>
      </c>
      <c r="F2079" s="1" t="s">
        <v>5784</v>
      </c>
      <c r="H2079" s="3" t="s">
        <v>1838</v>
      </c>
      <c r="I2079" s="10" t="str">
        <f>IF(H2079="T44",1,IF(H2079="T44",3,IF(H2079="T60",6,IF(H2079="T60",10,IF(H2079="T92",14,IF(H2079="T92",18,IF(H2079="T60",22,"")))))))</f>
        <v/>
      </c>
      <c r="J2079" s="1" t="s">
        <v>1808</v>
      </c>
      <c r="K2079" s="10">
        <v>2</v>
      </c>
      <c r="L2079" s="10">
        <v>1</v>
      </c>
      <c r="O2079" s="6"/>
      <c r="Q2079" s="42" t="s">
        <v>5682</v>
      </c>
      <c r="R2079" s="42"/>
      <c r="S2079" s="1"/>
    </row>
    <row r="2080" spans="1:19" ht="18.75" hidden="1" customHeight="1" x14ac:dyDescent="0.3">
      <c r="A2080" s="10">
        <v>2079</v>
      </c>
      <c r="B2080" s="10">
        <f>_xlfn.XLOOKUP(1,(VALUE(D2080)&gt;=VALUE(block!$C$3:$C$500))*(VALUE(D2080)&lt;VALUE(block!$C$3:$C$500)+VALUE(block!$D$3:$D$500)),block!$A$3:$A$500,"无匹配",0,1)</f>
        <v>61</v>
      </c>
      <c r="C2080" s="3" t="str">
        <f>B2080 &amp; "-" &amp; COUNTIF($B$2:B2080, B2080)</f>
        <v>61-63</v>
      </c>
      <c r="D2080" s="10">
        <f t="shared" si="2"/>
        <v>14304</v>
      </c>
      <c r="E2080" s="3" t="s">
        <v>5783</v>
      </c>
      <c r="F2080" s="1" t="s">
        <v>5785</v>
      </c>
      <c r="H2080" s="3" t="s">
        <v>5458</v>
      </c>
      <c r="I2080" s="10" t="str">
        <f>IF(H2080="T45",1,IF(H2080="T45",3,IF(H2080="T61",6,IF(H2080="T61",10,IF(H2080="T93",14,IF(H2080="T93",18,IF(H2080="T61",22,"")))))))</f>
        <v/>
      </c>
      <c r="J2080" s="1" t="s">
        <v>1808</v>
      </c>
      <c r="K2080" s="10">
        <v>1</v>
      </c>
      <c r="L2080" s="10">
        <v>1</v>
      </c>
      <c r="O2080" s="6"/>
      <c r="Q2080" s="42" t="s">
        <v>5682</v>
      </c>
      <c r="R2080" s="42"/>
      <c r="S2080" s="1"/>
    </row>
    <row r="2081" spans="1:19" ht="18.75" hidden="1" customHeight="1" x14ac:dyDescent="0.3">
      <c r="A2081" s="10">
        <v>2080</v>
      </c>
      <c r="B2081" s="10">
        <f>_xlfn.XLOOKUP(1,(VALUE(D2081)&gt;=VALUE(block!$C$3:$C$500))*(VALUE(D2081)&lt;VALUE(block!$C$3:$C$500)+VALUE(block!$D$3:$D$500)),block!$A$3:$A$500,"无匹配",0,1)</f>
        <v>61</v>
      </c>
      <c r="C2081" s="3" t="str">
        <f>B2081 &amp; "-" &amp; COUNTIF($B$2:B2081, B2081)</f>
        <v>61-64</v>
      </c>
      <c r="D2081" s="10">
        <f t="shared" si="2"/>
        <v>14305</v>
      </c>
      <c r="E2081" s="1" t="s">
        <v>5786</v>
      </c>
      <c r="F2081" s="1" t="s">
        <v>5787</v>
      </c>
      <c r="G2081" s="1" t="s">
        <v>1834</v>
      </c>
      <c r="H2081" s="1" t="s">
        <v>1812</v>
      </c>
      <c r="I2081" s="10" t="str">
        <f>IF(H2081="T46",1,IF(H2081="T46",3,IF(H2081="T62",6,IF(H2081="T62",10,IF(H2081="T94",14,IF(H2081="T94",18,IF(H2081="T62",22,"")))))))</f>
        <v/>
      </c>
      <c r="J2081" s="1" t="s">
        <v>1808</v>
      </c>
      <c r="K2081" s="10">
        <v>2</v>
      </c>
      <c r="L2081" s="10">
        <v>1</v>
      </c>
      <c r="O2081" s="6"/>
      <c r="P2081" s="42" t="s">
        <v>5560</v>
      </c>
      <c r="Q2081" s="42" t="s">
        <v>5682</v>
      </c>
      <c r="R2081" s="42"/>
      <c r="S2081" s="1"/>
    </row>
    <row r="2082" spans="1:19" ht="18.75" hidden="1" customHeight="1" x14ac:dyDescent="0.3">
      <c r="A2082" s="10">
        <v>2081</v>
      </c>
      <c r="B2082" s="10">
        <f>_xlfn.XLOOKUP(1,(VALUE(D2082)&gt;=VALUE(block!$C$3:$C$500))*(VALUE(D2082)&lt;VALUE(block!$C$3:$C$500)+VALUE(block!$D$3:$D$500)),block!$A$3:$A$500,"无匹配",0,1)</f>
        <v>61</v>
      </c>
      <c r="C2082" s="3" t="str">
        <f>B2082 &amp; "-" &amp; COUNTIF($B$2:B2082, B2082)</f>
        <v>61-65</v>
      </c>
      <c r="D2082" s="10">
        <f t="shared" si="2"/>
        <v>14307</v>
      </c>
      <c r="E2082" s="3" t="s">
        <v>5788</v>
      </c>
      <c r="F2082" s="1" t="s">
        <v>5789</v>
      </c>
      <c r="H2082" s="3" t="s">
        <v>1838</v>
      </c>
      <c r="I2082" s="10" t="str">
        <f>IF(H2082="T47",1,IF(H2082="T47",3,IF(H2082="T63",6,IF(H2082="T63",10,IF(H2082="T95",14,IF(H2082="T95",18,IF(H2082="T63",22,"")))))))</f>
        <v/>
      </c>
      <c r="J2082" s="1" t="s">
        <v>1808</v>
      </c>
      <c r="K2082" s="10">
        <v>2</v>
      </c>
      <c r="L2082" s="10">
        <v>1</v>
      </c>
      <c r="O2082" s="6"/>
      <c r="Q2082" s="42" t="s">
        <v>5682</v>
      </c>
      <c r="R2082" s="42"/>
      <c r="S2082" s="1"/>
    </row>
    <row r="2083" spans="1:19" ht="18.75" hidden="1" customHeight="1" x14ac:dyDescent="0.3">
      <c r="A2083" s="10">
        <v>2082</v>
      </c>
      <c r="B2083" s="10">
        <f>_xlfn.XLOOKUP(1,(VALUE(D2083)&gt;=VALUE(block!$C$3:$C$500))*(VALUE(D2083)&lt;VALUE(block!$C$3:$C$500)+VALUE(block!$D$3:$D$500)),block!$A$3:$A$500,"无匹配",0,1)</f>
        <v>61</v>
      </c>
      <c r="C2083" s="3" t="str">
        <f>B2083 &amp; "-" &amp; COUNTIF($B$2:B2083, B2083)</f>
        <v>61-66</v>
      </c>
      <c r="D2083" s="10">
        <f t="shared" si="2"/>
        <v>14309</v>
      </c>
      <c r="E2083" s="3" t="s">
        <v>5788</v>
      </c>
      <c r="F2083" s="1" t="s">
        <v>5790</v>
      </c>
      <c r="H2083" s="3" t="s">
        <v>5458</v>
      </c>
      <c r="I2083" s="10" t="str">
        <f>IF(H2083="T48",1,IF(H2083="T48",3,IF(H2083="T64",6,IF(H2083="T64",10,IF(H2083="T96",14,IF(H2083="T96",18,IF(H2083="T64",22,"")))))))</f>
        <v/>
      </c>
      <c r="J2083" s="1" t="s">
        <v>1808</v>
      </c>
      <c r="K2083" s="10">
        <v>1</v>
      </c>
      <c r="L2083" s="10">
        <v>1</v>
      </c>
      <c r="O2083" s="6"/>
      <c r="Q2083" s="42" t="s">
        <v>5682</v>
      </c>
      <c r="R2083" s="42"/>
      <c r="S2083" s="1"/>
    </row>
    <row r="2084" spans="1:19" ht="18.75" hidden="1" customHeight="1" x14ac:dyDescent="0.3">
      <c r="A2084" s="10">
        <v>2083</v>
      </c>
      <c r="B2084" s="10">
        <f>_xlfn.XLOOKUP(1,(VALUE(D2084)&gt;=VALUE(block!$C$3:$C$500))*(VALUE(D2084)&lt;VALUE(block!$C$3:$C$500)+VALUE(block!$D$3:$D$500)),block!$A$3:$A$500,"无匹配",0,1)</f>
        <v>61</v>
      </c>
      <c r="C2084" s="3" t="str">
        <f>B2084 &amp; "-" &amp; COUNTIF($B$2:B2084, B2084)</f>
        <v>61-67</v>
      </c>
      <c r="D2084" s="10">
        <f t="shared" si="2"/>
        <v>14310</v>
      </c>
      <c r="E2084" s="1" t="s">
        <v>5791</v>
      </c>
      <c r="F2084" s="1" t="s">
        <v>5792</v>
      </c>
      <c r="G2084" s="1" t="s">
        <v>1834</v>
      </c>
      <c r="H2084" s="1" t="s">
        <v>1812</v>
      </c>
      <c r="I2084" s="10" t="str">
        <f>IF(H2084="T49",1,IF(H2084="T49",3,IF(H2084="T65",6,IF(H2084="T65",10,IF(H2084="T97",14,IF(H2084="T97",18,IF(H2084="T65",22,"")))))))</f>
        <v/>
      </c>
      <c r="J2084" s="1" t="s">
        <v>1808</v>
      </c>
      <c r="K2084" s="10">
        <v>2</v>
      </c>
      <c r="L2084" s="10">
        <v>1</v>
      </c>
      <c r="O2084" s="6"/>
      <c r="P2084" s="42" t="s">
        <v>5560</v>
      </c>
      <c r="Q2084" s="42" t="s">
        <v>5682</v>
      </c>
      <c r="R2084" s="42"/>
      <c r="S2084" s="1"/>
    </row>
    <row r="2085" spans="1:19" ht="18.75" hidden="1" customHeight="1" x14ac:dyDescent="0.3">
      <c r="A2085" s="10">
        <v>2084</v>
      </c>
      <c r="B2085" s="10">
        <f>_xlfn.XLOOKUP(1,(VALUE(D2085)&gt;=VALUE(block!$C$3:$C$500))*(VALUE(D2085)&lt;VALUE(block!$C$3:$C$500)+VALUE(block!$D$3:$D$500)),block!$A$3:$A$500,"无匹配",0,1)</f>
        <v>61</v>
      </c>
      <c r="C2085" s="3" t="str">
        <f>B2085 &amp; "-" &amp; COUNTIF($B$2:B2085, B2085)</f>
        <v>61-68</v>
      </c>
      <c r="D2085" s="10">
        <f t="shared" si="2"/>
        <v>14312</v>
      </c>
      <c r="E2085" s="3" t="s">
        <v>5793</v>
      </c>
      <c r="F2085" s="1" t="s">
        <v>5794</v>
      </c>
      <c r="H2085" s="3" t="s">
        <v>1838</v>
      </c>
      <c r="I2085" s="10" t="str">
        <f>IF(H2085="T50",1,IF(H2085="T50",3,IF(H2085="T66",6,IF(H2085="T66",10,IF(H2085="T98",14,IF(H2085="T98",18,IF(H2085="T66",22,"")))))))</f>
        <v/>
      </c>
      <c r="J2085" s="1" t="s">
        <v>1808</v>
      </c>
      <c r="K2085" s="10">
        <v>2</v>
      </c>
      <c r="L2085" s="10">
        <v>1</v>
      </c>
      <c r="O2085" s="6"/>
      <c r="Q2085" s="42" t="s">
        <v>5682</v>
      </c>
      <c r="R2085" s="42"/>
      <c r="S2085" s="1"/>
    </row>
    <row r="2086" spans="1:19" ht="18.75" hidden="1" customHeight="1" x14ac:dyDescent="0.3">
      <c r="A2086" s="10">
        <v>2085</v>
      </c>
      <c r="B2086" s="10">
        <f>_xlfn.XLOOKUP(1,(VALUE(D2086)&gt;=VALUE(block!$C$3:$C$500))*(VALUE(D2086)&lt;VALUE(block!$C$3:$C$500)+VALUE(block!$D$3:$D$500)),block!$A$3:$A$500,"无匹配",0,1)</f>
        <v>61</v>
      </c>
      <c r="C2086" s="3" t="str">
        <f>B2086 &amp; "-" &amp; COUNTIF($B$2:B2086, B2086)</f>
        <v>61-69</v>
      </c>
      <c r="D2086" s="10">
        <f t="shared" si="2"/>
        <v>14314</v>
      </c>
      <c r="E2086" s="3" t="s">
        <v>5793</v>
      </c>
      <c r="F2086" s="1" t="s">
        <v>5795</v>
      </c>
      <c r="H2086" s="3" t="s">
        <v>5458</v>
      </c>
      <c r="I2086" s="10" t="str">
        <f>IF(H2086="T51",1,IF(H2086="T51",3,IF(H2086="T67",6,IF(H2086="T67",10,IF(H2086="T99",14,IF(H2086="T99",18,IF(H2086="T67",22,"")))))))</f>
        <v/>
      </c>
      <c r="J2086" s="1" t="s">
        <v>1808</v>
      </c>
      <c r="K2086" s="10">
        <v>1</v>
      </c>
      <c r="L2086" s="10">
        <v>1</v>
      </c>
      <c r="O2086" s="6"/>
      <c r="Q2086" s="42" t="s">
        <v>5682</v>
      </c>
      <c r="R2086" s="42"/>
      <c r="S2086" s="1"/>
    </row>
    <row r="2087" spans="1:19" ht="18.75" hidden="1" customHeight="1" x14ac:dyDescent="0.3">
      <c r="A2087" s="10">
        <v>2086</v>
      </c>
      <c r="B2087" s="10">
        <f>_xlfn.XLOOKUP(1,(VALUE(D2087)&gt;=VALUE(block!$C$3:$C$500))*(VALUE(D2087)&lt;VALUE(block!$C$3:$C$500)+VALUE(block!$D$3:$D$500)),block!$A$3:$A$500,"无匹配",0,1)</f>
        <v>61</v>
      </c>
      <c r="C2087" s="3" t="str">
        <f>B2087 &amp; "-" &amp; COUNTIF($B$2:B2087, B2087)</f>
        <v>61-70</v>
      </c>
      <c r="D2087" s="10">
        <f t="shared" si="2"/>
        <v>14315</v>
      </c>
      <c r="E2087" s="1" t="s">
        <v>5796</v>
      </c>
      <c r="F2087" s="1" t="s">
        <v>5797</v>
      </c>
      <c r="G2087" s="1" t="s">
        <v>1836</v>
      </c>
      <c r="H2087" s="1" t="s">
        <v>1812</v>
      </c>
      <c r="I2087" s="10" t="str">
        <f>IF(H2087="T52",1,IF(H2087="T52",3,IF(H2087="T68",6,IF(H2087="T68",10,IF(H2087="T100",14,IF(H2087="T100",18,IF(H2087="T68",22,"")))))))</f>
        <v/>
      </c>
      <c r="J2087" s="1" t="s">
        <v>1808</v>
      </c>
      <c r="K2087" s="10">
        <v>2</v>
      </c>
      <c r="L2087" s="10">
        <v>1</v>
      </c>
      <c r="O2087" s="6"/>
      <c r="P2087" s="42" t="s">
        <v>5560</v>
      </c>
      <c r="Q2087" s="42" t="s">
        <v>5682</v>
      </c>
      <c r="R2087" s="42"/>
      <c r="S2087" s="1"/>
    </row>
    <row r="2088" spans="1:19" ht="18.75" hidden="1" customHeight="1" x14ac:dyDescent="0.3">
      <c r="A2088" s="10">
        <v>2087</v>
      </c>
      <c r="B2088" s="10">
        <f>_xlfn.XLOOKUP(1,(VALUE(D2088)&gt;=VALUE(block!$C$3:$C$500))*(VALUE(D2088)&lt;VALUE(block!$C$3:$C$500)+VALUE(block!$D$3:$D$500)),block!$A$3:$A$500,"无匹配",0,1)</f>
        <v>61</v>
      </c>
      <c r="C2088" s="3" t="str">
        <f>B2088 &amp; "-" &amp; COUNTIF($B$2:B2088, B2088)</f>
        <v>61-71</v>
      </c>
      <c r="D2088" s="10">
        <f t="shared" si="2"/>
        <v>14317</v>
      </c>
      <c r="E2088" s="3" t="s">
        <v>5798</v>
      </c>
      <c r="F2088" s="1" t="s">
        <v>5799</v>
      </c>
      <c r="H2088" s="3" t="s">
        <v>1838</v>
      </c>
      <c r="I2088" s="10" t="str">
        <f>IF(H2088="T53",1,IF(H2088="T53",3,IF(H2088="T69",6,IF(H2088="T69",10,IF(H2088="T101",14,IF(H2088="T101",18,IF(H2088="T69",22,"")))))))</f>
        <v/>
      </c>
      <c r="J2088" s="1" t="s">
        <v>1808</v>
      </c>
      <c r="K2088" s="10">
        <v>2</v>
      </c>
      <c r="L2088" s="10">
        <v>1</v>
      </c>
      <c r="O2088" s="6"/>
      <c r="Q2088" s="42" t="s">
        <v>5682</v>
      </c>
      <c r="R2088" s="42"/>
      <c r="S2088" s="1"/>
    </row>
    <row r="2089" spans="1:19" ht="18.75" hidden="1" customHeight="1" x14ac:dyDescent="0.3">
      <c r="A2089" s="10">
        <v>2088</v>
      </c>
      <c r="B2089" s="10">
        <f>_xlfn.XLOOKUP(1,(VALUE(D2089)&gt;=VALUE(block!$C$3:$C$500))*(VALUE(D2089)&lt;VALUE(block!$C$3:$C$500)+VALUE(block!$D$3:$D$500)),block!$A$3:$A$500,"无匹配",0,1)</f>
        <v>61</v>
      </c>
      <c r="C2089" s="3" t="str">
        <f>B2089 &amp; "-" &amp; COUNTIF($B$2:B2089, B2089)</f>
        <v>61-72</v>
      </c>
      <c r="D2089" s="10">
        <f t="shared" si="2"/>
        <v>14319</v>
      </c>
      <c r="E2089" s="3" t="s">
        <v>5798</v>
      </c>
      <c r="F2089" s="1" t="s">
        <v>5800</v>
      </c>
      <c r="H2089" s="3" t="s">
        <v>5458</v>
      </c>
      <c r="I2089" s="10" t="str">
        <f>IF(H2089="T54",1,IF(H2089="T54",3,IF(H2089="T70",6,IF(H2089="T70",10,IF(H2089="T102",14,IF(H2089="T102",18,IF(H2089="T70",22,"")))))))</f>
        <v/>
      </c>
      <c r="J2089" s="1" t="s">
        <v>1808</v>
      </c>
      <c r="K2089" s="10">
        <v>1</v>
      </c>
      <c r="L2089" s="10">
        <v>1</v>
      </c>
      <c r="O2089" s="6"/>
      <c r="Q2089" s="42" t="s">
        <v>5682</v>
      </c>
      <c r="R2089" s="42"/>
      <c r="S2089" s="1"/>
    </row>
    <row r="2090" spans="1:19" ht="18.75" hidden="1" customHeight="1" x14ac:dyDescent="0.3">
      <c r="A2090" s="10">
        <v>2089</v>
      </c>
      <c r="B2090" s="10">
        <f>_xlfn.XLOOKUP(1,(VALUE(D2090)&gt;=VALUE(block!$C$3:$C$500))*(VALUE(D2090)&lt;VALUE(block!$C$3:$C$500)+VALUE(block!$D$3:$D$500)),block!$A$3:$A$500,"无匹配",0,1)</f>
        <v>62</v>
      </c>
      <c r="C2090" s="3" t="str">
        <f>B2090 &amp; "-" &amp; COUNTIF($B$2:B2090, B2090)</f>
        <v>62-1</v>
      </c>
      <c r="D2090" s="10">
        <f t="shared" si="2"/>
        <v>14320</v>
      </c>
      <c r="E2090" s="1" t="s">
        <v>5801</v>
      </c>
      <c r="F2090" s="1" t="s">
        <v>5802</v>
      </c>
      <c r="G2090" s="1" t="s">
        <v>1830</v>
      </c>
      <c r="H2090" s="1" t="s">
        <v>1812</v>
      </c>
      <c r="I2090" s="10" t="str">
        <f>IF(H2090="T55",1,IF(H2090="T55",3,IF(H2090="T71",6,IF(H2090="T71",10,IF(H2090="T103",14,IF(H2090="T103",18,IF(H2090="T71",22,"")))))))</f>
        <v/>
      </c>
      <c r="J2090" s="1" t="s">
        <v>1808</v>
      </c>
      <c r="K2090" s="10">
        <v>2</v>
      </c>
      <c r="L2090" s="10">
        <v>1</v>
      </c>
      <c r="O2090" s="6"/>
      <c r="P2090" s="42" t="s">
        <v>5560</v>
      </c>
      <c r="Q2090" s="42" t="s">
        <v>5682</v>
      </c>
      <c r="R2090" s="42"/>
      <c r="S2090" s="1"/>
    </row>
    <row r="2091" spans="1:19" ht="18.75" hidden="1" customHeight="1" x14ac:dyDescent="0.3">
      <c r="A2091" s="10">
        <v>2090</v>
      </c>
      <c r="B2091" s="10">
        <f>_xlfn.XLOOKUP(1,(VALUE(D2091)&gt;=VALUE(block!$C$3:$C$500))*(VALUE(D2091)&lt;VALUE(block!$C$3:$C$500)+VALUE(block!$D$3:$D$500)),block!$A$3:$A$500,"无匹配",0,1)</f>
        <v>62</v>
      </c>
      <c r="C2091" s="3" t="str">
        <f>B2091 &amp; "-" &amp; COUNTIF($B$2:B2091, B2091)</f>
        <v>62-2</v>
      </c>
      <c r="D2091" s="10">
        <f t="shared" si="2"/>
        <v>14322</v>
      </c>
      <c r="E2091" s="3" t="s">
        <v>5803</v>
      </c>
      <c r="F2091" s="1" t="s">
        <v>5804</v>
      </c>
      <c r="H2091" s="3" t="s">
        <v>1838</v>
      </c>
      <c r="I2091" s="10" t="str">
        <f>IF(H2091="T56",1,IF(H2091="T56",3,IF(H2091="T72",6,IF(H2091="T72",10,IF(H2091="T104",14,IF(H2091="T104",18,IF(H2091="T72",22,"")))))))</f>
        <v/>
      </c>
      <c r="J2091" s="1" t="s">
        <v>1808</v>
      </c>
      <c r="K2091" s="10">
        <v>2</v>
      </c>
      <c r="L2091" s="10">
        <v>1</v>
      </c>
      <c r="O2091" s="6"/>
      <c r="Q2091" s="42" t="s">
        <v>5682</v>
      </c>
      <c r="R2091" s="42"/>
      <c r="S2091" s="1"/>
    </row>
    <row r="2092" spans="1:19" ht="18.75" hidden="1" customHeight="1" x14ac:dyDescent="0.3">
      <c r="A2092" s="10">
        <v>2091</v>
      </c>
      <c r="B2092" s="10">
        <f>_xlfn.XLOOKUP(1,(VALUE(D2092)&gt;=VALUE(block!$C$3:$C$500))*(VALUE(D2092)&lt;VALUE(block!$C$3:$C$500)+VALUE(block!$D$3:$D$500)),block!$A$3:$A$500,"无匹配",0,1)</f>
        <v>62</v>
      </c>
      <c r="C2092" s="3" t="str">
        <f>B2092 &amp; "-" &amp; COUNTIF($B$2:B2092, B2092)</f>
        <v>62-3</v>
      </c>
      <c r="D2092" s="10">
        <f t="shared" si="2"/>
        <v>14324</v>
      </c>
      <c r="E2092" s="3" t="s">
        <v>5803</v>
      </c>
      <c r="F2092" s="1" t="s">
        <v>5805</v>
      </c>
      <c r="H2092" s="3" t="s">
        <v>5458</v>
      </c>
      <c r="I2092" s="10" t="str">
        <f>IF(H2092="T57",1,IF(H2092="T57",3,IF(H2092="T73",6,IF(H2092="T73",10,IF(H2092="T105",14,IF(H2092="T105",18,IF(H2092="T73",22,"")))))))</f>
        <v/>
      </c>
      <c r="J2092" s="1" t="s">
        <v>1808</v>
      </c>
      <c r="K2092" s="10">
        <v>1</v>
      </c>
      <c r="L2092" s="10">
        <v>1</v>
      </c>
      <c r="O2092" s="6"/>
      <c r="Q2092" s="42" t="s">
        <v>5682</v>
      </c>
      <c r="R2092" s="42"/>
      <c r="S2092" s="1"/>
    </row>
    <row r="2093" spans="1:19" ht="18.75" hidden="1" customHeight="1" x14ac:dyDescent="0.3">
      <c r="A2093" s="10">
        <v>2092</v>
      </c>
      <c r="B2093" s="10">
        <f>_xlfn.XLOOKUP(1,(VALUE(D2093)&gt;=VALUE(block!$C$3:$C$500))*(VALUE(D2093)&lt;VALUE(block!$C$3:$C$500)+VALUE(block!$D$3:$D$500)),block!$A$3:$A$500,"无匹配",0,1)</f>
        <v>62</v>
      </c>
      <c r="C2093" s="3" t="str">
        <f>B2093 &amp; "-" &amp; COUNTIF($B$2:B2093, B2093)</f>
        <v>62-4</v>
      </c>
      <c r="D2093" s="10">
        <f t="shared" si="2"/>
        <v>14325</v>
      </c>
      <c r="E2093" s="1" t="s">
        <v>5806</v>
      </c>
      <c r="F2093" s="1" t="s">
        <v>5807</v>
      </c>
      <c r="G2093" s="1" t="s">
        <v>1832</v>
      </c>
      <c r="H2093" s="1" t="s">
        <v>1812</v>
      </c>
      <c r="I2093" s="10" t="str">
        <f>IF(H2093="T58",1,IF(H2093="T58",3,IF(H2093="T74",6,IF(H2093="T74",10,IF(H2093="T106",14,IF(H2093="T106",18,IF(H2093="T74",22,"")))))))</f>
        <v/>
      </c>
      <c r="J2093" s="1" t="s">
        <v>1808</v>
      </c>
      <c r="K2093" s="10">
        <v>2</v>
      </c>
      <c r="L2093" s="10">
        <v>1</v>
      </c>
      <c r="O2093" s="6"/>
      <c r="P2093" s="42" t="s">
        <v>5560</v>
      </c>
      <c r="Q2093" s="42" t="s">
        <v>5682</v>
      </c>
      <c r="R2093" s="42"/>
      <c r="S2093" s="1"/>
    </row>
    <row r="2094" spans="1:19" ht="18.75" hidden="1" customHeight="1" x14ac:dyDescent="0.3">
      <c r="A2094" s="10">
        <v>2093</v>
      </c>
      <c r="B2094" s="10">
        <f>_xlfn.XLOOKUP(1,(VALUE(D2094)&gt;=VALUE(block!$C$3:$C$500))*(VALUE(D2094)&lt;VALUE(block!$C$3:$C$500)+VALUE(block!$D$3:$D$500)),block!$A$3:$A$500,"无匹配",0,1)</f>
        <v>62</v>
      </c>
      <c r="C2094" s="3" t="str">
        <f>B2094 &amp; "-" &amp; COUNTIF($B$2:B2094, B2094)</f>
        <v>62-5</v>
      </c>
      <c r="D2094" s="10">
        <f t="shared" si="2"/>
        <v>14327</v>
      </c>
      <c r="E2094" s="3" t="s">
        <v>5808</v>
      </c>
      <c r="F2094" s="1" t="s">
        <v>5809</v>
      </c>
      <c r="H2094" s="3" t="s">
        <v>1838</v>
      </c>
      <c r="I2094" s="10" t="str">
        <f>IF(H2094="T59",1,IF(H2094="T59",3,IF(H2094="T75",6,IF(H2094="T75",10,IF(H2094="T107",14,IF(H2094="T107",18,IF(H2094="T75",22,"")))))))</f>
        <v/>
      </c>
      <c r="J2094" s="1" t="s">
        <v>1808</v>
      </c>
      <c r="K2094" s="10">
        <v>2</v>
      </c>
      <c r="L2094" s="10">
        <v>1</v>
      </c>
      <c r="O2094" s="6"/>
      <c r="Q2094" s="42" t="s">
        <v>5682</v>
      </c>
      <c r="R2094" s="42"/>
      <c r="S2094" s="1"/>
    </row>
    <row r="2095" spans="1:19" ht="18.75" hidden="1" customHeight="1" x14ac:dyDescent="0.3">
      <c r="A2095" s="10">
        <v>2094</v>
      </c>
      <c r="B2095" s="10">
        <f>_xlfn.XLOOKUP(1,(VALUE(D2095)&gt;=VALUE(block!$C$3:$C$500))*(VALUE(D2095)&lt;VALUE(block!$C$3:$C$500)+VALUE(block!$D$3:$D$500)),block!$A$3:$A$500,"无匹配",0,1)</f>
        <v>62</v>
      </c>
      <c r="C2095" s="3" t="str">
        <f>B2095 &amp; "-" &amp; COUNTIF($B$2:B2095, B2095)</f>
        <v>62-6</v>
      </c>
      <c r="D2095" s="10">
        <f t="shared" si="2"/>
        <v>14329</v>
      </c>
      <c r="E2095" s="1" t="s">
        <v>5810</v>
      </c>
      <c r="F2095" s="1" t="s">
        <v>5811</v>
      </c>
      <c r="H2095" s="3" t="s">
        <v>5458</v>
      </c>
      <c r="I2095" s="10" t="str">
        <f>IF(H2095="T60",1,IF(H2095="T60",3,IF(H2095="T76",6,IF(H2095="T76",10,IF(H2095="T108",14,IF(H2095="T108",18,IF(H2095="T76",22,"")))))))</f>
        <v/>
      </c>
      <c r="J2095" s="1" t="s">
        <v>1808</v>
      </c>
      <c r="K2095" s="10">
        <v>1</v>
      </c>
      <c r="L2095" s="10">
        <v>1</v>
      </c>
      <c r="O2095" s="6"/>
      <c r="Q2095" s="42" t="s">
        <v>5682</v>
      </c>
      <c r="R2095" s="42"/>
      <c r="S2095" s="1"/>
    </row>
    <row r="2096" spans="1:19" ht="18.75" hidden="1" customHeight="1" x14ac:dyDescent="0.3">
      <c r="A2096" s="10">
        <v>2095</v>
      </c>
      <c r="B2096" s="10">
        <f>_xlfn.XLOOKUP(1,(VALUE(D2096)&gt;=VALUE(block!$C$3:$C$500))*(VALUE(D2096)&lt;VALUE(block!$C$3:$C$500)+VALUE(block!$D$3:$D$500)),block!$A$3:$A$500,"无匹配",0,1)</f>
        <v>62</v>
      </c>
      <c r="C2096" s="3" t="str">
        <f>B2096 &amp; "-" &amp; COUNTIF($B$2:B2096, B2096)</f>
        <v>62-7</v>
      </c>
      <c r="D2096" s="10">
        <f t="shared" si="2"/>
        <v>14330</v>
      </c>
      <c r="E2096" s="1" t="s">
        <v>5812</v>
      </c>
      <c r="F2096" s="1" t="s">
        <v>5813</v>
      </c>
      <c r="G2096" s="1" t="s">
        <v>1832</v>
      </c>
      <c r="H2096" s="1" t="s">
        <v>1812</v>
      </c>
      <c r="I2096" s="10" t="str">
        <f>IF(H2096="T61",1,IF(H2096="T61",3,IF(H2096="T77",6,IF(H2096="T77",10,IF(H2096="T109",14,IF(H2096="T109",18,IF(H2096="T77",22,"")))))))</f>
        <v/>
      </c>
      <c r="J2096" s="1" t="s">
        <v>1808</v>
      </c>
      <c r="K2096" s="10">
        <v>2</v>
      </c>
      <c r="L2096" s="10">
        <v>1</v>
      </c>
      <c r="O2096" s="6"/>
      <c r="P2096" s="42" t="s">
        <v>5560</v>
      </c>
      <c r="Q2096" s="42" t="s">
        <v>5682</v>
      </c>
      <c r="R2096" s="42"/>
      <c r="S2096" s="1"/>
    </row>
    <row r="2097" spans="1:19" ht="18.75" hidden="1" customHeight="1" x14ac:dyDescent="0.3">
      <c r="A2097" s="10">
        <v>2096</v>
      </c>
      <c r="B2097" s="10">
        <f>_xlfn.XLOOKUP(1,(VALUE(D2097)&gt;=VALUE(block!$C$3:$C$500))*(VALUE(D2097)&lt;VALUE(block!$C$3:$C$500)+VALUE(block!$D$3:$D$500)),block!$A$3:$A$500,"无匹配",0,1)</f>
        <v>62</v>
      </c>
      <c r="C2097" s="3" t="str">
        <f>B2097 &amp; "-" &amp; COUNTIF($B$2:B2097, B2097)</f>
        <v>62-8</v>
      </c>
      <c r="D2097" s="10">
        <f t="shared" si="2"/>
        <v>14332</v>
      </c>
      <c r="E2097" s="3" t="s">
        <v>5814</v>
      </c>
      <c r="F2097" s="1" t="s">
        <v>5815</v>
      </c>
      <c r="H2097" s="3" t="s">
        <v>1838</v>
      </c>
      <c r="I2097" s="10" t="str">
        <f>IF(H2097="T62",1,IF(H2097="T62",3,IF(H2097="T78",6,IF(H2097="T78",10,IF(H2097="T110",14,IF(H2097="T110",18,IF(H2097="T78",22,"")))))))</f>
        <v/>
      </c>
      <c r="J2097" s="1" t="s">
        <v>1808</v>
      </c>
      <c r="K2097" s="10">
        <v>2</v>
      </c>
      <c r="L2097" s="10">
        <v>1</v>
      </c>
      <c r="O2097" s="6"/>
      <c r="Q2097" s="42" t="s">
        <v>5682</v>
      </c>
      <c r="R2097" s="42"/>
      <c r="S2097" s="1"/>
    </row>
    <row r="2098" spans="1:19" ht="18.75" hidden="1" customHeight="1" x14ac:dyDescent="0.3">
      <c r="A2098" s="10">
        <v>2097</v>
      </c>
      <c r="B2098" s="10">
        <f>_xlfn.XLOOKUP(1,(VALUE(D2098)&gt;=VALUE(block!$C$3:$C$500))*(VALUE(D2098)&lt;VALUE(block!$C$3:$C$500)+VALUE(block!$D$3:$D$500)),block!$A$3:$A$500,"无匹配",0,1)</f>
        <v>62</v>
      </c>
      <c r="C2098" s="3" t="str">
        <f>B2098 &amp; "-" &amp; COUNTIF($B$2:B2098, B2098)</f>
        <v>62-9</v>
      </c>
      <c r="D2098" s="10">
        <f t="shared" si="2"/>
        <v>14334</v>
      </c>
      <c r="E2098" s="3" t="s">
        <v>5814</v>
      </c>
      <c r="F2098" s="1" t="s">
        <v>5816</v>
      </c>
      <c r="H2098" s="3" t="s">
        <v>5458</v>
      </c>
      <c r="I2098" s="10" t="str">
        <f>IF(H2098="T63",1,IF(H2098="T63",3,IF(H2098="T79",6,IF(H2098="T79",10,IF(H2098="T111",14,IF(H2098="T111",18,IF(H2098="T79",22,"")))))))</f>
        <v/>
      </c>
      <c r="J2098" s="1" t="s">
        <v>1808</v>
      </c>
      <c r="K2098" s="10">
        <v>1</v>
      </c>
      <c r="L2098" s="10">
        <v>1</v>
      </c>
      <c r="O2098" s="6"/>
      <c r="Q2098" s="42" t="s">
        <v>5682</v>
      </c>
      <c r="R2098" s="42"/>
      <c r="S2098" s="1"/>
    </row>
    <row r="2099" spans="1:19" ht="18.75" hidden="1" customHeight="1" x14ac:dyDescent="0.3">
      <c r="A2099" s="10">
        <v>2098</v>
      </c>
      <c r="B2099" s="10">
        <f>_xlfn.XLOOKUP(1,(VALUE(D2099)&gt;=VALUE(block!$C$3:$C$500))*(VALUE(D2099)&lt;VALUE(block!$C$3:$C$500)+VALUE(block!$D$3:$D$500)),block!$A$3:$A$500,"无匹配",0,1)</f>
        <v>62</v>
      </c>
      <c r="C2099" s="3" t="str">
        <f>B2099 &amp; "-" &amp; COUNTIF($B$2:B2099, B2099)</f>
        <v>62-10</v>
      </c>
      <c r="D2099" s="10">
        <f t="shared" si="2"/>
        <v>14335</v>
      </c>
      <c r="E2099" s="1" t="s">
        <v>5817</v>
      </c>
      <c r="F2099" s="1" t="s">
        <v>5818</v>
      </c>
      <c r="G2099" s="1" t="s">
        <v>1834</v>
      </c>
      <c r="H2099" s="1" t="s">
        <v>1812</v>
      </c>
      <c r="I2099" s="10" t="str">
        <f>IF(H2099="T64",1,IF(H2099="T64",3,IF(H2099="T80",6,IF(H2099="T80",10,IF(H2099="T112",14,IF(H2099="T112",18,IF(H2099="T80",22,"")))))))</f>
        <v/>
      </c>
      <c r="J2099" s="1" t="s">
        <v>1808</v>
      </c>
      <c r="K2099" s="10">
        <v>2</v>
      </c>
      <c r="L2099" s="10">
        <v>1</v>
      </c>
      <c r="O2099" s="6"/>
      <c r="P2099" s="42" t="s">
        <v>5560</v>
      </c>
      <c r="Q2099" s="42" t="s">
        <v>5682</v>
      </c>
      <c r="R2099" s="42"/>
      <c r="S2099" s="1"/>
    </row>
    <row r="2100" spans="1:19" ht="18.75" hidden="1" customHeight="1" x14ac:dyDescent="0.3">
      <c r="A2100" s="10">
        <v>2099</v>
      </c>
      <c r="B2100" s="10">
        <f>_xlfn.XLOOKUP(1,(VALUE(D2100)&gt;=VALUE(block!$C$3:$C$500))*(VALUE(D2100)&lt;VALUE(block!$C$3:$C$500)+VALUE(block!$D$3:$D$500)),block!$A$3:$A$500,"无匹配",0,1)</f>
        <v>62</v>
      </c>
      <c r="C2100" s="3" t="str">
        <f>B2100 &amp; "-" &amp; COUNTIF($B$2:B2100, B2100)</f>
        <v>62-11</v>
      </c>
      <c r="D2100" s="10">
        <f t="shared" si="2"/>
        <v>14337</v>
      </c>
      <c r="E2100" s="3" t="s">
        <v>5819</v>
      </c>
      <c r="F2100" s="1" t="s">
        <v>5820</v>
      </c>
      <c r="H2100" s="3" t="s">
        <v>1838</v>
      </c>
      <c r="I2100" s="10" t="str">
        <f>IF(H2100="T65",1,IF(H2100="T65",3,IF(H2100="T81",6,IF(H2100="T81",10,IF(H2100="T113",14,IF(H2100="T113",18,IF(H2100="T81",22,"")))))))</f>
        <v/>
      </c>
      <c r="J2100" s="1" t="s">
        <v>1808</v>
      </c>
      <c r="K2100" s="10">
        <v>2</v>
      </c>
      <c r="L2100" s="10">
        <v>1</v>
      </c>
      <c r="O2100" s="6"/>
      <c r="Q2100" s="42" t="s">
        <v>5682</v>
      </c>
      <c r="R2100" s="42"/>
      <c r="S2100" s="1"/>
    </row>
    <row r="2101" spans="1:19" ht="18.75" hidden="1" customHeight="1" x14ac:dyDescent="0.3">
      <c r="A2101" s="10">
        <v>2100</v>
      </c>
      <c r="B2101" s="10">
        <f>_xlfn.XLOOKUP(1,(VALUE(D2101)&gt;=VALUE(block!$C$3:$C$500))*(VALUE(D2101)&lt;VALUE(block!$C$3:$C$500)+VALUE(block!$D$3:$D$500)),block!$A$3:$A$500,"无匹配",0,1)</f>
        <v>62</v>
      </c>
      <c r="C2101" s="3" t="str">
        <f>B2101 &amp; "-" &amp; COUNTIF($B$2:B2101, B2101)</f>
        <v>62-12</v>
      </c>
      <c r="D2101" s="10">
        <f t="shared" si="2"/>
        <v>14339</v>
      </c>
      <c r="E2101" s="3" t="s">
        <v>5819</v>
      </c>
      <c r="F2101" s="1" t="s">
        <v>5821</v>
      </c>
      <c r="H2101" s="3" t="s">
        <v>5458</v>
      </c>
      <c r="I2101" s="10" t="str">
        <f>IF(H2101="T66",1,IF(H2101="T66",3,IF(H2101="T82",6,IF(H2101="T82",10,IF(H2101="T114",14,IF(H2101="T114",18,IF(H2101="T82",22,"")))))))</f>
        <v/>
      </c>
      <c r="J2101" s="1" t="s">
        <v>1808</v>
      </c>
      <c r="K2101" s="10">
        <v>1</v>
      </c>
      <c r="L2101" s="10">
        <v>1</v>
      </c>
      <c r="O2101" s="6"/>
      <c r="Q2101" s="42" t="s">
        <v>5682</v>
      </c>
      <c r="R2101" s="42"/>
      <c r="S2101" s="1"/>
    </row>
    <row r="2102" spans="1:19" ht="18.75" hidden="1" customHeight="1" x14ac:dyDescent="0.3">
      <c r="A2102" s="10">
        <v>2101</v>
      </c>
      <c r="B2102" s="10">
        <f>_xlfn.XLOOKUP(1,(VALUE(D2102)&gt;=VALUE(block!$C$3:$C$500))*(VALUE(D2102)&lt;VALUE(block!$C$3:$C$500)+VALUE(block!$D$3:$D$500)),block!$A$3:$A$500,"无匹配",0,1)</f>
        <v>62</v>
      </c>
      <c r="C2102" s="3" t="str">
        <f>B2102 &amp; "-" &amp; COUNTIF($B$2:B2102, B2102)</f>
        <v>62-13</v>
      </c>
      <c r="D2102" s="10">
        <f t="shared" si="2"/>
        <v>14340</v>
      </c>
      <c r="E2102" s="1" t="s">
        <v>5822</v>
      </c>
      <c r="F2102" s="1" t="s">
        <v>5823</v>
      </c>
      <c r="G2102" s="1" t="s">
        <v>1834</v>
      </c>
      <c r="H2102" s="1" t="s">
        <v>1812</v>
      </c>
      <c r="I2102" s="10" t="str">
        <f>IF(H2102="T67",1,IF(H2102="T67",3,IF(H2102="T83",6,IF(H2102="T83",10,IF(H2102="T115",14,IF(H2102="T115",18,IF(H2102="T83",22,"")))))))</f>
        <v/>
      </c>
      <c r="J2102" s="1" t="s">
        <v>1808</v>
      </c>
      <c r="K2102" s="10">
        <v>2</v>
      </c>
      <c r="L2102" s="10">
        <v>1</v>
      </c>
      <c r="O2102" s="6"/>
      <c r="P2102" s="42" t="s">
        <v>5560</v>
      </c>
      <c r="Q2102" s="42" t="s">
        <v>5682</v>
      </c>
      <c r="R2102" s="42"/>
      <c r="S2102" s="1"/>
    </row>
    <row r="2103" spans="1:19" ht="18.75" hidden="1" customHeight="1" x14ac:dyDescent="0.3">
      <c r="A2103" s="10">
        <v>2102</v>
      </c>
      <c r="B2103" s="10">
        <f>_xlfn.XLOOKUP(1,(VALUE(D2103)&gt;=VALUE(block!$C$3:$C$500))*(VALUE(D2103)&lt;VALUE(block!$C$3:$C$500)+VALUE(block!$D$3:$D$500)),block!$A$3:$A$500,"无匹配",0,1)</f>
        <v>62</v>
      </c>
      <c r="C2103" s="3" t="str">
        <f>B2103 &amp; "-" &amp; COUNTIF($B$2:B2103, B2103)</f>
        <v>62-14</v>
      </c>
      <c r="D2103" s="10">
        <f t="shared" si="2"/>
        <v>14342</v>
      </c>
      <c r="E2103" s="3" t="s">
        <v>5824</v>
      </c>
      <c r="F2103" s="1" t="s">
        <v>5825</v>
      </c>
      <c r="H2103" s="3" t="s">
        <v>1838</v>
      </c>
      <c r="I2103" s="10" t="str">
        <f>IF(H2103="T68",1,IF(H2103="T68",3,IF(H2103="T84",6,IF(H2103="T84",10,IF(H2103="T116",14,IF(H2103="T116",18,IF(H2103="T84",22,"")))))))</f>
        <v/>
      </c>
      <c r="J2103" s="1" t="s">
        <v>1808</v>
      </c>
      <c r="K2103" s="10">
        <v>2</v>
      </c>
      <c r="L2103" s="10">
        <v>1</v>
      </c>
      <c r="O2103" s="6"/>
      <c r="Q2103" s="42" t="s">
        <v>5682</v>
      </c>
      <c r="R2103" s="42"/>
      <c r="S2103" s="1"/>
    </row>
    <row r="2104" spans="1:19" ht="18.75" hidden="1" customHeight="1" x14ac:dyDescent="0.3">
      <c r="A2104" s="10">
        <v>2103</v>
      </c>
      <c r="B2104" s="10">
        <f>_xlfn.XLOOKUP(1,(VALUE(D2104)&gt;=VALUE(block!$C$3:$C$500))*(VALUE(D2104)&lt;VALUE(block!$C$3:$C$500)+VALUE(block!$D$3:$D$500)),block!$A$3:$A$500,"无匹配",0,1)</f>
        <v>62</v>
      </c>
      <c r="C2104" s="3" t="str">
        <f>B2104 &amp; "-" &amp; COUNTIF($B$2:B2104, B2104)</f>
        <v>62-15</v>
      </c>
      <c r="D2104" s="10">
        <f t="shared" si="2"/>
        <v>14344</v>
      </c>
      <c r="E2104" s="3" t="s">
        <v>5824</v>
      </c>
      <c r="F2104" s="1" t="s">
        <v>5826</v>
      </c>
      <c r="H2104" s="3" t="s">
        <v>5458</v>
      </c>
      <c r="I2104" s="10" t="str">
        <f>IF(H2104="T69",1,IF(H2104="T69",3,IF(H2104="T85",6,IF(H2104="T85",10,IF(H2104="T117",14,IF(H2104="T117",18,IF(H2104="T85",22,"")))))))</f>
        <v/>
      </c>
      <c r="J2104" s="1" t="s">
        <v>1808</v>
      </c>
      <c r="K2104" s="10">
        <v>1</v>
      </c>
      <c r="L2104" s="10">
        <v>1</v>
      </c>
      <c r="O2104" s="6"/>
      <c r="Q2104" s="42" t="s">
        <v>5682</v>
      </c>
      <c r="R2104" s="42"/>
      <c r="S2104" s="1"/>
    </row>
    <row r="2105" spans="1:19" ht="18.75" hidden="1" customHeight="1" x14ac:dyDescent="0.3">
      <c r="A2105" s="10">
        <v>2104</v>
      </c>
      <c r="B2105" s="10">
        <f>_xlfn.XLOOKUP(1,(VALUE(D2105)&gt;=VALUE(block!$C$3:$C$500))*(VALUE(D2105)&lt;VALUE(block!$C$3:$C$500)+VALUE(block!$D$3:$D$500)),block!$A$3:$A$500,"无匹配",0,1)</f>
        <v>62</v>
      </c>
      <c r="C2105" s="3" t="str">
        <f>B2105 &amp; "-" &amp; COUNTIF($B$2:B2105, B2105)</f>
        <v>62-16</v>
      </c>
      <c r="D2105" s="10">
        <f t="shared" si="2"/>
        <v>14345</v>
      </c>
      <c r="E2105" s="1" t="s">
        <v>5827</v>
      </c>
      <c r="F2105" s="1" t="s">
        <v>5828</v>
      </c>
      <c r="G2105" s="1" t="s">
        <v>1836</v>
      </c>
      <c r="H2105" s="1" t="s">
        <v>1812</v>
      </c>
      <c r="I2105" s="10" t="str">
        <f>IF(H2105="T70",1,IF(H2105="T70",3,IF(H2105="T86",6,IF(H2105="T86",10,IF(H2105="T118",14,IF(H2105="T118",18,IF(H2105="T86",22,"")))))))</f>
        <v/>
      </c>
      <c r="J2105" s="1" t="s">
        <v>1808</v>
      </c>
      <c r="K2105" s="10">
        <v>2</v>
      </c>
      <c r="L2105" s="10">
        <v>1</v>
      </c>
      <c r="O2105" s="6"/>
      <c r="P2105" s="42" t="s">
        <v>5560</v>
      </c>
      <c r="Q2105" s="42" t="s">
        <v>5682</v>
      </c>
      <c r="R2105" s="42"/>
      <c r="S2105" s="1"/>
    </row>
    <row r="2106" spans="1:19" ht="18.75" hidden="1" customHeight="1" x14ac:dyDescent="0.3">
      <c r="A2106" s="10">
        <v>2105</v>
      </c>
      <c r="B2106" s="10">
        <f>_xlfn.XLOOKUP(1,(VALUE(D2106)&gt;=VALUE(block!$C$3:$C$500))*(VALUE(D2106)&lt;VALUE(block!$C$3:$C$500)+VALUE(block!$D$3:$D$500)),block!$A$3:$A$500,"无匹配",0,1)</f>
        <v>62</v>
      </c>
      <c r="C2106" s="3" t="str">
        <f>B2106 &amp; "-" &amp; COUNTIF($B$2:B2106, B2106)</f>
        <v>62-17</v>
      </c>
      <c r="D2106" s="10">
        <f t="shared" si="2"/>
        <v>14347</v>
      </c>
      <c r="E2106" s="3" t="s">
        <v>5829</v>
      </c>
      <c r="F2106" s="1" t="s">
        <v>5830</v>
      </c>
      <c r="H2106" s="3" t="s">
        <v>1838</v>
      </c>
      <c r="I2106" s="10" t="str">
        <f>IF(H2106="T71",1,IF(H2106="T71",3,IF(H2106="T87",6,IF(H2106="T87",10,IF(H2106="T119",14,IF(H2106="T119",18,IF(H2106="T87",22,"")))))))</f>
        <v/>
      </c>
      <c r="J2106" s="1" t="s">
        <v>1808</v>
      </c>
      <c r="K2106" s="10">
        <v>2</v>
      </c>
      <c r="L2106" s="10">
        <v>1</v>
      </c>
      <c r="O2106" s="6"/>
      <c r="Q2106" s="42" t="s">
        <v>5682</v>
      </c>
      <c r="R2106" s="42"/>
      <c r="S2106" s="1"/>
    </row>
    <row r="2107" spans="1:19" ht="18.75" hidden="1" customHeight="1" x14ac:dyDescent="0.3">
      <c r="A2107" s="10">
        <v>2106</v>
      </c>
      <c r="B2107" s="10">
        <f>_xlfn.XLOOKUP(1,(VALUE(D2107)&gt;=VALUE(block!$C$3:$C$500))*(VALUE(D2107)&lt;VALUE(block!$C$3:$C$500)+VALUE(block!$D$3:$D$500)),block!$A$3:$A$500,"无匹配",0,1)</f>
        <v>62</v>
      </c>
      <c r="C2107" s="3" t="str">
        <f>B2107 &amp; "-" &amp; COUNTIF($B$2:B2107, B2107)</f>
        <v>62-18</v>
      </c>
      <c r="D2107" s="10">
        <f t="shared" si="2"/>
        <v>14349</v>
      </c>
      <c r="E2107" s="3" t="s">
        <v>5829</v>
      </c>
      <c r="F2107" s="1" t="s">
        <v>5831</v>
      </c>
      <c r="H2107" s="3" t="s">
        <v>5458</v>
      </c>
      <c r="I2107" s="10" t="str">
        <f>IF(H2107="T72",1,IF(H2107="T72",3,IF(H2107="T88",6,IF(H2107="T88",10,IF(H2107="T120",14,IF(H2107="T120",18,IF(H2107="T88",22,"")))))))</f>
        <v/>
      </c>
      <c r="J2107" s="1" t="s">
        <v>1808</v>
      </c>
      <c r="K2107" s="10">
        <v>1</v>
      </c>
      <c r="L2107" s="10">
        <v>1</v>
      </c>
      <c r="O2107" s="6"/>
      <c r="Q2107" s="42" t="s">
        <v>5682</v>
      </c>
      <c r="R2107" s="42"/>
      <c r="S2107" s="1"/>
    </row>
    <row r="2108" spans="1:19" ht="18.75" hidden="1" customHeight="1" x14ac:dyDescent="0.3">
      <c r="A2108" s="10">
        <v>2107</v>
      </c>
      <c r="B2108" s="10">
        <f>_xlfn.XLOOKUP(1,(VALUE(D2108)&gt;=VALUE(block!$C$3:$C$500))*(VALUE(D2108)&lt;VALUE(block!$C$3:$C$500)+VALUE(block!$D$3:$D$500)),block!$A$3:$A$500,"无匹配",0,1)</f>
        <v>62</v>
      </c>
      <c r="C2108" s="3" t="str">
        <f>B2108 &amp; "-" &amp; COUNTIF($B$2:B2108, B2108)</f>
        <v>62-19</v>
      </c>
      <c r="D2108" s="10">
        <f t="shared" si="2"/>
        <v>14350</v>
      </c>
      <c r="E2108" s="1" t="s">
        <v>5832</v>
      </c>
      <c r="F2108" s="1" t="s">
        <v>5833</v>
      </c>
      <c r="G2108" s="1" t="s">
        <v>1830</v>
      </c>
      <c r="H2108" s="1" t="s">
        <v>1812</v>
      </c>
      <c r="I2108" s="10" t="str">
        <f>IF(H2108="T73",1,IF(H2108="T73",3,IF(H2108="T89",6,IF(H2108="T89",10,IF(H2108="T121",14,IF(H2108="T121",18,IF(H2108="T89",22,"")))))))</f>
        <v/>
      </c>
      <c r="J2108" s="1" t="s">
        <v>1808</v>
      </c>
      <c r="K2108" s="10">
        <v>2</v>
      </c>
      <c r="L2108" s="10">
        <v>1</v>
      </c>
      <c r="O2108" s="6"/>
      <c r="P2108" s="42" t="s">
        <v>5560</v>
      </c>
      <c r="Q2108" s="42" t="s">
        <v>5682</v>
      </c>
      <c r="R2108" s="42"/>
      <c r="S2108" s="1"/>
    </row>
    <row r="2109" spans="1:19" ht="18.75" hidden="1" customHeight="1" x14ac:dyDescent="0.3">
      <c r="A2109" s="10">
        <v>2108</v>
      </c>
      <c r="B2109" s="10">
        <f>_xlfn.XLOOKUP(1,(VALUE(D2109)&gt;=VALUE(block!$C$3:$C$500))*(VALUE(D2109)&lt;VALUE(block!$C$3:$C$500)+VALUE(block!$D$3:$D$500)),block!$A$3:$A$500,"无匹配",0,1)</f>
        <v>62</v>
      </c>
      <c r="C2109" s="3" t="str">
        <f>B2109 &amp; "-" &amp; COUNTIF($B$2:B2109, B2109)</f>
        <v>62-20</v>
      </c>
      <c r="D2109" s="10">
        <f t="shared" si="2"/>
        <v>14352</v>
      </c>
      <c r="E2109" s="3" t="s">
        <v>5834</v>
      </c>
      <c r="F2109" s="1" t="s">
        <v>5835</v>
      </c>
      <c r="H2109" s="3" t="s">
        <v>1838</v>
      </c>
      <c r="I2109" s="10" t="str">
        <f>IF(H2109="T74",1,IF(H2109="T74",3,IF(H2109="T90",6,IF(H2109="T90",10,IF(H2109="T122",14,IF(H2109="T122",18,IF(H2109="T90",22,"")))))))</f>
        <v/>
      </c>
      <c r="J2109" s="1" t="s">
        <v>1808</v>
      </c>
      <c r="K2109" s="10">
        <v>2</v>
      </c>
      <c r="L2109" s="10">
        <v>1</v>
      </c>
      <c r="O2109" s="6"/>
      <c r="Q2109" s="42" t="s">
        <v>5682</v>
      </c>
      <c r="R2109" s="42"/>
      <c r="S2109" s="1"/>
    </row>
    <row r="2110" spans="1:19" ht="18.75" hidden="1" customHeight="1" x14ac:dyDescent="0.3">
      <c r="A2110" s="10">
        <v>2109</v>
      </c>
      <c r="B2110" s="10">
        <f>_xlfn.XLOOKUP(1,(VALUE(D2110)&gt;=VALUE(block!$C$3:$C$500))*(VALUE(D2110)&lt;VALUE(block!$C$3:$C$500)+VALUE(block!$D$3:$D$500)),block!$A$3:$A$500,"无匹配",0,1)</f>
        <v>62</v>
      </c>
      <c r="C2110" s="3" t="str">
        <f>B2110 &amp; "-" &amp; COUNTIF($B$2:B2110, B2110)</f>
        <v>62-21</v>
      </c>
      <c r="D2110" s="10">
        <f t="shared" si="2"/>
        <v>14354</v>
      </c>
      <c r="E2110" s="3" t="s">
        <v>5834</v>
      </c>
      <c r="F2110" s="1" t="s">
        <v>5836</v>
      </c>
      <c r="H2110" s="3" t="s">
        <v>5458</v>
      </c>
      <c r="I2110" s="10" t="str">
        <f>IF(H2110="T75",1,IF(H2110="T75",3,IF(H2110="T91",6,IF(H2110="T91",10,IF(H2110="T123",14,IF(H2110="T123",18,IF(H2110="T91",22,"")))))))</f>
        <v/>
      </c>
      <c r="J2110" s="1" t="s">
        <v>1808</v>
      </c>
      <c r="K2110" s="10">
        <v>1</v>
      </c>
      <c r="L2110" s="10">
        <v>1</v>
      </c>
      <c r="O2110" s="6"/>
      <c r="Q2110" s="42" t="s">
        <v>5682</v>
      </c>
      <c r="R2110" s="42"/>
      <c r="S2110" s="1"/>
    </row>
    <row r="2111" spans="1:19" ht="18.75" hidden="1" customHeight="1" x14ac:dyDescent="0.3">
      <c r="A2111" s="10">
        <v>2110</v>
      </c>
      <c r="B2111" s="10">
        <f>_xlfn.XLOOKUP(1,(VALUE(D2111)&gt;=VALUE(block!$C$3:$C$500))*(VALUE(D2111)&lt;VALUE(block!$C$3:$C$500)+VALUE(block!$D$3:$D$500)),block!$A$3:$A$500,"无匹配",0,1)</f>
        <v>62</v>
      </c>
      <c r="C2111" s="3" t="str">
        <f>B2111 &amp; "-" &amp; COUNTIF($B$2:B2111, B2111)</f>
        <v>62-22</v>
      </c>
      <c r="D2111" s="10">
        <f t="shared" si="2"/>
        <v>14355</v>
      </c>
      <c r="E2111" s="1" t="s">
        <v>5837</v>
      </c>
      <c r="F2111" s="1" t="s">
        <v>5838</v>
      </c>
      <c r="G2111" s="1" t="s">
        <v>1832</v>
      </c>
      <c r="H2111" s="1" t="s">
        <v>1812</v>
      </c>
      <c r="I2111" s="10" t="str">
        <f>IF(H2111="T76",1,IF(H2111="T76",3,IF(H2111="T92",6,IF(H2111="T92",10,IF(H2111="T124",14,IF(H2111="T124",18,IF(H2111="T92",22,"")))))))</f>
        <v/>
      </c>
      <c r="J2111" s="1" t="s">
        <v>1808</v>
      </c>
      <c r="K2111" s="10">
        <v>2</v>
      </c>
      <c r="L2111" s="10">
        <v>1</v>
      </c>
      <c r="O2111" s="6"/>
      <c r="P2111" s="42" t="s">
        <v>5560</v>
      </c>
      <c r="Q2111" s="42" t="s">
        <v>5682</v>
      </c>
      <c r="R2111" s="42"/>
      <c r="S2111" s="1"/>
    </row>
    <row r="2112" spans="1:19" ht="18.75" hidden="1" customHeight="1" x14ac:dyDescent="0.3">
      <c r="A2112" s="10">
        <v>2111</v>
      </c>
      <c r="B2112" s="10">
        <f>_xlfn.XLOOKUP(1,(VALUE(D2112)&gt;=VALUE(block!$C$3:$C$500))*(VALUE(D2112)&lt;VALUE(block!$C$3:$C$500)+VALUE(block!$D$3:$D$500)),block!$A$3:$A$500,"无匹配",0,1)</f>
        <v>62</v>
      </c>
      <c r="C2112" s="3" t="str">
        <f>B2112 &amp; "-" &amp; COUNTIF($B$2:B2112, B2112)</f>
        <v>62-23</v>
      </c>
      <c r="D2112" s="10">
        <f t="shared" si="2"/>
        <v>14357</v>
      </c>
      <c r="E2112" s="3" t="s">
        <v>5839</v>
      </c>
      <c r="F2112" s="1" t="s">
        <v>5840</v>
      </c>
      <c r="H2112" s="3" t="s">
        <v>1838</v>
      </c>
      <c r="I2112" s="10" t="str">
        <f>IF(H2112="T77",1,IF(H2112="T77",3,IF(H2112="T93",6,IF(H2112="T93",10,IF(H2112="T125",14,IF(H2112="T125",18,IF(H2112="T93",22,"")))))))</f>
        <v/>
      </c>
      <c r="J2112" s="1" t="s">
        <v>1808</v>
      </c>
      <c r="K2112" s="10">
        <v>2</v>
      </c>
      <c r="L2112" s="10">
        <v>1</v>
      </c>
      <c r="O2112" s="6"/>
      <c r="Q2112" s="42" t="s">
        <v>5682</v>
      </c>
      <c r="R2112" s="42"/>
      <c r="S2112" s="1"/>
    </row>
    <row r="2113" spans="1:19" ht="18.75" hidden="1" customHeight="1" x14ac:dyDescent="0.3">
      <c r="A2113" s="10">
        <v>2112</v>
      </c>
      <c r="B2113" s="10">
        <f>_xlfn.XLOOKUP(1,(VALUE(D2113)&gt;=VALUE(block!$C$3:$C$500))*(VALUE(D2113)&lt;VALUE(block!$C$3:$C$500)+VALUE(block!$D$3:$D$500)),block!$A$3:$A$500,"无匹配",0,1)</f>
        <v>62</v>
      </c>
      <c r="C2113" s="3" t="str">
        <f>B2113 &amp; "-" &amp; COUNTIF($B$2:B2113, B2113)</f>
        <v>62-24</v>
      </c>
      <c r="D2113" s="10">
        <f t="shared" si="2"/>
        <v>14359</v>
      </c>
      <c r="E2113" s="3" t="s">
        <v>5839</v>
      </c>
      <c r="F2113" s="1" t="s">
        <v>5841</v>
      </c>
      <c r="H2113" s="3" t="s">
        <v>5458</v>
      </c>
      <c r="I2113" s="10" t="str">
        <f>IF(H2113="T78",1,IF(H2113="T78",3,IF(H2113="T94",6,IF(H2113="T94",10,IF(H2113="T126",14,IF(H2113="T126",18,IF(H2113="T94",22,"")))))))</f>
        <v/>
      </c>
      <c r="J2113" s="1" t="s">
        <v>1808</v>
      </c>
      <c r="K2113" s="10">
        <v>1</v>
      </c>
      <c r="L2113" s="10">
        <v>1</v>
      </c>
      <c r="O2113" s="6"/>
      <c r="Q2113" s="42" t="s">
        <v>5682</v>
      </c>
      <c r="R2113" s="42"/>
      <c r="S2113" s="1"/>
    </row>
    <row r="2114" spans="1:19" ht="18.75" hidden="1" customHeight="1" x14ac:dyDescent="0.3">
      <c r="A2114" s="10">
        <v>2113</v>
      </c>
      <c r="B2114" s="10">
        <f>_xlfn.XLOOKUP(1,(VALUE(D2114)&gt;=VALUE(block!$C$3:$C$500))*(VALUE(D2114)&lt;VALUE(block!$C$3:$C$500)+VALUE(block!$D$3:$D$500)),block!$A$3:$A$500,"无匹配",0,1)</f>
        <v>62</v>
      </c>
      <c r="C2114" s="3" t="str">
        <f>B2114 &amp; "-" &amp; COUNTIF($B$2:B2114, B2114)</f>
        <v>62-25</v>
      </c>
      <c r="D2114" s="10">
        <f t="shared" si="2"/>
        <v>14360</v>
      </c>
      <c r="E2114" s="1" t="s">
        <v>5842</v>
      </c>
      <c r="F2114" s="1" t="s">
        <v>5843</v>
      </c>
      <c r="G2114" s="1" t="s">
        <v>1832</v>
      </c>
      <c r="H2114" s="1" t="s">
        <v>1812</v>
      </c>
      <c r="I2114" s="10" t="str">
        <f>IF(H2114="T79",1,IF(H2114="T79",3,IF(H2114="T95",6,IF(H2114="T95",10,IF(H2114="T127",14,IF(H2114="T127",18,IF(H2114="T95",22,"")))))))</f>
        <v/>
      </c>
      <c r="J2114" s="1" t="s">
        <v>1808</v>
      </c>
      <c r="K2114" s="10">
        <v>2</v>
      </c>
      <c r="L2114" s="10">
        <v>1</v>
      </c>
      <c r="O2114" s="6"/>
      <c r="P2114" s="42" t="s">
        <v>5560</v>
      </c>
      <c r="Q2114" s="42" t="s">
        <v>5682</v>
      </c>
      <c r="R2114" s="42"/>
      <c r="S2114" s="1"/>
    </row>
    <row r="2115" spans="1:19" ht="18.75" hidden="1" customHeight="1" x14ac:dyDescent="0.3">
      <c r="A2115" s="10">
        <v>2114</v>
      </c>
      <c r="B2115" s="10">
        <f>_xlfn.XLOOKUP(1,(VALUE(D2115)&gt;=VALUE(block!$C$3:$C$500))*(VALUE(D2115)&lt;VALUE(block!$C$3:$C$500)+VALUE(block!$D$3:$D$500)),block!$A$3:$A$500,"无匹配",0,1)</f>
        <v>62</v>
      </c>
      <c r="C2115" s="3" t="str">
        <f>B2115 &amp; "-" &amp; COUNTIF($B$2:B2115, B2115)</f>
        <v>62-26</v>
      </c>
      <c r="D2115" s="10">
        <f t="shared" si="2"/>
        <v>14362</v>
      </c>
      <c r="E2115" s="3" t="s">
        <v>5844</v>
      </c>
      <c r="F2115" s="1" t="s">
        <v>5845</v>
      </c>
      <c r="H2115" s="3" t="s">
        <v>1838</v>
      </c>
      <c r="I2115" s="10">
        <f>IF(H2115="uint16",1,IF(H2115="int16",3,IF(H2115="uint32",6,IF(H2115="int32",10,IF(H2115="uint64",14,IF(H2115="int64",18,IF(H2115="float32",22,"")))))))</f>
        <v>6</v>
      </c>
      <c r="J2115" s="1" t="s">
        <v>1808</v>
      </c>
      <c r="K2115" s="10">
        <v>2</v>
      </c>
      <c r="L2115" s="10">
        <v>1</v>
      </c>
      <c r="O2115" s="6"/>
      <c r="Q2115" s="42" t="s">
        <v>5682</v>
      </c>
      <c r="R2115" s="42"/>
      <c r="S2115" s="1"/>
    </row>
    <row r="2116" spans="1:19" ht="18.75" hidden="1" customHeight="1" x14ac:dyDescent="0.3">
      <c r="A2116" s="10">
        <v>2115</v>
      </c>
      <c r="B2116" s="10">
        <f>_xlfn.XLOOKUP(1,(VALUE(D2116)&gt;=VALUE(block!$C$3:$C$500))*(VALUE(D2116)&lt;VALUE(block!$C$3:$C$500)+VALUE(block!$D$3:$D$500)),block!$A$3:$A$500,"无匹配",0,1)</f>
        <v>62</v>
      </c>
      <c r="C2116" s="3" t="str">
        <f>B2116 &amp; "-" &amp; COUNTIF($B$2:B2116, B2116)</f>
        <v>62-27</v>
      </c>
      <c r="D2116" s="10">
        <f t="shared" si="2"/>
        <v>14364</v>
      </c>
      <c r="E2116" s="3" t="s">
        <v>5844</v>
      </c>
      <c r="F2116" s="1" t="s">
        <v>5846</v>
      </c>
      <c r="H2116" s="3" t="s">
        <v>5458</v>
      </c>
      <c r="I2116" s="10" t="str">
        <f>IF(H2116="T17",1,IF(H2116="T17",3,IF(H2116="T33",6,IF(H2116="T33",10,IF(H2116="T65",14,IF(H2116="T65",18,IF(H2116="T33",22,"")))))))</f>
        <v/>
      </c>
      <c r="J2116" s="1" t="s">
        <v>1808</v>
      </c>
      <c r="K2116" s="10">
        <v>1</v>
      </c>
      <c r="L2116" s="10">
        <v>1</v>
      </c>
      <c r="O2116" s="6"/>
      <c r="Q2116" s="42" t="s">
        <v>5682</v>
      </c>
      <c r="R2116" s="42"/>
      <c r="S2116" s="1"/>
    </row>
    <row r="2117" spans="1:19" ht="18.75" hidden="1" customHeight="1" x14ac:dyDescent="0.3">
      <c r="A2117" s="10">
        <v>2116</v>
      </c>
      <c r="B2117" s="10">
        <f>_xlfn.XLOOKUP(1,(VALUE(D2117)&gt;=VALUE(block!$C$3:$C$500))*(VALUE(D2117)&lt;VALUE(block!$C$3:$C$500)+VALUE(block!$D$3:$D$500)),block!$A$3:$A$500,"无匹配",0,1)</f>
        <v>62</v>
      </c>
      <c r="C2117" s="3" t="str">
        <f>B2117 &amp; "-" &amp; COUNTIF($B$2:B2117, B2117)</f>
        <v>62-28</v>
      </c>
      <c r="D2117" s="10">
        <f t="shared" si="2"/>
        <v>14365</v>
      </c>
      <c r="E2117" s="1" t="s">
        <v>5847</v>
      </c>
      <c r="F2117" s="1" t="s">
        <v>5848</v>
      </c>
      <c r="G2117" s="1" t="s">
        <v>1834</v>
      </c>
      <c r="H2117" s="1" t="s">
        <v>1812</v>
      </c>
      <c r="I2117" s="10" t="str">
        <f>IF(H2117="T18",1,IF(H2117="T18",3,IF(H2117="T34",6,IF(H2117="T34",10,IF(H2117="T66",14,IF(H2117="T66",18,IF(H2117="T34",22,"")))))))</f>
        <v/>
      </c>
      <c r="J2117" s="1" t="s">
        <v>1808</v>
      </c>
      <c r="K2117" s="10">
        <v>2</v>
      </c>
      <c r="L2117" s="10">
        <v>1</v>
      </c>
      <c r="O2117" s="6"/>
      <c r="P2117" s="42" t="s">
        <v>5560</v>
      </c>
      <c r="Q2117" s="42" t="s">
        <v>5682</v>
      </c>
      <c r="R2117" s="42"/>
      <c r="S2117" s="1"/>
    </row>
    <row r="2118" spans="1:19" ht="18.75" hidden="1" customHeight="1" x14ac:dyDescent="0.3">
      <c r="A2118" s="10">
        <v>2117</v>
      </c>
      <c r="B2118" s="10">
        <f>_xlfn.XLOOKUP(1,(VALUE(D2118)&gt;=VALUE(block!$C$3:$C$500))*(VALUE(D2118)&lt;VALUE(block!$C$3:$C$500)+VALUE(block!$D$3:$D$500)),block!$A$3:$A$500,"无匹配",0,1)</f>
        <v>62</v>
      </c>
      <c r="C2118" s="3" t="str">
        <f>B2118 &amp; "-" &amp; COUNTIF($B$2:B2118, B2118)</f>
        <v>62-29</v>
      </c>
      <c r="D2118" s="10">
        <f t="shared" si="2"/>
        <v>14367</v>
      </c>
      <c r="E2118" s="3" t="s">
        <v>5849</v>
      </c>
      <c r="F2118" s="1" t="s">
        <v>5850</v>
      </c>
      <c r="H2118" s="3" t="s">
        <v>1838</v>
      </c>
      <c r="I2118" s="10" t="str">
        <f>IF(H2118="T19",1,IF(H2118="T19",3,IF(H2118="T35",6,IF(H2118="T35",10,IF(H2118="T67",14,IF(H2118="T67",18,IF(H2118="T35",22,"")))))))</f>
        <v/>
      </c>
      <c r="J2118" s="1" t="s">
        <v>1808</v>
      </c>
      <c r="K2118" s="10">
        <v>2</v>
      </c>
      <c r="L2118" s="10">
        <v>1</v>
      </c>
      <c r="O2118" s="6"/>
      <c r="Q2118" s="42" t="s">
        <v>5682</v>
      </c>
      <c r="R2118" s="42"/>
      <c r="S2118" s="1"/>
    </row>
    <row r="2119" spans="1:19" ht="18.75" hidden="1" customHeight="1" x14ac:dyDescent="0.3">
      <c r="A2119" s="10">
        <v>2118</v>
      </c>
      <c r="B2119" s="10">
        <f>_xlfn.XLOOKUP(1,(VALUE(D2119)&gt;=VALUE(block!$C$3:$C$500))*(VALUE(D2119)&lt;VALUE(block!$C$3:$C$500)+VALUE(block!$D$3:$D$500)),block!$A$3:$A$500,"无匹配",0,1)</f>
        <v>62</v>
      </c>
      <c r="C2119" s="3" t="str">
        <f>B2119 &amp; "-" &amp; COUNTIF($B$2:B2119, B2119)</f>
        <v>62-30</v>
      </c>
      <c r="D2119" s="10">
        <f t="shared" si="2"/>
        <v>14369</v>
      </c>
      <c r="E2119" s="3" t="s">
        <v>5849</v>
      </c>
      <c r="F2119" s="1" t="s">
        <v>5851</v>
      </c>
      <c r="H2119" s="3" t="s">
        <v>5458</v>
      </c>
      <c r="I2119" s="10" t="str">
        <f>IF(H2119="T20",1,IF(H2119="T20",3,IF(H2119="T36",6,IF(H2119="T36",10,IF(H2119="T68",14,IF(H2119="T68",18,IF(H2119="T36",22,"")))))))</f>
        <v/>
      </c>
      <c r="J2119" s="1" t="s">
        <v>1808</v>
      </c>
      <c r="K2119" s="10">
        <v>1</v>
      </c>
      <c r="L2119" s="10">
        <v>1</v>
      </c>
      <c r="O2119" s="6"/>
      <c r="Q2119" s="42" t="s">
        <v>5682</v>
      </c>
      <c r="R2119" s="42"/>
      <c r="S2119" s="1"/>
    </row>
    <row r="2120" spans="1:19" ht="18.75" hidden="1" customHeight="1" x14ac:dyDescent="0.3">
      <c r="A2120" s="10">
        <v>2119</v>
      </c>
      <c r="B2120" s="10">
        <f>_xlfn.XLOOKUP(1,(VALUE(D2120)&gt;=VALUE(block!$C$3:$C$500))*(VALUE(D2120)&lt;VALUE(block!$C$3:$C$500)+VALUE(block!$D$3:$D$500)),block!$A$3:$A$500,"无匹配",0,1)</f>
        <v>62</v>
      </c>
      <c r="C2120" s="3" t="str">
        <f>B2120 &amp; "-" &amp; COUNTIF($B$2:B2120, B2120)</f>
        <v>62-31</v>
      </c>
      <c r="D2120" s="10">
        <f t="shared" si="2"/>
        <v>14370</v>
      </c>
      <c r="E2120" s="1" t="s">
        <v>5852</v>
      </c>
      <c r="F2120" s="1" t="s">
        <v>5853</v>
      </c>
      <c r="G2120" s="1" t="s">
        <v>1834</v>
      </c>
      <c r="H2120" s="1" t="s">
        <v>1812</v>
      </c>
      <c r="I2120" s="10" t="str">
        <f>IF(H2120="T21",1,IF(H2120="T21",3,IF(H2120="T37",6,IF(H2120="T37",10,IF(H2120="T69",14,IF(H2120="T69",18,IF(H2120="T37",22,"")))))))</f>
        <v/>
      </c>
      <c r="J2120" s="1" t="s">
        <v>1808</v>
      </c>
      <c r="K2120" s="10">
        <v>2</v>
      </c>
      <c r="L2120" s="10">
        <v>1</v>
      </c>
      <c r="O2120" s="6"/>
      <c r="P2120" s="42" t="s">
        <v>5560</v>
      </c>
      <c r="Q2120" s="42" t="s">
        <v>5682</v>
      </c>
      <c r="R2120" s="42"/>
      <c r="S2120" s="1"/>
    </row>
    <row r="2121" spans="1:19" ht="18.75" hidden="1" customHeight="1" x14ac:dyDescent="0.3">
      <c r="A2121" s="10">
        <v>2120</v>
      </c>
      <c r="B2121" s="10">
        <f>_xlfn.XLOOKUP(1,(VALUE(D2121)&gt;=VALUE(block!$C$3:$C$500))*(VALUE(D2121)&lt;VALUE(block!$C$3:$C$500)+VALUE(block!$D$3:$D$500)),block!$A$3:$A$500,"无匹配",0,1)</f>
        <v>62</v>
      </c>
      <c r="C2121" s="3" t="str">
        <f>B2121 &amp; "-" &amp; COUNTIF($B$2:B2121, B2121)</f>
        <v>62-32</v>
      </c>
      <c r="D2121" s="10">
        <f t="shared" si="2"/>
        <v>14372</v>
      </c>
      <c r="E2121" s="3" t="s">
        <v>5854</v>
      </c>
      <c r="F2121" s="1" t="s">
        <v>5855</v>
      </c>
      <c r="H2121" s="3" t="s">
        <v>1838</v>
      </c>
      <c r="I2121" s="10" t="str">
        <f>IF(H2121="T22",1,IF(H2121="T22",3,IF(H2121="T38",6,IF(H2121="T38",10,IF(H2121="T70",14,IF(H2121="T70",18,IF(H2121="T38",22,"")))))))</f>
        <v/>
      </c>
      <c r="J2121" s="1" t="s">
        <v>1808</v>
      </c>
      <c r="K2121" s="10">
        <v>2</v>
      </c>
      <c r="L2121" s="10">
        <v>1</v>
      </c>
      <c r="O2121" s="6"/>
      <c r="Q2121" s="42" t="s">
        <v>5682</v>
      </c>
      <c r="R2121" s="42"/>
      <c r="S2121" s="1"/>
    </row>
    <row r="2122" spans="1:19" ht="18.75" hidden="1" customHeight="1" x14ac:dyDescent="0.3">
      <c r="A2122" s="10">
        <v>2121</v>
      </c>
      <c r="B2122" s="10">
        <f>_xlfn.XLOOKUP(1,(VALUE(D2122)&gt;=VALUE(block!$C$3:$C$500))*(VALUE(D2122)&lt;VALUE(block!$C$3:$C$500)+VALUE(block!$D$3:$D$500)),block!$A$3:$A$500,"无匹配",0,1)</f>
        <v>62</v>
      </c>
      <c r="C2122" s="3" t="str">
        <f>B2122 &amp; "-" &amp; COUNTIF($B$2:B2122, B2122)</f>
        <v>62-33</v>
      </c>
      <c r="D2122" s="10">
        <f t="shared" si="2"/>
        <v>14374</v>
      </c>
      <c r="E2122" s="3" t="s">
        <v>5854</v>
      </c>
      <c r="F2122" s="1" t="s">
        <v>5856</v>
      </c>
      <c r="H2122" s="3" t="s">
        <v>5458</v>
      </c>
      <c r="I2122" s="10" t="str">
        <f>IF(H2122="T23",1,IF(H2122="T23",3,IF(H2122="T39",6,IF(H2122="T39",10,IF(H2122="T71",14,IF(H2122="T71",18,IF(H2122="T39",22,"")))))))</f>
        <v/>
      </c>
      <c r="J2122" s="1" t="s">
        <v>1808</v>
      </c>
      <c r="K2122" s="10">
        <v>1</v>
      </c>
      <c r="L2122" s="10">
        <v>1</v>
      </c>
      <c r="O2122" s="6"/>
      <c r="Q2122" s="42" t="s">
        <v>5682</v>
      </c>
      <c r="R2122" s="42"/>
      <c r="S2122" s="1"/>
    </row>
    <row r="2123" spans="1:19" ht="18.75" hidden="1" customHeight="1" x14ac:dyDescent="0.3">
      <c r="A2123" s="10">
        <v>2122</v>
      </c>
      <c r="B2123" s="10">
        <f>_xlfn.XLOOKUP(1,(VALUE(D2123)&gt;=VALUE(block!$C$3:$C$500))*(VALUE(D2123)&lt;VALUE(block!$C$3:$C$500)+VALUE(block!$D$3:$D$500)),block!$A$3:$A$500,"无匹配",0,1)</f>
        <v>62</v>
      </c>
      <c r="C2123" s="3" t="str">
        <f>B2123 &amp; "-" &amp; COUNTIF($B$2:B2123, B2123)</f>
        <v>62-34</v>
      </c>
      <c r="D2123" s="10">
        <f t="shared" si="2"/>
        <v>14375</v>
      </c>
      <c r="E2123" s="1" t="s">
        <v>5857</v>
      </c>
      <c r="F2123" s="1" t="s">
        <v>5858</v>
      </c>
      <c r="G2123" s="1" t="s">
        <v>1836</v>
      </c>
      <c r="H2123" s="1" t="s">
        <v>1812</v>
      </c>
      <c r="I2123" s="10" t="str">
        <f>IF(H2123="T24",1,IF(H2123="T24",3,IF(H2123="T40",6,IF(H2123="T40",10,IF(H2123="T72",14,IF(H2123="T72",18,IF(H2123="T40",22,"")))))))</f>
        <v/>
      </c>
      <c r="J2123" s="1" t="s">
        <v>1808</v>
      </c>
      <c r="K2123" s="10">
        <v>2</v>
      </c>
      <c r="L2123" s="10">
        <v>1</v>
      </c>
      <c r="O2123" s="6"/>
      <c r="P2123" s="42" t="s">
        <v>5560</v>
      </c>
      <c r="Q2123" s="42" t="s">
        <v>5682</v>
      </c>
      <c r="R2123" s="42"/>
      <c r="S2123" s="1"/>
    </row>
    <row r="2124" spans="1:19" ht="18.75" hidden="1" customHeight="1" x14ac:dyDescent="0.3">
      <c r="A2124" s="10">
        <v>2123</v>
      </c>
      <c r="B2124" s="10">
        <f>_xlfn.XLOOKUP(1,(VALUE(D2124)&gt;=VALUE(block!$C$3:$C$500))*(VALUE(D2124)&lt;VALUE(block!$C$3:$C$500)+VALUE(block!$D$3:$D$500)),block!$A$3:$A$500,"无匹配",0,1)</f>
        <v>62</v>
      </c>
      <c r="C2124" s="3" t="str">
        <f>B2124 &amp; "-" &amp; COUNTIF($B$2:B2124, B2124)</f>
        <v>62-35</v>
      </c>
      <c r="D2124" s="10">
        <f t="shared" si="2"/>
        <v>14377</v>
      </c>
      <c r="E2124" s="3" t="s">
        <v>5859</v>
      </c>
      <c r="F2124" s="1" t="s">
        <v>5860</v>
      </c>
      <c r="H2124" s="3" t="s">
        <v>1838</v>
      </c>
      <c r="I2124" s="10" t="str">
        <f>IF(H2124="T25",1,IF(H2124="T25",3,IF(H2124="T41",6,IF(H2124="T41",10,IF(H2124="T73",14,IF(H2124="T73",18,IF(H2124="T41",22,"")))))))</f>
        <v/>
      </c>
      <c r="J2124" s="1" t="s">
        <v>1808</v>
      </c>
      <c r="K2124" s="10">
        <v>2</v>
      </c>
      <c r="L2124" s="10">
        <v>1</v>
      </c>
      <c r="O2124" s="6"/>
      <c r="Q2124" s="42" t="s">
        <v>5682</v>
      </c>
      <c r="R2124" s="42"/>
      <c r="S2124" s="1"/>
    </row>
    <row r="2125" spans="1:19" ht="18.75" hidden="1" customHeight="1" x14ac:dyDescent="0.3">
      <c r="A2125" s="10">
        <v>2124</v>
      </c>
      <c r="B2125" s="10">
        <f>_xlfn.XLOOKUP(1,(VALUE(D2125)&gt;=VALUE(block!$C$3:$C$500))*(VALUE(D2125)&lt;VALUE(block!$C$3:$C$500)+VALUE(block!$D$3:$D$500)),block!$A$3:$A$500,"无匹配",0,1)</f>
        <v>62</v>
      </c>
      <c r="C2125" s="3" t="str">
        <f>B2125 &amp; "-" &amp; COUNTIF($B$2:B2125, B2125)</f>
        <v>62-36</v>
      </c>
      <c r="D2125" s="10">
        <f t="shared" si="2"/>
        <v>14379</v>
      </c>
      <c r="E2125" s="3" t="s">
        <v>5859</v>
      </c>
      <c r="F2125" s="1" t="s">
        <v>5861</v>
      </c>
      <c r="H2125" s="3" t="s">
        <v>5458</v>
      </c>
      <c r="I2125" s="10" t="str">
        <f>IF(H2125="T26",1,IF(H2125="T26",3,IF(H2125="T42",6,IF(H2125="T42",10,IF(H2125="T74",14,IF(H2125="T74",18,IF(H2125="T42",22,"")))))))</f>
        <v/>
      </c>
      <c r="J2125" s="1" t="s">
        <v>1808</v>
      </c>
      <c r="K2125" s="10">
        <v>1</v>
      </c>
      <c r="L2125" s="10">
        <v>1</v>
      </c>
      <c r="O2125" s="6"/>
      <c r="Q2125" s="42" t="s">
        <v>5682</v>
      </c>
      <c r="R2125" s="42"/>
      <c r="S2125" s="1"/>
    </row>
    <row r="2126" spans="1:19" ht="18.75" hidden="1" customHeight="1" x14ac:dyDescent="0.3">
      <c r="A2126" s="10">
        <v>2125</v>
      </c>
      <c r="B2126" s="10">
        <f>_xlfn.XLOOKUP(1,(VALUE(D2126)&gt;=VALUE(block!$C$3:$C$500))*(VALUE(D2126)&lt;VALUE(block!$C$3:$C$500)+VALUE(block!$D$3:$D$500)),block!$A$3:$A$500,"无匹配",0,1)</f>
        <v>62</v>
      </c>
      <c r="C2126" s="3" t="str">
        <f>B2126 &amp; "-" &amp; COUNTIF($B$2:B2126, B2126)</f>
        <v>62-37</v>
      </c>
      <c r="D2126" s="10">
        <f t="shared" si="2"/>
        <v>14380</v>
      </c>
      <c r="E2126" s="1" t="s">
        <v>5862</v>
      </c>
      <c r="F2126" s="1" t="s">
        <v>5863</v>
      </c>
      <c r="G2126" s="1" t="s">
        <v>1830</v>
      </c>
      <c r="H2126" s="1" t="s">
        <v>1812</v>
      </c>
      <c r="I2126" s="10" t="str">
        <f>IF(H2126="T27",1,IF(H2126="T27",3,IF(H2126="T43",6,IF(H2126="T43",10,IF(H2126="T75",14,IF(H2126="T75",18,IF(H2126="T43",22,"")))))))</f>
        <v/>
      </c>
      <c r="J2126" s="1" t="s">
        <v>1808</v>
      </c>
      <c r="K2126" s="10">
        <v>2</v>
      </c>
      <c r="L2126" s="10">
        <v>1</v>
      </c>
      <c r="O2126" s="6"/>
      <c r="P2126" s="42" t="s">
        <v>5560</v>
      </c>
      <c r="Q2126" s="42" t="s">
        <v>5682</v>
      </c>
      <c r="R2126" s="42"/>
      <c r="S2126" s="1"/>
    </row>
    <row r="2127" spans="1:19" ht="18.75" hidden="1" customHeight="1" x14ac:dyDescent="0.3">
      <c r="A2127" s="10">
        <v>2126</v>
      </c>
      <c r="B2127" s="10">
        <f>_xlfn.XLOOKUP(1,(VALUE(D2127)&gt;=VALUE(block!$C$3:$C$500))*(VALUE(D2127)&lt;VALUE(block!$C$3:$C$500)+VALUE(block!$D$3:$D$500)),block!$A$3:$A$500,"无匹配",0,1)</f>
        <v>62</v>
      </c>
      <c r="C2127" s="3" t="str">
        <f>B2127 &amp; "-" &amp; COUNTIF($B$2:B2127, B2127)</f>
        <v>62-38</v>
      </c>
      <c r="D2127" s="10">
        <f t="shared" si="2"/>
        <v>14382</v>
      </c>
      <c r="E2127" s="3" t="s">
        <v>5864</v>
      </c>
      <c r="F2127" s="1" t="s">
        <v>5865</v>
      </c>
      <c r="H2127" s="3" t="s">
        <v>1838</v>
      </c>
      <c r="I2127" s="10" t="str">
        <f>IF(H2127="T28",1,IF(H2127="T28",3,IF(H2127="T44",6,IF(H2127="T44",10,IF(H2127="T76",14,IF(H2127="T76",18,IF(H2127="T44",22,"")))))))</f>
        <v/>
      </c>
      <c r="J2127" s="1" t="s">
        <v>1808</v>
      </c>
      <c r="K2127" s="10">
        <v>2</v>
      </c>
      <c r="L2127" s="10">
        <v>1</v>
      </c>
      <c r="O2127" s="6"/>
      <c r="Q2127" s="42" t="s">
        <v>5682</v>
      </c>
      <c r="R2127" s="42"/>
      <c r="S2127" s="1"/>
    </row>
    <row r="2128" spans="1:19" ht="18.75" hidden="1" customHeight="1" x14ac:dyDescent="0.3">
      <c r="A2128" s="10">
        <v>2127</v>
      </c>
      <c r="B2128" s="10">
        <f>_xlfn.XLOOKUP(1,(VALUE(D2128)&gt;=VALUE(block!$C$3:$C$500))*(VALUE(D2128)&lt;VALUE(block!$C$3:$C$500)+VALUE(block!$D$3:$D$500)),block!$A$3:$A$500,"无匹配",0,1)</f>
        <v>62</v>
      </c>
      <c r="C2128" s="3" t="str">
        <f>B2128 &amp; "-" &amp; COUNTIF($B$2:B2128, B2128)</f>
        <v>62-39</v>
      </c>
      <c r="D2128" s="10">
        <f t="shared" si="2"/>
        <v>14384</v>
      </c>
      <c r="E2128" s="3" t="s">
        <v>5864</v>
      </c>
      <c r="F2128" s="1" t="s">
        <v>5866</v>
      </c>
      <c r="H2128" s="3" t="s">
        <v>5458</v>
      </c>
      <c r="I2128" s="10" t="str">
        <f>IF(H2128="T29",1,IF(H2128="T29",3,IF(H2128="T45",6,IF(H2128="T45",10,IF(H2128="T77",14,IF(H2128="T77",18,IF(H2128="T45",22,"")))))))</f>
        <v/>
      </c>
      <c r="J2128" s="1" t="s">
        <v>1808</v>
      </c>
      <c r="K2128" s="10">
        <v>1</v>
      </c>
      <c r="L2128" s="10">
        <v>1</v>
      </c>
      <c r="O2128" s="6"/>
      <c r="Q2128" s="42" t="s">
        <v>5682</v>
      </c>
      <c r="R2128" s="42"/>
      <c r="S2128" s="1"/>
    </row>
    <row r="2129" spans="1:19" ht="18.75" hidden="1" customHeight="1" x14ac:dyDescent="0.3">
      <c r="A2129" s="10">
        <v>2128</v>
      </c>
      <c r="B2129" s="10">
        <f>_xlfn.XLOOKUP(1,(VALUE(D2129)&gt;=VALUE(block!$C$3:$C$500))*(VALUE(D2129)&lt;VALUE(block!$C$3:$C$500)+VALUE(block!$D$3:$D$500)),block!$A$3:$A$500,"无匹配",0,1)</f>
        <v>62</v>
      </c>
      <c r="C2129" s="3" t="str">
        <f>B2129 &amp; "-" &amp; COUNTIF($B$2:B2129, B2129)</f>
        <v>62-40</v>
      </c>
      <c r="D2129" s="10">
        <f t="shared" si="2"/>
        <v>14385</v>
      </c>
      <c r="E2129" s="1" t="s">
        <v>5867</v>
      </c>
      <c r="F2129" s="1" t="s">
        <v>5868</v>
      </c>
      <c r="G2129" s="1" t="s">
        <v>1832</v>
      </c>
      <c r="H2129" s="1" t="s">
        <v>1812</v>
      </c>
      <c r="I2129" s="10" t="str">
        <f>IF(H2129="T30",1,IF(H2129="T30",3,IF(H2129="T46",6,IF(H2129="T46",10,IF(H2129="T78",14,IF(H2129="T78",18,IF(H2129="T46",22,"")))))))</f>
        <v/>
      </c>
      <c r="J2129" s="1" t="s">
        <v>1808</v>
      </c>
      <c r="K2129" s="10">
        <v>2</v>
      </c>
      <c r="L2129" s="10">
        <v>1</v>
      </c>
      <c r="O2129" s="6"/>
      <c r="P2129" s="42" t="s">
        <v>5560</v>
      </c>
      <c r="Q2129" s="42" t="s">
        <v>5682</v>
      </c>
      <c r="R2129" s="42"/>
      <c r="S2129" s="1"/>
    </row>
    <row r="2130" spans="1:19" ht="18.75" hidden="1" customHeight="1" x14ac:dyDescent="0.3">
      <c r="A2130" s="10">
        <v>2129</v>
      </c>
      <c r="B2130" s="10">
        <f>_xlfn.XLOOKUP(1,(VALUE(D2130)&gt;=VALUE(block!$C$3:$C$500))*(VALUE(D2130)&lt;VALUE(block!$C$3:$C$500)+VALUE(block!$D$3:$D$500)),block!$A$3:$A$500,"无匹配",0,1)</f>
        <v>62</v>
      </c>
      <c r="C2130" s="3" t="str">
        <f>B2130 &amp; "-" &amp; COUNTIF($B$2:B2130, B2130)</f>
        <v>62-41</v>
      </c>
      <c r="D2130" s="10">
        <f t="shared" si="2"/>
        <v>14387</v>
      </c>
      <c r="E2130" s="3" t="s">
        <v>5869</v>
      </c>
      <c r="F2130" s="1" t="s">
        <v>5870</v>
      </c>
      <c r="H2130" s="3" t="s">
        <v>1838</v>
      </c>
      <c r="I2130" s="10" t="str">
        <f>IF(H2130="T31",1,IF(H2130="T31",3,IF(H2130="T47",6,IF(H2130="T47",10,IF(H2130="T79",14,IF(H2130="T79",18,IF(H2130="T47",22,"")))))))</f>
        <v/>
      </c>
      <c r="J2130" s="1" t="s">
        <v>1808</v>
      </c>
      <c r="K2130" s="10">
        <v>2</v>
      </c>
      <c r="L2130" s="10">
        <v>1</v>
      </c>
      <c r="O2130" s="6"/>
      <c r="Q2130" s="42" t="s">
        <v>5682</v>
      </c>
      <c r="R2130" s="42"/>
      <c r="S2130" s="1"/>
    </row>
    <row r="2131" spans="1:19" ht="18.75" hidden="1" customHeight="1" x14ac:dyDescent="0.3">
      <c r="A2131" s="10">
        <v>2130</v>
      </c>
      <c r="B2131" s="10">
        <f>_xlfn.XLOOKUP(1,(VALUE(D2131)&gt;=VALUE(block!$C$3:$C$500))*(VALUE(D2131)&lt;VALUE(block!$C$3:$C$500)+VALUE(block!$D$3:$D$500)),block!$A$3:$A$500,"无匹配",0,1)</f>
        <v>62</v>
      </c>
      <c r="C2131" s="3" t="str">
        <f>B2131 &amp; "-" &amp; COUNTIF($B$2:B2131, B2131)</f>
        <v>62-42</v>
      </c>
      <c r="D2131" s="10">
        <f t="shared" si="2"/>
        <v>14389</v>
      </c>
      <c r="E2131" s="3" t="s">
        <v>5869</v>
      </c>
      <c r="F2131" s="1" t="s">
        <v>5871</v>
      </c>
      <c r="H2131" s="3" t="s">
        <v>5458</v>
      </c>
      <c r="I2131" s="10" t="str">
        <f>IF(H2131="T32",1,IF(H2131="T32",3,IF(H2131="T48",6,IF(H2131="T48",10,IF(H2131="T80",14,IF(H2131="T80",18,IF(H2131="T48",22,"")))))))</f>
        <v/>
      </c>
      <c r="J2131" s="1" t="s">
        <v>1808</v>
      </c>
      <c r="K2131" s="10">
        <v>1</v>
      </c>
      <c r="L2131" s="10">
        <v>1</v>
      </c>
      <c r="O2131" s="6"/>
      <c r="Q2131" s="42" t="s">
        <v>5682</v>
      </c>
      <c r="R2131" s="42"/>
      <c r="S2131" s="1"/>
    </row>
    <row r="2132" spans="1:19" ht="18.75" hidden="1" customHeight="1" x14ac:dyDescent="0.3">
      <c r="A2132" s="10">
        <v>2131</v>
      </c>
      <c r="B2132" s="10">
        <f>_xlfn.XLOOKUP(1,(VALUE(D2132)&gt;=VALUE(block!$C$3:$C$500))*(VALUE(D2132)&lt;VALUE(block!$C$3:$C$500)+VALUE(block!$D$3:$D$500)),block!$A$3:$A$500,"无匹配",0,1)</f>
        <v>62</v>
      </c>
      <c r="C2132" s="3" t="str">
        <f>B2132 &amp; "-" &amp; COUNTIF($B$2:B2132, B2132)</f>
        <v>62-43</v>
      </c>
      <c r="D2132" s="10">
        <f t="shared" si="2"/>
        <v>14390</v>
      </c>
      <c r="E2132" s="1" t="s">
        <v>5872</v>
      </c>
      <c r="F2132" s="1" t="s">
        <v>5873</v>
      </c>
      <c r="G2132" s="1" t="s">
        <v>1832</v>
      </c>
      <c r="H2132" s="1" t="s">
        <v>1812</v>
      </c>
      <c r="I2132" s="10" t="str">
        <f>IF(H2132="T33",1,IF(H2132="T33",3,IF(H2132="T49",6,IF(H2132="T49",10,IF(H2132="T81",14,IF(H2132="T81",18,IF(H2132="T49",22,"")))))))</f>
        <v/>
      </c>
      <c r="J2132" s="1" t="s">
        <v>1808</v>
      </c>
      <c r="K2132" s="10">
        <v>2</v>
      </c>
      <c r="L2132" s="10">
        <v>1</v>
      </c>
      <c r="O2132" s="6"/>
      <c r="P2132" s="42" t="s">
        <v>5560</v>
      </c>
      <c r="Q2132" s="42" t="s">
        <v>5682</v>
      </c>
      <c r="R2132" s="42"/>
      <c r="S2132" s="1"/>
    </row>
    <row r="2133" spans="1:19" ht="18.75" hidden="1" customHeight="1" x14ac:dyDescent="0.3">
      <c r="A2133" s="10">
        <v>2132</v>
      </c>
      <c r="B2133" s="10">
        <f>_xlfn.XLOOKUP(1,(VALUE(D2133)&gt;=VALUE(block!$C$3:$C$500))*(VALUE(D2133)&lt;VALUE(block!$C$3:$C$500)+VALUE(block!$D$3:$D$500)),block!$A$3:$A$500,"无匹配",0,1)</f>
        <v>62</v>
      </c>
      <c r="C2133" s="3" t="str">
        <f>B2133 &amp; "-" &amp; COUNTIF($B$2:B2133, B2133)</f>
        <v>62-44</v>
      </c>
      <c r="D2133" s="10">
        <f t="shared" si="2"/>
        <v>14392</v>
      </c>
      <c r="E2133" s="3" t="s">
        <v>5874</v>
      </c>
      <c r="F2133" s="1" t="s">
        <v>5875</v>
      </c>
      <c r="H2133" s="3" t="s">
        <v>1838</v>
      </c>
      <c r="I2133" s="10" t="str">
        <f>IF(H2133="T34",1,IF(H2133="T34",3,IF(H2133="T50",6,IF(H2133="T50",10,IF(H2133="T82",14,IF(H2133="T82",18,IF(H2133="T50",22,"")))))))</f>
        <v/>
      </c>
      <c r="J2133" s="1" t="s">
        <v>1808</v>
      </c>
      <c r="K2133" s="10">
        <v>2</v>
      </c>
      <c r="L2133" s="10">
        <v>1</v>
      </c>
      <c r="O2133" s="6"/>
      <c r="Q2133" s="42" t="s">
        <v>5682</v>
      </c>
      <c r="R2133" s="42"/>
      <c r="S2133" s="1"/>
    </row>
    <row r="2134" spans="1:19" ht="18.75" hidden="1" customHeight="1" x14ac:dyDescent="0.3">
      <c r="A2134" s="10">
        <v>2133</v>
      </c>
      <c r="B2134" s="10">
        <f>_xlfn.XLOOKUP(1,(VALUE(D2134)&gt;=VALUE(block!$C$3:$C$500))*(VALUE(D2134)&lt;VALUE(block!$C$3:$C$500)+VALUE(block!$D$3:$D$500)),block!$A$3:$A$500,"无匹配",0,1)</f>
        <v>62</v>
      </c>
      <c r="C2134" s="3" t="str">
        <f>B2134 &amp; "-" &amp; COUNTIF($B$2:B2134, B2134)</f>
        <v>62-45</v>
      </c>
      <c r="D2134" s="10">
        <f t="shared" si="2"/>
        <v>14394</v>
      </c>
      <c r="E2134" s="3" t="s">
        <v>5874</v>
      </c>
      <c r="F2134" s="1" t="s">
        <v>5876</v>
      </c>
      <c r="H2134" s="3" t="s">
        <v>5458</v>
      </c>
      <c r="I2134" s="10" t="str">
        <f>IF(H2134="T35",1,IF(H2134="T35",3,IF(H2134="T51",6,IF(H2134="T51",10,IF(H2134="T83",14,IF(H2134="T83",18,IF(H2134="T51",22,"")))))))</f>
        <v/>
      </c>
      <c r="J2134" s="1" t="s">
        <v>1808</v>
      </c>
      <c r="K2134" s="10">
        <v>1</v>
      </c>
      <c r="L2134" s="10">
        <v>1</v>
      </c>
      <c r="O2134" s="6"/>
      <c r="Q2134" s="42" t="s">
        <v>5682</v>
      </c>
      <c r="R2134" s="42"/>
      <c r="S2134" s="1"/>
    </row>
    <row r="2135" spans="1:19" ht="18.75" hidden="1" customHeight="1" x14ac:dyDescent="0.3">
      <c r="A2135" s="10">
        <v>2134</v>
      </c>
      <c r="B2135" s="10">
        <f>_xlfn.XLOOKUP(1,(VALUE(D2135)&gt;=VALUE(block!$C$3:$C$500))*(VALUE(D2135)&lt;VALUE(block!$C$3:$C$500)+VALUE(block!$D$3:$D$500)),block!$A$3:$A$500,"无匹配",0,1)</f>
        <v>62</v>
      </c>
      <c r="C2135" s="3" t="str">
        <f>B2135 &amp; "-" &amp; COUNTIF($B$2:B2135, B2135)</f>
        <v>62-46</v>
      </c>
      <c r="D2135" s="10">
        <f t="shared" si="2"/>
        <v>14395</v>
      </c>
      <c r="E2135" s="1" t="s">
        <v>5877</v>
      </c>
      <c r="F2135" s="1" t="s">
        <v>5878</v>
      </c>
      <c r="G2135" s="1" t="s">
        <v>1834</v>
      </c>
      <c r="H2135" s="1" t="s">
        <v>1812</v>
      </c>
      <c r="I2135" s="10" t="str">
        <f>IF(H2135="T36",1,IF(H2135="T36",3,IF(H2135="T52",6,IF(H2135="T52",10,IF(H2135="T84",14,IF(H2135="T84",18,IF(H2135="T52",22,"")))))))</f>
        <v/>
      </c>
      <c r="J2135" s="1" t="s">
        <v>1808</v>
      </c>
      <c r="K2135" s="10">
        <v>2</v>
      </c>
      <c r="L2135" s="10">
        <v>1</v>
      </c>
      <c r="O2135" s="6"/>
      <c r="P2135" s="42" t="s">
        <v>5560</v>
      </c>
      <c r="Q2135" s="42" t="s">
        <v>5682</v>
      </c>
      <c r="R2135" s="42"/>
      <c r="S2135" s="1"/>
    </row>
    <row r="2136" spans="1:19" ht="18.75" hidden="1" customHeight="1" x14ac:dyDescent="0.3">
      <c r="A2136" s="10">
        <v>2135</v>
      </c>
      <c r="B2136" s="10">
        <f>_xlfn.XLOOKUP(1,(VALUE(D2136)&gt;=VALUE(block!$C$3:$C$500))*(VALUE(D2136)&lt;VALUE(block!$C$3:$C$500)+VALUE(block!$D$3:$D$500)),block!$A$3:$A$500,"无匹配",0,1)</f>
        <v>62</v>
      </c>
      <c r="C2136" s="3" t="str">
        <f>B2136 &amp; "-" &amp; COUNTIF($B$2:B2136, B2136)</f>
        <v>62-47</v>
      </c>
      <c r="D2136" s="10">
        <f t="shared" si="2"/>
        <v>14397</v>
      </c>
      <c r="E2136" s="3" t="s">
        <v>5879</v>
      </c>
      <c r="F2136" s="1" t="s">
        <v>5880</v>
      </c>
      <c r="H2136" s="3" t="s">
        <v>1838</v>
      </c>
      <c r="I2136" s="10" t="str">
        <f>IF(H2136="T37",1,IF(H2136="T37",3,IF(H2136="T53",6,IF(H2136="T53",10,IF(H2136="T85",14,IF(H2136="T85",18,IF(H2136="T53",22,"")))))))</f>
        <v/>
      </c>
      <c r="J2136" s="1" t="s">
        <v>1808</v>
      </c>
      <c r="K2136" s="10">
        <v>2</v>
      </c>
      <c r="L2136" s="10">
        <v>1</v>
      </c>
      <c r="O2136" s="6"/>
      <c r="Q2136" s="42" t="s">
        <v>5682</v>
      </c>
      <c r="R2136" s="42"/>
      <c r="S2136" s="1"/>
    </row>
    <row r="2137" spans="1:19" ht="18.75" hidden="1" customHeight="1" x14ac:dyDescent="0.3">
      <c r="A2137" s="10">
        <v>2136</v>
      </c>
      <c r="B2137" s="10">
        <f>_xlfn.XLOOKUP(1,(VALUE(D2137)&gt;=VALUE(block!$C$3:$C$500))*(VALUE(D2137)&lt;VALUE(block!$C$3:$C$500)+VALUE(block!$D$3:$D$500)),block!$A$3:$A$500,"无匹配",0,1)</f>
        <v>62</v>
      </c>
      <c r="C2137" s="3" t="str">
        <f>B2137 &amp; "-" &amp; COUNTIF($B$2:B2137, B2137)</f>
        <v>62-48</v>
      </c>
      <c r="D2137" s="10">
        <f t="shared" si="2"/>
        <v>14399</v>
      </c>
      <c r="E2137" s="3" t="s">
        <v>5879</v>
      </c>
      <c r="F2137" s="1" t="s">
        <v>5881</v>
      </c>
      <c r="H2137" s="3" t="s">
        <v>5458</v>
      </c>
      <c r="I2137" s="10" t="str">
        <f>IF(H2137="T38",1,IF(H2137="T38",3,IF(H2137="T54",6,IF(H2137="T54",10,IF(H2137="T86",14,IF(H2137="T86",18,IF(H2137="T54",22,"")))))))</f>
        <v/>
      </c>
      <c r="J2137" s="1" t="s">
        <v>1808</v>
      </c>
      <c r="K2137" s="10">
        <v>1</v>
      </c>
      <c r="L2137" s="10">
        <v>1</v>
      </c>
      <c r="O2137" s="6"/>
      <c r="Q2137" s="42" t="s">
        <v>5682</v>
      </c>
      <c r="R2137" s="42"/>
      <c r="S2137" s="1"/>
    </row>
    <row r="2138" spans="1:19" ht="18.75" hidden="1" customHeight="1" x14ac:dyDescent="0.3">
      <c r="A2138" s="10">
        <v>2137</v>
      </c>
      <c r="B2138" s="10">
        <f>_xlfn.XLOOKUP(1,(VALUE(D2138)&gt;=VALUE(block!$C$3:$C$500))*(VALUE(D2138)&lt;VALUE(block!$C$3:$C$500)+VALUE(block!$D$3:$D$500)),block!$A$3:$A$500,"无匹配",0,1)</f>
        <v>62</v>
      </c>
      <c r="C2138" s="3" t="str">
        <f>B2138 &amp; "-" &amp; COUNTIF($B$2:B2138, B2138)</f>
        <v>62-49</v>
      </c>
      <c r="D2138" s="10">
        <f t="shared" si="2"/>
        <v>14400</v>
      </c>
      <c r="E2138" s="1" t="s">
        <v>5882</v>
      </c>
      <c r="F2138" s="1" t="s">
        <v>5883</v>
      </c>
      <c r="G2138" s="1" t="s">
        <v>1834</v>
      </c>
      <c r="H2138" s="1" t="s">
        <v>1812</v>
      </c>
      <c r="I2138" s="10" t="str">
        <f>IF(H2138="T39",1,IF(H2138="T39",3,IF(H2138="T55",6,IF(H2138="T55",10,IF(H2138="T87",14,IF(H2138="T87",18,IF(H2138="T55",22,"")))))))</f>
        <v/>
      </c>
      <c r="J2138" s="1" t="s">
        <v>1808</v>
      </c>
      <c r="K2138" s="10">
        <v>2</v>
      </c>
      <c r="L2138" s="10">
        <v>1</v>
      </c>
      <c r="O2138" s="6"/>
      <c r="P2138" s="42" t="s">
        <v>5560</v>
      </c>
      <c r="Q2138" s="42" t="s">
        <v>5682</v>
      </c>
      <c r="R2138" s="42"/>
      <c r="S2138" s="1"/>
    </row>
    <row r="2139" spans="1:19" ht="18.75" hidden="1" customHeight="1" x14ac:dyDescent="0.3">
      <c r="A2139" s="10">
        <v>2138</v>
      </c>
      <c r="B2139" s="10">
        <f>_xlfn.XLOOKUP(1,(VALUE(D2139)&gt;=VALUE(block!$C$3:$C$500))*(VALUE(D2139)&lt;VALUE(block!$C$3:$C$500)+VALUE(block!$D$3:$D$500)),block!$A$3:$A$500,"无匹配",0,1)</f>
        <v>62</v>
      </c>
      <c r="C2139" s="3" t="str">
        <f>B2139 &amp; "-" &amp; COUNTIF($B$2:B2139, B2139)</f>
        <v>62-50</v>
      </c>
      <c r="D2139" s="10">
        <f t="shared" ref="D2139:D2202" si="3">D2138+K2138</f>
        <v>14402</v>
      </c>
      <c r="E2139" s="3" t="s">
        <v>5884</v>
      </c>
      <c r="F2139" s="1" t="s">
        <v>5885</v>
      </c>
      <c r="H2139" s="3" t="s">
        <v>1838</v>
      </c>
      <c r="I2139" s="10" t="str">
        <f>IF(H2139="T40",1,IF(H2139="T40",3,IF(H2139="T56",6,IF(H2139="T56",10,IF(H2139="T88",14,IF(H2139="T88",18,IF(H2139="T56",22,"")))))))</f>
        <v/>
      </c>
      <c r="J2139" s="1" t="s">
        <v>1808</v>
      </c>
      <c r="K2139" s="10">
        <v>2</v>
      </c>
      <c r="L2139" s="10">
        <v>1</v>
      </c>
      <c r="O2139" s="6"/>
      <c r="Q2139" s="42" t="s">
        <v>5682</v>
      </c>
      <c r="R2139" s="42"/>
      <c r="S2139" s="1"/>
    </row>
    <row r="2140" spans="1:19" ht="18.75" hidden="1" customHeight="1" x14ac:dyDescent="0.3">
      <c r="A2140" s="10">
        <v>2139</v>
      </c>
      <c r="B2140" s="10">
        <f>_xlfn.XLOOKUP(1,(VALUE(D2140)&gt;=VALUE(block!$C$3:$C$500))*(VALUE(D2140)&lt;VALUE(block!$C$3:$C$500)+VALUE(block!$D$3:$D$500)),block!$A$3:$A$500,"无匹配",0,1)</f>
        <v>62</v>
      </c>
      <c r="C2140" s="3" t="str">
        <f>B2140 &amp; "-" &amp; COUNTIF($B$2:B2140, B2140)</f>
        <v>62-51</v>
      </c>
      <c r="D2140" s="10">
        <f t="shared" si="3"/>
        <v>14404</v>
      </c>
      <c r="E2140" s="3" t="s">
        <v>5884</v>
      </c>
      <c r="F2140" s="1" t="s">
        <v>5886</v>
      </c>
      <c r="H2140" s="3" t="s">
        <v>5458</v>
      </c>
      <c r="I2140" s="10" t="str">
        <f>IF(H2140="T41",1,IF(H2140="T41",3,IF(H2140="T57",6,IF(H2140="T57",10,IF(H2140="T89",14,IF(H2140="T89",18,IF(H2140="T57",22,"")))))))</f>
        <v/>
      </c>
      <c r="J2140" s="1" t="s">
        <v>1808</v>
      </c>
      <c r="K2140" s="10">
        <v>1</v>
      </c>
      <c r="L2140" s="10">
        <v>1</v>
      </c>
      <c r="O2140" s="6"/>
      <c r="Q2140" s="42" t="s">
        <v>5682</v>
      </c>
      <c r="R2140" s="42"/>
      <c r="S2140" s="1"/>
    </row>
    <row r="2141" spans="1:19" ht="18.75" hidden="1" customHeight="1" x14ac:dyDescent="0.3">
      <c r="A2141" s="10">
        <v>2140</v>
      </c>
      <c r="B2141" s="10">
        <f>_xlfn.XLOOKUP(1,(VALUE(D2141)&gt;=VALUE(block!$C$3:$C$500))*(VALUE(D2141)&lt;VALUE(block!$C$3:$C$500)+VALUE(block!$D$3:$D$500)),block!$A$3:$A$500,"无匹配",0,1)</f>
        <v>62</v>
      </c>
      <c r="C2141" s="3" t="str">
        <f>B2141 &amp; "-" &amp; COUNTIF($B$2:B2141, B2141)</f>
        <v>62-52</v>
      </c>
      <c r="D2141" s="10">
        <f t="shared" si="3"/>
        <v>14405</v>
      </c>
      <c r="E2141" s="1" t="s">
        <v>5887</v>
      </c>
      <c r="F2141" s="1" t="s">
        <v>5888</v>
      </c>
      <c r="G2141" s="1" t="s">
        <v>1836</v>
      </c>
      <c r="H2141" s="1" t="s">
        <v>1812</v>
      </c>
      <c r="I2141" s="10" t="str">
        <f>IF(H2141="T42",1,IF(H2141="T42",3,IF(H2141="T58",6,IF(H2141="T58",10,IF(H2141="T90",14,IF(H2141="T90",18,IF(H2141="T58",22,"")))))))</f>
        <v/>
      </c>
      <c r="J2141" s="1" t="s">
        <v>1808</v>
      </c>
      <c r="K2141" s="10">
        <v>2</v>
      </c>
      <c r="L2141" s="10">
        <v>1</v>
      </c>
      <c r="O2141" s="6"/>
      <c r="P2141" s="42" t="s">
        <v>5560</v>
      </c>
      <c r="Q2141" s="42" t="s">
        <v>5682</v>
      </c>
      <c r="R2141" s="42"/>
      <c r="S2141" s="1"/>
    </row>
    <row r="2142" spans="1:19" ht="18.75" hidden="1" customHeight="1" x14ac:dyDescent="0.3">
      <c r="A2142" s="10">
        <v>2141</v>
      </c>
      <c r="B2142" s="10">
        <f>_xlfn.XLOOKUP(1,(VALUE(D2142)&gt;=VALUE(block!$C$3:$C$500))*(VALUE(D2142)&lt;VALUE(block!$C$3:$C$500)+VALUE(block!$D$3:$D$500)),block!$A$3:$A$500,"无匹配",0,1)</f>
        <v>62</v>
      </c>
      <c r="C2142" s="3" t="str">
        <f>B2142 &amp; "-" &amp; COUNTIF($B$2:B2142, B2142)</f>
        <v>62-53</v>
      </c>
      <c r="D2142" s="10">
        <f t="shared" si="3"/>
        <v>14407</v>
      </c>
      <c r="E2142" s="3" t="s">
        <v>5889</v>
      </c>
      <c r="F2142" s="1" t="s">
        <v>5890</v>
      </c>
      <c r="H2142" s="3" t="s">
        <v>1838</v>
      </c>
      <c r="I2142" s="10" t="str">
        <f>IF(H2142="T43",1,IF(H2142="T43",3,IF(H2142="T59",6,IF(H2142="T59",10,IF(H2142="T91",14,IF(H2142="T91",18,IF(H2142="T59",22,"")))))))</f>
        <v/>
      </c>
      <c r="J2142" s="1" t="s">
        <v>1808</v>
      </c>
      <c r="K2142" s="10">
        <v>2</v>
      </c>
      <c r="L2142" s="10">
        <v>1</v>
      </c>
      <c r="O2142" s="6"/>
      <c r="Q2142" s="42" t="s">
        <v>5682</v>
      </c>
      <c r="R2142" s="42"/>
      <c r="S2142" s="1"/>
    </row>
    <row r="2143" spans="1:19" ht="18.75" hidden="1" customHeight="1" x14ac:dyDescent="0.3">
      <c r="A2143" s="10">
        <v>2142</v>
      </c>
      <c r="B2143" s="10">
        <f>_xlfn.XLOOKUP(1,(VALUE(D2143)&gt;=VALUE(block!$C$3:$C$500))*(VALUE(D2143)&lt;VALUE(block!$C$3:$C$500)+VALUE(block!$D$3:$D$500)),block!$A$3:$A$500,"无匹配",0,1)</f>
        <v>62</v>
      </c>
      <c r="C2143" s="3" t="str">
        <f>B2143 &amp; "-" &amp; COUNTIF($B$2:B2143, B2143)</f>
        <v>62-54</v>
      </c>
      <c r="D2143" s="10">
        <f t="shared" si="3"/>
        <v>14409</v>
      </c>
      <c r="E2143" s="3" t="s">
        <v>5889</v>
      </c>
      <c r="F2143" s="1" t="s">
        <v>5891</v>
      </c>
      <c r="H2143" s="3" t="s">
        <v>5458</v>
      </c>
      <c r="I2143" s="10" t="str">
        <f>IF(H2143="T44",1,IF(H2143="T44",3,IF(H2143="T60",6,IF(H2143="T60",10,IF(H2143="T92",14,IF(H2143="T92",18,IF(H2143="T60",22,"")))))))</f>
        <v/>
      </c>
      <c r="J2143" s="1" t="s">
        <v>1808</v>
      </c>
      <c r="K2143" s="10">
        <v>1</v>
      </c>
      <c r="L2143" s="10">
        <v>1</v>
      </c>
      <c r="O2143" s="6"/>
      <c r="Q2143" s="42" t="s">
        <v>5682</v>
      </c>
      <c r="R2143" s="42"/>
      <c r="S2143" s="1"/>
    </row>
    <row r="2144" spans="1:19" ht="18.75" hidden="1" customHeight="1" x14ac:dyDescent="0.3">
      <c r="A2144" s="10">
        <v>2143</v>
      </c>
      <c r="B2144" s="10">
        <f>_xlfn.XLOOKUP(1,(VALUE(D2144)&gt;=VALUE(block!$C$3:$C$500))*(VALUE(D2144)&lt;VALUE(block!$C$3:$C$500)+VALUE(block!$D$3:$D$500)),block!$A$3:$A$500,"无匹配",0,1)</f>
        <v>62</v>
      </c>
      <c r="C2144" s="3" t="str">
        <f>B2144 &amp; "-" &amp; COUNTIF($B$2:B2144, B2144)</f>
        <v>62-55</v>
      </c>
      <c r="D2144" s="10">
        <f t="shared" si="3"/>
        <v>14410</v>
      </c>
      <c r="E2144" s="1" t="s">
        <v>5892</v>
      </c>
      <c r="F2144" s="1" t="s">
        <v>5893</v>
      </c>
      <c r="G2144" s="1" t="s">
        <v>1830</v>
      </c>
      <c r="H2144" s="1" t="s">
        <v>1812</v>
      </c>
      <c r="I2144" s="10" t="str">
        <f>IF(H2144="T45",1,IF(H2144="T45",3,IF(H2144="T61",6,IF(H2144="T61",10,IF(H2144="T93",14,IF(H2144="T93",18,IF(H2144="T61",22,"")))))))</f>
        <v/>
      </c>
      <c r="J2144" s="1" t="s">
        <v>1808</v>
      </c>
      <c r="K2144" s="10">
        <v>2</v>
      </c>
      <c r="L2144" s="10">
        <v>1</v>
      </c>
      <c r="O2144" s="6"/>
      <c r="P2144" s="42" t="s">
        <v>5560</v>
      </c>
      <c r="Q2144" s="42" t="s">
        <v>5682</v>
      </c>
      <c r="R2144" s="42"/>
      <c r="S2144" s="1"/>
    </row>
    <row r="2145" spans="1:19" ht="18.75" hidden="1" customHeight="1" x14ac:dyDescent="0.3">
      <c r="A2145" s="10">
        <v>2144</v>
      </c>
      <c r="B2145" s="10">
        <f>_xlfn.XLOOKUP(1,(VALUE(D2145)&gt;=VALUE(block!$C$3:$C$500))*(VALUE(D2145)&lt;VALUE(block!$C$3:$C$500)+VALUE(block!$D$3:$D$500)),block!$A$3:$A$500,"无匹配",0,1)</f>
        <v>62</v>
      </c>
      <c r="C2145" s="3" t="str">
        <f>B2145 &amp; "-" &amp; COUNTIF($B$2:B2145, B2145)</f>
        <v>62-56</v>
      </c>
      <c r="D2145" s="10">
        <f t="shared" si="3"/>
        <v>14412</v>
      </c>
      <c r="E2145" s="3" t="s">
        <v>5894</v>
      </c>
      <c r="F2145" s="1" t="s">
        <v>5895</v>
      </c>
      <c r="H2145" s="3" t="s">
        <v>1838</v>
      </c>
      <c r="I2145" s="10" t="str">
        <f>IF(H2145="T46",1,IF(H2145="T46",3,IF(H2145="T62",6,IF(H2145="T62",10,IF(H2145="T94",14,IF(H2145="T94",18,IF(H2145="T62",22,"")))))))</f>
        <v/>
      </c>
      <c r="J2145" s="1" t="s">
        <v>1808</v>
      </c>
      <c r="K2145" s="10">
        <v>2</v>
      </c>
      <c r="L2145" s="10">
        <v>1</v>
      </c>
      <c r="O2145" s="6"/>
      <c r="Q2145" s="42" t="s">
        <v>5682</v>
      </c>
      <c r="R2145" s="42"/>
      <c r="S2145" s="1"/>
    </row>
    <row r="2146" spans="1:19" ht="18.75" hidden="1" customHeight="1" x14ac:dyDescent="0.3">
      <c r="A2146" s="10">
        <v>2145</v>
      </c>
      <c r="B2146" s="10">
        <f>_xlfn.XLOOKUP(1,(VALUE(D2146)&gt;=VALUE(block!$C$3:$C$500))*(VALUE(D2146)&lt;VALUE(block!$C$3:$C$500)+VALUE(block!$D$3:$D$500)),block!$A$3:$A$500,"无匹配",0,1)</f>
        <v>62</v>
      </c>
      <c r="C2146" s="3" t="str">
        <f>B2146 &amp; "-" &amp; COUNTIF($B$2:B2146, B2146)</f>
        <v>62-57</v>
      </c>
      <c r="D2146" s="10">
        <f t="shared" si="3"/>
        <v>14414</v>
      </c>
      <c r="E2146" s="3" t="s">
        <v>5894</v>
      </c>
      <c r="F2146" s="1" t="s">
        <v>5896</v>
      </c>
      <c r="H2146" s="3" t="s">
        <v>5458</v>
      </c>
      <c r="I2146" s="10" t="str">
        <f>IF(H2146="T47",1,IF(H2146="T47",3,IF(H2146="T63",6,IF(H2146="T63",10,IF(H2146="T95",14,IF(H2146="T95",18,IF(H2146="T63",22,"")))))))</f>
        <v/>
      </c>
      <c r="J2146" s="1" t="s">
        <v>1808</v>
      </c>
      <c r="K2146" s="10">
        <v>1</v>
      </c>
      <c r="L2146" s="10">
        <v>1</v>
      </c>
      <c r="O2146" s="6"/>
      <c r="Q2146" s="42" t="s">
        <v>5682</v>
      </c>
      <c r="R2146" s="42"/>
      <c r="S2146" s="1"/>
    </row>
    <row r="2147" spans="1:19" ht="18.75" hidden="1" customHeight="1" x14ac:dyDescent="0.3">
      <c r="A2147" s="10">
        <v>2146</v>
      </c>
      <c r="B2147" s="10">
        <f>_xlfn.XLOOKUP(1,(VALUE(D2147)&gt;=VALUE(block!$C$3:$C$500))*(VALUE(D2147)&lt;VALUE(block!$C$3:$C$500)+VALUE(block!$D$3:$D$500)),block!$A$3:$A$500,"无匹配",0,1)</f>
        <v>62</v>
      </c>
      <c r="C2147" s="3" t="str">
        <f>B2147 &amp; "-" &amp; COUNTIF($B$2:B2147, B2147)</f>
        <v>62-58</v>
      </c>
      <c r="D2147" s="10">
        <f t="shared" si="3"/>
        <v>14415</v>
      </c>
      <c r="E2147" s="1" t="s">
        <v>5897</v>
      </c>
      <c r="F2147" s="1" t="s">
        <v>5898</v>
      </c>
      <c r="G2147" s="1" t="s">
        <v>1832</v>
      </c>
      <c r="H2147" s="1" t="s">
        <v>1812</v>
      </c>
      <c r="I2147" s="10" t="str">
        <f>IF(H2147="T48",1,IF(H2147="T48",3,IF(H2147="T64",6,IF(H2147="T64",10,IF(H2147="T96",14,IF(H2147="T96",18,IF(H2147="T64",22,"")))))))</f>
        <v/>
      </c>
      <c r="J2147" s="1" t="s">
        <v>1808</v>
      </c>
      <c r="K2147" s="10">
        <v>2</v>
      </c>
      <c r="L2147" s="10">
        <v>1</v>
      </c>
      <c r="O2147" s="6"/>
      <c r="P2147" s="42" t="s">
        <v>5560</v>
      </c>
      <c r="Q2147" s="42" t="s">
        <v>5682</v>
      </c>
      <c r="R2147" s="42"/>
      <c r="S2147" s="1"/>
    </row>
    <row r="2148" spans="1:19" ht="18.75" hidden="1" customHeight="1" x14ac:dyDescent="0.3">
      <c r="A2148" s="10">
        <v>2147</v>
      </c>
      <c r="B2148" s="10">
        <f>_xlfn.XLOOKUP(1,(VALUE(D2148)&gt;=VALUE(block!$C$3:$C$500))*(VALUE(D2148)&lt;VALUE(block!$C$3:$C$500)+VALUE(block!$D$3:$D$500)),block!$A$3:$A$500,"无匹配",0,1)</f>
        <v>62</v>
      </c>
      <c r="C2148" s="3" t="str">
        <f>B2148 &amp; "-" &amp; COUNTIF($B$2:B2148, B2148)</f>
        <v>62-59</v>
      </c>
      <c r="D2148" s="10">
        <f t="shared" si="3"/>
        <v>14417</v>
      </c>
      <c r="E2148" s="3" t="s">
        <v>5899</v>
      </c>
      <c r="F2148" s="1" t="s">
        <v>5900</v>
      </c>
      <c r="H2148" s="3" t="s">
        <v>1838</v>
      </c>
      <c r="I2148" s="10" t="str">
        <f>IF(H2148="T49",1,IF(H2148="T49",3,IF(H2148="T65",6,IF(H2148="T65",10,IF(H2148="T97",14,IF(H2148="T97",18,IF(H2148="T65",22,"")))))))</f>
        <v/>
      </c>
      <c r="J2148" s="1" t="s">
        <v>1808</v>
      </c>
      <c r="K2148" s="10">
        <v>2</v>
      </c>
      <c r="L2148" s="10">
        <v>1</v>
      </c>
      <c r="O2148" s="6"/>
      <c r="Q2148" s="42" t="s">
        <v>5682</v>
      </c>
      <c r="R2148" s="42"/>
      <c r="S2148" s="1"/>
    </row>
    <row r="2149" spans="1:19" ht="18.75" hidden="1" customHeight="1" x14ac:dyDescent="0.3">
      <c r="A2149" s="10">
        <v>2148</v>
      </c>
      <c r="B2149" s="10">
        <f>_xlfn.XLOOKUP(1,(VALUE(D2149)&gt;=VALUE(block!$C$3:$C$500))*(VALUE(D2149)&lt;VALUE(block!$C$3:$C$500)+VALUE(block!$D$3:$D$500)),block!$A$3:$A$500,"无匹配",0,1)</f>
        <v>62</v>
      </c>
      <c r="C2149" s="3" t="str">
        <f>B2149 &amp; "-" &amp; COUNTIF($B$2:B2149, B2149)</f>
        <v>62-60</v>
      </c>
      <c r="D2149" s="10">
        <f t="shared" si="3"/>
        <v>14419</v>
      </c>
      <c r="E2149" s="3" t="s">
        <v>5899</v>
      </c>
      <c r="F2149" s="1" t="s">
        <v>5901</v>
      </c>
      <c r="H2149" s="3" t="s">
        <v>5458</v>
      </c>
      <c r="I2149" s="10" t="str">
        <f>IF(H2149="T50",1,IF(H2149="T50",3,IF(H2149="T66",6,IF(H2149="T66",10,IF(H2149="T98",14,IF(H2149="T98",18,IF(H2149="T66",22,"")))))))</f>
        <v/>
      </c>
      <c r="J2149" s="1" t="s">
        <v>1808</v>
      </c>
      <c r="K2149" s="10">
        <v>1</v>
      </c>
      <c r="L2149" s="10">
        <v>1</v>
      </c>
      <c r="O2149" s="6"/>
      <c r="Q2149" s="42" t="s">
        <v>5682</v>
      </c>
      <c r="R2149" s="42"/>
      <c r="S2149" s="1"/>
    </row>
    <row r="2150" spans="1:19" ht="18.75" hidden="1" customHeight="1" x14ac:dyDescent="0.3">
      <c r="A2150" s="10">
        <v>2149</v>
      </c>
      <c r="B2150" s="10">
        <f>_xlfn.XLOOKUP(1,(VALUE(D2150)&gt;=VALUE(block!$C$3:$C$500))*(VALUE(D2150)&lt;VALUE(block!$C$3:$C$500)+VALUE(block!$D$3:$D$500)),block!$A$3:$A$500,"无匹配",0,1)</f>
        <v>62</v>
      </c>
      <c r="C2150" s="3" t="str">
        <f>B2150 &amp; "-" &amp; COUNTIF($B$2:B2150, B2150)</f>
        <v>62-61</v>
      </c>
      <c r="D2150" s="10">
        <f t="shared" si="3"/>
        <v>14420</v>
      </c>
      <c r="E2150" s="1" t="s">
        <v>5902</v>
      </c>
      <c r="F2150" s="1" t="s">
        <v>5903</v>
      </c>
      <c r="G2150" s="1" t="s">
        <v>1832</v>
      </c>
      <c r="H2150" s="1" t="s">
        <v>1812</v>
      </c>
      <c r="I2150" s="10" t="str">
        <f>IF(H2150="T51",1,IF(H2150="T51",3,IF(H2150="T67",6,IF(H2150="T67",10,IF(H2150="T99",14,IF(H2150="T99",18,IF(H2150="T67",22,"")))))))</f>
        <v/>
      </c>
      <c r="J2150" s="1" t="s">
        <v>1808</v>
      </c>
      <c r="K2150" s="10">
        <v>2</v>
      </c>
      <c r="L2150" s="10">
        <v>1</v>
      </c>
      <c r="O2150" s="6"/>
      <c r="P2150" s="42" t="s">
        <v>5560</v>
      </c>
      <c r="Q2150" s="42" t="s">
        <v>5682</v>
      </c>
      <c r="R2150" s="42"/>
      <c r="S2150" s="1"/>
    </row>
    <row r="2151" spans="1:19" ht="18.75" hidden="1" customHeight="1" x14ac:dyDescent="0.3">
      <c r="A2151" s="10">
        <v>2150</v>
      </c>
      <c r="B2151" s="10">
        <f>_xlfn.XLOOKUP(1,(VALUE(D2151)&gt;=VALUE(block!$C$3:$C$500))*(VALUE(D2151)&lt;VALUE(block!$C$3:$C$500)+VALUE(block!$D$3:$D$500)),block!$A$3:$A$500,"无匹配",0,1)</f>
        <v>62</v>
      </c>
      <c r="C2151" s="3" t="str">
        <f>B2151 &amp; "-" &amp; COUNTIF($B$2:B2151, B2151)</f>
        <v>62-62</v>
      </c>
      <c r="D2151" s="10">
        <f t="shared" si="3"/>
        <v>14422</v>
      </c>
      <c r="E2151" s="3" t="s">
        <v>5904</v>
      </c>
      <c r="F2151" s="1" t="s">
        <v>5905</v>
      </c>
      <c r="H2151" s="3" t="s">
        <v>1838</v>
      </c>
      <c r="I2151" s="10" t="str">
        <f>IF(H2151="T52",1,IF(H2151="T52",3,IF(H2151="T68",6,IF(H2151="T68",10,IF(H2151="T100",14,IF(H2151="T100",18,IF(H2151="T68",22,"")))))))</f>
        <v/>
      </c>
      <c r="J2151" s="1" t="s">
        <v>1808</v>
      </c>
      <c r="K2151" s="10">
        <v>2</v>
      </c>
      <c r="L2151" s="10">
        <v>1</v>
      </c>
      <c r="O2151" s="6"/>
      <c r="Q2151" s="42" t="s">
        <v>5682</v>
      </c>
      <c r="R2151" s="42"/>
      <c r="S2151" s="1"/>
    </row>
    <row r="2152" spans="1:19" ht="18.75" hidden="1" customHeight="1" x14ac:dyDescent="0.3">
      <c r="A2152" s="10">
        <v>2151</v>
      </c>
      <c r="B2152" s="10">
        <f>_xlfn.XLOOKUP(1,(VALUE(D2152)&gt;=VALUE(block!$C$3:$C$500))*(VALUE(D2152)&lt;VALUE(block!$C$3:$C$500)+VALUE(block!$D$3:$D$500)),block!$A$3:$A$500,"无匹配",0,1)</f>
        <v>62</v>
      </c>
      <c r="C2152" s="3" t="str">
        <f>B2152 &amp; "-" &amp; COUNTIF($B$2:B2152, B2152)</f>
        <v>62-63</v>
      </c>
      <c r="D2152" s="10">
        <f t="shared" si="3"/>
        <v>14424</v>
      </c>
      <c r="E2152" s="3" t="s">
        <v>5904</v>
      </c>
      <c r="F2152" s="1" t="s">
        <v>5906</v>
      </c>
      <c r="H2152" s="3" t="s">
        <v>5458</v>
      </c>
      <c r="I2152" s="10" t="str">
        <f>IF(H2152="T53",1,IF(H2152="T53",3,IF(H2152="T69",6,IF(H2152="T69",10,IF(H2152="T101",14,IF(H2152="T101",18,IF(H2152="T69",22,"")))))))</f>
        <v/>
      </c>
      <c r="J2152" s="1" t="s">
        <v>1808</v>
      </c>
      <c r="K2152" s="10">
        <v>1</v>
      </c>
      <c r="L2152" s="10">
        <v>1</v>
      </c>
      <c r="O2152" s="6"/>
      <c r="Q2152" s="42" t="s">
        <v>5682</v>
      </c>
      <c r="R2152" s="42"/>
      <c r="S2152" s="1"/>
    </row>
    <row r="2153" spans="1:19" ht="18.75" hidden="1" customHeight="1" x14ac:dyDescent="0.3">
      <c r="A2153" s="10">
        <v>2152</v>
      </c>
      <c r="B2153" s="10">
        <f>_xlfn.XLOOKUP(1,(VALUE(D2153)&gt;=VALUE(block!$C$3:$C$500))*(VALUE(D2153)&lt;VALUE(block!$C$3:$C$500)+VALUE(block!$D$3:$D$500)),block!$A$3:$A$500,"无匹配",0,1)</f>
        <v>62</v>
      </c>
      <c r="C2153" s="3" t="str">
        <f>B2153 &amp; "-" &amp; COUNTIF($B$2:B2153, B2153)</f>
        <v>62-64</v>
      </c>
      <c r="D2153" s="10">
        <f t="shared" si="3"/>
        <v>14425</v>
      </c>
      <c r="E2153" s="1" t="s">
        <v>5907</v>
      </c>
      <c r="F2153" s="1" t="s">
        <v>5908</v>
      </c>
      <c r="G2153" s="1" t="s">
        <v>1834</v>
      </c>
      <c r="H2153" s="1" t="s">
        <v>1812</v>
      </c>
      <c r="I2153" s="10" t="str">
        <f>IF(H2153="T54",1,IF(H2153="T54",3,IF(H2153="T70",6,IF(H2153="T70",10,IF(H2153="T102",14,IF(H2153="T102",18,IF(H2153="T70",22,"")))))))</f>
        <v/>
      </c>
      <c r="J2153" s="1" t="s">
        <v>1808</v>
      </c>
      <c r="K2153" s="10">
        <v>2</v>
      </c>
      <c r="L2153" s="10">
        <v>1</v>
      </c>
      <c r="O2153" s="6"/>
      <c r="P2153" s="42" t="s">
        <v>5560</v>
      </c>
      <c r="Q2153" s="42" t="s">
        <v>5682</v>
      </c>
      <c r="R2153" s="42"/>
      <c r="S2153" s="1"/>
    </row>
    <row r="2154" spans="1:19" ht="18.75" hidden="1" customHeight="1" x14ac:dyDescent="0.3">
      <c r="A2154" s="10">
        <v>2153</v>
      </c>
      <c r="B2154" s="10">
        <f>_xlfn.XLOOKUP(1,(VALUE(D2154)&gt;=VALUE(block!$C$3:$C$500))*(VALUE(D2154)&lt;VALUE(block!$C$3:$C$500)+VALUE(block!$D$3:$D$500)),block!$A$3:$A$500,"无匹配",0,1)</f>
        <v>62</v>
      </c>
      <c r="C2154" s="3" t="str">
        <f>B2154 &amp; "-" &amp; COUNTIF($B$2:B2154, B2154)</f>
        <v>62-65</v>
      </c>
      <c r="D2154" s="10">
        <f t="shared" si="3"/>
        <v>14427</v>
      </c>
      <c r="E2154" s="3" t="s">
        <v>5909</v>
      </c>
      <c r="F2154" s="1" t="s">
        <v>5910</v>
      </c>
      <c r="H2154" s="3" t="s">
        <v>1838</v>
      </c>
      <c r="I2154" s="10" t="str">
        <f>IF(H2154="T55",1,IF(H2154="T55",3,IF(H2154="T71",6,IF(H2154="T71",10,IF(H2154="T103",14,IF(H2154="T103",18,IF(H2154="T71",22,"")))))))</f>
        <v/>
      </c>
      <c r="J2154" s="1" t="s">
        <v>1808</v>
      </c>
      <c r="K2154" s="10">
        <v>2</v>
      </c>
      <c r="L2154" s="10">
        <v>1</v>
      </c>
      <c r="O2154" s="6"/>
      <c r="Q2154" s="42" t="s">
        <v>5682</v>
      </c>
      <c r="R2154" s="42"/>
      <c r="S2154" s="1"/>
    </row>
    <row r="2155" spans="1:19" ht="18.75" hidden="1" customHeight="1" x14ac:dyDescent="0.3">
      <c r="A2155" s="10">
        <v>2154</v>
      </c>
      <c r="B2155" s="10">
        <f>_xlfn.XLOOKUP(1,(VALUE(D2155)&gt;=VALUE(block!$C$3:$C$500))*(VALUE(D2155)&lt;VALUE(block!$C$3:$C$500)+VALUE(block!$D$3:$D$500)),block!$A$3:$A$500,"无匹配",0,1)</f>
        <v>62</v>
      </c>
      <c r="C2155" s="3" t="str">
        <f>B2155 &amp; "-" &amp; COUNTIF($B$2:B2155, B2155)</f>
        <v>62-66</v>
      </c>
      <c r="D2155" s="10">
        <f t="shared" si="3"/>
        <v>14429</v>
      </c>
      <c r="E2155" s="3" t="s">
        <v>5909</v>
      </c>
      <c r="F2155" s="1" t="s">
        <v>5911</v>
      </c>
      <c r="H2155" s="3" t="s">
        <v>5458</v>
      </c>
      <c r="I2155" s="10" t="str">
        <f>IF(H2155="T56",1,IF(H2155="T56",3,IF(H2155="T72",6,IF(H2155="T72",10,IF(H2155="T104",14,IF(H2155="T104",18,IF(H2155="T72",22,"")))))))</f>
        <v/>
      </c>
      <c r="J2155" s="1" t="s">
        <v>1808</v>
      </c>
      <c r="K2155" s="10">
        <v>1</v>
      </c>
      <c r="L2155" s="10">
        <v>1</v>
      </c>
      <c r="O2155" s="6"/>
      <c r="Q2155" s="42" t="s">
        <v>5682</v>
      </c>
      <c r="R2155" s="42"/>
      <c r="S2155" s="1"/>
    </row>
    <row r="2156" spans="1:19" ht="18.75" hidden="1" customHeight="1" x14ac:dyDescent="0.3">
      <c r="A2156" s="10">
        <v>2155</v>
      </c>
      <c r="B2156" s="10">
        <f>_xlfn.XLOOKUP(1,(VALUE(D2156)&gt;=VALUE(block!$C$3:$C$500))*(VALUE(D2156)&lt;VALUE(block!$C$3:$C$500)+VALUE(block!$D$3:$D$500)),block!$A$3:$A$500,"无匹配",0,1)</f>
        <v>62</v>
      </c>
      <c r="C2156" s="3" t="str">
        <f>B2156 &amp; "-" &amp; COUNTIF($B$2:B2156, B2156)</f>
        <v>62-67</v>
      </c>
      <c r="D2156" s="10">
        <f t="shared" si="3"/>
        <v>14430</v>
      </c>
      <c r="E2156" s="1" t="s">
        <v>5912</v>
      </c>
      <c r="F2156" s="1" t="s">
        <v>5913</v>
      </c>
      <c r="G2156" s="1" t="s">
        <v>1834</v>
      </c>
      <c r="H2156" s="1" t="s">
        <v>1812</v>
      </c>
      <c r="I2156" s="10" t="str">
        <f>IF(H2156="T57",1,IF(H2156="T57",3,IF(H2156="T73",6,IF(H2156="T73",10,IF(H2156="T105",14,IF(H2156="T105",18,IF(H2156="T73",22,"")))))))</f>
        <v/>
      </c>
      <c r="J2156" s="1" t="s">
        <v>1808</v>
      </c>
      <c r="K2156" s="10">
        <v>2</v>
      </c>
      <c r="L2156" s="10">
        <v>1</v>
      </c>
      <c r="O2156" s="6"/>
      <c r="P2156" s="42" t="s">
        <v>5560</v>
      </c>
      <c r="Q2156" s="42" t="s">
        <v>5682</v>
      </c>
      <c r="R2156" s="42"/>
      <c r="S2156" s="1"/>
    </row>
    <row r="2157" spans="1:19" ht="18.75" hidden="1" customHeight="1" x14ac:dyDescent="0.3">
      <c r="A2157" s="10">
        <v>2156</v>
      </c>
      <c r="B2157" s="10">
        <f>_xlfn.XLOOKUP(1,(VALUE(D2157)&gt;=VALUE(block!$C$3:$C$500))*(VALUE(D2157)&lt;VALUE(block!$C$3:$C$500)+VALUE(block!$D$3:$D$500)),block!$A$3:$A$500,"无匹配",0,1)</f>
        <v>62</v>
      </c>
      <c r="C2157" s="3" t="str">
        <f>B2157 &amp; "-" &amp; COUNTIF($B$2:B2157, B2157)</f>
        <v>62-68</v>
      </c>
      <c r="D2157" s="10">
        <f t="shared" si="3"/>
        <v>14432</v>
      </c>
      <c r="E2157" s="3" t="s">
        <v>5914</v>
      </c>
      <c r="F2157" s="1" t="s">
        <v>5915</v>
      </c>
      <c r="H2157" s="3" t="s">
        <v>1838</v>
      </c>
      <c r="I2157" s="10" t="str">
        <f>IF(H2157="T58",1,IF(H2157="T58",3,IF(H2157="T74",6,IF(H2157="T74",10,IF(H2157="T106",14,IF(H2157="T106",18,IF(H2157="T74",22,"")))))))</f>
        <v/>
      </c>
      <c r="J2157" s="1" t="s">
        <v>1808</v>
      </c>
      <c r="K2157" s="10">
        <v>2</v>
      </c>
      <c r="L2157" s="10">
        <v>1</v>
      </c>
      <c r="O2157" s="6"/>
      <c r="Q2157" s="42" t="s">
        <v>5682</v>
      </c>
      <c r="R2157" s="42"/>
      <c r="S2157" s="1"/>
    </row>
    <row r="2158" spans="1:19" ht="18.75" hidden="1" customHeight="1" x14ac:dyDescent="0.3">
      <c r="A2158" s="10">
        <v>2157</v>
      </c>
      <c r="B2158" s="10">
        <f>_xlfn.XLOOKUP(1,(VALUE(D2158)&gt;=VALUE(block!$C$3:$C$500))*(VALUE(D2158)&lt;VALUE(block!$C$3:$C$500)+VALUE(block!$D$3:$D$500)),block!$A$3:$A$500,"无匹配",0,1)</f>
        <v>62</v>
      </c>
      <c r="C2158" s="3" t="str">
        <f>B2158 &amp; "-" &amp; COUNTIF($B$2:B2158, B2158)</f>
        <v>62-69</v>
      </c>
      <c r="D2158" s="10">
        <f t="shared" si="3"/>
        <v>14434</v>
      </c>
      <c r="E2158" s="3" t="s">
        <v>5914</v>
      </c>
      <c r="F2158" s="1" t="s">
        <v>5916</v>
      </c>
      <c r="H2158" s="3" t="s">
        <v>5458</v>
      </c>
      <c r="I2158" s="10" t="str">
        <f>IF(H2158="T59",1,IF(H2158="T59",3,IF(H2158="T75",6,IF(H2158="T75",10,IF(H2158="T107",14,IF(H2158="T107",18,IF(H2158="T75",22,"")))))))</f>
        <v/>
      </c>
      <c r="J2158" s="1" t="s">
        <v>1808</v>
      </c>
      <c r="K2158" s="10">
        <v>1</v>
      </c>
      <c r="L2158" s="10">
        <v>1</v>
      </c>
      <c r="O2158" s="6"/>
      <c r="Q2158" s="42" t="s">
        <v>5682</v>
      </c>
      <c r="R2158" s="42"/>
      <c r="S2158" s="1"/>
    </row>
    <row r="2159" spans="1:19" ht="18.75" hidden="1" customHeight="1" x14ac:dyDescent="0.3">
      <c r="A2159" s="10">
        <v>2158</v>
      </c>
      <c r="B2159" s="10">
        <f>_xlfn.XLOOKUP(1,(VALUE(D2159)&gt;=VALUE(block!$C$3:$C$500))*(VALUE(D2159)&lt;VALUE(block!$C$3:$C$500)+VALUE(block!$D$3:$D$500)),block!$A$3:$A$500,"无匹配",0,1)</f>
        <v>62</v>
      </c>
      <c r="C2159" s="3" t="str">
        <f>B2159 &amp; "-" &amp; COUNTIF($B$2:B2159, B2159)</f>
        <v>62-70</v>
      </c>
      <c r="D2159" s="10">
        <f t="shared" si="3"/>
        <v>14435</v>
      </c>
      <c r="E2159" s="1" t="s">
        <v>5917</v>
      </c>
      <c r="F2159" s="1" t="s">
        <v>5918</v>
      </c>
      <c r="G2159" s="1" t="s">
        <v>1836</v>
      </c>
      <c r="H2159" s="1" t="s">
        <v>1812</v>
      </c>
      <c r="I2159" s="10" t="str">
        <f>IF(H2159="T60",1,IF(H2159="T60",3,IF(H2159="T76",6,IF(H2159="T76",10,IF(H2159="T108",14,IF(H2159="T108",18,IF(H2159="T76",22,"")))))))</f>
        <v/>
      </c>
      <c r="J2159" s="1" t="s">
        <v>1808</v>
      </c>
      <c r="K2159" s="10">
        <v>2</v>
      </c>
      <c r="L2159" s="10">
        <v>1</v>
      </c>
      <c r="O2159" s="6"/>
      <c r="P2159" s="42" t="s">
        <v>5560</v>
      </c>
      <c r="Q2159" s="42" t="s">
        <v>5682</v>
      </c>
      <c r="R2159" s="42"/>
      <c r="S2159" s="1"/>
    </row>
    <row r="2160" spans="1:19" ht="18.75" hidden="1" customHeight="1" x14ac:dyDescent="0.3">
      <c r="A2160" s="10">
        <v>2159</v>
      </c>
      <c r="B2160" s="10">
        <f>_xlfn.XLOOKUP(1,(VALUE(D2160)&gt;=VALUE(block!$C$3:$C$500))*(VALUE(D2160)&lt;VALUE(block!$C$3:$C$500)+VALUE(block!$D$3:$D$500)),block!$A$3:$A$500,"无匹配",0,1)</f>
        <v>62</v>
      </c>
      <c r="C2160" s="3" t="str">
        <f>B2160 &amp; "-" &amp; COUNTIF($B$2:B2160, B2160)</f>
        <v>62-71</v>
      </c>
      <c r="D2160" s="10">
        <f t="shared" si="3"/>
        <v>14437</v>
      </c>
      <c r="E2160" s="3" t="s">
        <v>5919</v>
      </c>
      <c r="F2160" s="1" t="s">
        <v>5920</v>
      </c>
      <c r="H2160" s="3" t="s">
        <v>1838</v>
      </c>
      <c r="I2160" s="10" t="str">
        <f>IF(H2160="T61",1,IF(H2160="T61",3,IF(H2160="T77",6,IF(H2160="T77",10,IF(H2160="T109",14,IF(H2160="T109",18,IF(H2160="T77",22,"")))))))</f>
        <v/>
      </c>
      <c r="J2160" s="1" t="s">
        <v>1808</v>
      </c>
      <c r="K2160" s="10">
        <v>2</v>
      </c>
      <c r="L2160" s="10">
        <v>1</v>
      </c>
      <c r="O2160" s="6"/>
      <c r="Q2160" s="42" t="s">
        <v>5682</v>
      </c>
      <c r="R2160" s="42"/>
      <c r="S2160" s="1"/>
    </row>
    <row r="2161" spans="1:19" ht="18.75" hidden="1" customHeight="1" x14ac:dyDescent="0.3">
      <c r="A2161" s="10">
        <v>2160</v>
      </c>
      <c r="B2161" s="10">
        <f>_xlfn.XLOOKUP(1,(VALUE(D2161)&gt;=VALUE(block!$C$3:$C$500))*(VALUE(D2161)&lt;VALUE(block!$C$3:$C$500)+VALUE(block!$D$3:$D$500)),block!$A$3:$A$500,"无匹配",0,1)</f>
        <v>62</v>
      </c>
      <c r="C2161" s="3" t="str">
        <f>B2161 &amp; "-" &amp; COUNTIF($B$2:B2161, B2161)</f>
        <v>62-72</v>
      </c>
      <c r="D2161" s="10">
        <f t="shared" si="3"/>
        <v>14439</v>
      </c>
      <c r="E2161" s="3" t="s">
        <v>5919</v>
      </c>
      <c r="F2161" s="1" t="s">
        <v>5921</v>
      </c>
      <c r="H2161" s="3" t="s">
        <v>5458</v>
      </c>
      <c r="I2161" s="10" t="str">
        <f>IF(H2161="T62",1,IF(H2161="T62",3,IF(H2161="T78",6,IF(H2161="T78",10,IF(H2161="T110",14,IF(H2161="T110",18,IF(H2161="T78",22,"")))))))</f>
        <v/>
      </c>
      <c r="J2161" s="1" t="s">
        <v>1808</v>
      </c>
      <c r="K2161" s="10">
        <v>1</v>
      </c>
      <c r="L2161" s="10">
        <v>1</v>
      </c>
      <c r="O2161" s="6"/>
      <c r="Q2161" s="42" t="s">
        <v>5682</v>
      </c>
      <c r="R2161" s="42"/>
      <c r="S2161" s="1"/>
    </row>
    <row r="2162" spans="1:19" ht="18.75" hidden="1" customHeight="1" x14ac:dyDescent="0.3">
      <c r="A2162" s="10">
        <v>2161</v>
      </c>
      <c r="B2162" s="10">
        <f>_xlfn.XLOOKUP(1,(VALUE(D2162)&gt;=VALUE(block!$C$3:$C$500))*(VALUE(D2162)&lt;VALUE(block!$C$3:$C$500)+VALUE(block!$D$3:$D$500)),block!$A$3:$A$500,"无匹配",0,1)</f>
        <v>63</v>
      </c>
      <c r="C2162" s="3" t="str">
        <f>B2162 &amp; "-" &amp; COUNTIF($B$2:B2162, B2162)</f>
        <v>63-1</v>
      </c>
      <c r="D2162" s="10">
        <f t="shared" si="3"/>
        <v>14440</v>
      </c>
      <c r="E2162" s="1" t="s">
        <v>5922</v>
      </c>
      <c r="F2162" s="1" t="s">
        <v>5923</v>
      </c>
      <c r="G2162" s="1" t="s">
        <v>1830</v>
      </c>
      <c r="H2162" s="1" t="s">
        <v>1812</v>
      </c>
      <c r="I2162" s="10" t="str">
        <f>IF(H2162="T63",1,IF(H2162="T63",3,IF(H2162="T79",6,IF(H2162="T79",10,IF(H2162="T111",14,IF(H2162="T111",18,IF(H2162="T79",22,"")))))))</f>
        <v/>
      </c>
      <c r="J2162" s="1" t="s">
        <v>1808</v>
      </c>
      <c r="K2162" s="10">
        <v>2</v>
      </c>
      <c r="L2162" s="10">
        <v>1</v>
      </c>
      <c r="O2162" s="6"/>
      <c r="P2162" s="42" t="s">
        <v>5560</v>
      </c>
      <c r="Q2162" s="42" t="s">
        <v>5682</v>
      </c>
      <c r="R2162" s="42"/>
      <c r="S2162" s="1"/>
    </row>
    <row r="2163" spans="1:19" ht="18.75" hidden="1" customHeight="1" x14ac:dyDescent="0.3">
      <c r="A2163" s="10">
        <v>2162</v>
      </c>
      <c r="B2163" s="10">
        <f>_xlfn.XLOOKUP(1,(VALUE(D2163)&gt;=VALUE(block!$C$3:$C$500))*(VALUE(D2163)&lt;VALUE(block!$C$3:$C$500)+VALUE(block!$D$3:$D$500)),block!$A$3:$A$500,"无匹配",0,1)</f>
        <v>63</v>
      </c>
      <c r="C2163" s="3" t="str">
        <f>B2163 &amp; "-" &amp; COUNTIF($B$2:B2163, B2163)</f>
        <v>63-2</v>
      </c>
      <c r="D2163" s="10">
        <f t="shared" si="3"/>
        <v>14442</v>
      </c>
      <c r="E2163" s="3" t="s">
        <v>5924</v>
      </c>
      <c r="F2163" s="1" t="s">
        <v>5925</v>
      </c>
      <c r="H2163" s="3" t="s">
        <v>1838</v>
      </c>
      <c r="I2163" s="10" t="str">
        <f>IF(H2163="T64",1,IF(H2163="T64",3,IF(H2163="T80",6,IF(H2163="T80",10,IF(H2163="T112",14,IF(H2163="T112",18,IF(H2163="T80",22,"")))))))</f>
        <v/>
      </c>
      <c r="J2163" s="1" t="s">
        <v>1808</v>
      </c>
      <c r="K2163" s="10">
        <v>2</v>
      </c>
      <c r="L2163" s="10">
        <v>1</v>
      </c>
      <c r="O2163" s="6"/>
      <c r="Q2163" s="42" t="s">
        <v>5682</v>
      </c>
      <c r="R2163" s="42"/>
      <c r="S2163" s="1"/>
    </row>
    <row r="2164" spans="1:19" ht="18.75" hidden="1" customHeight="1" x14ac:dyDescent="0.3">
      <c r="A2164" s="10">
        <v>2163</v>
      </c>
      <c r="B2164" s="10">
        <f>_xlfn.XLOOKUP(1,(VALUE(D2164)&gt;=VALUE(block!$C$3:$C$500))*(VALUE(D2164)&lt;VALUE(block!$C$3:$C$500)+VALUE(block!$D$3:$D$500)),block!$A$3:$A$500,"无匹配",0,1)</f>
        <v>63</v>
      </c>
      <c r="C2164" s="3" t="str">
        <f>B2164 &amp; "-" &amp; COUNTIF($B$2:B2164, B2164)</f>
        <v>63-3</v>
      </c>
      <c r="D2164" s="10">
        <f t="shared" si="3"/>
        <v>14444</v>
      </c>
      <c r="E2164" s="3" t="s">
        <v>5924</v>
      </c>
      <c r="F2164" s="1" t="s">
        <v>5926</v>
      </c>
      <c r="H2164" s="3" t="s">
        <v>5458</v>
      </c>
      <c r="I2164" s="10" t="str">
        <f>IF(H2164="T65",1,IF(H2164="T65",3,IF(H2164="T81",6,IF(H2164="T81",10,IF(H2164="T113",14,IF(H2164="T113",18,IF(H2164="T81",22,"")))))))</f>
        <v/>
      </c>
      <c r="J2164" s="1" t="s">
        <v>1808</v>
      </c>
      <c r="K2164" s="10">
        <v>1</v>
      </c>
      <c r="L2164" s="10">
        <v>1</v>
      </c>
      <c r="O2164" s="6"/>
      <c r="Q2164" s="42" t="s">
        <v>5682</v>
      </c>
      <c r="R2164" s="42"/>
      <c r="S2164" s="1"/>
    </row>
    <row r="2165" spans="1:19" ht="18.75" hidden="1" customHeight="1" x14ac:dyDescent="0.3">
      <c r="A2165" s="10">
        <v>2164</v>
      </c>
      <c r="B2165" s="10">
        <f>_xlfn.XLOOKUP(1,(VALUE(D2165)&gt;=VALUE(block!$C$3:$C$500))*(VALUE(D2165)&lt;VALUE(block!$C$3:$C$500)+VALUE(block!$D$3:$D$500)),block!$A$3:$A$500,"无匹配",0,1)</f>
        <v>63</v>
      </c>
      <c r="C2165" s="3" t="str">
        <f>B2165 &amp; "-" &amp; COUNTIF($B$2:B2165, B2165)</f>
        <v>63-4</v>
      </c>
      <c r="D2165" s="10">
        <f t="shared" si="3"/>
        <v>14445</v>
      </c>
      <c r="E2165" s="1" t="s">
        <v>5927</v>
      </c>
      <c r="F2165" s="1" t="s">
        <v>5928</v>
      </c>
      <c r="G2165" s="1" t="s">
        <v>1832</v>
      </c>
      <c r="H2165" s="1" t="s">
        <v>1812</v>
      </c>
      <c r="I2165" s="10" t="str">
        <f>IF(H2165="T66",1,IF(H2165="T66",3,IF(H2165="T82",6,IF(H2165="T82",10,IF(H2165="T114",14,IF(H2165="T114",18,IF(H2165="T82",22,"")))))))</f>
        <v/>
      </c>
      <c r="J2165" s="1" t="s">
        <v>1808</v>
      </c>
      <c r="K2165" s="10">
        <v>2</v>
      </c>
      <c r="L2165" s="10">
        <v>1</v>
      </c>
      <c r="O2165" s="6"/>
      <c r="P2165" s="42" t="s">
        <v>5560</v>
      </c>
      <c r="Q2165" s="42" t="s">
        <v>5682</v>
      </c>
      <c r="R2165" s="42"/>
      <c r="S2165" s="1"/>
    </row>
    <row r="2166" spans="1:19" ht="18.75" hidden="1" customHeight="1" x14ac:dyDescent="0.3">
      <c r="A2166" s="10">
        <v>2165</v>
      </c>
      <c r="B2166" s="10">
        <f>_xlfn.XLOOKUP(1,(VALUE(D2166)&gt;=VALUE(block!$C$3:$C$500))*(VALUE(D2166)&lt;VALUE(block!$C$3:$C$500)+VALUE(block!$D$3:$D$500)),block!$A$3:$A$500,"无匹配",0,1)</f>
        <v>63</v>
      </c>
      <c r="C2166" s="3" t="str">
        <f>B2166 &amp; "-" &amp; COUNTIF($B$2:B2166, B2166)</f>
        <v>63-5</v>
      </c>
      <c r="D2166" s="10">
        <f t="shared" si="3"/>
        <v>14447</v>
      </c>
      <c r="E2166" s="3" t="s">
        <v>5929</v>
      </c>
      <c r="F2166" s="1" t="s">
        <v>5930</v>
      </c>
      <c r="H2166" s="3" t="s">
        <v>1838</v>
      </c>
      <c r="I2166" s="10" t="str">
        <f>IF(H2166="T67",1,IF(H2166="T67",3,IF(H2166="T83",6,IF(H2166="T83",10,IF(H2166="T115",14,IF(H2166="T115",18,IF(H2166="T83",22,"")))))))</f>
        <v/>
      </c>
      <c r="J2166" s="1" t="s">
        <v>1808</v>
      </c>
      <c r="K2166" s="10">
        <v>2</v>
      </c>
      <c r="L2166" s="10">
        <v>1</v>
      </c>
      <c r="O2166" s="6"/>
      <c r="Q2166" s="42" t="s">
        <v>5682</v>
      </c>
      <c r="R2166" s="42"/>
      <c r="S2166" s="1"/>
    </row>
    <row r="2167" spans="1:19" ht="18.75" hidden="1" customHeight="1" x14ac:dyDescent="0.3">
      <c r="A2167" s="10">
        <v>2166</v>
      </c>
      <c r="B2167" s="10">
        <f>_xlfn.XLOOKUP(1,(VALUE(D2167)&gt;=VALUE(block!$C$3:$C$500))*(VALUE(D2167)&lt;VALUE(block!$C$3:$C$500)+VALUE(block!$D$3:$D$500)),block!$A$3:$A$500,"无匹配",0,1)</f>
        <v>63</v>
      </c>
      <c r="C2167" s="3" t="str">
        <f>B2167 &amp; "-" &amp; COUNTIF($B$2:B2167, B2167)</f>
        <v>63-6</v>
      </c>
      <c r="D2167" s="10">
        <f t="shared" si="3"/>
        <v>14449</v>
      </c>
      <c r="E2167" s="3" t="s">
        <v>5929</v>
      </c>
      <c r="F2167" s="1" t="s">
        <v>5931</v>
      </c>
      <c r="H2167" s="3" t="s">
        <v>5458</v>
      </c>
      <c r="I2167" s="10" t="str">
        <f>IF(H2167="T68",1,IF(H2167="T68",3,IF(H2167="T84",6,IF(H2167="T84",10,IF(H2167="T116",14,IF(H2167="T116",18,IF(H2167="T84",22,"")))))))</f>
        <v/>
      </c>
      <c r="J2167" s="1" t="s">
        <v>1808</v>
      </c>
      <c r="K2167" s="10">
        <v>1</v>
      </c>
      <c r="L2167" s="10">
        <v>1</v>
      </c>
      <c r="O2167" s="6"/>
      <c r="Q2167" s="42" t="s">
        <v>5682</v>
      </c>
      <c r="R2167" s="42"/>
      <c r="S2167" s="1"/>
    </row>
    <row r="2168" spans="1:19" ht="18.75" hidden="1" customHeight="1" x14ac:dyDescent="0.3">
      <c r="A2168" s="10">
        <v>2167</v>
      </c>
      <c r="B2168" s="10">
        <f>_xlfn.XLOOKUP(1,(VALUE(D2168)&gt;=VALUE(block!$C$3:$C$500))*(VALUE(D2168)&lt;VALUE(block!$C$3:$C$500)+VALUE(block!$D$3:$D$500)),block!$A$3:$A$500,"无匹配",0,1)</f>
        <v>63</v>
      </c>
      <c r="C2168" s="3" t="str">
        <f>B2168 &amp; "-" &amp; COUNTIF($B$2:B2168, B2168)</f>
        <v>63-7</v>
      </c>
      <c r="D2168" s="10">
        <f t="shared" si="3"/>
        <v>14450</v>
      </c>
      <c r="E2168" s="1" t="s">
        <v>5932</v>
      </c>
      <c r="F2168" s="1" t="s">
        <v>5933</v>
      </c>
      <c r="G2168" s="1" t="s">
        <v>1832</v>
      </c>
      <c r="H2168" s="1" t="s">
        <v>1812</v>
      </c>
      <c r="I2168" s="10" t="str">
        <f>IF(H2168="T69",1,IF(H2168="T69",3,IF(H2168="T85",6,IF(H2168="T85",10,IF(H2168="T117",14,IF(H2168="T117",18,IF(H2168="T85",22,"")))))))</f>
        <v/>
      </c>
      <c r="J2168" s="1" t="s">
        <v>1808</v>
      </c>
      <c r="K2168" s="10">
        <v>2</v>
      </c>
      <c r="L2168" s="10">
        <v>1</v>
      </c>
      <c r="O2168" s="6"/>
      <c r="P2168" s="42" t="s">
        <v>5560</v>
      </c>
      <c r="Q2168" s="42" t="s">
        <v>5682</v>
      </c>
      <c r="R2168" s="42"/>
      <c r="S2168" s="1"/>
    </row>
    <row r="2169" spans="1:19" ht="18.75" hidden="1" customHeight="1" x14ac:dyDescent="0.3">
      <c r="A2169" s="10">
        <v>2168</v>
      </c>
      <c r="B2169" s="10">
        <f>_xlfn.XLOOKUP(1,(VALUE(D2169)&gt;=VALUE(block!$C$3:$C$500))*(VALUE(D2169)&lt;VALUE(block!$C$3:$C$500)+VALUE(block!$D$3:$D$500)),block!$A$3:$A$500,"无匹配",0,1)</f>
        <v>63</v>
      </c>
      <c r="C2169" s="3" t="str">
        <f>B2169 &amp; "-" &amp; COUNTIF($B$2:B2169, B2169)</f>
        <v>63-8</v>
      </c>
      <c r="D2169" s="10">
        <f t="shared" si="3"/>
        <v>14452</v>
      </c>
      <c r="E2169" s="3" t="s">
        <v>5934</v>
      </c>
      <c r="F2169" s="1" t="s">
        <v>5935</v>
      </c>
      <c r="H2169" s="3" t="s">
        <v>1838</v>
      </c>
      <c r="I2169" s="10" t="str">
        <f>IF(H2169="T70",1,IF(H2169="T70",3,IF(H2169="T86",6,IF(H2169="T86",10,IF(H2169="T118",14,IF(H2169="T118",18,IF(H2169="T86",22,"")))))))</f>
        <v/>
      </c>
      <c r="J2169" s="1" t="s">
        <v>1808</v>
      </c>
      <c r="K2169" s="10">
        <v>2</v>
      </c>
      <c r="L2169" s="10">
        <v>1</v>
      </c>
      <c r="O2169" s="6"/>
      <c r="Q2169" s="42" t="s">
        <v>5682</v>
      </c>
      <c r="R2169" s="42"/>
      <c r="S2169" s="1"/>
    </row>
    <row r="2170" spans="1:19" ht="18.75" hidden="1" customHeight="1" x14ac:dyDescent="0.3">
      <c r="A2170" s="10">
        <v>2169</v>
      </c>
      <c r="B2170" s="10">
        <f>_xlfn.XLOOKUP(1,(VALUE(D2170)&gt;=VALUE(block!$C$3:$C$500))*(VALUE(D2170)&lt;VALUE(block!$C$3:$C$500)+VALUE(block!$D$3:$D$500)),block!$A$3:$A$500,"无匹配",0,1)</f>
        <v>63</v>
      </c>
      <c r="C2170" s="3" t="str">
        <f>B2170 &amp; "-" &amp; COUNTIF($B$2:B2170, B2170)</f>
        <v>63-9</v>
      </c>
      <c r="D2170" s="10">
        <f t="shared" si="3"/>
        <v>14454</v>
      </c>
      <c r="E2170" s="3" t="s">
        <v>5934</v>
      </c>
      <c r="F2170" s="1" t="s">
        <v>5936</v>
      </c>
      <c r="H2170" s="3" t="s">
        <v>5458</v>
      </c>
      <c r="I2170" s="10" t="str">
        <f>IF(H2170="T71",1,IF(H2170="T71",3,IF(H2170="T87",6,IF(H2170="T87",10,IF(H2170="T119",14,IF(H2170="T119",18,IF(H2170="T87",22,"")))))))</f>
        <v/>
      </c>
      <c r="J2170" s="1" t="s">
        <v>1808</v>
      </c>
      <c r="K2170" s="10">
        <v>1</v>
      </c>
      <c r="L2170" s="10">
        <v>1</v>
      </c>
      <c r="O2170" s="6"/>
      <c r="Q2170" s="42" t="s">
        <v>5682</v>
      </c>
      <c r="R2170" s="42"/>
      <c r="S2170" s="1"/>
    </row>
    <row r="2171" spans="1:19" ht="18.75" hidden="1" customHeight="1" x14ac:dyDescent="0.3">
      <c r="A2171" s="10">
        <v>2170</v>
      </c>
      <c r="B2171" s="10">
        <f>_xlfn.XLOOKUP(1,(VALUE(D2171)&gt;=VALUE(block!$C$3:$C$500))*(VALUE(D2171)&lt;VALUE(block!$C$3:$C$500)+VALUE(block!$D$3:$D$500)),block!$A$3:$A$500,"无匹配",0,1)</f>
        <v>63</v>
      </c>
      <c r="C2171" s="3" t="str">
        <f>B2171 &amp; "-" &amp; COUNTIF($B$2:B2171, B2171)</f>
        <v>63-10</v>
      </c>
      <c r="D2171" s="10">
        <f t="shared" si="3"/>
        <v>14455</v>
      </c>
      <c r="E2171" s="1" t="s">
        <v>5937</v>
      </c>
      <c r="F2171" s="1" t="s">
        <v>5938</v>
      </c>
      <c r="G2171" s="1" t="s">
        <v>1834</v>
      </c>
      <c r="H2171" s="1" t="s">
        <v>1812</v>
      </c>
      <c r="I2171" s="10" t="str">
        <f>IF(H2171="T72",1,IF(H2171="T72",3,IF(H2171="T88",6,IF(H2171="T88",10,IF(H2171="T120",14,IF(H2171="T120",18,IF(H2171="T88",22,"")))))))</f>
        <v/>
      </c>
      <c r="J2171" s="1" t="s">
        <v>1808</v>
      </c>
      <c r="K2171" s="10">
        <v>2</v>
      </c>
      <c r="L2171" s="10">
        <v>1</v>
      </c>
      <c r="O2171" s="6"/>
      <c r="P2171" s="42" t="s">
        <v>5560</v>
      </c>
      <c r="Q2171" s="42" t="s">
        <v>5682</v>
      </c>
      <c r="R2171" s="42"/>
      <c r="S2171" s="1"/>
    </row>
    <row r="2172" spans="1:19" ht="18.75" hidden="1" customHeight="1" x14ac:dyDescent="0.3">
      <c r="A2172" s="10">
        <v>2171</v>
      </c>
      <c r="B2172" s="10">
        <f>_xlfn.XLOOKUP(1,(VALUE(D2172)&gt;=VALUE(block!$C$3:$C$500))*(VALUE(D2172)&lt;VALUE(block!$C$3:$C$500)+VALUE(block!$D$3:$D$500)),block!$A$3:$A$500,"无匹配",0,1)</f>
        <v>63</v>
      </c>
      <c r="C2172" s="3" t="str">
        <f>B2172 &amp; "-" &amp; COUNTIF($B$2:B2172, B2172)</f>
        <v>63-11</v>
      </c>
      <c r="D2172" s="10">
        <f t="shared" si="3"/>
        <v>14457</v>
      </c>
      <c r="E2172" s="3" t="s">
        <v>5939</v>
      </c>
      <c r="F2172" s="1" t="s">
        <v>5940</v>
      </c>
      <c r="H2172" s="3" t="s">
        <v>1838</v>
      </c>
      <c r="I2172" s="10" t="str">
        <f>IF(H2172="T73",1,IF(H2172="T73",3,IF(H2172="T89",6,IF(H2172="T89",10,IF(H2172="T121",14,IF(H2172="T121",18,IF(H2172="T89",22,"")))))))</f>
        <v/>
      </c>
      <c r="J2172" s="1" t="s">
        <v>1808</v>
      </c>
      <c r="K2172" s="10">
        <v>2</v>
      </c>
      <c r="L2172" s="10">
        <v>1</v>
      </c>
      <c r="O2172" s="6"/>
      <c r="Q2172" s="42" t="s">
        <v>5682</v>
      </c>
      <c r="R2172" s="42"/>
      <c r="S2172" s="1"/>
    </row>
    <row r="2173" spans="1:19" ht="18.75" hidden="1" customHeight="1" x14ac:dyDescent="0.3">
      <c r="A2173" s="10">
        <v>2172</v>
      </c>
      <c r="B2173" s="10">
        <f>_xlfn.XLOOKUP(1,(VALUE(D2173)&gt;=VALUE(block!$C$3:$C$500))*(VALUE(D2173)&lt;VALUE(block!$C$3:$C$500)+VALUE(block!$D$3:$D$500)),block!$A$3:$A$500,"无匹配",0,1)</f>
        <v>63</v>
      </c>
      <c r="C2173" s="3" t="str">
        <f>B2173 &amp; "-" &amp; COUNTIF($B$2:B2173, B2173)</f>
        <v>63-12</v>
      </c>
      <c r="D2173" s="10">
        <f t="shared" si="3"/>
        <v>14459</v>
      </c>
      <c r="E2173" s="3" t="s">
        <v>5939</v>
      </c>
      <c r="F2173" s="1" t="s">
        <v>5941</v>
      </c>
      <c r="H2173" s="3" t="s">
        <v>5458</v>
      </c>
      <c r="I2173" s="10" t="str">
        <f>IF(H2173="T74",1,IF(H2173="T74",3,IF(H2173="T90",6,IF(H2173="T90",10,IF(H2173="T122",14,IF(H2173="T122",18,IF(H2173="T90",22,"")))))))</f>
        <v/>
      </c>
      <c r="J2173" s="1" t="s">
        <v>1808</v>
      </c>
      <c r="K2173" s="10">
        <v>1</v>
      </c>
      <c r="L2173" s="10">
        <v>1</v>
      </c>
      <c r="O2173" s="6"/>
      <c r="Q2173" s="42" t="s">
        <v>5682</v>
      </c>
      <c r="R2173" s="42"/>
      <c r="S2173" s="1"/>
    </row>
    <row r="2174" spans="1:19" ht="18.75" hidden="1" customHeight="1" x14ac:dyDescent="0.3">
      <c r="A2174" s="10">
        <v>2173</v>
      </c>
      <c r="B2174" s="10">
        <f>_xlfn.XLOOKUP(1,(VALUE(D2174)&gt;=VALUE(block!$C$3:$C$500))*(VALUE(D2174)&lt;VALUE(block!$C$3:$C$500)+VALUE(block!$D$3:$D$500)),block!$A$3:$A$500,"无匹配",0,1)</f>
        <v>63</v>
      </c>
      <c r="C2174" s="3" t="str">
        <f>B2174 &amp; "-" &amp; COUNTIF($B$2:B2174, B2174)</f>
        <v>63-13</v>
      </c>
      <c r="D2174" s="10">
        <f t="shared" si="3"/>
        <v>14460</v>
      </c>
      <c r="E2174" s="1" t="s">
        <v>5942</v>
      </c>
      <c r="F2174" s="1" t="s">
        <v>5943</v>
      </c>
      <c r="G2174" s="1" t="s">
        <v>1834</v>
      </c>
      <c r="H2174" s="1" t="s">
        <v>1812</v>
      </c>
      <c r="I2174" s="10" t="str">
        <f>IF(H2174="T75",1,IF(H2174="T75",3,IF(H2174="T91",6,IF(H2174="T91",10,IF(H2174="T123",14,IF(H2174="T123",18,IF(H2174="T91",22,"")))))))</f>
        <v/>
      </c>
      <c r="J2174" s="1" t="s">
        <v>1808</v>
      </c>
      <c r="K2174" s="10">
        <v>2</v>
      </c>
      <c r="L2174" s="10">
        <v>1</v>
      </c>
      <c r="O2174" s="6"/>
      <c r="P2174" s="42" t="s">
        <v>5560</v>
      </c>
      <c r="Q2174" s="42" t="s">
        <v>5682</v>
      </c>
      <c r="R2174" s="42"/>
      <c r="S2174" s="1"/>
    </row>
    <row r="2175" spans="1:19" ht="18.75" hidden="1" customHeight="1" x14ac:dyDescent="0.3">
      <c r="A2175" s="10">
        <v>2174</v>
      </c>
      <c r="B2175" s="10">
        <f>_xlfn.XLOOKUP(1,(VALUE(D2175)&gt;=VALUE(block!$C$3:$C$500))*(VALUE(D2175)&lt;VALUE(block!$C$3:$C$500)+VALUE(block!$D$3:$D$500)),block!$A$3:$A$500,"无匹配",0,1)</f>
        <v>63</v>
      </c>
      <c r="C2175" s="3" t="str">
        <f>B2175 &amp; "-" &amp; COUNTIF($B$2:B2175, B2175)</f>
        <v>63-14</v>
      </c>
      <c r="D2175" s="10">
        <f t="shared" si="3"/>
        <v>14462</v>
      </c>
      <c r="E2175" s="3" t="s">
        <v>5944</v>
      </c>
      <c r="F2175" s="1" t="s">
        <v>5945</v>
      </c>
      <c r="H2175" s="3" t="s">
        <v>1838</v>
      </c>
      <c r="I2175" s="10" t="str">
        <f>IF(H2175="T76",1,IF(H2175="T76",3,IF(H2175="T92",6,IF(H2175="T92",10,IF(H2175="T124",14,IF(H2175="T124",18,IF(H2175="T92",22,"")))))))</f>
        <v/>
      </c>
      <c r="J2175" s="1" t="s">
        <v>1808</v>
      </c>
      <c r="K2175" s="10">
        <v>2</v>
      </c>
      <c r="L2175" s="10">
        <v>1</v>
      </c>
      <c r="O2175" s="6"/>
      <c r="Q2175" s="42" t="s">
        <v>5682</v>
      </c>
      <c r="R2175" s="42"/>
      <c r="S2175" s="1"/>
    </row>
    <row r="2176" spans="1:19" ht="18.75" hidden="1" customHeight="1" x14ac:dyDescent="0.3">
      <c r="A2176" s="10">
        <v>2175</v>
      </c>
      <c r="B2176" s="10">
        <f>_xlfn.XLOOKUP(1,(VALUE(D2176)&gt;=VALUE(block!$C$3:$C$500))*(VALUE(D2176)&lt;VALUE(block!$C$3:$C$500)+VALUE(block!$D$3:$D$500)),block!$A$3:$A$500,"无匹配",0,1)</f>
        <v>63</v>
      </c>
      <c r="C2176" s="3" t="str">
        <f>B2176 &amp; "-" &amp; COUNTIF($B$2:B2176, B2176)</f>
        <v>63-15</v>
      </c>
      <c r="D2176" s="10">
        <f t="shared" si="3"/>
        <v>14464</v>
      </c>
      <c r="E2176" s="3" t="s">
        <v>5944</v>
      </c>
      <c r="F2176" s="1" t="s">
        <v>5946</v>
      </c>
      <c r="H2176" s="3" t="s">
        <v>5458</v>
      </c>
      <c r="I2176" s="10" t="str">
        <f>IF(H2176="T77",1,IF(H2176="T77",3,IF(H2176="T93",6,IF(H2176="T93",10,IF(H2176="T125",14,IF(H2176="T125",18,IF(H2176="T93",22,"")))))))</f>
        <v/>
      </c>
      <c r="J2176" s="1" t="s">
        <v>1808</v>
      </c>
      <c r="K2176" s="10">
        <v>1</v>
      </c>
      <c r="L2176" s="10">
        <v>1</v>
      </c>
      <c r="O2176" s="6"/>
      <c r="Q2176" s="42" t="s">
        <v>5682</v>
      </c>
      <c r="R2176" s="42"/>
      <c r="S2176" s="1"/>
    </row>
    <row r="2177" spans="1:19" ht="18.75" hidden="1" customHeight="1" x14ac:dyDescent="0.3">
      <c r="A2177" s="10">
        <v>2176</v>
      </c>
      <c r="B2177" s="10">
        <f>_xlfn.XLOOKUP(1,(VALUE(D2177)&gt;=VALUE(block!$C$3:$C$500))*(VALUE(D2177)&lt;VALUE(block!$C$3:$C$500)+VALUE(block!$D$3:$D$500)),block!$A$3:$A$500,"无匹配",0,1)</f>
        <v>63</v>
      </c>
      <c r="C2177" s="3" t="str">
        <f>B2177 &amp; "-" &amp; COUNTIF($B$2:B2177, B2177)</f>
        <v>63-16</v>
      </c>
      <c r="D2177" s="10">
        <f t="shared" si="3"/>
        <v>14465</v>
      </c>
      <c r="E2177" s="1" t="s">
        <v>5947</v>
      </c>
      <c r="F2177" s="1" t="s">
        <v>5948</v>
      </c>
      <c r="G2177" s="1" t="s">
        <v>1836</v>
      </c>
      <c r="H2177" s="1" t="s">
        <v>1812</v>
      </c>
      <c r="I2177" s="10" t="str">
        <f>IF(H2177="T78",1,IF(H2177="T78",3,IF(H2177="T94",6,IF(H2177="T94",10,IF(H2177="T126",14,IF(H2177="T126",18,IF(H2177="T94",22,"")))))))</f>
        <v/>
      </c>
      <c r="J2177" s="1" t="s">
        <v>1808</v>
      </c>
      <c r="K2177" s="10">
        <v>2</v>
      </c>
      <c r="L2177" s="10">
        <v>1</v>
      </c>
      <c r="O2177" s="6"/>
      <c r="P2177" s="42" t="s">
        <v>5560</v>
      </c>
      <c r="Q2177" s="42" t="s">
        <v>5682</v>
      </c>
      <c r="R2177" s="42"/>
      <c r="S2177" s="1"/>
    </row>
    <row r="2178" spans="1:19" ht="18.75" hidden="1" customHeight="1" x14ac:dyDescent="0.3">
      <c r="A2178" s="10">
        <v>2177</v>
      </c>
      <c r="B2178" s="10">
        <f>_xlfn.XLOOKUP(1,(VALUE(D2178)&gt;=VALUE(block!$C$3:$C$500))*(VALUE(D2178)&lt;VALUE(block!$C$3:$C$500)+VALUE(block!$D$3:$D$500)),block!$A$3:$A$500,"无匹配",0,1)</f>
        <v>63</v>
      </c>
      <c r="C2178" s="3" t="str">
        <f>B2178 &amp; "-" &amp; COUNTIF($B$2:B2178, B2178)</f>
        <v>63-17</v>
      </c>
      <c r="D2178" s="10">
        <f t="shared" si="3"/>
        <v>14467</v>
      </c>
      <c r="E2178" s="3" t="s">
        <v>5949</v>
      </c>
      <c r="F2178" s="1" t="s">
        <v>5950</v>
      </c>
      <c r="H2178" s="3" t="s">
        <v>1838</v>
      </c>
      <c r="I2178" s="10" t="str">
        <f>IF(H2178="T79",1,IF(H2178="T79",3,IF(H2178="T95",6,IF(H2178="T95",10,IF(H2178="T127",14,IF(H2178="T127",18,IF(H2178="T95",22,"")))))))</f>
        <v/>
      </c>
      <c r="J2178" s="1" t="s">
        <v>1808</v>
      </c>
      <c r="K2178" s="10">
        <v>2</v>
      </c>
      <c r="L2178" s="10">
        <v>1</v>
      </c>
      <c r="O2178" s="6"/>
      <c r="Q2178" s="42" t="s">
        <v>5682</v>
      </c>
      <c r="R2178" s="42"/>
      <c r="S2178" s="1"/>
    </row>
    <row r="2179" spans="1:19" ht="18.75" hidden="1" customHeight="1" x14ac:dyDescent="0.3">
      <c r="A2179" s="10">
        <v>2178</v>
      </c>
      <c r="B2179" s="10">
        <f>_xlfn.XLOOKUP(1,(VALUE(D2179)&gt;=VALUE(block!$C$3:$C$500))*(VALUE(D2179)&lt;VALUE(block!$C$3:$C$500)+VALUE(block!$D$3:$D$500)),block!$A$3:$A$500,"无匹配",0,1)</f>
        <v>63</v>
      </c>
      <c r="C2179" s="3" t="str">
        <f>B2179 &amp; "-" &amp; COUNTIF($B$2:B2179, B2179)</f>
        <v>63-18</v>
      </c>
      <c r="D2179" s="10">
        <f t="shared" si="3"/>
        <v>14469</v>
      </c>
      <c r="E2179" s="3" t="s">
        <v>5949</v>
      </c>
      <c r="F2179" s="1" t="s">
        <v>5951</v>
      </c>
      <c r="H2179" s="3" t="s">
        <v>5458</v>
      </c>
      <c r="I2179" s="10">
        <f>IF(H2179="uint16",1,IF(H2179="int16",3,IF(H2179="uint32",6,IF(H2179="int32",10,IF(H2179="uint64",14,IF(H2179="int64",18,IF(H2179="float32",22,"")))))))</f>
        <v>1</v>
      </c>
      <c r="J2179" s="1" t="s">
        <v>1808</v>
      </c>
      <c r="K2179" s="10">
        <v>1</v>
      </c>
      <c r="L2179" s="10">
        <v>1</v>
      </c>
      <c r="O2179" s="6"/>
      <c r="Q2179" s="42" t="s">
        <v>5682</v>
      </c>
      <c r="R2179" s="42"/>
      <c r="S2179" s="1"/>
    </row>
    <row r="2180" spans="1:19" ht="18.75" hidden="1" customHeight="1" x14ac:dyDescent="0.3">
      <c r="A2180" s="10">
        <v>2179</v>
      </c>
      <c r="B2180" s="10">
        <f>_xlfn.XLOOKUP(1,(VALUE(D2180)&gt;=VALUE(block!$C$3:$C$500))*(VALUE(D2180)&lt;VALUE(block!$C$3:$C$500)+VALUE(block!$D$3:$D$500)),block!$A$3:$A$500,"无匹配",0,1)</f>
        <v>63</v>
      </c>
      <c r="C2180" s="3" t="str">
        <f>B2180 &amp; "-" &amp; COUNTIF($B$2:B2180, B2180)</f>
        <v>63-19</v>
      </c>
      <c r="D2180" s="10">
        <f t="shared" si="3"/>
        <v>14470</v>
      </c>
      <c r="E2180" s="1" t="s">
        <v>5952</v>
      </c>
      <c r="F2180" s="1" t="s">
        <v>5953</v>
      </c>
      <c r="G2180" s="1" t="s">
        <v>1830</v>
      </c>
      <c r="H2180" s="1" t="s">
        <v>1812</v>
      </c>
      <c r="I2180" s="10" t="str">
        <f>IF(H2180="T17",1,IF(H2180="T17",3,IF(H2180="T33",6,IF(H2180="T33",10,IF(H2180="T65",14,IF(H2180="T65",18,IF(H2180="T33",22,"")))))))</f>
        <v/>
      </c>
      <c r="J2180" s="1" t="s">
        <v>1808</v>
      </c>
      <c r="K2180" s="10">
        <v>2</v>
      </c>
      <c r="L2180" s="10">
        <v>1</v>
      </c>
      <c r="O2180" s="6"/>
      <c r="P2180" s="42" t="s">
        <v>5560</v>
      </c>
      <c r="Q2180" s="42" t="s">
        <v>5682</v>
      </c>
      <c r="R2180" s="42"/>
      <c r="S2180" s="1"/>
    </row>
    <row r="2181" spans="1:19" ht="18.75" hidden="1" customHeight="1" x14ac:dyDescent="0.3">
      <c r="A2181" s="10">
        <v>2180</v>
      </c>
      <c r="B2181" s="10">
        <f>_xlfn.XLOOKUP(1,(VALUE(D2181)&gt;=VALUE(block!$C$3:$C$500))*(VALUE(D2181)&lt;VALUE(block!$C$3:$C$500)+VALUE(block!$D$3:$D$500)),block!$A$3:$A$500,"无匹配",0,1)</f>
        <v>63</v>
      </c>
      <c r="C2181" s="3" t="str">
        <f>B2181 &amp; "-" &amp; COUNTIF($B$2:B2181, B2181)</f>
        <v>63-20</v>
      </c>
      <c r="D2181" s="10">
        <f t="shared" si="3"/>
        <v>14472</v>
      </c>
      <c r="E2181" s="3" t="s">
        <v>5954</v>
      </c>
      <c r="F2181" s="1" t="s">
        <v>5955</v>
      </c>
      <c r="H2181" s="3" t="s">
        <v>1838</v>
      </c>
      <c r="I2181" s="10" t="str">
        <f>IF(H2181="T18",1,IF(H2181="T18",3,IF(H2181="T34",6,IF(H2181="T34",10,IF(H2181="T66",14,IF(H2181="T66",18,IF(H2181="T34",22,"")))))))</f>
        <v/>
      </c>
      <c r="J2181" s="1" t="s">
        <v>1808</v>
      </c>
      <c r="K2181" s="10">
        <v>2</v>
      </c>
      <c r="L2181" s="10">
        <v>1</v>
      </c>
      <c r="O2181" s="6"/>
      <c r="Q2181" s="42" t="s">
        <v>5682</v>
      </c>
      <c r="R2181" s="42"/>
      <c r="S2181" s="1"/>
    </row>
    <row r="2182" spans="1:19" ht="18.75" hidden="1" customHeight="1" x14ac:dyDescent="0.3">
      <c r="A2182" s="10">
        <v>2181</v>
      </c>
      <c r="B2182" s="10">
        <f>_xlfn.XLOOKUP(1,(VALUE(D2182)&gt;=VALUE(block!$C$3:$C$500))*(VALUE(D2182)&lt;VALUE(block!$C$3:$C$500)+VALUE(block!$D$3:$D$500)),block!$A$3:$A$500,"无匹配",0,1)</f>
        <v>63</v>
      </c>
      <c r="C2182" s="3" t="str">
        <f>B2182 &amp; "-" &amp; COUNTIF($B$2:B2182, B2182)</f>
        <v>63-21</v>
      </c>
      <c r="D2182" s="10">
        <f t="shared" si="3"/>
        <v>14474</v>
      </c>
      <c r="E2182" s="3" t="s">
        <v>5954</v>
      </c>
      <c r="F2182" s="1" t="s">
        <v>5956</v>
      </c>
      <c r="H2182" s="3" t="s">
        <v>5458</v>
      </c>
      <c r="I2182" s="10" t="str">
        <f>IF(H2182="T19",1,IF(H2182="T19",3,IF(H2182="T35",6,IF(H2182="T35",10,IF(H2182="T67",14,IF(H2182="T67",18,IF(H2182="T35",22,"")))))))</f>
        <v/>
      </c>
      <c r="J2182" s="1" t="s">
        <v>1808</v>
      </c>
      <c r="K2182" s="10">
        <v>1</v>
      </c>
      <c r="L2182" s="10">
        <v>1</v>
      </c>
      <c r="O2182" s="6"/>
      <c r="Q2182" s="42" t="s">
        <v>5682</v>
      </c>
      <c r="R2182" s="42"/>
      <c r="S2182" s="1"/>
    </row>
    <row r="2183" spans="1:19" ht="18.75" hidden="1" customHeight="1" x14ac:dyDescent="0.3">
      <c r="A2183" s="10">
        <v>2182</v>
      </c>
      <c r="B2183" s="10">
        <f>_xlfn.XLOOKUP(1,(VALUE(D2183)&gt;=VALUE(block!$C$3:$C$500))*(VALUE(D2183)&lt;VALUE(block!$C$3:$C$500)+VALUE(block!$D$3:$D$500)),block!$A$3:$A$500,"无匹配",0,1)</f>
        <v>63</v>
      </c>
      <c r="C2183" s="3" t="str">
        <f>B2183 &amp; "-" &amp; COUNTIF($B$2:B2183, B2183)</f>
        <v>63-22</v>
      </c>
      <c r="D2183" s="10">
        <f t="shared" si="3"/>
        <v>14475</v>
      </c>
      <c r="E2183" s="1" t="s">
        <v>5957</v>
      </c>
      <c r="F2183" s="1" t="s">
        <v>5958</v>
      </c>
      <c r="G2183" s="1" t="s">
        <v>1832</v>
      </c>
      <c r="H2183" s="1" t="s">
        <v>1812</v>
      </c>
      <c r="I2183" s="10" t="str">
        <f>IF(H2183="T20",1,IF(H2183="T20",3,IF(H2183="T36",6,IF(H2183="T36",10,IF(H2183="T68",14,IF(H2183="T68",18,IF(H2183="T36",22,"")))))))</f>
        <v/>
      </c>
      <c r="J2183" s="1" t="s">
        <v>1808</v>
      </c>
      <c r="K2183" s="10">
        <v>2</v>
      </c>
      <c r="L2183" s="10">
        <v>1</v>
      </c>
      <c r="O2183" s="6"/>
      <c r="P2183" s="42" t="s">
        <v>5560</v>
      </c>
      <c r="Q2183" s="42" t="s">
        <v>5682</v>
      </c>
      <c r="R2183" s="42"/>
      <c r="S2183" s="1"/>
    </row>
    <row r="2184" spans="1:19" ht="18.75" hidden="1" customHeight="1" x14ac:dyDescent="0.3">
      <c r="A2184" s="10">
        <v>2183</v>
      </c>
      <c r="B2184" s="10">
        <f>_xlfn.XLOOKUP(1,(VALUE(D2184)&gt;=VALUE(block!$C$3:$C$500))*(VALUE(D2184)&lt;VALUE(block!$C$3:$C$500)+VALUE(block!$D$3:$D$500)),block!$A$3:$A$500,"无匹配",0,1)</f>
        <v>63</v>
      </c>
      <c r="C2184" s="3" t="str">
        <f>B2184 &amp; "-" &amp; COUNTIF($B$2:B2184, B2184)</f>
        <v>63-23</v>
      </c>
      <c r="D2184" s="10">
        <f t="shared" si="3"/>
        <v>14477</v>
      </c>
      <c r="E2184" s="3" t="s">
        <v>5959</v>
      </c>
      <c r="F2184" s="1" t="s">
        <v>5960</v>
      </c>
      <c r="H2184" s="3" t="s">
        <v>1838</v>
      </c>
      <c r="I2184" s="10" t="str">
        <f>IF(H2184="T21",1,IF(H2184="T21",3,IF(H2184="T37",6,IF(H2184="T37",10,IF(H2184="T69",14,IF(H2184="T69",18,IF(H2184="T37",22,"")))))))</f>
        <v/>
      </c>
      <c r="J2184" s="1" t="s">
        <v>1808</v>
      </c>
      <c r="K2184" s="10">
        <v>2</v>
      </c>
      <c r="L2184" s="10">
        <v>1</v>
      </c>
      <c r="O2184" s="6"/>
      <c r="Q2184" s="42" t="s">
        <v>5682</v>
      </c>
      <c r="R2184" s="42"/>
      <c r="S2184" s="1"/>
    </row>
    <row r="2185" spans="1:19" ht="18.75" hidden="1" customHeight="1" x14ac:dyDescent="0.3">
      <c r="A2185" s="10">
        <v>2184</v>
      </c>
      <c r="B2185" s="10">
        <f>_xlfn.XLOOKUP(1,(VALUE(D2185)&gt;=VALUE(block!$C$3:$C$500))*(VALUE(D2185)&lt;VALUE(block!$C$3:$C$500)+VALUE(block!$D$3:$D$500)),block!$A$3:$A$500,"无匹配",0,1)</f>
        <v>63</v>
      </c>
      <c r="C2185" s="3" t="str">
        <f>B2185 &amp; "-" &amp; COUNTIF($B$2:B2185, B2185)</f>
        <v>63-24</v>
      </c>
      <c r="D2185" s="10">
        <f t="shared" si="3"/>
        <v>14479</v>
      </c>
      <c r="E2185" s="3" t="s">
        <v>5959</v>
      </c>
      <c r="F2185" s="1" t="s">
        <v>5961</v>
      </c>
      <c r="H2185" s="3" t="s">
        <v>5458</v>
      </c>
      <c r="I2185" s="10" t="str">
        <f>IF(H2185="T22",1,IF(H2185="T22",3,IF(H2185="T38",6,IF(H2185="T38",10,IF(H2185="T70",14,IF(H2185="T70",18,IF(H2185="T38",22,"")))))))</f>
        <v/>
      </c>
      <c r="J2185" s="1" t="s">
        <v>1808</v>
      </c>
      <c r="K2185" s="10">
        <v>1</v>
      </c>
      <c r="L2185" s="10">
        <v>1</v>
      </c>
      <c r="O2185" s="6"/>
      <c r="Q2185" s="42" t="s">
        <v>5682</v>
      </c>
      <c r="R2185" s="42"/>
      <c r="S2185" s="1"/>
    </row>
    <row r="2186" spans="1:19" ht="18.75" hidden="1" customHeight="1" x14ac:dyDescent="0.3">
      <c r="A2186" s="10">
        <v>2185</v>
      </c>
      <c r="B2186" s="10">
        <f>_xlfn.XLOOKUP(1,(VALUE(D2186)&gt;=VALUE(block!$C$3:$C$500))*(VALUE(D2186)&lt;VALUE(block!$C$3:$C$500)+VALUE(block!$D$3:$D$500)),block!$A$3:$A$500,"无匹配",0,1)</f>
        <v>63</v>
      </c>
      <c r="C2186" s="3" t="str">
        <f>B2186 &amp; "-" &amp; COUNTIF($B$2:B2186, B2186)</f>
        <v>63-25</v>
      </c>
      <c r="D2186" s="10">
        <f t="shared" si="3"/>
        <v>14480</v>
      </c>
      <c r="E2186" s="1" t="s">
        <v>5962</v>
      </c>
      <c r="F2186" s="1" t="s">
        <v>5963</v>
      </c>
      <c r="G2186" s="1" t="s">
        <v>1832</v>
      </c>
      <c r="H2186" s="1" t="s">
        <v>1812</v>
      </c>
      <c r="I2186" s="10" t="str">
        <f>IF(H2186="T23",1,IF(H2186="T23",3,IF(H2186="T39",6,IF(H2186="T39",10,IF(H2186="T71",14,IF(H2186="T71",18,IF(H2186="T39",22,"")))))))</f>
        <v/>
      </c>
      <c r="J2186" s="1" t="s">
        <v>1808</v>
      </c>
      <c r="K2186" s="10">
        <v>2</v>
      </c>
      <c r="L2186" s="10">
        <v>1</v>
      </c>
      <c r="O2186" s="6"/>
      <c r="P2186" s="42" t="s">
        <v>5560</v>
      </c>
      <c r="Q2186" s="42" t="s">
        <v>5682</v>
      </c>
      <c r="R2186" s="42"/>
      <c r="S2186" s="1"/>
    </row>
    <row r="2187" spans="1:19" ht="18.75" hidden="1" customHeight="1" x14ac:dyDescent="0.3">
      <c r="A2187" s="10">
        <v>2186</v>
      </c>
      <c r="B2187" s="10">
        <f>_xlfn.XLOOKUP(1,(VALUE(D2187)&gt;=VALUE(block!$C$3:$C$500))*(VALUE(D2187)&lt;VALUE(block!$C$3:$C$500)+VALUE(block!$D$3:$D$500)),block!$A$3:$A$500,"无匹配",0,1)</f>
        <v>63</v>
      </c>
      <c r="C2187" s="3" t="str">
        <f>B2187 &amp; "-" &amp; COUNTIF($B$2:B2187, B2187)</f>
        <v>63-26</v>
      </c>
      <c r="D2187" s="10">
        <f t="shared" si="3"/>
        <v>14482</v>
      </c>
      <c r="E2187" s="3" t="s">
        <v>5964</v>
      </c>
      <c r="F2187" s="1" t="s">
        <v>5965</v>
      </c>
      <c r="H2187" s="3" t="s">
        <v>1838</v>
      </c>
      <c r="I2187" s="10" t="str">
        <f>IF(H2187="T24",1,IF(H2187="T24",3,IF(H2187="T40",6,IF(H2187="T40",10,IF(H2187="T72",14,IF(H2187="T72",18,IF(H2187="T40",22,"")))))))</f>
        <v/>
      </c>
      <c r="J2187" s="1" t="s">
        <v>1808</v>
      </c>
      <c r="K2187" s="10">
        <v>2</v>
      </c>
      <c r="L2187" s="10">
        <v>1</v>
      </c>
      <c r="O2187" s="6"/>
      <c r="Q2187" s="42" t="s">
        <v>5682</v>
      </c>
      <c r="R2187" s="42"/>
      <c r="S2187" s="1"/>
    </row>
    <row r="2188" spans="1:19" ht="18.75" hidden="1" customHeight="1" x14ac:dyDescent="0.3">
      <c r="A2188" s="10">
        <v>2187</v>
      </c>
      <c r="B2188" s="10">
        <f>_xlfn.XLOOKUP(1,(VALUE(D2188)&gt;=VALUE(block!$C$3:$C$500))*(VALUE(D2188)&lt;VALUE(block!$C$3:$C$500)+VALUE(block!$D$3:$D$500)),block!$A$3:$A$500,"无匹配",0,1)</f>
        <v>63</v>
      </c>
      <c r="C2188" s="3" t="str">
        <f>B2188 &amp; "-" &amp; COUNTIF($B$2:B2188, B2188)</f>
        <v>63-27</v>
      </c>
      <c r="D2188" s="10">
        <f t="shared" si="3"/>
        <v>14484</v>
      </c>
      <c r="E2188" s="3" t="s">
        <v>5964</v>
      </c>
      <c r="F2188" s="1" t="s">
        <v>5966</v>
      </c>
      <c r="H2188" s="3" t="s">
        <v>5458</v>
      </c>
      <c r="I2188" s="10" t="str">
        <f>IF(H2188="T25",1,IF(H2188="T25",3,IF(H2188="T41",6,IF(H2188="T41",10,IF(H2188="T73",14,IF(H2188="T73",18,IF(H2188="T41",22,"")))))))</f>
        <v/>
      </c>
      <c r="J2188" s="1" t="s">
        <v>1808</v>
      </c>
      <c r="K2188" s="10">
        <v>1</v>
      </c>
      <c r="L2188" s="10">
        <v>1</v>
      </c>
      <c r="O2188" s="6"/>
      <c r="Q2188" s="42" t="s">
        <v>5682</v>
      </c>
      <c r="R2188" s="42"/>
      <c r="S2188" s="1"/>
    </row>
    <row r="2189" spans="1:19" ht="18.75" hidden="1" customHeight="1" x14ac:dyDescent="0.3">
      <c r="A2189" s="10">
        <v>2188</v>
      </c>
      <c r="B2189" s="10">
        <f>_xlfn.XLOOKUP(1,(VALUE(D2189)&gt;=VALUE(block!$C$3:$C$500))*(VALUE(D2189)&lt;VALUE(block!$C$3:$C$500)+VALUE(block!$D$3:$D$500)),block!$A$3:$A$500,"无匹配",0,1)</f>
        <v>63</v>
      </c>
      <c r="C2189" s="3" t="str">
        <f>B2189 &amp; "-" &amp; COUNTIF($B$2:B2189, B2189)</f>
        <v>63-28</v>
      </c>
      <c r="D2189" s="10">
        <f t="shared" si="3"/>
        <v>14485</v>
      </c>
      <c r="E2189" s="1" t="s">
        <v>5967</v>
      </c>
      <c r="F2189" s="1" t="s">
        <v>5968</v>
      </c>
      <c r="G2189" s="1" t="s">
        <v>1834</v>
      </c>
      <c r="H2189" s="1" t="s">
        <v>1812</v>
      </c>
      <c r="I2189" s="10" t="str">
        <f>IF(H2189="T26",1,IF(H2189="T26",3,IF(H2189="T42",6,IF(H2189="T42",10,IF(H2189="T74",14,IF(H2189="T74",18,IF(H2189="T42",22,"")))))))</f>
        <v/>
      </c>
      <c r="J2189" s="1" t="s">
        <v>1808</v>
      </c>
      <c r="K2189" s="10">
        <v>2</v>
      </c>
      <c r="L2189" s="10">
        <v>1</v>
      </c>
      <c r="O2189" s="6"/>
      <c r="P2189" s="42" t="s">
        <v>5560</v>
      </c>
      <c r="Q2189" s="42" t="s">
        <v>5682</v>
      </c>
      <c r="R2189" s="42"/>
      <c r="S2189" s="1"/>
    </row>
    <row r="2190" spans="1:19" ht="18.75" hidden="1" customHeight="1" x14ac:dyDescent="0.3">
      <c r="A2190" s="10">
        <v>2189</v>
      </c>
      <c r="B2190" s="10">
        <f>_xlfn.XLOOKUP(1,(VALUE(D2190)&gt;=VALUE(block!$C$3:$C$500))*(VALUE(D2190)&lt;VALUE(block!$C$3:$C$500)+VALUE(block!$D$3:$D$500)),block!$A$3:$A$500,"无匹配",0,1)</f>
        <v>63</v>
      </c>
      <c r="C2190" s="3" t="str">
        <f>B2190 &amp; "-" &amp; COUNTIF($B$2:B2190, B2190)</f>
        <v>63-29</v>
      </c>
      <c r="D2190" s="10">
        <f t="shared" si="3"/>
        <v>14487</v>
      </c>
      <c r="E2190" s="3" t="s">
        <v>5969</v>
      </c>
      <c r="F2190" s="1" t="s">
        <v>5970</v>
      </c>
      <c r="H2190" s="3" t="s">
        <v>1838</v>
      </c>
      <c r="I2190" s="10" t="str">
        <f>IF(H2190="T27",1,IF(H2190="T27",3,IF(H2190="T43",6,IF(H2190="T43",10,IF(H2190="T75",14,IF(H2190="T75",18,IF(H2190="T43",22,"")))))))</f>
        <v/>
      </c>
      <c r="J2190" s="1" t="s">
        <v>1808</v>
      </c>
      <c r="K2190" s="10">
        <v>2</v>
      </c>
      <c r="L2190" s="10">
        <v>1</v>
      </c>
      <c r="O2190" s="6"/>
      <c r="Q2190" s="42" t="s">
        <v>5682</v>
      </c>
      <c r="R2190" s="42"/>
      <c r="S2190" s="1"/>
    </row>
    <row r="2191" spans="1:19" ht="18.75" hidden="1" customHeight="1" x14ac:dyDescent="0.3">
      <c r="A2191" s="10">
        <v>2190</v>
      </c>
      <c r="B2191" s="10">
        <f>_xlfn.XLOOKUP(1,(VALUE(D2191)&gt;=VALUE(block!$C$3:$C$500))*(VALUE(D2191)&lt;VALUE(block!$C$3:$C$500)+VALUE(block!$D$3:$D$500)),block!$A$3:$A$500,"无匹配",0,1)</f>
        <v>63</v>
      </c>
      <c r="C2191" s="3" t="str">
        <f>B2191 &amp; "-" &amp; COUNTIF($B$2:B2191, B2191)</f>
        <v>63-30</v>
      </c>
      <c r="D2191" s="10">
        <f t="shared" si="3"/>
        <v>14489</v>
      </c>
      <c r="E2191" s="3" t="s">
        <v>5969</v>
      </c>
      <c r="F2191" s="1" t="s">
        <v>5971</v>
      </c>
      <c r="H2191" s="3" t="s">
        <v>5458</v>
      </c>
      <c r="I2191" s="10" t="str">
        <f>IF(H2191="T28",1,IF(H2191="T28",3,IF(H2191="T44",6,IF(H2191="T44",10,IF(H2191="T76",14,IF(H2191="T76",18,IF(H2191="T44",22,"")))))))</f>
        <v/>
      </c>
      <c r="J2191" s="1" t="s">
        <v>1808</v>
      </c>
      <c r="K2191" s="10">
        <v>1</v>
      </c>
      <c r="L2191" s="10">
        <v>1</v>
      </c>
      <c r="O2191" s="6"/>
      <c r="Q2191" s="42" t="s">
        <v>5682</v>
      </c>
      <c r="R2191" s="42"/>
      <c r="S2191" s="1"/>
    </row>
    <row r="2192" spans="1:19" ht="18.75" hidden="1" customHeight="1" x14ac:dyDescent="0.3">
      <c r="A2192" s="10">
        <v>2191</v>
      </c>
      <c r="B2192" s="10">
        <f>_xlfn.XLOOKUP(1,(VALUE(D2192)&gt;=VALUE(block!$C$3:$C$500))*(VALUE(D2192)&lt;VALUE(block!$C$3:$C$500)+VALUE(block!$D$3:$D$500)),block!$A$3:$A$500,"无匹配",0,1)</f>
        <v>63</v>
      </c>
      <c r="C2192" s="3" t="str">
        <f>B2192 &amp; "-" &amp; COUNTIF($B$2:B2192, B2192)</f>
        <v>63-31</v>
      </c>
      <c r="D2192" s="10">
        <f t="shared" si="3"/>
        <v>14490</v>
      </c>
      <c r="E2192" s="1" t="s">
        <v>5972</v>
      </c>
      <c r="F2192" s="1" t="s">
        <v>5973</v>
      </c>
      <c r="G2192" s="1" t="s">
        <v>1834</v>
      </c>
      <c r="H2192" s="1" t="s">
        <v>1812</v>
      </c>
      <c r="I2192" s="10" t="str">
        <f>IF(H2192="T29",1,IF(H2192="T29",3,IF(H2192="T45",6,IF(H2192="T45",10,IF(H2192="T77",14,IF(H2192="T77",18,IF(H2192="T45",22,"")))))))</f>
        <v/>
      </c>
      <c r="J2192" s="1" t="s">
        <v>1808</v>
      </c>
      <c r="K2192" s="10">
        <v>2</v>
      </c>
      <c r="L2192" s="10">
        <v>1</v>
      </c>
      <c r="O2192" s="6"/>
      <c r="P2192" s="42" t="s">
        <v>5560</v>
      </c>
      <c r="Q2192" s="42" t="s">
        <v>5682</v>
      </c>
      <c r="R2192" s="42"/>
      <c r="S2192" s="1"/>
    </row>
    <row r="2193" spans="1:19" ht="18.75" hidden="1" customHeight="1" x14ac:dyDescent="0.3">
      <c r="A2193" s="10">
        <v>2192</v>
      </c>
      <c r="B2193" s="10">
        <f>_xlfn.XLOOKUP(1,(VALUE(D2193)&gt;=VALUE(block!$C$3:$C$500))*(VALUE(D2193)&lt;VALUE(block!$C$3:$C$500)+VALUE(block!$D$3:$D$500)),block!$A$3:$A$500,"无匹配",0,1)</f>
        <v>63</v>
      </c>
      <c r="C2193" s="3" t="str">
        <f>B2193 &amp; "-" &amp; COUNTIF($B$2:B2193, B2193)</f>
        <v>63-32</v>
      </c>
      <c r="D2193" s="10">
        <f t="shared" si="3"/>
        <v>14492</v>
      </c>
      <c r="E2193" s="3" t="s">
        <v>5974</v>
      </c>
      <c r="F2193" s="1" t="s">
        <v>5975</v>
      </c>
      <c r="H2193" s="3" t="s">
        <v>1838</v>
      </c>
      <c r="I2193" s="10" t="str">
        <f>IF(H2193="T30",1,IF(H2193="T30",3,IF(H2193="T46",6,IF(H2193="T46",10,IF(H2193="T78",14,IF(H2193="T78",18,IF(H2193="T46",22,"")))))))</f>
        <v/>
      </c>
      <c r="J2193" s="1" t="s">
        <v>1808</v>
      </c>
      <c r="K2193" s="10">
        <v>2</v>
      </c>
      <c r="L2193" s="10">
        <v>1</v>
      </c>
      <c r="O2193" s="6"/>
      <c r="Q2193" s="42" t="s">
        <v>5682</v>
      </c>
      <c r="R2193" s="42"/>
      <c r="S2193" s="1"/>
    </row>
    <row r="2194" spans="1:19" ht="18.75" hidden="1" customHeight="1" x14ac:dyDescent="0.3">
      <c r="A2194" s="10">
        <v>2193</v>
      </c>
      <c r="B2194" s="10">
        <f>_xlfn.XLOOKUP(1,(VALUE(D2194)&gt;=VALUE(block!$C$3:$C$500))*(VALUE(D2194)&lt;VALUE(block!$C$3:$C$500)+VALUE(block!$D$3:$D$500)),block!$A$3:$A$500,"无匹配",0,1)</f>
        <v>63</v>
      </c>
      <c r="C2194" s="3" t="str">
        <f>B2194 &amp; "-" &amp; COUNTIF($B$2:B2194, B2194)</f>
        <v>63-33</v>
      </c>
      <c r="D2194" s="10">
        <f t="shared" si="3"/>
        <v>14494</v>
      </c>
      <c r="E2194" s="3" t="s">
        <v>5974</v>
      </c>
      <c r="F2194" s="1" t="s">
        <v>5976</v>
      </c>
      <c r="H2194" s="3" t="s">
        <v>5458</v>
      </c>
      <c r="I2194" s="10" t="str">
        <f>IF(H2194="T31",1,IF(H2194="T31",3,IF(H2194="T47",6,IF(H2194="T47",10,IF(H2194="T79",14,IF(H2194="T79",18,IF(H2194="T47",22,"")))))))</f>
        <v/>
      </c>
      <c r="J2194" s="1" t="s">
        <v>1808</v>
      </c>
      <c r="K2194" s="10">
        <v>1</v>
      </c>
      <c r="L2194" s="10">
        <v>1</v>
      </c>
      <c r="O2194" s="6"/>
      <c r="Q2194" s="42" t="s">
        <v>5682</v>
      </c>
      <c r="R2194" s="42"/>
      <c r="S2194" s="1"/>
    </row>
    <row r="2195" spans="1:19" ht="18.75" hidden="1" customHeight="1" x14ac:dyDescent="0.3">
      <c r="A2195" s="10">
        <v>2194</v>
      </c>
      <c r="B2195" s="10">
        <f>_xlfn.XLOOKUP(1,(VALUE(D2195)&gt;=VALUE(block!$C$3:$C$500))*(VALUE(D2195)&lt;VALUE(block!$C$3:$C$500)+VALUE(block!$D$3:$D$500)),block!$A$3:$A$500,"无匹配",0,1)</f>
        <v>63</v>
      </c>
      <c r="C2195" s="3" t="str">
        <f>B2195 &amp; "-" &amp; COUNTIF($B$2:B2195, B2195)</f>
        <v>63-34</v>
      </c>
      <c r="D2195" s="10">
        <f t="shared" si="3"/>
        <v>14495</v>
      </c>
      <c r="E2195" s="1" t="s">
        <v>5977</v>
      </c>
      <c r="F2195" s="1" t="s">
        <v>5978</v>
      </c>
      <c r="G2195" s="1" t="s">
        <v>1836</v>
      </c>
      <c r="H2195" s="1" t="s">
        <v>1812</v>
      </c>
      <c r="I2195" s="10" t="str">
        <f>IF(H2195="T32",1,IF(H2195="T32",3,IF(H2195="T48",6,IF(H2195="T48",10,IF(H2195="T80",14,IF(H2195="T80",18,IF(H2195="T48",22,"")))))))</f>
        <v/>
      </c>
      <c r="J2195" s="1" t="s">
        <v>1808</v>
      </c>
      <c r="K2195" s="10">
        <v>2</v>
      </c>
      <c r="L2195" s="10">
        <v>1</v>
      </c>
      <c r="O2195" s="6"/>
      <c r="P2195" s="42" t="s">
        <v>5560</v>
      </c>
      <c r="Q2195" s="42" t="s">
        <v>5682</v>
      </c>
      <c r="R2195" s="42"/>
      <c r="S2195" s="1"/>
    </row>
    <row r="2196" spans="1:19" ht="18.75" hidden="1" customHeight="1" x14ac:dyDescent="0.3">
      <c r="A2196" s="10">
        <v>2195</v>
      </c>
      <c r="B2196" s="10">
        <f>_xlfn.XLOOKUP(1,(VALUE(D2196)&gt;=VALUE(block!$C$3:$C$500))*(VALUE(D2196)&lt;VALUE(block!$C$3:$C$500)+VALUE(block!$D$3:$D$500)),block!$A$3:$A$500,"无匹配",0,1)</f>
        <v>63</v>
      </c>
      <c r="C2196" s="3" t="str">
        <f>B2196 &amp; "-" &amp; COUNTIF($B$2:B2196, B2196)</f>
        <v>63-35</v>
      </c>
      <c r="D2196" s="10">
        <f t="shared" si="3"/>
        <v>14497</v>
      </c>
      <c r="E2196" s="3" t="s">
        <v>5979</v>
      </c>
      <c r="F2196" s="1" t="s">
        <v>5980</v>
      </c>
      <c r="H2196" s="3" t="s">
        <v>1838</v>
      </c>
      <c r="I2196" s="10" t="str">
        <f>IF(H2196="T33",1,IF(H2196="T33",3,IF(H2196="T49",6,IF(H2196="T49",10,IF(H2196="T81",14,IF(H2196="T81",18,IF(H2196="T49",22,"")))))))</f>
        <v/>
      </c>
      <c r="J2196" s="1" t="s">
        <v>1808</v>
      </c>
      <c r="K2196" s="10">
        <v>2</v>
      </c>
      <c r="L2196" s="10">
        <v>1</v>
      </c>
      <c r="O2196" s="6"/>
      <c r="Q2196" s="42" t="s">
        <v>5682</v>
      </c>
      <c r="R2196" s="42"/>
      <c r="S2196" s="1"/>
    </row>
    <row r="2197" spans="1:19" ht="18.75" hidden="1" customHeight="1" x14ac:dyDescent="0.3">
      <c r="A2197" s="10">
        <v>2196</v>
      </c>
      <c r="B2197" s="10">
        <f>_xlfn.XLOOKUP(1,(VALUE(D2197)&gt;=VALUE(block!$C$3:$C$500))*(VALUE(D2197)&lt;VALUE(block!$C$3:$C$500)+VALUE(block!$D$3:$D$500)),block!$A$3:$A$500,"无匹配",0,1)</f>
        <v>63</v>
      </c>
      <c r="C2197" s="3" t="str">
        <f>B2197 &amp; "-" &amp; COUNTIF($B$2:B2197, B2197)</f>
        <v>63-36</v>
      </c>
      <c r="D2197" s="10">
        <f t="shared" si="3"/>
        <v>14499</v>
      </c>
      <c r="E2197" s="3" t="s">
        <v>5979</v>
      </c>
      <c r="F2197" s="1" t="s">
        <v>5981</v>
      </c>
      <c r="H2197" s="3" t="s">
        <v>5458</v>
      </c>
      <c r="I2197" s="10" t="str">
        <f>IF(H2197="T34",1,IF(H2197="T34",3,IF(H2197="T50",6,IF(H2197="T50",10,IF(H2197="T82",14,IF(H2197="T82",18,IF(H2197="T50",22,"")))))))</f>
        <v/>
      </c>
      <c r="J2197" s="1" t="s">
        <v>1808</v>
      </c>
      <c r="K2197" s="10">
        <v>1</v>
      </c>
      <c r="L2197" s="10">
        <v>1</v>
      </c>
      <c r="O2197" s="6"/>
      <c r="Q2197" s="42" t="s">
        <v>5682</v>
      </c>
      <c r="R2197" s="42"/>
      <c r="S2197" s="1"/>
    </row>
    <row r="2198" spans="1:19" ht="18.75" hidden="1" customHeight="1" x14ac:dyDescent="0.3">
      <c r="A2198" s="10">
        <v>2197</v>
      </c>
      <c r="B2198" s="10">
        <f>_xlfn.XLOOKUP(1,(VALUE(D2198)&gt;=VALUE(block!$C$3:$C$500))*(VALUE(D2198)&lt;VALUE(block!$C$3:$C$500)+VALUE(block!$D$3:$D$500)),block!$A$3:$A$500,"无匹配",0,1)</f>
        <v>63</v>
      </c>
      <c r="C2198" s="3" t="str">
        <f>B2198 &amp; "-" &amp; COUNTIF($B$2:B2198, B2198)</f>
        <v>63-37</v>
      </c>
      <c r="D2198" s="10">
        <f t="shared" si="3"/>
        <v>14500</v>
      </c>
      <c r="E2198" s="1" t="s">
        <v>5982</v>
      </c>
      <c r="F2198" s="1" t="s">
        <v>5983</v>
      </c>
      <c r="G2198" s="1" t="s">
        <v>1830</v>
      </c>
      <c r="H2198" s="1" t="s">
        <v>1812</v>
      </c>
      <c r="I2198" s="10" t="str">
        <f>IF(H2198="T35",1,IF(H2198="T35",3,IF(H2198="T51",6,IF(H2198="T51",10,IF(H2198="T83",14,IF(H2198="T83",18,IF(H2198="T51",22,"")))))))</f>
        <v/>
      </c>
      <c r="J2198" s="1" t="s">
        <v>1808</v>
      </c>
      <c r="K2198" s="10">
        <v>2</v>
      </c>
      <c r="L2198" s="10">
        <v>1</v>
      </c>
      <c r="O2198" s="6"/>
      <c r="P2198" s="42" t="s">
        <v>5560</v>
      </c>
      <c r="Q2198" s="42" t="s">
        <v>5682</v>
      </c>
      <c r="R2198" s="42"/>
      <c r="S2198" s="1"/>
    </row>
    <row r="2199" spans="1:19" ht="18.75" hidden="1" customHeight="1" x14ac:dyDescent="0.3">
      <c r="A2199" s="10">
        <v>2198</v>
      </c>
      <c r="B2199" s="10">
        <f>_xlfn.XLOOKUP(1,(VALUE(D2199)&gt;=VALUE(block!$C$3:$C$500))*(VALUE(D2199)&lt;VALUE(block!$C$3:$C$500)+VALUE(block!$D$3:$D$500)),block!$A$3:$A$500,"无匹配",0,1)</f>
        <v>63</v>
      </c>
      <c r="C2199" s="3" t="str">
        <f>B2199 &amp; "-" &amp; COUNTIF($B$2:B2199, B2199)</f>
        <v>63-38</v>
      </c>
      <c r="D2199" s="10">
        <f t="shared" si="3"/>
        <v>14502</v>
      </c>
      <c r="E2199" s="3" t="s">
        <v>5984</v>
      </c>
      <c r="F2199" s="1" t="s">
        <v>5985</v>
      </c>
      <c r="H2199" s="3" t="s">
        <v>1838</v>
      </c>
      <c r="I2199" s="10" t="str">
        <f>IF(H2199="T36",1,IF(H2199="T36",3,IF(H2199="T52",6,IF(H2199="T52",10,IF(H2199="T84",14,IF(H2199="T84",18,IF(H2199="T52",22,"")))))))</f>
        <v/>
      </c>
      <c r="J2199" s="1" t="s">
        <v>1808</v>
      </c>
      <c r="K2199" s="10">
        <v>2</v>
      </c>
      <c r="L2199" s="10">
        <v>1</v>
      </c>
      <c r="O2199" s="6"/>
      <c r="Q2199" s="42" t="s">
        <v>5682</v>
      </c>
      <c r="R2199" s="42"/>
      <c r="S2199" s="1"/>
    </row>
    <row r="2200" spans="1:19" ht="18.75" hidden="1" customHeight="1" x14ac:dyDescent="0.3">
      <c r="A2200" s="10">
        <v>2199</v>
      </c>
      <c r="B2200" s="10">
        <f>_xlfn.XLOOKUP(1,(VALUE(D2200)&gt;=VALUE(block!$C$3:$C$500))*(VALUE(D2200)&lt;VALUE(block!$C$3:$C$500)+VALUE(block!$D$3:$D$500)),block!$A$3:$A$500,"无匹配",0,1)</f>
        <v>63</v>
      </c>
      <c r="C2200" s="3" t="str">
        <f>B2200 &amp; "-" &amp; COUNTIF($B$2:B2200, B2200)</f>
        <v>63-39</v>
      </c>
      <c r="D2200" s="10">
        <f t="shared" si="3"/>
        <v>14504</v>
      </c>
      <c r="E2200" s="3" t="s">
        <v>5984</v>
      </c>
      <c r="F2200" s="1" t="s">
        <v>5986</v>
      </c>
      <c r="H2200" s="3" t="s">
        <v>5458</v>
      </c>
      <c r="I2200" s="10" t="str">
        <f>IF(H2200="T37",1,IF(H2200="T37",3,IF(H2200="T53",6,IF(H2200="T53",10,IF(H2200="T85",14,IF(H2200="T85",18,IF(H2200="T53",22,"")))))))</f>
        <v/>
      </c>
      <c r="J2200" s="1" t="s">
        <v>1808</v>
      </c>
      <c r="K2200" s="10">
        <v>1</v>
      </c>
      <c r="L2200" s="10">
        <v>1</v>
      </c>
      <c r="O2200" s="6"/>
      <c r="Q2200" s="42" t="s">
        <v>5682</v>
      </c>
      <c r="R2200" s="42"/>
      <c r="S2200" s="1"/>
    </row>
    <row r="2201" spans="1:19" ht="18.75" hidden="1" customHeight="1" x14ac:dyDescent="0.3">
      <c r="A2201" s="10">
        <v>2200</v>
      </c>
      <c r="B2201" s="10">
        <f>_xlfn.XLOOKUP(1,(VALUE(D2201)&gt;=VALUE(block!$C$3:$C$500))*(VALUE(D2201)&lt;VALUE(block!$C$3:$C$500)+VALUE(block!$D$3:$D$500)),block!$A$3:$A$500,"无匹配",0,1)</f>
        <v>63</v>
      </c>
      <c r="C2201" s="3" t="str">
        <f>B2201 &amp; "-" &amp; COUNTIF($B$2:B2201, B2201)</f>
        <v>63-40</v>
      </c>
      <c r="D2201" s="10">
        <f t="shared" si="3"/>
        <v>14505</v>
      </c>
      <c r="E2201" s="1" t="s">
        <v>5987</v>
      </c>
      <c r="F2201" s="1" t="s">
        <v>5988</v>
      </c>
      <c r="G2201" s="1" t="s">
        <v>1832</v>
      </c>
      <c r="H2201" s="1" t="s">
        <v>1812</v>
      </c>
      <c r="I2201" s="10" t="str">
        <f>IF(H2201="T38",1,IF(H2201="T38",3,IF(H2201="T54",6,IF(H2201="T54",10,IF(H2201="T86",14,IF(H2201="T86",18,IF(H2201="T54",22,"")))))))</f>
        <v/>
      </c>
      <c r="J2201" s="1" t="s">
        <v>1808</v>
      </c>
      <c r="K2201" s="10">
        <v>2</v>
      </c>
      <c r="L2201" s="10">
        <v>1</v>
      </c>
      <c r="O2201" s="6"/>
      <c r="P2201" s="42" t="s">
        <v>5560</v>
      </c>
      <c r="Q2201" s="42" t="s">
        <v>5682</v>
      </c>
      <c r="R2201" s="42"/>
      <c r="S2201" s="1"/>
    </row>
    <row r="2202" spans="1:19" ht="18.75" hidden="1" customHeight="1" x14ac:dyDescent="0.3">
      <c r="A2202" s="10">
        <v>2201</v>
      </c>
      <c r="B2202" s="10">
        <f>_xlfn.XLOOKUP(1,(VALUE(D2202)&gt;=VALUE(block!$C$3:$C$500))*(VALUE(D2202)&lt;VALUE(block!$C$3:$C$500)+VALUE(block!$D$3:$D$500)),block!$A$3:$A$500,"无匹配",0,1)</f>
        <v>63</v>
      </c>
      <c r="C2202" s="3" t="str">
        <f>B2202 &amp; "-" &amp; COUNTIF($B$2:B2202, B2202)</f>
        <v>63-41</v>
      </c>
      <c r="D2202" s="10">
        <f t="shared" si="3"/>
        <v>14507</v>
      </c>
      <c r="E2202" s="3" t="s">
        <v>5989</v>
      </c>
      <c r="F2202" s="1" t="s">
        <v>5990</v>
      </c>
      <c r="H2202" s="3" t="s">
        <v>1838</v>
      </c>
      <c r="I2202" s="10" t="str">
        <f>IF(H2202="T39",1,IF(H2202="T39",3,IF(H2202="T55",6,IF(H2202="T55",10,IF(H2202="T87",14,IF(H2202="T87",18,IF(H2202="T55",22,"")))))))</f>
        <v/>
      </c>
      <c r="J2202" s="1" t="s">
        <v>1808</v>
      </c>
      <c r="K2202" s="10">
        <v>2</v>
      </c>
      <c r="L2202" s="10">
        <v>1</v>
      </c>
      <c r="O2202" s="6"/>
      <c r="Q2202" s="42" t="s">
        <v>5682</v>
      </c>
      <c r="R2202" s="42"/>
      <c r="S2202" s="1"/>
    </row>
    <row r="2203" spans="1:19" ht="18.75" hidden="1" customHeight="1" x14ac:dyDescent="0.3">
      <c r="A2203" s="10">
        <v>2202</v>
      </c>
      <c r="B2203" s="10">
        <f>_xlfn.XLOOKUP(1,(VALUE(D2203)&gt;=VALUE(block!$C$3:$C$500))*(VALUE(D2203)&lt;VALUE(block!$C$3:$C$500)+VALUE(block!$D$3:$D$500)),block!$A$3:$A$500,"无匹配",0,1)</f>
        <v>63</v>
      </c>
      <c r="C2203" s="3" t="str">
        <f>B2203 &amp; "-" &amp; COUNTIF($B$2:B2203, B2203)</f>
        <v>63-42</v>
      </c>
      <c r="D2203" s="10">
        <f t="shared" ref="D2203:D2266" si="4">D2202+K2202</f>
        <v>14509</v>
      </c>
      <c r="E2203" s="3" t="s">
        <v>5989</v>
      </c>
      <c r="F2203" s="1" t="s">
        <v>5991</v>
      </c>
      <c r="H2203" s="3" t="s">
        <v>5458</v>
      </c>
      <c r="I2203" s="10" t="str">
        <f>IF(H2203="T40",1,IF(H2203="T40",3,IF(H2203="T56",6,IF(H2203="T56",10,IF(H2203="T88",14,IF(H2203="T88",18,IF(H2203="T56",22,"")))))))</f>
        <v/>
      </c>
      <c r="J2203" s="1" t="s">
        <v>1808</v>
      </c>
      <c r="K2203" s="10">
        <v>1</v>
      </c>
      <c r="L2203" s="10">
        <v>1</v>
      </c>
      <c r="O2203" s="6"/>
      <c r="Q2203" s="42" t="s">
        <v>5682</v>
      </c>
      <c r="R2203" s="42"/>
      <c r="S2203" s="1"/>
    </row>
    <row r="2204" spans="1:19" ht="18.75" hidden="1" customHeight="1" x14ac:dyDescent="0.3">
      <c r="A2204" s="10">
        <v>2203</v>
      </c>
      <c r="B2204" s="10">
        <f>_xlfn.XLOOKUP(1,(VALUE(D2204)&gt;=VALUE(block!$C$3:$C$500))*(VALUE(D2204)&lt;VALUE(block!$C$3:$C$500)+VALUE(block!$D$3:$D$500)),block!$A$3:$A$500,"无匹配",0,1)</f>
        <v>63</v>
      </c>
      <c r="C2204" s="3" t="str">
        <f>B2204 &amp; "-" &amp; COUNTIF($B$2:B2204, B2204)</f>
        <v>63-43</v>
      </c>
      <c r="D2204" s="10">
        <f t="shared" si="4"/>
        <v>14510</v>
      </c>
      <c r="E2204" s="1" t="s">
        <v>5992</v>
      </c>
      <c r="F2204" s="1" t="s">
        <v>5993</v>
      </c>
      <c r="G2204" s="1" t="s">
        <v>1832</v>
      </c>
      <c r="H2204" s="1" t="s">
        <v>1812</v>
      </c>
      <c r="I2204" s="10" t="str">
        <f>IF(H2204="T41",1,IF(H2204="T41",3,IF(H2204="T57",6,IF(H2204="T57",10,IF(H2204="T89",14,IF(H2204="T89",18,IF(H2204="T57",22,"")))))))</f>
        <v/>
      </c>
      <c r="J2204" s="1" t="s">
        <v>1808</v>
      </c>
      <c r="K2204" s="10">
        <v>2</v>
      </c>
      <c r="L2204" s="10">
        <v>1</v>
      </c>
      <c r="O2204" s="6"/>
      <c r="P2204" s="42" t="s">
        <v>5560</v>
      </c>
      <c r="Q2204" s="42" t="s">
        <v>5682</v>
      </c>
      <c r="R2204" s="42"/>
      <c r="S2204" s="1"/>
    </row>
    <row r="2205" spans="1:19" ht="18.75" hidden="1" customHeight="1" x14ac:dyDescent="0.3">
      <c r="A2205" s="10">
        <v>2204</v>
      </c>
      <c r="B2205" s="10">
        <f>_xlfn.XLOOKUP(1,(VALUE(D2205)&gt;=VALUE(block!$C$3:$C$500))*(VALUE(D2205)&lt;VALUE(block!$C$3:$C$500)+VALUE(block!$D$3:$D$500)),block!$A$3:$A$500,"无匹配",0,1)</f>
        <v>63</v>
      </c>
      <c r="C2205" s="3" t="str">
        <f>B2205 &amp; "-" &amp; COUNTIF($B$2:B2205, B2205)</f>
        <v>63-44</v>
      </c>
      <c r="D2205" s="10">
        <f t="shared" si="4"/>
        <v>14512</v>
      </c>
      <c r="E2205" s="3" t="s">
        <v>5994</v>
      </c>
      <c r="F2205" s="1" t="s">
        <v>5995</v>
      </c>
      <c r="H2205" s="3" t="s">
        <v>1838</v>
      </c>
      <c r="I2205" s="10" t="str">
        <f>IF(H2205="T42",1,IF(H2205="T42",3,IF(H2205="T58",6,IF(H2205="T58",10,IF(H2205="T90",14,IF(H2205="T90",18,IF(H2205="T58",22,"")))))))</f>
        <v/>
      </c>
      <c r="J2205" s="1" t="s">
        <v>1808</v>
      </c>
      <c r="K2205" s="10">
        <v>2</v>
      </c>
      <c r="L2205" s="10">
        <v>1</v>
      </c>
      <c r="O2205" s="6"/>
      <c r="Q2205" s="42" t="s">
        <v>5682</v>
      </c>
      <c r="R2205" s="42"/>
      <c r="S2205" s="1"/>
    </row>
    <row r="2206" spans="1:19" ht="18.75" hidden="1" customHeight="1" x14ac:dyDescent="0.3">
      <c r="A2206" s="10">
        <v>2205</v>
      </c>
      <c r="B2206" s="10">
        <f>_xlfn.XLOOKUP(1,(VALUE(D2206)&gt;=VALUE(block!$C$3:$C$500))*(VALUE(D2206)&lt;VALUE(block!$C$3:$C$500)+VALUE(block!$D$3:$D$500)),block!$A$3:$A$500,"无匹配",0,1)</f>
        <v>63</v>
      </c>
      <c r="C2206" s="3" t="str">
        <f>B2206 &amp; "-" &amp; COUNTIF($B$2:B2206, B2206)</f>
        <v>63-45</v>
      </c>
      <c r="D2206" s="10">
        <f t="shared" si="4"/>
        <v>14514</v>
      </c>
      <c r="E2206" s="3" t="s">
        <v>5994</v>
      </c>
      <c r="F2206" s="1" t="s">
        <v>5996</v>
      </c>
      <c r="H2206" s="3" t="s">
        <v>5458</v>
      </c>
      <c r="I2206" s="10" t="str">
        <f>IF(H2206="T43",1,IF(H2206="T43",3,IF(H2206="T59",6,IF(H2206="T59",10,IF(H2206="T91",14,IF(H2206="T91",18,IF(H2206="T59",22,"")))))))</f>
        <v/>
      </c>
      <c r="J2206" s="1" t="s">
        <v>1808</v>
      </c>
      <c r="K2206" s="10">
        <v>1</v>
      </c>
      <c r="L2206" s="10">
        <v>1</v>
      </c>
      <c r="O2206" s="6"/>
      <c r="Q2206" s="42" t="s">
        <v>5682</v>
      </c>
      <c r="R2206" s="42"/>
      <c r="S2206" s="1"/>
    </row>
    <row r="2207" spans="1:19" ht="18.75" hidden="1" customHeight="1" x14ac:dyDescent="0.3">
      <c r="A2207" s="10">
        <v>2206</v>
      </c>
      <c r="B2207" s="10">
        <f>_xlfn.XLOOKUP(1,(VALUE(D2207)&gt;=VALUE(block!$C$3:$C$500))*(VALUE(D2207)&lt;VALUE(block!$C$3:$C$500)+VALUE(block!$D$3:$D$500)),block!$A$3:$A$500,"无匹配",0,1)</f>
        <v>63</v>
      </c>
      <c r="C2207" s="3" t="str">
        <f>B2207 &amp; "-" &amp; COUNTIF($B$2:B2207, B2207)</f>
        <v>63-46</v>
      </c>
      <c r="D2207" s="10">
        <f t="shared" si="4"/>
        <v>14515</v>
      </c>
      <c r="E2207" s="1" t="s">
        <v>5997</v>
      </c>
      <c r="F2207" s="1" t="s">
        <v>5998</v>
      </c>
      <c r="G2207" s="1" t="s">
        <v>1834</v>
      </c>
      <c r="H2207" s="1" t="s">
        <v>1812</v>
      </c>
      <c r="I2207" s="10" t="str">
        <f>IF(H2207="T44",1,IF(H2207="T44",3,IF(H2207="T60",6,IF(H2207="T60",10,IF(H2207="T92",14,IF(H2207="T92",18,IF(H2207="T60",22,"")))))))</f>
        <v/>
      </c>
      <c r="J2207" s="1" t="s">
        <v>1808</v>
      </c>
      <c r="K2207" s="10">
        <v>2</v>
      </c>
      <c r="L2207" s="10">
        <v>1</v>
      </c>
      <c r="O2207" s="6"/>
      <c r="P2207" s="42" t="s">
        <v>5560</v>
      </c>
      <c r="Q2207" s="42" t="s">
        <v>5682</v>
      </c>
      <c r="R2207" s="42"/>
      <c r="S2207" s="1"/>
    </row>
    <row r="2208" spans="1:19" ht="18.75" hidden="1" customHeight="1" x14ac:dyDescent="0.3">
      <c r="A2208" s="10">
        <v>2207</v>
      </c>
      <c r="B2208" s="10">
        <f>_xlfn.XLOOKUP(1,(VALUE(D2208)&gt;=VALUE(block!$C$3:$C$500))*(VALUE(D2208)&lt;VALUE(block!$C$3:$C$500)+VALUE(block!$D$3:$D$500)),block!$A$3:$A$500,"无匹配",0,1)</f>
        <v>63</v>
      </c>
      <c r="C2208" s="3" t="str">
        <f>B2208 &amp; "-" &amp; COUNTIF($B$2:B2208, B2208)</f>
        <v>63-47</v>
      </c>
      <c r="D2208" s="10">
        <f t="shared" si="4"/>
        <v>14517</v>
      </c>
      <c r="E2208" s="3" t="s">
        <v>5999</v>
      </c>
      <c r="F2208" s="1" t="s">
        <v>6000</v>
      </c>
      <c r="H2208" s="3" t="s">
        <v>1838</v>
      </c>
      <c r="I2208" s="10" t="str">
        <f>IF(H2208="T45",1,IF(H2208="T45",3,IF(H2208="T61",6,IF(H2208="T61",10,IF(H2208="T93",14,IF(H2208="T93",18,IF(H2208="T61",22,"")))))))</f>
        <v/>
      </c>
      <c r="J2208" s="1" t="s">
        <v>1808</v>
      </c>
      <c r="K2208" s="10">
        <v>2</v>
      </c>
      <c r="L2208" s="10">
        <v>1</v>
      </c>
      <c r="O2208" s="6"/>
      <c r="Q2208" s="42" t="s">
        <v>5682</v>
      </c>
      <c r="R2208" s="42"/>
      <c r="S2208" s="1"/>
    </row>
    <row r="2209" spans="1:19" ht="18.75" hidden="1" customHeight="1" x14ac:dyDescent="0.3">
      <c r="A2209" s="10">
        <v>2208</v>
      </c>
      <c r="B2209" s="10">
        <f>_xlfn.XLOOKUP(1,(VALUE(D2209)&gt;=VALUE(block!$C$3:$C$500))*(VALUE(D2209)&lt;VALUE(block!$C$3:$C$500)+VALUE(block!$D$3:$D$500)),block!$A$3:$A$500,"无匹配",0,1)</f>
        <v>63</v>
      </c>
      <c r="C2209" s="3" t="str">
        <f>B2209 &amp; "-" &amp; COUNTIF($B$2:B2209, B2209)</f>
        <v>63-48</v>
      </c>
      <c r="D2209" s="10">
        <f t="shared" si="4"/>
        <v>14519</v>
      </c>
      <c r="E2209" s="3" t="s">
        <v>5999</v>
      </c>
      <c r="F2209" s="1" t="s">
        <v>6001</v>
      </c>
      <c r="H2209" s="3" t="s">
        <v>5458</v>
      </c>
      <c r="I2209" s="10" t="str">
        <f>IF(H2209="T46",1,IF(H2209="T46",3,IF(H2209="T62",6,IF(H2209="T62",10,IF(H2209="T94",14,IF(H2209="T94",18,IF(H2209="T62",22,"")))))))</f>
        <v/>
      </c>
      <c r="J2209" s="1" t="s">
        <v>1808</v>
      </c>
      <c r="K2209" s="10">
        <v>1</v>
      </c>
      <c r="L2209" s="10">
        <v>1</v>
      </c>
      <c r="O2209" s="6"/>
      <c r="Q2209" s="42" t="s">
        <v>5682</v>
      </c>
      <c r="R2209" s="42"/>
      <c r="S2209" s="1"/>
    </row>
    <row r="2210" spans="1:19" ht="18.75" hidden="1" customHeight="1" x14ac:dyDescent="0.3">
      <c r="A2210" s="10">
        <v>2209</v>
      </c>
      <c r="B2210" s="10">
        <f>_xlfn.XLOOKUP(1,(VALUE(D2210)&gt;=VALUE(block!$C$3:$C$500))*(VALUE(D2210)&lt;VALUE(block!$C$3:$C$500)+VALUE(block!$D$3:$D$500)),block!$A$3:$A$500,"无匹配",0,1)</f>
        <v>63</v>
      </c>
      <c r="C2210" s="3" t="str">
        <f>B2210 &amp; "-" &amp; COUNTIF($B$2:B2210, B2210)</f>
        <v>63-49</v>
      </c>
      <c r="D2210" s="10">
        <f t="shared" si="4"/>
        <v>14520</v>
      </c>
      <c r="E2210" s="1" t="s">
        <v>6002</v>
      </c>
      <c r="F2210" s="1" t="s">
        <v>6003</v>
      </c>
      <c r="G2210" s="1" t="s">
        <v>1834</v>
      </c>
      <c r="H2210" s="1" t="s">
        <v>1812</v>
      </c>
      <c r="I2210" s="10" t="str">
        <f>IF(H2210="T47",1,IF(H2210="T47",3,IF(H2210="T63",6,IF(H2210="T63",10,IF(H2210="T95",14,IF(H2210="T95",18,IF(H2210="T63",22,"")))))))</f>
        <v/>
      </c>
      <c r="J2210" s="1" t="s">
        <v>1808</v>
      </c>
      <c r="K2210" s="10">
        <v>2</v>
      </c>
      <c r="L2210" s="10">
        <v>1</v>
      </c>
      <c r="O2210" s="6"/>
      <c r="P2210" s="42" t="s">
        <v>5560</v>
      </c>
      <c r="Q2210" s="42" t="s">
        <v>5682</v>
      </c>
      <c r="R2210" s="42"/>
      <c r="S2210" s="1"/>
    </row>
    <row r="2211" spans="1:19" ht="18.75" hidden="1" customHeight="1" x14ac:dyDescent="0.3">
      <c r="A2211" s="10">
        <v>2210</v>
      </c>
      <c r="B2211" s="10">
        <f>_xlfn.XLOOKUP(1,(VALUE(D2211)&gt;=VALUE(block!$C$3:$C$500))*(VALUE(D2211)&lt;VALUE(block!$C$3:$C$500)+VALUE(block!$D$3:$D$500)),block!$A$3:$A$500,"无匹配",0,1)</f>
        <v>63</v>
      </c>
      <c r="C2211" s="3" t="str">
        <f>B2211 &amp; "-" &amp; COUNTIF($B$2:B2211, B2211)</f>
        <v>63-50</v>
      </c>
      <c r="D2211" s="10">
        <f t="shared" si="4"/>
        <v>14522</v>
      </c>
      <c r="E2211" s="3" t="s">
        <v>6004</v>
      </c>
      <c r="F2211" s="1" t="s">
        <v>6005</v>
      </c>
      <c r="H2211" s="3" t="s">
        <v>1838</v>
      </c>
      <c r="I2211" s="10" t="str">
        <f>IF(H2211="T48",1,IF(H2211="T48",3,IF(H2211="T64",6,IF(H2211="T64",10,IF(H2211="T96",14,IF(H2211="T96",18,IF(H2211="T64",22,"")))))))</f>
        <v/>
      </c>
      <c r="J2211" s="1" t="s">
        <v>1808</v>
      </c>
      <c r="K2211" s="10">
        <v>2</v>
      </c>
      <c r="L2211" s="10">
        <v>1</v>
      </c>
      <c r="O2211" s="6"/>
      <c r="Q2211" s="42" t="s">
        <v>5682</v>
      </c>
      <c r="R2211" s="42"/>
      <c r="S2211" s="1"/>
    </row>
    <row r="2212" spans="1:19" ht="18.75" hidden="1" customHeight="1" x14ac:dyDescent="0.3">
      <c r="A2212" s="10">
        <v>2211</v>
      </c>
      <c r="B2212" s="10">
        <f>_xlfn.XLOOKUP(1,(VALUE(D2212)&gt;=VALUE(block!$C$3:$C$500))*(VALUE(D2212)&lt;VALUE(block!$C$3:$C$500)+VALUE(block!$D$3:$D$500)),block!$A$3:$A$500,"无匹配",0,1)</f>
        <v>63</v>
      </c>
      <c r="C2212" s="3" t="str">
        <f>B2212 &amp; "-" &amp; COUNTIF($B$2:B2212, B2212)</f>
        <v>63-51</v>
      </c>
      <c r="D2212" s="10">
        <f t="shared" si="4"/>
        <v>14524</v>
      </c>
      <c r="E2212" s="3" t="s">
        <v>6004</v>
      </c>
      <c r="F2212" s="1" t="s">
        <v>6006</v>
      </c>
      <c r="H2212" s="3" t="s">
        <v>5458</v>
      </c>
      <c r="I2212" s="10" t="str">
        <f>IF(H2212="T49",1,IF(H2212="T49",3,IF(H2212="T65",6,IF(H2212="T65",10,IF(H2212="T97",14,IF(H2212="T97",18,IF(H2212="T65",22,"")))))))</f>
        <v/>
      </c>
      <c r="J2212" s="1" t="s">
        <v>1808</v>
      </c>
      <c r="K2212" s="10">
        <v>1</v>
      </c>
      <c r="L2212" s="10">
        <v>1</v>
      </c>
      <c r="O2212" s="6"/>
      <c r="Q2212" s="42" t="s">
        <v>5682</v>
      </c>
      <c r="R2212" s="42"/>
      <c r="S2212" s="1"/>
    </row>
    <row r="2213" spans="1:19" ht="18.75" hidden="1" customHeight="1" x14ac:dyDescent="0.3">
      <c r="A2213" s="10">
        <v>2212</v>
      </c>
      <c r="B2213" s="10">
        <f>_xlfn.XLOOKUP(1,(VALUE(D2213)&gt;=VALUE(block!$C$3:$C$500))*(VALUE(D2213)&lt;VALUE(block!$C$3:$C$500)+VALUE(block!$D$3:$D$500)),block!$A$3:$A$500,"无匹配",0,1)</f>
        <v>63</v>
      </c>
      <c r="C2213" s="3" t="str">
        <f>B2213 &amp; "-" &amp; COUNTIF($B$2:B2213, B2213)</f>
        <v>63-52</v>
      </c>
      <c r="D2213" s="10">
        <f t="shared" si="4"/>
        <v>14525</v>
      </c>
      <c r="E2213" s="1" t="s">
        <v>6007</v>
      </c>
      <c r="F2213" s="1" t="s">
        <v>6008</v>
      </c>
      <c r="G2213" s="1" t="s">
        <v>1836</v>
      </c>
      <c r="H2213" s="1" t="s">
        <v>1812</v>
      </c>
      <c r="I2213" s="10" t="str">
        <f>IF(H2213="T50",1,IF(H2213="T50",3,IF(H2213="T66",6,IF(H2213="T66",10,IF(H2213="T98",14,IF(H2213="T98",18,IF(H2213="T66",22,"")))))))</f>
        <v/>
      </c>
      <c r="J2213" s="1" t="s">
        <v>1808</v>
      </c>
      <c r="K2213" s="10">
        <v>2</v>
      </c>
      <c r="L2213" s="10">
        <v>1</v>
      </c>
      <c r="O2213" s="6"/>
      <c r="P2213" s="42" t="s">
        <v>5560</v>
      </c>
      <c r="Q2213" s="42" t="s">
        <v>5682</v>
      </c>
      <c r="R2213" s="42"/>
      <c r="S2213" s="1"/>
    </row>
    <row r="2214" spans="1:19" ht="18.75" hidden="1" customHeight="1" x14ac:dyDescent="0.3">
      <c r="A2214" s="10">
        <v>2213</v>
      </c>
      <c r="B2214" s="10">
        <f>_xlfn.XLOOKUP(1,(VALUE(D2214)&gt;=VALUE(block!$C$3:$C$500))*(VALUE(D2214)&lt;VALUE(block!$C$3:$C$500)+VALUE(block!$D$3:$D$500)),block!$A$3:$A$500,"无匹配",0,1)</f>
        <v>63</v>
      </c>
      <c r="C2214" s="3" t="str">
        <f>B2214 &amp; "-" &amp; COUNTIF($B$2:B2214, B2214)</f>
        <v>63-53</v>
      </c>
      <c r="D2214" s="10">
        <f t="shared" si="4"/>
        <v>14527</v>
      </c>
      <c r="E2214" s="3" t="s">
        <v>6009</v>
      </c>
      <c r="F2214" s="1" t="s">
        <v>6010</v>
      </c>
      <c r="H2214" s="3" t="s">
        <v>1838</v>
      </c>
      <c r="I2214" s="10" t="str">
        <f>IF(H2214="T51",1,IF(H2214="T51",3,IF(H2214="T67",6,IF(H2214="T67",10,IF(H2214="T99",14,IF(H2214="T99",18,IF(H2214="T67",22,"")))))))</f>
        <v/>
      </c>
      <c r="J2214" s="1" t="s">
        <v>1808</v>
      </c>
      <c r="K2214" s="10">
        <v>2</v>
      </c>
      <c r="L2214" s="10">
        <v>1</v>
      </c>
      <c r="O2214" s="6"/>
      <c r="Q2214" s="42" t="s">
        <v>5682</v>
      </c>
      <c r="R2214" s="42"/>
      <c r="S2214" s="1"/>
    </row>
    <row r="2215" spans="1:19" ht="18.75" hidden="1" customHeight="1" x14ac:dyDescent="0.3">
      <c r="A2215" s="10">
        <v>2214</v>
      </c>
      <c r="B2215" s="10">
        <f>_xlfn.XLOOKUP(1,(VALUE(D2215)&gt;=VALUE(block!$C$3:$C$500))*(VALUE(D2215)&lt;VALUE(block!$C$3:$C$500)+VALUE(block!$D$3:$D$500)),block!$A$3:$A$500,"无匹配",0,1)</f>
        <v>63</v>
      </c>
      <c r="C2215" s="3" t="str">
        <f>B2215 &amp; "-" &amp; COUNTIF($B$2:B2215, B2215)</f>
        <v>63-54</v>
      </c>
      <c r="D2215" s="10">
        <f t="shared" si="4"/>
        <v>14529</v>
      </c>
      <c r="E2215" s="3" t="s">
        <v>6009</v>
      </c>
      <c r="F2215" s="1" t="s">
        <v>6011</v>
      </c>
      <c r="H2215" s="3" t="s">
        <v>5458</v>
      </c>
      <c r="I2215" s="10" t="str">
        <f>IF(H2215="T52",1,IF(H2215="T52",3,IF(H2215="T68",6,IF(H2215="T68",10,IF(H2215="T100",14,IF(H2215="T100",18,IF(H2215="T68",22,"")))))))</f>
        <v/>
      </c>
      <c r="J2215" s="1" t="s">
        <v>1808</v>
      </c>
      <c r="K2215" s="10">
        <v>1</v>
      </c>
      <c r="L2215" s="10">
        <v>1</v>
      </c>
      <c r="O2215" s="6"/>
      <c r="Q2215" s="42" t="s">
        <v>5682</v>
      </c>
      <c r="R2215" s="42"/>
      <c r="S2215" s="1"/>
    </row>
    <row r="2216" spans="1:19" ht="18.75" hidden="1" customHeight="1" x14ac:dyDescent="0.3">
      <c r="A2216" s="10">
        <v>2215</v>
      </c>
      <c r="B2216" s="10">
        <f>_xlfn.XLOOKUP(1,(VALUE(D2216)&gt;=VALUE(block!$C$3:$C$500))*(VALUE(D2216)&lt;VALUE(block!$C$3:$C$500)+VALUE(block!$D$3:$D$500)),block!$A$3:$A$500,"无匹配",0,1)</f>
        <v>63</v>
      </c>
      <c r="C2216" s="3" t="str">
        <f>B2216 &amp; "-" &amp; COUNTIF($B$2:B2216, B2216)</f>
        <v>63-55</v>
      </c>
      <c r="D2216" s="10">
        <f t="shared" si="4"/>
        <v>14530</v>
      </c>
      <c r="E2216" s="1" t="s">
        <v>6012</v>
      </c>
      <c r="F2216" s="1" t="s">
        <v>6013</v>
      </c>
      <c r="G2216" s="1" t="s">
        <v>1830</v>
      </c>
      <c r="H2216" s="1" t="s">
        <v>1812</v>
      </c>
      <c r="I2216" s="10" t="str">
        <f>IF(H2216="T53",1,IF(H2216="T53",3,IF(H2216="T69",6,IF(H2216="T69",10,IF(H2216="T101",14,IF(H2216="T101",18,IF(H2216="T69",22,"")))))))</f>
        <v/>
      </c>
      <c r="J2216" s="1" t="s">
        <v>1808</v>
      </c>
      <c r="K2216" s="10">
        <v>2</v>
      </c>
      <c r="L2216" s="10">
        <v>1</v>
      </c>
      <c r="O2216" s="6"/>
      <c r="P2216" s="42" t="s">
        <v>5560</v>
      </c>
      <c r="Q2216" s="42" t="s">
        <v>5682</v>
      </c>
      <c r="R2216" s="42"/>
      <c r="S2216" s="1"/>
    </row>
    <row r="2217" spans="1:19" ht="18.75" hidden="1" customHeight="1" x14ac:dyDescent="0.3">
      <c r="A2217" s="10">
        <v>2216</v>
      </c>
      <c r="B2217" s="10">
        <f>_xlfn.XLOOKUP(1,(VALUE(D2217)&gt;=VALUE(block!$C$3:$C$500))*(VALUE(D2217)&lt;VALUE(block!$C$3:$C$500)+VALUE(block!$D$3:$D$500)),block!$A$3:$A$500,"无匹配",0,1)</f>
        <v>63</v>
      </c>
      <c r="C2217" s="3" t="str">
        <f>B2217 &amp; "-" &amp; COUNTIF($B$2:B2217, B2217)</f>
        <v>63-56</v>
      </c>
      <c r="D2217" s="10">
        <f t="shared" si="4"/>
        <v>14532</v>
      </c>
      <c r="E2217" s="3" t="s">
        <v>6014</v>
      </c>
      <c r="F2217" s="1" t="s">
        <v>6015</v>
      </c>
      <c r="H2217" s="3" t="s">
        <v>1838</v>
      </c>
      <c r="I2217" s="10" t="str">
        <f>IF(H2217="T54",1,IF(H2217="T54",3,IF(H2217="T70",6,IF(H2217="T70",10,IF(H2217="T102",14,IF(H2217="T102",18,IF(H2217="T70",22,"")))))))</f>
        <v/>
      </c>
      <c r="J2217" s="1" t="s">
        <v>1808</v>
      </c>
      <c r="K2217" s="10">
        <v>2</v>
      </c>
      <c r="L2217" s="10">
        <v>1</v>
      </c>
      <c r="O2217" s="6"/>
      <c r="Q2217" s="42" t="s">
        <v>5682</v>
      </c>
      <c r="R2217" s="42"/>
      <c r="S2217" s="1"/>
    </row>
    <row r="2218" spans="1:19" ht="18.75" hidden="1" customHeight="1" x14ac:dyDescent="0.3">
      <c r="A2218" s="10">
        <v>2217</v>
      </c>
      <c r="B2218" s="10">
        <f>_xlfn.XLOOKUP(1,(VALUE(D2218)&gt;=VALUE(block!$C$3:$C$500))*(VALUE(D2218)&lt;VALUE(block!$C$3:$C$500)+VALUE(block!$D$3:$D$500)),block!$A$3:$A$500,"无匹配",0,1)</f>
        <v>63</v>
      </c>
      <c r="C2218" s="3" t="str">
        <f>B2218 &amp; "-" &amp; COUNTIF($B$2:B2218, B2218)</f>
        <v>63-57</v>
      </c>
      <c r="D2218" s="10">
        <f t="shared" si="4"/>
        <v>14534</v>
      </c>
      <c r="E2218" s="3" t="s">
        <v>6014</v>
      </c>
      <c r="F2218" s="1" t="s">
        <v>6016</v>
      </c>
      <c r="H2218" s="3" t="s">
        <v>5458</v>
      </c>
      <c r="I2218" s="10" t="str">
        <f>IF(H2218="T55",1,IF(H2218="T55",3,IF(H2218="T71",6,IF(H2218="T71",10,IF(H2218="T103",14,IF(H2218="T103",18,IF(H2218="T71",22,"")))))))</f>
        <v/>
      </c>
      <c r="J2218" s="1" t="s">
        <v>1808</v>
      </c>
      <c r="K2218" s="10">
        <v>1</v>
      </c>
      <c r="L2218" s="10">
        <v>1</v>
      </c>
      <c r="O2218" s="6"/>
      <c r="Q2218" s="42" t="s">
        <v>5682</v>
      </c>
      <c r="R2218" s="42"/>
      <c r="S2218" s="1"/>
    </row>
    <row r="2219" spans="1:19" ht="18.75" hidden="1" customHeight="1" x14ac:dyDescent="0.3">
      <c r="A2219" s="10">
        <v>2218</v>
      </c>
      <c r="B2219" s="10">
        <f>_xlfn.XLOOKUP(1,(VALUE(D2219)&gt;=VALUE(block!$C$3:$C$500))*(VALUE(D2219)&lt;VALUE(block!$C$3:$C$500)+VALUE(block!$D$3:$D$500)),block!$A$3:$A$500,"无匹配",0,1)</f>
        <v>63</v>
      </c>
      <c r="C2219" s="3" t="str">
        <f>B2219 &amp; "-" &amp; COUNTIF($B$2:B2219, B2219)</f>
        <v>63-58</v>
      </c>
      <c r="D2219" s="10">
        <f t="shared" si="4"/>
        <v>14535</v>
      </c>
      <c r="E2219" s="1" t="s">
        <v>6017</v>
      </c>
      <c r="F2219" s="1" t="s">
        <v>6018</v>
      </c>
      <c r="G2219" s="1" t="s">
        <v>1832</v>
      </c>
      <c r="H2219" s="1" t="s">
        <v>1812</v>
      </c>
      <c r="I2219" s="10" t="str">
        <f>IF(H2219="T56",1,IF(H2219="T56",3,IF(H2219="T72",6,IF(H2219="T72",10,IF(H2219="T104",14,IF(H2219="T104",18,IF(H2219="T72",22,"")))))))</f>
        <v/>
      </c>
      <c r="J2219" s="1" t="s">
        <v>1808</v>
      </c>
      <c r="K2219" s="10">
        <v>2</v>
      </c>
      <c r="L2219" s="10">
        <v>1</v>
      </c>
      <c r="O2219" s="6"/>
      <c r="P2219" s="42" t="s">
        <v>5560</v>
      </c>
      <c r="Q2219" s="42" t="s">
        <v>5682</v>
      </c>
      <c r="R2219" s="42"/>
      <c r="S2219" s="1"/>
    </row>
    <row r="2220" spans="1:19" ht="18.75" hidden="1" customHeight="1" x14ac:dyDescent="0.3">
      <c r="A2220" s="10">
        <v>2219</v>
      </c>
      <c r="B2220" s="10">
        <f>_xlfn.XLOOKUP(1,(VALUE(D2220)&gt;=VALUE(block!$C$3:$C$500))*(VALUE(D2220)&lt;VALUE(block!$C$3:$C$500)+VALUE(block!$D$3:$D$500)),block!$A$3:$A$500,"无匹配",0,1)</f>
        <v>63</v>
      </c>
      <c r="C2220" s="3" t="str">
        <f>B2220 &amp; "-" &amp; COUNTIF($B$2:B2220, B2220)</f>
        <v>63-59</v>
      </c>
      <c r="D2220" s="10">
        <f t="shared" si="4"/>
        <v>14537</v>
      </c>
      <c r="E2220" s="3" t="s">
        <v>6019</v>
      </c>
      <c r="F2220" s="1" t="s">
        <v>6020</v>
      </c>
      <c r="H2220" s="3" t="s">
        <v>1838</v>
      </c>
      <c r="I2220" s="10" t="str">
        <f>IF(H2220="T57",1,IF(H2220="T57",3,IF(H2220="T73",6,IF(H2220="T73",10,IF(H2220="T105",14,IF(H2220="T105",18,IF(H2220="T73",22,"")))))))</f>
        <v/>
      </c>
      <c r="J2220" s="1" t="s">
        <v>1808</v>
      </c>
      <c r="K2220" s="10">
        <v>2</v>
      </c>
      <c r="L2220" s="10">
        <v>1</v>
      </c>
      <c r="O2220" s="6"/>
      <c r="Q2220" s="42" t="s">
        <v>5682</v>
      </c>
      <c r="R2220" s="42"/>
      <c r="S2220" s="1"/>
    </row>
    <row r="2221" spans="1:19" ht="18.75" hidden="1" customHeight="1" x14ac:dyDescent="0.3">
      <c r="A2221" s="10">
        <v>2220</v>
      </c>
      <c r="B2221" s="10">
        <f>_xlfn.XLOOKUP(1,(VALUE(D2221)&gt;=VALUE(block!$C$3:$C$500))*(VALUE(D2221)&lt;VALUE(block!$C$3:$C$500)+VALUE(block!$D$3:$D$500)),block!$A$3:$A$500,"无匹配",0,1)</f>
        <v>63</v>
      </c>
      <c r="C2221" s="3" t="str">
        <f>B2221 &amp; "-" &amp; COUNTIF($B$2:B2221, B2221)</f>
        <v>63-60</v>
      </c>
      <c r="D2221" s="10">
        <f t="shared" si="4"/>
        <v>14539</v>
      </c>
      <c r="E2221" s="3" t="s">
        <v>6019</v>
      </c>
      <c r="F2221" s="1" t="s">
        <v>6021</v>
      </c>
      <c r="H2221" s="3" t="s">
        <v>5458</v>
      </c>
      <c r="I2221" s="10" t="str">
        <f>IF(H2221="T58",1,IF(H2221="T58",3,IF(H2221="T74",6,IF(H2221="T74",10,IF(H2221="T106",14,IF(H2221="T106",18,IF(H2221="T74",22,"")))))))</f>
        <v/>
      </c>
      <c r="J2221" s="1" t="s">
        <v>1808</v>
      </c>
      <c r="K2221" s="10">
        <v>1</v>
      </c>
      <c r="L2221" s="10">
        <v>1</v>
      </c>
      <c r="O2221" s="6"/>
      <c r="Q2221" s="42" t="s">
        <v>5682</v>
      </c>
      <c r="R2221" s="42"/>
      <c r="S2221" s="1"/>
    </row>
    <row r="2222" spans="1:19" ht="18.75" hidden="1" customHeight="1" x14ac:dyDescent="0.3">
      <c r="A2222" s="10">
        <v>2221</v>
      </c>
      <c r="B2222" s="10">
        <f>_xlfn.XLOOKUP(1,(VALUE(D2222)&gt;=VALUE(block!$C$3:$C$500))*(VALUE(D2222)&lt;VALUE(block!$C$3:$C$500)+VALUE(block!$D$3:$D$500)),block!$A$3:$A$500,"无匹配",0,1)</f>
        <v>63</v>
      </c>
      <c r="C2222" s="3" t="str">
        <f>B2222 &amp; "-" &amp; COUNTIF($B$2:B2222, B2222)</f>
        <v>63-61</v>
      </c>
      <c r="D2222" s="10">
        <f t="shared" si="4"/>
        <v>14540</v>
      </c>
      <c r="E2222" s="1" t="s">
        <v>6022</v>
      </c>
      <c r="F2222" s="1" t="s">
        <v>6023</v>
      </c>
      <c r="G2222" s="1" t="s">
        <v>1832</v>
      </c>
      <c r="H2222" s="1" t="s">
        <v>1812</v>
      </c>
      <c r="I2222" s="10" t="str">
        <f>IF(H2222="T59",1,IF(H2222="T59",3,IF(H2222="T75",6,IF(H2222="T75",10,IF(H2222="T107",14,IF(H2222="T107",18,IF(H2222="T75",22,"")))))))</f>
        <v/>
      </c>
      <c r="J2222" s="1" t="s">
        <v>1808</v>
      </c>
      <c r="K2222" s="10">
        <v>2</v>
      </c>
      <c r="L2222" s="10">
        <v>1</v>
      </c>
      <c r="O2222" s="6"/>
      <c r="P2222" s="42" t="s">
        <v>5560</v>
      </c>
      <c r="Q2222" s="42" t="s">
        <v>5682</v>
      </c>
      <c r="R2222" s="42"/>
      <c r="S2222" s="1"/>
    </row>
    <row r="2223" spans="1:19" ht="18.75" hidden="1" customHeight="1" x14ac:dyDescent="0.3">
      <c r="A2223" s="10">
        <v>2222</v>
      </c>
      <c r="B2223" s="10">
        <f>_xlfn.XLOOKUP(1,(VALUE(D2223)&gt;=VALUE(block!$C$3:$C$500))*(VALUE(D2223)&lt;VALUE(block!$C$3:$C$500)+VALUE(block!$D$3:$D$500)),block!$A$3:$A$500,"无匹配",0,1)</f>
        <v>63</v>
      </c>
      <c r="C2223" s="3" t="str">
        <f>B2223 &amp; "-" &amp; COUNTIF($B$2:B2223, B2223)</f>
        <v>63-62</v>
      </c>
      <c r="D2223" s="10">
        <f t="shared" si="4"/>
        <v>14542</v>
      </c>
      <c r="E2223" s="3" t="s">
        <v>6024</v>
      </c>
      <c r="F2223" s="1" t="s">
        <v>6025</v>
      </c>
      <c r="H2223" s="3" t="s">
        <v>1838</v>
      </c>
      <c r="I2223" s="10" t="str">
        <f>IF(H2223="T60",1,IF(H2223="T60",3,IF(H2223="T76",6,IF(H2223="T76",10,IF(H2223="T108",14,IF(H2223="T108",18,IF(H2223="T76",22,"")))))))</f>
        <v/>
      </c>
      <c r="J2223" s="1" t="s">
        <v>1808</v>
      </c>
      <c r="K2223" s="10">
        <v>2</v>
      </c>
      <c r="L2223" s="10">
        <v>1</v>
      </c>
      <c r="O2223" s="6"/>
      <c r="Q2223" s="42" t="s">
        <v>5682</v>
      </c>
      <c r="R2223" s="42"/>
      <c r="S2223" s="1"/>
    </row>
    <row r="2224" spans="1:19" ht="18.75" hidden="1" customHeight="1" x14ac:dyDescent="0.3">
      <c r="A2224" s="10">
        <v>2223</v>
      </c>
      <c r="B2224" s="10">
        <f>_xlfn.XLOOKUP(1,(VALUE(D2224)&gt;=VALUE(block!$C$3:$C$500))*(VALUE(D2224)&lt;VALUE(block!$C$3:$C$500)+VALUE(block!$D$3:$D$500)),block!$A$3:$A$500,"无匹配",0,1)</f>
        <v>63</v>
      </c>
      <c r="C2224" s="3" t="str">
        <f>B2224 &amp; "-" &amp; COUNTIF($B$2:B2224, B2224)</f>
        <v>63-63</v>
      </c>
      <c r="D2224" s="10">
        <f t="shared" si="4"/>
        <v>14544</v>
      </c>
      <c r="E2224" s="3" t="s">
        <v>6024</v>
      </c>
      <c r="F2224" s="1" t="s">
        <v>6026</v>
      </c>
      <c r="H2224" s="3" t="s">
        <v>5458</v>
      </c>
      <c r="I2224" s="10" t="str">
        <f>IF(H2224="T61",1,IF(H2224="T61",3,IF(H2224="T77",6,IF(H2224="T77",10,IF(H2224="T109",14,IF(H2224="T109",18,IF(H2224="T77",22,"")))))))</f>
        <v/>
      </c>
      <c r="J2224" s="1" t="s">
        <v>1808</v>
      </c>
      <c r="K2224" s="10">
        <v>1</v>
      </c>
      <c r="L2224" s="10">
        <v>1</v>
      </c>
      <c r="O2224" s="6"/>
      <c r="Q2224" s="42" t="s">
        <v>5682</v>
      </c>
      <c r="R2224" s="42"/>
      <c r="S2224" s="1"/>
    </row>
    <row r="2225" spans="1:19" ht="18.75" hidden="1" customHeight="1" x14ac:dyDescent="0.3">
      <c r="A2225" s="10">
        <v>2224</v>
      </c>
      <c r="B2225" s="10">
        <f>_xlfn.XLOOKUP(1,(VALUE(D2225)&gt;=VALUE(block!$C$3:$C$500))*(VALUE(D2225)&lt;VALUE(block!$C$3:$C$500)+VALUE(block!$D$3:$D$500)),block!$A$3:$A$500,"无匹配",0,1)</f>
        <v>63</v>
      </c>
      <c r="C2225" s="3" t="str">
        <f>B2225 &amp; "-" &amp; COUNTIF($B$2:B2225, B2225)</f>
        <v>63-64</v>
      </c>
      <c r="D2225" s="10">
        <f t="shared" si="4"/>
        <v>14545</v>
      </c>
      <c r="E2225" s="1" t="s">
        <v>6027</v>
      </c>
      <c r="F2225" s="1" t="s">
        <v>6028</v>
      </c>
      <c r="G2225" s="1" t="s">
        <v>1834</v>
      </c>
      <c r="H2225" s="1" t="s">
        <v>1812</v>
      </c>
      <c r="I2225" s="10" t="str">
        <f>IF(H2225="T62",1,IF(H2225="T62",3,IF(H2225="T78",6,IF(H2225="T78",10,IF(H2225="T110",14,IF(H2225="T110",18,IF(H2225="T78",22,"")))))))</f>
        <v/>
      </c>
      <c r="J2225" s="1" t="s">
        <v>1808</v>
      </c>
      <c r="K2225" s="10">
        <v>2</v>
      </c>
      <c r="L2225" s="10">
        <v>1</v>
      </c>
      <c r="O2225" s="6"/>
      <c r="P2225" s="42" t="s">
        <v>5560</v>
      </c>
      <c r="Q2225" s="42" t="s">
        <v>5682</v>
      </c>
      <c r="R2225" s="42"/>
      <c r="S2225" s="1"/>
    </row>
    <row r="2226" spans="1:19" ht="18.75" hidden="1" customHeight="1" x14ac:dyDescent="0.3">
      <c r="A2226" s="10">
        <v>2225</v>
      </c>
      <c r="B2226" s="10">
        <f>_xlfn.XLOOKUP(1,(VALUE(D2226)&gt;=VALUE(block!$C$3:$C$500))*(VALUE(D2226)&lt;VALUE(block!$C$3:$C$500)+VALUE(block!$D$3:$D$500)),block!$A$3:$A$500,"无匹配",0,1)</f>
        <v>63</v>
      </c>
      <c r="C2226" s="3" t="str">
        <f>B2226 &amp; "-" &amp; COUNTIF($B$2:B2226, B2226)</f>
        <v>63-65</v>
      </c>
      <c r="D2226" s="10">
        <f t="shared" si="4"/>
        <v>14547</v>
      </c>
      <c r="E2226" s="3" t="s">
        <v>6029</v>
      </c>
      <c r="F2226" s="1" t="s">
        <v>6030</v>
      </c>
      <c r="H2226" s="3" t="s">
        <v>1838</v>
      </c>
      <c r="I2226" s="10" t="str">
        <f>IF(H2226="T63",1,IF(H2226="T63",3,IF(H2226="T79",6,IF(H2226="T79",10,IF(H2226="T111",14,IF(H2226="T111",18,IF(H2226="T79",22,"")))))))</f>
        <v/>
      </c>
      <c r="J2226" s="1" t="s">
        <v>1808</v>
      </c>
      <c r="K2226" s="10">
        <v>2</v>
      </c>
      <c r="L2226" s="10">
        <v>1</v>
      </c>
      <c r="O2226" s="6"/>
      <c r="Q2226" s="42" t="s">
        <v>5682</v>
      </c>
      <c r="R2226" s="42"/>
      <c r="S2226" s="1"/>
    </row>
    <row r="2227" spans="1:19" ht="18.75" hidden="1" customHeight="1" x14ac:dyDescent="0.3">
      <c r="A2227" s="10">
        <v>2226</v>
      </c>
      <c r="B2227" s="10">
        <f>_xlfn.XLOOKUP(1,(VALUE(D2227)&gt;=VALUE(block!$C$3:$C$500))*(VALUE(D2227)&lt;VALUE(block!$C$3:$C$500)+VALUE(block!$D$3:$D$500)),block!$A$3:$A$500,"无匹配",0,1)</f>
        <v>63</v>
      </c>
      <c r="C2227" s="3" t="str">
        <f>B2227 &amp; "-" &amp; COUNTIF($B$2:B2227, B2227)</f>
        <v>63-66</v>
      </c>
      <c r="D2227" s="10">
        <f t="shared" si="4"/>
        <v>14549</v>
      </c>
      <c r="E2227" s="3" t="s">
        <v>6029</v>
      </c>
      <c r="F2227" s="1" t="s">
        <v>6031</v>
      </c>
      <c r="H2227" s="3" t="s">
        <v>5458</v>
      </c>
      <c r="I2227" s="10" t="str">
        <f>IF(H2227="T64",1,IF(H2227="T64",3,IF(H2227="T80",6,IF(H2227="T80",10,IF(H2227="T112",14,IF(H2227="T112",18,IF(H2227="T80",22,"")))))))</f>
        <v/>
      </c>
      <c r="J2227" s="1" t="s">
        <v>1808</v>
      </c>
      <c r="K2227" s="10">
        <v>1</v>
      </c>
      <c r="L2227" s="10">
        <v>1</v>
      </c>
      <c r="O2227" s="6"/>
      <c r="Q2227" s="42" t="s">
        <v>5682</v>
      </c>
      <c r="R2227" s="42"/>
      <c r="S2227" s="1"/>
    </row>
    <row r="2228" spans="1:19" ht="18.75" hidden="1" customHeight="1" x14ac:dyDescent="0.3">
      <c r="A2228" s="10">
        <v>2227</v>
      </c>
      <c r="B2228" s="10">
        <f>_xlfn.XLOOKUP(1,(VALUE(D2228)&gt;=VALUE(block!$C$3:$C$500))*(VALUE(D2228)&lt;VALUE(block!$C$3:$C$500)+VALUE(block!$D$3:$D$500)),block!$A$3:$A$500,"无匹配",0,1)</f>
        <v>63</v>
      </c>
      <c r="C2228" s="3" t="str">
        <f>B2228 &amp; "-" &amp; COUNTIF($B$2:B2228, B2228)</f>
        <v>63-67</v>
      </c>
      <c r="D2228" s="10">
        <f t="shared" si="4"/>
        <v>14550</v>
      </c>
      <c r="E2228" s="1" t="s">
        <v>6032</v>
      </c>
      <c r="F2228" s="1" t="s">
        <v>6033</v>
      </c>
      <c r="G2228" s="1" t="s">
        <v>1834</v>
      </c>
      <c r="H2228" s="1" t="s">
        <v>1812</v>
      </c>
      <c r="I2228" s="10" t="str">
        <f>IF(H2228="T65",1,IF(H2228="T65",3,IF(H2228="T81",6,IF(H2228="T81",10,IF(H2228="T113",14,IF(H2228="T113",18,IF(H2228="T81",22,"")))))))</f>
        <v/>
      </c>
      <c r="J2228" s="1" t="s">
        <v>1808</v>
      </c>
      <c r="K2228" s="10">
        <v>2</v>
      </c>
      <c r="L2228" s="10">
        <v>1</v>
      </c>
      <c r="O2228" s="6"/>
      <c r="P2228" s="42" t="s">
        <v>5560</v>
      </c>
      <c r="Q2228" s="42" t="s">
        <v>5682</v>
      </c>
      <c r="R2228" s="42"/>
      <c r="S2228" s="1"/>
    </row>
    <row r="2229" spans="1:19" ht="18.75" hidden="1" customHeight="1" x14ac:dyDescent="0.3">
      <c r="A2229" s="10">
        <v>2228</v>
      </c>
      <c r="B2229" s="10">
        <f>_xlfn.XLOOKUP(1,(VALUE(D2229)&gt;=VALUE(block!$C$3:$C$500))*(VALUE(D2229)&lt;VALUE(block!$C$3:$C$500)+VALUE(block!$D$3:$D$500)),block!$A$3:$A$500,"无匹配",0,1)</f>
        <v>63</v>
      </c>
      <c r="C2229" s="3" t="str">
        <f>B2229 &amp; "-" &amp; COUNTIF($B$2:B2229, B2229)</f>
        <v>63-68</v>
      </c>
      <c r="D2229" s="10">
        <f t="shared" si="4"/>
        <v>14552</v>
      </c>
      <c r="E2229" s="3" t="s">
        <v>6034</v>
      </c>
      <c r="F2229" s="1" t="s">
        <v>6035</v>
      </c>
      <c r="H2229" s="3" t="s">
        <v>1838</v>
      </c>
      <c r="I2229" s="10" t="str">
        <f>IF(H2229="T66",1,IF(H2229="T66",3,IF(H2229="T82",6,IF(H2229="T82",10,IF(H2229="T114",14,IF(H2229="T114",18,IF(H2229="T82",22,"")))))))</f>
        <v/>
      </c>
      <c r="J2229" s="1" t="s">
        <v>1808</v>
      </c>
      <c r="K2229" s="10">
        <v>2</v>
      </c>
      <c r="L2229" s="10">
        <v>1</v>
      </c>
      <c r="O2229" s="6"/>
      <c r="Q2229" s="42" t="s">
        <v>5682</v>
      </c>
      <c r="R2229" s="42"/>
      <c r="S2229" s="1"/>
    </row>
    <row r="2230" spans="1:19" ht="18.75" hidden="1" customHeight="1" x14ac:dyDescent="0.3">
      <c r="A2230" s="10">
        <v>2229</v>
      </c>
      <c r="B2230" s="10">
        <f>_xlfn.XLOOKUP(1,(VALUE(D2230)&gt;=VALUE(block!$C$3:$C$500))*(VALUE(D2230)&lt;VALUE(block!$C$3:$C$500)+VALUE(block!$D$3:$D$500)),block!$A$3:$A$500,"无匹配",0,1)</f>
        <v>63</v>
      </c>
      <c r="C2230" s="3" t="str">
        <f>B2230 &amp; "-" &amp; COUNTIF($B$2:B2230, B2230)</f>
        <v>63-69</v>
      </c>
      <c r="D2230" s="10">
        <f t="shared" si="4"/>
        <v>14554</v>
      </c>
      <c r="E2230" s="3" t="s">
        <v>6034</v>
      </c>
      <c r="F2230" s="1" t="s">
        <v>6036</v>
      </c>
      <c r="H2230" s="3" t="s">
        <v>5458</v>
      </c>
      <c r="I2230" s="10" t="str">
        <f>IF(H2230="T67",1,IF(H2230="T67",3,IF(H2230="T83",6,IF(H2230="T83",10,IF(H2230="T115",14,IF(H2230="T115",18,IF(H2230="T83",22,"")))))))</f>
        <v/>
      </c>
      <c r="J2230" s="1" t="s">
        <v>1808</v>
      </c>
      <c r="K2230" s="10">
        <v>1</v>
      </c>
      <c r="L2230" s="10">
        <v>1</v>
      </c>
      <c r="O2230" s="6"/>
      <c r="Q2230" s="42" t="s">
        <v>5682</v>
      </c>
      <c r="R2230" s="42"/>
      <c r="S2230" s="1"/>
    </row>
    <row r="2231" spans="1:19" ht="18.75" hidden="1" customHeight="1" x14ac:dyDescent="0.3">
      <c r="A2231" s="10">
        <v>2230</v>
      </c>
      <c r="B2231" s="10">
        <f>_xlfn.XLOOKUP(1,(VALUE(D2231)&gt;=VALUE(block!$C$3:$C$500))*(VALUE(D2231)&lt;VALUE(block!$C$3:$C$500)+VALUE(block!$D$3:$D$500)),block!$A$3:$A$500,"无匹配",0,1)</f>
        <v>63</v>
      </c>
      <c r="C2231" s="3" t="str">
        <f>B2231 &amp; "-" &amp; COUNTIF($B$2:B2231, B2231)</f>
        <v>63-70</v>
      </c>
      <c r="D2231" s="10">
        <f t="shared" si="4"/>
        <v>14555</v>
      </c>
      <c r="E2231" s="1" t="s">
        <v>6037</v>
      </c>
      <c r="F2231" s="1" t="s">
        <v>6038</v>
      </c>
      <c r="G2231" s="1" t="s">
        <v>1836</v>
      </c>
      <c r="H2231" s="1" t="s">
        <v>1812</v>
      </c>
      <c r="I2231" s="10" t="str">
        <f>IF(H2231="T68",1,IF(H2231="T68",3,IF(H2231="T84",6,IF(H2231="T84",10,IF(H2231="T116",14,IF(H2231="T116",18,IF(H2231="T84",22,"")))))))</f>
        <v/>
      </c>
      <c r="J2231" s="1" t="s">
        <v>1808</v>
      </c>
      <c r="K2231" s="10">
        <v>2</v>
      </c>
      <c r="L2231" s="10">
        <v>1</v>
      </c>
      <c r="O2231" s="6"/>
      <c r="P2231" s="42" t="s">
        <v>5560</v>
      </c>
      <c r="Q2231" s="42" t="s">
        <v>5682</v>
      </c>
      <c r="R2231" s="42"/>
      <c r="S2231" s="1"/>
    </row>
    <row r="2232" spans="1:19" ht="18.75" hidden="1" customHeight="1" x14ac:dyDescent="0.3">
      <c r="A2232" s="10">
        <v>2231</v>
      </c>
      <c r="B2232" s="10">
        <f>_xlfn.XLOOKUP(1,(VALUE(D2232)&gt;=VALUE(block!$C$3:$C$500))*(VALUE(D2232)&lt;VALUE(block!$C$3:$C$500)+VALUE(block!$D$3:$D$500)),block!$A$3:$A$500,"无匹配",0,1)</f>
        <v>63</v>
      </c>
      <c r="C2232" s="3" t="str">
        <f>B2232 &amp; "-" &amp; COUNTIF($B$2:B2232, B2232)</f>
        <v>63-71</v>
      </c>
      <c r="D2232" s="10">
        <f t="shared" si="4"/>
        <v>14557</v>
      </c>
      <c r="E2232" s="3" t="s">
        <v>6039</v>
      </c>
      <c r="F2232" s="1" t="s">
        <v>6040</v>
      </c>
      <c r="H2232" s="3" t="s">
        <v>1838</v>
      </c>
      <c r="I2232" s="10" t="str">
        <f>IF(H2232="T69",1,IF(H2232="T69",3,IF(H2232="T85",6,IF(H2232="T85",10,IF(H2232="T117",14,IF(H2232="T117",18,IF(H2232="T85",22,"")))))))</f>
        <v/>
      </c>
      <c r="J2232" s="1" t="s">
        <v>1808</v>
      </c>
      <c r="K2232" s="10">
        <v>2</v>
      </c>
      <c r="L2232" s="10">
        <v>1</v>
      </c>
      <c r="O2232" s="6"/>
      <c r="Q2232" s="42" t="s">
        <v>5682</v>
      </c>
      <c r="R2232" s="42"/>
      <c r="S2232" s="1"/>
    </row>
    <row r="2233" spans="1:19" ht="18.75" hidden="1" customHeight="1" x14ac:dyDescent="0.3">
      <c r="A2233" s="10">
        <v>2232</v>
      </c>
      <c r="B2233" s="10">
        <f>_xlfn.XLOOKUP(1,(VALUE(D2233)&gt;=VALUE(block!$C$3:$C$500))*(VALUE(D2233)&lt;VALUE(block!$C$3:$C$500)+VALUE(block!$D$3:$D$500)),block!$A$3:$A$500,"无匹配",0,1)</f>
        <v>63</v>
      </c>
      <c r="C2233" s="3" t="str">
        <f>B2233 &amp; "-" &amp; COUNTIF($B$2:B2233, B2233)</f>
        <v>63-72</v>
      </c>
      <c r="D2233" s="10">
        <f t="shared" si="4"/>
        <v>14559</v>
      </c>
      <c r="E2233" s="3" t="s">
        <v>6039</v>
      </c>
      <c r="F2233" s="1" t="s">
        <v>6041</v>
      </c>
      <c r="H2233" s="3" t="s">
        <v>5458</v>
      </c>
      <c r="I2233" s="10" t="str">
        <f>IF(H2233="T70",1,IF(H2233="T70",3,IF(H2233="T86",6,IF(H2233="T86",10,IF(H2233="T118",14,IF(H2233="T118",18,IF(H2233="T86",22,"")))))))</f>
        <v/>
      </c>
      <c r="J2233" s="1" t="s">
        <v>1808</v>
      </c>
      <c r="K2233" s="10">
        <v>1</v>
      </c>
      <c r="L2233" s="10">
        <v>1</v>
      </c>
      <c r="O2233" s="6"/>
      <c r="Q2233" s="42" t="s">
        <v>5682</v>
      </c>
      <c r="R2233" s="42"/>
      <c r="S2233" s="1"/>
    </row>
    <row r="2234" spans="1:19" ht="18.75" hidden="1" customHeight="1" x14ac:dyDescent="0.3">
      <c r="A2234" s="10">
        <v>2233</v>
      </c>
      <c r="B2234" s="10">
        <f>_xlfn.XLOOKUP(1,(VALUE(D2234)&gt;=VALUE(block!$C$3:$C$500))*(VALUE(D2234)&lt;VALUE(block!$C$3:$C$500)+VALUE(block!$D$3:$D$500)),block!$A$3:$A$500,"无匹配",0,1)</f>
        <v>64</v>
      </c>
      <c r="C2234" s="3" t="str">
        <f>B2234 &amp; "-" &amp; COUNTIF($B$2:B2234, B2234)</f>
        <v>64-1</v>
      </c>
      <c r="D2234" s="10">
        <f t="shared" si="4"/>
        <v>14560</v>
      </c>
      <c r="E2234" s="1" t="s">
        <v>6042</v>
      </c>
      <c r="F2234" s="1" t="s">
        <v>6043</v>
      </c>
      <c r="G2234" s="1" t="s">
        <v>1830</v>
      </c>
      <c r="H2234" s="1" t="s">
        <v>1812</v>
      </c>
      <c r="I2234" s="10" t="str">
        <f>IF(H2234="T71",1,IF(H2234="T71",3,IF(H2234="T87",6,IF(H2234="T87",10,IF(H2234="T119",14,IF(H2234="T119",18,IF(H2234="T87",22,"")))))))</f>
        <v/>
      </c>
      <c r="J2234" s="1" t="s">
        <v>1808</v>
      </c>
      <c r="K2234" s="10">
        <v>2</v>
      </c>
      <c r="L2234" s="10">
        <v>1</v>
      </c>
      <c r="O2234" s="6"/>
      <c r="P2234" s="42" t="s">
        <v>5560</v>
      </c>
      <c r="Q2234" s="42" t="s">
        <v>5682</v>
      </c>
      <c r="R2234" s="42"/>
      <c r="S2234" s="1"/>
    </row>
    <row r="2235" spans="1:19" ht="18.75" hidden="1" customHeight="1" x14ac:dyDescent="0.3">
      <c r="A2235" s="10">
        <v>2234</v>
      </c>
      <c r="B2235" s="10">
        <f>_xlfn.XLOOKUP(1,(VALUE(D2235)&gt;=VALUE(block!$C$3:$C$500))*(VALUE(D2235)&lt;VALUE(block!$C$3:$C$500)+VALUE(block!$D$3:$D$500)),block!$A$3:$A$500,"无匹配",0,1)</f>
        <v>64</v>
      </c>
      <c r="C2235" s="3" t="str">
        <f>B2235 &amp; "-" &amp; COUNTIF($B$2:B2235, B2235)</f>
        <v>64-2</v>
      </c>
      <c r="D2235" s="10">
        <f t="shared" si="4"/>
        <v>14562</v>
      </c>
      <c r="E2235" s="3" t="s">
        <v>6044</v>
      </c>
      <c r="F2235" s="1" t="s">
        <v>6045</v>
      </c>
      <c r="H2235" s="3" t="s">
        <v>1838</v>
      </c>
      <c r="I2235" s="10" t="str">
        <f>IF(H2235="T72",1,IF(H2235="T72",3,IF(H2235="T88",6,IF(H2235="T88",10,IF(H2235="T120",14,IF(H2235="T120",18,IF(H2235="T88",22,"")))))))</f>
        <v/>
      </c>
      <c r="J2235" s="1" t="s">
        <v>1808</v>
      </c>
      <c r="K2235" s="10">
        <v>2</v>
      </c>
      <c r="L2235" s="10">
        <v>1</v>
      </c>
      <c r="O2235" s="6"/>
      <c r="Q2235" s="42" t="s">
        <v>5682</v>
      </c>
      <c r="R2235" s="42"/>
      <c r="S2235" s="1"/>
    </row>
    <row r="2236" spans="1:19" ht="18.75" hidden="1" customHeight="1" x14ac:dyDescent="0.3">
      <c r="A2236" s="10">
        <v>2235</v>
      </c>
      <c r="B2236" s="10">
        <f>_xlfn.XLOOKUP(1,(VALUE(D2236)&gt;=VALUE(block!$C$3:$C$500))*(VALUE(D2236)&lt;VALUE(block!$C$3:$C$500)+VALUE(block!$D$3:$D$500)),block!$A$3:$A$500,"无匹配",0,1)</f>
        <v>64</v>
      </c>
      <c r="C2236" s="3" t="str">
        <f>B2236 &amp; "-" &amp; COUNTIF($B$2:B2236, B2236)</f>
        <v>64-3</v>
      </c>
      <c r="D2236" s="10">
        <f t="shared" si="4"/>
        <v>14564</v>
      </c>
      <c r="E2236" s="3" t="s">
        <v>6044</v>
      </c>
      <c r="F2236" s="1" t="s">
        <v>6046</v>
      </c>
      <c r="H2236" s="3" t="s">
        <v>5458</v>
      </c>
      <c r="I2236" s="10" t="str">
        <f>IF(H2236="T73",1,IF(H2236="T73",3,IF(H2236="T89",6,IF(H2236="T89",10,IF(H2236="T121",14,IF(H2236="T121",18,IF(H2236="T89",22,"")))))))</f>
        <v/>
      </c>
      <c r="J2236" s="1" t="s">
        <v>1808</v>
      </c>
      <c r="K2236" s="10">
        <v>1</v>
      </c>
      <c r="L2236" s="10">
        <v>1</v>
      </c>
      <c r="O2236" s="6"/>
      <c r="Q2236" s="42" t="s">
        <v>5682</v>
      </c>
      <c r="R2236" s="42"/>
      <c r="S2236" s="1"/>
    </row>
    <row r="2237" spans="1:19" ht="18.75" hidden="1" customHeight="1" x14ac:dyDescent="0.3">
      <c r="A2237" s="10">
        <v>2236</v>
      </c>
      <c r="B2237" s="10">
        <f>_xlfn.XLOOKUP(1,(VALUE(D2237)&gt;=VALUE(block!$C$3:$C$500))*(VALUE(D2237)&lt;VALUE(block!$C$3:$C$500)+VALUE(block!$D$3:$D$500)),block!$A$3:$A$500,"无匹配",0,1)</f>
        <v>64</v>
      </c>
      <c r="C2237" s="3" t="str">
        <f>B2237 &amp; "-" &amp; COUNTIF($B$2:B2237, B2237)</f>
        <v>64-4</v>
      </c>
      <c r="D2237" s="10">
        <f t="shared" si="4"/>
        <v>14565</v>
      </c>
      <c r="E2237" s="1" t="s">
        <v>6047</v>
      </c>
      <c r="F2237" s="1" t="s">
        <v>6048</v>
      </c>
      <c r="G2237" s="1" t="s">
        <v>1832</v>
      </c>
      <c r="H2237" s="1" t="s">
        <v>1812</v>
      </c>
      <c r="I2237" s="10" t="str">
        <f>IF(H2237="T74",1,IF(H2237="T74",3,IF(H2237="T90",6,IF(H2237="T90",10,IF(H2237="T122",14,IF(H2237="T122",18,IF(H2237="T90",22,"")))))))</f>
        <v/>
      </c>
      <c r="J2237" s="1" t="s">
        <v>1808</v>
      </c>
      <c r="K2237" s="10">
        <v>2</v>
      </c>
      <c r="L2237" s="10">
        <v>1</v>
      </c>
      <c r="O2237" s="6"/>
      <c r="P2237" s="42" t="s">
        <v>5560</v>
      </c>
      <c r="Q2237" s="42" t="s">
        <v>5682</v>
      </c>
      <c r="R2237" s="42"/>
      <c r="S2237" s="1"/>
    </row>
    <row r="2238" spans="1:19" ht="18.75" hidden="1" customHeight="1" x14ac:dyDescent="0.3">
      <c r="A2238" s="10">
        <v>2237</v>
      </c>
      <c r="B2238" s="10">
        <f>_xlfn.XLOOKUP(1,(VALUE(D2238)&gt;=VALUE(block!$C$3:$C$500))*(VALUE(D2238)&lt;VALUE(block!$C$3:$C$500)+VALUE(block!$D$3:$D$500)),block!$A$3:$A$500,"无匹配",0,1)</f>
        <v>64</v>
      </c>
      <c r="C2238" s="3" t="str">
        <f>B2238 &amp; "-" &amp; COUNTIF($B$2:B2238, B2238)</f>
        <v>64-5</v>
      </c>
      <c r="D2238" s="10">
        <f t="shared" si="4"/>
        <v>14567</v>
      </c>
      <c r="E2238" s="3" t="s">
        <v>6049</v>
      </c>
      <c r="F2238" s="1" t="s">
        <v>6050</v>
      </c>
      <c r="H2238" s="3" t="s">
        <v>1838</v>
      </c>
      <c r="I2238" s="10" t="str">
        <f>IF(H2238="T75",1,IF(H2238="T75",3,IF(H2238="T91",6,IF(H2238="T91",10,IF(H2238="T123",14,IF(H2238="T123",18,IF(H2238="T91",22,"")))))))</f>
        <v/>
      </c>
      <c r="J2238" s="1" t="s">
        <v>1808</v>
      </c>
      <c r="K2238" s="10">
        <v>2</v>
      </c>
      <c r="L2238" s="10">
        <v>1</v>
      </c>
      <c r="O2238" s="6"/>
      <c r="Q2238" s="42" t="s">
        <v>5682</v>
      </c>
      <c r="R2238" s="42"/>
      <c r="S2238" s="1"/>
    </row>
    <row r="2239" spans="1:19" ht="18.75" hidden="1" customHeight="1" x14ac:dyDescent="0.3">
      <c r="A2239" s="10">
        <v>2238</v>
      </c>
      <c r="B2239" s="10">
        <f>_xlfn.XLOOKUP(1,(VALUE(D2239)&gt;=VALUE(block!$C$3:$C$500))*(VALUE(D2239)&lt;VALUE(block!$C$3:$C$500)+VALUE(block!$D$3:$D$500)),block!$A$3:$A$500,"无匹配",0,1)</f>
        <v>64</v>
      </c>
      <c r="C2239" s="3" t="str">
        <f>B2239 &amp; "-" &amp; COUNTIF($B$2:B2239, B2239)</f>
        <v>64-6</v>
      </c>
      <c r="D2239" s="10">
        <f t="shared" si="4"/>
        <v>14569</v>
      </c>
      <c r="E2239" s="3" t="s">
        <v>6049</v>
      </c>
      <c r="F2239" s="1" t="s">
        <v>6051</v>
      </c>
      <c r="H2239" s="3" t="s">
        <v>5458</v>
      </c>
      <c r="I2239" s="10" t="str">
        <f>IF(H2239="T76",1,IF(H2239="T76",3,IF(H2239="T92",6,IF(H2239="T92",10,IF(H2239="T124",14,IF(H2239="T124",18,IF(H2239="T92",22,"")))))))</f>
        <v/>
      </c>
      <c r="J2239" s="1" t="s">
        <v>1808</v>
      </c>
      <c r="K2239" s="10">
        <v>1</v>
      </c>
      <c r="L2239" s="10">
        <v>1</v>
      </c>
      <c r="O2239" s="6"/>
      <c r="Q2239" s="42" t="s">
        <v>5682</v>
      </c>
      <c r="R2239" s="42"/>
      <c r="S2239" s="1"/>
    </row>
    <row r="2240" spans="1:19" ht="18.75" hidden="1" customHeight="1" x14ac:dyDescent="0.3">
      <c r="A2240" s="10">
        <v>2239</v>
      </c>
      <c r="B2240" s="10">
        <f>_xlfn.XLOOKUP(1,(VALUE(D2240)&gt;=VALUE(block!$C$3:$C$500))*(VALUE(D2240)&lt;VALUE(block!$C$3:$C$500)+VALUE(block!$D$3:$D$500)),block!$A$3:$A$500,"无匹配",0,1)</f>
        <v>64</v>
      </c>
      <c r="C2240" s="3" t="str">
        <f>B2240 &amp; "-" &amp; COUNTIF($B$2:B2240, B2240)</f>
        <v>64-7</v>
      </c>
      <c r="D2240" s="10">
        <f t="shared" si="4"/>
        <v>14570</v>
      </c>
      <c r="E2240" s="1" t="s">
        <v>6052</v>
      </c>
      <c r="F2240" s="1" t="s">
        <v>6053</v>
      </c>
      <c r="G2240" s="1" t="s">
        <v>1832</v>
      </c>
      <c r="H2240" s="1" t="s">
        <v>1812</v>
      </c>
      <c r="I2240" s="10" t="str">
        <f>IF(H2240="T77",1,IF(H2240="T77",3,IF(H2240="T93",6,IF(H2240="T93",10,IF(H2240="T125",14,IF(H2240="T125",18,IF(H2240="T93",22,"")))))))</f>
        <v/>
      </c>
      <c r="J2240" s="1" t="s">
        <v>1808</v>
      </c>
      <c r="K2240" s="10">
        <v>2</v>
      </c>
      <c r="L2240" s="10">
        <v>1</v>
      </c>
      <c r="O2240" s="6"/>
      <c r="P2240" s="42" t="s">
        <v>5560</v>
      </c>
      <c r="Q2240" s="42" t="s">
        <v>5682</v>
      </c>
      <c r="R2240" s="42"/>
      <c r="S2240" s="1"/>
    </row>
    <row r="2241" spans="1:19" ht="18.75" hidden="1" customHeight="1" x14ac:dyDescent="0.3">
      <c r="A2241" s="10">
        <v>2240</v>
      </c>
      <c r="B2241" s="10">
        <f>_xlfn.XLOOKUP(1,(VALUE(D2241)&gt;=VALUE(block!$C$3:$C$500))*(VALUE(D2241)&lt;VALUE(block!$C$3:$C$500)+VALUE(block!$D$3:$D$500)),block!$A$3:$A$500,"无匹配",0,1)</f>
        <v>64</v>
      </c>
      <c r="C2241" s="3" t="str">
        <f>B2241 &amp; "-" &amp; COUNTIF($B$2:B2241, B2241)</f>
        <v>64-8</v>
      </c>
      <c r="D2241" s="10">
        <f t="shared" si="4"/>
        <v>14572</v>
      </c>
      <c r="E2241" s="3" t="s">
        <v>6054</v>
      </c>
      <c r="F2241" s="1" t="s">
        <v>6055</v>
      </c>
      <c r="H2241" s="3" t="s">
        <v>1838</v>
      </c>
      <c r="I2241" s="10" t="str">
        <f>IF(H2241="T78",1,IF(H2241="T78",3,IF(H2241="T94",6,IF(H2241="T94",10,IF(H2241="T126",14,IF(H2241="T126",18,IF(H2241="T94",22,"")))))))</f>
        <v/>
      </c>
      <c r="J2241" s="1" t="s">
        <v>1808</v>
      </c>
      <c r="K2241" s="10">
        <v>2</v>
      </c>
      <c r="L2241" s="10">
        <v>1</v>
      </c>
      <c r="O2241" s="6"/>
      <c r="Q2241" s="42" t="s">
        <v>5682</v>
      </c>
      <c r="R2241" s="42"/>
      <c r="S2241" s="1"/>
    </row>
    <row r="2242" spans="1:19" ht="18.75" hidden="1" customHeight="1" x14ac:dyDescent="0.3">
      <c r="A2242" s="10">
        <v>2241</v>
      </c>
      <c r="B2242" s="10">
        <f>_xlfn.XLOOKUP(1,(VALUE(D2242)&gt;=VALUE(block!$C$3:$C$500))*(VALUE(D2242)&lt;VALUE(block!$C$3:$C$500)+VALUE(block!$D$3:$D$500)),block!$A$3:$A$500,"无匹配",0,1)</f>
        <v>64</v>
      </c>
      <c r="C2242" s="3" t="str">
        <f>B2242 &amp; "-" &amp; COUNTIF($B$2:B2242, B2242)</f>
        <v>64-9</v>
      </c>
      <c r="D2242" s="10">
        <f t="shared" si="4"/>
        <v>14574</v>
      </c>
      <c r="E2242" s="3" t="s">
        <v>6054</v>
      </c>
      <c r="F2242" s="1" t="s">
        <v>6056</v>
      </c>
      <c r="H2242" s="3" t="s">
        <v>5458</v>
      </c>
      <c r="I2242" s="10" t="str">
        <f>IF(H2242="T79",1,IF(H2242="T79",3,IF(H2242="T95",6,IF(H2242="T95",10,IF(H2242="T127",14,IF(H2242="T127",18,IF(H2242="T95",22,"")))))))</f>
        <v/>
      </c>
      <c r="J2242" s="1" t="s">
        <v>1808</v>
      </c>
      <c r="K2242" s="10">
        <v>1</v>
      </c>
      <c r="L2242" s="10">
        <v>1</v>
      </c>
      <c r="O2242" s="6"/>
      <c r="Q2242" s="42" t="s">
        <v>5682</v>
      </c>
      <c r="R2242" s="42"/>
      <c r="S2242" s="1"/>
    </row>
    <row r="2243" spans="1:19" ht="18.75" hidden="1" customHeight="1" x14ac:dyDescent="0.3">
      <c r="A2243" s="10">
        <v>2242</v>
      </c>
      <c r="B2243" s="10">
        <f>_xlfn.XLOOKUP(1,(VALUE(D2243)&gt;=VALUE(block!$C$3:$C$500))*(VALUE(D2243)&lt;VALUE(block!$C$3:$C$500)+VALUE(block!$D$3:$D$500)),block!$A$3:$A$500,"无匹配",0,1)</f>
        <v>64</v>
      </c>
      <c r="C2243" s="3" t="str">
        <f>B2243 &amp; "-" &amp; COUNTIF($B$2:B2243, B2243)</f>
        <v>64-10</v>
      </c>
      <c r="D2243" s="10">
        <f t="shared" si="4"/>
        <v>14575</v>
      </c>
      <c r="E2243" s="1" t="s">
        <v>6057</v>
      </c>
      <c r="F2243" s="1" t="s">
        <v>6058</v>
      </c>
      <c r="G2243" s="1" t="s">
        <v>1834</v>
      </c>
      <c r="H2243" s="1" t="s">
        <v>1812</v>
      </c>
      <c r="I2243" s="10">
        <f>IF(H2243="uint16",1,IF(H2243="int16",3,IF(H2243="uint32",6,IF(H2243="int32",10,IF(H2243="uint64",14,IF(H2243="int64",18,IF(H2243="float32",22,"")))))))</f>
        <v>22</v>
      </c>
      <c r="J2243" s="1" t="s">
        <v>1808</v>
      </c>
      <c r="K2243" s="10">
        <v>2</v>
      </c>
      <c r="L2243" s="10">
        <v>1</v>
      </c>
      <c r="O2243" s="6"/>
      <c r="P2243" s="42" t="s">
        <v>5560</v>
      </c>
      <c r="Q2243" s="42" t="s">
        <v>5682</v>
      </c>
      <c r="R2243" s="42"/>
      <c r="S2243" s="1"/>
    </row>
    <row r="2244" spans="1:19" ht="18.75" hidden="1" customHeight="1" x14ac:dyDescent="0.3">
      <c r="A2244" s="10">
        <v>2243</v>
      </c>
      <c r="B2244" s="10">
        <f>_xlfn.XLOOKUP(1,(VALUE(D2244)&gt;=VALUE(block!$C$3:$C$500))*(VALUE(D2244)&lt;VALUE(block!$C$3:$C$500)+VALUE(block!$D$3:$D$500)),block!$A$3:$A$500,"无匹配",0,1)</f>
        <v>64</v>
      </c>
      <c r="C2244" s="3" t="str">
        <f>B2244 &amp; "-" &amp; COUNTIF($B$2:B2244, B2244)</f>
        <v>64-11</v>
      </c>
      <c r="D2244" s="10">
        <f t="shared" si="4"/>
        <v>14577</v>
      </c>
      <c r="E2244" s="3" t="s">
        <v>6059</v>
      </c>
      <c r="F2244" s="1" t="s">
        <v>6060</v>
      </c>
      <c r="H2244" s="3" t="s">
        <v>1838</v>
      </c>
      <c r="I2244" s="10" t="str">
        <f>IF(H2244="T17",1,IF(H2244="T17",3,IF(H2244="T33",6,IF(H2244="T33",10,IF(H2244="T65",14,IF(H2244="T65",18,IF(H2244="T33",22,"")))))))</f>
        <v/>
      </c>
      <c r="J2244" s="1" t="s">
        <v>1808</v>
      </c>
      <c r="K2244" s="10">
        <v>2</v>
      </c>
      <c r="L2244" s="10">
        <v>1</v>
      </c>
      <c r="O2244" s="6"/>
      <c r="Q2244" s="42" t="s">
        <v>5682</v>
      </c>
      <c r="R2244" s="42"/>
      <c r="S2244" s="1"/>
    </row>
    <row r="2245" spans="1:19" ht="18.75" hidden="1" customHeight="1" x14ac:dyDescent="0.3">
      <c r="A2245" s="10">
        <v>2244</v>
      </c>
      <c r="B2245" s="10">
        <f>_xlfn.XLOOKUP(1,(VALUE(D2245)&gt;=VALUE(block!$C$3:$C$500))*(VALUE(D2245)&lt;VALUE(block!$C$3:$C$500)+VALUE(block!$D$3:$D$500)),block!$A$3:$A$500,"无匹配",0,1)</f>
        <v>64</v>
      </c>
      <c r="C2245" s="3" t="str">
        <f>B2245 &amp; "-" &amp; COUNTIF($B$2:B2245, B2245)</f>
        <v>64-12</v>
      </c>
      <c r="D2245" s="10">
        <f t="shared" si="4"/>
        <v>14579</v>
      </c>
      <c r="E2245" s="3" t="s">
        <v>6059</v>
      </c>
      <c r="F2245" s="1" t="s">
        <v>6061</v>
      </c>
      <c r="H2245" s="3" t="s">
        <v>5458</v>
      </c>
      <c r="I2245" s="10" t="str">
        <f>IF(H2245="T18",1,IF(H2245="T18",3,IF(H2245="T34",6,IF(H2245="T34",10,IF(H2245="T66",14,IF(H2245="T66",18,IF(H2245="T34",22,"")))))))</f>
        <v/>
      </c>
      <c r="J2245" s="1" t="s">
        <v>1808</v>
      </c>
      <c r="K2245" s="10">
        <v>1</v>
      </c>
      <c r="L2245" s="10">
        <v>1</v>
      </c>
      <c r="O2245" s="6"/>
      <c r="Q2245" s="42" t="s">
        <v>5682</v>
      </c>
      <c r="R2245" s="42"/>
      <c r="S2245" s="1"/>
    </row>
    <row r="2246" spans="1:19" ht="18.75" hidden="1" customHeight="1" x14ac:dyDescent="0.3">
      <c r="A2246" s="10">
        <v>2245</v>
      </c>
      <c r="B2246" s="10">
        <f>_xlfn.XLOOKUP(1,(VALUE(D2246)&gt;=VALUE(block!$C$3:$C$500))*(VALUE(D2246)&lt;VALUE(block!$C$3:$C$500)+VALUE(block!$D$3:$D$500)),block!$A$3:$A$500,"无匹配",0,1)</f>
        <v>64</v>
      </c>
      <c r="C2246" s="3" t="str">
        <f>B2246 &amp; "-" &amp; COUNTIF($B$2:B2246, B2246)</f>
        <v>64-13</v>
      </c>
      <c r="D2246" s="10">
        <f t="shared" si="4"/>
        <v>14580</v>
      </c>
      <c r="E2246" s="1" t="s">
        <v>6062</v>
      </c>
      <c r="F2246" s="1" t="s">
        <v>6063</v>
      </c>
      <c r="G2246" s="1" t="s">
        <v>1834</v>
      </c>
      <c r="H2246" s="1" t="s">
        <v>1812</v>
      </c>
      <c r="I2246" s="10" t="str">
        <f>IF(H2246="T19",1,IF(H2246="T19",3,IF(H2246="T35",6,IF(H2246="T35",10,IF(H2246="T67",14,IF(H2246="T67",18,IF(H2246="T35",22,"")))))))</f>
        <v/>
      </c>
      <c r="J2246" s="1" t="s">
        <v>1808</v>
      </c>
      <c r="K2246" s="10">
        <v>2</v>
      </c>
      <c r="L2246" s="10">
        <v>1</v>
      </c>
      <c r="O2246" s="6"/>
      <c r="P2246" s="42" t="s">
        <v>5560</v>
      </c>
      <c r="Q2246" s="42" t="s">
        <v>5682</v>
      </c>
      <c r="R2246" s="42"/>
      <c r="S2246" s="1"/>
    </row>
    <row r="2247" spans="1:19" ht="18.75" hidden="1" customHeight="1" x14ac:dyDescent="0.3">
      <c r="A2247" s="10">
        <v>2246</v>
      </c>
      <c r="B2247" s="10">
        <f>_xlfn.XLOOKUP(1,(VALUE(D2247)&gt;=VALUE(block!$C$3:$C$500))*(VALUE(D2247)&lt;VALUE(block!$C$3:$C$500)+VALUE(block!$D$3:$D$500)),block!$A$3:$A$500,"无匹配",0,1)</f>
        <v>64</v>
      </c>
      <c r="C2247" s="3" t="str">
        <f>B2247 &amp; "-" &amp; COUNTIF($B$2:B2247, B2247)</f>
        <v>64-14</v>
      </c>
      <c r="D2247" s="10">
        <f t="shared" si="4"/>
        <v>14582</v>
      </c>
      <c r="E2247" s="3" t="s">
        <v>6064</v>
      </c>
      <c r="F2247" s="1" t="s">
        <v>6065</v>
      </c>
      <c r="H2247" s="3" t="s">
        <v>1838</v>
      </c>
      <c r="I2247" s="10" t="str">
        <f>IF(H2247="T20",1,IF(H2247="T20",3,IF(H2247="T36",6,IF(H2247="T36",10,IF(H2247="T68",14,IF(H2247="T68",18,IF(H2247="T36",22,"")))))))</f>
        <v/>
      </c>
      <c r="J2247" s="1" t="s">
        <v>1808</v>
      </c>
      <c r="K2247" s="10">
        <v>2</v>
      </c>
      <c r="L2247" s="10">
        <v>1</v>
      </c>
      <c r="O2247" s="6"/>
      <c r="Q2247" s="42" t="s">
        <v>5682</v>
      </c>
      <c r="R2247" s="42"/>
      <c r="S2247" s="1"/>
    </row>
    <row r="2248" spans="1:19" ht="18.75" hidden="1" customHeight="1" x14ac:dyDescent="0.3">
      <c r="A2248" s="10">
        <v>2247</v>
      </c>
      <c r="B2248" s="10">
        <f>_xlfn.XLOOKUP(1,(VALUE(D2248)&gt;=VALUE(block!$C$3:$C$500))*(VALUE(D2248)&lt;VALUE(block!$C$3:$C$500)+VALUE(block!$D$3:$D$500)),block!$A$3:$A$500,"无匹配",0,1)</f>
        <v>64</v>
      </c>
      <c r="C2248" s="3" t="str">
        <f>B2248 &amp; "-" &amp; COUNTIF($B$2:B2248, B2248)</f>
        <v>64-15</v>
      </c>
      <c r="D2248" s="10">
        <f t="shared" si="4"/>
        <v>14584</v>
      </c>
      <c r="E2248" s="3" t="s">
        <v>6064</v>
      </c>
      <c r="F2248" s="1" t="s">
        <v>6066</v>
      </c>
      <c r="H2248" s="3" t="s">
        <v>5458</v>
      </c>
      <c r="I2248" s="10" t="str">
        <f>IF(H2248="T21",1,IF(H2248="T21",3,IF(H2248="T37",6,IF(H2248="T37",10,IF(H2248="T69",14,IF(H2248="T69",18,IF(H2248="T37",22,"")))))))</f>
        <v/>
      </c>
      <c r="J2248" s="1" t="s">
        <v>1808</v>
      </c>
      <c r="K2248" s="10">
        <v>1</v>
      </c>
      <c r="L2248" s="10">
        <v>1</v>
      </c>
      <c r="O2248" s="6"/>
      <c r="Q2248" s="42" t="s">
        <v>5682</v>
      </c>
      <c r="R2248" s="42"/>
      <c r="S2248" s="1"/>
    </row>
    <row r="2249" spans="1:19" ht="18.75" hidden="1" customHeight="1" x14ac:dyDescent="0.3">
      <c r="A2249" s="10">
        <v>2248</v>
      </c>
      <c r="B2249" s="10">
        <f>_xlfn.XLOOKUP(1,(VALUE(D2249)&gt;=VALUE(block!$C$3:$C$500))*(VALUE(D2249)&lt;VALUE(block!$C$3:$C$500)+VALUE(block!$D$3:$D$500)),block!$A$3:$A$500,"无匹配",0,1)</f>
        <v>64</v>
      </c>
      <c r="C2249" s="3" t="str">
        <f>B2249 &amp; "-" &amp; COUNTIF($B$2:B2249, B2249)</f>
        <v>64-16</v>
      </c>
      <c r="D2249" s="10">
        <f t="shared" si="4"/>
        <v>14585</v>
      </c>
      <c r="E2249" s="1" t="s">
        <v>6067</v>
      </c>
      <c r="F2249" s="1" t="s">
        <v>6068</v>
      </c>
      <c r="G2249" s="1" t="s">
        <v>1836</v>
      </c>
      <c r="H2249" s="1" t="s">
        <v>1812</v>
      </c>
      <c r="I2249" s="10" t="str">
        <f>IF(H2249="T22",1,IF(H2249="T22",3,IF(H2249="T38",6,IF(H2249="T38",10,IF(H2249="T70",14,IF(H2249="T70",18,IF(H2249="T38",22,"")))))))</f>
        <v/>
      </c>
      <c r="J2249" s="1" t="s">
        <v>1808</v>
      </c>
      <c r="K2249" s="10">
        <v>2</v>
      </c>
      <c r="L2249" s="10">
        <v>1</v>
      </c>
      <c r="O2249" s="6"/>
      <c r="P2249" s="42" t="s">
        <v>5560</v>
      </c>
      <c r="Q2249" s="42" t="s">
        <v>5682</v>
      </c>
      <c r="R2249" s="42"/>
      <c r="S2249" s="1"/>
    </row>
    <row r="2250" spans="1:19" ht="18.75" hidden="1" customHeight="1" x14ac:dyDescent="0.3">
      <c r="A2250" s="10">
        <v>2249</v>
      </c>
      <c r="B2250" s="10">
        <f>_xlfn.XLOOKUP(1,(VALUE(D2250)&gt;=VALUE(block!$C$3:$C$500))*(VALUE(D2250)&lt;VALUE(block!$C$3:$C$500)+VALUE(block!$D$3:$D$500)),block!$A$3:$A$500,"无匹配",0,1)</f>
        <v>64</v>
      </c>
      <c r="C2250" s="3" t="str">
        <f>B2250 &amp; "-" &amp; COUNTIF($B$2:B2250, B2250)</f>
        <v>64-17</v>
      </c>
      <c r="D2250" s="10">
        <f t="shared" si="4"/>
        <v>14587</v>
      </c>
      <c r="E2250" s="3" t="s">
        <v>6069</v>
      </c>
      <c r="F2250" s="1" t="s">
        <v>6070</v>
      </c>
      <c r="H2250" s="3" t="s">
        <v>1838</v>
      </c>
      <c r="I2250" s="10" t="str">
        <f>IF(H2250="T23",1,IF(H2250="T23",3,IF(H2250="T39",6,IF(H2250="T39",10,IF(H2250="T71",14,IF(H2250="T71",18,IF(H2250="T39",22,"")))))))</f>
        <v/>
      </c>
      <c r="J2250" s="1" t="s">
        <v>1808</v>
      </c>
      <c r="K2250" s="10">
        <v>2</v>
      </c>
      <c r="L2250" s="10">
        <v>1</v>
      </c>
      <c r="O2250" s="6"/>
      <c r="Q2250" s="42" t="s">
        <v>5682</v>
      </c>
      <c r="R2250" s="42"/>
      <c r="S2250" s="1"/>
    </row>
    <row r="2251" spans="1:19" ht="18.75" hidden="1" customHeight="1" x14ac:dyDescent="0.3">
      <c r="A2251" s="10">
        <v>2250</v>
      </c>
      <c r="B2251" s="10">
        <f>_xlfn.XLOOKUP(1,(VALUE(D2251)&gt;=VALUE(block!$C$3:$C$500))*(VALUE(D2251)&lt;VALUE(block!$C$3:$C$500)+VALUE(block!$D$3:$D$500)),block!$A$3:$A$500,"无匹配",0,1)</f>
        <v>64</v>
      </c>
      <c r="C2251" s="3" t="str">
        <f>B2251 &amp; "-" &amp; COUNTIF($B$2:B2251, B2251)</f>
        <v>64-18</v>
      </c>
      <c r="D2251" s="10">
        <f t="shared" si="4"/>
        <v>14589</v>
      </c>
      <c r="E2251" s="3" t="s">
        <v>6069</v>
      </c>
      <c r="F2251" s="1" t="s">
        <v>6071</v>
      </c>
      <c r="H2251" s="3" t="s">
        <v>5458</v>
      </c>
      <c r="I2251" s="10" t="str">
        <f>IF(H2251="T24",1,IF(H2251="T24",3,IF(H2251="T40",6,IF(H2251="T40",10,IF(H2251="T72",14,IF(H2251="T72",18,IF(H2251="T40",22,"")))))))</f>
        <v/>
      </c>
      <c r="J2251" s="1" t="s">
        <v>1808</v>
      </c>
      <c r="K2251" s="10">
        <v>1</v>
      </c>
      <c r="L2251" s="10">
        <v>1</v>
      </c>
      <c r="O2251" s="6"/>
      <c r="Q2251" s="42" t="s">
        <v>5682</v>
      </c>
      <c r="R2251" s="42"/>
      <c r="S2251" s="1"/>
    </row>
    <row r="2252" spans="1:19" ht="18.75" hidden="1" customHeight="1" x14ac:dyDescent="0.3">
      <c r="A2252" s="10">
        <v>2251</v>
      </c>
      <c r="B2252" s="10">
        <f>_xlfn.XLOOKUP(1,(VALUE(D2252)&gt;=VALUE(block!$C$3:$C$500))*(VALUE(D2252)&lt;VALUE(block!$C$3:$C$500)+VALUE(block!$D$3:$D$500)),block!$A$3:$A$500,"无匹配",0,1)</f>
        <v>64</v>
      </c>
      <c r="C2252" s="3" t="str">
        <f>B2252 &amp; "-" &amp; COUNTIF($B$2:B2252, B2252)</f>
        <v>64-19</v>
      </c>
      <c r="D2252" s="10">
        <f t="shared" si="4"/>
        <v>14590</v>
      </c>
      <c r="E2252" s="1" t="s">
        <v>6072</v>
      </c>
      <c r="F2252" s="1" t="s">
        <v>6073</v>
      </c>
      <c r="G2252" s="1" t="s">
        <v>1830</v>
      </c>
      <c r="H2252" s="1" t="s">
        <v>1812</v>
      </c>
      <c r="I2252" s="10" t="str">
        <f>IF(H2252="T25",1,IF(H2252="T25",3,IF(H2252="T41",6,IF(H2252="T41",10,IF(H2252="T73",14,IF(H2252="T73",18,IF(H2252="T41",22,"")))))))</f>
        <v/>
      </c>
      <c r="J2252" s="1" t="s">
        <v>1808</v>
      </c>
      <c r="K2252" s="10">
        <v>2</v>
      </c>
      <c r="L2252" s="10">
        <v>1</v>
      </c>
      <c r="O2252" s="6"/>
      <c r="P2252" s="42" t="s">
        <v>5560</v>
      </c>
      <c r="Q2252" s="42" t="s">
        <v>5682</v>
      </c>
      <c r="R2252" s="42"/>
      <c r="S2252" s="1"/>
    </row>
    <row r="2253" spans="1:19" ht="18.75" hidden="1" customHeight="1" x14ac:dyDescent="0.3">
      <c r="A2253" s="10">
        <v>2252</v>
      </c>
      <c r="B2253" s="10">
        <f>_xlfn.XLOOKUP(1,(VALUE(D2253)&gt;=VALUE(block!$C$3:$C$500))*(VALUE(D2253)&lt;VALUE(block!$C$3:$C$500)+VALUE(block!$D$3:$D$500)),block!$A$3:$A$500,"无匹配",0,1)</f>
        <v>64</v>
      </c>
      <c r="C2253" s="3" t="str">
        <f>B2253 &amp; "-" &amp; COUNTIF($B$2:B2253, B2253)</f>
        <v>64-20</v>
      </c>
      <c r="D2253" s="10">
        <f t="shared" si="4"/>
        <v>14592</v>
      </c>
      <c r="E2253" s="3" t="s">
        <v>6074</v>
      </c>
      <c r="F2253" s="1" t="s">
        <v>6075</v>
      </c>
      <c r="H2253" s="3" t="s">
        <v>1838</v>
      </c>
      <c r="I2253" s="10" t="str">
        <f>IF(H2253="T26",1,IF(H2253="T26",3,IF(H2253="T42",6,IF(H2253="T42",10,IF(H2253="T74",14,IF(H2253="T74",18,IF(H2253="T42",22,"")))))))</f>
        <v/>
      </c>
      <c r="J2253" s="1" t="s">
        <v>1808</v>
      </c>
      <c r="K2253" s="10">
        <v>2</v>
      </c>
      <c r="L2253" s="10">
        <v>1</v>
      </c>
      <c r="O2253" s="6"/>
      <c r="Q2253" s="42" t="s">
        <v>5682</v>
      </c>
      <c r="R2253" s="42"/>
      <c r="S2253" s="1"/>
    </row>
    <row r="2254" spans="1:19" ht="18.75" hidden="1" customHeight="1" x14ac:dyDescent="0.3">
      <c r="A2254" s="10">
        <v>2253</v>
      </c>
      <c r="B2254" s="10">
        <f>_xlfn.XLOOKUP(1,(VALUE(D2254)&gt;=VALUE(block!$C$3:$C$500))*(VALUE(D2254)&lt;VALUE(block!$C$3:$C$500)+VALUE(block!$D$3:$D$500)),block!$A$3:$A$500,"无匹配",0,1)</f>
        <v>64</v>
      </c>
      <c r="C2254" s="3" t="str">
        <f>B2254 &amp; "-" &amp; COUNTIF($B$2:B2254, B2254)</f>
        <v>64-21</v>
      </c>
      <c r="D2254" s="10">
        <f t="shared" si="4"/>
        <v>14594</v>
      </c>
      <c r="E2254" s="3" t="s">
        <v>6074</v>
      </c>
      <c r="F2254" s="1" t="s">
        <v>6076</v>
      </c>
      <c r="H2254" s="3" t="s">
        <v>5458</v>
      </c>
      <c r="I2254" s="10" t="str">
        <f>IF(H2254="T27",1,IF(H2254="T27",3,IF(H2254="T43",6,IF(H2254="T43",10,IF(H2254="T75",14,IF(H2254="T75",18,IF(H2254="T43",22,"")))))))</f>
        <v/>
      </c>
      <c r="J2254" s="1" t="s">
        <v>1808</v>
      </c>
      <c r="K2254" s="10">
        <v>1</v>
      </c>
      <c r="L2254" s="10">
        <v>1</v>
      </c>
      <c r="O2254" s="6"/>
      <c r="Q2254" s="42" t="s">
        <v>5682</v>
      </c>
      <c r="R2254" s="42"/>
      <c r="S2254" s="1"/>
    </row>
    <row r="2255" spans="1:19" ht="18.75" hidden="1" customHeight="1" x14ac:dyDescent="0.3">
      <c r="A2255" s="10">
        <v>2254</v>
      </c>
      <c r="B2255" s="10">
        <f>_xlfn.XLOOKUP(1,(VALUE(D2255)&gt;=VALUE(block!$C$3:$C$500))*(VALUE(D2255)&lt;VALUE(block!$C$3:$C$500)+VALUE(block!$D$3:$D$500)),block!$A$3:$A$500,"无匹配",0,1)</f>
        <v>64</v>
      </c>
      <c r="C2255" s="3" t="str">
        <f>B2255 &amp; "-" &amp; COUNTIF($B$2:B2255, B2255)</f>
        <v>64-22</v>
      </c>
      <c r="D2255" s="10">
        <f t="shared" si="4"/>
        <v>14595</v>
      </c>
      <c r="E2255" s="1" t="s">
        <v>6077</v>
      </c>
      <c r="F2255" s="1" t="s">
        <v>6078</v>
      </c>
      <c r="G2255" s="1" t="s">
        <v>1832</v>
      </c>
      <c r="H2255" s="1" t="s">
        <v>1812</v>
      </c>
      <c r="I2255" s="10" t="str">
        <f>IF(H2255="T28",1,IF(H2255="T28",3,IF(H2255="T44",6,IF(H2255="T44",10,IF(H2255="T76",14,IF(H2255="T76",18,IF(H2255="T44",22,"")))))))</f>
        <v/>
      </c>
      <c r="J2255" s="1" t="s">
        <v>1808</v>
      </c>
      <c r="K2255" s="10">
        <v>2</v>
      </c>
      <c r="L2255" s="10">
        <v>1</v>
      </c>
      <c r="O2255" s="6"/>
      <c r="P2255" s="42" t="s">
        <v>5560</v>
      </c>
      <c r="Q2255" s="42" t="s">
        <v>5682</v>
      </c>
      <c r="R2255" s="42"/>
      <c r="S2255" s="1"/>
    </row>
    <row r="2256" spans="1:19" ht="18.75" hidden="1" customHeight="1" x14ac:dyDescent="0.3">
      <c r="A2256" s="10">
        <v>2255</v>
      </c>
      <c r="B2256" s="10">
        <f>_xlfn.XLOOKUP(1,(VALUE(D2256)&gt;=VALUE(block!$C$3:$C$500))*(VALUE(D2256)&lt;VALUE(block!$C$3:$C$500)+VALUE(block!$D$3:$D$500)),block!$A$3:$A$500,"无匹配",0,1)</f>
        <v>64</v>
      </c>
      <c r="C2256" s="3" t="str">
        <f>B2256 &amp; "-" &amp; COUNTIF($B$2:B2256, B2256)</f>
        <v>64-23</v>
      </c>
      <c r="D2256" s="10">
        <f t="shared" si="4"/>
        <v>14597</v>
      </c>
      <c r="E2256" s="3" t="s">
        <v>6079</v>
      </c>
      <c r="F2256" s="1" t="s">
        <v>6080</v>
      </c>
      <c r="H2256" s="3" t="s">
        <v>1838</v>
      </c>
      <c r="I2256" s="10" t="str">
        <f>IF(H2256="T29",1,IF(H2256="T29",3,IF(H2256="T45",6,IF(H2256="T45",10,IF(H2256="T77",14,IF(H2256="T77",18,IF(H2256="T45",22,"")))))))</f>
        <v/>
      </c>
      <c r="J2256" s="1" t="s">
        <v>1808</v>
      </c>
      <c r="K2256" s="10">
        <v>2</v>
      </c>
      <c r="L2256" s="10">
        <v>1</v>
      </c>
      <c r="O2256" s="6"/>
      <c r="Q2256" s="42" t="s">
        <v>5682</v>
      </c>
      <c r="R2256" s="42"/>
      <c r="S2256" s="1"/>
    </row>
    <row r="2257" spans="1:19" ht="18.75" hidden="1" customHeight="1" x14ac:dyDescent="0.3">
      <c r="A2257" s="10">
        <v>2256</v>
      </c>
      <c r="B2257" s="10">
        <f>_xlfn.XLOOKUP(1,(VALUE(D2257)&gt;=VALUE(block!$C$3:$C$500))*(VALUE(D2257)&lt;VALUE(block!$C$3:$C$500)+VALUE(block!$D$3:$D$500)),block!$A$3:$A$500,"无匹配",0,1)</f>
        <v>64</v>
      </c>
      <c r="C2257" s="3" t="str">
        <f>B2257 &amp; "-" &amp; COUNTIF($B$2:B2257, B2257)</f>
        <v>64-24</v>
      </c>
      <c r="D2257" s="10">
        <f t="shared" si="4"/>
        <v>14599</v>
      </c>
      <c r="E2257" s="3" t="s">
        <v>6079</v>
      </c>
      <c r="F2257" s="1" t="s">
        <v>6081</v>
      </c>
      <c r="H2257" s="3" t="s">
        <v>5458</v>
      </c>
      <c r="I2257" s="10" t="str">
        <f>IF(H2257="T30",1,IF(H2257="T30",3,IF(H2257="T46",6,IF(H2257="T46",10,IF(H2257="T78",14,IF(H2257="T78",18,IF(H2257="T46",22,"")))))))</f>
        <v/>
      </c>
      <c r="J2257" s="1" t="s">
        <v>1808</v>
      </c>
      <c r="K2257" s="10">
        <v>1</v>
      </c>
      <c r="L2257" s="10">
        <v>1</v>
      </c>
      <c r="O2257" s="6"/>
      <c r="Q2257" s="42" t="s">
        <v>5682</v>
      </c>
      <c r="R2257" s="42"/>
      <c r="S2257" s="1"/>
    </row>
    <row r="2258" spans="1:19" ht="18.75" hidden="1" customHeight="1" x14ac:dyDescent="0.3">
      <c r="A2258" s="10">
        <v>2257</v>
      </c>
      <c r="B2258" s="10">
        <f>_xlfn.XLOOKUP(1,(VALUE(D2258)&gt;=VALUE(block!$C$3:$C$500))*(VALUE(D2258)&lt;VALUE(block!$C$3:$C$500)+VALUE(block!$D$3:$D$500)),block!$A$3:$A$500,"无匹配",0,1)</f>
        <v>64</v>
      </c>
      <c r="C2258" s="3" t="str">
        <f>B2258 &amp; "-" &amp; COUNTIF($B$2:B2258, B2258)</f>
        <v>64-25</v>
      </c>
      <c r="D2258" s="10">
        <f t="shared" si="4"/>
        <v>14600</v>
      </c>
      <c r="E2258" s="1" t="s">
        <v>6082</v>
      </c>
      <c r="F2258" s="1" t="s">
        <v>6083</v>
      </c>
      <c r="G2258" s="1" t="s">
        <v>1832</v>
      </c>
      <c r="H2258" s="1" t="s">
        <v>1812</v>
      </c>
      <c r="I2258" s="10" t="str">
        <f>IF(H2258="T31",1,IF(H2258="T31",3,IF(H2258="T47",6,IF(H2258="T47",10,IF(H2258="T79",14,IF(H2258="T79",18,IF(H2258="T47",22,"")))))))</f>
        <v/>
      </c>
      <c r="J2258" s="1" t="s">
        <v>1808</v>
      </c>
      <c r="K2258" s="10">
        <v>2</v>
      </c>
      <c r="L2258" s="10">
        <v>1</v>
      </c>
      <c r="O2258" s="6"/>
      <c r="P2258" s="42" t="s">
        <v>5560</v>
      </c>
      <c r="Q2258" s="42" t="s">
        <v>5682</v>
      </c>
      <c r="R2258" s="42"/>
      <c r="S2258" s="1"/>
    </row>
    <row r="2259" spans="1:19" ht="18.75" hidden="1" customHeight="1" x14ac:dyDescent="0.3">
      <c r="A2259" s="10">
        <v>2258</v>
      </c>
      <c r="B2259" s="10">
        <f>_xlfn.XLOOKUP(1,(VALUE(D2259)&gt;=VALUE(block!$C$3:$C$500))*(VALUE(D2259)&lt;VALUE(block!$C$3:$C$500)+VALUE(block!$D$3:$D$500)),block!$A$3:$A$500,"无匹配",0,1)</f>
        <v>64</v>
      </c>
      <c r="C2259" s="3" t="str">
        <f>B2259 &amp; "-" &amp; COUNTIF($B$2:B2259, B2259)</f>
        <v>64-26</v>
      </c>
      <c r="D2259" s="10">
        <f t="shared" si="4"/>
        <v>14602</v>
      </c>
      <c r="E2259" s="3" t="s">
        <v>6084</v>
      </c>
      <c r="F2259" s="1" t="s">
        <v>6085</v>
      </c>
      <c r="H2259" s="3" t="s">
        <v>1838</v>
      </c>
      <c r="I2259" s="10" t="str">
        <f>IF(H2259="T32",1,IF(H2259="T32",3,IF(H2259="T48",6,IF(H2259="T48",10,IF(H2259="T80",14,IF(H2259="T80",18,IF(H2259="T48",22,"")))))))</f>
        <v/>
      </c>
      <c r="J2259" s="1" t="s">
        <v>1808</v>
      </c>
      <c r="K2259" s="10">
        <v>2</v>
      </c>
      <c r="L2259" s="10">
        <v>1</v>
      </c>
      <c r="O2259" s="6"/>
      <c r="Q2259" s="42" t="s">
        <v>5682</v>
      </c>
      <c r="R2259" s="42"/>
      <c r="S2259" s="1"/>
    </row>
    <row r="2260" spans="1:19" ht="18.75" hidden="1" customHeight="1" x14ac:dyDescent="0.3">
      <c r="A2260" s="10">
        <v>2259</v>
      </c>
      <c r="B2260" s="10">
        <f>_xlfn.XLOOKUP(1,(VALUE(D2260)&gt;=VALUE(block!$C$3:$C$500))*(VALUE(D2260)&lt;VALUE(block!$C$3:$C$500)+VALUE(block!$D$3:$D$500)),block!$A$3:$A$500,"无匹配",0,1)</f>
        <v>64</v>
      </c>
      <c r="C2260" s="3" t="str">
        <f>B2260 &amp; "-" &amp; COUNTIF($B$2:B2260, B2260)</f>
        <v>64-27</v>
      </c>
      <c r="D2260" s="10">
        <f t="shared" si="4"/>
        <v>14604</v>
      </c>
      <c r="E2260" s="3" t="s">
        <v>6084</v>
      </c>
      <c r="F2260" s="1" t="s">
        <v>6086</v>
      </c>
      <c r="H2260" s="3" t="s">
        <v>5458</v>
      </c>
      <c r="I2260" s="10" t="str">
        <f>IF(H2260="T33",1,IF(H2260="T33",3,IF(H2260="T49",6,IF(H2260="T49",10,IF(H2260="T81",14,IF(H2260="T81",18,IF(H2260="T49",22,"")))))))</f>
        <v/>
      </c>
      <c r="J2260" s="1" t="s">
        <v>1808</v>
      </c>
      <c r="K2260" s="10">
        <v>1</v>
      </c>
      <c r="L2260" s="10">
        <v>1</v>
      </c>
      <c r="O2260" s="6"/>
      <c r="Q2260" s="42" t="s">
        <v>5682</v>
      </c>
      <c r="R2260" s="42"/>
      <c r="S2260" s="1"/>
    </row>
    <row r="2261" spans="1:19" ht="18.75" hidden="1" customHeight="1" x14ac:dyDescent="0.3">
      <c r="A2261" s="10">
        <v>2260</v>
      </c>
      <c r="B2261" s="10">
        <f>_xlfn.XLOOKUP(1,(VALUE(D2261)&gt;=VALUE(block!$C$3:$C$500))*(VALUE(D2261)&lt;VALUE(block!$C$3:$C$500)+VALUE(block!$D$3:$D$500)),block!$A$3:$A$500,"无匹配",0,1)</f>
        <v>64</v>
      </c>
      <c r="C2261" s="3" t="str">
        <f>B2261 &amp; "-" &amp; COUNTIF($B$2:B2261, B2261)</f>
        <v>64-28</v>
      </c>
      <c r="D2261" s="10">
        <f t="shared" si="4"/>
        <v>14605</v>
      </c>
      <c r="E2261" s="1" t="s">
        <v>6087</v>
      </c>
      <c r="F2261" s="1" t="s">
        <v>6088</v>
      </c>
      <c r="G2261" s="1" t="s">
        <v>1834</v>
      </c>
      <c r="H2261" s="1" t="s">
        <v>1812</v>
      </c>
      <c r="I2261" s="10" t="str">
        <f>IF(H2261="T34",1,IF(H2261="T34",3,IF(H2261="T50",6,IF(H2261="T50",10,IF(H2261="T82",14,IF(H2261="T82",18,IF(H2261="T50",22,"")))))))</f>
        <v/>
      </c>
      <c r="J2261" s="1" t="s">
        <v>1808</v>
      </c>
      <c r="K2261" s="10">
        <v>2</v>
      </c>
      <c r="L2261" s="10">
        <v>1</v>
      </c>
      <c r="O2261" s="6"/>
      <c r="P2261" s="42" t="s">
        <v>5560</v>
      </c>
      <c r="Q2261" s="42" t="s">
        <v>5682</v>
      </c>
      <c r="R2261" s="42"/>
      <c r="S2261" s="1"/>
    </row>
    <row r="2262" spans="1:19" ht="18.75" hidden="1" customHeight="1" x14ac:dyDescent="0.3">
      <c r="A2262" s="10">
        <v>2261</v>
      </c>
      <c r="B2262" s="10">
        <f>_xlfn.XLOOKUP(1,(VALUE(D2262)&gt;=VALUE(block!$C$3:$C$500))*(VALUE(D2262)&lt;VALUE(block!$C$3:$C$500)+VALUE(block!$D$3:$D$500)),block!$A$3:$A$500,"无匹配",0,1)</f>
        <v>64</v>
      </c>
      <c r="C2262" s="3" t="str">
        <f>B2262 &amp; "-" &amp; COUNTIF($B$2:B2262, B2262)</f>
        <v>64-29</v>
      </c>
      <c r="D2262" s="10">
        <f t="shared" si="4"/>
        <v>14607</v>
      </c>
      <c r="E2262" s="3" t="s">
        <v>6089</v>
      </c>
      <c r="F2262" s="1" t="s">
        <v>6090</v>
      </c>
      <c r="H2262" s="3" t="s">
        <v>1838</v>
      </c>
      <c r="I2262" s="10" t="str">
        <f>IF(H2262="T35",1,IF(H2262="T35",3,IF(H2262="T51",6,IF(H2262="T51",10,IF(H2262="T83",14,IF(H2262="T83",18,IF(H2262="T51",22,"")))))))</f>
        <v/>
      </c>
      <c r="J2262" s="1" t="s">
        <v>1808</v>
      </c>
      <c r="K2262" s="10">
        <v>2</v>
      </c>
      <c r="L2262" s="10">
        <v>1</v>
      </c>
      <c r="O2262" s="6"/>
      <c r="Q2262" s="42" t="s">
        <v>5682</v>
      </c>
      <c r="R2262" s="42"/>
      <c r="S2262" s="1"/>
    </row>
    <row r="2263" spans="1:19" ht="18.75" hidden="1" customHeight="1" x14ac:dyDescent="0.3">
      <c r="A2263" s="10">
        <v>2262</v>
      </c>
      <c r="B2263" s="10">
        <f>_xlfn.XLOOKUP(1,(VALUE(D2263)&gt;=VALUE(block!$C$3:$C$500))*(VALUE(D2263)&lt;VALUE(block!$C$3:$C$500)+VALUE(block!$D$3:$D$500)),block!$A$3:$A$500,"无匹配",0,1)</f>
        <v>64</v>
      </c>
      <c r="C2263" s="3" t="str">
        <f>B2263 &amp; "-" &amp; COUNTIF($B$2:B2263, B2263)</f>
        <v>64-30</v>
      </c>
      <c r="D2263" s="10">
        <f t="shared" si="4"/>
        <v>14609</v>
      </c>
      <c r="E2263" s="3" t="s">
        <v>6089</v>
      </c>
      <c r="F2263" s="1" t="s">
        <v>6091</v>
      </c>
      <c r="H2263" s="3" t="s">
        <v>5458</v>
      </c>
      <c r="I2263" s="10" t="str">
        <f>IF(H2263="T36",1,IF(H2263="T36",3,IF(H2263="T52",6,IF(H2263="T52",10,IF(H2263="T84",14,IF(H2263="T84",18,IF(H2263="T52",22,"")))))))</f>
        <v/>
      </c>
      <c r="J2263" s="1" t="s">
        <v>1808</v>
      </c>
      <c r="K2263" s="10">
        <v>1</v>
      </c>
      <c r="L2263" s="10">
        <v>1</v>
      </c>
      <c r="O2263" s="6"/>
      <c r="Q2263" s="42" t="s">
        <v>5682</v>
      </c>
      <c r="R2263" s="42"/>
      <c r="S2263" s="1"/>
    </row>
    <row r="2264" spans="1:19" ht="18.75" hidden="1" customHeight="1" x14ac:dyDescent="0.3">
      <c r="A2264" s="10">
        <v>2263</v>
      </c>
      <c r="B2264" s="10">
        <f>_xlfn.XLOOKUP(1,(VALUE(D2264)&gt;=VALUE(block!$C$3:$C$500))*(VALUE(D2264)&lt;VALUE(block!$C$3:$C$500)+VALUE(block!$D$3:$D$500)),block!$A$3:$A$500,"无匹配",0,1)</f>
        <v>64</v>
      </c>
      <c r="C2264" s="3" t="str">
        <f>B2264 &amp; "-" &amp; COUNTIF($B$2:B2264, B2264)</f>
        <v>64-31</v>
      </c>
      <c r="D2264" s="10">
        <f t="shared" si="4"/>
        <v>14610</v>
      </c>
      <c r="E2264" s="1" t="s">
        <v>6092</v>
      </c>
      <c r="F2264" s="1" t="s">
        <v>6093</v>
      </c>
      <c r="G2264" s="1" t="s">
        <v>1834</v>
      </c>
      <c r="H2264" s="1" t="s">
        <v>1812</v>
      </c>
      <c r="I2264" s="10" t="str">
        <f>IF(H2264="T37",1,IF(H2264="T37",3,IF(H2264="T53",6,IF(H2264="T53",10,IF(H2264="T85",14,IF(H2264="T85",18,IF(H2264="T53",22,"")))))))</f>
        <v/>
      </c>
      <c r="J2264" s="1" t="s">
        <v>1808</v>
      </c>
      <c r="K2264" s="10">
        <v>2</v>
      </c>
      <c r="L2264" s="10">
        <v>1</v>
      </c>
      <c r="O2264" s="6"/>
      <c r="P2264" s="42" t="s">
        <v>5560</v>
      </c>
      <c r="Q2264" s="42" t="s">
        <v>5682</v>
      </c>
      <c r="R2264" s="42"/>
      <c r="S2264" s="1"/>
    </row>
    <row r="2265" spans="1:19" ht="18.75" hidden="1" customHeight="1" x14ac:dyDescent="0.3">
      <c r="A2265" s="10">
        <v>2264</v>
      </c>
      <c r="B2265" s="10">
        <f>_xlfn.XLOOKUP(1,(VALUE(D2265)&gt;=VALUE(block!$C$3:$C$500))*(VALUE(D2265)&lt;VALUE(block!$C$3:$C$500)+VALUE(block!$D$3:$D$500)),block!$A$3:$A$500,"无匹配",0,1)</f>
        <v>64</v>
      </c>
      <c r="C2265" s="3" t="str">
        <f>B2265 &amp; "-" &amp; COUNTIF($B$2:B2265, B2265)</f>
        <v>64-32</v>
      </c>
      <c r="D2265" s="10">
        <f t="shared" si="4"/>
        <v>14612</v>
      </c>
      <c r="E2265" s="3" t="s">
        <v>6094</v>
      </c>
      <c r="F2265" s="1" t="s">
        <v>6095</v>
      </c>
      <c r="H2265" s="3" t="s">
        <v>1838</v>
      </c>
      <c r="I2265" s="10" t="str">
        <f>IF(H2265="T38",1,IF(H2265="T38",3,IF(H2265="T54",6,IF(H2265="T54",10,IF(H2265="T86",14,IF(H2265="T86",18,IF(H2265="T54",22,"")))))))</f>
        <v/>
      </c>
      <c r="J2265" s="1" t="s">
        <v>1808</v>
      </c>
      <c r="K2265" s="10">
        <v>2</v>
      </c>
      <c r="L2265" s="10">
        <v>1</v>
      </c>
      <c r="O2265" s="6"/>
      <c r="Q2265" s="42" t="s">
        <v>5682</v>
      </c>
      <c r="R2265" s="42"/>
      <c r="S2265" s="1"/>
    </row>
    <row r="2266" spans="1:19" ht="18.75" hidden="1" customHeight="1" x14ac:dyDescent="0.3">
      <c r="A2266" s="10">
        <v>2265</v>
      </c>
      <c r="B2266" s="10">
        <f>_xlfn.XLOOKUP(1,(VALUE(D2266)&gt;=VALUE(block!$C$3:$C$500))*(VALUE(D2266)&lt;VALUE(block!$C$3:$C$500)+VALUE(block!$D$3:$D$500)),block!$A$3:$A$500,"无匹配",0,1)</f>
        <v>64</v>
      </c>
      <c r="C2266" s="3" t="str">
        <f>B2266 &amp; "-" &amp; COUNTIF($B$2:B2266, B2266)</f>
        <v>64-33</v>
      </c>
      <c r="D2266" s="10">
        <f t="shared" si="4"/>
        <v>14614</v>
      </c>
      <c r="E2266" s="3" t="s">
        <v>6094</v>
      </c>
      <c r="F2266" s="1" t="s">
        <v>6096</v>
      </c>
      <c r="H2266" s="3" t="s">
        <v>5458</v>
      </c>
      <c r="I2266" s="10" t="str">
        <f>IF(H2266="T39",1,IF(H2266="T39",3,IF(H2266="T55",6,IF(H2266="T55",10,IF(H2266="T87",14,IF(H2266="T87",18,IF(H2266="T55",22,"")))))))</f>
        <v/>
      </c>
      <c r="J2266" s="1" t="s">
        <v>1808</v>
      </c>
      <c r="K2266" s="10">
        <v>1</v>
      </c>
      <c r="L2266" s="10">
        <v>1</v>
      </c>
      <c r="O2266" s="6"/>
      <c r="Q2266" s="42" t="s">
        <v>5682</v>
      </c>
      <c r="R2266" s="42"/>
      <c r="S2266" s="1"/>
    </row>
    <row r="2267" spans="1:19" ht="18.75" hidden="1" customHeight="1" x14ac:dyDescent="0.3">
      <c r="A2267" s="10">
        <v>2266</v>
      </c>
      <c r="B2267" s="10">
        <f>_xlfn.XLOOKUP(1,(VALUE(D2267)&gt;=VALUE(block!$C$3:$C$500))*(VALUE(D2267)&lt;VALUE(block!$C$3:$C$500)+VALUE(block!$D$3:$D$500)),block!$A$3:$A$500,"无匹配",0,1)</f>
        <v>64</v>
      </c>
      <c r="C2267" s="3" t="str">
        <f>B2267 &amp; "-" &amp; COUNTIF($B$2:B2267, B2267)</f>
        <v>64-34</v>
      </c>
      <c r="D2267" s="10">
        <f t="shared" ref="D2267:D2330" si="5">D2266+K2266</f>
        <v>14615</v>
      </c>
      <c r="E2267" s="1" t="s">
        <v>6097</v>
      </c>
      <c r="F2267" s="1" t="s">
        <v>6098</v>
      </c>
      <c r="G2267" s="1" t="s">
        <v>1836</v>
      </c>
      <c r="H2267" s="1" t="s">
        <v>1812</v>
      </c>
      <c r="I2267" s="10" t="str">
        <f>IF(H2267="T40",1,IF(H2267="T40",3,IF(H2267="T56",6,IF(H2267="T56",10,IF(H2267="T88",14,IF(H2267="T88",18,IF(H2267="T56",22,"")))))))</f>
        <v/>
      </c>
      <c r="J2267" s="1" t="s">
        <v>1808</v>
      </c>
      <c r="K2267" s="10">
        <v>2</v>
      </c>
      <c r="L2267" s="10">
        <v>1</v>
      </c>
      <c r="O2267" s="6"/>
      <c r="P2267" s="42" t="s">
        <v>5560</v>
      </c>
      <c r="Q2267" s="42" t="s">
        <v>5682</v>
      </c>
      <c r="R2267" s="42"/>
      <c r="S2267" s="1"/>
    </row>
    <row r="2268" spans="1:19" ht="18.75" hidden="1" customHeight="1" x14ac:dyDescent="0.3">
      <c r="A2268" s="10">
        <v>2267</v>
      </c>
      <c r="B2268" s="10">
        <f>_xlfn.XLOOKUP(1,(VALUE(D2268)&gt;=VALUE(block!$C$3:$C$500))*(VALUE(D2268)&lt;VALUE(block!$C$3:$C$500)+VALUE(block!$D$3:$D$500)),block!$A$3:$A$500,"无匹配",0,1)</f>
        <v>64</v>
      </c>
      <c r="C2268" s="3" t="str">
        <f>B2268 &amp; "-" &amp; COUNTIF($B$2:B2268, B2268)</f>
        <v>64-35</v>
      </c>
      <c r="D2268" s="10">
        <f t="shared" si="5"/>
        <v>14617</v>
      </c>
      <c r="E2268" s="3" t="s">
        <v>6099</v>
      </c>
      <c r="F2268" s="1" t="s">
        <v>6100</v>
      </c>
      <c r="H2268" s="3" t="s">
        <v>1838</v>
      </c>
      <c r="I2268" s="10" t="str">
        <f>IF(H2268="T41",1,IF(H2268="T41",3,IF(H2268="T57",6,IF(H2268="T57",10,IF(H2268="T89",14,IF(H2268="T89",18,IF(H2268="T57",22,"")))))))</f>
        <v/>
      </c>
      <c r="J2268" s="1" t="s">
        <v>1808</v>
      </c>
      <c r="K2268" s="10">
        <v>2</v>
      </c>
      <c r="L2268" s="10">
        <v>1</v>
      </c>
      <c r="O2268" s="6"/>
      <c r="Q2268" s="42" t="s">
        <v>5682</v>
      </c>
      <c r="R2268" s="42"/>
      <c r="S2268" s="1"/>
    </row>
    <row r="2269" spans="1:19" ht="18.75" hidden="1" customHeight="1" x14ac:dyDescent="0.3">
      <c r="A2269" s="10">
        <v>2268</v>
      </c>
      <c r="B2269" s="10">
        <f>_xlfn.XLOOKUP(1,(VALUE(D2269)&gt;=VALUE(block!$C$3:$C$500))*(VALUE(D2269)&lt;VALUE(block!$C$3:$C$500)+VALUE(block!$D$3:$D$500)),block!$A$3:$A$500,"无匹配",0,1)</f>
        <v>64</v>
      </c>
      <c r="C2269" s="3" t="str">
        <f>B2269 &amp; "-" &amp; COUNTIF($B$2:B2269, B2269)</f>
        <v>64-36</v>
      </c>
      <c r="D2269" s="10">
        <f t="shared" si="5"/>
        <v>14619</v>
      </c>
      <c r="E2269" s="3" t="s">
        <v>6099</v>
      </c>
      <c r="F2269" s="1" t="s">
        <v>6101</v>
      </c>
      <c r="H2269" s="3" t="s">
        <v>5458</v>
      </c>
      <c r="I2269" s="10" t="str">
        <f>IF(H2269="T42",1,IF(H2269="T42",3,IF(H2269="T58",6,IF(H2269="T58",10,IF(H2269="T90",14,IF(H2269="T90",18,IF(H2269="T58",22,"")))))))</f>
        <v/>
      </c>
      <c r="J2269" s="1" t="s">
        <v>1808</v>
      </c>
      <c r="K2269" s="10">
        <v>1</v>
      </c>
      <c r="L2269" s="10">
        <v>1</v>
      </c>
      <c r="O2269" s="6"/>
      <c r="Q2269" s="42" t="s">
        <v>5682</v>
      </c>
      <c r="R2269" s="42"/>
      <c r="S2269" s="1"/>
    </row>
    <row r="2270" spans="1:19" ht="18.75" hidden="1" customHeight="1" x14ac:dyDescent="0.3">
      <c r="A2270" s="10">
        <v>2269</v>
      </c>
      <c r="B2270" s="10">
        <f>_xlfn.XLOOKUP(1,(VALUE(D2270)&gt;=VALUE(block!$C$3:$C$500))*(VALUE(D2270)&lt;VALUE(block!$C$3:$C$500)+VALUE(block!$D$3:$D$500)),block!$A$3:$A$500,"无匹配",0,1)</f>
        <v>64</v>
      </c>
      <c r="C2270" s="3" t="str">
        <f>B2270 &amp; "-" &amp; COUNTIF($B$2:B2270, B2270)</f>
        <v>64-37</v>
      </c>
      <c r="D2270" s="10">
        <f t="shared" si="5"/>
        <v>14620</v>
      </c>
      <c r="E2270" s="1" t="s">
        <v>6102</v>
      </c>
      <c r="F2270" s="1" t="s">
        <v>6103</v>
      </c>
      <c r="G2270" s="1" t="s">
        <v>1830</v>
      </c>
      <c r="H2270" s="1" t="s">
        <v>1812</v>
      </c>
      <c r="I2270" s="10" t="str">
        <f>IF(H2270="T43",1,IF(H2270="T43",3,IF(H2270="T59",6,IF(H2270="T59",10,IF(H2270="T91",14,IF(H2270="T91",18,IF(H2270="T59",22,"")))))))</f>
        <v/>
      </c>
      <c r="J2270" s="1" t="s">
        <v>1808</v>
      </c>
      <c r="K2270" s="10">
        <v>2</v>
      </c>
      <c r="L2270" s="10">
        <v>1</v>
      </c>
      <c r="O2270" s="6"/>
      <c r="P2270" s="42" t="s">
        <v>5560</v>
      </c>
      <c r="Q2270" s="42" t="s">
        <v>5682</v>
      </c>
      <c r="R2270" s="42"/>
      <c r="S2270" s="1"/>
    </row>
    <row r="2271" spans="1:19" ht="18.75" hidden="1" customHeight="1" x14ac:dyDescent="0.3">
      <c r="A2271" s="10">
        <v>2270</v>
      </c>
      <c r="B2271" s="10">
        <f>_xlfn.XLOOKUP(1,(VALUE(D2271)&gt;=VALUE(block!$C$3:$C$500))*(VALUE(D2271)&lt;VALUE(block!$C$3:$C$500)+VALUE(block!$D$3:$D$500)),block!$A$3:$A$500,"无匹配",0,1)</f>
        <v>64</v>
      </c>
      <c r="C2271" s="3" t="str">
        <f>B2271 &amp; "-" &amp; COUNTIF($B$2:B2271, B2271)</f>
        <v>64-38</v>
      </c>
      <c r="D2271" s="10">
        <f t="shared" si="5"/>
        <v>14622</v>
      </c>
      <c r="E2271" s="3" t="s">
        <v>6104</v>
      </c>
      <c r="F2271" s="1" t="s">
        <v>6105</v>
      </c>
      <c r="H2271" s="3" t="s">
        <v>1838</v>
      </c>
      <c r="I2271" s="10" t="str">
        <f>IF(H2271="T44",1,IF(H2271="T44",3,IF(H2271="T60",6,IF(H2271="T60",10,IF(H2271="T92",14,IF(H2271="T92",18,IF(H2271="T60",22,"")))))))</f>
        <v/>
      </c>
      <c r="J2271" s="1" t="s">
        <v>1808</v>
      </c>
      <c r="K2271" s="10">
        <v>2</v>
      </c>
      <c r="L2271" s="10">
        <v>1</v>
      </c>
      <c r="O2271" s="6"/>
      <c r="Q2271" s="42" t="s">
        <v>5682</v>
      </c>
      <c r="R2271" s="42"/>
      <c r="S2271" s="1"/>
    </row>
    <row r="2272" spans="1:19" ht="18.75" hidden="1" customHeight="1" x14ac:dyDescent="0.3">
      <c r="A2272" s="10">
        <v>2271</v>
      </c>
      <c r="B2272" s="10">
        <f>_xlfn.XLOOKUP(1,(VALUE(D2272)&gt;=VALUE(block!$C$3:$C$500))*(VALUE(D2272)&lt;VALUE(block!$C$3:$C$500)+VALUE(block!$D$3:$D$500)),block!$A$3:$A$500,"无匹配",0,1)</f>
        <v>64</v>
      </c>
      <c r="C2272" s="3" t="str">
        <f>B2272 &amp; "-" &amp; COUNTIF($B$2:B2272, B2272)</f>
        <v>64-39</v>
      </c>
      <c r="D2272" s="10">
        <f t="shared" si="5"/>
        <v>14624</v>
      </c>
      <c r="E2272" s="3" t="s">
        <v>6104</v>
      </c>
      <c r="F2272" s="1" t="s">
        <v>6106</v>
      </c>
      <c r="H2272" s="3" t="s">
        <v>5458</v>
      </c>
      <c r="I2272" s="10" t="str">
        <f>IF(H2272="T45",1,IF(H2272="T45",3,IF(H2272="T61",6,IF(H2272="T61",10,IF(H2272="T93",14,IF(H2272="T93",18,IF(H2272="T61",22,"")))))))</f>
        <v/>
      </c>
      <c r="J2272" s="1" t="s">
        <v>1808</v>
      </c>
      <c r="K2272" s="10">
        <v>1</v>
      </c>
      <c r="L2272" s="10">
        <v>1</v>
      </c>
      <c r="O2272" s="6"/>
      <c r="Q2272" s="42" t="s">
        <v>5682</v>
      </c>
      <c r="R2272" s="42"/>
      <c r="S2272" s="1"/>
    </row>
    <row r="2273" spans="1:19" ht="18.75" hidden="1" customHeight="1" x14ac:dyDescent="0.3">
      <c r="A2273" s="10">
        <v>2272</v>
      </c>
      <c r="B2273" s="10">
        <f>_xlfn.XLOOKUP(1,(VALUE(D2273)&gt;=VALUE(block!$C$3:$C$500))*(VALUE(D2273)&lt;VALUE(block!$C$3:$C$500)+VALUE(block!$D$3:$D$500)),block!$A$3:$A$500,"无匹配",0,1)</f>
        <v>64</v>
      </c>
      <c r="C2273" s="3" t="str">
        <f>B2273 &amp; "-" &amp; COUNTIF($B$2:B2273, B2273)</f>
        <v>64-40</v>
      </c>
      <c r="D2273" s="10">
        <f t="shared" si="5"/>
        <v>14625</v>
      </c>
      <c r="E2273" s="1" t="s">
        <v>6107</v>
      </c>
      <c r="F2273" s="1" t="s">
        <v>6108</v>
      </c>
      <c r="G2273" s="1" t="s">
        <v>1832</v>
      </c>
      <c r="H2273" s="1" t="s">
        <v>1812</v>
      </c>
      <c r="I2273" s="10" t="str">
        <f>IF(H2273="T46",1,IF(H2273="T46",3,IF(H2273="T62",6,IF(H2273="T62",10,IF(H2273="T94",14,IF(H2273="T94",18,IF(H2273="T62",22,"")))))))</f>
        <v/>
      </c>
      <c r="J2273" s="1" t="s">
        <v>1808</v>
      </c>
      <c r="K2273" s="10">
        <v>2</v>
      </c>
      <c r="L2273" s="10">
        <v>1</v>
      </c>
      <c r="O2273" s="6"/>
      <c r="P2273" s="42" t="s">
        <v>5560</v>
      </c>
      <c r="Q2273" s="42" t="s">
        <v>5682</v>
      </c>
      <c r="R2273" s="42"/>
      <c r="S2273" s="1"/>
    </row>
    <row r="2274" spans="1:19" ht="18.75" hidden="1" customHeight="1" x14ac:dyDescent="0.3">
      <c r="A2274" s="10">
        <v>2273</v>
      </c>
      <c r="B2274" s="10">
        <f>_xlfn.XLOOKUP(1,(VALUE(D2274)&gt;=VALUE(block!$C$3:$C$500))*(VALUE(D2274)&lt;VALUE(block!$C$3:$C$500)+VALUE(block!$D$3:$D$500)),block!$A$3:$A$500,"无匹配",0,1)</f>
        <v>64</v>
      </c>
      <c r="C2274" s="3" t="str">
        <f>B2274 &amp; "-" &amp; COUNTIF($B$2:B2274, B2274)</f>
        <v>64-41</v>
      </c>
      <c r="D2274" s="10">
        <f t="shared" si="5"/>
        <v>14627</v>
      </c>
      <c r="E2274" s="3" t="s">
        <v>6109</v>
      </c>
      <c r="F2274" s="1" t="s">
        <v>6110</v>
      </c>
      <c r="H2274" s="3" t="s">
        <v>1838</v>
      </c>
      <c r="I2274" s="10" t="str">
        <f>IF(H2274="T47",1,IF(H2274="T47",3,IF(H2274="T63",6,IF(H2274="T63",10,IF(H2274="T95",14,IF(H2274="T95",18,IF(H2274="T63",22,"")))))))</f>
        <v/>
      </c>
      <c r="J2274" s="1" t="s">
        <v>1808</v>
      </c>
      <c r="K2274" s="10">
        <v>2</v>
      </c>
      <c r="L2274" s="10">
        <v>1</v>
      </c>
      <c r="O2274" s="6"/>
      <c r="Q2274" s="42" t="s">
        <v>5682</v>
      </c>
      <c r="R2274" s="42"/>
      <c r="S2274" s="1"/>
    </row>
    <row r="2275" spans="1:19" ht="18.75" hidden="1" customHeight="1" x14ac:dyDescent="0.3">
      <c r="A2275" s="10">
        <v>2274</v>
      </c>
      <c r="B2275" s="10">
        <f>_xlfn.XLOOKUP(1,(VALUE(D2275)&gt;=VALUE(block!$C$3:$C$500))*(VALUE(D2275)&lt;VALUE(block!$C$3:$C$500)+VALUE(block!$D$3:$D$500)),block!$A$3:$A$500,"无匹配",0,1)</f>
        <v>64</v>
      </c>
      <c r="C2275" s="3" t="str">
        <f>B2275 &amp; "-" &amp; COUNTIF($B$2:B2275, B2275)</f>
        <v>64-42</v>
      </c>
      <c r="D2275" s="10">
        <f t="shared" si="5"/>
        <v>14629</v>
      </c>
      <c r="E2275" s="3" t="s">
        <v>6109</v>
      </c>
      <c r="F2275" s="1" t="s">
        <v>6111</v>
      </c>
      <c r="H2275" s="3" t="s">
        <v>5458</v>
      </c>
      <c r="I2275" s="10" t="str">
        <f>IF(H2275="T48",1,IF(H2275="T48",3,IF(H2275="T64",6,IF(H2275="T64",10,IF(H2275="T96",14,IF(H2275="T96",18,IF(H2275="T64",22,"")))))))</f>
        <v/>
      </c>
      <c r="J2275" s="1" t="s">
        <v>1808</v>
      </c>
      <c r="K2275" s="10">
        <v>1</v>
      </c>
      <c r="L2275" s="10">
        <v>1</v>
      </c>
      <c r="O2275" s="6"/>
      <c r="Q2275" s="42" t="s">
        <v>5682</v>
      </c>
      <c r="R2275" s="42"/>
      <c r="S2275" s="1"/>
    </row>
    <row r="2276" spans="1:19" ht="18.75" hidden="1" customHeight="1" x14ac:dyDescent="0.3">
      <c r="A2276" s="10">
        <v>2275</v>
      </c>
      <c r="B2276" s="10">
        <f>_xlfn.XLOOKUP(1,(VALUE(D2276)&gt;=VALUE(block!$C$3:$C$500))*(VALUE(D2276)&lt;VALUE(block!$C$3:$C$500)+VALUE(block!$D$3:$D$500)),block!$A$3:$A$500,"无匹配",0,1)</f>
        <v>64</v>
      </c>
      <c r="C2276" s="3" t="str">
        <f>B2276 &amp; "-" &amp; COUNTIF($B$2:B2276, B2276)</f>
        <v>64-43</v>
      </c>
      <c r="D2276" s="10">
        <f t="shared" si="5"/>
        <v>14630</v>
      </c>
      <c r="E2276" s="1" t="s">
        <v>6112</v>
      </c>
      <c r="F2276" s="1" t="s">
        <v>6113</v>
      </c>
      <c r="G2276" s="1" t="s">
        <v>1832</v>
      </c>
      <c r="H2276" s="1" t="s">
        <v>1812</v>
      </c>
      <c r="I2276" s="10" t="str">
        <f>IF(H2276="T49",1,IF(H2276="T49",3,IF(H2276="T65",6,IF(H2276="T65",10,IF(H2276="T97",14,IF(H2276="T97",18,IF(H2276="T65",22,"")))))))</f>
        <v/>
      </c>
      <c r="J2276" s="1" t="s">
        <v>1808</v>
      </c>
      <c r="K2276" s="10">
        <v>2</v>
      </c>
      <c r="L2276" s="10">
        <v>1</v>
      </c>
      <c r="O2276" s="6"/>
      <c r="P2276" s="42" t="s">
        <v>5560</v>
      </c>
      <c r="Q2276" s="42" t="s">
        <v>5682</v>
      </c>
      <c r="R2276" s="42"/>
      <c r="S2276" s="1"/>
    </row>
    <row r="2277" spans="1:19" ht="18.75" hidden="1" customHeight="1" x14ac:dyDescent="0.3">
      <c r="A2277" s="10">
        <v>2276</v>
      </c>
      <c r="B2277" s="10">
        <f>_xlfn.XLOOKUP(1,(VALUE(D2277)&gt;=VALUE(block!$C$3:$C$500))*(VALUE(D2277)&lt;VALUE(block!$C$3:$C$500)+VALUE(block!$D$3:$D$500)),block!$A$3:$A$500,"无匹配",0,1)</f>
        <v>64</v>
      </c>
      <c r="C2277" s="3" t="str">
        <f>B2277 &amp; "-" &amp; COUNTIF($B$2:B2277, B2277)</f>
        <v>64-44</v>
      </c>
      <c r="D2277" s="10">
        <f t="shared" si="5"/>
        <v>14632</v>
      </c>
      <c r="E2277" s="3" t="s">
        <v>6114</v>
      </c>
      <c r="F2277" s="1" t="s">
        <v>6115</v>
      </c>
      <c r="H2277" s="3" t="s">
        <v>1838</v>
      </c>
      <c r="I2277" s="10" t="str">
        <f>IF(H2277="T50",1,IF(H2277="T50",3,IF(H2277="T66",6,IF(H2277="T66",10,IF(H2277="T98",14,IF(H2277="T98",18,IF(H2277="T66",22,"")))))))</f>
        <v/>
      </c>
      <c r="J2277" s="1" t="s">
        <v>1808</v>
      </c>
      <c r="K2277" s="10">
        <v>2</v>
      </c>
      <c r="L2277" s="10">
        <v>1</v>
      </c>
      <c r="O2277" s="6"/>
      <c r="Q2277" s="42" t="s">
        <v>5682</v>
      </c>
      <c r="R2277" s="42"/>
      <c r="S2277" s="1"/>
    </row>
    <row r="2278" spans="1:19" ht="18.75" hidden="1" customHeight="1" x14ac:dyDescent="0.3">
      <c r="A2278" s="10">
        <v>2277</v>
      </c>
      <c r="B2278" s="10">
        <f>_xlfn.XLOOKUP(1,(VALUE(D2278)&gt;=VALUE(block!$C$3:$C$500))*(VALUE(D2278)&lt;VALUE(block!$C$3:$C$500)+VALUE(block!$D$3:$D$500)),block!$A$3:$A$500,"无匹配",0,1)</f>
        <v>64</v>
      </c>
      <c r="C2278" s="3" t="str">
        <f>B2278 &amp; "-" &amp; COUNTIF($B$2:B2278, B2278)</f>
        <v>64-45</v>
      </c>
      <c r="D2278" s="10">
        <f t="shared" si="5"/>
        <v>14634</v>
      </c>
      <c r="E2278" s="3" t="s">
        <v>6114</v>
      </c>
      <c r="F2278" s="1" t="s">
        <v>6116</v>
      </c>
      <c r="H2278" s="3" t="s">
        <v>5458</v>
      </c>
      <c r="I2278" s="10" t="str">
        <f>IF(H2278="T51",1,IF(H2278="T51",3,IF(H2278="T67",6,IF(H2278="T67",10,IF(H2278="T99",14,IF(H2278="T99",18,IF(H2278="T67",22,"")))))))</f>
        <v/>
      </c>
      <c r="J2278" s="1" t="s">
        <v>1808</v>
      </c>
      <c r="K2278" s="10">
        <v>1</v>
      </c>
      <c r="L2278" s="10">
        <v>1</v>
      </c>
      <c r="O2278" s="6"/>
      <c r="Q2278" s="42" t="s">
        <v>5682</v>
      </c>
      <c r="R2278" s="42"/>
      <c r="S2278" s="1"/>
    </row>
    <row r="2279" spans="1:19" ht="18.75" hidden="1" customHeight="1" x14ac:dyDescent="0.3">
      <c r="A2279" s="10">
        <v>2278</v>
      </c>
      <c r="B2279" s="10">
        <f>_xlfn.XLOOKUP(1,(VALUE(D2279)&gt;=VALUE(block!$C$3:$C$500))*(VALUE(D2279)&lt;VALUE(block!$C$3:$C$500)+VALUE(block!$D$3:$D$500)),block!$A$3:$A$500,"无匹配",0,1)</f>
        <v>64</v>
      </c>
      <c r="C2279" s="3" t="str">
        <f>B2279 &amp; "-" &amp; COUNTIF($B$2:B2279, B2279)</f>
        <v>64-46</v>
      </c>
      <c r="D2279" s="10">
        <f t="shared" si="5"/>
        <v>14635</v>
      </c>
      <c r="E2279" s="1" t="s">
        <v>6117</v>
      </c>
      <c r="F2279" s="1" t="s">
        <v>6118</v>
      </c>
      <c r="G2279" s="1" t="s">
        <v>1834</v>
      </c>
      <c r="H2279" s="1" t="s">
        <v>1812</v>
      </c>
      <c r="I2279" s="10" t="str">
        <f>IF(H2279="T52",1,IF(H2279="T52",3,IF(H2279="T68",6,IF(H2279="T68",10,IF(H2279="T100",14,IF(H2279="T100",18,IF(H2279="T68",22,"")))))))</f>
        <v/>
      </c>
      <c r="J2279" s="1" t="s">
        <v>1808</v>
      </c>
      <c r="K2279" s="10">
        <v>2</v>
      </c>
      <c r="L2279" s="10">
        <v>1</v>
      </c>
      <c r="O2279" s="6"/>
      <c r="P2279" s="42" t="s">
        <v>5560</v>
      </c>
      <c r="Q2279" s="42" t="s">
        <v>5682</v>
      </c>
      <c r="R2279" s="42"/>
      <c r="S2279" s="1"/>
    </row>
    <row r="2280" spans="1:19" ht="18.75" hidden="1" customHeight="1" x14ac:dyDescent="0.3">
      <c r="A2280" s="10">
        <v>2279</v>
      </c>
      <c r="B2280" s="10">
        <f>_xlfn.XLOOKUP(1,(VALUE(D2280)&gt;=VALUE(block!$C$3:$C$500))*(VALUE(D2280)&lt;VALUE(block!$C$3:$C$500)+VALUE(block!$D$3:$D$500)),block!$A$3:$A$500,"无匹配",0,1)</f>
        <v>64</v>
      </c>
      <c r="C2280" s="3" t="str">
        <f>B2280 &amp; "-" &amp; COUNTIF($B$2:B2280, B2280)</f>
        <v>64-47</v>
      </c>
      <c r="D2280" s="10">
        <f t="shared" si="5"/>
        <v>14637</v>
      </c>
      <c r="E2280" s="3" t="s">
        <v>6119</v>
      </c>
      <c r="F2280" s="1" t="s">
        <v>6120</v>
      </c>
      <c r="H2280" s="3" t="s">
        <v>1838</v>
      </c>
      <c r="I2280" s="10" t="str">
        <f>IF(H2280="T53",1,IF(H2280="T53",3,IF(H2280="T69",6,IF(H2280="T69",10,IF(H2280="T101",14,IF(H2280="T101",18,IF(H2280="T69",22,"")))))))</f>
        <v/>
      </c>
      <c r="J2280" s="1" t="s">
        <v>1808</v>
      </c>
      <c r="K2280" s="10">
        <v>2</v>
      </c>
      <c r="L2280" s="10">
        <v>1</v>
      </c>
      <c r="O2280" s="6"/>
      <c r="Q2280" s="42" t="s">
        <v>5682</v>
      </c>
      <c r="R2280" s="42"/>
      <c r="S2280" s="1"/>
    </row>
    <row r="2281" spans="1:19" ht="18.75" hidden="1" customHeight="1" x14ac:dyDescent="0.3">
      <c r="A2281" s="10">
        <v>2280</v>
      </c>
      <c r="B2281" s="10">
        <f>_xlfn.XLOOKUP(1,(VALUE(D2281)&gt;=VALUE(block!$C$3:$C$500))*(VALUE(D2281)&lt;VALUE(block!$C$3:$C$500)+VALUE(block!$D$3:$D$500)),block!$A$3:$A$500,"无匹配",0,1)</f>
        <v>64</v>
      </c>
      <c r="C2281" s="3" t="str">
        <f>B2281 &amp; "-" &amp; COUNTIF($B$2:B2281, B2281)</f>
        <v>64-48</v>
      </c>
      <c r="D2281" s="10">
        <f t="shared" si="5"/>
        <v>14639</v>
      </c>
      <c r="E2281" s="3" t="s">
        <v>6119</v>
      </c>
      <c r="F2281" s="1" t="s">
        <v>6121</v>
      </c>
      <c r="H2281" s="3" t="s">
        <v>5458</v>
      </c>
      <c r="I2281" s="10" t="str">
        <f>IF(H2281="T54",1,IF(H2281="T54",3,IF(H2281="T70",6,IF(H2281="T70",10,IF(H2281="T102",14,IF(H2281="T102",18,IF(H2281="T70",22,"")))))))</f>
        <v/>
      </c>
      <c r="J2281" s="1" t="s">
        <v>1808</v>
      </c>
      <c r="K2281" s="10">
        <v>1</v>
      </c>
      <c r="L2281" s="10">
        <v>1</v>
      </c>
      <c r="O2281" s="6"/>
      <c r="Q2281" s="42" t="s">
        <v>5682</v>
      </c>
      <c r="R2281" s="42"/>
      <c r="S2281" s="1"/>
    </row>
    <row r="2282" spans="1:19" ht="18.75" hidden="1" customHeight="1" x14ac:dyDescent="0.3">
      <c r="A2282" s="10">
        <v>2281</v>
      </c>
      <c r="B2282" s="10">
        <f>_xlfn.XLOOKUP(1,(VALUE(D2282)&gt;=VALUE(block!$C$3:$C$500))*(VALUE(D2282)&lt;VALUE(block!$C$3:$C$500)+VALUE(block!$D$3:$D$500)),block!$A$3:$A$500,"无匹配",0,1)</f>
        <v>64</v>
      </c>
      <c r="C2282" s="3" t="str">
        <f>B2282 &amp; "-" &amp; COUNTIF($B$2:B2282, B2282)</f>
        <v>64-49</v>
      </c>
      <c r="D2282" s="10">
        <f t="shared" si="5"/>
        <v>14640</v>
      </c>
      <c r="E2282" s="1" t="s">
        <v>6122</v>
      </c>
      <c r="F2282" s="1" t="s">
        <v>6123</v>
      </c>
      <c r="G2282" s="1" t="s">
        <v>1834</v>
      </c>
      <c r="H2282" s="1" t="s">
        <v>1812</v>
      </c>
      <c r="I2282" s="10" t="str">
        <f>IF(H2282="T55",1,IF(H2282="T55",3,IF(H2282="T71",6,IF(H2282="T71",10,IF(H2282="T103",14,IF(H2282="T103",18,IF(H2282="T71",22,"")))))))</f>
        <v/>
      </c>
      <c r="J2282" s="1" t="s">
        <v>1808</v>
      </c>
      <c r="K2282" s="10">
        <v>2</v>
      </c>
      <c r="L2282" s="10">
        <v>1</v>
      </c>
      <c r="O2282" s="6"/>
      <c r="P2282" s="42" t="s">
        <v>5560</v>
      </c>
      <c r="Q2282" s="42" t="s">
        <v>5682</v>
      </c>
      <c r="R2282" s="42"/>
      <c r="S2282" s="1"/>
    </row>
    <row r="2283" spans="1:19" ht="18.75" hidden="1" customHeight="1" x14ac:dyDescent="0.3">
      <c r="A2283" s="10">
        <v>2282</v>
      </c>
      <c r="B2283" s="10">
        <f>_xlfn.XLOOKUP(1,(VALUE(D2283)&gt;=VALUE(block!$C$3:$C$500))*(VALUE(D2283)&lt;VALUE(block!$C$3:$C$500)+VALUE(block!$D$3:$D$500)),block!$A$3:$A$500,"无匹配",0,1)</f>
        <v>64</v>
      </c>
      <c r="C2283" s="3" t="str">
        <f>B2283 &amp; "-" &amp; COUNTIF($B$2:B2283, B2283)</f>
        <v>64-50</v>
      </c>
      <c r="D2283" s="10">
        <f t="shared" si="5"/>
        <v>14642</v>
      </c>
      <c r="E2283" s="3" t="s">
        <v>6124</v>
      </c>
      <c r="F2283" s="1" t="s">
        <v>6125</v>
      </c>
      <c r="H2283" s="3" t="s">
        <v>1838</v>
      </c>
      <c r="I2283" s="10" t="str">
        <f>IF(H2283="T56",1,IF(H2283="T56",3,IF(H2283="T72",6,IF(H2283="T72",10,IF(H2283="T104",14,IF(H2283="T104",18,IF(H2283="T72",22,"")))))))</f>
        <v/>
      </c>
      <c r="J2283" s="1" t="s">
        <v>1808</v>
      </c>
      <c r="K2283" s="10">
        <v>2</v>
      </c>
      <c r="L2283" s="10">
        <v>1</v>
      </c>
      <c r="O2283" s="6"/>
      <c r="Q2283" s="42" t="s">
        <v>5682</v>
      </c>
      <c r="R2283" s="42"/>
      <c r="S2283" s="1"/>
    </row>
    <row r="2284" spans="1:19" ht="18.75" hidden="1" customHeight="1" x14ac:dyDescent="0.3">
      <c r="A2284" s="10">
        <v>2283</v>
      </c>
      <c r="B2284" s="10">
        <f>_xlfn.XLOOKUP(1,(VALUE(D2284)&gt;=VALUE(block!$C$3:$C$500))*(VALUE(D2284)&lt;VALUE(block!$C$3:$C$500)+VALUE(block!$D$3:$D$500)),block!$A$3:$A$500,"无匹配",0,1)</f>
        <v>64</v>
      </c>
      <c r="C2284" s="3" t="str">
        <f>B2284 &amp; "-" &amp; COUNTIF($B$2:B2284, B2284)</f>
        <v>64-51</v>
      </c>
      <c r="D2284" s="10">
        <f t="shared" si="5"/>
        <v>14644</v>
      </c>
      <c r="E2284" s="3" t="s">
        <v>6124</v>
      </c>
      <c r="F2284" s="1" t="s">
        <v>6126</v>
      </c>
      <c r="H2284" s="3" t="s">
        <v>5458</v>
      </c>
      <c r="I2284" s="10" t="str">
        <f>IF(H2284="T57",1,IF(H2284="T57",3,IF(H2284="T73",6,IF(H2284="T73",10,IF(H2284="T105",14,IF(H2284="T105",18,IF(H2284="T73",22,"")))))))</f>
        <v/>
      </c>
      <c r="J2284" s="1" t="s">
        <v>1808</v>
      </c>
      <c r="K2284" s="10">
        <v>1</v>
      </c>
      <c r="L2284" s="10">
        <v>1</v>
      </c>
      <c r="O2284" s="6"/>
      <c r="Q2284" s="42" t="s">
        <v>5682</v>
      </c>
      <c r="R2284" s="42"/>
      <c r="S2284" s="1"/>
    </row>
    <row r="2285" spans="1:19" ht="18.75" hidden="1" customHeight="1" x14ac:dyDescent="0.3">
      <c r="A2285" s="10">
        <v>2284</v>
      </c>
      <c r="B2285" s="10">
        <f>_xlfn.XLOOKUP(1,(VALUE(D2285)&gt;=VALUE(block!$C$3:$C$500))*(VALUE(D2285)&lt;VALUE(block!$C$3:$C$500)+VALUE(block!$D$3:$D$500)),block!$A$3:$A$500,"无匹配",0,1)</f>
        <v>64</v>
      </c>
      <c r="C2285" s="3" t="str">
        <f>B2285 &amp; "-" &amp; COUNTIF($B$2:B2285, B2285)</f>
        <v>64-52</v>
      </c>
      <c r="D2285" s="10">
        <f t="shared" si="5"/>
        <v>14645</v>
      </c>
      <c r="E2285" s="1" t="s">
        <v>6127</v>
      </c>
      <c r="F2285" s="1" t="s">
        <v>6128</v>
      </c>
      <c r="G2285" s="1" t="s">
        <v>1836</v>
      </c>
      <c r="H2285" s="1" t="s">
        <v>1812</v>
      </c>
      <c r="I2285" s="10" t="str">
        <f>IF(H2285="T58",1,IF(H2285="T58",3,IF(H2285="T74",6,IF(H2285="T74",10,IF(H2285="T106",14,IF(H2285="T106",18,IF(H2285="T74",22,"")))))))</f>
        <v/>
      </c>
      <c r="J2285" s="1" t="s">
        <v>1808</v>
      </c>
      <c r="K2285" s="10">
        <v>2</v>
      </c>
      <c r="L2285" s="10">
        <v>1</v>
      </c>
      <c r="O2285" s="6"/>
      <c r="P2285" s="42" t="s">
        <v>5560</v>
      </c>
      <c r="Q2285" s="42" t="s">
        <v>5682</v>
      </c>
      <c r="R2285" s="42"/>
      <c r="S2285" s="1"/>
    </row>
    <row r="2286" spans="1:19" ht="18.75" hidden="1" customHeight="1" x14ac:dyDescent="0.3">
      <c r="A2286" s="10">
        <v>2285</v>
      </c>
      <c r="B2286" s="10">
        <f>_xlfn.XLOOKUP(1,(VALUE(D2286)&gt;=VALUE(block!$C$3:$C$500))*(VALUE(D2286)&lt;VALUE(block!$C$3:$C$500)+VALUE(block!$D$3:$D$500)),block!$A$3:$A$500,"无匹配",0,1)</f>
        <v>64</v>
      </c>
      <c r="C2286" s="3" t="str">
        <f>B2286 &amp; "-" &amp; COUNTIF($B$2:B2286, B2286)</f>
        <v>64-53</v>
      </c>
      <c r="D2286" s="10">
        <f t="shared" si="5"/>
        <v>14647</v>
      </c>
      <c r="E2286" s="3" t="s">
        <v>6129</v>
      </c>
      <c r="F2286" s="1" t="s">
        <v>6130</v>
      </c>
      <c r="H2286" s="3" t="s">
        <v>1838</v>
      </c>
      <c r="I2286" s="10" t="str">
        <f>IF(H2286="T59",1,IF(H2286="T59",3,IF(H2286="T75",6,IF(H2286="T75",10,IF(H2286="T107",14,IF(H2286="T107",18,IF(H2286="T75",22,"")))))))</f>
        <v/>
      </c>
      <c r="J2286" s="1" t="s">
        <v>1808</v>
      </c>
      <c r="K2286" s="10">
        <v>2</v>
      </c>
      <c r="L2286" s="10">
        <v>1</v>
      </c>
      <c r="O2286" s="6"/>
      <c r="Q2286" s="42" t="s">
        <v>5682</v>
      </c>
      <c r="R2286" s="42"/>
      <c r="S2286" s="1"/>
    </row>
    <row r="2287" spans="1:19" ht="18.75" hidden="1" customHeight="1" x14ac:dyDescent="0.3">
      <c r="A2287" s="10">
        <v>2286</v>
      </c>
      <c r="B2287" s="10">
        <f>_xlfn.XLOOKUP(1,(VALUE(D2287)&gt;=VALUE(block!$C$3:$C$500))*(VALUE(D2287)&lt;VALUE(block!$C$3:$C$500)+VALUE(block!$D$3:$D$500)),block!$A$3:$A$500,"无匹配",0,1)</f>
        <v>64</v>
      </c>
      <c r="C2287" s="3" t="str">
        <f>B2287 &amp; "-" &amp; COUNTIF($B$2:B2287, B2287)</f>
        <v>64-54</v>
      </c>
      <c r="D2287" s="10">
        <f t="shared" si="5"/>
        <v>14649</v>
      </c>
      <c r="E2287" s="3" t="s">
        <v>6129</v>
      </c>
      <c r="F2287" s="1" t="s">
        <v>6131</v>
      </c>
      <c r="H2287" s="3" t="s">
        <v>5458</v>
      </c>
      <c r="I2287" s="10" t="str">
        <f>IF(H2287="T60",1,IF(H2287="T60",3,IF(H2287="T76",6,IF(H2287="T76",10,IF(H2287="T108",14,IF(H2287="T108",18,IF(H2287="T76",22,"")))))))</f>
        <v/>
      </c>
      <c r="J2287" s="1" t="s">
        <v>1808</v>
      </c>
      <c r="K2287" s="10">
        <v>1</v>
      </c>
      <c r="L2287" s="10">
        <v>1</v>
      </c>
      <c r="O2287" s="6"/>
      <c r="Q2287" s="42" t="s">
        <v>5682</v>
      </c>
      <c r="R2287" s="42"/>
      <c r="S2287" s="1"/>
    </row>
    <row r="2288" spans="1:19" ht="18.75" hidden="1" customHeight="1" x14ac:dyDescent="0.3">
      <c r="A2288" s="10">
        <v>2287</v>
      </c>
      <c r="B2288" s="10">
        <f>_xlfn.XLOOKUP(1,(VALUE(D2288)&gt;=VALUE(block!$C$3:$C$500))*(VALUE(D2288)&lt;VALUE(block!$C$3:$C$500)+VALUE(block!$D$3:$D$500)),block!$A$3:$A$500,"无匹配",0,1)</f>
        <v>64</v>
      </c>
      <c r="C2288" s="3" t="str">
        <f>B2288 &amp; "-" &amp; COUNTIF($B$2:B2288, B2288)</f>
        <v>64-55</v>
      </c>
      <c r="D2288" s="10">
        <f t="shared" si="5"/>
        <v>14650</v>
      </c>
      <c r="E2288" s="1" t="s">
        <v>6132</v>
      </c>
      <c r="F2288" s="1" t="s">
        <v>6133</v>
      </c>
      <c r="G2288" s="1" t="s">
        <v>1830</v>
      </c>
      <c r="H2288" s="1" t="s">
        <v>1812</v>
      </c>
      <c r="I2288" s="10" t="str">
        <f>IF(H2288="T61",1,IF(H2288="T61",3,IF(H2288="T77",6,IF(H2288="T77",10,IF(H2288="T109",14,IF(H2288="T109",18,IF(H2288="T77",22,"")))))))</f>
        <v/>
      </c>
      <c r="J2288" s="1" t="s">
        <v>1808</v>
      </c>
      <c r="K2288" s="10">
        <v>2</v>
      </c>
      <c r="L2288" s="10">
        <v>1</v>
      </c>
      <c r="O2288" s="6"/>
      <c r="P2288" s="42" t="s">
        <v>5560</v>
      </c>
      <c r="Q2288" s="42" t="s">
        <v>5682</v>
      </c>
      <c r="R2288" s="42"/>
      <c r="S2288" s="1"/>
    </row>
    <row r="2289" spans="1:19" ht="18.75" hidden="1" customHeight="1" x14ac:dyDescent="0.3">
      <c r="A2289" s="10">
        <v>2288</v>
      </c>
      <c r="B2289" s="10">
        <f>_xlfn.XLOOKUP(1,(VALUE(D2289)&gt;=VALUE(block!$C$3:$C$500))*(VALUE(D2289)&lt;VALUE(block!$C$3:$C$500)+VALUE(block!$D$3:$D$500)),block!$A$3:$A$500,"无匹配",0,1)</f>
        <v>64</v>
      </c>
      <c r="C2289" s="3" t="str">
        <f>B2289 &amp; "-" &amp; COUNTIF($B$2:B2289, B2289)</f>
        <v>64-56</v>
      </c>
      <c r="D2289" s="10">
        <f t="shared" si="5"/>
        <v>14652</v>
      </c>
      <c r="E2289" s="3" t="s">
        <v>6134</v>
      </c>
      <c r="F2289" s="1" t="s">
        <v>6135</v>
      </c>
      <c r="H2289" s="3" t="s">
        <v>1838</v>
      </c>
      <c r="I2289" s="10" t="str">
        <f>IF(H2289="T62",1,IF(H2289="T62",3,IF(H2289="T78",6,IF(H2289="T78",10,IF(H2289="T110",14,IF(H2289="T110",18,IF(H2289="T78",22,"")))))))</f>
        <v/>
      </c>
      <c r="J2289" s="1" t="s">
        <v>1808</v>
      </c>
      <c r="K2289" s="10">
        <v>2</v>
      </c>
      <c r="L2289" s="10">
        <v>1</v>
      </c>
      <c r="O2289" s="6"/>
      <c r="Q2289" s="42" t="s">
        <v>5682</v>
      </c>
      <c r="R2289" s="42"/>
      <c r="S2289" s="1"/>
    </row>
    <row r="2290" spans="1:19" ht="18.75" hidden="1" customHeight="1" x14ac:dyDescent="0.3">
      <c r="A2290" s="10">
        <v>2289</v>
      </c>
      <c r="B2290" s="10">
        <f>_xlfn.XLOOKUP(1,(VALUE(D2290)&gt;=VALUE(block!$C$3:$C$500))*(VALUE(D2290)&lt;VALUE(block!$C$3:$C$500)+VALUE(block!$D$3:$D$500)),block!$A$3:$A$500,"无匹配",0,1)</f>
        <v>64</v>
      </c>
      <c r="C2290" s="3" t="str">
        <f>B2290 &amp; "-" &amp; COUNTIF($B$2:B2290, B2290)</f>
        <v>64-57</v>
      </c>
      <c r="D2290" s="10">
        <f t="shared" si="5"/>
        <v>14654</v>
      </c>
      <c r="E2290" s="3" t="s">
        <v>6134</v>
      </c>
      <c r="F2290" s="1" t="s">
        <v>6136</v>
      </c>
      <c r="H2290" s="3" t="s">
        <v>5458</v>
      </c>
      <c r="I2290" s="10" t="str">
        <f>IF(H2290="T63",1,IF(H2290="T63",3,IF(H2290="T79",6,IF(H2290="T79",10,IF(H2290="T111",14,IF(H2290="T111",18,IF(H2290="T79",22,"")))))))</f>
        <v/>
      </c>
      <c r="J2290" s="1" t="s">
        <v>1808</v>
      </c>
      <c r="K2290" s="10">
        <v>1</v>
      </c>
      <c r="L2290" s="10">
        <v>1</v>
      </c>
      <c r="O2290" s="6"/>
      <c r="Q2290" s="42" t="s">
        <v>5682</v>
      </c>
      <c r="R2290" s="42"/>
      <c r="S2290" s="1"/>
    </row>
    <row r="2291" spans="1:19" ht="18.75" hidden="1" customHeight="1" x14ac:dyDescent="0.3">
      <c r="A2291" s="10">
        <v>2290</v>
      </c>
      <c r="B2291" s="10">
        <f>_xlfn.XLOOKUP(1,(VALUE(D2291)&gt;=VALUE(block!$C$3:$C$500))*(VALUE(D2291)&lt;VALUE(block!$C$3:$C$500)+VALUE(block!$D$3:$D$500)),block!$A$3:$A$500,"无匹配",0,1)</f>
        <v>64</v>
      </c>
      <c r="C2291" s="3" t="str">
        <f>B2291 &amp; "-" &amp; COUNTIF($B$2:B2291, B2291)</f>
        <v>64-58</v>
      </c>
      <c r="D2291" s="10">
        <f t="shared" si="5"/>
        <v>14655</v>
      </c>
      <c r="E2291" s="1" t="s">
        <v>6137</v>
      </c>
      <c r="F2291" s="1" t="s">
        <v>6138</v>
      </c>
      <c r="G2291" s="1" t="s">
        <v>1832</v>
      </c>
      <c r="H2291" s="1" t="s">
        <v>1812</v>
      </c>
      <c r="I2291" s="10" t="str">
        <f>IF(H2291="T64",1,IF(H2291="T64",3,IF(H2291="T80",6,IF(H2291="T80",10,IF(H2291="T112",14,IF(H2291="T112",18,IF(H2291="T80",22,"")))))))</f>
        <v/>
      </c>
      <c r="J2291" s="1" t="s">
        <v>1808</v>
      </c>
      <c r="K2291" s="10">
        <v>2</v>
      </c>
      <c r="L2291" s="10">
        <v>1</v>
      </c>
      <c r="O2291" s="6"/>
      <c r="P2291" s="42" t="s">
        <v>5560</v>
      </c>
      <c r="Q2291" s="42" t="s">
        <v>5682</v>
      </c>
      <c r="R2291" s="42"/>
      <c r="S2291" s="1"/>
    </row>
    <row r="2292" spans="1:19" ht="18.75" hidden="1" customHeight="1" x14ac:dyDescent="0.3">
      <c r="A2292" s="10">
        <v>2291</v>
      </c>
      <c r="B2292" s="10">
        <f>_xlfn.XLOOKUP(1,(VALUE(D2292)&gt;=VALUE(block!$C$3:$C$500))*(VALUE(D2292)&lt;VALUE(block!$C$3:$C$500)+VALUE(block!$D$3:$D$500)),block!$A$3:$A$500,"无匹配",0,1)</f>
        <v>64</v>
      </c>
      <c r="C2292" s="3" t="str">
        <f>B2292 &amp; "-" &amp; COUNTIF($B$2:B2292, B2292)</f>
        <v>64-59</v>
      </c>
      <c r="D2292" s="10">
        <f t="shared" si="5"/>
        <v>14657</v>
      </c>
      <c r="E2292" s="3" t="s">
        <v>6139</v>
      </c>
      <c r="F2292" s="1" t="s">
        <v>6140</v>
      </c>
      <c r="H2292" s="3" t="s">
        <v>1838</v>
      </c>
      <c r="I2292" s="10" t="str">
        <f>IF(H2292="T65",1,IF(H2292="T65",3,IF(H2292="T81",6,IF(H2292="T81",10,IF(H2292="T113",14,IF(H2292="T113",18,IF(H2292="T81",22,"")))))))</f>
        <v/>
      </c>
      <c r="J2292" s="1" t="s">
        <v>1808</v>
      </c>
      <c r="K2292" s="10">
        <v>2</v>
      </c>
      <c r="L2292" s="10">
        <v>1</v>
      </c>
      <c r="O2292" s="6"/>
      <c r="Q2292" s="42" t="s">
        <v>5682</v>
      </c>
      <c r="R2292" s="42"/>
      <c r="S2292" s="1"/>
    </row>
    <row r="2293" spans="1:19" ht="18.75" hidden="1" customHeight="1" x14ac:dyDescent="0.3">
      <c r="A2293" s="10">
        <v>2292</v>
      </c>
      <c r="B2293" s="10">
        <f>_xlfn.XLOOKUP(1,(VALUE(D2293)&gt;=VALUE(block!$C$3:$C$500))*(VALUE(D2293)&lt;VALUE(block!$C$3:$C$500)+VALUE(block!$D$3:$D$500)),block!$A$3:$A$500,"无匹配",0,1)</f>
        <v>64</v>
      </c>
      <c r="C2293" s="3" t="str">
        <f>B2293 &amp; "-" &amp; COUNTIF($B$2:B2293, B2293)</f>
        <v>64-60</v>
      </c>
      <c r="D2293" s="10">
        <f t="shared" si="5"/>
        <v>14659</v>
      </c>
      <c r="E2293" s="3" t="s">
        <v>6139</v>
      </c>
      <c r="F2293" s="1" t="s">
        <v>6141</v>
      </c>
      <c r="H2293" s="3" t="s">
        <v>5458</v>
      </c>
      <c r="I2293" s="10" t="str">
        <f>IF(H2293="T66",1,IF(H2293="T66",3,IF(H2293="T82",6,IF(H2293="T82",10,IF(H2293="T114",14,IF(H2293="T114",18,IF(H2293="T82",22,"")))))))</f>
        <v/>
      </c>
      <c r="J2293" s="1" t="s">
        <v>1808</v>
      </c>
      <c r="K2293" s="10">
        <v>1</v>
      </c>
      <c r="L2293" s="10">
        <v>1</v>
      </c>
      <c r="O2293" s="6"/>
      <c r="Q2293" s="42" t="s">
        <v>5682</v>
      </c>
      <c r="R2293" s="42"/>
      <c r="S2293" s="1"/>
    </row>
    <row r="2294" spans="1:19" ht="18.75" hidden="1" customHeight="1" x14ac:dyDescent="0.3">
      <c r="A2294" s="10">
        <v>2293</v>
      </c>
      <c r="B2294" s="10">
        <f>_xlfn.XLOOKUP(1,(VALUE(D2294)&gt;=VALUE(block!$C$3:$C$500))*(VALUE(D2294)&lt;VALUE(block!$C$3:$C$500)+VALUE(block!$D$3:$D$500)),block!$A$3:$A$500,"无匹配",0,1)</f>
        <v>64</v>
      </c>
      <c r="C2294" s="3" t="str">
        <f>B2294 &amp; "-" &amp; COUNTIF($B$2:B2294, B2294)</f>
        <v>64-61</v>
      </c>
      <c r="D2294" s="10">
        <f t="shared" si="5"/>
        <v>14660</v>
      </c>
      <c r="E2294" s="1" t="s">
        <v>6142</v>
      </c>
      <c r="F2294" s="1" t="s">
        <v>6143</v>
      </c>
      <c r="G2294" s="1" t="s">
        <v>1832</v>
      </c>
      <c r="H2294" s="1" t="s">
        <v>1812</v>
      </c>
      <c r="I2294" s="10" t="str">
        <f>IF(H2294="T67",1,IF(H2294="T67",3,IF(H2294="T83",6,IF(H2294="T83",10,IF(H2294="T115",14,IF(H2294="T115",18,IF(H2294="T83",22,"")))))))</f>
        <v/>
      </c>
      <c r="J2294" s="1" t="s">
        <v>1808</v>
      </c>
      <c r="K2294" s="10">
        <v>2</v>
      </c>
      <c r="L2294" s="10">
        <v>1</v>
      </c>
      <c r="O2294" s="6"/>
      <c r="P2294" s="42" t="s">
        <v>5560</v>
      </c>
      <c r="Q2294" s="42" t="s">
        <v>5682</v>
      </c>
      <c r="R2294" s="42"/>
      <c r="S2294" s="1"/>
    </row>
    <row r="2295" spans="1:19" ht="18.75" hidden="1" customHeight="1" x14ac:dyDescent="0.3">
      <c r="A2295" s="10">
        <v>2294</v>
      </c>
      <c r="B2295" s="10">
        <f>_xlfn.XLOOKUP(1,(VALUE(D2295)&gt;=VALUE(block!$C$3:$C$500))*(VALUE(D2295)&lt;VALUE(block!$C$3:$C$500)+VALUE(block!$D$3:$D$500)),block!$A$3:$A$500,"无匹配",0,1)</f>
        <v>64</v>
      </c>
      <c r="C2295" s="3" t="str">
        <f>B2295 &amp; "-" &amp; COUNTIF($B$2:B2295, B2295)</f>
        <v>64-62</v>
      </c>
      <c r="D2295" s="10">
        <f t="shared" si="5"/>
        <v>14662</v>
      </c>
      <c r="E2295" s="3" t="s">
        <v>6144</v>
      </c>
      <c r="F2295" s="1" t="s">
        <v>6145</v>
      </c>
      <c r="H2295" s="3" t="s">
        <v>1838</v>
      </c>
      <c r="I2295" s="10" t="str">
        <f>IF(H2295="T68",1,IF(H2295="T68",3,IF(H2295="T84",6,IF(H2295="T84",10,IF(H2295="T116",14,IF(H2295="T116",18,IF(H2295="T84",22,"")))))))</f>
        <v/>
      </c>
      <c r="J2295" s="1" t="s">
        <v>1808</v>
      </c>
      <c r="K2295" s="10">
        <v>2</v>
      </c>
      <c r="L2295" s="10">
        <v>1</v>
      </c>
      <c r="O2295" s="6"/>
      <c r="Q2295" s="42" t="s">
        <v>5682</v>
      </c>
      <c r="R2295" s="42"/>
      <c r="S2295" s="1"/>
    </row>
    <row r="2296" spans="1:19" ht="18.75" hidden="1" customHeight="1" x14ac:dyDescent="0.3">
      <c r="A2296" s="10">
        <v>2295</v>
      </c>
      <c r="B2296" s="10">
        <f>_xlfn.XLOOKUP(1,(VALUE(D2296)&gt;=VALUE(block!$C$3:$C$500))*(VALUE(D2296)&lt;VALUE(block!$C$3:$C$500)+VALUE(block!$D$3:$D$500)),block!$A$3:$A$500,"无匹配",0,1)</f>
        <v>64</v>
      </c>
      <c r="C2296" s="3" t="str">
        <f>B2296 &amp; "-" &amp; COUNTIF($B$2:B2296, B2296)</f>
        <v>64-63</v>
      </c>
      <c r="D2296" s="10">
        <f t="shared" si="5"/>
        <v>14664</v>
      </c>
      <c r="E2296" s="3" t="s">
        <v>6144</v>
      </c>
      <c r="F2296" s="1" t="s">
        <v>6146</v>
      </c>
      <c r="H2296" s="3" t="s">
        <v>5458</v>
      </c>
      <c r="I2296" s="10" t="str">
        <f>IF(H2296="T69",1,IF(H2296="T69",3,IF(H2296="T85",6,IF(H2296="T85",10,IF(H2296="T117",14,IF(H2296="T117",18,IF(H2296="T85",22,"")))))))</f>
        <v/>
      </c>
      <c r="J2296" s="1" t="s">
        <v>1808</v>
      </c>
      <c r="K2296" s="10">
        <v>1</v>
      </c>
      <c r="L2296" s="10">
        <v>1</v>
      </c>
      <c r="O2296" s="6"/>
      <c r="Q2296" s="42" t="s">
        <v>5682</v>
      </c>
      <c r="R2296" s="42"/>
      <c r="S2296" s="1"/>
    </row>
    <row r="2297" spans="1:19" ht="18.75" hidden="1" customHeight="1" x14ac:dyDescent="0.3">
      <c r="A2297" s="10">
        <v>2296</v>
      </c>
      <c r="B2297" s="10">
        <f>_xlfn.XLOOKUP(1,(VALUE(D2297)&gt;=VALUE(block!$C$3:$C$500))*(VALUE(D2297)&lt;VALUE(block!$C$3:$C$500)+VALUE(block!$D$3:$D$500)),block!$A$3:$A$500,"无匹配",0,1)</f>
        <v>64</v>
      </c>
      <c r="C2297" s="3" t="str">
        <f>B2297 &amp; "-" &amp; COUNTIF($B$2:B2297, B2297)</f>
        <v>64-64</v>
      </c>
      <c r="D2297" s="10">
        <f t="shared" si="5"/>
        <v>14665</v>
      </c>
      <c r="E2297" s="1" t="s">
        <v>6147</v>
      </c>
      <c r="F2297" s="1" t="s">
        <v>6148</v>
      </c>
      <c r="G2297" s="1" t="s">
        <v>1834</v>
      </c>
      <c r="H2297" s="1" t="s">
        <v>1812</v>
      </c>
      <c r="I2297" s="10" t="str">
        <f>IF(H2297="T70",1,IF(H2297="T70",3,IF(H2297="T86",6,IF(H2297="T86",10,IF(H2297="T118",14,IF(H2297="T118",18,IF(H2297="T86",22,"")))))))</f>
        <v/>
      </c>
      <c r="J2297" s="1" t="s">
        <v>1808</v>
      </c>
      <c r="K2297" s="10">
        <v>2</v>
      </c>
      <c r="L2297" s="10">
        <v>1</v>
      </c>
      <c r="O2297" s="6"/>
      <c r="P2297" s="42" t="s">
        <v>5560</v>
      </c>
      <c r="Q2297" s="42" t="s">
        <v>5682</v>
      </c>
      <c r="R2297" s="42"/>
      <c r="S2297" s="1"/>
    </row>
    <row r="2298" spans="1:19" ht="18.75" hidden="1" customHeight="1" x14ac:dyDescent="0.3">
      <c r="A2298" s="10">
        <v>2297</v>
      </c>
      <c r="B2298" s="10">
        <f>_xlfn.XLOOKUP(1,(VALUE(D2298)&gt;=VALUE(block!$C$3:$C$500))*(VALUE(D2298)&lt;VALUE(block!$C$3:$C$500)+VALUE(block!$D$3:$D$500)),block!$A$3:$A$500,"无匹配",0,1)</f>
        <v>64</v>
      </c>
      <c r="C2298" s="3" t="str">
        <f>B2298 &amp; "-" &amp; COUNTIF($B$2:B2298, B2298)</f>
        <v>64-65</v>
      </c>
      <c r="D2298" s="10">
        <f t="shared" si="5"/>
        <v>14667</v>
      </c>
      <c r="E2298" s="3" t="s">
        <v>6149</v>
      </c>
      <c r="F2298" s="1" t="s">
        <v>6150</v>
      </c>
      <c r="H2298" s="3" t="s">
        <v>1838</v>
      </c>
      <c r="I2298" s="10" t="str">
        <f>IF(H2298="T71",1,IF(H2298="T71",3,IF(H2298="T87",6,IF(H2298="T87",10,IF(H2298="T119",14,IF(H2298="T119",18,IF(H2298="T87",22,"")))))))</f>
        <v/>
      </c>
      <c r="J2298" s="1" t="s">
        <v>1808</v>
      </c>
      <c r="K2298" s="10">
        <v>2</v>
      </c>
      <c r="L2298" s="10">
        <v>1</v>
      </c>
      <c r="O2298" s="6"/>
      <c r="Q2298" s="42" t="s">
        <v>5682</v>
      </c>
      <c r="R2298" s="42"/>
      <c r="S2298" s="1"/>
    </row>
    <row r="2299" spans="1:19" ht="18.75" hidden="1" customHeight="1" x14ac:dyDescent="0.3">
      <c r="A2299" s="10">
        <v>2298</v>
      </c>
      <c r="B2299" s="10">
        <f>_xlfn.XLOOKUP(1,(VALUE(D2299)&gt;=VALUE(block!$C$3:$C$500))*(VALUE(D2299)&lt;VALUE(block!$C$3:$C$500)+VALUE(block!$D$3:$D$500)),block!$A$3:$A$500,"无匹配",0,1)</f>
        <v>64</v>
      </c>
      <c r="C2299" s="3" t="str">
        <f>B2299 &amp; "-" &amp; COUNTIF($B$2:B2299, B2299)</f>
        <v>64-66</v>
      </c>
      <c r="D2299" s="10">
        <f t="shared" si="5"/>
        <v>14669</v>
      </c>
      <c r="E2299" s="3" t="s">
        <v>6149</v>
      </c>
      <c r="F2299" s="1" t="s">
        <v>6151</v>
      </c>
      <c r="H2299" s="3" t="s">
        <v>5458</v>
      </c>
      <c r="I2299" s="10" t="str">
        <f>IF(H2299="T72",1,IF(H2299="T72",3,IF(H2299="T88",6,IF(H2299="T88",10,IF(H2299="T120",14,IF(H2299="T120",18,IF(H2299="T88",22,"")))))))</f>
        <v/>
      </c>
      <c r="J2299" s="1" t="s">
        <v>1808</v>
      </c>
      <c r="K2299" s="10">
        <v>1</v>
      </c>
      <c r="L2299" s="10">
        <v>1</v>
      </c>
      <c r="O2299" s="6"/>
      <c r="Q2299" s="42" t="s">
        <v>5682</v>
      </c>
      <c r="R2299" s="42"/>
      <c r="S2299" s="1"/>
    </row>
    <row r="2300" spans="1:19" ht="18.75" hidden="1" customHeight="1" x14ac:dyDescent="0.3">
      <c r="A2300" s="10">
        <v>2299</v>
      </c>
      <c r="B2300" s="10">
        <f>_xlfn.XLOOKUP(1,(VALUE(D2300)&gt;=VALUE(block!$C$3:$C$500))*(VALUE(D2300)&lt;VALUE(block!$C$3:$C$500)+VALUE(block!$D$3:$D$500)),block!$A$3:$A$500,"无匹配",0,1)</f>
        <v>64</v>
      </c>
      <c r="C2300" s="3" t="str">
        <f>B2300 &amp; "-" &amp; COUNTIF($B$2:B2300, B2300)</f>
        <v>64-67</v>
      </c>
      <c r="D2300" s="10">
        <f t="shared" si="5"/>
        <v>14670</v>
      </c>
      <c r="E2300" s="1" t="s">
        <v>6152</v>
      </c>
      <c r="F2300" s="1" t="s">
        <v>6153</v>
      </c>
      <c r="G2300" s="1" t="s">
        <v>1834</v>
      </c>
      <c r="H2300" s="1" t="s">
        <v>1812</v>
      </c>
      <c r="I2300" s="10" t="str">
        <f>IF(H2300="T73",1,IF(H2300="T73",3,IF(H2300="T89",6,IF(H2300="T89",10,IF(H2300="T121",14,IF(H2300="T121",18,IF(H2300="T89",22,"")))))))</f>
        <v/>
      </c>
      <c r="J2300" s="1" t="s">
        <v>1808</v>
      </c>
      <c r="K2300" s="10">
        <v>2</v>
      </c>
      <c r="L2300" s="10">
        <v>1</v>
      </c>
      <c r="O2300" s="6"/>
      <c r="P2300" s="42" t="s">
        <v>5560</v>
      </c>
      <c r="Q2300" s="42" t="s">
        <v>5682</v>
      </c>
      <c r="R2300" s="42"/>
      <c r="S2300" s="1"/>
    </row>
    <row r="2301" spans="1:19" ht="18.75" hidden="1" customHeight="1" x14ac:dyDescent="0.3">
      <c r="A2301" s="10">
        <v>2300</v>
      </c>
      <c r="B2301" s="10">
        <f>_xlfn.XLOOKUP(1,(VALUE(D2301)&gt;=VALUE(block!$C$3:$C$500))*(VALUE(D2301)&lt;VALUE(block!$C$3:$C$500)+VALUE(block!$D$3:$D$500)),block!$A$3:$A$500,"无匹配",0,1)</f>
        <v>64</v>
      </c>
      <c r="C2301" s="3" t="str">
        <f>B2301 &amp; "-" &amp; COUNTIF($B$2:B2301, B2301)</f>
        <v>64-68</v>
      </c>
      <c r="D2301" s="10">
        <f t="shared" si="5"/>
        <v>14672</v>
      </c>
      <c r="E2301" s="3" t="s">
        <v>6154</v>
      </c>
      <c r="F2301" s="1" t="s">
        <v>6155</v>
      </c>
      <c r="H2301" s="3" t="s">
        <v>1838</v>
      </c>
      <c r="I2301" s="10" t="str">
        <f>IF(H2301="T74",1,IF(H2301="T74",3,IF(H2301="T90",6,IF(H2301="T90",10,IF(H2301="T122",14,IF(H2301="T122",18,IF(H2301="T90",22,"")))))))</f>
        <v/>
      </c>
      <c r="J2301" s="1" t="s">
        <v>1808</v>
      </c>
      <c r="K2301" s="10">
        <v>2</v>
      </c>
      <c r="L2301" s="10">
        <v>1</v>
      </c>
      <c r="O2301" s="6"/>
      <c r="Q2301" s="42" t="s">
        <v>5682</v>
      </c>
      <c r="R2301" s="42"/>
      <c r="S2301" s="1"/>
    </row>
    <row r="2302" spans="1:19" ht="18.75" hidden="1" customHeight="1" x14ac:dyDescent="0.3">
      <c r="A2302" s="10">
        <v>2301</v>
      </c>
      <c r="B2302" s="10">
        <f>_xlfn.XLOOKUP(1,(VALUE(D2302)&gt;=VALUE(block!$C$3:$C$500))*(VALUE(D2302)&lt;VALUE(block!$C$3:$C$500)+VALUE(block!$D$3:$D$500)),block!$A$3:$A$500,"无匹配",0,1)</f>
        <v>64</v>
      </c>
      <c r="C2302" s="3" t="str">
        <f>B2302 &amp; "-" &amp; COUNTIF($B$2:B2302, B2302)</f>
        <v>64-69</v>
      </c>
      <c r="D2302" s="10">
        <f t="shared" si="5"/>
        <v>14674</v>
      </c>
      <c r="E2302" s="3" t="s">
        <v>6154</v>
      </c>
      <c r="F2302" s="1" t="s">
        <v>6156</v>
      </c>
      <c r="H2302" s="3" t="s">
        <v>5458</v>
      </c>
      <c r="I2302" s="10" t="str">
        <f>IF(H2302="T75",1,IF(H2302="T75",3,IF(H2302="T91",6,IF(H2302="T91",10,IF(H2302="T123",14,IF(H2302="T123",18,IF(H2302="T91",22,"")))))))</f>
        <v/>
      </c>
      <c r="J2302" s="1" t="s">
        <v>1808</v>
      </c>
      <c r="K2302" s="10">
        <v>1</v>
      </c>
      <c r="L2302" s="10">
        <v>1</v>
      </c>
      <c r="O2302" s="6"/>
      <c r="Q2302" s="42" t="s">
        <v>5682</v>
      </c>
      <c r="R2302" s="42"/>
      <c r="S2302" s="1"/>
    </row>
    <row r="2303" spans="1:19" ht="18.75" hidden="1" customHeight="1" x14ac:dyDescent="0.3">
      <c r="A2303" s="10">
        <v>2302</v>
      </c>
      <c r="B2303" s="10">
        <f>_xlfn.XLOOKUP(1,(VALUE(D2303)&gt;=VALUE(block!$C$3:$C$500))*(VALUE(D2303)&lt;VALUE(block!$C$3:$C$500)+VALUE(block!$D$3:$D$500)),block!$A$3:$A$500,"无匹配",0,1)</f>
        <v>64</v>
      </c>
      <c r="C2303" s="3" t="str">
        <f>B2303 &amp; "-" &amp; COUNTIF($B$2:B2303, B2303)</f>
        <v>64-70</v>
      </c>
      <c r="D2303" s="10">
        <f t="shared" si="5"/>
        <v>14675</v>
      </c>
      <c r="E2303" s="1" t="s">
        <v>6157</v>
      </c>
      <c r="F2303" s="1" t="s">
        <v>6158</v>
      </c>
      <c r="G2303" s="1" t="s">
        <v>1836</v>
      </c>
      <c r="H2303" s="1" t="s">
        <v>1812</v>
      </c>
      <c r="I2303" s="10" t="str">
        <f>IF(H2303="T76",1,IF(H2303="T76",3,IF(H2303="T92",6,IF(H2303="T92",10,IF(H2303="T124",14,IF(H2303="T124",18,IF(H2303="T92",22,"")))))))</f>
        <v/>
      </c>
      <c r="J2303" s="1" t="s">
        <v>1808</v>
      </c>
      <c r="K2303" s="10">
        <v>2</v>
      </c>
      <c r="L2303" s="10">
        <v>1</v>
      </c>
      <c r="O2303" s="6"/>
      <c r="P2303" s="42" t="s">
        <v>5560</v>
      </c>
      <c r="Q2303" s="42" t="s">
        <v>5682</v>
      </c>
      <c r="R2303" s="42"/>
      <c r="S2303" s="1"/>
    </row>
    <row r="2304" spans="1:19" ht="18.75" hidden="1" customHeight="1" x14ac:dyDescent="0.3">
      <c r="A2304" s="10">
        <v>2303</v>
      </c>
      <c r="B2304" s="10">
        <f>_xlfn.XLOOKUP(1,(VALUE(D2304)&gt;=VALUE(block!$C$3:$C$500))*(VALUE(D2304)&lt;VALUE(block!$C$3:$C$500)+VALUE(block!$D$3:$D$500)),block!$A$3:$A$500,"无匹配",0,1)</f>
        <v>64</v>
      </c>
      <c r="C2304" s="3" t="str">
        <f>B2304 &amp; "-" &amp; COUNTIF($B$2:B2304, B2304)</f>
        <v>64-71</v>
      </c>
      <c r="D2304" s="10">
        <f t="shared" si="5"/>
        <v>14677</v>
      </c>
      <c r="E2304" s="3" t="s">
        <v>6159</v>
      </c>
      <c r="F2304" s="1" t="s">
        <v>6160</v>
      </c>
      <c r="H2304" s="3" t="s">
        <v>1838</v>
      </c>
      <c r="I2304" s="10" t="str">
        <f>IF(H2304="T77",1,IF(H2304="T77",3,IF(H2304="T93",6,IF(H2304="T93",10,IF(H2304="T125",14,IF(H2304="T125",18,IF(H2304="T93",22,"")))))))</f>
        <v/>
      </c>
      <c r="J2304" s="1" t="s">
        <v>1808</v>
      </c>
      <c r="K2304" s="10">
        <v>2</v>
      </c>
      <c r="L2304" s="10">
        <v>1</v>
      </c>
      <c r="O2304" s="6"/>
      <c r="Q2304" s="42" t="s">
        <v>5682</v>
      </c>
      <c r="R2304" s="42"/>
      <c r="S2304" s="1"/>
    </row>
    <row r="2305" spans="1:19" ht="18.75" hidden="1" customHeight="1" x14ac:dyDescent="0.3">
      <c r="A2305" s="10">
        <v>2304</v>
      </c>
      <c r="B2305" s="10">
        <f>_xlfn.XLOOKUP(1,(VALUE(D2305)&gt;=VALUE(block!$C$3:$C$500))*(VALUE(D2305)&lt;VALUE(block!$C$3:$C$500)+VALUE(block!$D$3:$D$500)),block!$A$3:$A$500,"无匹配",0,1)</f>
        <v>64</v>
      </c>
      <c r="C2305" s="3" t="str">
        <f>B2305 &amp; "-" &amp; COUNTIF($B$2:B2305, B2305)</f>
        <v>64-72</v>
      </c>
      <c r="D2305" s="10">
        <f t="shared" si="5"/>
        <v>14679</v>
      </c>
      <c r="E2305" s="3" t="s">
        <v>6159</v>
      </c>
      <c r="F2305" s="1" t="s">
        <v>6161</v>
      </c>
      <c r="H2305" s="3" t="s">
        <v>5458</v>
      </c>
      <c r="I2305" s="10" t="str">
        <f>IF(H2305="T78",1,IF(H2305="T78",3,IF(H2305="T94",6,IF(H2305="T94",10,IF(H2305="T126",14,IF(H2305="T126",18,IF(H2305="T94",22,"")))))))</f>
        <v/>
      </c>
      <c r="J2305" s="1" t="s">
        <v>1808</v>
      </c>
      <c r="K2305" s="10">
        <v>1</v>
      </c>
      <c r="L2305" s="10">
        <v>1</v>
      </c>
      <c r="O2305" s="6"/>
      <c r="Q2305" s="42" t="s">
        <v>5682</v>
      </c>
      <c r="R2305" s="42"/>
      <c r="S2305" s="1"/>
    </row>
    <row r="2306" spans="1:19" ht="18.75" hidden="1" customHeight="1" x14ac:dyDescent="0.3">
      <c r="A2306" s="10">
        <v>2305</v>
      </c>
      <c r="B2306" s="10">
        <f>_xlfn.XLOOKUP(1,(VALUE(D2306)&gt;=VALUE(block!$C$3:$C$500))*(VALUE(D2306)&lt;VALUE(block!$C$3:$C$500)+VALUE(block!$D$3:$D$500)),block!$A$3:$A$500,"无匹配",0,1)</f>
        <v>65</v>
      </c>
      <c r="C2306" s="3" t="str">
        <f>B2306 &amp; "-" &amp; COUNTIF($B$2:B2306, B2306)</f>
        <v>65-1</v>
      </c>
      <c r="D2306" s="10">
        <f t="shared" si="5"/>
        <v>14680</v>
      </c>
      <c r="E2306" s="1" t="s">
        <v>6162</v>
      </c>
      <c r="F2306" s="1" t="s">
        <v>6163</v>
      </c>
      <c r="G2306" s="1" t="s">
        <v>1830</v>
      </c>
      <c r="H2306" s="1" t="s">
        <v>1812</v>
      </c>
      <c r="I2306" s="10" t="str">
        <f>IF(H2306="T79",1,IF(H2306="T79",3,IF(H2306="T95",6,IF(H2306="T95",10,IF(H2306="T127",14,IF(H2306="T127",18,IF(H2306="T95",22,"")))))))</f>
        <v/>
      </c>
      <c r="J2306" s="1" t="s">
        <v>1808</v>
      </c>
      <c r="K2306" s="10">
        <v>2</v>
      </c>
      <c r="L2306" s="10">
        <v>1</v>
      </c>
      <c r="O2306" s="6"/>
      <c r="P2306" s="42" t="s">
        <v>5560</v>
      </c>
      <c r="Q2306" s="42" t="s">
        <v>5682</v>
      </c>
      <c r="R2306" s="42"/>
      <c r="S2306" s="1"/>
    </row>
    <row r="2307" spans="1:19" ht="18.75" hidden="1" customHeight="1" x14ac:dyDescent="0.3">
      <c r="A2307" s="10">
        <v>2306</v>
      </c>
      <c r="B2307" s="10">
        <f>_xlfn.XLOOKUP(1,(VALUE(D2307)&gt;=VALUE(block!$C$3:$C$500))*(VALUE(D2307)&lt;VALUE(block!$C$3:$C$500)+VALUE(block!$D$3:$D$500)),block!$A$3:$A$500,"无匹配",0,1)</f>
        <v>65</v>
      </c>
      <c r="C2307" s="3" t="str">
        <f>B2307 &amp; "-" &amp; COUNTIF($B$2:B2307, B2307)</f>
        <v>65-2</v>
      </c>
      <c r="D2307" s="10">
        <f t="shared" si="5"/>
        <v>14682</v>
      </c>
      <c r="E2307" s="3" t="s">
        <v>6164</v>
      </c>
      <c r="F2307" s="1" t="s">
        <v>6165</v>
      </c>
      <c r="H2307" s="3" t="s">
        <v>1838</v>
      </c>
      <c r="I2307" s="10">
        <f>IF(H2307="uint16",1,IF(H2307="int16",3,IF(H2307="uint32",6,IF(H2307="int32",10,IF(H2307="uint64",14,IF(H2307="int64",18,IF(H2307="float32",22,"")))))))</f>
        <v>6</v>
      </c>
      <c r="J2307" s="1" t="s">
        <v>1808</v>
      </c>
      <c r="K2307" s="10">
        <v>2</v>
      </c>
      <c r="L2307" s="10">
        <v>1</v>
      </c>
      <c r="O2307" s="6"/>
      <c r="Q2307" s="42" t="s">
        <v>5682</v>
      </c>
      <c r="R2307" s="42"/>
      <c r="S2307" s="1"/>
    </row>
    <row r="2308" spans="1:19" ht="18.75" hidden="1" customHeight="1" x14ac:dyDescent="0.3">
      <c r="A2308" s="10">
        <v>2307</v>
      </c>
      <c r="B2308" s="10">
        <f>_xlfn.XLOOKUP(1,(VALUE(D2308)&gt;=VALUE(block!$C$3:$C$500))*(VALUE(D2308)&lt;VALUE(block!$C$3:$C$500)+VALUE(block!$D$3:$D$500)),block!$A$3:$A$500,"无匹配",0,1)</f>
        <v>65</v>
      </c>
      <c r="C2308" s="3" t="str">
        <f>B2308 &amp; "-" &amp; COUNTIF($B$2:B2308, B2308)</f>
        <v>65-3</v>
      </c>
      <c r="D2308" s="10">
        <f t="shared" si="5"/>
        <v>14684</v>
      </c>
      <c r="E2308" s="3" t="s">
        <v>6164</v>
      </c>
      <c r="F2308" s="1" t="s">
        <v>6166</v>
      </c>
      <c r="H2308" s="3" t="s">
        <v>5458</v>
      </c>
      <c r="I2308" s="10" t="str">
        <f>IF(H2308="T17",1,IF(H2308="T17",3,IF(H2308="T33",6,IF(H2308="T33",10,IF(H2308="T65",14,IF(H2308="T65",18,IF(H2308="T33",22,"")))))))</f>
        <v/>
      </c>
      <c r="J2308" s="1" t="s">
        <v>1808</v>
      </c>
      <c r="K2308" s="10">
        <v>1</v>
      </c>
      <c r="L2308" s="10">
        <v>1</v>
      </c>
      <c r="O2308" s="6"/>
      <c r="Q2308" s="42" t="s">
        <v>5682</v>
      </c>
      <c r="R2308" s="42"/>
      <c r="S2308" s="1"/>
    </row>
    <row r="2309" spans="1:19" ht="18.75" hidden="1" customHeight="1" x14ac:dyDescent="0.3">
      <c r="A2309" s="10">
        <v>2308</v>
      </c>
      <c r="B2309" s="10">
        <f>_xlfn.XLOOKUP(1,(VALUE(D2309)&gt;=VALUE(block!$C$3:$C$500))*(VALUE(D2309)&lt;VALUE(block!$C$3:$C$500)+VALUE(block!$D$3:$D$500)),block!$A$3:$A$500,"无匹配",0,1)</f>
        <v>65</v>
      </c>
      <c r="C2309" s="3" t="str">
        <f>B2309 &amp; "-" &amp; COUNTIF($B$2:B2309, B2309)</f>
        <v>65-4</v>
      </c>
      <c r="D2309" s="10">
        <f t="shared" si="5"/>
        <v>14685</v>
      </c>
      <c r="E2309" s="1" t="s">
        <v>6167</v>
      </c>
      <c r="F2309" s="1" t="s">
        <v>6168</v>
      </c>
      <c r="G2309" s="1" t="s">
        <v>1832</v>
      </c>
      <c r="H2309" s="1" t="s">
        <v>1812</v>
      </c>
      <c r="I2309" s="10" t="str">
        <f>IF(H2309="T18",1,IF(H2309="T18",3,IF(H2309="T34",6,IF(H2309="T34",10,IF(H2309="T66",14,IF(H2309="T66",18,IF(H2309="T34",22,"")))))))</f>
        <v/>
      </c>
      <c r="J2309" s="1" t="s">
        <v>1808</v>
      </c>
      <c r="K2309" s="10">
        <v>2</v>
      </c>
      <c r="L2309" s="10">
        <v>1</v>
      </c>
      <c r="O2309" s="6"/>
      <c r="P2309" s="42" t="s">
        <v>5560</v>
      </c>
      <c r="Q2309" s="42" t="s">
        <v>5682</v>
      </c>
      <c r="R2309" s="42"/>
      <c r="S2309" s="1"/>
    </row>
    <row r="2310" spans="1:19" ht="18.75" hidden="1" customHeight="1" x14ac:dyDescent="0.3">
      <c r="A2310" s="10">
        <v>2309</v>
      </c>
      <c r="B2310" s="10">
        <f>_xlfn.XLOOKUP(1,(VALUE(D2310)&gt;=VALUE(block!$C$3:$C$500))*(VALUE(D2310)&lt;VALUE(block!$C$3:$C$500)+VALUE(block!$D$3:$D$500)),block!$A$3:$A$500,"无匹配",0,1)</f>
        <v>65</v>
      </c>
      <c r="C2310" s="3" t="str">
        <f>B2310 &amp; "-" &amp; COUNTIF($B$2:B2310, B2310)</f>
        <v>65-5</v>
      </c>
      <c r="D2310" s="10">
        <f t="shared" si="5"/>
        <v>14687</v>
      </c>
      <c r="E2310" s="3" t="s">
        <v>6169</v>
      </c>
      <c r="F2310" s="1" t="s">
        <v>6170</v>
      </c>
      <c r="H2310" s="3" t="s">
        <v>1838</v>
      </c>
      <c r="I2310" s="10" t="str">
        <f>IF(H2310="T19",1,IF(H2310="T19",3,IF(H2310="T35",6,IF(H2310="T35",10,IF(H2310="T67",14,IF(H2310="T67",18,IF(H2310="T35",22,"")))))))</f>
        <v/>
      </c>
      <c r="J2310" s="1" t="s">
        <v>1808</v>
      </c>
      <c r="K2310" s="10">
        <v>2</v>
      </c>
      <c r="L2310" s="10">
        <v>1</v>
      </c>
      <c r="O2310" s="6"/>
      <c r="Q2310" s="42" t="s">
        <v>5682</v>
      </c>
      <c r="R2310" s="42"/>
      <c r="S2310" s="1"/>
    </row>
    <row r="2311" spans="1:19" ht="18.75" hidden="1" customHeight="1" x14ac:dyDescent="0.3">
      <c r="A2311" s="10">
        <v>2310</v>
      </c>
      <c r="B2311" s="10">
        <f>_xlfn.XLOOKUP(1,(VALUE(D2311)&gt;=VALUE(block!$C$3:$C$500))*(VALUE(D2311)&lt;VALUE(block!$C$3:$C$500)+VALUE(block!$D$3:$D$500)),block!$A$3:$A$500,"无匹配",0,1)</f>
        <v>65</v>
      </c>
      <c r="C2311" s="3" t="str">
        <f>B2311 &amp; "-" &amp; COUNTIF($B$2:B2311, B2311)</f>
        <v>65-6</v>
      </c>
      <c r="D2311" s="10">
        <f t="shared" si="5"/>
        <v>14689</v>
      </c>
      <c r="E2311" s="3" t="s">
        <v>6169</v>
      </c>
      <c r="F2311" s="1" t="s">
        <v>6171</v>
      </c>
      <c r="H2311" s="3" t="s">
        <v>5458</v>
      </c>
      <c r="I2311" s="10" t="str">
        <f>IF(H2311="T20",1,IF(H2311="T20",3,IF(H2311="T36",6,IF(H2311="T36",10,IF(H2311="T68",14,IF(H2311="T68",18,IF(H2311="T36",22,"")))))))</f>
        <v/>
      </c>
      <c r="J2311" s="1" t="s">
        <v>1808</v>
      </c>
      <c r="K2311" s="10">
        <v>1</v>
      </c>
      <c r="L2311" s="10">
        <v>1</v>
      </c>
      <c r="O2311" s="6"/>
      <c r="Q2311" s="42" t="s">
        <v>5682</v>
      </c>
      <c r="R2311" s="42"/>
      <c r="S2311" s="1"/>
    </row>
    <row r="2312" spans="1:19" ht="18.75" hidden="1" customHeight="1" x14ac:dyDescent="0.3">
      <c r="A2312" s="10">
        <v>2311</v>
      </c>
      <c r="B2312" s="10">
        <f>_xlfn.XLOOKUP(1,(VALUE(D2312)&gt;=VALUE(block!$C$3:$C$500))*(VALUE(D2312)&lt;VALUE(block!$C$3:$C$500)+VALUE(block!$D$3:$D$500)),block!$A$3:$A$500,"无匹配",0,1)</f>
        <v>65</v>
      </c>
      <c r="C2312" s="3" t="str">
        <f>B2312 &amp; "-" &amp; COUNTIF($B$2:B2312, B2312)</f>
        <v>65-7</v>
      </c>
      <c r="D2312" s="10">
        <f t="shared" si="5"/>
        <v>14690</v>
      </c>
      <c r="E2312" s="1" t="s">
        <v>6172</v>
      </c>
      <c r="F2312" s="1" t="s">
        <v>6173</v>
      </c>
      <c r="G2312" s="1" t="s">
        <v>1832</v>
      </c>
      <c r="H2312" s="1" t="s">
        <v>1812</v>
      </c>
      <c r="I2312" s="10" t="str">
        <f>IF(H2312="T21",1,IF(H2312="T21",3,IF(H2312="T37",6,IF(H2312="T37",10,IF(H2312="T69",14,IF(H2312="T69",18,IF(H2312="T37",22,"")))))))</f>
        <v/>
      </c>
      <c r="J2312" s="1" t="s">
        <v>1808</v>
      </c>
      <c r="K2312" s="10">
        <v>2</v>
      </c>
      <c r="L2312" s="10">
        <v>1</v>
      </c>
      <c r="O2312" s="6"/>
      <c r="P2312" s="42" t="s">
        <v>5560</v>
      </c>
      <c r="Q2312" s="42" t="s">
        <v>5682</v>
      </c>
      <c r="R2312" s="42"/>
      <c r="S2312" s="1"/>
    </row>
    <row r="2313" spans="1:19" ht="18.75" hidden="1" customHeight="1" x14ac:dyDescent="0.3">
      <c r="A2313" s="10">
        <v>2312</v>
      </c>
      <c r="B2313" s="10">
        <f>_xlfn.XLOOKUP(1,(VALUE(D2313)&gt;=VALUE(block!$C$3:$C$500))*(VALUE(D2313)&lt;VALUE(block!$C$3:$C$500)+VALUE(block!$D$3:$D$500)),block!$A$3:$A$500,"无匹配",0,1)</f>
        <v>65</v>
      </c>
      <c r="C2313" s="3" t="str">
        <f>B2313 &amp; "-" &amp; COUNTIF($B$2:B2313, B2313)</f>
        <v>65-8</v>
      </c>
      <c r="D2313" s="10">
        <f t="shared" si="5"/>
        <v>14692</v>
      </c>
      <c r="E2313" s="3" t="s">
        <v>6174</v>
      </c>
      <c r="F2313" s="1" t="s">
        <v>6175</v>
      </c>
      <c r="H2313" s="3" t="s">
        <v>1838</v>
      </c>
      <c r="I2313" s="10" t="str">
        <f>IF(H2313="T22",1,IF(H2313="T22",3,IF(H2313="T38",6,IF(H2313="T38",10,IF(H2313="T70",14,IF(H2313="T70",18,IF(H2313="T38",22,"")))))))</f>
        <v/>
      </c>
      <c r="J2313" s="1" t="s">
        <v>1808</v>
      </c>
      <c r="K2313" s="10">
        <v>2</v>
      </c>
      <c r="L2313" s="10">
        <v>1</v>
      </c>
      <c r="O2313" s="6"/>
      <c r="Q2313" s="42" t="s">
        <v>5682</v>
      </c>
      <c r="R2313" s="42"/>
      <c r="S2313" s="1"/>
    </row>
    <row r="2314" spans="1:19" ht="18.75" hidden="1" customHeight="1" x14ac:dyDescent="0.3">
      <c r="A2314" s="10">
        <v>2313</v>
      </c>
      <c r="B2314" s="10">
        <f>_xlfn.XLOOKUP(1,(VALUE(D2314)&gt;=VALUE(block!$C$3:$C$500))*(VALUE(D2314)&lt;VALUE(block!$C$3:$C$500)+VALUE(block!$D$3:$D$500)),block!$A$3:$A$500,"无匹配",0,1)</f>
        <v>65</v>
      </c>
      <c r="C2314" s="3" t="str">
        <f>B2314 &amp; "-" &amp; COUNTIF($B$2:B2314, B2314)</f>
        <v>65-9</v>
      </c>
      <c r="D2314" s="10">
        <f t="shared" si="5"/>
        <v>14694</v>
      </c>
      <c r="E2314" s="3" t="s">
        <v>6174</v>
      </c>
      <c r="F2314" s="1" t="s">
        <v>6176</v>
      </c>
      <c r="H2314" s="3" t="s">
        <v>5458</v>
      </c>
      <c r="I2314" s="10" t="str">
        <f>IF(H2314="T23",1,IF(H2314="T23",3,IF(H2314="T39",6,IF(H2314="T39",10,IF(H2314="T71",14,IF(H2314="T71",18,IF(H2314="T39",22,"")))))))</f>
        <v/>
      </c>
      <c r="J2314" s="1" t="s">
        <v>1808</v>
      </c>
      <c r="K2314" s="10">
        <v>1</v>
      </c>
      <c r="L2314" s="10">
        <v>1</v>
      </c>
      <c r="O2314" s="6"/>
      <c r="Q2314" s="42" t="s">
        <v>5682</v>
      </c>
      <c r="R2314" s="42"/>
      <c r="S2314" s="1"/>
    </row>
    <row r="2315" spans="1:19" ht="18.75" hidden="1" customHeight="1" x14ac:dyDescent="0.3">
      <c r="A2315" s="10">
        <v>2314</v>
      </c>
      <c r="B2315" s="10">
        <f>_xlfn.XLOOKUP(1,(VALUE(D2315)&gt;=VALUE(block!$C$3:$C$500))*(VALUE(D2315)&lt;VALUE(block!$C$3:$C$500)+VALUE(block!$D$3:$D$500)),block!$A$3:$A$500,"无匹配",0,1)</f>
        <v>65</v>
      </c>
      <c r="C2315" s="3" t="str">
        <f>B2315 &amp; "-" &amp; COUNTIF($B$2:B2315, B2315)</f>
        <v>65-10</v>
      </c>
      <c r="D2315" s="10">
        <f t="shared" si="5"/>
        <v>14695</v>
      </c>
      <c r="E2315" s="1" t="s">
        <v>6177</v>
      </c>
      <c r="F2315" s="1" t="s">
        <v>6178</v>
      </c>
      <c r="G2315" s="1" t="s">
        <v>1834</v>
      </c>
      <c r="H2315" s="1" t="s">
        <v>1812</v>
      </c>
      <c r="I2315" s="10" t="str">
        <f>IF(H2315="T24",1,IF(H2315="T24",3,IF(H2315="T40",6,IF(H2315="T40",10,IF(H2315="T72",14,IF(H2315="T72",18,IF(H2315="T40",22,"")))))))</f>
        <v/>
      </c>
      <c r="J2315" s="1" t="s">
        <v>1808</v>
      </c>
      <c r="K2315" s="10">
        <v>2</v>
      </c>
      <c r="L2315" s="10">
        <v>1</v>
      </c>
      <c r="O2315" s="6"/>
      <c r="P2315" s="42" t="s">
        <v>5560</v>
      </c>
      <c r="Q2315" s="42" t="s">
        <v>5682</v>
      </c>
      <c r="R2315" s="42"/>
      <c r="S2315" s="1"/>
    </row>
    <row r="2316" spans="1:19" ht="18.75" hidden="1" customHeight="1" x14ac:dyDescent="0.3">
      <c r="A2316" s="10">
        <v>2315</v>
      </c>
      <c r="B2316" s="10">
        <f>_xlfn.XLOOKUP(1,(VALUE(D2316)&gt;=VALUE(block!$C$3:$C$500))*(VALUE(D2316)&lt;VALUE(block!$C$3:$C$500)+VALUE(block!$D$3:$D$500)),block!$A$3:$A$500,"无匹配",0,1)</f>
        <v>65</v>
      </c>
      <c r="C2316" s="3" t="str">
        <f>B2316 &amp; "-" &amp; COUNTIF($B$2:B2316, B2316)</f>
        <v>65-11</v>
      </c>
      <c r="D2316" s="10">
        <f t="shared" si="5"/>
        <v>14697</v>
      </c>
      <c r="E2316" s="3" t="s">
        <v>6179</v>
      </c>
      <c r="F2316" s="1" t="s">
        <v>6180</v>
      </c>
      <c r="H2316" s="3" t="s">
        <v>1838</v>
      </c>
      <c r="I2316" s="10" t="str">
        <f>IF(H2316="T25",1,IF(H2316="T25",3,IF(H2316="T41",6,IF(H2316="T41",10,IF(H2316="T73",14,IF(H2316="T73",18,IF(H2316="T41",22,"")))))))</f>
        <v/>
      </c>
      <c r="J2316" s="1" t="s">
        <v>1808</v>
      </c>
      <c r="K2316" s="10">
        <v>2</v>
      </c>
      <c r="L2316" s="10">
        <v>1</v>
      </c>
      <c r="O2316" s="6"/>
      <c r="Q2316" s="42" t="s">
        <v>5682</v>
      </c>
      <c r="R2316" s="42"/>
      <c r="S2316" s="1"/>
    </row>
    <row r="2317" spans="1:19" ht="18.75" hidden="1" customHeight="1" x14ac:dyDescent="0.3">
      <c r="A2317" s="10">
        <v>2316</v>
      </c>
      <c r="B2317" s="10">
        <f>_xlfn.XLOOKUP(1,(VALUE(D2317)&gt;=VALUE(block!$C$3:$C$500))*(VALUE(D2317)&lt;VALUE(block!$C$3:$C$500)+VALUE(block!$D$3:$D$500)),block!$A$3:$A$500,"无匹配",0,1)</f>
        <v>65</v>
      </c>
      <c r="C2317" s="3" t="str">
        <f>B2317 &amp; "-" &amp; COUNTIF($B$2:B2317, B2317)</f>
        <v>65-12</v>
      </c>
      <c r="D2317" s="10">
        <f t="shared" si="5"/>
        <v>14699</v>
      </c>
      <c r="E2317" s="3" t="s">
        <v>6179</v>
      </c>
      <c r="F2317" s="1" t="s">
        <v>6181</v>
      </c>
      <c r="H2317" s="3" t="s">
        <v>5458</v>
      </c>
      <c r="I2317" s="10" t="str">
        <f>IF(H2317="T26",1,IF(H2317="T26",3,IF(H2317="T42",6,IF(H2317="T42",10,IF(H2317="T74",14,IF(H2317="T74",18,IF(H2317="T42",22,"")))))))</f>
        <v/>
      </c>
      <c r="J2317" s="1" t="s">
        <v>1808</v>
      </c>
      <c r="K2317" s="10">
        <v>1</v>
      </c>
      <c r="L2317" s="10">
        <v>1</v>
      </c>
      <c r="O2317" s="6"/>
      <c r="Q2317" s="42" t="s">
        <v>5682</v>
      </c>
      <c r="R2317" s="42"/>
      <c r="S2317" s="1"/>
    </row>
    <row r="2318" spans="1:19" ht="18.75" hidden="1" customHeight="1" x14ac:dyDescent="0.3">
      <c r="A2318" s="10">
        <v>2317</v>
      </c>
      <c r="B2318" s="10">
        <f>_xlfn.XLOOKUP(1,(VALUE(D2318)&gt;=VALUE(block!$C$3:$C$500))*(VALUE(D2318)&lt;VALUE(block!$C$3:$C$500)+VALUE(block!$D$3:$D$500)),block!$A$3:$A$500,"无匹配",0,1)</f>
        <v>65</v>
      </c>
      <c r="C2318" s="3" t="str">
        <f>B2318 &amp; "-" &amp; COUNTIF($B$2:B2318, B2318)</f>
        <v>65-13</v>
      </c>
      <c r="D2318" s="10">
        <f t="shared" si="5"/>
        <v>14700</v>
      </c>
      <c r="E2318" s="1" t="s">
        <v>6182</v>
      </c>
      <c r="F2318" s="1" t="s">
        <v>6183</v>
      </c>
      <c r="G2318" s="1" t="s">
        <v>1834</v>
      </c>
      <c r="H2318" s="1" t="s">
        <v>1812</v>
      </c>
      <c r="I2318" s="10" t="str">
        <f>IF(H2318="T27",1,IF(H2318="T27",3,IF(H2318="T43",6,IF(H2318="T43",10,IF(H2318="T75",14,IF(H2318="T75",18,IF(H2318="T43",22,"")))))))</f>
        <v/>
      </c>
      <c r="J2318" s="1" t="s">
        <v>1808</v>
      </c>
      <c r="K2318" s="10">
        <v>2</v>
      </c>
      <c r="L2318" s="10">
        <v>1</v>
      </c>
      <c r="O2318" s="6"/>
      <c r="P2318" s="42" t="s">
        <v>5560</v>
      </c>
      <c r="Q2318" s="42" t="s">
        <v>5682</v>
      </c>
      <c r="R2318" s="42"/>
      <c r="S2318" s="1"/>
    </row>
    <row r="2319" spans="1:19" ht="18.75" hidden="1" customHeight="1" x14ac:dyDescent="0.3">
      <c r="A2319" s="10">
        <v>2318</v>
      </c>
      <c r="B2319" s="10">
        <f>_xlfn.XLOOKUP(1,(VALUE(D2319)&gt;=VALUE(block!$C$3:$C$500))*(VALUE(D2319)&lt;VALUE(block!$C$3:$C$500)+VALUE(block!$D$3:$D$500)),block!$A$3:$A$500,"无匹配",0,1)</f>
        <v>65</v>
      </c>
      <c r="C2319" s="3" t="str">
        <f>B2319 &amp; "-" &amp; COUNTIF($B$2:B2319, B2319)</f>
        <v>65-14</v>
      </c>
      <c r="D2319" s="10">
        <f t="shared" si="5"/>
        <v>14702</v>
      </c>
      <c r="E2319" s="3" t="s">
        <v>6184</v>
      </c>
      <c r="F2319" s="1" t="s">
        <v>6185</v>
      </c>
      <c r="H2319" s="3" t="s">
        <v>1838</v>
      </c>
      <c r="I2319" s="10" t="str">
        <f>IF(H2319="T28",1,IF(H2319="T28",3,IF(H2319="T44",6,IF(H2319="T44",10,IF(H2319="T76",14,IF(H2319="T76",18,IF(H2319="T44",22,"")))))))</f>
        <v/>
      </c>
      <c r="J2319" s="1" t="s">
        <v>1808</v>
      </c>
      <c r="K2319" s="10">
        <v>2</v>
      </c>
      <c r="L2319" s="10">
        <v>1</v>
      </c>
      <c r="O2319" s="6"/>
      <c r="Q2319" s="42" t="s">
        <v>5682</v>
      </c>
      <c r="R2319" s="42"/>
      <c r="S2319" s="1"/>
    </row>
    <row r="2320" spans="1:19" ht="18.75" hidden="1" customHeight="1" x14ac:dyDescent="0.3">
      <c r="A2320" s="10">
        <v>2319</v>
      </c>
      <c r="B2320" s="10">
        <f>_xlfn.XLOOKUP(1,(VALUE(D2320)&gt;=VALUE(block!$C$3:$C$500))*(VALUE(D2320)&lt;VALUE(block!$C$3:$C$500)+VALUE(block!$D$3:$D$500)),block!$A$3:$A$500,"无匹配",0,1)</f>
        <v>65</v>
      </c>
      <c r="C2320" s="3" t="str">
        <f>B2320 &amp; "-" &amp; COUNTIF($B$2:B2320, B2320)</f>
        <v>65-15</v>
      </c>
      <c r="D2320" s="10">
        <f t="shared" si="5"/>
        <v>14704</v>
      </c>
      <c r="E2320" s="3" t="s">
        <v>6184</v>
      </c>
      <c r="F2320" s="1" t="s">
        <v>6186</v>
      </c>
      <c r="H2320" s="3" t="s">
        <v>5458</v>
      </c>
      <c r="I2320" s="10" t="str">
        <f>IF(H2320="T29",1,IF(H2320="T29",3,IF(H2320="T45",6,IF(H2320="T45",10,IF(H2320="T77",14,IF(H2320="T77",18,IF(H2320="T45",22,"")))))))</f>
        <v/>
      </c>
      <c r="J2320" s="1" t="s">
        <v>1808</v>
      </c>
      <c r="K2320" s="10">
        <v>1</v>
      </c>
      <c r="L2320" s="10">
        <v>1</v>
      </c>
      <c r="O2320" s="6"/>
      <c r="Q2320" s="42" t="s">
        <v>5682</v>
      </c>
      <c r="R2320" s="42"/>
      <c r="S2320" s="1"/>
    </row>
    <row r="2321" spans="1:19" ht="18.75" hidden="1" customHeight="1" x14ac:dyDescent="0.3">
      <c r="A2321" s="10">
        <v>2320</v>
      </c>
      <c r="B2321" s="10">
        <f>_xlfn.XLOOKUP(1,(VALUE(D2321)&gt;=VALUE(block!$C$3:$C$500))*(VALUE(D2321)&lt;VALUE(block!$C$3:$C$500)+VALUE(block!$D$3:$D$500)),block!$A$3:$A$500,"无匹配",0,1)</f>
        <v>65</v>
      </c>
      <c r="C2321" s="3" t="str">
        <f>B2321 &amp; "-" &amp; COUNTIF($B$2:B2321, B2321)</f>
        <v>65-16</v>
      </c>
      <c r="D2321" s="10">
        <f t="shared" si="5"/>
        <v>14705</v>
      </c>
      <c r="E2321" s="1" t="s">
        <v>6187</v>
      </c>
      <c r="F2321" s="1" t="s">
        <v>6188</v>
      </c>
      <c r="G2321" s="1" t="s">
        <v>1836</v>
      </c>
      <c r="H2321" s="1" t="s">
        <v>1812</v>
      </c>
      <c r="I2321" s="10" t="str">
        <f>IF(H2321="T30",1,IF(H2321="T30",3,IF(H2321="T46",6,IF(H2321="T46",10,IF(H2321="T78",14,IF(H2321="T78",18,IF(H2321="T46",22,"")))))))</f>
        <v/>
      </c>
      <c r="J2321" s="1" t="s">
        <v>1808</v>
      </c>
      <c r="K2321" s="10">
        <v>2</v>
      </c>
      <c r="L2321" s="10">
        <v>1</v>
      </c>
      <c r="O2321" s="6"/>
      <c r="P2321" s="42" t="s">
        <v>5560</v>
      </c>
      <c r="Q2321" s="42" t="s">
        <v>5682</v>
      </c>
      <c r="R2321" s="42"/>
      <c r="S2321" s="1"/>
    </row>
    <row r="2322" spans="1:19" ht="18.75" hidden="1" customHeight="1" x14ac:dyDescent="0.3">
      <c r="A2322" s="10">
        <v>2321</v>
      </c>
      <c r="B2322" s="10">
        <f>_xlfn.XLOOKUP(1,(VALUE(D2322)&gt;=VALUE(block!$C$3:$C$500))*(VALUE(D2322)&lt;VALUE(block!$C$3:$C$500)+VALUE(block!$D$3:$D$500)),block!$A$3:$A$500,"无匹配",0,1)</f>
        <v>65</v>
      </c>
      <c r="C2322" s="3" t="str">
        <f>B2322 &amp; "-" &amp; COUNTIF($B$2:B2322, B2322)</f>
        <v>65-17</v>
      </c>
      <c r="D2322" s="10">
        <f t="shared" si="5"/>
        <v>14707</v>
      </c>
      <c r="E2322" s="3" t="s">
        <v>6189</v>
      </c>
      <c r="F2322" s="1" t="s">
        <v>6190</v>
      </c>
      <c r="H2322" s="3" t="s">
        <v>1838</v>
      </c>
      <c r="I2322" s="10" t="str">
        <f>IF(H2322="T31",1,IF(H2322="T31",3,IF(H2322="T47",6,IF(H2322="T47",10,IF(H2322="T79",14,IF(H2322="T79",18,IF(H2322="T47",22,"")))))))</f>
        <v/>
      </c>
      <c r="J2322" s="1" t="s">
        <v>1808</v>
      </c>
      <c r="K2322" s="10">
        <v>2</v>
      </c>
      <c r="L2322" s="10">
        <v>1</v>
      </c>
      <c r="O2322" s="6"/>
      <c r="Q2322" s="42" t="s">
        <v>5682</v>
      </c>
      <c r="R2322" s="42"/>
      <c r="S2322" s="1"/>
    </row>
    <row r="2323" spans="1:19" ht="18.75" hidden="1" customHeight="1" x14ac:dyDescent="0.3">
      <c r="A2323" s="10">
        <v>2322</v>
      </c>
      <c r="B2323" s="10">
        <f>_xlfn.XLOOKUP(1,(VALUE(D2323)&gt;=VALUE(block!$C$3:$C$500))*(VALUE(D2323)&lt;VALUE(block!$C$3:$C$500)+VALUE(block!$D$3:$D$500)),block!$A$3:$A$500,"无匹配",0,1)</f>
        <v>65</v>
      </c>
      <c r="C2323" s="3" t="str">
        <f>B2323 &amp; "-" &amp; COUNTIF($B$2:B2323, B2323)</f>
        <v>65-18</v>
      </c>
      <c r="D2323" s="10">
        <f t="shared" si="5"/>
        <v>14709</v>
      </c>
      <c r="E2323" s="3" t="s">
        <v>6189</v>
      </c>
      <c r="F2323" s="1" t="s">
        <v>6191</v>
      </c>
      <c r="H2323" s="3" t="s">
        <v>5458</v>
      </c>
      <c r="I2323" s="10" t="str">
        <f>IF(H2323="T32",1,IF(H2323="T32",3,IF(H2323="T48",6,IF(H2323="T48",10,IF(H2323="T80",14,IF(H2323="T80",18,IF(H2323="T48",22,"")))))))</f>
        <v/>
      </c>
      <c r="J2323" s="1" t="s">
        <v>1808</v>
      </c>
      <c r="K2323" s="10">
        <v>1</v>
      </c>
      <c r="L2323" s="10">
        <v>1</v>
      </c>
      <c r="O2323" s="6"/>
      <c r="Q2323" s="42" t="s">
        <v>5682</v>
      </c>
      <c r="R2323" s="42"/>
      <c r="S2323" s="1"/>
    </row>
    <row r="2324" spans="1:19" ht="18.75" hidden="1" customHeight="1" x14ac:dyDescent="0.3">
      <c r="A2324" s="10">
        <v>2323</v>
      </c>
      <c r="B2324" s="10">
        <f>_xlfn.XLOOKUP(1,(VALUE(D2324)&gt;=VALUE(block!$C$3:$C$500))*(VALUE(D2324)&lt;VALUE(block!$C$3:$C$500)+VALUE(block!$D$3:$D$500)),block!$A$3:$A$500,"无匹配",0,1)</f>
        <v>65</v>
      </c>
      <c r="C2324" s="3" t="str">
        <f>B2324 &amp; "-" &amp; COUNTIF($B$2:B2324, B2324)</f>
        <v>65-19</v>
      </c>
      <c r="D2324" s="10">
        <f t="shared" si="5"/>
        <v>14710</v>
      </c>
      <c r="E2324" s="1" t="s">
        <v>6192</v>
      </c>
      <c r="F2324" s="1" t="s">
        <v>6193</v>
      </c>
      <c r="G2324" s="1" t="s">
        <v>1830</v>
      </c>
      <c r="H2324" s="1" t="s">
        <v>1812</v>
      </c>
      <c r="I2324" s="10" t="str">
        <f>IF(H2324="T33",1,IF(H2324="T33",3,IF(H2324="T49",6,IF(H2324="T49",10,IF(H2324="T81",14,IF(H2324="T81",18,IF(H2324="T49",22,"")))))))</f>
        <v/>
      </c>
      <c r="J2324" s="1" t="s">
        <v>1808</v>
      </c>
      <c r="K2324" s="10">
        <v>2</v>
      </c>
      <c r="L2324" s="10">
        <v>1</v>
      </c>
      <c r="O2324" s="6"/>
      <c r="P2324" s="42" t="s">
        <v>5560</v>
      </c>
      <c r="Q2324" s="42" t="s">
        <v>5682</v>
      </c>
      <c r="R2324" s="42"/>
      <c r="S2324" s="1"/>
    </row>
    <row r="2325" spans="1:19" ht="18.75" hidden="1" customHeight="1" x14ac:dyDescent="0.3">
      <c r="A2325" s="10">
        <v>2324</v>
      </c>
      <c r="B2325" s="10">
        <f>_xlfn.XLOOKUP(1,(VALUE(D2325)&gt;=VALUE(block!$C$3:$C$500))*(VALUE(D2325)&lt;VALUE(block!$C$3:$C$500)+VALUE(block!$D$3:$D$500)),block!$A$3:$A$500,"无匹配",0,1)</f>
        <v>65</v>
      </c>
      <c r="C2325" s="3" t="str">
        <f>B2325 &amp; "-" &amp; COUNTIF($B$2:B2325, B2325)</f>
        <v>65-20</v>
      </c>
      <c r="D2325" s="10">
        <f t="shared" si="5"/>
        <v>14712</v>
      </c>
      <c r="E2325" s="3" t="s">
        <v>6194</v>
      </c>
      <c r="F2325" s="1" t="s">
        <v>6195</v>
      </c>
      <c r="H2325" s="3" t="s">
        <v>1838</v>
      </c>
      <c r="I2325" s="10" t="str">
        <f>IF(H2325="T34",1,IF(H2325="T34",3,IF(H2325="T50",6,IF(H2325="T50",10,IF(H2325="T82",14,IF(H2325="T82",18,IF(H2325="T50",22,"")))))))</f>
        <v/>
      </c>
      <c r="J2325" s="1" t="s">
        <v>1808</v>
      </c>
      <c r="K2325" s="10">
        <v>2</v>
      </c>
      <c r="L2325" s="10">
        <v>1</v>
      </c>
      <c r="O2325" s="6"/>
      <c r="Q2325" s="42" t="s">
        <v>5682</v>
      </c>
      <c r="R2325" s="42"/>
      <c r="S2325" s="1"/>
    </row>
    <row r="2326" spans="1:19" ht="18.75" hidden="1" customHeight="1" x14ac:dyDescent="0.3">
      <c r="A2326" s="10">
        <v>2325</v>
      </c>
      <c r="B2326" s="10">
        <f>_xlfn.XLOOKUP(1,(VALUE(D2326)&gt;=VALUE(block!$C$3:$C$500))*(VALUE(D2326)&lt;VALUE(block!$C$3:$C$500)+VALUE(block!$D$3:$D$500)),block!$A$3:$A$500,"无匹配",0,1)</f>
        <v>65</v>
      </c>
      <c r="C2326" s="3" t="str">
        <f>B2326 &amp; "-" &amp; COUNTIF($B$2:B2326, B2326)</f>
        <v>65-21</v>
      </c>
      <c r="D2326" s="10">
        <f t="shared" si="5"/>
        <v>14714</v>
      </c>
      <c r="E2326" s="3" t="s">
        <v>6194</v>
      </c>
      <c r="F2326" s="1" t="s">
        <v>6196</v>
      </c>
      <c r="H2326" s="3" t="s">
        <v>5458</v>
      </c>
      <c r="I2326" s="10" t="str">
        <f>IF(H2326="T35",1,IF(H2326="T35",3,IF(H2326="T51",6,IF(H2326="T51",10,IF(H2326="T83",14,IF(H2326="T83",18,IF(H2326="T51",22,"")))))))</f>
        <v/>
      </c>
      <c r="J2326" s="1" t="s">
        <v>1808</v>
      </c>
      <c r="K2326" s="10">
        <v>1</v>
      </c>
      <c r="L2326" s="10">
        <v>1</v>
      </c>
      <c r="O2326" s="6"/>
      <c r="Q2326" s="42" t="s">
        <v>5682</v>
      </c>
      <c r="R2326" s="42"/>
      <c r="S2326" s="1"/>
    </row>
    <row r="2327" spans="1:19" ht="18.75" hidden="1" customHeight="1" x14ac:dyDescent="0.3">
      <c r="A2327" s="10">
        <v>2326</v>
      </c>
      <c r="B2327" s="10">
        <f>_xlfn.XLOOKUP(1,(VALUE(D2327)&gt;=VALUE(block!$C$3:$C$500))*(VALUE(D2327)&lt;VALUE(block!$C$3:$C$500)+VALUE(block!$D$3:$D$500)),block!$A$3:$A$500,"无匹配",0,1)</f>
        <v>65</v>
      </c>
      <c r="C2327" s="3" t="str">
        <f>B2327 &amp; "-" &amp; COUNTIF($B$2:B2327, B2327)</f>
        <v>65-22</v>
      </c>
      <c r="D2327" s="10">
        <f t="shared" si="5"/>
        <v>14715</v>
      </c>
      <c r="E2327" s="1" t="s">
        <v>6197</v>
      </c>
      <c r="F2327" s="1" t="s">
        <v>6198</v>
      </c>
      <c r="G2327" s="1" t="s">
        <v>1832</v>
      </c>
      <c r="H2327" s="1" t="s">
        <v>1812</v>
      </c>
      <c r="I2327" s="10" t="str">
        <f>IF(H2327="T36",1,IF(H2327="T36",3,IF(H2327="T52",6,IF(H2327="T52",10,IF(H2327="T84",14,IF(H2327="T84",18,IF(H2327="T52",22,"")))))))</f>
        <v/>
      </c>
      <c r="J2327" s="1" t="s">
        <v>1808</v>
      </c>
      <c r="K2327" s="10">
        <v>2</v>
      </c>
      <c r="L2327" s="10">
        <v>1</v>
      </c>
      <c r="O2327" s="6"/>
      <c r="P2327" s="42" t="s">
        <v>5560</v>
      </c>
      <c r="Q2327" s="42" t="s">
        <v>5682</v>
      </c>
      <c r="R2327" s="42"/>
      <c r="S2327" s="1"/>
    </row>
    <row r="2328" spans="1:19" ht="18.75" hidden="1" customHeight="1" x14ac:dyDescent="0.3">
      <c r="A2328" s="10">
        <v>2327</v>
      </c>
      <c r="B2328" s="10">
        <f>_xlfn.XLOOKUP(1,(VALUE(D2328)&gt;=VALUE(block!$C$3:$C$500))*(VALUE(D2328)&lt;VALUE(block!$C$3:$C$500)+VALUE(block!$D$3:$D$500)),block!$A$3:$A$500,"无匹配",0,1)</f>
        <v>65</v>
      </c>
      <c r="C2328" s="3" t="str">
        <f>B2328 &amp; "-" &amp; COUNTIF($B$2:B2328, B2328)</f>
        <v>65-23</v>
      </c>
      <c r="D2328" s="10">
        <f t="shared" si="5"/>
        <v>14717</v>
      </c>
      <c r="E2328" s="3" t="s">
        <v>6199</v>
      </c>
      <c r="F2328" s="1" t="s">
        <v>6200</v>
      </c>
      <c r="H2328" s="3" t="s">
        <v>1838</v>
      </c>
      <c r="I2328" s="10" t="str">
        <f>IF(H2328="T37",1,IF(H2328="T37",3,IF(H2328="T53",6,IF(H2328="T53",10,IF(H2328="T85",14,IF(H2328="T85",18,IF(H2328="T53",22,"")))))))</f>
        <v/>
      </c>
      <c r="J2328" s="1" t="s">
        <v>1808</v>
      </c>
      <c r="K2328" s="10">
        <v>2</v>
      </c>
      <c r="L2328" s="10">
        <v>1</v>
      </c>
      <c r="O2328" s="6"/>
      <c r="Q2328" s="42" t="s">
        <v>5682</v>
      </c>
      <c r="R2328" s="42"/>
      <c r="S2328" s="1"/>
    </row>
    <row r="2329" spans="1:19" ht="18.75" hidden="1" customHeight="1" x14ac:dyDescent="0.3">
      <c r="A2329" s="10">
        <v>2328</v>
      </c>
      <c r="B2329" s="10">
        <f>_xlfn.XLOOKUP(1,(VALUE(D2329)&gt;=VALUE(block!$C$3:$C$500))*(VALUE(D2329)&lt;VALUE(block!$C$3:$C$500)+VALUE(block!$D$3:$D$500)),block!$A$3:$A$500,"无匹配",0,1)</f>
        <v>65</v>
      </c>
      <c r="C2329" s="3" t="str">
        <f>B2329 &amp; "-" &amp; COUNTIF($B$2:B2329, B2329)</f>
        <v>65-24</v>
      </c>
      <c r="D2329" s="10">
        <f t="shared" si="5"/>
        <v>14719</v>
      </c>
      <c r="E2329" s="3" t="s">
        <v>6199</v>
      </c>
      <c r="F2329" s="1" t="s">
        <v>6201</v>
      </c>
      <c r="H2329" s="3" t="s">
        <v>5458</v>
      </c>
      <c r="I2329" s="10" t="str">
        <f>IF(H2329="T38",1,IF(H2329="T38",3,IF(H2329="T54",6,IF(H2329="T54",10,IF(H2329="T86",14,IF(H2329="T86",18,IF(H2329="T54",22,"")))))))</f>
        <v/>
      </c>
      <c r="J2329" s="1" t="s">
        <v>1808</v>
      </c>
      <c r="K2329" s="10">
        <v>1</v>
      </c>
      <c r="L2329" s="10">
        <v>1</v>
      </c>
      <c r="O2329" s="6"/>
      <c r="Q2329" s="42" t="s">
        <v>5682</v>
      </c>
      <c r="R2329" s="42"/>
      <c r="S2329" s="1"/>
    </row>
    <row r="2330" spans="1:19" ht="18.75" hidden="1" customHeight="1" x14ac:dyDescent="0.3">
      <c r="A2330" s="10">
        <v>2329</v>
      </c>
      <c r="B2330" s="10">
        <f>_xlfn.XLOOKUP(1,(VALUE(D2330)&gt;=VALUE(block!$C$3:$C$500))*(VALUE(D2330)&lt;VALUE(block!$C$3:$C$500)+VALUE(block!$D$3:$D$500)),block!$A$3:$A$500,"无匹配",0,1)</f>
        <v>65</v>
      </c>
      <c r="C2330" s="3" t="str">
        <f>B2330 &amp; "-" &amp; COUNTIF($B$2:B2330, B2330)</f>
        <v>65-25</v>
      </c>
      <c r="D2330" s="10">
        <f t="shared" si="5"/>
        <v>14720</v>
      </c>
      <c r="E2330" s="1" t="s">
        <v>6202</v>
      </c>
      <c r="F2330" s="1" t="s">
        <v>6203</v>
      </c>
      <c r="G2330" s="1" t="s">
        <v>1832</v>
      </c>
      <c r="H2330" s="1" t="s">
        <v>1812</v>
      </c>
      <c r="I2330" s="10" t="str">
        <f>IF(H2330="T39",1,IF(H2330="T39",3,IF(H2330="T55",6,IF(H2330="T55",10,IF(H2330="T87",14,IF(H2330="T87",18,IF(H2330="T55",22,"")))))))</f>
        <v/>
      </c>
      <c r="J2330" s="1" t="s">
        <v>1808</v>
      </c>
      <c r="K2330" s="10">
        <v>2</v>
      </c>
      <c r="L2330" s="10">
        <v>1</v>
      </c>
      <c r="O2330" s="6"/>
      <c r="P2330" s="42" t="s">
        <v>5560</v>
      </c>
      <c r="Q2330" s="42" t="s">
        <v>5682</v>
      </c>
      <c r="R2330" s="42"/>
      <c r="S2330" s="1"/>
    </row>
    <row r="2331" spans="1:19" ht="18.75" hidden="1" customHeight="1" x14ac:dyDescent="0.3">
      <c r="A2331" s="10">
        <v>2330</v>
      </c>
      <c r="B2331" s="10">
        <f>_xlfn.XLOOKUP(1,(VALUE(D2331)&gt;=VALUE(block!$C$3:$C$500))*(VALUE(D2331)&lt;VALUE(block!$C$3:$C$500)+VALUE(block!$D$3:$D$500)),block!$A$3:$A$500,"无匹配",0,1)</f>
        <v>65</v>
      </c>
      <c r="C2331" s="3" t="str">
        <f>B2331 &amp; "-" &amp; COUNTIF($B$2:B2331, B2331)</f>
        <v>65-26</v>
      </c>
      <c r="D2331" s="10">
        <f t="shared" ref="D2331:D2394" si="6">D2330+K2330</f>
        <v>14722</v>
      </c>
      <c r="E2331" s="3" t="s">
        <v>6204</v>
      </c>
      <c r="F2331" s="1" t="s">
        <v>6205</v>
      </c>
      <c r="H2331" s="3" t="s">
        <v>1838</v>
      </c>
      <c r="I2331" s="10" t="str">
        <f>IF(H2331="T40",1,IF(H2331="T40",3,IF(H2331="T56",6,IF(H2331="T56",10,IF(H2331="T88",14,IF(H2331="T88",18,IF(H2331="T56",22,"")))))))</f>
        <v/>
      </c>
      <c r="J2331" s="1" t="s">
        <v>1808</v>
      </c>
      <c r="K2331" s="10">
        <v>2</v>
      </c>
      <c r="L2331" s="10">
        <v>1</v>
      </c>
      <c r="O2331" s="6"/>
      <c r="Q2331" s="42" t="s">
        <v>5682</v>
      </c>
      <c r="R2331" s="42"/>
      <c r="S2331" s="1"/>
    </row>
    <row r="2332" spans="1:19" ht="18.75" hidden="1" customHeight="1" x14ac:dyDescent="0.3">
      <c r="A2332" s="10">
        <v>2331</v>
      </c>
      <c r="B2332" s="10">
        <f>_xlfn.XLOOKUP(1,(VALUE(D2332)&gt;=VALUE(block!$C$3:$C$500))*(VALUE(D2332)&lt;VALUE(block!$C$3:$C$500)+VALUE(block!$D$3:$D$500)),block!$A$3:$A$500,"无匹配",0,1)</f>
        <v>65</v>
      </c>
      <c r="C2332" s="3" t="str">
        <f>B2332 &amp; "-" &amp; COUNTIF($B$2:B2332, B2332)</f>
        <v>65-27</v>
      </c>
      <c r="D2332" s="10">
        <f t="shared" si="6"/>
        <v>14724</v>
      </c>
      <c r="E2332" s="3" t="s">
        <v>6204</v>
      </c>
      <c r="F2332" s="1" t="s">
        <v>6206</v>
      </c>
      <c r="H2332" s="3" t="s">
        <v>5458</v>
      </c>
      <c r="I2332" s="10" t="str">
        <f>IF(H2332="T41",1,IF(H2332="T41",3,IF(H2332="T57",6,IF(H2332="T57",10,IF(H2332="T89",14,IF(H2332="T89",18,IF(H2332="T57",22,"")))))))</f>
        <v/>
      </c>
      <c r="J2332" s="1" t="s">
        <v>1808</v>
      </c>
      <c r="K2332" s="10">
        <v>1</v>
      </c>
      <c r="L2332" s="10">
        <v>1</v>
      </c>
      <c r="O2332" s="6"/>
      <c r="Q2332" s="42" t="s">
        <v>5682</v>
      </c>
      <c r="R2332" s="42"/>
      <c r="S2332" s="1"/>
    </row>
    <row r="2333" spans="1:19" ht="18.75" hidden="1" customHeight="1" x14ac:dyDescent="0.3">
      <c r="A2333" s="10">
        <v>2332</v>
      </c>
      <c r="B2333" s="10">
        <f>_xlfn.XLOOKUP(1,(VALUE(D2333)&gt;=VALUE(block!$C$3:$C$500))*(VALUE(D2333)&lt;VALUE(block!$C$3:$C$500)+VALUE(block!$D$3:$D$500)),block!$A$3:$A$500,"无匹配",0,1)</f>
        <v>65</v>
      </c>
      <c r="C2333" s="3" t="str">
        <f>B2333 &amp; "-" &amp; COUNTIF($B$2:B2333, B2333)</f>
        <v>65-28</v>
      </c>
      <c r="D2333" s="10">
        <f t="shared" si="6"/>
        <v>14725</v>
      </c>
      <c r="E2333" s="1" t="s">
        <v>6207</v>
      </c>
      <c r="F2333" s="1" t="s">
        <v>6208</v>
      </c>
      <c r="G2333" s="1" t="s">
        <v>1834</v>
      </c>
      <c r="H2333" s="1" t="s">
        <v>1812</v>
      </c>
      <c r="I2333" s="10" t="str">
        <f>IF(H2333="T42",1,IF(H2333="T42",3,IF(H2333="T58",6,IF(H2333="T58",10,IF(H2333="T90",14,IF(H2333="T90",18,IF(H2333="T58",22,"")))))))</f>
        <v/>
      </c>
      <c r="J2333" s="1" t="s">
        <v>1808</v>
      </c>
      <c r="K2333" s="10">
        <v>2</v>
      </c>
      <c r="L2333" s="10">
        <v>1</v>
      </c>
      <c r="O2333" s="6"/>
      <c r="P2333" s="42" t="s">
        <v>5560</v>
      </c>
      <c r="Q2333" s="42" t="s">
        <v>5682</v>
      </c>
      <c r="R2333" s="42"/>
      <c r="S2333" s="1"/>
    </row>
    <row r="2334" spans="1:19" ht="18.75" hidden="1" customHeight="1" x14ac:dyDescent="0.3">
      <c r="A2334" s="10">
        <v>2333</v>
      </c>
      <c r="B2334" s="10">
        <f>_xlfn.XLOOKUP(1,(VALUE(D2334)&gt;=VALUE(block!$C$3:$C$500))*(VALUE(D2334)&lt;VALUE(block!$C$3:$C$500)+VALUE(block!$D$3:$D$500)),block!$A$3:$A$500,"无匹配",0,1)</f>
        <v>65</v>
      </c>
      <c r="C2334" s="3" t="str">
        <f>B2334 &amp; "-" &amp; COUNTIF($B$2:B2334, B2334)</f>
        <v>65-29</v>
      </c>
      <c r="D2334" s="10">
        <f t="shared" si="6"/>
        <v>14727</v>
      </c>
      <c r="E2334" s="3" t="s">
        <v>6209</v>
      </c>
      <c r="F2334" s="1" t="s">
        <v>6210</v>
      </c>
      <c r="H2334" s="3" t="s">
        <v>1838</v>
      </c>
      <c r="I2334" s="10" t="str">
        <f>IF(H2334="T43",1,IF(H2334="T43",3,IF(H2334="T59",6,IF(H2334="T59",10,IF(H2334="T91",14,IF(H2334="T91",18,IF(H2334="T59",22,"")))))))</f>
        <v/>
      </c>
      <c r="J2334" s="1" t="s">
        <v>1808</v>
      </c>
      <c r="K2334" s="10">
        <v>2</v>
      </c>
      <c r="L2334" s="10">
        <v>1</v>
      </c>
      <c r="O2334" s="6"/>
      <c r="Q2334" s="42" t="s">
        <v>5682</v>
      </c>
      <c r="R2334" s="42"/>
      <c r="S2334" s="1"/>
    </row>
    <row r="2335" spans="1:19" ht="18.75" hidden="1" customHeight="1" x14ac:dyDescent="0.3">
      <c r="A2335" s="10">
        <v>2334</v>
      </c>
      <c r="B2335" s="10">
        <f>_xlfn.XLOOKUP(1,(VALUE(D2335)&gt;=VALUE(block!$C$3:$C$500))*(VALUE(D2335)&lt;VALUE(block!$C$3:$C$500)+VALUE(block!$D$3:$D$500)),block!$A$3:$A$500,"无匹配",0,1)</f>
        <v>65</v>
      </c>
      <c r="C2335" s="3" t="str">
        <f>B2335 &amp; "-" &amp; COUNTIF($B$2:B2335, B2335)</f>
        <v>65-30</v>
      </c>
      <c r="D2335" s="10">
        <f t="shared" si="6"/>
        <v>14729</v>
      </c>
      <c r="E2335" s="3" t="s">
        <v>6209</v>
      </c>
      <c r="F2335" s="1" t="s">
        <v>6211</v>
      </c>
      <c r="H2335" s="3" t="s">
        <v>5458</v>
      </c>
      <c r="I2335" s="10" t="str">
        <f>IF(H2335="T44",1,IF(H2335="T44",3,IF(H2335="T60",6,IF(H2335="T60",10,IF(H2335="T92",14,IF(H2335="T92",18,IF(H2335="T60",22,"")))))))</f>
        <v/>
      </c>
      <c r="J2335" s="1" t="s">
        <v>1808</v>
      </c>
      <c r="K2335" s="10">
        <v>1</v>
      </c>
      <c r="L2335" s="10">
        <v>1</v>
      </c>
      <c r="O2335" s="6"/>
      <c r="Q2335" s="42" t="s">
        <v>5682</v>
      </c>
      <c r="R2335" s="42"/>
      <c r="S2335" s="1"/>
    </row>
    <row r="2336" spans="1:19" ht="18.75" hidden="1" customHeight="1" x14ac:dyDescent="0.3">
      <c r="A2336" s="10">
        <v>2335</v>
      </c>
      <c r="B2336" s="10">
        <f>_xlfn.XLOOKUP(1,(VALUE(D2336)&gt;=VALUE(block!$C$3:$C$500))*(VALUE(D2336)&lt;VALUE(block!$C$3:$C$500)+VALUE(block!$D$3:$D$500)),block!$A$3:$A$500,"无匹配",0,1)</f>
        <v>65</v>
      </c>
      <c r="C2336" s="3" t="str">
        <f>B2336 &amp; "-" &amp; COUNTIF($B$2:B2336, B2336)</f>
        <v>65-31</v>
      </c>
      <c r="D2336" s="10">
        <f t="shared" si="6"/>
        <v>14730</v>
      </c>
      <c r="E2336" s="1" t="s">
        <v>6212</v>
      </c>
      <c r="F2336" s="1" t="s">
        <v>6213</v>
      </c>
      <c r="G2336" s="1" t="s">
        <v>1834</v>
      </c>
      <c r="H2336" s="1" t="s">
        <v>1812</v>
      </c>
      <c r="I2336" s="10" t="str">
        <f>IF(H2336="T45",1,IF(H2336="T45",3,IF(H2336="T61",6,IF(H2336="T61",10,IF(H2336="T93",14,IF(H2336="T93",18,IF(H2336="T61",22,"")))))))</f>
        <v/>
      </c>
      <c r="J2336" s="1" t="s">
        <v>1808</v>
      </c>
      <c r="K2336" s="10">
        <v>2</v>
      </c>
      <c r="L2336" s="10">
        <v>1</v>
      </c>
      <c r="O2336" s="6"/>
      <c r="P2336" s="42" t="s">
        <v>5560</v>
      </c>
      <c r="Q2336" s="42" t="s">
        <v>5682</v>
      </c>
      <c r="R2336" s="42"/>
      <c r="S2336" s="1"/>
    </row>
    <row r="2337" spans="1:19" ht="18.75" hidden="1" customHeight="1" x14ac:dyDescent="0.3">
      <c r="A2337" s="10">
        <v>2336</v>
      </c>
      <c r="B2337" s="10">
        <f>_xlfn.XLOOKUP(1,(VALUE(D2337)&gt;=VALUE(block!$C$3:$C$500))*(VALUE(D2337)&lt;VALUE(block!$C$3:$C$500)+VALUE(block!$D$3:$D$500)),block!$A$3:$A$500,"无匹配",0,1)</f>
        <v>65</v>
      </c>
      <c r="C2337" s="3" t="str">
        <f>B2337 &amp; "-" &amp; COUNTIF($B$2:B2337, B2337)</f>
        <v>65-32</v>
      </c>
      <c r="D2337" s="10">
        <f t="shared" si="6"/>
        <v>14732</v>
      </c>
      <c r="E2337" s="3" t="s">
        <v>6214</v>
      </c>
      <c r="F2337" s="1" t="s">
        <v>6215</v>
      </c>
      <c r="H2337" s="3" t="s">
        <v>1838</v>
      </c>
      <c r="I2337" s="10" t="str">
        <f>IF(H2337="T46",1,IF(H2337="T46",3,IF(H2337="T62",6,IF(H2337="T62",10,IF(H2337="T94",14,IF(H2337="T94",18,IF(H2337="T62",22,"")))))))</f>
        <v/>
      </c>
      <c r="J2337" s="1" t="s">
        <v>1808</v>
      </c>
      <c r="K2337" s="10">
        <v>2</v>
      </c>
      <c r="L2337" s="10">
        <v>1</v>
      </c>
      <c r="O2337" s="6"/>
      <c r="Q2337" s="42" t="s">
        <v>5682</v>
      </c>
      <c r="R2337" s="42"/>
      <c r="S2337" s="1"/>
    </row>
    <row r="2338" spans="1:19" ht="18.75" hidden="1" customHeight="1" x14ac:dyDescent="0.3">
      <c r="A2338" s="10">
        <v>2337</v>
      </c>
      <c r="B2338" s="10">
        <f>_xlfn.XLOOKUP(1,(VALUE(D2338)&gt;=VALUE(block!$C$3:$C$500))*(VALUE(D2338)&lt;VALUE(block!$C$3:$C$500)+VALUE(block!$D$3:$D$500)),block!$A$3:$A$500,"无匹配",0,1)</f>
        <v>65</v>
      </c>
      <c r="C2338" s="3" t="str">
        <f>B2338 &amp; "-" &amp; COUNTIF($B$2:B2338, B2338)</f>
        <v>65-33</v>
      </c>
      <c r="D2338" s="10">
        <f t="shared" si="6"/>
        <v>14734</v>
      </c>
      <c r="E2338" s="3" t="s">
        <v>6214</v>
      </c>
      <c r="F2338" s="1" t="s">
        <v>6216</v>
      </c>
      <c r="H2338" s="3" t="s">
        <v>5458</v>
      </c>
      <c r="I2338" s="10" t="str">
        <f>IF(H2338="T47",1,IF(H2338="T47",3,IF(H2338="T63",6,IF(H2338="T63",10,IF(H2338="T95",14,IF(H2338="T95",18,IF(H2338="T63",22,"")))))))</f>
        <v/>
      </c>
      <c r="J2338" s="1" t="s">
        <v>1808</v>
      </c>
      <c r="K2338" s="10">
        <v>1</v>
      </c>
      <c r="L2338" s="10">
        <v>1</v>
      </c>
      <c r="O2338" s="6"/>
      <c r="Q2338" s="42" t="s">
        <v>5682</v>
      </c>
      <c r="R2338" s="42"/>
      <c r="S2338" s="1"/>
    </row>
    <row r="2339" spans="1:19" ht="18.75" hidden="1" customHeight="1" x14ac:dyDescent="0.3">
      <c r="A2339" s="10">
        <v>2338</v>
      </c>
      <c r="B2339" s="10">
        <f>_xlfn.XLOOKUP(1,(VALUE(D2339)&gt;=VALUE(block!$C$3:$C$500))*(VALUE(D2339)&lt;VALUE(block!$C$3:$C$500)+VALUE(block!$D$3:$D$500)),block!$A$3:$A$500,"无匹配",0,1)</f>
        <v>65</v>
      </c>
      <c r="C2339" s="3" t="str">
        <f>B2339 &amp; "-" &amp; COUNTIF($B$2:B2339, B2339)</f>
        <v>65-34</v>
      </c>
      <c r="D2339" s="10">
        <f t="shared" si="6"/>
        <v>14735</v>
      </c>
      <c r="E2339" s="1" t="s">
        <v>6217</v>
      </c>
      <c r="F2339" s="1" t="s">
        <v>6218</v>
      </c>
      <c r="G2339" s="1" t="s">
        <v>1836</v>
      </c>
      <c r="H2339" s="1" t="s">
        <v>1812</v>
      </c>
      <c r="I2339" s="10" t="str">
        <f>IF(H2339="T48",1,IF(H2339="T48",3,IF(H2339="T64",6,IF(H2339="T64",10,IF(H2339="T96",14,IF(H2339="T96",18,IF(H2339="T64",22,"")))))))</f>
        <v/>
      </c>
      <c r="J2339" s="1" t="s">
        <v>1808</v>
      </c>
      <c r="K2339" s="10">
        <v>2</v>
      </c>
      <c r="L2339" s="10">
        <v>1</v>
      </c>
      <c r="O2339" s="6"/>
      <c r="P2339" s="42" t="s">
        <v>5560</v>
      </c>
      <c r="Q2339" s="42" t="s">
        <v>5682</v>
      </c>
      <c r="R2339" s="42"/>
      <c r="S2339" s="1"/>
    </row>
    <row r="2340" spans="1:19" ht="18.75" hidden="1" customHeight="1" x14ac:dyDescent="0.3">
      <c r="A2340" s="10">
        <v>2339</v>
      </c>
      <c r="B2340" s="10">
        <f>_xlfn.XLOOKUP(1,(VALUE(D2340)&gt;=VALUE(block!$C$3:$C$500))*(VALUE(D2340)&lt;VALUE(block!$C$3:$C$500)+VALUE(block!$D$3:$D$500)),block!$A$3:$A$500,"无匹配",0,1)</f>
        <v>65</v>
      </c>
      <c r="C2340" s="3" t="str">
        <f>B2340 &amp; "-" &amp; COUNTIF($B$2:B2340, B2340)</f>
        <v>65-35</v>
      </c>
      <c r="D2340" s="10">
        <f t="shared" si="6"/>
        <v>14737</v>
      </c>
      <c r="E2340" s="3" t="s">
        <v>6219</v>
      </c>
      <c r="F2340" s="1" t="s">
        <v>6220</v>
      </c>
      <c r="H2340" s="3" t="s">
        <v>1838</v>
      </c>
      <c r="I2340" s="10" t="str">
        <f>IF(H2340="T49",1,IF(H2340="T49",3,IF(H2340="T65",6,IF(H2340="T65",10,IF(H2340="T97",14,IF(H2340="T97",18,IF(H2340="T65",22,"")))))))</f>
        <v/>
      </c>
      <c r="J2340" s="1" t="s">
        <v>1808</v>
      </c>
      <c r="K2340" s="10">
        <v>2</v>
      </c>
      <c r="L2340" s="10">
        <v>1</v>
      </c>
      <c r="O2340" s="6"/>
      <c r="Q2340" s="42" t="s">
        <v>5682</v>
      </c>
      <c r="R2340" s="42"/>
      <c r="S2340" s="1"/>
    </row>
    <row r="2341" spans="1:19" ht="18.75" hidden="1" customHeight="1" x14ac:dyDescent="0.3">
      <c r="A2341" s="10">
        <v>2340</v>
      </c>
      <c r="B2341" s="10">
        <f>_xlfn.XLOOKUP(1,(VALUE(D2341)&gt;=VALUE(block!$C$3:$C$500))*(VALUE(D2341)&lt;VALUE(block!$C$3:$C$500)+VALUE(block!$D$3:$D$500)),block!$A$3:$A$500,"无匹配",0,1)</f>
        <v>65</v>
      </c>
      <c r="C2341" s="3" t="str">
        <f>B2341 &amp; "-" &amp; COUNTIF($B$2:B2341, B2341)</f>
        <v>65-36</v>
      </c>
      <c r="D2341" s="10">
        <f t="shared" si="6"/>
        <v>14739</v>
      </c>
      <c r="E2341" s="3" t="s">
        <v>6219</v>
      </c>
      <c r="F2341" s="1" t="s">
        <v>6221</v>
      </c>
      <c r="H2341" s="3" t="s">
        <v>5458</v>
      </c>
      <c r="I2341" s="10" t="str">
        <f>IF(H2341="T50",1,IF(H2341="T50",3,IF(H2341="T66",6,IF(H2341="T66",10,IF(H2341="T98",14,IF(H2341="T98",18,IF(H2341="T66",22,"")))))))</f>
        <v/>
      </c>
      <c r="J2341" s="1" t="s">
        <v>1808</v>
      </c>
      <c r="K2341" s="10">
        <v>1</v>
      </c>
      <c r="L2341" s="10">
        <v>1</v>
      </c>
      <c r="O2341" s="6"/>
      <c r="Q2341" s="42" t="s">
        <v>5682</v>
      </c>
      <c r="R2341" s="42"/>
      <c r="S2341" s="1"/>
    </row>
    <row r="2342" spans="1:19" ht="18.75" hidden="1" customHeight="1" x14ac:dyDescent="0.3">
      <c r="A2342" s="10">
        <v>2341</v>
      </c>
      <c r="B2342" s="10">
        <f>_xlfn.XLOOKUP(1,(VALUE(D2342)&gt;=VALUE(block!$C$3:$C$500))*(VALUE(D2342)&lt;VALUE(block!$C$3:$C$500)+VALUE(block!$D$3:$D$500)),block!$A$3:$A$500,"无匹配",0,1)</f>
        <v>65</v>
      </c>
      <c r="C2342" s="3" t="str">
        <f>B2342 &amp; "-" &amp; COUNTIF($B$2:B2342, B2342)</f>
        <v>65-37</v>
      </c>
      <c r="D2342" s="10">
        <f t="shared" si="6"/>
        <v>14740</v>
      </c>
      <c r="E2342" s="1" t="s">
        <v>6222</v>
      </c>
      <c r="F2342" s="1" t="s">
        <v>6223</v>
      </c>
      <c r="G2342" s="1" t="s">
        <v>1830</v>
      </c>
      <c r="H2342" s="1" t="s">
        <v>1812</v>
      </c>
      <c r="I2342" s="10" t="str">
        <f>IF(H2342="T51",1,IF(H2342="T51",3,IF(H2342="T67",6,IF(H2342="T67",10,IF(H2342="T99",14,IF(H2342="T99",18,IF(H2342="T67",22,"")))))))</f>
        <v/>
      </c>
      <c r="J2342" s="1" t="s">
        <v>1808</v>
      </c>
      <c r="K2342" s="10">
        <v>2</v>
      </c>
      <c r="L2342" s="10">
        <v>1</v>
      </c>
      <c r="O2342" s="6"/>
      <c r="P2342" s="42" t="s">
        <v>5560</v>
      </c>
      <c r="Q2342" s="42" t="s">
        <v>5682</v>
      </c>
      <c r="R2342" s="42"/>
      <c r="S2342" s="1"/>
    </row>
    <row r="2343" spans="1:19" ht="18.75" hidden="1" customHeight="1" x14ac:dyDescent="0.3">
      <c r="A2343" s="10">
        <v>2342</v>
      </c>
      <c r="B2343" s="10">
        <f>_xlfn.XLOOKUP(1,(VALUE(D2343)&gt;=VALUE(block!$C$3:$C$500))*(VALUE(D2343)&lt;VALUE(block!$C$3:$C$500)+VALUE(block!$D$3:$D$500)),block!$A$3:$A$500,"无匹配",0,1)</f>
        <v>65</v>
      </c>
      <c r="C2343" s="3" t="str">
        <f>B2343 &amp; "-" &amp; COUNTIF($B$2:B2343, B2343)</f>
        <v>65-38</v>
      </c>
      <c r="D2343" s="10">
        <f t="shared" si="6"/>
        <v>14742</v>
      </c>
      <c r="E2343" s="3" t="s">
        <v>6224</v>
      </c>
      <c r="F2343" s="1" t="s">
        <v>6225</v>
      </c>
      <c r="H2343" s="3" t="s">
        <v>1838</v>
      </c>
      <c r="I2343" s="10" t="str">
        <f>IF(H2343="T52",1,IF(H2343="T52",3,IF(H2343="T68",6,IF(H2343="T68",10,IF(H2343="T100",14,IF(H2343="T100",18,IF(H2343="T68",22,"")))))))</f>
        <v/>
      </c>
      <c r="J2343" s="1" t="s">
        <v>1808</v>
      </c>
      <c r="K2343" s="10">
        <v>2</v>
      </c>
      <c r="L2343" s="10">
        <v>1</v>
      </c>
      <c r="O2343" s="6"/>
      <c r="Q2343" s="42" t="s">
        <v>5682</v>
      </c>
      <c r="R2343" s="42"/>
      <c r="S2343" s="1"/>
    </row>
    <row r="2344" spans="1:19" ht="18.75" hidden="1" customHeight="1" x14ac:dyDescent="0.3">
      <c r="A2344" s="10">
        <v>2343</v>
      </c>
      <c r="B2344" s="10">
        <f>_xlfn.XLOOKUP(1,(VALUE(D2344)&gt;=VALUE(block!$C$3:$C$500))*(VALUE(D2344)&lt;VALUE(block!$C$3:$C$500)+VALUE(block!$D$3:$D$500)),block!$A$3:$A$500,"无匹配",0,1)</f>
        <v>65</v>
      </c>
      <c r="C2344" s="3" t="str">
        <f>B2344 &amp; "-" &amp; COUNTIF($B$2:B2344, B2344)</f>
        <v>65-39</v>
      </c>
      <c r="D2344" s="10">
        <f t="shared" si="6"/>
        <v>14744</v>
      </c>
      <c r="E2344" s="3" t="s">
        <v>6224</v>
      </c>
      <c r="F2344" s="1" t="s">
        <v>6226</v>
      </c>
      <c r="H2344" s="3" t="s">
        <v>5458</v>
      </c>
      <c r="I2344" s="10" t="str">
        <f>IF(H2344="T53",1,IF(H2344="T53",3,IF(H2344="T69",6,IF(H2344="T69",10,IF(H2344="T101",14,IF(H2344="T101",18,IF(H2344="T69",22,"")))))))</f>
        <v/>
      </c>
      <c r="J2344" s="1" t="s">
        <v>1808</v>
      </c>
      <c r="K2344" s="10">
        <v>1</v>
      </c>
      <c r="L2344" s="10">
        <v>1</v>
      </c>
      <c r="O2344" s="6"/>
      <c r="Q2344" s="42" t="s">
        <v>5682</v>
      </c>
      <c r="R2344" s="42"/>
      <c r="S2344" s="1"/>
    </row>
    <row r="2345" spans="1:19" ht="18.75" hidden="1" customHeight="1" x14ac:dyDescent="0.3">
      <c r="A2345" s="10">
        <v>2344</v>
      </c>
      <c r="B2345" s="10">
        <f>_xlfn.XLOOKUP(1,(VALUE(D2345)&gt;=VALUE(block!$C$3:$C$500))*(VALUE(D2345)&lt;VALUE(block!$C$3:$C$500)+VALUE(block!$D$3:$D$500)),block!$A$3:$A$500,"无匹配",0,1)</f>
        <v>65</v>
      </c>
      <c r="C2345" s="3" t="str">
        <f>B2345 &amp; "-" &amp; COUNTIF($B$2:B2345, B2345)</f>
        <v>65-40</v>
      </c>
      <c r="D2345" s="10">
        <f t="shared" si="6"/>
        <v>14745</v>
      </c>
      <c r="E2345" s="1" t="s">
        <v>6227</v>
      </c>
      <c r="F2345" s="1" t="s">
        <v>6228</v>
      </c>
      <c r="G2345" s="1" t="s">
        <v>1832</v>
      </c>
      <c r="H2345" s="1" t="s">
        <v>1812</v>
      </c>
      <c r="I2345" s="10" t="str">
        <f>IF(H2345="T54",1,IF(H2345="T54",3,IF(H2345="T70",6,IF(H2345="T70",10,IF(H2345="T102",14,IF(H2345="T102",18,IF(H2345="T70",22,"")))))))</f>
        <v/>
      </c>
      <c r="J2345" s="1" t="s">
        <v>1808</v>
      </c>
      <c r="K2345" s="10">
        <v>2</v>
      </c>
      <c r="L2345" s="10">
        <v>1</v>
      </c>
      <c r="O2345" s="6"/>
      <c r="P2345" s="42" t="s">
        <v>5560</v>
      </c>
      <c r="Q2345" s="42" t="s">
        <v>5682</v>
      </c>
      <c r="R2345" s="42"/>
      <c r="S2345" s="1"/>
    </row>
    <row r="2346" spans="1:19" ht="18.75" hidden="1" customHeight="1" x14ac:dyDescent="0.3">
      <c r="A2346" s="10">
        <v>2345</v>
      </c>
      <c r="B2346" s="10">
        <f>_xlfn.XLOOKUP(1,(VALUE(D2346)&gt;=VALUE(block!$C$3:$C$500))*(VALUE(D2346)&lt;VALUE(block!$C$3:$C$500)+VALUE(block!$D$3:$D$500)),block!$A$3:$A$500,"无匹配",0,1)</f>
        <v>65</v>
      </c>
      <c r="C2346" s="3" t="str">
        <f>B2346 &amp; "-" &amp; COUNTIF($B$2:B2346, B2346)</f>
        <v>65-41</v>
      </c>
      <c r="D2346" s="10">
        <f t="shared" si="6"/>
        <v>14747</v>
      </c>
      <c r="E2346" s="3" t="s">
        <v>6229</v>
      </c>
      <c r="F2346" s="1" t="s">
        <v>6230</v>
      </c>
      <c r="H2346" s="3" t="s">
        <v>1838</v>
      </c>
      <c r="I2346" s="10" t="str">
        <f>IF(H2346="T55",1,IF(H2346="T55",3,IF(H2346="T71",6,IF(H2346="T71",10,IF(H2346="T103",14,IF(H2346="T103",18,IF(H2346="T71",22,"")))))))</f>
        <v/>
      </c>
      <c r="J2346" s="1" t="s">
        <v>1808</v>
      </c>
      <c r="K2346" s="10">
        <v>2</v>
      </c>
      <c r="L2346" s="10">
        <v>1</v>
      </c>
      <c r="O2346" s="6"/>
      <c r="Q2346" s="42" t="s">
        <v>5682</v>
      </c>
      <c r="R2346" s="42"/>
      <c r="S2346" s="1"/>
    </row>
    <row r="2347" spans="1:19" ht="18.75" hidden="1" customHeight="1" x14ac:dyDescent="0.3">
      <c r="A2347" s="10">
        <v>2346</v>
      </c>
      <c r="B2347" s="10">
        <f>_xlfn.XLOOKUP(1,(VALUE(D2347)&gt;=VALUE(block!$C$3:$C$500))*(VALUE(D2347)&lt;VALUE(block!$C$3:$C$500)+VALUE(block!$D$3:$D$500)),block!$A$3:$A$500,"无匹配",0,1)</f>
        <v>65</v>
      </c>
      <c r="C2347" s="3" t="str">
        <f>B2347 &amp; "-" &amp; COUNTIF($B$2:B2347, B2347)</f>
        <v>65-42</v>
      </c>
      <c r="D2347" s="10">
        <f t="shared" si="6"/>
        <v>14749</v>
      </c>
      <c r="E2347" s="3" t="s">
        <v>6229</v>
      </c>
      <c r="F2347" s="1" t="s">
        <v>6231</v>
      </c>
      <c r="H2347" s="3" t="s">
        <v>5458</v>
      </c>
      <c r="I2347" s="10" t="str">
        <f>IF(H2347="T56",1,IF(H2347="T56",3,IF(H2347="T72",6,IF(H2347="T72",10,IF(H2347="T104",14,IF(H2347="T104",18,IF(H2347="T72",22,"")))))))</f>
        <v/>
      </c>
      <c r="J2347" s="1" t="s">
        <v>1808</v>
      </c>
      <c r="K2347" s="10">
        <v>1</v>
      </c>
      <c r="L2347" s="10">
        <v>1</v>
      </c>
      <c r="O2347" s="6"/>
      <c r="Q2347" s="42" t="s">
        <v>5682</v>
      </c>
      <c r="R2347" s="42"/>
      <c r="S2347" s="1"/>
    </row>
    <row r="2348" spans="1:19" ht="18.75" hidden="1" customHeight="1" x14ac:dyDescent="0.3">
      <c r="A2348" s="10">
        <v>2347</v>
      </c>
      <c r="B2348" s="10">
        <f>_xlfn.XLOOKUP(1,(VALUE(D2348)&gt;=VALUE(block!$C$3:$C$500))*(VALUE(D2348)&lt;VALUE(block!$C$3:$C$500)+VALUE(block!$D$3:$D$500)),block!$A$3:$A$500,"无匹配",0,1)</f>
        <v>65</v>
      </c>
      <c r="C2348" s="3" t="str">
        <f>B2348 &amp; "-" &amp; COUNTIF($B$2:B2348, B2348)</f>
        <v>65-43</v>
      </c>
      <c r="D2348" s="10">
        <f t="shared" si="6"/>
        <v>14750</v>
      </c>
      <c r="E2348" s="1" t="s">
        <v>6232</v>
      </c>
      <c r="F2348" s="1" t="s">
        <v>6233</v>
      </c>
      <c r="G2348" s="1" t="s">
        <v>1832</v>
      </c>
      <c r="H2348" s="1" t="s">
        <v>1812</v>
      </c>
      <c r="I2348" s="10" t="str">
        <f>IF(H2348="T57",1,IF(H2348="T57",3,IF(H2348="T73",6,IF(H2348="T73",10,IF(H2348="T105",14,IF(H2348="T105",18,IF(H2348="T73",22,"")))))))</f>
        <v/>
      </c>
      <c r="J2348" s="1" t="s">
        <v>1808</v>
      </c>
      <c r="K2348" s="10">
        <v>2</v>
      </c>
      <c r="L2348" s="10">
        <v>1</v>
      </c>
      <c r="O2348" s="6"/>
      <c r="P2348" s="42" t="s">
        <v>5560</v>
      </c>
      <c r="Q2348" s="42" t="s">
        <v>5682</v>
      </c>
      <c r="R2348" s="42"/>
      <c r="S2348" s="1"/>
    </row>
    <row r="2349" spans="1:19" ht="18.75" hidden="1" customHeight="1" x14ac:dyDescent="0.3">
      <c r="A2349" s="10">
        <v>2348</v>
      </c>
      <c r="B2349" s="10">
        <f>_xlfn.XLOOKUP(1,(VALUE(D2349)&gt;=VALUE(block!$C$3:$C$500))*(VALUE(D2349)&lt;VALUE(block!$C$3:$C$500)+VALUE(block!$D$3:$D$500)),block!$A$3:$A$500,"无匹配",0,1)</f>
        <v>65</v>
      </c>
      <c r="C2349" s="3" t="str">
        <f>B2349 &amp; "-" &amp; COUNTIF($B$2:B2349, B2349)</f>
        <v>65-44</v>
      </c>
      <c r="D2349" s="10">
        <f t="shared" si="6"/>
        <v>14752</v>
      </c>
      <c r="E2349" s="3" t="s">
        <v>6234</v>
      </c>
      <c r="F2349" s="1" t="s">
        <v>6235</v>
      </c>
      <c r="H2349" s="3" t="s">
        <v>1838</v>
      </c>
      <c r="I2349" s="10" t="str">
        <f>IF(H2349="T58",1,IF(H2349="T58",3,IF(H2349="T74",6,IF(H2349="T74",10,IF(H2349="T106",14,IF(H2349="T106",18,IF(H2349="T74",22,"")))))))</f>
        <v/>
      </c>
      <c r="J2349" s="1" t="s">
        <v>1808</v>
      </c>
      <c r="K2349" s="10">
        <v>2</v>
      </c>
      <c r="L2349" s="10">
        <v>1</v>
      </c>
      <c r="O2349" s="6"/>
      <c r="Q2349" s="42" t="s">
        <v>5682</v>
      </c>
      <c r="R2349" s="42"/>
      <c r="S2349" s="1"/>
    </row>
    <row r="2350" spans="1:19" ht="18.75" hidden="1" customHeight="1" x14ac:dyDescent="0.3">
      <c r="A2350" s="10">
        <v>2349</v>
      </c>
      <c r="B2350" s="10">
        <f>_xlfn.XLOOKUP(1,(VALUE(D2350)&gt;=VALUE(block!$C$3:$C$500))*(VALUE(D2350)&lt;VALUE(block!$C$3:$C$500)+VALUE(block!$D$3:$D$500)),block!$A$3:$A$500,"无匹配",0,1)</f>
        <v>65</v>
      </c>
      <c r="C2350" s="3" t="str">
        <f>B2350 &amp; "-" &amp; COUNTIF($B$2:B2350, B2350)</f>
        <v>65-45</v>
      </c>
      <c r="D2350" s="10">
        <f t="shared" si="6"/>
        <v>14754</v>
      </c>
      <c r="E2350" s="3" t="s">
        <v>6234</v>
      </c>
      <c r="F2350" s="1" t="s">
        <v>6236</v>
      </c>
      <c r="H2350" s="3" t="s">
        <v>5458</v>
      </c>
      <c r="I2350" s="10" t="str">
        <f>IF(H2350="T59",1,IF(H2350="T59",3,IF(H2350="T75",6,IF(H2350="T75",10,IF(H2350="T107",14,IF(H2350="T107",18,IF(H2350="T75",22,"")))))))</f>
        <v/>
      </c>
      <c r="J2350" s="1" t="s">
        <v>1808</v>
      </c>
      <c r="K2350" s="10">
        <v>1</v>
      </c>
      <c r="L2350" s="10">
        <v>1</v>
      </c>
      <c r="O2350" s="6"/>
      <c r="Q2350" s="42" t="s">
        <v>5682</v>
      </c>
      <c r="R2350" s="42"/>
      <c r="S2350" s="1"/>
    </row>
    <row r="2351" spans="1:19" ht="18.75" hidden="1" customHeight="1" x14ac:dyDescent="0.3">
      <c r="A2351" s="10">
        <v>2350</v>
      </c>
      <c r="B2351" s="10">
        <f>_xlfn.XLOOKUP(1,(VALUE(D2351)&gt;=VALUE(block!$C$3:$C$500))*(VALUE(D2351)&lt;VALUE(block!$C$3:$C$500)+VALUE(block!$D$3:$D$500)),block!$A$3:$A$500,"无匹配",0,1)</f>
        <v>65</v>
      </c>
      <c r="C2351" s="3" t="str">
        <f>B2351 &amp; "-" &amp; COUNTIF($B$2:B2351, B2351)</f>
        <v>65-46</v>
      </c>
      <c r="D2351" s="10">
        <f t="shared" si="6"/>
        <v>14755</v>
      </c>
      <c r="E2351" s="1" t="s">
        <v>6237</v>
      </c>
      <c r="F2351" s="1" t="s">
        <v>6238</v>
      </c>
      <c r="G2351" s="1" t="s">
        <v>1834</v>
      </c>
      <c r="H2351" s="1" t="s">
        <v>1812</v>
      </c>
      <c r="I2351" s="10" t="str">
        <f>IF(H2351="T60",1,IF(H2351="T60",3,IF(H2351="T76",6,IF(H2351="T76",10,IF(H2351="T108",14,IF(H2351="T108",18,IF(H2351="T76",22,"")))))))</f>
        <v/>
      </c>
      <c r="J2351" s="1" t="s">
        <v>1808</v>
      </c>
      <c r="K2351" s="10">
        <v>2</v>
      </c>
      <c r="L2351" s="10">
        <v>1</v>
      </c>
      <c r="O2351" s="6"/>
      <c r="P2351" s="42" t="s">
        <v>5560</v>
      </c>
      <c r="Q2351" s="42" t="s">
        <v>5682</v>
      </c>
      <c r="R2351" s="42"/>
      <c r="S2351" s="1"/>
    </row>
    <row r="2352" spans="1:19" ht="18.75" hidden="1" customHeight="1" x14ac:dyDescent="0.3">
      <c r="A2352" s="10">
        <v>2351</v>
      </c>
      <c r="B2352" s="10">
        <f>_xlfn.XLOOKUP(1,(VALUE(D2352)&gt;=VALUE(block!$C$3:$C$500))*(VALUE(D2352)&lt;VALUE(block!$C$3:$C$500)+VALUE(block!$D$3:$D$500)),block!$A$3:$A$500,"无匹配",0,1)</f>
        <v>65</v>
      </c>
      <c r="C2352" s="3" t="str">
        <f>B2352 &amp; "-" &amp; COUNTIF($B$2:B2352, B2352)</f>
        <v>65-47</v>
      </c>
      <c r="D2352" s="10">
        <f t="shared" si="6"/>
        <v>14757</v>
      </c>
      <c r="E2352" s="3" t="s">
        <v>6239</v>
      </c>
      <c r="F2352" s="1" t="s">
        <v>6240</v>
      </c>
      <c r="H2352" s="3" t="s">
        <v>1838</v>
      </c>
      <c r="I2352" s="10" t="str">
        <f>IF(H2352="T61",1,IF(H2352="T61",3,IF(H2352="T77",6,IF(H2352="T77",10,IF(H2352="T109",14,IF(H2352="T109",18,IF(H2352="T77",22,"")))))))</f>
        <v/>
      </c>
      <c r="J2352" s="1" t="s">
        <v>1808</v>
      </c>
      <c r="K2352" s="10">
        <v>2</v>
      </c>
      <c r="L2352" s="10">
        <v>1</v>
      </c>
      <c r="O2352" s="6"/>
      <c r="Q2352" s="42" t="s">
        <v>5682</v>
      </c>
      <c r="R2352" s="42"/>
      <c r="S2352" s="1"/>
    </row>
    <row r="2353" spans="1:19" ht="18.75" hidden="1" customHeight="1" x14ac:dyDescent="0.3">
      <c r="A2353" s="10">
        <v>2352</v>
      </c>
      <c r="B2353" s="10">
        <f>_xlfn.XLOOKUP(1,(VALUE(D2353)&gt;=VALUE(block!$C$3:$C$500))*(VALUE(D2353)&lt;VALUE(block!$C$3:$C$500)+VALUE(block!$D$3:$D$500)),block!$A$3:$A$500,"无匹配",0,1)</f>
        <v>65</v>
      </c>
      <c r="C2353" s="3" t="str">
        <f>B2353 &amp; "-" &amp; COUNTIF($B$2:B2353, B2353)</f>
        <v>65-48</v>
      </c>
      <c r="D2353" s="10">
        <f t="shared" si="6"/>
        <v>14759</v>
      </c>
      <c r="E2353" s="3" t="s">
        <v>6239</v>
      </c>
      <c r="F2353" s="1" t="s">
        <v>6241</v>
      </c>
      <c r="H2353" s="3" t="s">
        <v>5458</v>
      </c>
      <c r="I2353" s="10" t="str">
        <f>IF(H2353="T62",1,IF(H2353="T62",3,IF(H2353="T78",6,IF(H2353="T78",10,IF(H2353="T110",14,IF(H2353="T110",18,IF(H2353="T78",22,"")))))))</f>
        <v/>
      </c>
      <c r="J2353" s="1" t="s">
        <v>1808</v>
      </c>
      <c r="K2353" s="10">
        <v>1</v>
      </c>
      <c r="L2353" s="10">
        <v>1</v>
      </c>
      <c r="O2353" s="6"/>
      <c r="Q2353" s="42" t="s">
        <v>5682</v>
      </c>
      <c r="R2353" s="42"/>
      <c r="S2353" s="1"/>
    </row>
    <row r="2354" spans="1:19" ht="18.75" hidden="1" customHeight="1" x14ac:dyDescent="0.3">
      <c r="A2354" s="10">
        <v>2353</v>
      </c>
      <c r="B2354" s="10">
        <f>_xlfn.XLOOKUP(1,(VALUE(D2354)&gt;=VALUE(block!$C$3:$C$500))*(VALUE(D2354)&lt;VALUE(block!$C$3:$C$500)+VALUE(block!$D$3:$D$500)),block!$A$3:$A$500,"无匹配",0,1)</f>
        <v>65</v>
      </c>
      <c r="C2354" s="3" t="str">
        <f>B2354 &amp; "-" &amp; COUNTIF($B$2:B2354, B2354)</f>
        <v>65-49</v>
      </c>
      <c r="D2354" s="10">
        <f t="shared" si="6"/>
        <v>14760</v>
      </c>
      <c r="E2354" s="1" t="s">
        <v>6242</v>
      </c>
      <c r="F2354" s="1" t="s">
        <v>6243</v>
      </c>
      <c r="G2354" s="1" t="s">
        <v>1834</v>
      </c>
      <c r="H2354" s="1" t="s">
        <v>1812</v>
      </c>
      <c r="I2354" s="10" t="str">
        <f>IF(H2354="T63",1,IF(H2354="T63",3,IF(H2354="T79",6,IF(H2354="T79",10,IF(H2354="T111",14,IF(H2354="T111",18,IF(H2354="T79",22,"")))))))</f>
        <v/>
      </c>
      <c r="J2354" s="1" t="s">
        <v>1808</v>
      </c>
      <c r="K2354" s="10">
        <v>2</v>
      </c>
      <c r="L2354" s="10">
        <v>1</v>
      </c>
      <c r="O2354" s="6"/>
      <c r="P2354" s="42" t="s">
        <v>5560</v>
      </c>
      <c r="Q2354" s="42" t="s">
        <v>5682</v>
      </c>
      <c r="R2354" s="42"/>
      <c r="S2354" s="1"/>
    </row>
    <row r="2355" spans="1:19" ht="18.75" hidden="1" customHeight="1" x14ac:dyDescent="0.3">
      <c r="A2355" s="10">
        <v>2354</v>
      </c>
      <c r="B2355" s="10">
        <f>_xlfn.XLOOKUP(1,(VALUE(D2355)&gt;=VALUE(block!$C$3:$C$500))*(VALUE(D2355)&lt;VALUE(block!$C$3:$C$500)+VALUE(block!$D$3:$D$500)),block!$A$3:$A$500,"无匹配",0,1)</f>
        <v>65</v>
      </c>
      <c r="C2355" s="3" t="str">
        <f>B2355 &amp; "-" &amp; COUNTIF($B$2:B2355, B2355)</f>
        <v>65-50</v>
      </c>
      <c r="D2355" s="10">
        <f t="shared" si="6"/>
        <v>14762</v>
      </c>
      <c r="E2355" s="3" t="s">
        <v>6244</v>
      </c>
      <c r="F2355" s="1" t="s">
        <v>6245</v>
      </c>
      <c r="H2355" s="3" t="s">
        <v>1838</v>
      </c>
      <c r="I2355" s="10" t="str">
        <f>IF(H2355="T64",1,IF(H2355="T64",3,IF(H2355="T80",6,IF(H2355="T80",10,IF(H2355="T112",14,IF(H2355="T112",18,IF(H2355="T80",22,"")))))))</f>
        <v/>
      </c>
      <c r="J2355" s="1" t="s">
        <v>1808</v>
      </c>
      <c r="K2355" s="10">
        <v>2</v>
      </c>
      <c r="L2355" s="10">
        <v>1</v>
      </c>
      <c r="O2355" s="6"/>
      <c r="Q2355" s="42" t="s">
        <v>5682</v>
      </c>
      <c r="R2355" s="42"/>
      <c r="S2355" s="1"/>
    </row>
    <row r="2356" spans="1:19" ht="18.75" hidden="1" customHeight="1" x14ac:dyDescent="0.3">
      <c r="A2356" s="10">
        <v>2355</v>
      </c>
      <c r="B2356" s="10">
        <f>_xlfn.XLOOKUP(1,(VALUE(D2356)&gt;=VALUE(block!$C$3:$C$500))*(VALUE(D2356)&lt;VALUE(block!$C$3:$C$500)+VALUE(block!$D$3:$D$500)),block!$A$3:$A$500,"无匹配",0,1)</f>
        <v>65</v>
      </c>
      <c r="C2356" s="3" t="str">
        <f>B2356 &amp; "-" &amp; COUNTIF($B$2:B2356, B2356)</f>
        <v>65-51</v>
      </c>
      <c r="D2356" s="10">
        <f t="shared" si="6"/>
        <v>14764</v>
      </c>
      <c r="E2356" s="3" t="s">
        <v>6244</v>
      </c>
      <c r="F2356" s="1" t="s">
        <v>6246</v>
      </c>
      <c r="H2356" s="3" t="s">
        <v>5458</v>
      </c>
      <c r="I2356" s="10" t="str">
        <f>IF(H2356="T65",1,IF(H2356="T65",3,IF(H2356="T81",6,IF(H2356="T81",10,IF(H2356="T113",14,IF(H2356="T113",18,IF(H2356="T81",22,"")))))))</f>
        <v/>
      </c>
      <c r="J2356" s="1" t="s">
        <v>1808</v>
      </c>
      <c r="K2356" s="10">
        <v>1</v>
      </c>
      <c r="L2356" s="10">
        <v>1</v>
      </c>
      <c r="O2356" s="6"/>
      <c r="Q2356" s="42" t="s">
        <v>5682</v>
      </c>
      <c r="R2356" s="42"/>
      <c r="S2356" s="1"/>
    </row>
    <row r="2357" spans="1:19" ht="18.75" hidden="1" customHeight="1" x14ac:dyDescent="0.3">
      <c r="A2357" s="10">
        <v>2356</v>
      </c>
      <c r="B2357" s="10">
        <f>_xlfn.XLOOKUP(1,(VALUE(D2357)&gt;=VALUE(block!$C$3:$C$500))*(VALUE(D2357)&lt;VALUE(block!$C$3:$C$500)+VALUE(block!$D$3:$D$500)),block!$A$3:$A$500,"无匹配",0,1)</f>
        <v>65</v>
      </c>
      <c r="C2357" s="3" t="str">
        <f>B2357 &amp; "-" &amp; COUNTIF($B$2:B2357, B2357)</f>
        <v>65-52</v>
      </c>
      <c r="D2357" s="10">
        <f t="shared" si="6"/>
        <v>14765</v>
      </c>
      <c r="E2357" s="1" t="s">
        <v>6247</v>
      </c>
      <c r="F2357" s="1" t="s">
        <v>6248</v>
      </c>
      <c r="G2357" s="1" t="s">
        <v>1836</v>
      </c>
      <c r="H2357" s="1" t="s">
        <v>1812</v>
      </c>
      <c r="I2357" s="10" t="str">
        <f>IF(H2357="T66",1,IF(H2357="T66",3,IF(H2357="T82",6,IF(H2357="T82",10,IF(H2357="T114",14,IF(H2357="T114",18,IF(H2357="T82",22,"")))))))</f>
        <v/>
      </c>
      <c r="J2357" s="1" t="s">
        <v>1808</v>
      </c>
      <c r="K2357" s="10">
        <v>2</v>
      </c>
      <c r="L2357" s="10">
        <v>1</v>
      </c>
      <c r="O2357" s="6"/>
      <c r="P2357" s="42" t="s">
        <v>5560</v>
      </c>
      <c r="Q2357" s="42" t="s">
        <v>5682</v>
      </c>
      <c r="R2357" s="42"/>
      <c r="S2357" s="1"/>
    </row>
    <row r="2358" spans="1:19" ht="18.75" hidden="1" customHeight="1" x14ac:dyDescent="0.3">
      <c r="A2358" s="10">
        <v>2357</v>
      </c>
      <c r="B2358" s="10">
        <f>_xlfn.XLOOKUP(1,(VALUE(D2358)&gt;=VALUE(block!$C$3:$C$500))*(VALUE(D2358)&lt;VALUE(block!$C$3:$C$500)+VALUE(block!$D$3:$D$500)),block!$A$3:$A$500,"无匹配",0,1)</f>
        <v>65</v>
      </c>
      <c r="C2358" s="3" t="str">
        <f>B2358 &amp; "-" &amp; COUNTIF($B$2:B2358, B2358)</f>
        <v>65-53</v>
      </c>
      <c r="D2358" s="10">
        <f t="shared" si="6"/>
        <v>14767</v>
      </c>
      <c r="E2358" s="3" t="s">
        <v>6249</v>
      </c>
      <c r="F2358" s="1" t="s">
        <v>6250</v>
      </c>
      <c r="H2358" s="3" t="s">
        <v>1838</v>
      </c>
      <c r="I2358" s="10" t="str">
        <f>IF(H2358="T67",1,IF(H2358="T67",3,IF(H2358="T83",6,IF(H2358="T83",10,IF(H2358="T115",14,IF(H2358="T115",18,IF(H2358="T83",22,"")))))))</f>
        <v/>
      </c>
      <c r="J2358" s="1" t="s">
        <v>1808</v>
      </c>
      <c r="K2358" s="10">
        <v>2</v>
      </c>
      <c r="L2358" s="10">
        <v>1</v>
      </c>
      <c r="O2358" s="6"/>
      <c r="Q2358" s="42" t="s">
        <v>5682</v>
      </c>
      <c r="R2358" s="42"/>
      <c r="S2358" s="1"/>
    </row>
    <row r="2359" spans="1:19" ht="18.75" hidden="1" customHeight="1" x14ac:dyDescent="0.3">
      <c r="A2359" s="10">
        <v>2358</v>
      </c>
      <c r="B2359" s="10">
        <f>_xlfn.XLOOKUP(1,(VALUE(D2359)&gt;=VALUE(block!$C$3:$C$500))*(VALUE(D2359)&lt;VALUE(block!$C$3:$C$500)+VALUE(block!$D$3:$D$500)),block!$A$3:$A$500,"无匹配",0,1)</f>
        <v>65</v>
      </c>
      <c r="C2359" s="3" t="str">
        <f>B2359 &amp; "-" &amp; COUNTIF($B$2:B2359, B2359)</f>
        <v>65-54</v>
      </c>
      <c r="D2359" s="10">
        <f t="shared" si="6"/>
        <v>14769</v>
      </c>
      <c r="E2359" s="3" t="s">
        <v>6249</v>
      </c>
      <c r="F2359" s="1" t="s">
        <v>6251</v>
      </c>
      <c r="H2359" s="3" t="s">
        <v>5458</v>
      </c>
      <c r="I2359" s="10" t="str">
        <f>IF(H2359="T68",1,IF(H2359="T68",3,IF(H2359="T84",6,IF(H2359="T84",10,IF(H2359="T116",14,IF(H2359="T116",18,IF(H2359="T84",22,"")))))))</f>
        <v/>
      </c>
      <c r="J2359" s="1" t="s">
        <v>1808</v>
      </c>
      <c r="K2359" s="10">
        <v>1</v>
      </c>
      <c r="L2359" s="10">
        <v>1</v>
      </c>
      <c r="O2359" s="6"/>
      <c r="Q2359" s="42" t="s">
        <v>5682</v>
      </c>
      <c r="R2359" s="42"/>
      <c r="S2359" s="1"/>
    </row>
    <row r="2360" spans="1:19" ht="18.75" hidden="1" customHeight="1" x14ac:dyDescent="0.3">
      <c r="A2360" s="10">
        <v>2359</v>
      </c>
      <c r="B2360" s="10">
        <f>_xlfn.XLOOKUP(1,(VALUE(D2360)&gt;=VALUE(block!$C$3:$C$500))*(VALUE(D2360)&lt;VALUE(block!$C$3:$C$500)+VALUE(block!$D$3:$D$500)),block!$A$3:$A$500,"无匹配",0,1)</f>
        <v>65</v>
      </c>
      <c r="C2360" s="3" t="str">
        <f>B2360 &amp; "-" &amp; COUNTIF($B$2:B2360, B2360)</f>
        <v>65-55</v>
      </c>
      <c r="D2360" s="10">
        <f t="shared" si="6"/>
        <v>14770</v>
      </c>
      <c r="E2360" s="1" t="s">
        <v>6252</v>
      </c>
      <c r="F2360" s="1" t="s">
        <v>6253</v>
      </c>
      <c r="G2360" s="1" t="s">
        <v>1830</v>
      </c>
      <c r="H2360" s="1" t="s">
        <v>1812</v>
      </c>
      <c r="I2360" s="10" t="str">
        <f>IF(H2360="T69",1,IF(H2360="T69",3,IF(H2360="T85",6,IF(H2360="T85",10,IF(H2360="T117",14,IF(H2360="T117",18,IF(H2360="T85",22,"")))))))</f>
        <v/>
      </c>
      <c r="J2360" s="1" t="s">
        <v>1808</v>
      </c>
      <c r="K2360" s="10">
        <v>2</v>
      </c>
      <c r="L2360" s="10">
        <v>1</v>
      </c>
      <c r="O2360" s="6"/>
      <c r="P2360" s="42" t="s">
        <v>5560</v>
      </c>
      <c r="Q2360" s="42" t="s">
        <v>5682</v>
      </c>
      <c r="R2360" s="42"/>
      <c r="S2360" s="1"/>
    </row>
    <row r="2361" spans="1:19" ht="18.75" hidden="1" customHeight="1" x14ac:dyDescent="0.3">
      <c r="A2361" s="10">
        <v>2360</v>
      </c>
      <c r="B2361" s="10">
        <f>_xlfn.XLOOKUP(1,(VALUE(D2361)&gt;=VALUE(block!$C$3:$C$500))*(VALUE(D2361)&lt;VALUE(block!$C$3:$C$500)+VALUE(block!$D$3:$D$500)),block!$A$3:$A$500,"无匹配",0,1)</f>
        <v>65</v>
      </c>
      <c r="C2361" s="3" t="str">
        <f>B2361 &amp; "-" &amp; COUNTIF($B$2:B2361, B2361)</f>
        <v>65-56</v>
      </c>
      <c r="D2361" s="10">
        <f t="shared" si="6"/>
        <v>14772</v>
      </c>
      <c r="E2361" s="3" t="s">
        <v>6254</v>
      </c>
      <c r="F2361" s="1" t="s">
        <v>6255</v>
      </c>
      <c r="H2361" s="3" t="s">
        <v>1838</v>
      </c>
      <c r="I2361" s="10" t="str">
        <f>IF(H2361="T70",1,IF(H2361="T70",3,IF(H2361="T86",6,IF(H2361="T86",10,IF(H2361="T118",14,IF(H2361="T118",18,IF(H2361="T86",22,"")))))))</f>
        <v/>
      </c>
      <c r="J2361" s="1" t="s">
        <v>1808</v>
      </c>
      <c r="K2361" s="10">
        <v>2</v>
      </c>
      <c r="L2361" s="10">
        <v>1</v>
      </c>
      <c r="O2361" s="6"/>
      <c r="Q2361" s="42" t="s">
        <v>5682</v>
      </c>
      <c r="R2361" s="42"/>
      <c r="S2361" s="1"/>
    </row>
    <row r="2362" spans="1:19" ht="18.75" hidden="1" customHeight="1" x14ac:dyDescent="0.3">
      <c r="A2362" s="10">
        <v>2361</v>
      </c>
      <c r="B2362" s="10">
        <f>_xlfn.XLOOKUP(1,(VALUE(D2362)&gt;=VALUE(block!$C$3:$C$500))*(VALUE(D2362)&lt;VALUE(block!$C$3:$C$500)+VALUE(block!$D$3:$D$500)),block!$A$3:$A$500,"无匹配",0,1)</f>
        <v>65</v>
      </c>
      <c r="C2362" s="3" t="str">
        <f>B2362 &amp; "-" &amp; COUNTIF($B$2:B2362, B2362)</f>
        <v>65-57</v>
      </c>
      <c r="D2362" s="10">
        <f t="shared" si="6"/>
        <v>14774</v>
      </c>
      <c r="E2362" s="3" t="s">
        <v>6254</v>
      </c>
      <c r="F2362" s="1" t="s">
        <v>6256</v>
      </c>
      <c r="H2362" s="3" t="s">
        <v>5458</v>
      </c>
      <c r="I2362" s="10" t="str">
        <f>IF(H2362="T71",1,IF(H2362="T71",3,IF(H2362="T87",6,IF(H2362="T87",10,IF(H2362="T119",14,IF(H2362="T119",18,IF(H2362="T87",22,"")))))))</f>
        <v/>
      </c>
      <c r="J2362" s="1" t="s">
        <v>1808</v>
      </c>
      <c r="K2362" s="10">
        <v>1</v>
      </c>
      <c r="L2362" s="10">
        <v>1</v>
      </c>
      <c r="O2362" s="6"/>
      <c r="Q2362" s="42" t="s">
        <v>5682</v>
      </c>
      <c r="R2362" s="42"/>
      <c r="S2362" s="1"/>
    </row>
    <row r="2363" spans="1:19" ht="18.75" hidden="1" customHeight="1" x14ac:dyDescent="0.3">
      <c r="A2363" s="10">
        <v>2362</v>
      </c>
      <c r="B2363" s="10">
        <f>_xlfn.XLOOKUP(1,(VALUE(D2363)&gt;=VALUE(block!$C$3:$C$500))*(VALUE(D2363)&lt;VALUE(block!$C$3:$C$500)+VALUE(block!$D$3:$D$500)),block!$A$3:$A$500,"无匹配",0,1)</f>
        <v>65</v>
      </c>
      <c r="C2363" s="3" t="str">
        <f>B2363 &amp; "-" &amp; COUNTIF($B$2:B2363, B2363)</f>
        <v>65-58</v>
      </c>
      <c r="D2363" s="10">
        <f t="shared" si="6"/>
        <v>14775</v>
      </c>
      <c r="E2363" s="1" t="s">
        <v>6257</v>
      </c>
      <c r="F2363" s="1" t="s">
        <v>6258</v>
      </c>
      <c r="G2363" s="1" t="s">
        <v>1832</v>
      </c>
      <c r="H2363" s="1" t="s">
        <v>1812</v>
      </c>
      <c r="I2363" s="10" t="str">
        <f>IF(H2363="T72",1,IF(H2363="T72",3,IF(H2363="T88",6,IF(H2363="T88",10,IF(H2363="T120",14,IF(H2363="T120",18,IF(H2363="T88",22,"")))))))</f>
        <v/>
      </c>
      <c r="J2363" s="1" t="s">
        <v>1808</v>
      </c>
      <c r="K2363" s="10">
        <v>2</v>
      </c>
      <c r="L2363" s="10">
        <v>1</v>
      </c>
      <c r="O2363" s="6"/>
      <c r="P2363" s="42" t="s">
        <v>5560</v>
      </c>
      <c r="Q2363" s="42" t="s">
        <v>5682</v>
      </c>
      <c r="R2363" s="42"/>
      <c r="S2363" s="1"/>
    </row>
    <row r="2364" spans="1:19" ht="18.75" hidden="1" customHeight="1" x14ac:dyDescent="0.3">
      <c r="A2364" s="10">
        <v>2363</v>
      </c>
      <c r="B2364" s="10">
        <f>_xlfn.XLOOKUP(1,(VALUE(D2364)&gt;=VALUE(block!$C$3:$C$500))*(VALUE(D2364)&lt;VALUE(block!$C$3:$C$500)+VALUE(block!$D$3:$D$500)),block!$A$3:$A$500,"无匹配",0,1)</f>
        <v>65</v>
      </c>
      <c r="C2364" s="3" t="str">
        <f>B2364 &amp; "-" &amp; COUNTIF($B$2:B2364, B2364)</f>
        <v>65-59</v>
      </c>
      <c r="D2364" s="10">
        <f t="shared" si="6"/>
        <v>14777</v>
      </c>
      <c r="E2364" s="3" t="s">
        <v>6259</v>
      </c>
      <c r="F2364" s="1" t="s">
        <v>6260</v>
      </c>
      <c r="H2364" s="3" t="s">
        <v>1838</v>
      </c>
      <c r="I2364" s="10" t="str">
        <f>IF(H2364="T73",1,IF(H2364="T73",3,IF(H2364="T89",6,IF(H2364="T89",10,IF(H2364="T121",14,IF(H2364="T121",18,IF(H2364="T89",22,"")))))))</f>
        <v/>
      </c>
      <c r="J2364" s="1" t="s">
        <v>1808</v>
      </c>
      <c r="K2364" s="10">
        <v>2</v>
      </c>
      <c r="L2364" s="10">
        <v>1</v>
      </c>
      <c r="O2364" s="6"/>
      <c r="Q2364" s="42" t="s">
        <v>5682</v>
      </c>
      <c r="R2364" s="42"/>
      <c r="S2364" s="1"/>
    </row>
    <row r="2365" spans="1:19" ht="18.75" hidden="1" customHeight="1" x14ac:dyDescent="0.3">
      <c r="A2365" s="10">
        <v>2364</v>
      </c>
      <c r="B2365" s="10">
        <f>_xlfn.XLOOKUP(1,(VALUE(D2365)&gt;=VALUE(block!$C$3:$C$500))*(VALUE(D2365)&lt;VALUE(block!$C$3:$C$500)+VALUE(block!$D$3:$D$500)),block!$A$3:$A$500,"无匹配",0,1)</f>
        <v>65</v>
      </c>
      <c r="C2365" s="3" t="str">
        <f>B2365 &amp; "-" &amp; COUNTIF($B$2:B2365, B2365)</f>
        <v>65-60</v>
      </c>
      <c r="D2365" s="10">
        <f t="shared" si="6"/>
        <v>14779</v>
      </c>
      <c r="E2365" s="3" t="s">
        <v>6259</v>
      </c>
      <c r="F2365" s="1" t="s">
        <v>6261</v>
      </c>
      <c r="H2365" s="3" t="s">
        <v>5458</v>
      </c>
      <c r="I2365" s="10" t="str">
        <f>IF(H2365="T74",1,IF(H2365="T74",3,IF(H2365="T90",6,IF(H2365="T90",10,IF(H2365="T122",14,IF(H2365="T122",18,IF(H2365="T90",22,"")))))))</f>
        <v/>
      </c>
      <c r="J2365" s="1" t="s">
        <v>1808</v>
      </c>
      <c r="K2365" s="10">
        <v>1</v>
      </c>
      <c r="L2365" s="10">
        <v>1</v>
      </c>
      <c r="O2365" s="6"/>
      <c r="Q2365" s="42" t="s">
        <v>5682</v>
      </c>
      <c r="R2365" s="42"/>
      <c r="S2365" s="1"/>
    </row>
    <row r="2366" spans="1:19" ht="18.75" hidden="1" customHeight="1" x14ac:dyDescent="0.3">
      <c r="A2366" s="10">
        <v>2365</v>
      </c>
      <c r="B2366" s="10">
        <f>_xlfn.XLOOKUP(1,(VALUE(D2366)&gt;=VALUE(block!$C$3:$C$500))*(VALUE(D2366)&lt;VALUE(block!$C$3:$C$500)+VALUE(block!$D$3:$D$500)),block!$A$3:$A$500,"无匹配",0,1)</f>
        <v>65</v>
      </c>
      <c r="C2366" s="3" t="str">
        <f>B2366 &amp; "-" &amp; COUNTIF($B$2:B2366, B2366)</f>
        <v>65-61</v>
      </c>
      <c r="D2366" s="10">
        <f t="shared" si="6"/>
        <v>14780</v>
      </c>
      <c r="E2366" s="1" t="s">
        <v>6262</v>
      </c>
      <c r="F2366" s="1" t="s">
        <v>6263</v>
      </c>
      <c r="G2366" s="1" t="s">
        <v>1832</v>
      </c>
      <c r="H2366" s="1" t="s">
        <v>1812</v>
      </c>
      <c r="I2366" s="10" t="str">
        <f>IF(H2366="T75",1,IF(H2366="T75",3,IF(H2366="T91",6,IF(H2366="T91",10,IF(H2366="T123",14,IF(H2366="T123",18,IF(H2366="T91",22,"")))))))</f>
        <v/>
      </c>
      <c r="J2366" s="1" t="s">
        <v>1808</v>
      </c>
      <c r="K2366" s="10">
        <v>2</v>
      </c>
      <c r="L2366" s="10">
        <v>1</v>
      </c>
      <c r="O2366" s="6"/>
      <c r="P2366" s="42" t="s">
        <v>5560</v>
      </c>
      <c r="Q2366" s="42" t="s">
        <v>5682</v>
      </c>
      <c r="R2366" s="42"/>
      <c r="S2366" s="1"/>
    </row>
    <row r="2367" spans="1:19" ht="18.75" hidden="1" customHeight="1" x14ac:dyDescent="0.3">
      <c r="A2367" s="10">
        <v>2366</v>
      </c>
      <c r="B2367" s="10">
        <f>_xlfn.XLOOKUP(1,(VALUE(D2367)&gt;=VALUE(block!$C$3:$C$500))*(VALUE(D2367)&lt;VALUE(block!$C$3:$C$500)+VALUE(block!$D$3:$D$500)),block!$A$3:$A$500,"无匹配",0,1)</f>
        <v>65</v>
      </c>
      <c r="C2367" s="3" t="str">
        <f>B2367 &amp; "-" &amp; COUNTIF($B$2:B2367, B2367)</f>
        <v>65-62</v>
      </c>
      <c r="D2367" s="10">
        <f t="shared" si="6"/>
        <v>14782</v>
      </c>
      <c r="E2367" s="3" t="s">
        <v>6264</v>
      </c>
      <c r="F2367" s="1" t="s">
        <v>6265</v>
      </c>
      <c r="H2367" s="3" t="s">
        <v>1838</v>
      </c>
      <c r="I2367" s="10" t="str">
        <f>IF(H2367="T76",1,IF(H2367="T76",3,IF(H2367="T92",6,IF(H2367="T92",10,IF(H2367="T124",14,IF(H2367="T124",18,IF(H2367="T92",22,"")))))))</f>
        <v/>
      </c>
      <c r="J2367" s="1" t="s">
        <v>1808</v>
      </c>
      <c r="K2367" s="10">
        <v>2</v>
      </c>
      <c r="L2367" s="10">
        <v>1</v>
      </c>
      <c r="O2367" s="6"/>
      <c r="Q2367" s="42" t="s">
        <v>5682</v>
      </c>
      <c r="R2367" s="42"/>
      <c r="S2367" s="1"/>
    </row>
    <row r="2368" spans="1:19" ht="18.75" hidden="1" customHeight="1" x14ac:dyDescent="0.3">
      <c r="A2368" s="10">
        <v>2367</v>
      </c>
      <c r="B2368" s="10">
        <f>_xlfn.XLOOKUP(1,(VALUE(D2368)&gt;=VALUE(block!$C$3:$C$500))*(VALUE(D2368)&lt;VALUE(block!$C$3:$C$500)+VALUE(block!$D$3:$D$500)),block!$A$3:$A$500,"无匹配",0,1)</f>
        <v>65</v>
      </c>
      <c r="C2368" s="3" t="str">
        <f>B2368 &amp; "-" &amp; COUNTIF($B$2:B2368, B2368)</f>
        <v>65-63</v>
      </c>
      <c r="D2368" s="10">
        <f t="shared" si="6"/>
        <v>14784</v>
      </c>
      <c r="E2368" s="3" t="s">
        <v>6264</v>
      </c>
      <c r="F2368" s="1" t="s">
        <v>6266</v>
      </c>
      <c r="H2368" s="3" t="s">
        <v>5458</v>
      </c>
      <c r="I2368" s="10" t="str">
        <f>IF(H2368="T77",1,IF(H2368="T77",3,IF(H2368="T93",6,IF(H2368="T93",10,IF(H2368="T125",14,IF(H2368="T125",18,IF(H2368="T93",22,"")))))))</f>
        <v/>
      </c>
      <c r="J2368" s="1" t="s">
        <v>1808</v>
      </c>
      <c r="K2368" s="10">
        <v>1</v>
      </c>
      <c r="L2368" s="10">
        <v>1</v>
      </c>
      <c r="O2368" s="6"/>
      <c r="Q2368" s="42" t="s">
        <v>5682</v>
      </c>
      <c r="R2368" s="42"/>
      <c r="S2368" s="1"/>
    </row>
    <row r="2369" spans="1:19" ht="18.75" hidden="1" customHeight="1" x14ac:dyDescent="0.3">
      <c r="A2369" s="10">
        <v>2368</v>
      </c>
      <c r="B2369" s="10">
        <f>_xlfn.XLOOKUP(1,(VALUE(D2369)&gt;=VALUE(block!$C$3:$C$500))*(VALUE(D2369)&lt;VALUE(block!$C$3:$C$500)+VALUE(block!$D$3:$D$500)),block!$A$3:$A$500,"无匹配",0,1)</f>
        <v>65</v>
      </c>
      <c r="C2369" s="3" t="str">
        <f>B2369 &amp; "-" &amp; COUNTIF($B$2:B2369, B2369)</f>
        <v>65-64</v>
      </c>
      <c r="D2369" s="10">
        <f t="shared" si="6"/>
        <v>14785</v>
      </c>
      <c r="E2369" s="1" t="s">
        <v>6267</v>
      </c>
      <c r="F2369" s="1" t="s">
        <v>6268</v>
      </c>
      <c r="G2369" s="1" t="s">
        <v>1834</v>
      </c>
      <c r="H2369" s="1" t="s">
        <v>1812</v>
      </c>
      <c r="I2369" s="10" t="str">
        <f>IF(H2369="T78",1,IF(H2369="T78",3,IF(H2369="T94",6,IF(H2369="T94",10,IF(H2369="T126",14,IF(H2369="T126",18,IF(H2369="T94",22,"")))))))</f>
        <v/>
      </c>
      <c r="J2369" s="1" t="s">
        <v>1808</v>
      </c>
      <c r="K2369" s="10">
        <v>2</v>
      </c>
      <c r="L2369" s="10">
        <v>1</v>
      </c>
      <c r="O2369" s="6"/>
      <c r="P2369" s="42" t="s">
        <v>5560</v>
      </c>
      <c r="Q2369" s="42" t="s">
        <v>5682</v>
      </c>
      <c r="R2369" s="42"/>
      <c r="S2369" s="1"/>
    </row>
    <row r="2370" spans="1:19" ht="18.75" hidden="1" customHeight="1" x14ac:dyDescent="0.3">
      <c r="A2370" s="10">
        <v>2369</v>
      </c>
      <c r="B2370" s="10">
        <f>_xlfn.XLOOKUP(1,(VALUE(D2370)&gt;=VALUE(block!$C$3:$C$500))*(VALUE(D2370)&lt;VALUE(block!$C$3:$C$500)+VALUE(block!$D$3:$D$500)),block!$A$3:$A$500,"无匹配",0,1)</f>
        <v>65</v>
      </c>
      <c r="C2370" s="3" t="str">
        <f>B2370 &amp; "-" &amp; COUNTIF($B$2:B2370, B2370)</f>
        <v>65-65</v>
      </c>
      <c r="D2370" s="10">
        <f t="shared" si="6"/>
        <v>14787</v>
      </c>
      <c r="E2370" s="3" t="s">
        <v>6269</v>
      </c>
      <c r="F2370" s="1" t="s">
        <v>6270</v>
      </c>
      <c r="H2370" s="3" t="s">
        <v>1838</v>
      </c>
      <c r="I2370" s="10" t="str">
        <f>IF(H2370="T79",1,IF(H2370="T79",3,IF(H2370="T95",6,IF(H2370="T95",10,IF(H2370="T127",14,IF(H2370="T127",18,IF(H2370="T95",22,"")))))))</f>
        <v/>
      </c>
      <c r="J2370" s="1" t="s">
        <v>1808</v>
      </c>
      <c r="K2370" s="10">
        <v>2</v>
      </c>
      <c r="L2370" s="10">
        <v>1</v>
      </c>
      <c r="O2370" s="6"/>
      <c r="Q2370" s="42" t="s">
        <v>5682</v>
      </c>
      <c r="R2370" s="42"/>
      <c r="S2370" s="1"/>
    </row>
    <row r="2371" spans="1:19" ht="18.75" hidden="1" customHeight="1" x14ac:dyDescent="0.3">
      <c r="A2371" s="10">
        <v>2370</v>
      </c>
      <c r="B2371" s="10">
        <f>_xlfn.XLOOKUP(1,(VALUE(D2371)&gt;=VALUE(block!$C$3:$C$500))*(VALUE(D2371)&lt;VALUE(block!$C$3:$C$500)+VALUE(block!$D$3:$D$500)),block!$A$3:$A$500,"无匹配",0,1)</f>
        <v>65</v>
      </c>
      <c r="C2371" s="3" t="str">
        <f>B2371 &amp; "-" &amp; COUNTIF($B$2:B2371, B2371)</f>
        <v>65-66</v>
      </c>
      <c r="D2371" s="10">
        <f t="shared" si="6"/>
        <v>14789</v>
      </c>
      <c r="E2371" s="3" t="s">
        <v>6269</v>
      </c>
      <c r="F2371" s="1" t="s">
        <v>6271</v>
      </c>
      <c r="H2371" s="3" t="s">
        <v>5458</v>
      </c>
      <c r="I2371" s="10">
        <f>IF(H2371="uint16",1,IF(H2371="int16",3,IF(H2371="uint32",6,IF(H2371="int32",10,IF(H2371="uint64",14,IF(H2371="int64",18,IF(H2371="float32",22,"")))))))</f>
        <v>1</v>
      </c>
      <c r="J2371" s="1" t="s">
        <v>1808</v>
      </c>
      <c r="K2371" s="10">
        <v>1</v>
      </c>
      <c r="L2371" s="10">
        <v>1</v>
      </c>
      <c r="O2371" s="6"/>
      <c r="Q2371" s="42" t="s">
        <v>5682</v>
      </c>
      <c r="R2371" s="42"/>
      <c r="S2371" s="1"/>
    </row>
    <row r="2372" spans="1:19" ht="18.75" hidden="1" customHeight="1" x14ac:dyDescent="0.3">
      <c r="A2372" s="10">
        <v>2371</v>
      </c>
      <c r="B2372" s="10">
        <f>_xlfn.XLOOKUP(1,(VALUE(D2372)&gt;=VALUE(block!$C$3:$C$500))*(VALUE(D2372)&lt;VALUE(block!$C$3:$C$500)+VALUE(block!$D$3:$D$500)),block!$A$3:$A$500,"无匹配",0,1)</f>
        <v>65</v>
      </c>
      <c r="C2372" s="3" t="str">
        <f>B2372 &amp; "-" &amp; COUNTIF($B$2:B2372, B2372)</f>
        <v>65-67</v>
      </c>
      <c r="D2372" s="10">
        <f t="shared" si="6"/>
        <v>14790</v>
      </c>
      <c r="E2372" s="1" t="s">
        <v>6272</v>
      </c>
      <c r="F2372" s="1" t="s">
        <v>6273</v>
      </c>
      <c r="G2372" s="1" t="s">
        <v>1834</v>
      </c>
      <c r="H2372" s="1" t="s">
        <v>1812</v>
      </c>
      <c r="I2372" s="10" t="str">
        <f>IF(H2372="T17",1,IF(H2372="T17",3,IF(H2372="T33",6,IF(H2372="T33",10,IF(H2372="T65",14,IF(H2372="T65",18,IF(H2372="T33",22,"")))))))</f>
        <v/>
      </c>
      <c r="J2372" s="1" t="s">
        <v>1808</v>
      </c>
      <c r="K2372" s="10">
        <v>2</v>
      </c>
      <c r="L2372" s="10">
        <v>1</v>
      </c>
      <c r="O2372" s="6"/>
      <c r="P2372" s="42" t="s">
        <v>5560</v>
      </c>
      <c r="Q2372" s="42" t="s">
        <v>5682</v>
      </c>
      <c r="R2372" s="42"/>
      <c r="S2372" s="1"/>
    </row>
    <row r="2373" spans="1:19" ht="18.75" hidden="1" customHeight="1" x14ac:dyDescent="0.3">
      <c r="A2373" s="10">
        <v>2372</v>
      </c>
      <c r="B2373" s="10">
        <f>_xlfn.XLOOKUP(1,(VALUE(D2373)&gt;=VALUE(block!$C$3:$C$500))*(VALUE(D2373)&lt;VALUE(block!$C$3:$C$500)+VALUE(block!$D$3:$D$500)),block!$A$3:$A$500,"无匹配",0,1)</f>
        <v>65</v>
      </c>
      <c r="C2373" s="3" t="str">
        <f>B2373 &amp; "-" &amp; COUNTIF($B$2:B2373, B2373)</f>
        <v>65-68</v>
      </c>
      <c r="D2373" s="10">
        <f t="shared" si="6"/>
        <v>14792</v>
      </c>
      <c r="E2373" s="3" t="s">
        <v>6274</v>
      </c>
      <c r="F2373" s="1" t="s">
        <v>6275</v>
      </c>
      <c r="H2373" s="3" t="s">
        <v>1838</v>
      </c>
      <c r="I2373" s="10" t="str">
        <f>IF(H2373="T18",1,IF(H2373="T18",3,IF(H2373="T34",6,IF(H2373="T34",10,IF(H2373="T66",14,IF(H2373="T66",18,IF(H2373="T34",22,"")))))))</f>
        <v/>
      </c>
      <c r="J2373" s="1" t="s">
        <v>1808</v>
      </c>
      <c r="K2373" s="10">
        <v>2</v>
      </c>
      <c r="L2373" s="10">
        <v>1</v>
      </c>
      <c r="O2373" s="6"/>
      <c r="Q2373" s="42" t="s">
        <v>5682</v>
      </c>
      <c r="R2373" s="42"/>
      <c r="S2373" s="1"/>
    </row>
    <row r="2374" spans="1:19" ht="18.75" hidden="1" customHeight="1" x14ac:dyDescent="0.3">
      <c r="A2374" s="10">
        <v>2373</v>
      </c>
      <c r="B2374" s="10">
        <f>_xlfn.XLOOKUP(1,(VALUE(D2374)&gt;=VALUE(block!$C$3:$C$500))*(VALUE(D2374)&lt;VALUE(block!$C$3:$C$500)+VALUE(block!$D$3:$D$500)),block!$A$3:$A$500,"无匹配",0,1)</f>
        <v>65</v>
      </c>
      <c r="C2374" s="3" t="str">
        <f>B2374 &amp; "-" &amp; COUNTIF($B$2:B2374, B2374)</f>
        <v>65-69</v>
      </c>
      <c r="D2374" s="10">
        <f t="shared" si="6"/>
        <v>14794</v>
      </c>
      <c r="E2374" s="3" t="s">
        <v>6274</v>
      </c>
      <c r="F2374" s="1" t="s">
        <v>6276</v>
      </c>
      <c r="H2374" s="3" t="s">
        <v>5458</v>
      </c>
      <c r="I2374" s="10" t="str">
        <f>IF(H2374="T19",1,IF(H2374="T19",3,IF(H2374="T35",6,IF(H2374="T35",10,IF(H2374="T67",14,IF(H2374="T67",18,IF(H2374="T35",22,"")))))))</f>
        <v/>
      </c>
      <c r="J2374" s="1" t="s">
        <v>1808</v>
      </c>
      <c r="K2374" s="10">
        <v>1</v>
      </c>
      <c r="L2374" s="10">
        <v>1</v>
      </c>
      <c r="O2374" s="6"/>
      <c r="Q2374" s="42" t="s">
        <v>5682</v>
      </c>
      <c r="R2374" s="42"/>
      <c r="S2374" s="1"/>
    </row>
    <row r="2375" spans="1:19" ht="18.75" hidden="1" customHeight="1" x14ac:dyDescent="0.3">
      <c r="A2375" s="10">
        <v>2374</v>
      </c>
      <c r="B2375" s="10">
        <f>_xlfn.XLOOKUP(1,(VALUE(D2375)&gt;=VALUE(block!$C$3:$C$500))*(VALUE(D2375)&lt;VALUE(block!$C$3:$C$500)+VALUE(block!$D$3:$D$500)),block!$A$3:$A$500,"无匹配",0,1)</f>
        <v>65</v>
      </c>
      <c r="C2375" s="3" t="str">
        <f>B2375 &amp; "-" &amp; COUNTIF($B$2:B2375, B2375)</f>
        <v>65-70</v>
      </c>
      <c r="D2375" s="10">
        <f t="shared" si="6"/>
        <v>14795</v>
      </c>
      <c r="E2375" s="1" t="s">
        <v>6277</v>
      </c>
      <c r="F2375" s="1" t="s">
        <v>6278</v>
      </c>
      <c r="G2375" s="1" t="s">
        <v>1836</v>
      </c>
      <c r="H2375" s="1" t="s">
        <v>1812</v>
      </c>
      <c r="I2375" s="10" t="str">
        <f>IF(H2375="T20",1,IF(H2375="T20",3,IF(H2375="T36",6,IF(H2375="T36",10,IF(H2375="T68",14,IF(H2375="T68",18,IF(H2375="T36",22,"")))))))</f>
        <v/>
      </c>
      <c r="J2375" s="1" t="s">
        <v>1808</v>
      </c>
      <c r="K2375" s="10">
        <v>2</v>
      </c>
      <c r="L2375" s="10">
        <v>1</v>
      </c>
      <c r="O2375" s="6"/>
      <c r="P2375" s="42" t="s">
        <v>5560</v>
      </c>
      <c r="Q2375" s="42" t="s">
        <v>5682</v>
      </c>
      <c r="R2375" s="42"/>
      <c r="S2375" s="1"/>
    </row>
    <row r="2376" spans="1:19" ht="18.75" hidden="1" customHeight="1" x14ac:dyDescent="0.3">
      <c r="A2376" s="10">
        <v>2375</v>
      </c>
      <c r="B2376" s="10">
        <f>_xlfn.XLOOKUP(1,(VALUE(D2376)&gt;=VALUE(block!$C$3:$C$500))*(VALUE(D2376)&lt;VALUE(block!$C$3:$C$500)+VALUE(block!$D$3:$D$500)),block!$A$3:$A$500,"无匹配",0,1)</f>
        <v>65</v>
      </c>
      <c r="C2376" s="3" t="str">
        <f>B2376 &amp; "-" &amp; COUNTIF($B$2:B2376, B2376)</f>
        <v>65-71</v>
      </c>
      <c r="D2376" s="10">
        <f t="shared" si="6"/>
        <v>14797</v>
      </c>
      <c r="E2376" s="3" t="s">
        <v>6279</v>
      </c>
      <c r="F2376" s="1" t="s">
        <v>6280</v>
      </c>
      <c r="H2376" s="3" t="s">
        <v>1838</v>
      </c>
      <c r="I2376" s="10" t="str">
        <f>IF(H2376="T21",1,IF(H2376="T21",3,IF(H2376="T37",6,IF(H2376="T37",10,IF(H2376="T69",14,IF(H2376="T69",18,IF(H2376="T37",22,"")))))))</f>
        <v/>
      </c>
      <c r="J2376" s="1" t="s">
        <v>1808</v>
      </c>
      <c r="K2376" s="10">
        <v>2</v>
      </c>
      <c r="L2376" s="10">
        <v>1</v>
      </c>
      <c r="O2376" s="6"/>
      <c r="Q2376" s="42" t="s">
        <v>5682</v>
      </c>
      <c r="R2376" s="42"/>
      <c r="S2376" s="1"/>
    </row>
    <row r="2377" spans="1:19" ht="18.75" hidden="1" customHeight="1" x14ac:dyDescent="0.3">
      <c r="A2377" s="10">
        <v>2376</v>
      </c>
      <c r="B2377" s="10">
        <f>_xlfn.XLOOKUP(1,(VALUE(D2377)&gt;=VALUE(block!$C$3:$C$500))*(VALUE(D2377)&lt;VALUE(block!$C$3:$C$500)+VALUE(block!$D$3:$D$500)),block!$A$3:$A$500,"无匹配",0,1)</f>
        <v>65</v>
      </c>
      <c r="C2377" s="3" t="str">
        <f>B2377 &amp; "-" &amp; COUNTIF($B$2:B2377, B2377)</f>
        <v>65-72</v>
      </c>
      <c r="D2377" s="10">
        <f t="shared" si="6"/>
        <v>14799</v>
      </c>
      <c r="E2377" s="3" t="s">
        <v>6279</v>
      </c>
      <c r="F2377" s="1" t="s">
        <v>6281</v>
      </c>
      <c r="H2377" s="3" t="s">
        <v>5458</v>
      </c>
      <c r="I2377" s="10" t="str">
        <f>IF(H2377="T22",1,IF(H2377="T22",3,IF(H2377="T38",6,IF(H2377="T38",10,IF(H2377="T70",14,IF(H2377="T70",18,IF(H2377="T38",22,"")))))))</f>
        <v/>
      </c>
      <c r="J2377" s="1" t="s">
        <v>1808</v>
      </c>
      <c r="K2377" s="10">
        <v>1</v>
      </c>
      <c r="L2377" s="10">
        <v>1</v>
      </c>
      <c r="O2377" s="6"/>
      <c r="Q2377" s="42" t="s">
        <v>5682</v>
      </c>
      <c r="R2377" s="42"/>
      <c r="S2377" s="1"/>
    </row>
    <row r="2378" spans="1:19" ht="18.75" hidden="1" customHeight="1" x14ac:dyDescent="0.3">
      <c r="A2378" s="10">
        <v>2377</v>
      </c>
      <c r="B2378" s="10">
        <f>_xlfn.XLOOKUP(1,(VALUE(D2378)&gt;=VALUE(block!$C$3:$C$500))*(VALUE(D2378)&lt;VALUE(block!$C$3:$C$500)+VALUE(block!$D$3:$D$500)),block!$A$3:$A$500,"无匹配",0,1)</f>
        <v>66</v>
      </c>
      <c r="C2378" s="3" t="str">
        <f>B2378 &amp; "-" &amp; COUNTIF($B$2:B2378, B2378)</f>
        <v>66-1</v>
      </c>
      <c r="D2378" s="10">
        <f t="shared" si="6"/>
        <v>14800</v>
      </c>
      <c r="E2378" s="1" t="s">
        <v>6282</v>
      </c>
      <c r="F2378" s="1" t="s">
        <v>6283</v>
      </c>
      <c r="G2378" s="1" t="s">
        <v>1830</v>
      </c>
      <c r="H2378" s="1" t="s">
        <v>1812</v>
      </c>
      <c r="I2378" s="10" t="str">
        <f>IF(H2378="T23",1,IF(H2378="T23",3,IF(H2378="T39",6,IF(H2378="T39",10,IF(H2378="T71",14,IF(H2378="T71",18,IF(H2378="T39",22,"")))))))</f>
        <v/>
      </c>
      <c r="J2378" s="1" t="s">
        <v>1808</v>
      </c>
      <c r="K2378" s="10">
        <v>2</v>
      </c>
      <c r="L2378" s="10">
        <v>1</v>
      </c>
      <c r="O2378" s="6"/>
      <c r="P2378" s="42" t="s">
        <v>5560</v>
      </c>
      <c r="Q2378" s="42" t="s">
        <v>5682</v>
      </c>
      <c r="R2378" s="42"/>
      <c r="S2378" s="1"/>
    </row>
    <row r="2379" spans="1:19" ht="18.75" hidden="1" customHeight="1" x14ac:dyDescent="0.3">
      <c r="A2379" s="10">
        <v>2378</v>
      </c>
      <c r="B2379" s="10">
        <f>_xlfn.XLOOKUP(1,(VALUE(D2379)&gt;=VALUE(block!$C$3:$C$500))*(VALUE(D2379)&lt;VALUE(block!$C$3:$C$500)+VALUE(block!$D$3:$D$500)),block!$A$3:$A$500,"无匹配",0,1)</f>
        <v>66</v>
      </c>
      <c r="C2379" s="3" t="str">
        <f>B2379 &amp; "-" &amp; COUNTIF($B$2:B2379, B2379)</f>
        <v>66-2</v>
      </c>
      <c r="D2379" s="10">
        <f t="shared" si="6"/>
        <v>14802</v>
      </c>
      <c r="E2379" s="3" t="s">
        <v>6284</v>
      </c>
      <c r="F2379" s="1" t="s">
        <v>6285</v>
      </c>
      <c r="H2379" s="3" t="s">
        <v>1838</v>
      </c>
      <c r="I2379" s="10" t="str">
        <f>IF(H2379="T24",1,IF(H2379="T24",3,IF(H2379="T40",6,IF(H2379="T40",10,IF(H2379="T72",14,IF(H2379="T72",18,IF(H2379="T40",22,"")))))))</f>
        <v/>
      </c>
      <c r="J2379" s="1" t="s">
        <v>1808</v>
      </c>
      <c r="K2379" s="10">
        <v>2</v>
      </c>
      <c r="L2379" s="10">
        <v>1</v>
      </c>
      <c r="O2379" s="6"/>
      <c r="Q2379" s="42" t="s">
        <v>5682</v>
      </c>
      <c r="R2379" s="42"/>
      <c r="S2379" s="1"/>
    </row>
    <row r="2380" spans="1:19" ht="18.75" hidden="1" customHeight="1" x14ac:dyDescent="0.3">
      <c r="A2380" s="10">
        <v>2379</v>
      </c>
      <c r="B2380" s="10">
        <f>_xlfn.XLOOKUP(1,(VALUE(D2380)&gt;=VALUE(block!$C$3:$C$500))*(VALUE(D2380)&lt;VALUE(block!$C$3:$C$500)+VALUE(block!$D$3:$D$500)),block!$A$3:$A$500,"无匹配",0,1)</f>
        <v>66</v>
      </c>
      <c r="C2380" s="3" t="str">
        <f>B2380 &amp; "-" &amp; COUNTIF($B$2:B2380, B2380)</f>
        <v>66-3</v>
      </c>
      <c r="D2380" s="10">
        <f t="shared" si="6"/>
        <v>14804</v>
      </c>
      <c r="E2380" s="3" t="s">
        <v>6284</v>
      </c>
      <c r="F2380" s="1" t="s">
        <v>6286</v>
      </c>
      <c r="H2380" s="3" t="s">
        <v>5458</v>
      </c>
      <c r="I2380" s="10" t="str">
        <f>IF(H2380="T25",1,IF(H2380="T25",3,IF(H2380="T41",6,IF(H2380="T41",10,IF(H2380="T73",14,IF(H2380="T73",18,IF(H2380="T41",22,"")))))))</f>
        <v/>
      </c>
      <c r="J2380" s="1" t="s">
        <v>1808</v>
      </c>
      <c r="K2380" s="10">
        <v>1</v>
      </c>
      <c r="L2380" s="10">
        <v>1</v>
      </c>
      <c r="O2380" s="6"/>
      <c r="Q2380" s="42" t="s">
        <v>5682</v>
      </c>
      <c r="R2380" s="42"/>
      <c r="S2380" s="1"/>
    </row>
    <row r="2381" spans="1:19" ht="18.75" hidden="1" customHeight="1" x14ac:dyDescent="0.3">
      <c r="A2381" s="10">
        <v>2380</v>
      </c>
      <c r="B2381" s="10">
        <f>_xlfn.XLOOKUP(1,(VALUE(D2381)&gt;=VALUE(block!$C$3:$C$500))*(VALUE(D2381)&lt;VALUE(block!$C$3:$C$500)+VALUE(block!$D$3:$D$500)),block!$A$3:$A$500,"无匹配",0,1)</f>
        <v>66</v>
      </c>
      <c r="C2381" s="3" t="str">
        <f>B2381 &amp; "-" &amp; COUNTIF($B$2:B2381, B2381)</f>
        <v>66-4</v>
      </c>
      <c r="D2381" s="10">
        <f t="shared" si="6"/>
        <v>14805</v>
      </c>
      <c r="E2381" s="1" t="s">
        <v>6287</v>
      </c>
      <c r="F2381" s="1" t="s">
        <v>6288</v>
      </c>
      <c r="G2381" s="1" t="s">
        <v>1832</v>
      </c>
      <c r="H2381" s="1" t="s">
        <v>1812</v>
      </c>
      <c r="I2381" s="10" t="str">
        <f>IF(H2381="T26",1,IF(H2381="T26",3,IF(H2381="T42",6,IF(H2381="T42",10,IF(H2381="T74",14,IF(H2381="T74",18,IF(H2381="T42",22,"")))))))</f>
        <v/>
      </c>
      <c r="J2381" s="1" t="s">
        <v>1808</v>
      </c>
      <c r="K2381" s="10">
        <v>2</v>
      </c>
      <c r="L2381" s="10">
        <v>1</v>
      </c>
      <c r="O2381" s="6"/>
      <c r="P2381" s="42" t="s">
        <v>5560</v>
      </c>
      <c r="Q2381" s="42" t="s">
        <v>5682</v>
      </c>
      <c r="R2381" s="42"/>
      <c r="S2381" s="1"/>
    </row>
    <row r="2382" spans="1:19" ht="18.75" hidden="1" customHeight="1" x14ac:dyDescent="0.3">
      <c r="A2382" s="10">
        <v>2381</v>
      </c>
      <c r="B2382" s="10">
        <f>_xlfn.XLOOKUP(1,(VALUE(D2382)&gt;=VALUE(block!$C$3:$C$500))*(VALUE(D2382)&lt;VALUE(block!$C$3:$C$500)+VALUE(block!$D$3:$D$500)),block!$A$3:$A$500,"无匹配",0,1)</f>
        <v>66</v>
      </c>
      <c r="C2382" s="3" t="str">
        <f>B2382 &amp; "-" &amp; COUNTIF($B$2:B2382, B2382)</f>
        <v>66-5</v>
      </c>
      <c r="D2382" s="10">
        <f t="shared" si="6"/>
        <v>14807</v>
      </c>
      <c r="E2382" s="3" t="s">
        <v>6289</v>
      </c>
      <c r="F2382" s="1" t="s">
        <v>6290</v>
      </c>
      <c r="H2382" s="3" t="s">
        <v>1838</v>
      </c>
      <c r="I2382" s="10" t="str">
        <f>IF(H2382="T27",1,IF(H2382="T27",3,IF(H2382="T43",6,IF(H2382="T43",10,IF(H2382="T75",14,IF(H2382="T75",18,IF(H2382="T43",22,"")))))))</f>
        <v/>
      </c>
      <c r="J2382" s="1" t="s">
        <v>1808</v>
      </c>
      <c r="K2382" s="10">
        <v>2</v>
      </c>
      <c r="L2382" s="10">
        <v>1</v>
      </c>
      <c r="O2382" s="6"/>
      <c r="Q2382" s="42" t="s">
        <v>5682</v>
      </c>
      <c r="R2382" s="42"/>
      <c r="S2382" s="1"/>
    </row>
    <row r="2383" spans="1:19" ht="18.75" hidden="1" customHeight="1" x14ac:dyDescent="0.3">
      <c r="A2383" s="10">
        <v>2382</v>
      </c>
      <c r="B2383" s="10">
        <f>_xlfn.XLOOKUP(1,(VALUE(D2383)&gt;=VALUE(block!$C$3:$C$500))*(VALUE(D2383)&lt;VALUE(block!$C$3:$C$500)+VALUE(block!$D$3:$D$500)),block!$A$3:$A$500,"无匹配",0,1)</f>
        <v>66</v>
      </c>
      <c r="C2383" s="3" t="str">
        <f>B2383 &amp; "-" &amp; COUNTIF($B$2:B2383, B2383)</f>
        <v>66-6</v>
      </c>
      <c r="D2383" s="10">
        <f t="shared" si="6"/>
        <v>14809</v>
      </c>
      <c r="E2383" s="3" t="s">
        <v>6289</v>
      </c>
      <c r="F2383" s="1" t="s">
        <v>6291</v>
      </c>
      <c r="H2383" s="3" t="s">
        <v>5458</v>
      </c>
      <c r="I2383" s="10" t="str">
        <f>IF(H2383="T28",1,IF(H2383="T28",3,IF(H2383="T44",6,IF(H2383="T44",10,IF(H2383="T76",14,IF(H2383="T76",18,IF(H2383="T44",22,"")))))))</f>
        <v/>
      </c>
      <c r="J2383" s="1" t="s">
        <v>1808</v>
      </c>
      <c r="K2383" s="10">
        <v>1</v>
      </c>
      <c r="L2383" s="10">
        <v>1</v>
      </c>
      <c r="O2383" s="6"/>
      <c r="Q2383" s="42" t="s">
        <v>5682</v>
      </c>
      <c r="R2383" s="42"/>
      <c r="S2383" s="1"/>
    </row>
    <row r="2384" spans="1:19" ht="18.75" hidden="1" customHeight="1" x14ac:dyDescent="0.3">
      <c r="A2384" s="10">
        <v>2383</v>
      </c>
      <c r="B2384" s="10">
        <f>_xlfn.XLOOKUP(1,(VALUE(D2384)&gt;=VALUE(block!$C$3:$C$500))*(VALUE(D2384)&lt;VALUE(block!$C$3:$C$500)+VALUE(block!$D$3:$D$500)),block!$A$3:$A$500,"无匹配",0,1)</f>
        <v>66</v>
      </c>
      <c r="C2384" s="3" t="str">
        <f>B2384 &amp; "-" &amp; COUNTIF($B$2:B2384, B2384)</f>
        <v>66-7</v>
      </c>
      <c r="D2384" s="10">
        <f t="shared" si="6"/>
        <v>14810</v>
      </c>
      <c r="E2384" s="1" t="s">
        <v>6292</v>
      </c>
      <c r="F2384" s="1" t="s">
        <v>6293</v>
      </c>
      <c r="G2384" s="1" t="s">
        <v>1832</v>
      </c>
      <c r="H2384" s="1" t="s">
        <v>1812</v>
      </c>
      <c r="I2384" s="10" t="str">
        <f>IF(H2384="T29",1,IF(H2384="T29",3,IF(H2384="T45",6,IF(H2384="T45",10,IF(H2384="T77",14,IF(H2384="T77",18,IF(H2384="T45",22,"")))))))</f>
        <v/>
      </c>
      <c r="J2384" s="1" t="s">
        <v>1808</v>
      </c>
      <c r="K2384" s="10">
        <v>2</v>
      </c>
      <c r="L2384" s="10">
        <v>1</v>
      </c>
      <c r="O2384" s="6"/>
      <c r="P2384" s="42" t="s">
        <v>5560</v>
      </c>
      <c r="Q2384" s="42" t="s">
        <v>5682</v>
      </c>
      <c r="R2384" s="42"/>
      <c r="S2384" s="1"/>
    </row>
    <row r="2385" spans="1:19" ht="18.75" hidden="1" customHeight="1" x14ac:dyDescent="0.3">
      <c r="A2385" s="10">
        <v>2384</v>
      </c>
      <c r="B2385" s="10">
        <f>_xlfn.XLOOKUP(1,(VALUE(D2385)&gt;=VALUE(block!$C$3:$C$500))*(VALUE(D2385)&lt;VALUE(block!$C$3:$C$500)+VALUE(block!$D$3:$D$500)),block!$A$3:$A$500,"无匹配",0,1)</f>
        <v>66</v>
      </c>
      <c r="C2385" s="3" t="str">
        <f>B2385 &amp; "-" &amp; COUNTIF($B$2:B2385, B2385)</f>
        <v>66-8</v>
      </c>
      <c r="D2385" s="10">
        <f t="shared" si="6"/>
        <v>14812</v>
      </c>
      <c r="E2385" s="3" t="s">
        <v>6294</v>
      </c>
      <c r="F2385" s="1" t="s">
        <v>6295</v>
      </c>
      <c r="H2385" s="3" t="s">
        <v>1838</v>
      </c>
      <c r="I2385" s="10" t="str">
        <f>IF(H2385="T30",1,IF(H2385="T30",3,IF(H2385="T46",6,IF(H2385="T46",10,IF(H2385="T78",14,IF(H2385="T78",18,IF(H2385="T46",22,"")))))))</f>
        <v/>
      </c>
      <c r="J2385" s="1" t="s">
        <v>1808</v>
      </c>
      <c r="K2385" s="10">
        <v>2</v>
      </c>
      <c r="L2385" s="10">
        <v>1</v>
      </c>
      <c r="O2385" s="6"/>
      <c r="Q2385" s="42" t="s">
        <v>5682</v>
      </c>
      <c r="R2385" s="42"/>
      <c r="S2385" s="1"/>
    </row>
    <row r="2386" spans="1:19" ht="18.75" hidden="1" customHeight="1" x14ac:dyDescent="0.3">
      <c r="A2386" s="10">
        <v>2385</v>
      </c>
      <c r="B2386" s="10">
        <f>_xlfn.XLOOKUP(1,(VALUE(D2386)&gt;=VALUE(block!$C$3:$C$500))*(VALUE(D2386)&lt;VALUE(block!$C$3:$C$500)+VALUE(block!$D$3:$D$500)),block!$A$3:$A$500,"无匹配",0,1)</f>
        <v>66</v>
      </c>
      <c r="C2386" s="3" t="str">
        <f>B2386 &amp; "-" &amp; COUNTIF($B$2:B2386, B2386)</f>
        <v>66-9</v>
      </c>
      <c r="D2386" s="10">
        <f t="shared" si="6"/>
        <v>14814</v>
      </c>
      <c r="E2386" s="3" t="s">
        <v>6294</v>
      </c>
      <c r="F2386" s="1" t="s">
        <v>6296</v>
      </c>
      <c r="H2386" s="3" t="s">
        <v>5458</v>
      </c>
      <c r="I2386" s="10" t="str">
        <f>IF(H2386="T31",1,IF(H2386="T31",3,IF(H2386="T47",6,IF(H2386="T47",10,IF(H2386="T79",14,IF(H2386="T79",18,IF(H2386="T47",22,"")))))))</f>
        <v/>
      </c>
      <c r="J2386" s="1" t="s">
        <v>1808</v>
      </c>
      <c r="K2386" s="10">
        <v>1</v>
      </c>
      <c r="L2386" s="10">
        <v>1</v>
      </c>
      <c r="O2386" s="6"/>
      <c r="Q2386" s="42" t="s">
        <v>5682</v>
      </c>
      <c r="R2386" s="42"/>
      <c r="S2386" s="1"/>
    </row>
    <row r="2387" spans="1:19" ht="18.75" hidden="1" customHeight="1" x14ac:dyDescent="0.3">
      <c r="A2387" s="10">
        <v>2386</v>
      </c>
      <c r="B2387" s="10">
        <f>_xlfn.XLOOKUP(1,(VALUE(D2387)&gt;=VALUE(block!$C$3:$C$500))*(VALUE(D2387)&lt;VALUE(block!$C$3:$C$500)+VALUE(block!$D$3:$D$500)),block!$A$3:$A$500,"无匹配",0,1)</f>
        <v>66</v>
      </c>
      <c r="C2387" s="3" t="str">
        <f>B2387 &amp; "-" &amp; COUNTIF($B$2:B2387, B2387)</f>
        <v>66-10</v>
      </c>
      <c r="D2387" s="10">
        <f t="shared" si="6"/>
        <v>14815</v>
      </c>
      <c r="E2387" s="1" t="s">
        <v>6297</v>
      </c>
      <c r="F2387" s="1" t="s">
        <v>6298</v>
      </c>
      <c r="G2387" s="1" t="s">
        <v>1834</v>
      </c>
      <c r="H2387" s="1" t="s">
        <v>1812</v>
      </c>
      <c r="I2387" s="10" t="str">
        <f>IF(H2387="T32",1,IF(H2387="T32",3,IF(H2387="T48",6,IF(H2387="T48",10,IF(H2387="T80",14,IF(H2387="T80",18,IF(H2387="T48",22,"")))))))</f>
        <v/>
      </c>
      <c r="J2387" s="1" t="s">
        <v>1808</v>
      </c>
      <c r="K2387" s="10">
        <v>2</v>
      </c>
      <c r="L2387" s="10">
        <v>1</v>
      </c>
      <c r="O2387" s="6"/>
      <c r="P2387" s="42" t="s">
        <v>5560</v>
      </c>
      <c r="Q2387" s="42" t="s">
        <v>5682</v>
      </c>
      <c r="R2387" s="42"/>
      <c r="S2387" s="1"/>
    </row>
    <row r="2388" spans="1:19" ht="18.75" hidden="1" customHeight="1" x14ac:dyDescent="0.3">
      <c r="A2388" s="10">
        <v>2387</v>
      </c>
      <c r="B2388" s="10">
        <f>_xlfn.XLOOKUP(1,(VALUE(D2388)&gt;=VALUE(block!$C$3:$C$500))*(VALUE(D2388)&lt;VALUE(block!$C$3:$C$500)+VALUE(block!$D$3:$D$500)),block!$A$3:$A$500,"无匹配",0,1)</f>
        <v>66</v>
      </c>
      <c r="C2388" s="3" t="str">
        <f>B2388 &amp; "-" &amp; COUNTIF($B$2:B2388, B2388)</f>
        <v>66-11</v>
      </c>
      <c r="D2388" s="10">
        <f t="shared" si="6"/>
        <v>14817</v>
      </c>
      <c r="E2388" s="3" t="s">
        <v>6299</v>
      </c>
      <c r="F2388" s="1" t="s">
        <v>6300</v>
      </c>
      <c r="H2388" s="3" t="s">
        <v>1838</v>
      </c>
      <c r="I2388" s="10" t="str">
        <f>IF(H2388="T33",1,IF(H2388="T33",3,IF(H2388="T49",6,IF(H2388="T49",10,IF(H2388="T81",14,IF(H2388="T81",18,IF(H2388="T49",22,"")))))))</f>
        <v/>
      </c>
      <c r="J2388" s="1" t="s">
        <v>1808</v>
      </c>
      <c r="K2388" s="10">
        <v>2</v>
      </c>
      <c r="L2388" s="10">
        <v>1</v>
      </c>
      <c r="O2388" s="6"/>
      <c r="Q2388" s="42" t="s">
        <v>5682</v>
      </c>
      <c r="R2388" s="42"/>
      <c r="S2388" s="1"/>
    </row>
    <row r="2389" spans="1:19" ht="18.75" hidden="1" customHeight="1" x14ac:dyDescent="0.3">
      <c r="A2389" s="10">
        <v>2388</v>
      </c>
      <c r="B2389" s="10">
        <f>_xlfn.XLOOKUP(1,(VALUE(D2389)&gt;=VALUE(block!$C$3:$C$500))*(VALUE(D2389)&lt;VALUE(block!$C$3:$C$500)+VALUE(block!$D$3:$D$500)),block!$A$3:$A$500,"无匹配",0,1)</f>
        <v>66</v>
      </c>
      <c r="C2389" s="3" t="str">
        <f>B2389 &amp; "-" &amp; COUNTIF($B$2:B2389, B2389)</f>
        <v>66-12</v>
      </c>
      <c r="D2389" s="10">
        <f t="shared" si="6"/>
        <v>14819</v>
      </c>
      <c r="E2389" s="3" t="s">
        <v>6299</v>
      </c>
      <c r="F2389" s="1" t="s">
        <v>6301</v>
      </c>
      <c r="H2389" s="3" t="s">
        <v>5458</v>
      </c>
      <c r="I2389" s="10" t="str">
        <f>IF(H2389="T34",1,IF(H2389="T34",3,IF(H2389="T50",6,IF(H2389="T50",10,IF(H2389="T82",14,IF(H2389="T82",18,IF(H2389="T50",22,"")))))))</f>
        <v/>
      </c>
      <c r="J2389" s="1" t="s">
        <v>1808</v>
      </c>
      <c r="K2389" s="10">
        <v>1</v>
      </c>
      <c r="L2389" s="10">
        <v>1</v>
      </c>
      <c r="O2389" s="6"/>
      <c r="Q2389" s="42" t="s">
        <v>5682</v>
      </c>
      <c r="R2389" s="42"/>
      <c r="S2389" s="1"/>
    </row>
    <row r="2390" spans="1:19" ht="18.75" hidden="1" customHeight="1" x14ac:dyDescent="0.3">
      <c r="A2390" s="10">
        <v>2389</v>
      </c>
      <c r="B2390" s="10">
        <f>_xlfn.XLOOKUP(1,(VALUE(D2390)&gt;=VALUE(block!$C$3:$C$500))*(VALUE(D2390)&lt;VALUE(block!$C$3:$C$500)+VALUE(block!$D$3:$D$500)),block!$A$3:$A$500,"无匹配",0,1)</f>
        <v>66</v>
      </c>
      <c r="C2390" s="3" t="str">
        <f>B2390 &amp; "-" &amp; COUNTIF($B$2:B2390, B2390)</f>
        <v>66-13</v>
      </c>
      <c r="D2390" s="10">
        <f t="shared" si="6"/>
        <v>14820</v>
      </c>
      <c r="E2390" s="1" t="s">
        <v>6302</v>
      </c>
      <c r="F2390" s="1" t="s">
        <v>6303</v>
      </c>
      <c r="G2390" s="1" t="s">
        <v>1834</v>
      </c>
      <c r="H2390" s="1" t="s">
        <v>1812</v>
      </c>
      <c r="I2390" s="10" t="str">
        <f>IF(H2390="T35",1,IF(H2390="T35",3,IF(H2390="T51",6,IF(H2390="T51",10,IF(H2390="T83",14,IF(H2390="T83",18,IF(H2390="T51",22,"")))))))</f>
        <v/>
      </c>
      <c r="J2390" s="1" t="s">
        <v>1808</v>
      </c>
      <c r="K2390" s="10">
        <v>2</v>
      </c>
      <c r="L2390" s="10">
        <v>1</v>
      </c>
      <c r="O2390" s="6"/>
      <c r="P2390" s="42" t="s">
        <v>5560</v>
      </c>
      <c r="Q2390" s="42" t="s">
        <v>5682</v>
      </c>
      <c r="R2390" s="42"/>
      <c r="S2390" s="1"/>
    </row>
    <row r="2391" spans="1:19" ht="18.75" hidden="1" customHeight="1" x14ac:dyDescent="0.3">
      <c r="A2391" s="10">
        <v>2390</v>
      </c>
      <c r="B2391" s="10">
        <f>_xlfn.XLOOKUP(1,(VALUE(D2391)&gt;=VALUE(block!$C$3:$C$500))*(VALUE(D2391)&lt;VALUE(block!$C$3:$C$500)+VALUE(block!$D$3:$D$500)),block!$A$3:$A$500,"无匹配",0,1)</f>
        <v>66</v>
      </c>
      <c r="C2391" s="3" t="str">
        <f>B2391 &amp; "-" &amp; COUNTIF($B$2:B2391, B2391)</f>
        <v>66-14</v>
      </c>
      <c r="D2391" s="10">
        <f t="shared" si="6"/>
        <v>14822</v>
      </c>
      <c r="E2391" s="3" t="s">
        <v>6304</v>
      </c>
      <c r="F2391" s="1" t="s">
        <v>6305</v>
      </c>
      <c r="H2391" s="3" t="s">
        <v>1838</v>
      </c>
      <c r="I2391" s="10" t="str">
        <f>IF(H2391="T36",1,IF(H2391="T36",3,IF(H2391="T52",6,IF(H2391="T52",10,IF(H2391="T84",14,IF(H2391="T84",18,IF(H2391="T52",22,"")))))))</f>
        <v/>
      </c>
      <c r="J2391" s="1" t="s">
        <v>1808</v>
      </c>
      <c r="K2391" s="10">
        <v>2</v>
      </c>
      <c r="L2391" s="10">
        <v>1</v>
      </c>
      <c r="O2391" s="6"/>
      <c r="Q2391" s="42" t="s">
        <v>5682</v>
      </c>
      <c r="R2391" s="42"/>
      <c r="S2391" s="1"/>
    </row>
    <row r="2392" spans="1:19" ht="18.75" hidden="1" customHeight="1" x14ac:dyDescent="0.3">
      <c r="A2392" s="10">
        <v>2391</v>
      </c>
      <c r="B2392" s="10">
        <f>_xlfn.XLOOKUP(1,(VALUE(D2392)&gt;=VALUE(block!$C$3:$C$500))*(VALUE(D2392)&lt;VALUE(block!$C$3:$C$500)+VALUE(block!$D$3:$D$500)),block!$A$3:$A$500,"无匹配",0,1)</f>
        <v>66</v>
      </c>
      <c r="C2392" s="3" t="str">
        <f>B2392 &amp; "-" &amp; COUNTIF($B$2:B2392, B2392)</f>
        <v>66-15</v>
      </c>
      <c r="D2392" s="10">
        <f t="shared" si="6"/>
        <v>14824</v>
      </c>
      <c r="E2392" s="3" t="s">
        <v>6304</v>
      </c>
      <c r="F2392" s="1" t="s">
        <v>6306</v>
      </c>
      <c r="H2392" s="3" t="s">
        <v>5458</v>
      </c>
      <c r="I2392" s="10" t="str">
        <f>IF(H2392="T37",1,IF(H2392="T37",3,IF(H2392="T53",6,IF(H2392="T53",10,IF(H2392="T85",14,IF(H2392="T85",18,IF(H2392="T53",22,"")))))))</f>
        <v/>
      </c>
      <c r="J2392" s="1" t="s">
        <v>1808</v>
      </c>
      <c r="K2392" s="10">
        <v>1</v>
      </c>
      <c r="L2392" s="10">
        <v>1</v>
      </c>
      <c r="O2392" s="6"/>
      <c r="Q2392" s="42" t="s">
        <v>5682</v>
      </c>
      <c r="R2392" s="42"/>
      <c r="S2392" s="1"/>
    </row>
    <row r="2393" spans="1:19" ht="18.75" hidden="1" customHeight="1" x14ac:dyDescent="0.3">
      <c r="A2393" s="10">
        <v>2392</v>
      </c>
      <c r="B2393" s="10">
        <f>_xlfn.XLOOKUP(1,(VALUE(D2393)&gt;=VALUE(block!$C$3:$C$500))*(VALUE(D2393)&lt;VALUE(block!$C$3:$C$500)+VALUE(block!$D$3:$D$500)),block!$A$3:$A$500,"无匹配",0,1)</f>
        <v>66</v>
      </c>
      <c r="C2393" s="3" t="str">
        <f>B2393 &amp; "-" &amp; COUNTIF($B$2:B2393, B2393)</f>
        <v>66-16</v>
      </c>
      <c r="D2393" s="10">
        <f t="shared" si="6"/>
        <v>14825</v>
      </c>
      <c r="E2393" s="1" t="s">
        <v>6307</v>
      </c>
      <c r="F2393" s="1" t="s">
        <v>6308</v>
      </c>
      <c r="G2393" s="1" t="s">
        <v>1836</v>
      </c>
      <c r="H2393" s="1" t="s">
        <v>1812</v>
      </c>
      <c r="I2393" s="10" t="str">
        <f>IF(H2393="T38",1,IF(H2393="T38",3,IF(H2393="T54",6,IF(H2393="T54",10,IF(H2393="T86",14,IF(H2393="T86",18,IF(H2393="T54",22,"")))))))</f>
        <v/>
      </c>
      <c r="J2393" s="1" t="s">
        <v>1808</v>
      </c>
      <c r="K2393" s="10">
        <v>2</v>
      </c>
      <c r="L2393" s="10">
        <v>1</v>
      </c>
      <c r="O2393" s="6"/>
      <c r="P2393" s="42" t="s">
        <v>5560</v>
      </c>
      <c r="Q2393" s="42" t="s">
        <v>5682</v>
      </c>
      <c r="R2393" s="42"/>
      <c r="S2393" s="1"/>
    </row>
    <row r="2394" spans="1:19" ht="18.75" hidden="1" customHeight="1" x14ac:dyDescent="0.3">
      <c r="A2394" s="10">
        <v>2393</v>
      </c>
      <c r="B2394" s="10">
        <f>_xlfn.XLOOKUP(1,(VALUE(D2394)&gt;=VALUE(block!$C$3:$C$500))*(VALUE(D2394)&lt;VALUE(block!$C$3:$C$500)+VALUE(block!$D$3:$D$500)),block!$A$3:$A$500,"无匹配",0,1)</f>
        <v>66</v>
      </c>
      <c r="C2394" s="3" t="str">
        <f>B2394 &amp; "-" &amp; COUNTIF($B$2:B2394, B2394)</f>
        <v>66-17</v>
      </c>
      <c r="D2394" s="10">
        <f t="shared" si="6"/>
        <v>14827</v>
      </c>
      <c r="E2394" s="3" t="s">
        <v>6309</v>
      </c>
      <c r="F2394" s="1" t="s">
        <v>6310</v>
      </c>
      <c r="H2394" s="3" t="s">
        <v>1838</v>
      </c>
      <c r="I2394" s="10" t="str">
        <f>IF(H2394="T39",1,IF(H2394="T39",3,IF(H2394="T55",6,IF(H2394="T55",10,IF(H2394="T87",14,IF(H2394="T87",18,IF(H2394="T55",22,"")))))))</f>
        <v/>
      </c>
      <c r="J2394" s="1" t="s">
        <v>1808</v>
      </c>
      <c r="K2394" s="10">
        <v>2</v>
      </c>
      <c r="L2394" s="10">
        <v>1</v>
      </c>
      <c r="O2394" s="6"/>
      <c r="Q2394" s="42" t="s">
        <v>5682</v>
      </c>
      <c r="R2394" s="42"/>
      <c r="S2394" s="1"/>
    </row>
    <row r="2395" spans="1:19" ht="18.75" hidden="1" customHeight="1" x14ac:dyDescent="0.3">
      <c r="A2395" s="10">
        <v>2394</v>
      </c>
      <c r="B2395" s="10">
        <f>_xlfn.XLOOKUP(1,(VALUE(D2395)&gt;=VALUE(block!$C$3:$C$500))*(VALUE(D2395)&lt;VALUE(block!$C$3:$C$500)+VALUE(block!$D$3:$D$500)),block!$A$3:$A$500,"无匹配",0,1)</f>
        <v>66</v>
      </c>
      <c r="C2395" s="3" t="str">
        <f>B2395 &amp; "-" &amp; COUNTIF($B$2:B2395, B2395)</f>
        <v>66-18</v>
      </c>
      <c r="D2395" s="10">
        <f t="shared" ref="D2395:D2458" si="7">D2394+K2394</f>
        <v>14829</v>
      </c>
      <c r="E2395" s="3" t="s">
        <v>6309</v>
      </c>
      <c r="F2395" s="1" t="s">
        <v>6311</v>
      </c>
      <c r="H2395" s="3" t="s">
        <v>5458</v>
      </c>
      <c r="I2395" s="10" t="str">
        <f>IF(H2395="T40",1,IF(H2395="T40",3,IF(H2395="T56",6,IF(H2395="T56",10,IF(H2395="T88",14,IF(H2395="T88",18,IF(H2395="T56",22,"")))))))</f>
        <v/>
      </c>
      <c r="J2395" s="1" t="s">
        <v>1808</v>
      </c>
      <c r="K2395" s="10">
        <v>1</v>
      </c>
      <c r="L2395" s="10">
        <v>1</v>
      </c>
      <c r="O2395" s="6"/>
      <c r="Q2395" s="42" t="s">
        <v>5682</v>
      </c>
      <c r="R2395" s="42"/>
      <c r="S2395" s="1"/>
    </row>
    <row r="2396" spans="1:19" ht="18.75" hidden="1" customHeight="1" x14ac:dyDescent="0.3">
      <c r="A2396" s="10">
        <v>2395</v>
      </c>
      <c r="B2396" s="10">
        <f>_xlfn.XLOOKUP(1,(VALUE(D2396)&gt;=VALUE(block!$C$3:$C$500))*(VALUE(D2396)&lt;VALUE(block!$C$3:$C$500)+VALUE(block!$D$3:$D$500)),block!$A$3:$A$500,"无匹配",0,1)</f>
        <v>66</v>
      </c>
      <c r="C2396" s="3" t="str">
        <f>B2396 &amp; "-" &amp; COUNTIF($B$2:B2396, B2396)</f>
        <v>66-19</v>
      </c>
      <c r="D2396" s="10">
        <f t="shared" si="7"/>
        <v>14830</v>
      </c>
      <c r="E2396" s="1" t="s">
        <v>6312</v>
      </c>
      <c r="F2396" s="1" t="s">
        <v>6313</v>
      </c>
      <c r="G2396" s="1" t="s">
        <v>1830</v>
      </c>
      <c r="H2396" s="1" t="s">
        <v>1812</v>
      </c>
      <c r="I2396" s="10" t="str">
        <f>IF(H2396="T41",1,IF(H2396="T41",3,IF(H2396="T57",6,IF(H2396="T57",10,IF(H2396="T89",14,IF(H2396="T89",18,IF(H2396="T57",22,"")))))))</f>
        <v/>
      </c>
      <c r="J2396" s="1" t="s">
        <v>1808</v>
      </c>
      <c r="K2396" s="10">
        <v>2</v>
      </c>
      <c r="L2396" s="10">
        <v>1</v>
      </c>
      <c r="O2396" s="6"/>
      <c r="P2396" s="42" t="s">
        <v>5560</v>
      </c>
      <c r="Q2396" s="42" t="s">
        <v>5682</v>
      </c>
      <c r="R2396" s="42"/>
      <c r="S2396" s="1"/>
    </row>
    <row r="2397" spans="1:19" ht="18.75" hidden="1" customHeight="1" x14ac:dyDescent="0.3">
      <c r="A2397" s="10">
        <v>2396</v>
      </c>
      <c r="B2397" s="10">
        <f>_xlfn.XLOOKUP(1,(VALUE(D2397)&gt;=VALUE(block!$C$3:$C$500))*(VALUE(D2397)&lt;VALUE(block!$C$3:$C$500)+VALUE(block!$D$3:$D$500)),block!$A$3:$A$500,"无匹配",0,1)</f>
        <v>66</v>
      </c>
      <c r="C2397" s="3" t="str">
        <f>B2397 &amp; "-" &amp; COUNTIF($B$2:B2397, B2397)</f>
        <v>66-20</v>
      </c>
      <c r="D2397" s="10">
        <f t="shared" si="7"/>
        <v>14832</v>
      </c>
      <c r="E2397" s="3" t="s">
        <v>6314</v>
      </c>
      <c r="F2397" s="1" t="s">
        <v>6315</v>
      </c>
      <c r="H2397" s="3" t="s">
        <v>1838</v>
      </c>
      <c r="I2397" s="10" t="str">
        <f>IF(H2397="T42",1,IF(H2397="T42",3,IF(H2397="T58",6,IF(H2397="T58",10,IF(H2397="T90",14,IF(H2397="T90",18,IF(H2397="T58",22,"")))))))</f>
        <v/>
      </c>
      <c r="J2397" s="1" t="s">
        <v>1808</v>
      </c>
      <c r="K2397" s="10">
        <v>2</v>
      </c>
      <c r="L2397" s="10">
        <v>1</v>
      </c>
      <c r="O2397" s="6"/>
      <c r="Q2397" s="42" t="s">
        <v>5682</v>
      </c>
      <c r="R2397" s="42"/>
      <c r="S2397" s="1"/>
    </row>
    <row r="2398" spans="1:19" ht="18.75" hidden="1" customHeight="1" x14ac:dyDescent="0.3">
      <c r="A2398" s="10">
        <v>2397</v>
      </c>
      <c r="B2398" s="10">
        <f>_xlfn.XLOOKUP(1,(VALUE(D2398)&gt;=VALUE(block!$C$3:$C$500))*(VALUE(D2398)&lt;VALUE(block!$C$3:$C$500)+VALUE(block!$D$3:$D$500)),block!$A$3:$A$500,"无匹配",0,1)</f>
        <v>66</v>
      </c>
      <c r="C2398" s="3" t="str">
        <f>B2398 &amp; "-" &amp; COUNTIF($B$2:B2398, B2398)</f>
        <v>66-21</v>
      </c>
      <c r="D2398" s="10">
        <f t="shared" si="7"/>
        <v>14834</v>
      </c>
      <c r="E2398" s="3" t="s">
        <v>6314</v>
      </c>
      <c r="F2398" s="1" t="s">
        <v>6316</v>
      </c>
      <c r="H2398" s="3" t="s">
        <v>5458</v>
      </c>
      <c r="I2398" s="10" t="str">
        <f>IF(H2398="T43",1,IF(H2398="T43",3,IF(H2398="T59",6,IF(H2398="T59",10,IF(H2398="T91",14,IF(H2398="T91",18,IF(H2398="T59",22,"")))))))</f>
        <v/>
      </c>
      <c r="J2398" s="1" t="s">
        <v>1808</v>
      </c>
      <c r="K2398" s="10">
        <v>1</v>
      </c>
      <c r="L2398" s="10">
        <v>1</v>
      </c>
      <c r="O2398" s="6"/>
      <c r="Q2398" s="42" t="s">
        <v>5682</v>
      </c>
      <c r="R2398" s="42"/>
      <c r="S2398" s="1"/>
    </row>
    <row r="2399" spans="1:19" ht="18.75" hidden="1" customHeight="1" x14ac:dyDescent="0.3">
      <c r="A2399" s="10">
        <v>2398</v>
      </c>
      <c r="B2399" s="10">
        <f>_xlfn.XLOOKUP(1,(VALUE(D2399)&gt;=VALUE(block!$C$3:$C$500))*(VALUE(D2399)&lt;VALUE(block!$C$3:$C$500)+VALUE(block!$D$3:$D$500)),block!$A$3:$A$500,"无匹配",0,1)</f>
        <v>66</v>
      </c>
      <c r="C2399" s="3" t="str">
        <f>B2399 &amp; "-" &amp; COUNTIF($B$2:B2399, B2399)</f>
        <v>66-22</v>
      </c>
      <c r="D2399" s="10">
        <f t="shared" si="7"/>
        <v>14835</v>
      </c>
      <c r="E2399" s="1" t="s">
        <v>6317</v>
      </c>
      <c r="F2399" s="1" t="s">
        <v>6318</v>
      </c>
      <c r="G2399" s="1" t="s">
        <v>1832</v>
      </c>
      <c r="H2399" s="1" t="s">
        <v>1812</v>
      </c>
      <c r="I2399" s="10" t="str">
        <f>IF(H2399="T44",1,IF(H2399="T44",3,IF(H2399="T60",6,IF(H2399="T60",10,IF(H2399="T92",14,IF(H2399="T92",18,IF(H2399="T60",22,"")))))))</f>
        <v/>
      </c>
      <c r="J2399" s="1" t="s">
        <v>1808</v>
      </c>
      <c r="K2399" s="10">
        <v>2</v>
      </c>
      <c r="L2399" s="10">
        <v>1</v>
      </c>
      <c r="O2399" s="6"/>
      <c r="P2399" s="42" t="s">
        <v>5560</v>
      </c>
      <c r="Q2399" s="42" t="s">
        <v>5682</v>
      </c>
      <c r="R2399" s="42"/>
      <c r="S2399" s="1"/>
    </row>
    <row r="2400" spans="1:19" ht="18.75" hidden="1" customHeight="1" x14ac:dyDescent="0.3">
      <c r="A2400" s="10">
        <v>2399</v>
      </c>
      <c r="B2400" s="10">
        <f>_xlfn.XLOOKUP(1,(VALUE(D2400)&gt;=VALUE(block!$C$3:$C$500))*(VALUE(D2400)&lt;VALUE(block!$C$3:$C$500)+VALUE(block!$D$3:$D$500)),block!$A$3:$A$500,"无匹配",0,1)</f>
        <v>66</v>
      </c>
      <c r="C2400" s="3" t="str">
        <f>B2400 &amp; "-" &amp; COUNTIF($B$2:B2400, B2400)</f>
        <v>66-23</v>
      </c>
      <c r="D2400" s="10">
        <f t="shared" si="7"/>
        <v>14837</v>
      </c>
      <c r="E2400" s="3" t="s">
        <v>6319</v>
      </c>
      <c r="F2400" s="1" t="s">
        <v>6320</v>
      </c>
      <c r="H2400" s="3" t="s">
        <v>1838</v>
      </c>
      <c r="I2400" s="10" t="str">
        <f>IF(H2400="T45",1,IF(H2400="T45",3,IF(H2400="T61",6,IF(H2400="T61",10,IF(H2400="T93",14,IF(H2400="T93",18,IF(H2400="T61",22,"")))))))</f>
        <v/>
      </c>
      <c r="J2400" s="1" t="s">
        <v>1808</v>
      </c>
      <c r="K2400" s="10">
        <v>2</v>
      </c>
      <c r="L2400" s="10">
        <v>1</v>
      </c>
      <c r="O2400" s="6"/>
      <c r="Q2400" s="42" t="s">
        <v>5682</v>
      </c>
      <c r="R2400" s="42"/>
      <c r="S2400" s="1"/>
    </row>
    <row r="2401" spans="1:19" ht="18.75" hidden="1" customHeight="1" x14ac:dyDescent="0.3">
      <c r="A2401" s="10">
        <v>2400</v>
      </c>
      <c r="B2401" s="10">
        <f>_xlfn.XLOOKUP(1,(VALUE(D2401)&gt;=VALUE(block!$C$3:$C$500))*(VALUE(D2401)&lt;VALUE(block!$C$3:$C$500)+VALUE(block!$D$3:$D$500)),block!$A$3:$A$500,"无匹配",0,1)</f>
        <v>66</v>
      </c>
      <c r="C2401" s="3" t="str">
        <f>B2401 &amp; "-" &amp; COUNTIF($B$2:B2401, B2401)</f>
        <v>66-24</v>
      </c>
      <c r="D2401" s="10">
        <f t="shared" si="7"/>
        <v>14839</v>
      </c>
      <c r="E2401" s="3" t="s">
        <v>6319</v>
      </c>
      <c r="F2401" s="1" t="s">
        <v>6321</v>
      </c>
      <c r="H2401" s="3" t="s">
        <v>5458</v>
      </c>
      <c r="I2401" s="10" t="str">
        <f>IF(H2401="T46",1,IF(H2401="T46",3,IF(H2401="T62",6,IF(H2401="T62",10,IF(H2401="T94",14,IF(H2401="T94",18,IF(H2401="T62",22,"")))))))</f>
        <v/>
      </c>
      <c r="J2401" s="1" t="s">
        <v>1808</v>
      </c>
      <c r="K2401" s="10">
        <v>1</v>
      </c>
      <c r="L2401" s="10">
        <v>1</v>
      </c>
      <c r="O2401" s="6"/>
      <c r="Q2401" s="42" t="s">
        <v>5682</v>
      </c>
      <c r="R2401" s="42"/>
      <c r="S2401" s="1"/>
    </row>
    <row r="2402" spans="1:19" ht="18.75" hidden="1" customHeight="1" x14ac:dyDescent="0.3">
      <c r="A2402" s="10">
        <v>2401</v>
      </c>
      <c r="B2402" s="10">
        <f>_xlfn.XLOOKUP(1,(VALUE(D2402)&gt;=VALUE(block!$C$3:$C$500))*(VALUE(D2402)&lt;VALUE(block!$C$3:$C$500)+VALUE(block!$D$3:$D$500)),block!$A$3:$A$500,"无匹配",0,1)</f>
        <v>66</v>
      </c>
      <c r="C2402" s="3" t="str">
        <f>B2402 &amp; "-" &amp; COUNTIF($B$2:B2402, B2402)</f>
        <v>66-25</v>
      </c>
      <c r="D2402" s="10">
        <f t="shared" si="7"/>
        <v>14840</v>
      </c>
      <c r="E2402" s="1" t="s">
        <v>6322</v>
      </c>
      <c r="F2402" s="1" t="s">
        <v>6323</v>
      </c>
      <c r="G2402" s="1" t="s">
        <v>1832</v>
      </c>
      <c r="H2402" s="1" t="s">
        <v>1812</v>
      </c>
      <c r="I2402" s="10" t="str">
        <f>IF(H2402="T47",1,IF(H2402="T47",3,IF(H2402="T63",6,IF(H2402="T63",10,IF(H2402="T95",14,IF(H2402="T95",18,IF(H2402="T63",22,"")))))))</f>
        <v/>
      </c>
      <c r="J2402" s="1" t="s">
        <v>1808</v>
      </c>
      <c r="K2402" s="10">
        <v>2</v>
      </c>
      <c r="L2402" s="10">
        <v>1</v>
      </c>
      <c r="O2402" s="6"/>
      <c r="P2402" s="42" t="s">
        <v>5560</v>
      </c>
      <c r="Q2402" s="42" t="s">
        <v>5682</v>
      </c>
      <c r="R2402" s="42"/>
      <c r="S2402" s="1"/>
    </row>
    <row r="2403" spans="1:19" ht="18.75" hidden="1" customHeight="1" x14ac:dyDescent="0.3">
      <c r="A2403" s="10">
        <v>2402</v>
      </c>
      <c r="B2403" s="10">
        <f>_xlfn.XLOOKUP(1,(VALUE(D2403)&gt;=VALUE(block!$C$3:$C$500))*(VALUE(D2403)&lt;VALUE(block!$C$3:$C$500)+VALUE(block!$D$3:$D$500)),block!$A$3:$A$500,"无匹配",0,1)</f>
        <v>66</v>
      </c>
      <c r="C2403" s="3" t="str">
        <f>B2403 &amp; "-" &amp; COUNTIF($B$2:B2403, B2403)</f>
        <v>66-26</v>
      </c>
      <c r="D2403" s="10">
        <f t="shared" si="7"/>
        <v>14842</v>
      </c>
      <c r="E2403" s="3" t="s">
        <v>6324</v>
      </c>
      <c r="F2403" s="1" t="s">
        <v>6325</v>
      </c>
      <c r="H2403" s="3" t="s">
        <v>1838</v>
      </c>
      <c r="I2403" s="10" t="str">
        <f>IF(H2403="T48",1,IF(H2403="T48",3,IF(H2403="T64",6,IF(H2403="T64",10,IF(H2403="T96",14,IF(H2403="T96",18,IF(H2403="T64",22,"")))))))</f>
        <v/>
      </c>
      <c r="J2403" s="1" t="s">
        <v>1808</v>
      </c>
      <c r="K2403" s="10">
        <v>2</v>
      </c>
      <c r="L2403" s="10">
        <v>1</v>
      </c>
      <c r="O2403" s="6"/>
      <c r="Q2403" s="42" t="s">
        <v>5682</v>
      </c>
      <c r="R2403" s="42"/>
      <c r="S2403" s="1"/>
    </row>
    <row r="2404" spans="1:19" ht="18.75" hidden="1" customHeight="1" x14ac:dyDescent="0.3">
      <c r="A2404" s="10">
        <v>2403</v>
      </c>
      <c r="B2404" s="10">
        <f>_xlfn.XLOOKUP(1,(VALUE(D2404)&gt;=VALUE(block!$C$3:$C$500))*(VALUE(D2404)&lt;VALUE(block!$C$3:$C$500)+VALUE(block!$D$3:$D$500)),block!$A$3:$A$500,"无匹配",0,1)</f>
        <v>66</v>
      </c>
      <c r="C2404" s="3" t="str">
        <f>B2404 &amp; "-" &amp; COUNTIF($B$2:B2404, B2404)</f>
        <v>66-27</v>
      </c>
      <c r="D2404" s="10">
        <f t="shared" si="7"/>
        <v>14844</v>
      </c>
      <c r="E2404" s="3" t="s">
        <v>6324</v>
      </c>
      <c r="F2404" s="1" t="s">
        <v>6326</v>
      </c>
      <c r="H2404" s="3" t="s">
        <v>5458</v>
      </c>
      <c r="I2404" s="10" t="str">
        <f>IF(H2404="T49",1,IF(H2404="T49",3,IF(H2404="T65",6,IF(H2404="T65",10,IF(H2404="T97",14,IF(H2404="T97",18,IF(H2404="T65",22,"")))))))</f>
        <v/>
      </c>
      <c r="J2404" s="1" t="s">
        <v>1808</v>
      </c>
      <c r="K2404" s="10">
        <v>1</v>
      </c>
      <c r="L2404" s="10">
        <v>1</v>
      </c>
      <c r="O2404" s="6"/>
      <c r="Q2404" s="42" t="s">
        <v>5682</v>
      </c>
      <c r="R2404" s="42"/>
      <c r="S2404" s="1"/>
    </row>
    <row r="2405" spans="1:19" ht="18.75" hidden="1" customHeight="1" x14ac:dyDescent="0.3">
      <c r="A2405" s="10">
        <v>2404</v>
      </c>
      <c r="B2405" s="10">
        <f>_xlfn.XLOOKUP(1,(VALUE(D2405)&gt;=VALUE(block!$C$3:$C$500))*(VALUE(D2405)&lt;VALUE(block!$C$3:$C$500)+VALUE(block!$D$3:$D$500)),block!$A$3:$A$500,"无匹配",0,1)</f>
        <v>66</v>
      </c>
      <c r="C2405" s="3" t="str">
        <f>B2405 &amp; "-" &amp; COUNTIF($B$2:B2405, B2405)</f>
        <v>66-28</v>
      </c>
      <c r="D2405" s="10">
        <f t="shared" si="7"/>
        <v>14845</v>
      </c>
      <c r="E2405" s="1" t="s">
        <v>6327</v>
      </c>
      <c r="F2405" s="1" t="s">
        <v>6328</v>
      </c>
      <c r="G2405" s="1" t="s">
        <v>1834</v>
      </c>
      <c r="H2405" s="1" t="s">
        <v>1812</v>
      </c>
      <c r="I2405" s="10" t="str">
        <f>IF(H2405="T50",1,IF(H2405="T50",3,IF(H2405="T66",6,IF(H2405="T66",10,IF(H2405="T98",14,IF(H2405="T98",18,IF(H2405="T66",22,"")))))))</f>
        <v/>
      </c>
      <c r="J2405" s="1" t="s">
        <v>1808</v>
      </c>
      <c r="K2405" s="10">
        <v>2</v>
      </c>
      <c r="L2405" s="10">
        <v>1</v>
      </c>
      <c r="O2405" s="6"/>
      <c r="P2405" s="42" t="s">
        <v>5560</v>
      </c>
      <c r="Q2405" s="42" t="s">
        <v>5682</v>
      </c>
      <c r="R2405" s="42"/>
      <c r="S2405" s="1"/>
    </row>
    <row r="2406" spans="1:19" ht="18.75" hidden="1" customHeight="1" x14ac:dyDescent="0.3">
      <c r="A2406" s="10">
        <v>2405</v>
      </c>
      <c r="B2406" s="10">
        <f>_xlfn.XLOOKUP(1,(VALUE(D2406)&gt;=VALUE(block!$C$3:$C$500))*(VALUE(D2406)&lt;VALUE(block!$C$3:$C$500)+VALUE(block!$D$3:$D$500)),block!$A$3:$A$500,"无匹配",0,1)</f>
        <v>66</v>
      </c>
      <c r="C2406" s="3" t="str">
        <f>B2406 &amp; "-" &amp; COUNTIF($B$2:B2406, B2406)</f>
        <v>66-29</v>
      </c>
      <c r="D2406" s="10">
        <f t="shared" si="7"/>
        <v>14847</v>
      </c>
      <c r="E2406" s="3" t="s">
        <v>6329</v>
      </c>
      <c r="F2406" s="1" t="s">
        <v>6330</v>
      </c>
      <c r="H2406" s="3" t="s">
        <v>1838</v>
      </c>
      <c r="I2406" s="10" t="str">
        <f>IF(H2406="T51",1,IF(H2406="T51",3,IF(H2406="T67",6,IF(H2406="T67",10,IF(H2406="T99",14,IF(H2406="T99",18,IF(H2406="T67",22,"")))))))</f>
        <v/>
      </c>
      <c r="J2406" s="1" t="s">
        <v>1808</v>
      </c>
      <c r="K2406" s="10">
        <v>2</v>
      </c>
      <c r="L2406" s="10">
        <v>1</v>
      </c>
      <c r="O2406" s="6"/>
      <c r="Q2406" s="42" t="s">
        <v>5682</v>
      </c>
      <c r="R2406" s="42"/>
      <c r="S2406" s="1"/>
    </row>
    <row r="2407" spans="1:19" ht="18.75" hidden="1" customHeight="1" x14ac:dyDescent="0.3">
      <c r="A2407" s="10">
        <v>2406</v>
      </c>
      <c r="B2407" s="10">
        <f>_xlfn.XLOOKUP(1,(VALUE(D2407)&gt;=VALUE(block!$C$3:$C$500))*(VALUE(D2407)&lt;VALUE(block!$C$3:$C$500)+VALUE(block!$D$3:$D$500)),block!$A$3:$A$500,"无匹配",0,1)</f>
        <v>66</v>
      </c>
      <c r="C2407" s="3" t="str">
        <f>B2407 &amp; "-" &amp; COUNTIF($B$2:B2407, B2407)</f>
        <v>66-30</v>
      </c>
      <c r="D2407" s="10">
        <f t="shared" si="7"/>
        <v>14849</v>
      </c>
      <c r="E2407" s="3" t="s">
        <v>6329</v>
      </c>
      <c r="F2407" s="1" t="s">
        <v>6331</v>
      </c>
      <c r="H2407" s="3" t="s">
        <v>5458</v>
      </c>
      <c r="I2407" s="10" t="str">
        <f>IF(H2407="T52",1,IF(H2407="T52",3,IF(H2407="T68",6,IF(H2407="T68",10,IF(H2407="T100",14,IF(H2407="T100",18,IF(H2407="T68",22,"")))))))</f>
        <v/>
      </c>
      <c r="J2407" s="1" t="s">
        <v>1808</v>
      </c>
      <c r="K2407" s="10">
        <v>1</v>
      </c>
      <c r="L2407" s="10">
        <v>1</v>
      </c>
      <c r="O2407" s="6"/>
      <c r="Q2407" s="42" t="s">
        <v>5682</v>
      </c>
      <c r="R2407" s="42"/>
      <c r="S2407" s="1"/>
    </row>
    <row r="2408" spans="1:19" ht="18.75" hidden="1" customHeight="1" x14ac:dyDescent="0.3">
      <c r="A2408" s="10">
        <v>2407</v>
      </c>
      <c r="B2408" s="10">
        <f>_xlfn.XLOOKUP(1,(VALUE(D2408)&gt;=VALUE(block!$C$3:$C$500))*(VALUE(D2408)&lt;VALUE(block!$C$3:$C$500)+VALUE(block!$D$3:$D$500)),block!$A$3:$A$500,"无匹配",0,1)</f>
        <v>66</v>
      </c>
      <c r="C2408" s="3" t="str">
        <f>B2408 &amp; "-" &amp; COUNTIF($B$2:B2408, B2408)</f>
        <v>66-31</v>
      </c>
      <c r="D2408" s="10">
        <f t="shared" si="7"/>
        <v>14850</v>
      </c>
      <c r="E2408" s="1" t="s">
        <v>6332</v>
      </c>
      <c r="F2408" s="1" t="s">
        <v>6333</v>
      </c>
      <c r="G2408" s="1" t="s">
        <v>1834</v>
      </c>
      <c r="H2408" s="1" t="s">
        <v>1812</v>
      </c>
      <c r="I2408" s="10" t="str">
        <f>IF(H2408="T53",1,IF(H2408="T53",3,IF(H2408="T69",6,IF(H2408="T69",10,IF(H2408="T101",14,IF(H2408="T101",18,IF(H2408="T69",22,"")))))))</f>
        <v/>
      </c>
      <c r="J2408" s="1" t="s">
        <v>1808</v>
      </c>
      <c r="K2408" s="10">
        <v>2</v>
      </c>
      <c r="L2408" s="10">
        <v>1</v>
      </c>
      <c r="O2408" s="6"/>
      <c r="P2408" s="42" t="s">
        <v>5560</v>
      </c>
      <c r="Q2408" s="42" t="s">
        <v>5682</v>
      </c>
      <c r="R2408" s="42"/>
      <c r="S2408" s="1"/>
    </row>
    <row r="2409" spans="1:19" ht="18.75" hidden="1" customHeight="1" x14ac:dyDescent="0.3">
      <c r="A2409" s="10">
        <v>2408</v>
      </c>
      <c r="B2409" s="10">
        <f>_xlfn.XLOOKUP(1,(VALUE(D2409)&gt;=VALUE(block!$C$3:$C$500))*(VALUE(D2409)&lt;VALUE(block!$C$3:$C$500)+VALUE(block!$D$3:$D$500)),block!$A$3:$A$500,"无匹配",0,1)</f>
        <v>66</v>
      </c>
      <c r="C2409" s="3" t="str">
        <f>B2409 &amp; "-" &amp; COUNTIF($B$2:B2409, B2409)</f>
        <v>66-32</v>
      </c>
      <c r="D2409" s="10">
        <f t="shared" si="7"/>
        <v>14852</v>
      </c>
      <c r="E2409" s="3" t="s">
        <v>6334</v>
      </c>
      <c r="F2409" s="1" t="s">
        <v>6335</v>
      </c>
      <c r="H2409" s="3" t="s">
        <v>1838</v>
      </c>
      <c r="I2409" s="10" t="str">
        <f>IF(H2409="T54",1,IF(H2409="T54",3,IF(H2409="T70",6,IF(H2409="T70",10,IF(H2409="T102",14,IF(H2409="T102",18,IF(H2409="T70",22,"")))))))</f>
        <v/>
      </c>
      <c r="J2409" s="1" t="s">
        <v>1808</v>
      </c>
      <c r="K2409" s="10">
        <v>2</v>
      </c>
      <c r="L2409" s="10">
        <v>1</v>
      </c>
      <c r="O2409" s="6"/>
      <c r="Q2409" s="42" t="s">
        <v>5682</v>
      </c>
      <c r="R2409" s="42"/>
      <c r="S2409" s="1"/>
    </row>
    <row r="2410" spans="1:19" ht="18.75" hidden="1" customHeight="1" x14ac:dyDescent="0.3">
      <c r="A2410" s="10">
        <v>2409</v>
      </c>
      <c r="B2410" s="10">
        <f>_xlfn.XLOOKUP(1,(VALUE(D2410)&gt;=VALUE(block!$C$3:$C$500))*(VALUE(D2410)&lt;VALUE(block!$C$3:$C$500)+VALUE(block!$D$3:$D$500)),block!$A$3:$A$500,"无匹配",0,1)</f>
        <v>66</v>
      </c>
      <c r="C2410" s="3" t="str">
        <f>B2410 &amp; "-" &amp; COUNTIF($B$2:B2410, B2410)</f>
        <v>66-33</v>
      </c>
      <c r="D2410" s="10">
        <f t="shared" si="7"/>
        <v>14854</v>
      </c>
      <c r="E2410" s="3" t="s">
        <v>6334</v>
      </c>
      <c r="F2410" s="1" t="s">
        <v>6336</v>
      </c>
      <c r="H2410" s="3" t="s">
        <v>5458</v>
      </c>
      <c r="I2410" s="10" t="str">
        <f>IF(H2410="T55",1,IF(H2410="T55",3,IF(H2410="T71",6,IF(H2410="T71",10,IF(H2410="T103",14,IF(H2410="T103",18,IF(H2410="T71",22,"")))))))</f>
        <v/>
      </c>
      <c r="J2410" s="1" t="s">
        <v>1808</v>
      </c>
      <c r="K2410" s="10">
        <v>1</v>
      </c>
      <c r="L2410" s="10">
        <v>1</v>
      </c>
      <c r="O2410" s="6"/>
      <c r="Q2410" s="42" t="s">
        <v>5682</v>
      </c>
      <c r="R2410" s="42"/>
      <c r="S2410" s="1"/>
    </row>
    <row r="2411" spans="1:19" ht="18.75" hidden="1" customHeight="1" x14ac:dyDescent="0.3">
      <c r="A2411" s="10">
        <v>2410</v>
      </c>
      <c r="B2411" s="10">
        <f>_xlfn.XLOOKUP(1,(VALUE(D2411)&gt;=VALUE(block!$C$3:$C$500))*(VALUE(D2411)&lt;VALUE(block!$C$3:$C$500)+VALUE(block!$D$3:$D$500)),block!$A$3:$A$500,"无匹配",0,1)</f>
        <v>66</v>
      </c>
      <c r="C2411" s="3" t="str">
        <f>B2411 &amp; "-" &amp; COUNTIF($B$2:B2411, B2411)</f>
        <v>66-34</v>
      </c>
      <c r="D2411" s="10">
        <f t="shared" si="7"/>
        <v>14855</v>
      </c>
      <c r="E2411" s="1" t="s">
        <v>6337</v>
      </c>
      <c r="F2411" s="1" t="s">
        <v>6338</v>
      </c>
      <c r="G2411" s="1" t="s">
        <v>1836</v>
      </c>
      <c r="H2411" s="1" t="s">
        <v>1812</v>
      </c>
      <c r="I2411" s="10" t="str">
        <f>IF(H2411="T56",1,IF(H2411="T56",3,IF(H2411="T72",6,IF(H2411="T72",10,IF(H2411="T104",14,IF(H2411="T104",18,IF(H2411="T72",22,"")))))))</f>
        <v/>
      </c>
      <c r="J2411" s="1" t="s">
        <v>1808</v>
      </c>
      <c r="K2411" s="10">
        <v>2</v>
      </c>
      <c r="L2411" s="10">
        <v>1</v>
      </c>
      <c r="O2411" s="6"/>
      <c r="P2411" s="42" t="s">
        <v>5560</v>
      </c>
      <c r="Q2411" s="42" t="s">
        <v>5682</v>
      </c>
      <c r="R2411" s="42"/>
      <c r="S2411" s="1"/>
    </row>
    <row r="2412" spans="1:19" ht="18.75" hidden="1" customHeight="1" x14ac:dyDescent="0.3">
      <c r="A2412" s="10">
        <v>2411</v>
      </c>
      <c r="B2412" s="10">
        <f>_xlfn.XLOOKUP(1,(VALUE(D2412)&gt;=VALUE(block!$C$3:$C$500))*(VALUE(D2412)&lt;VALUE(block!$C$3:$C$500)+VALUE(block!$D$3:$D$500)),block!$A$3:$A$500,"无匹配",0,1)</f>
        <v>66</v>
      </c>
      <c r="C2412" s="3" t="str">
        <f>B2412 &amp; "-" &amp; COUNTIF($B$2:B2412, B2412)</f>
        <v>66-35</v>
      </c>
      <c r="D2412" s="10">
        <f t="shared" si="7"/>
        <v>14857</v>
      </c>
      <c r="E2412" s="3" t="s">
        <v>6339</v>
      </c>
      <c r="F2412" s="1" t="s">
        <v>6340</v>
      </c>
      <c r="H2412" s="3" t="s">
        <v>1838</v>
      </c>
      <c r="I2412" s="10" t="str">
        <f>IF(H2412="T57",1,IF(H2412="T57",3,IF(H2412="T73",6,IF(H2412="T73",10,IF(H2412="T105",14,IF(H2412="T105",18,IF(H2412="T73",22,"")))))))</f>
        <v/>
      </c>
      <c r="J2412" s="1" t="s">
        <v>1808</v>
      </c>
      <c r="K2412" s="10">
        <v>2</v>
      </c>
      <c r="L2412" s="10">
        <v>1</v>
      </c>
      <c r="O2412" s="6"/>
      <c r="Q2412" s="42" t="s">
        <v>5682</v>
      </c>
      <c r="R2412" s="42"/>
      <c r="S2412" s="1"/>
    </row>
    <row r="2413" spans="1:19" ht="18.75" hidden="1" customHeight="1" x14ac:dyDescent="0.3">
      <c r="A2413" s="10">
        <v>2412</v>
      </c>
      <c r="B2413" s="10">
        <f>_xlfn.XLOOKUP(1,(VALUE(D2413)&gt;=VALUE(block!$C$3:$C$500))*(VALUE(D2413)&lt;VALUE(block!$C$3:$C$500)+VALUE(block!$D$3:$D$500)),block!$A$3:$A$500,"无匹配",0,1)</f>
        <v>66</v>
      </c>
      <c r="C2413" s="3" t="str">
        <f>B2413 &amp; "-" &amp; COUNTIF($B$2:B2413, B2413)</f>
        <v>66-36</v>
      </c>
      <c r="D2413" s="10">
        <f t="shared" si="7"/>
        <v>14859</v>
      </c>
      <c r="E2413" s="3" t="s">
        <v>6339</v>
      </c>
      <c r="F2413" s="1" t="s">
        <v>6341</v>
      </c>
      <c r="H2413" s="3" t="s">
        <v>5458</v>
      </c>
      <c r="I2413" s="10" t="str">
        <f>IF(H2413="T58",1,IF(H2413="T58",3,IF(H2413="T74",6,IF(H2413="T74",10,IF(H2413="T106",14,IF(H2413="T106",18,IF(H2413="T74",22,"")))))))</f>
        <v/>
      </c>
      <c r="J2413" s="1" t="s">
        <v>1808</v>
      </c>
      <c r="K2413" s="10">
        <v>1</v>
      </c>
      <c r="L2413" s="10">
        <v>1</v>
      </c>
      <c r="O2413" s="6"/>
      <c r="Q2413" s="42" t="s">
        <v>5682</v>
      </c>
      <c r="R2413" s="42"/>
      <c r="S2413" s="1"/>
    </row>
    <row r="2414" spans="1:19" ht="18.75" hidden="1" customHeight="1" x14ac:dyDescent="0.3">
      <c r="A2414" s="10">
        <v>2413</v>
      </c>
      <c r="B2414" s="10">
        <f>_xlfn.XLOOKUP(1,(VALUE(D2414)&gt;=VALUE(block!$C$3:$C$500))*(VALUE(D2414)&lt;VALUE(block!$C$3:$C$500)+VALUE(block!$D$3:$D$500)),block!$A$3:$A$500,"无匹配",0,1)</f>
        <v>66</v>
      </c>
      <c r="C2414" s="3" t="str">
        <f>B2414 &amp; "-" &amp; COUNTIF($B$2:B2414, B2414)</f>
        <v>66-37</v>
      </c>
      <c r="D2414" s="10">
        <f t="shared" si="7"/>
        <v>14860</v>
      </c>
      <c r="E2414" s="1" t="s">
        <v>6342</v>
      </c>
      <c r="F2414" s="1" t="s">
        <v>6343</v>
      </c>
      <c r="G2414" s="1" t="s">
        <v>1830</v>
      </c>
      <c r="H2414" s="1" t="s">
        <v>1812</v>
      </c>
      <c r="I2414" s="10" t="str">
        <f>IF(H2414="T59",1,IF(H2414="T59",3,IF(H2414="T75",6,IF(H2414="T75",10,IF(H2414="T107",14,IF(H2414="T107",18,IF(H2414="T75",22,"")))))))</f>
        <v/>
      </c>
      <c r="J2414" s="1" t="s">
        <v>1808</v>
      </c>
      <c r="K2414" s="10">
        <v>2</v>
      </c>
      <c r="L2414" s="10">
        <v>1</v>
      </c>
      <c r="O2414" s="6"/>
      <c r="P2414" s="42" t="s">
        <v>5560</v>
      </c>
      <c r="Q2414" s="42" t="s">
        <v>5682</v>
      </c>
      <c r="R2414" s="42"/>
      <c r="S2414" s="1"/>
    </row>
    <row r="2415" spans="1:19" ht="18.75" hidden="1" customHeight="1" x14ac:dyDescent="0.3">
      <c r="A2415" s="10">
        <v>2414</v>
      </c>
      <c r="B2415" s="10">
        <f>_xlfn.XLOOKUP(1,(VALUE(D2415)&gt;=VALUE(block!$C$3:$C$500))*(VALUE(D2415)&lt;VALUE(block!$C$3:$C$500)+VALUE(block!$D$3:$D$500)),block!$A$3:$A$500,"无匹配",0,1)</f>
        <v>66</v>
      </c>
      <c r="C2415" s="3" t="str">
        <f>B2415 &amp; "-" &amp; COUNTIF($B$2:B2415, B2415)</f>
        <v>66-38</v>
      </c>
      <c r="D2415" s="10">
        <f t="shared" si="7"/>
        <v>14862</v>
      </c>
      <c r="E2415" s="3" t="s">
        <v>6344</v>
      </c>
      <c r="F2415" s="1" t="s">
        <v>6345</v>
      </c>
      <c r="H2415" s="3" t="s">
        <v>1838</v>
      </c>
      <c r="I2415" s="10" t="str">
        <f>IF(H2415="T60",1,IF(H2415="T60",3,IF(H2415="T76",6,IF(H2415="T76",10,IF(H2415="T108",14,IF(H2415="T108",18,IF(H2415="T76",22,"")))))))</f>
        <v/>
      </c>
      <c r="J2415" s="1" t="s">
        <v>1808</v>
      </c>
      <c r="K2415" s="10">
        <v>2</v>
      </c>
      <c r="L2415" s="10">
        <v>1</v>
      </c>
      <c r="O2415" s="6"/>
      <c r="Q2415" s="42" t="s">
        <v>5682</v>
      </c>
      <c r="R2415" s="42"/>
      <c r="S2415" s="1"/>
    </row>
    <row r="2416" spans="1:19" ht="18.75" hidden="1" customHeight="1" x14ac:dyDescent="0.3">
      <c r="A2416" s="10">
        <v>2415</v>
      </c>
      <c r="B2416" s="10">
        <f>_xlfn.XLOOKUP(1,(VALUE(D2416)&gt;=VALUE(block!$C$3:$C$500))*(VALUE(D2416)&lt;VALUE(block!$C$3:$C$500)+VALUE(block!$D$3:$D$500)),block!$A$3:$A$500,"无匹配",0,1)</f>
        <v>66</v>
      </c>
      <c r="C2416" s="3" t="str">
        <f>B2416 &amp; "-" &amp; COUNTIF($B$2:B2416, B2416)</f>
        <v>66-39</v>
      </c>
      <c r="D2416" s="10">
        <f t="shared" si="7"/>
        <v>14864</v>
      </c>
      <c r="E2416" s="3" t="s">
        <v>6344</v>
      </c>
      <c r="F2416" s="1" t="s">
        <v>6346</v>
      </c>
      <c r="H2416" s="3" t="s">
        <v>5458</v>
      </c>
      <c r="I2416" s="10" t="str">
        <f>IF(H2416="T61",1,IF(H2416="T61",3,IF(H2416="T77",6,IF(H2416="T77",10,IF(H2416="T109",14,IF(H2416="T109",18,IF(H2416="T77",22,"")))))))</f>
        <v/>
      </c>
      <c r="J2416" s="1" t="s">
        <v>1808</v>
      </c>
      <c r="K2416" s="10">
        <v>1</v>
      </c>
      <c r="L2416" s="10">
        <v>1</v>
      </c>
      <c r="O2416" s="6"/>
      <c r="Q2416" s="42" t="s">
        <v>5682</v>
      </c>
      <c r="R2416" s="42"/>
      <c r="S2416" s="1"/>
    </row>
    <row r="2417" spans="1:19" ht="18.75" hidden="1" customHeight="1" x14ac:dyDescent="0.3">
      <c r="A2417" s="10">
        <v>2416</v>
      </c>
      <c r="B2417" s="10">
        <f>_xlfn.XLOOKUP(1,(VALUE(D2417)&gt;=VALUE(block!$C$3:$C$500))*(VALUE(D2417)&lt;VALUE(block!$C$3:$C$500)+VALUE(block!$D$3:$D$500)),block!$A$3:$A$500,"无匹配",0,1)</f>
        <v>66</v>
      </c>
      <c r="C2417" s="3" t="str">
        <f>B2417 &amp; "-" &amp; COUNTIF($B$2:B2417, B2417)</f>
        <v>66-40</v>
      </c>
      <c r="D2417" s="10">
        <f t="shared" si="7"/>
        <v>14865</v>
      </c>
      <c r="E2417" s="1" t="s">
        <v>6347</v>
      </c>
      <c r="F2417" s="1" t="s">
        <v>6348</v>
      </c>
      <c r="G2417" s="1" t="s">
        <v>1832</v>
      </c>
      <c r="H2417" s="1" t="s">
        <v>1812</v>
      </c>
      <c r="I2417" s="10" t="str">
        <f>IF(H2417="T62",1,IF(H2417="T62",3,IF(H2417="T78",6,IF(H2417="T78",10,IF(H2417="T110",14,IF(H2417="T110",18,IF(H2417="T78",22,"")))))))</f>
        <v/>
      </c>
      <c r="J2417" s="1" t="s">
        <v>1808</v>
      </c>
      <c r="K2417" s="10">
        <v>2</v>
      </c>
      <c r="L2417" s="10">
        <v>1</v>
      </c>
      <c r="O2417" s="6"/>
      <c r="P2417" s="42" t="s">
        <v>5560</v>
      </c>
      <c r="Q2417" s="42" t="s">
        <v>5682</v>
      </c>
      <c r="R2417" s="42"/>
      <c r="S2417" s="1"/>
    </row>
    <row r="2418" spans="1:19" ht="18.75" hidden="1" customHeight="1" x14ac:dyDescent="0.3">
      <c r="A2418" s="10">
        <v>2417</v>
      </c>
      <c r="B2418" s="10">
        <f>_xlfn.XLOOKUP(1,(VALUE(D2418)&gt;=VALUE(block!$C$3:$C$500))*(VALUE(D2418)&lt;VALUE(block!$C$3:$C$500)+VALUE(block!$D$3:$D$500)),block!$A$3:$A$500,"无匹配",0,1)</f>
        <v>66</v>
      </c>
      <c r="C2418" s="3" t="str">
        <f>B2418 &amp; "-" &amp; COUNTIF($B$2:B2418, B2418)</f>
        <v>66-41</v>
      </c>
      <c r="D2418" s="10">
        <f t="shared" si="7"/>
        <v>14867</v>
      </c>
      <c r="E2418" s="3" t="s">
        <v>6349</v>
      </c>
      <c r="F2418" s="1" t="s">
        <v>6350</v>
      </c>
      <c r="H2418" s="3" t="s">
        <v>1838</v>
      </c>
      <c r="I2418" s="10" t="str">
        <f>IF(H2418="T63",1,IF(H2418="T63",3,IF(H2418="T79",6,IF(H2418="T79",10,IF(H2418="T111",14,IF(H2418="T111",18,IF(H2418="T79",22,"")))))))</f>
        <v/>
      </c>
      <c r="J2418" s="1" t="s">
        <v>1808</v>
      </c>
      <c r="K2418" s="10">
        <v>2</v>
      </c>
      <c r="L2418" s="10">
        <v>1</v>
      </c>
      <c r="O2418" s="6"/>
      <c r="Q2418" s="42" t="s">
        <v>5682</v>
      </c>
      <c r="R2418" s="42"/>
      <c r="S2418" s="1"/>
    </row>
    <row r="2419" spans="1:19" ht="18.75" hidden="1" customHeight="1" x14ac:dyDescent="0.3">
      <c r="A2419" s="10">
        <v>2418</v>
      </c>
      <c r="B2419" s="10">
        <f>_xlfn.XLOOKUP(1,(VALUE(D2419)&gt;=VALUE(block!$C$3:$C$500))*(VALUE(D2419)&lt;VALUE(block!$C$3:$C$500)+VALUE(block!$D$3:$D$500)),block!$A$3:$A$500,"无匹配",0,1)</f>
        <v>66</v>
      </c>
      <c r="C2419" s="3" t="str">
        <f>B2419 &amp; "-" &amp; COUNTIF($B$2:B2419, B2419)</f>
        <v>66-42</v>
      </c>
      <c r="D2419" s="10">
        <f t="shared" si="7"/>
        <v>14869</v>
      </c>
      <c r="E2419" s="3" t="s">
        <v>6349</v>
      </c>
      <c r="F2419" s="1" t="s">
        <v>6351</v>
      </c>
      <c r="H2419" s="3" t="s">
        <v>5458</v>
      </c>
      <c r="I2419" s="10" t="str">
        <f>IF(H2419="T64",1,IF(H2419="T64",3,IF(H2419="T80",6,IF(H2419="T80",10,IF(H2419="T112",14,IF(H2419="T112",18,IF(H2419="T80",22,"")))))))</f>
        <v/>
      </c>
      <c r="J2419" s="1" t="s">
        <v>1808</v>
      </c>
      <c r="K2419" s="10">
        <v>1</v>
      </c>
      <c r="L2419" s="10">
        <v>1</v>
      </c>
      <c r="O2419" s="6"/>
      <c r="Q2419" s="42" t="s">
        <v>5682</v>
      </c>
      <c r="R2419" s="42"/>
      <c r="S2419" s="1"/>
    </row>
    <row r="2420" spans="1:19" ht="18.75" hidden="1" customHeight="1" x14ac:dyDescent="0.3">
      <c r="A2420" s="10">
        <v>2419</v>
      </c>
      <c r="B2420" s="10">
        <f>_xlfn.XLOOKUP(1,(VALUE(D2420)&gt;=VALUE(block!$C$3:$C$500))*(VALUE(D2420)&lt;VALUE(block!$C$3:$C$500)+VALUE(block!$D$3:$D$500)),block!$A$3:$A$500,"无匹配",0,1)</f>
        <v>66</v>
      </c>
      <c r="C2420" s="3" t="str">
        <f>B2420 &amp; "-" &amp; COUNTIF($B$2:B2420, B2420)</f>
        <v>66-43</v>
      </c>
      <c r="D2420" s="10">
        <f t="shared" si="7"/>
        <v>14870</v>
      </c>
      <c r="E2420" s="1" t="s">
        <v>6352</v>
      </c>
      <c r="F2420" s="1" t="s">
        <v>6353</v>
      </c>
      <c r="G2420" s="1" t="s">
        <v>1832</v>
      </c>
      <c r="H2420" s="1" t="s">
        <v>1812</v>
      </c>
      <c r="I2420" s="10" t="str">
        <f>IF(H2420="T65",1,IF(H2420="T65",3,IF(H2420="T81",6,IF(H2420="T81",10,IF(H2420="T113",14,IF(H2420="T113",18,IF(H2420="T81",22,"")))))))</f>
        <v/>
      </c>
      <c r="J2420" s="1" t="s">
        <v>1808</v>
      </c>
      <c r="K2420" s="10">
        <v>2</v>
      </c>
      <c r="L2420" s="10">
        <v>1</v>
      </c>
      <c r="O2420" s="6"/>
      <c r="P2420" s="42" t="s">
        <v>5560</v>
      </c>
      <c r="Q2420" s="42" t="s">
        <v>5682</v>
      </c>
      <c r="R2420" s="42"/>
      <c r="S2420" s="1"/>
    </row>
    <row r="2421" spans="1:19" ht="18.75" hidden="1" customHeight="1" x14ac:dyDescent="0.3">
      <c r="A2421" s="10">
        <v>2420</v>
      </c>
      <c r="B2421" s="10">
        <f>_xlfn.XLOOKUP(1,(VALUE(D2421)&gt;=VALUE(block!$C$3:$C$500))*(VALUE(D2421)&lt;VALUE(block!$C$3:$C$500)+VALUE(block!$D$3:$D$500)),block!$A$3:$A$500,"无匹配",0,1)</f>
        <v>66</v>
      </c>
      <c r="C2421" s="3" t="str">
        <f>B2421 &amp; "-" &amp; COUNTIF($B$2:B2421, B2421)</f>
        <v>66-44</v>
      </c>
      <c r="D2421" s="10">
        <f t="shared" si="7"/>
        <v>14872</v>
      </c>
      <c r="E2421" s="3" t="s">
        <v>6354</v>
      </c>
      <c r="F2421" s="1" t="s">
        <v>6355</v>
      </c>
      <c r="H2421" s="3" t="s">
        <v>1838</v>
      </c>
      <c r="I2421" s="10" t="str">
        <f>IF(H2421="T66",1,IF(H2421="T66",3,IF(H2421="T82",6,IF(H2421="T82",10,IF(H2421="T114",14,IF(H2421="T114",18,IF(H2421="T82",22,"")))))))</f>
        <v/>
      </c>
      <c r="J2421" s="1" t="s">
        <v>1808</v>
      </c>
      <c r="K2421" s="10">
        <v>2</v>
      </c>
      <c r="L2421" s="10">
        <v>1</v>
      </c>
      <c r="O2421" s="6"/>
      <c r="Q2421" s="42" t="s">
        <v>5682</v>
      </c>
      <c r="R2421" s="42"/>
      <c r="S2421" s="1"/>
    </row>
    <row r="2422" spans="1:19" ht="18.75" hidden="1" customHeight="1" x14ac:dyDescent="0.3">
      <c r="A2422" s="10">
        <v>2421</v>
      </c>
      <c r="B2422" s="10">
        <f>_xlfn.XLOOKUP(1,(VALUE(D2422)&gt;=VALUE(block!$C$3:$C$500))*(VALUE(D2422)&lt;VALUE(block!$C$3:$C$500)+VALUE(block!$D$3:$D$500)),block!$A$3:$A$500,"无匹配",0,1)</f>
        <v>66</v>
      </c>
      <c r="C2422" s="3" t="str">
        <f>B2422 &amp; "-" &amp; COUNTIF($B$2:B2422, B2422)</f>
        <v>66-45</v>
      </c>
      <c r="D2422" s="10">
        <f t="shared" si="7"/>
        <v>14874</v>
      </c>
      <c r="E2422" s="3" t="s">
        <v>6354</v>
      </c>
      <c r="F2422" s="1" t="s">
        <v>6356</v>
      </c>
      <c r="H2422" s="3" t="s">
        <v>5458</v>
      </c>
      <c r="I2422" s="10" t="str">
        <f>IF(H2422="T67",1,IF(H2422="T67",3,IF(H2422="T83",6,IF(H2422="T83",10,IF(H2422="T115",14,IF(H2422="T115",18,IF(H2422="T83",22,"")))))))</f>
        <v/>
      </c>
      <c r="J2422" s="1" t="s">
        <v>1808</v>
      </c>
      <c r="K2422" s="10">
        <v>1</v>
      </c>
      <c r="L2422" s="10">
        <v>1</v>
      </c>
      <c r="O2422" s="6"/>
      <c r="Q2422" s="42" t="s">
        <v>5682</v>
      </c>
      <c r="R2422" s="42"/>
      <c r="S2422" s="1"/>
    </row>
    <row r="2423" spans="1:19" ht="18.75" hidden="1" customHeight="1" x14ac:dyDescent="0.3">
      <c r="A2423" s="10">
        <v>2422</v>
      </c>
      <c r="B2423" s="10">
        <f>_xlfn.XLOOKUP(1,(VALUE(D2423)&gt;=VALUE(block!$C$3:$C$500))*(VALUE(D2423)&lt;VALUE(block!$C$3:$C$500)+VALUE(block!$D$3:$D$500)),block!$A$3:$A$500,"无匹配",0,1)</f>
        <v>66</v>
      </c>
      <c r="C2423" s="3" t="str">
        <f>B2423 &amp; "-" &amp; COUNTIF($B$2:B2423, B2423)</f>
        <v>66-46</v>
      </c>
      <c r="D2423" s="10">
        <f t="shared" si="7"/>
        <v>14875</v>
      </c>
      <c r="E2423" s="1" t="s">
        <v>6357</v>
      </c>
      <c r="F2423" s="1" t="s">
        <v>6358</v>
      </c>
      <c r="G2423" s="1" t="s">
        <v>1834</v>
      </c>
      <c r="H2423" s="1" t="s">
        <v>1812</v>
      </c>
      <c r="I2423" s="10" t="str">
        <f>IF(H2423="T68",1,IF(H2423="T68",3,IF(H2423="T84",6,IF(H2423="T84",10,IF(H2423="T116",14,IF(H2423="T116",18,IF(H2423="T84",22,"")))))))</f>
        <v/>
      </c>
      <c r="J2423" s="1" t="s">
        <v>1808</v>
      </c>
      <c r="K2423" s="10">
        <v>2</v>
      </c>
      <c r="L2423" s="10">
        <v>1</v>
      </c>
      <c r="O2423" s="6"/>
      <c r="P2423" s="42" t="s">
        <v>5560</v>
      </c>
      <c r="Q2423" s="42" t="s">
        <v>5682</v>
      </c>
      <c r="R2423" s="42"/>
      <c r="S2423" s="1"/>
    </row>
    <row r="2424" spans="1:19" ht="18.75" hidden="1" customHeight="1" x14ac:dyDescent="0.3">
      <c r="A2424" s="10">
        <v>2423</v>
      </c>
      <c r="B2424" s="10">
        <f>_xlfn.XLOOKUP(1,(VALUE(D2424)&gt;=VALUE(block!$C$3:$C$500))*(VALUE(D2424)&lt;VALUE(block!$C$3:$C$500)+VALUE(block!$D$3:$D$500)),block!$A$3:$A$500,"无匹配",0,1)</f>
        <v>66</v>
      </c>
      <c r="C2424" s="3" t="str">
        <f>B2424 &amp; "-" &amp; COUNTIF($B$2:B2424, B2424)</f>
        <v>66-47</v>
      </c>
      <c r="D2424" s="10">
        <f t="shared" si="7"/>
        <v>14877</v>
      </c>
      <c r="E2424" s="3" t="s">
        <v>6359</v>
      </c>
      <c r="F2424" s="1" t="s">
        <v>6360</v>
      </c>
      <c r="H2424" s="3" t="s">
        <v>1838</v>
      </c>
      <c r="I2424" s="10" t="str">
        <f>IF(H2424="T69",1,IF(H2424="T69",3,IF(H2424="T85",6,IF(H2424="T85",10,IF(H2424="T117",14,IF(H2424="T117",18,IF(H2424="T85",22,"")))))))</f>
        <v/>
      </c>
      <c r="J2424" s="1" t="s">
        <v>1808</v>
      </c>
      <c r="K2424" s="10">
        <v>2</v>
      </c>
      <c r="L2424" s="10">
        <v>1</v>
      </c>
      <c r="O2424" s="6"/>
      <c r="Q2424" s="42" t="s">
        <v>5682</v>
      </c>
      <c r="R2424" s="42"/>
      <c r="S2424" s="1"/>
    </row>
    <row r="2425" spans="1:19" ht="18.75" hidden="1" customHeight="1" x14ac:dyDescent="0.3">
      <c r="A2425" s="10">
        <v>2424</v>
      </c>
      <c r="B2425" s="10">
        <f>_xlfn.XLOOKUP(1,(VALUE(D2425)&gt;=VALUE(block!$C$3:$C$500))*(VALUE(D2425)&lt;VALUE(block!$C$3:$C$500)+VALUE(block!$D$3:$D$500)),block!$A$3:$A$500,"无匹配",0,1)</f>
        <v>66</v>
      </c>
      <c r="C2425" s="3" t="str">
        <f>B2425 &amp; "-" &amp; COUNTIF($B$2:B2425, B2425)</f>
        <v>66-48</v>
      </c>
      <c r="D2425" s="10">
        <f t="shared" si="7"/>
        <v>14879</v>
      </c>
      <c r="E2425" s="3" t="s">
        <v>6359</v>
      </c>
      <c r="F2425" s="1" t="s">
        <v>6361</v>
      </c>
      <c r="H2425" s="3" t="s">
        <v>5458</v>
      </c>
      <c r="I2425" s="10" t="str">
        <f>IF(H2425="T70",1,IF(H2425="T70",3,IF(H2425="T86",6,IF(H2425="T86",10,IF(H2425="T118",14,IF(H2425="T118",18,IF(H2425="T86",22,"")))))))</f>
        <v/>
      </c>
      <c r="J2425" s="1" t="s">
        <v>1808</v>
      </c>
      <c r="K2425" s="10">
        <v>1</v>
      </c>
      <c r="L2425" s="10">
        <v>1</v>
      </c>
      <c r="O2425" s="6"/>
      <c r="Q2425" s="42" t="s">
        <v>5682</v>
      </c>
      <c r="R2425" s="42"/>
      <c r="S2425" s="1"/>
    </row>
    <row r="2426" spans="1:19" ht="18.75" hidden="1" customHeight="1" x14ac:dyDescent="0.3">
      <c r="A2426" s="10">
        <v>2425</v>
      </c>
      <c r="B2426" s="10">
        <f>_xlfn.XLOOKUP(1,(VALUE(D2426)&gt;=VALUE(block!$C$3:$C$500))*(VALUE(D2426)&lt;VALUE(block!$C$3:$C$500)+VALUE(block!$D$3:$D$500)),block!$A$3:$A$500,"无匹配",0,1)</f>
        <v>66</v>
      </c>
      <c r="C2426" s="3" t="str">
        <f>B2426 &amp; "-" &amp; COUNTIF($B$2:B2426, B2426)</f>
        <v>66-49</v>
      </c>
      <c r="D2426" s="10">
        <f t="shared" si="7"/>
        <v>14880</v>
      </c>
      <c r="E2426" s="1" t="s">
        <v>6362</v>
      </c>
      <c r="F2426" s="1" t="s">
        <v>6363</v>
      </c>
      <c r="G2426" s="1" t="s">
        <v>1834</v>
      </c>
      <c r="H2426" s="1" t="s">
        <v>1812</v>
      </c>
      <c r="I2426" s="10" t="str">
        <f>IF(H2426="T71",1,IF(H2426="T71",3,IF(H2426="T87",6,IF(H2426="T87",10,IF(H2426="T119",14,IF(H2426="T119",18,IF(H2426="T87",22,"")))))))</f>
        <v/>
      </c>
      <c r="J2426" s="1" t="s">
        <v>1808</v>
      </c>
      <c r="K2426" s="10">
        <v>2</v>
      </c>
      <c r="L2426" s="10">
        <v>1</v>
      </c>
      <c r="O2426" s="6"/>
      <c r="P2426" s="42" t="s">
        <v>5560</v>
      </c>
      <c r="Q2426" s="42" t="s">
        <v>5682</v>
      </c>
      <c r="R2426" s="42"/>
      <c r="S2426" s="1"/>
    </row>
    <row r="2427" spans="1:19" ht="18.75" hidden="1" customHeight="1" x14ac:dyDescent="0.3">
      <c r="A2427" s="10">
        <v>2426</v>
      </c>
      <c r="B2427" s="10">
        <f>_xlfn.XLOOKUP(1,(VALUE(D2427)&gt;=VALUE(block!$C$3:$C$500))*(VALUE(D2427)&lt;VALUE(block!$C$3:$C$500)+VALUE(block!$D$3:$D$500)),block!$A$3:$A$500,"无匹配",0,1)</f>
        <v>66</v>
      </c>
      <c r="C2427" s="3" t="str">
        <f>B2427 &amp; "-" &amp; COUNTIF($B$2:B2427, B2427)</f>
        <v>66-50</v>
      </c>
      <c r="D2427" s="10">
        <f t="shared" si="7"/>
        <v>14882</v>
      </c>
      <c r="E2427" s="3" t="s">
        <v>6364</v>
      </c>
      <c r="F2427" s="1" t="s">
        <v>6365</v>
      </c>
      <c r="H2427" s="3" t="s">
        <v>1838</v>
      </c>
      <c r="I2427" s="10" t="str">
        <f>IF(H2427="T72",1,IF(H2427="T72",3,IF(H2427="T88",6,IF(H2427="T88",10,IF(H2427="T120",14,IF(H2427="T120",18,IF(H2427="T88",22,"")))))))</f>
        <v/>
      </c>
      <c r="J2427" s="1" t="s">
        <v>1808</v>
      </c>
      <c r="K2427" s="10">
        <v>2</v>
      </c>
      <c r="L2427" s="10">
        <v>1</v>
      </c>
      <c r="O2427" s="6"/>
      <c r="Q2427" s="42" t="s">
        <v>5682</v>
      </c>
      <c r="R2427" s="42"/>
      <c r="S2427" s="1"/>
    </row>
    <row r="2428" spans="1:19" ht="18.75" hidden="1" customHeight="1" x14ac:dyDescent="0.3">
      <c r="A2428" s="10">
        <v>2427</v>
      </c>
      <c r="B2428" s="10">
        <f>_xlfn.XLOOKUP(1,(VALUE(D2428)&gt;=VALUE(block!$C$3:$C$500))*(VALUE(D2428)&lt;VALUE(block!$C$3:$C$500)+VALUE(block!$D$3:$D$500)),block!$A$3:$A$500,"无匹配",0,1)</f>
        <v>66</v>
      </c>
      <c r="C2428" s="3" t="str">
        <f>B2428 &amp; "-" &amp; COUNTIF($B$2:B2428, B2428)</f>
        <v>66-51</v>
      </c>
      <c r="D2428" s="10">
        <f t="shared" si="7"/>
        <v>14884</v>
      </c>
      <c r="E2428" s="3" t="s">
        <v>6364</v>
      </c>
      <c r="F2428" s="1" t="s">
        <v>6366</v>
      </c>
      <c r="H2428" s="3" t="s">
        <v>5458</v>
      </c>
      <c r="I2428" s="10" t="str">
        <f>IF(H2428="T73",1,IF(H2428="T73",3,IF(H2428="T89",6,IF(H2428="T89",10,IF(H2428="T121",14,IF(H2428="T121",18,IF(H2428="T89",22,"")))))))</f>
        <v/>
      </c>
      <c r="J2428" s="1" t="s">
        <v>1808</v>
      </c>
      <c r="K2428" s="10">
        <v>1</v>
      </c>
      <c r="L2428" s="10">
        <v>1</v>
      </c>
      <c r="O2428" s="6"/>
      <c r="Q2428" s="42" t="s">
        <v>5682</v>
      </c>
      <c r="R2428" s="42"/>
      <c r="S2428" s="1"/>
    </row>
    <row r="2429" spans="1:19" ht="18.75" hidden="1" customHeight="1" x14ac:dyDescent="0.3">
      <c r="A2429" s="10">
        <v>2428</v>
      </c>
      <c r="B2429" s="10">
        <f>_xlfn.XLOOKUP(1,(VALUE(D2429)&gt;=VALUE(block!$C$3:$C$500))*(VALUE(D2429)&lt;VALUE(block!$C$3:$C$500)+VALUE(block!$D$3:$D$500)),block!$A$3:$A$500,"无匹配",0,1)</f>
        <v>66</v>
      </c>
      <c r="C2429" s="3" t="str">
        <f>B2429 &amp; "-" &amp; COUNTIF($B$2:B2429, B2429)</f>
        <v>66-52</v>
      </c>
      <c r="D2429" s="10">
        <f t="shared" si="7"/>
        <v>14885</v>
      </c>
      <c r="E2429" s="1" t="s">
        <v>6367</v>
      </c>
      <c r="F2429" s="1" t="s">
        <v>6368</v>
      </c>
      <c r="G2429" s="1" t="s">
        <v>1836</v>
      </c>
      <c r="H2429" s="1" t="s">
        <v>1812</v>
      </c>
      <c r="I2429" s="10" t="str">
        <f>IF(H2429="T74",1,IF(H2429="T74",3,IF(H2429="T90",6,IF(H2429="T90",10,IF(H2429="T122",14,IF(H2429="T122",18,IF(H2429="T90",22,"")))))))</f>
        <v/>
      </c>
      <c r="J2429" s="1" t="s">
        <v>1808</v>
      </c>
      <c r="K2429" s="10">
        <v>2</v>
      </c>
      <c r="L2429" s="10">
        <v>1</v>
      </c>
      <c r="O2429" s="6"/>
      <c r="P2429" s="42" t="s">
        <v>5560</v>
      </c>
      <c r="Q2429" s="42" t="s">
        <v>5682</v>
      </c>
      <c r="R2429" s="42"/>
      <c r="S2429" s="1"/>
    </row>
    <row r="2430" spans="1:19" ht="18.75" hidden="1" customHeight="1" x14ac:dyDescent="0.3">
      <c r="A2430" s="10">
        <v>2429</v>
      </c>
      <c r="B2430" s="10">
        <f>_xlfn.XLOOKUP(1,(VALUE(D2430)&gt;=VALUE(block!$C$3:$C$500))*(VALUE(D2430)&lt;VALUE(block!$C$3:$C$500)+VALUE(block!$D$3:$D$500)),block!$A$3:$A$500,"无匹配",0,1)</f>
        <v>66</v>
      </c>
      <c r="C2430" s="3" t="str">
        <f>B2430 &amp; "-" &amp; COUNTIF($B$2:B2430, B2430)</f>
        <v>66-53</v>
      </c>
      <c r="D2430" s="10">
        <f t="shared" si="7"/>
        <v>14887</v>
      </c>
      <c r="E2430" s="3" t="s">
        <v>6369</v>
      </c>
      <c r="F2430" s="1" t="s">
        <v>6370</v>
      </c>
      <c r="H2430" s="3" t="s">
        <v>1838</v>
      </c>
      <c r="I2430" s="10" t="str">
        <f>IF(H2430="T75",1,IF(H2430="T75",3,IF(H2430="T91",6,IF(H2430="T91",10,IF(H2430="T123",14,IF(H2430="T123",18,IF(H2430="T91",22,"")))))))</f>
        <v/>
      </c>
      <c r="J2430" s="1" t="s">
        <v>1808</v>
      </c>
      <c r="K2430" s="10">
        <v>2</v>
      </c>
      <c r="L2430" s="10">
        <v>1</v>
      </c>
      <c r="O2430" s="6"/>
      <c r="Q2430" s="42" t="s">
        <v>5682</v>
      </c>
      <c r="R2430" s="42"/>
      <c r="S2430" s="1"/>
    </row>
    <row r="2431" spans="1:19" ht="18.75" hidden="1" customHeight="1" x14ac:dyDescent="0.3">
      <c r="A2431" s="10">
        <v>2430</v>
      </c>
      <c r="B2431" s="10">
        <f>_xlfn.XLOOKUP(1,(VALUE(D2431)&gt;=VALUE(block!$C$3:$C$500))*(VALUE(D2431)&lt;VALUE(block!$C$3:$C$500)+VALUE(block!$D$3:$D$500)),block!$A$3:$A$500,"无匹配",0,1)</f>
        <v>66</v>
      </c>
      <c r="C2431" s="3" t="str">
        <f>B2431 &amp; "-" &amp; COUNTIF($B$2:B2431, B2431)</f>
        <v>66-54</v>
      </c>
      <c r="D2431" s="10">
        <f t="shared" si="7"/>
        <v>14889</v>
      </c>
      <c r="E2431" s="3" t="s">
        <v>6369</v>
      </c>
      <c r="F2431" s="1" t="s">
        <v>6371</v>
      </c>
      <c r="H2431" s="3" t="s">
        <v>5458</v>
      </c>
      <c r="I2431" s="10" t="str">
        <f>IF(H2431="T76",1,IF(H2431="T76",3,IF(H2431="T92",6,IF(H2431="T92",10,IF(H2431="T124",14,IF(H2431="T124",18,IF(H2431="T92",22,"")))))))</f>
        <v/>
      </c>
      <c r="J2431" s="1" t="s">
        <v>1808</v>
      </c>
      <c r="K2431" s="10">
        <v>1</v>
      </c>
      <c r="L2431" s="10">
        <v>1</v>
      </c>
      <c r="O2431" s="6"/>
      <c r="Q2431" s="42" t="s">
        <v>5682</v>
      </c>
      <c r="R2431" s="42"/>
      <c r="S2431" s="1"/>
    </row>
    <row r="2432" spans="1:19" ht="18.75" hidden="1" customHeight="1" x14ac:dyDescent="0.3">
      <c r="A2432" s="10">
        <v>2431</v>
      </c>
      <c r="B2432" s="10">
        <f>_xlfn.XLOOKUP(1,(VALUE(D2432)&gt;=VALUE(block!$C$3:$C$500))*(VALUE(D2432)&lt;VALUE(block!$C$3:$C$500)+VALUE(block!$D$3:$D$500)),block!$A$3:$A$500,"无匹配",0,1)</f>
        <v>66</v>
      </c>
      <c r="C2432" s="3" t="str">
        <f>B2432 &amp; "-" &amp; COUNTIF($B$2:B2432, B2432)</f>
        <v>66-55</v>
      </c>
      <c r="D2432" s="10">
        <f t="shared" si="7"/>
        <v>14890</v>
      </c>
      <c r="E2432" s="1" t="s">
        <v>6372</v>
      </c>
      <c r="F2432" s="1" t="s">
        <v>6373</v>
      </c>
      <c r="G2432" s="1" t="s">
        <v>1830</v>
      </c>
      <c r="H2432" s="1" t="s">
        <v>1812</v>
      </c>
      <c r="I2432" s="10" t="str">
        <f>IF(H2432="T77",1,IF(H2432="T77",3,IF(H2432="T93",6,IF(H2432="T93",10,IF(H2432="T125",14,IF(H2432="T125",18,IF(H2432="T93",22,"")))))))</f>
        <v/>
      </c>
      <c r="J2432" s="1" t="s">
        <v>1808</v>
      </c>
      <c r="K2432" s="10">
        <v>2</v>
      </c>
      <c r="L2432" s="10">
        <v>1</v>
      </c>
      <c r="O2432" s="6"/>
      <c r="P2432" s="42" t="s">
        <v>5560</v>
      </c>
      <c r="Q2432" s="42" t="s">
        <v>5682</v>
      </c>
      <c r="R2432" s="42"/>
      <c r="S2432" s="1"/>
    </row>
    <row r="2433" spans="1:19" ht="18.75" hidden="1" customHeight="1" x14ac:dyDescent="0.3">
      <c r="A2433" s="10">
        <v>2432</v>
      </c>
      <c r="B2433" s="10">
        <f>_xlfn.XLOOKUP(1,(VALUE(D2433)&gt;=VALUE(block!$C$3:$C$500))*(VALUE(D2433)&lt;VALUE(block!$C$3:$C$500)+VALUE(block!$D$3:$D$500)),block!$A$3:$A$500,"无匹配",0,1)</f>
        <v>66</v>
      </c>
      <c r="C2433" s="3" t="str">
        <f>B2433 &amp; "-" &amp; COUNTIF($B$2:B2433, B2433)</f>
        <v>66-56</v>
      </c>
      <c r="D2433" s="10">
        <f t="shared" si="7"/>
        <v>14892</v>
      </c>
      <c r="E2433" s="3" t="s">
        <v>6374</v>
      </c>
      <c r="F2433" s="1" t="s">
        <v>6375</v>
      </c>
      <c r="H2433" s="3" t="s">
        <v>1838</v>
      </c>
      <c r="I2433" s="10" t="str">
        <f>IF(H2433="T78",1,IF(H2433="T78",3,IF(H2433="T94",6,IF(H2433="T94",10,IF(H2433="T126",14,IF(H2433="T126",18,IF(H2433="T94",22,"")))))))</f>
        <v/>
      </c>
      <c r="J2433" s="1" t="s">
        <v>1808</v>
      </c>
      <c r="K2433" s="10">
        <v>2</v>
      </c>
      <c r="L2433" s="10">
        <v>1</v>
      </c>
      <c r="O2433" s="6"/>
      <c r="Q2433" s="42" t="s">
        <v>5682</v>
      </c>
      <c r="R2433" s="42"/>
      <c r="S2433" s="1"/>
    </row>
    <row r="2434" spans="1:19" ht="18.75" hidden="1" customHeight="1" x14ac:dyDescent="0.3">
      <c r="A2434" s="10">
        <v>2433</v>
      </c>
      <c r="B2434" s="10">
        <f>_xlfn.XLOOKUP(1,(VALUE(D2434)&gt;=VALUE(block!$C$3:$C$500))*(VALUE(D2434)&lt;VALUE(block!$C$3:$C$500)+VALUE(block!$D$3:$D$500)),block!$A$3:$A$500,"无匹配",0,1)</f>
        <v>66</v>
      </c>
      <c r="C2434" s="3" t="str">
        <f>B2434 &amp; "-" &amp; COUNTIF($B$2:B2434, B2434)</f>
        <v>66-57</v>
      </c>
      <c r="D2434" s="10">
        <f t="shared" si="7"/>
        <v>14894</v>
      </c>
      <c r="E2434" s="3" t="s">
        <v>6374</v>
      </c>
      <c r="F2434" s="1" t="s">
        <v>6376</v>
      </c>
      <c r="H2434" s="3" t="s">
        <v>5458</v>
      </c>
      <c r="I2434" s="10" t="str">
        <f>IF(H2434="T79",1,IF(H2434="T79",3,IF(H2434="T95",6,IF(H2434="T95",10,IF(H2434="T127",14,IF(H2434="T127",18,IF(H2434="T95",22,"")))))))</f>
        <v/>
      </c>
      <c r="J2434" s="1" t="s">
        <v>1808</v>
      </c>
      <c r="K2434" s="10">
        <v>1</v>
      </c>
      <c r="L2434" s="10">
        <v>1</v>
      </c>
      <c r="O2434" s="6"/>
      <c r="Q2434" s="42" t="s">
        <v>5682</v>
      </c>
      <c r="R2434" s="42"/>
      <c r="S2434" s="1"/>
    </row>
    <row r="2435" spans="1:19" ht="18.75" hidden="1" customHeight="1" x14ac:dyDescent="0.3">
      <c r="A2435" s="10">
        <v>2434</v>
      </c>
      <c r="B2435" s="10">
        <f>_xlfn.XLOOKUP(1,(VALUE(D2435)&gt;=VALUE(block!$C$3:$C$500))*(VALUE(D2435)&lt;VALUE(block!$C$3:$C$500)+VALUE(block!$D$3:$D$500)),block!$A$3:$A$500,"无匹配",0,1)</f>
        <v>66</v>
      </c>
      <c r="C2435" s="3" t="str">
        <f>B2435 &amp; "-" &amp; COUNTIF($B$2:B2435, B2435)</f>
        <v>66-58</v>
      </c>
      <c r="D2435" s="10">
        <f t="shared" si="7"/>
        <v>14895</v>
      </c>
      <c r="E2435" s="1" t="s">
        <v>6377</v>
      </c>
      <c r="F2435" s="1" t="s">
        <v>6378</v>
      </c>
      <c r="G2435" s="1" t="s">
        <v>1832</v>
      </c>
      <c r="H2435" s="1" t="s">
        <v>1812</v>
      </c>
      <c r="I2435" s="10">
        <f>IF(H2435="uint16",1,IF(H2435="int16",3,IF(H2435="uint32",6,IF(H2435="int32",10,IF(H2435="uint64",14,IF(H2435="int64",18,IF(H2435="float32",22,"")))))))</f>
        <v>22</v>
      </c>
      <c r="J2435" s="1" t="s">
        <v>1808</v>
      </c>
      <c r="K2435" s="10">
        <v>2</v>
      </c>
      <c r="L2435" s="10">
        <v>1</v>
      </c>
      <c r="O2435" s="6"/>
      <c r="P2435" s="42" t="s">
        <v>5560</v>
      </c>
      <c r="Q2435" s="42" t="s">
        <v>5682</v>
      </c>
      <c r="R2435" s="42"/>
      <c r="S2435" s="1"/>
    </row>
    <row r="2436" spans="1:19" ht="18.75" hidden="1" customHeight="1" x14ac:dyDescent="0.3">
      <c r="A2436" s="10">
        <v>2435</v>
      </c>
      <c r="B2436" s="10">
        <f>_xlfn.XLOOKUP(1,(VALUE(D2436)&gt;=VALUE(block!$C$3:$C$500))*(VALUE(D2436)&lt;VALUE(block!$C$3:$C$500)+VALUE(block!$D$3:$D$500)),block!$A$3:$A$500,"无匹配",0,1)</f>
        <v>66</v>
      </c>
      <c r="C2436" s="3" t="str">
        <f>B2436 &amp; "-" &amp; COUNTIF($B$2:B2436, B2436)</f>
        <v>66-59</v>
      </c>
      <c r="D2436" s="10">
        <f t="shared" si="7"/>
        <v>14897</v>
      </c>
      <c r="E2436" s="3" t="s">
        <v>6379</v>
      </c>
      <c r="F2436" s="1" t="s">
        <v>6380</v>
      </c>
      <c r="H2436" s="3" t="s">
        <v>1838</v>
      </c>
      <c r="I2436" s="10" t="str">
        <f>IF(H2436="T17",1,IF(H2436="T17",3,IF(H2436="T33",6,IF(H2436="T33",10,IF(H2436="T65",14,IF(H2436="T65",18,IF(H2436="T33",22,"")))))))</f>
        <v/>
      </c>
      <c r="J2436" s="1" t="s">
        <v>1808</v>
      </c>
      <c r="K2436" s="10">
        <v>2</v>
      </c>
      <c r="L2436" s="10">
        <v>1</v>
      </c>
      <c r="O2436" s="6"/>
      <c r="Q2436" s="42" t="s">
        <v>5682</v>
      </c>
      <c r="R2436" s="42"/>
      <c r="S2436" s="1"/>
    </row>
    <row r="2437" spans="1:19" ht="18.75" hidden="1" customHeight="1" x14ac:dyDescent="0.3">
      <c r="A2437" s="10">
        <v>2436</v>
      </c>
      <c r="B2437" s="10">
        <f>_xlfn.XLOOKUP(1,(VALUE(D2437)&gt;=VALUE(block!$C$3:$C$500))*(VALUE(D2437)&lt;VALUE(block!$C$3:$C$500)+VALUE(block!$D$3:$D$500)),block!$A$3:$A$500,"无匹配",0,1)</f>
        <v>66</v>
      </c>
      <c r="C2437" s="3" t="str">
        <f>B2437 &amp; "-" &amp; COUNTIF($B$2:B2437, B2437)</f>
        <v>66-60</v>
      </c>
      <c r="D2437" s="10">
        <f t="shared" si="7"/>
        <v>14899</v>
      </c>
      <c r="E2437" s="3" t="s">
        <v>6379</v>
      </c>
      <c r="F2437" s="1" t="s">
        <v>6381</v>
      </c>
      <c r="H2437" s="3" t="s">
        <v>5458</v>
      </c>
      <c r="I2437" s="10" t="str">
        <f>IF(H2437="T18",1,IF(H2437="T18",3,IF(H2437="T34",6,IF(H2437="T34",10,IF(H2437="T66",14,IF(H2437="T66",18,IF(H2437="T34",22,"")))))))</f>
        <v/>
      </c>
      <c r="J2437" s="1" t="s">
        <v>1808</v>
      </c>
      <c r="K2437" s="10">
        <v>1</v>
      </c>
      <c r="L2437" s="10">
        <v>1</v>
      </c>
      <c r="O2437" s="6"/>
      <c r="Q2437" s="42" t="s">
        <v>5682</v>
      </c>
      <c r="R2437" s="42"/>
      <c r="S2437" s="1"/>
    </row>
    <row r="2438" spans="1:19" ht="18.75" hidden="1" customHeight="1" x14ac:dyDescent="0.3">
      <c r="A2438" s="10">
        <v>2437</v>
      </c>
      <c r="B2438" s="10">
        <f>_xlfn.XLOOKUP(1,(VALUE(D2438)&gt;=VALUE(block!$C$3:$C$500))*(VALUE(D2438)&lt;VALUE(block!$C$3:$C$500)+VALUE(block!$D$3:$D$500)),block!$A$3:$A$500,"无匹配",0,1)</f>
        <v>66</v>
      </c>
      <c r="C2438" s="3" t="str">
        <f>B2438 &amp; "-" &amp; COUNTIF($B$2:B2438, B2438)</f>
        <v>66-61</v>
      </c>
      <c r="D2438" s="10">
        <f t="shared" si="7"/>
        <v>14900</v>
      </c>
      <c r="E2438" s="1" t="s">
        <v>6382</v>
      </c>
      <c r="F2438" s="1" t="s">
        <v>6383</v>
      </c>
      <c r="G2438" s="1" t="s">
        <v>1832</v>
      </c>
      <c r="H2438" s="1" t="s">
        <v>1812</v>
      </c>
      <c r="I2438" s="10" t="str">
        <f>IF(H2438="T19",1,IF(H2438="T19",3,IF(H2438="T35",6,IF(H2438="T35",10,IF(H2438="T67",14,IF(H2438="T67",18,IF(H2438="T35",22,"")))))))</f>
        <v/>
      </c>
      <c r="J2438" s="1" t="s">
        <v>1808</v>
      </c>
      <c r="K2438" s="10">
        <v>2</v>
      </c>
      <c r="L2438" s="10">
        <v>1</v>
      </c>
      <c r="O2438" s="6"/>
      <c r="P2438" s="42" t="s">
        <v>5560</v>
      </c>
      <c r="Q2438" s="42" t="s">
        <v>5682</v>
      </c>
      <c r="R2438" s="42"/>
      <c r="S2438" s="1"/>
    </row>
    <row r="2439" spans="1:19" ht="18.75" hidden="1" customHeight="1" x14ac:dyDescent="0.3">
      <c r="A2439" s="10">
        <v>2438</v>
      </c>
      <c r="B2439" s="10">
        <f>_xlfn.XLOOKUP(1,(VALUE(D2439)&gt;=VALUE(block!$C$3:$C$500))*(VALUE(D2439)&lt;VALUE(block!$C$3:$C$500)+VALUE(block!$D$3:$D$500)),block!$A$3:$A$500,"无匹配",0,1)</f>
        <v>66</v>
      </c>
      <c r="C2439" s="3" t="str">
        <f>B2439 &amp; "-" &amp; COUNTIF($B$2:B2439, B2439)</f>
        <v>66-62</v>
      </c>
      <c r="D2439" s="10">
        <f t="shared" si="7"/>
        <v>14902</v>
      </c>
      <c r="E2439" s="3" t="s">
        <v>6384</v>
      </c>
      <c r="F2439" s="1" t="s">
        <v>6385</v>
      </c>
      <c r="H2439" s="3" t="s">
        <v>1838</v>
      </c>
      <c r="I2439" s="10" t="str">
        <f>IF(H2439="T20",1,IF(H2439="T20",3,IF(H2439="T36",6,IF(H2439="T36",10,IF(H2439="T68",14,IF(H2439="T68",18,IF(H2439="T36",22,"")))))))</f>
        <v/>
      </c>
      <c r="J2439" s="1" t="s">
        <v>1808</v>
      </c>
      <c r="K2439" s="10">
        <v>2</v>
      </c>
      <c r="L2439" s="10">
        <v>1</v>
      </c>
      <c r="O2439" s="6"/>
      <c r="Q2439" s="42" t="s">
        <v>5682</v>
      </c>
      <c r="R2439" s="42"/>
      <c r="S2439" s="1"/>
    </row>
    <row r="2440" spans="1:19" ht="18.75" hidden="1" customHeight="1" x14ac:dyDescent="0.3">
      <c r="A2440" s="10">
        <v>2439</v>
      </c>
      <c r="B2440" s="10">
        <f>_xlfn.XLOOKUP(1,(VALUE(D2440)&gt;=VALUE(block!$C$3:$C$500))*(VALUE(D2440)&lt;VALUE(block!$C$3:$C$500)+VALUE(block!$D$3:$D$500)),block!$A$3:$A$500,"无匹配",0,1)</f>
        <v>66</v>
      </c>
      <c r="C2440" s="3" t="str">
        <f>B2440 &amp; "-" &amp; COUNTIF($B$2:B2440, B2440)</f>
        <v>66-63</v>
      </c>
      <c r="D2440" s="10">
        <f t="shared" si="7"/>
        <v>14904</v>
      </c>
      <c r="E2440" s="3" t="s">
        <v>6384</v>
      </c>
      <c r="F2440" s="1" t="s">
        <v>6386</v>
      </c>
      <c r="H2440" s="3" t="s">
        <v>5458</v>
      </c>
      <c r="I2440" s="10" t="str">
        <f>IF(H2440="T21",1,IF(H2440="T21",3,IF(H2440="T37",6,IF(H2440="T37",10,IF(H2440="T69",14,IF(H2440="T69",18,IF(H2440="T37",22,"")))))))</f>
        <v/>
      </c>
      <c r="J2440" s="1" t="s">
        <v>1808</v>
      </c>
      <c r="K2440" s="10">
        <v>1</v>
      </c>
      <c r="L2440" s="10">
        <v>1</v>
      </c>
      <c r="O2440" s="6"/>
      <c r="Q2440" s="42" t="s">
        <v>5682</v>
      </c>
      <c r="R2440" s="42"/>
      <c r="S2440" s="1"/>
    </row>
    <row r="2441" spans="1:19" ht="18.75" hidden="1" customHeight="1" x14ac:dyDescent="0.3">
      <c r="A2441" s="10">
        <v>2440</v>
      </c>
      <c r="B2441" s="10">
        <f>_xlfn.XLOOKUP(1,(VALUE(D2441)&gt;=VALUE(block!$C$3:$C$500))*(VALUE(D2441)&lt;VALUE(block!$C$3:$C$500)+VALUE(block!$D$3:$D$500)),block!$A$3:$A$500,"无匹配",0,1)</f>
        <v>66</v>
      </c>
      <c r="C2441" s="3" t="str">
        <f>B2441 &amp; "-" &amp; COUNTIF($B$2:B2441, B2441)</f>
        <v>66-64</v>
      </c>
      <c r="D2441" s="10">
        <f t="shared" si="7"/>
        <v>14905</v>
      </c>
      <c r="E2441" s="1" t="s">
        <v>6387</v>
      </c>
      <c r="F2441" s="1" t="s">
        <v>6388</v>
      </c>
      <c r="G2441" s="1" t="s">
        <v>1834</v>
      </c>
      <c r="H2441" s="1" t="s">
        <v>1812</v>
      </c>
      <c r="I2441" s="10" t="str">
        <f>IF(H2441="T22",1,IF(H2441="T22",3,IF(H2441="T38",6,IF(H2441="T38",10,IF(H2441="T70",14,IF(H2441="T70",18,IF(H2441="T38",22,"")))))))</f>
        <v/>
      </c>
      <c r="J2441" s="1" t="s">
        <v>1808</v>
      </c>
      <c r="K2441" s="10">
        <v>2</v>
      </c>
      <c r="L2441" s="10">
        <v>1</v>
      </c>
      <c r="O2441" s="6"/>
      <c r="P2441" s="42" t="s">
        <v>5560</v>
      </c>
      <c r="Q2441" s="42" t="s">
        <v>5682</v>
      </c>
      <c r="R2441" s="42"/>
      <c r="S2441" s="1"/>
    </row>
    <row r="2442" spans="1:19" ht="18.75" hidden="1" customHeight="1" x14ac:dyDescent="0.3">
      <c r="A2442" s="10">
        <v>2441</v>
      </c>
      <c r="B2442" s="10">
        <f>_xlfn.XLOOKUP(1,(VALUE(D2442)&gt;=VALUE(block!$C$3:$C$500))*(VALUE(D2442)&lt;VALUE(block!$C$3:$C$500)+VALUE(block!$D$3:$D$500)),block!$A$3:$A$500,"无匹配",0,1)</f>
        <v>66</v>
      </c>
      <c r="C2442" s="3" t="str">
        <f>B2442 &amp; "-" &amp; COUNTIF($B$2:B2442, B2442)</f>
        <v>66-65</v>
      </c>
      <c r="D2442" s="10">
        <f t="shared" si="7"/>
        <v>14907</v>
      </c>
      <c r="E2442" s="3" t="s">
        <v>6389</v>
      </c>
      <c r="F2442" s="1" t="s">
        <v>6390</v>
      </c>
      <c r="H2442" s="3" t="s">
        <v>1838</v>
      </c>
      <c r="I2442" s="10" t="str">
        <f>IF(H2442="T23",1,IF(H2442="T23",3,IF(H2442="T39",6,IF(H2442="T39",10,IF(H2442="T71",14,IF(H2442="T71",18,IF(H2442="T39",22,"")))))))</f>
        <v/>
      </c>
      <c r="J2442" s="1" t="s">
        <v>1808</v>
      </c>
      <c r="K2442" s="10">
        <v>2</v>
      </c>
      <c r="L2442" s="10">
        <v>1</v>
      </c>
      <c r="O2442" s="6"/>
      <c r="Q2442" s="42" t="s">
        <v>5682</v>
      </c>
      <c r="R2442" s="42"/>
      <c r="S2442" s="1"/>
    </row>
    <row r="2443" spans="1:19" ht="18.75" hidden="1" customHeight="1" x14ac:dyDescent="0.3">
      <c r="A2443" s="10">
        <v>2442</v>
      </c>
      <c r="B2443" s="10">
        <f>_xlfn.XLOOKUP(1,(VALUE(D2443)&gt;=VALUE(block!$C$3:$C$500))*(VALUE(D2443)&lt;VALUE(block!$C$3:$C$500)+VALUE(block!$D$3:$D$500)),block!$A$3:$A$500,"无匹配",0,1)</f>
        <v>66</v>
      </c>
      <c r="C2443" s="3" t="str">
        <f>B2443 &amp; "-" &amp; COUNTIF($B$2:B2443, B2443)</f>
        <v>66-66</v>
      </c>
      <c r="D2443" s="10">
        <f t="shared" si="7"/>
        <v>14909</v>
      </c>
      <c r="E2443" s="3" t="s">
        <v>6389</v>
      </c>
      <c r="F2443" s="1" t="s">
        <v>6391</v>
      </c>
      <c r="H2443" s="3" t="s">
        <v>5458</v>
      </c>
      <c r="I2443" s="10" t="str">
        <f>IF(H2443="T24",1,IF(H2443="T24",3,IF(H2443="T40",6,IF(H2443="T40",10,IF(H2443="T72",14,IF(H2443="T72",18,IF(H2443="T40",22,"")))))))</f>
        <v/>
      </c>
      <c r="J2443" s="1" t="s">
        <v>1808</v>
      </c>
      <c r="K2443" s="10">
        <v>1</v>
      </c>
      <c r="L2443" s="10">
        <v>1</v>
      </c>
      <c r="O2443" s="6"/>
      <c r="Q2443" s="42" t="s">
        <v>5682</v>
      </c>
      <c r="R2443" s="42"/>
      <c r="S2443" s="1"/>
    </row>
    <row r="2444" spans="1:19" ht="18.75" hidden="1" customHeight="1" x14ac:dyDescent="0.3">
      <c r="A2444" s="10">
        <v>2443</v>
      </c>
      <c r="B2444" s="10">
        <f>_xlfn.XLOOKUP(1,(VALUE(D2444)&gt;=VALUE(block!$C$3:$C$500))*(VALUE(D2444)&lt;VALUE(block!$C$3:$C$500)+VALUE(block!$D$3:$D$500)),block!$A$3:$A$500,"无匹配",0,1)</f>
        <v>66</v>
      </c>
      <c r="C2444" s="3" t="str">
        <f>B2444 &amp; "-" &amp; COUNTIF($B$2:B2444, B2444)</f>
        <v>66-67</v>
      </c>
      <c r="D2444" s="10">
        <f t="shared" si="7"/>
        <v>14910</v>
      </c>
      <c r="E2444" s="1" t="s">
        <v>6392</v>
      </c>
      <c r="F2444" s="1" t="s">
        <v>6393</v>
      </c>
      <c r="G2444" s="1" t="s">
        <v>1834</v>
      </c>
      <c r="H2444" s="1" t="s">
        <v>1812</v>
      </c>
      <c r="I2444" s="10" t="str">
        <f>IF(H2444="T25",1,IF(H2444="T25",3,IF(H2444="T41",6,IF(H2444="T41",10,IF(H2444="T73",14,IF(H2444="T73",18,IF(H2444="T41",22,"")))))))</f>
        <v/>
      </c>
      <c r="J2444" s="1" t="s">
        <v>1808</v>
      </c>
      <c r="K2444" s="10">
        <v>2</v>
      </c>
      <c r="L2444" s="10">
        <v>1</v>
      </c>
      <c r="O2444" s="6"/>
      <c r="P2444" s="42" t="s">
        <v>5560</v>
      </c>
      <c r="Q2444" s="42" t="s">
        <v>5682</v>
      </c>
      <c r="R2444" s="42"/>
      <c r="S2444" s="1"/>
    </row>
    <row r="2445" spans="1:19" ht="18.75" hidden="1" customHeight="1" x14ac:dyDescent="0.3">
      <c r="A2445" s="10">
        <v>2444</v>
      </c>
      <c r="B2445" s="10">
        <f>_xlfn.XLOOKUP(1,(VALUE(D2445)&gt;=VALUE(block!$C$3:$C$500))*(VALUE(D2445)&lt;VALUE(block!$C$3:$C$500)+VALUE(block!$D$3:$D$500)),block!$A$3:$A$500,"无匹配",0,1)</f>
        <v>66</v>
      </c>
      <c r="C2445" s="3" t="str">
        <f>B2445 &amp; "-" &amp; COUNTIF($B$2:B2445, B2445)</f>
        <v>66-68</v>
      </c>
      <c r="D2445" s="10">
        <f t="shared" si="7"/>
        <v>14912</v>
      </c>
      <c r="E2445" s="3" t="s">
        <v>6394</v>
      </c>
      <c r="F2445" s="1" t="s">
        <v>6395</v>
      </c>
      <c r="H2445" s="3" t="s">
        <v>1838</v>
      </c>
      <c r="I2445" s="10" t="str">
        <f>IF(H2445="T26",1,IF(H2445="T26",3,IF(H2445="T42",6,IF(H2445="T42",10,IF(H2445="T74",14,IF(H2445="T74",18,IF(H2445="T42",22,"")))))))</f>
        <v/>
      </c>
      <c r="J2445" s="1" t="s">
        <v>1808</v>
      </c>
      <c r="K2445" s="10">
        <v>2</v>
      </c>
      <c r="L2445" s="10">
        <v>1</v>
      </c>
      <c r="O2445" s="6"/>
      <c r="Q2445" s="42" t="s">
        <v>5682</v>
      </c>
      <c r="R2445" s="42"/>
      <c r="S2445" s="1"/>
    </row>
    <row r="2446" spans="1:19" ht="18.75" hidden="1" customHeight="1" x14ac:dyDescent="0.3">
      <c r="A2446" s="10">
        <v>2445</v>
      </c>
      <c r="B2446" s="10">
        <f>_xlfn.XLOOKUP(1,(VALUE(D2446)&gt;=VALUE(block!$C$3:$C$500))*(VALUE(D2446)&lt;VALUE(block!$C$3:$C$500)+VALUE(block!$D$3:$D$500)),block!$A$3:$A$500,"无匹配",0,1)</f>
        <v>66</v>
      </c>
      <c r="C2446" s="3" t="str">
        <f>B2446 &amp; "-" &amp; COUNTIF($B$2:B2446, B2446)</f>
        <v>66-69</v>
      </c>
      <c r="D2446" s="10">
        <f t="shared" si="7"/>
        <v>14914</v>
      </c>
      <c r="E2446" s="3" t="s">
        <v>6394</v>
      </c>
      <c r="F2446" s="1" t="s">
        <v>6396</v>
      </c>
      <c r="H2446" s="3" t="s">
        <v>5458</v>
      </c>
      <c r="I2446" s="10" t="str">
        <f>IF(H2446="T27",1,IF(H2446="T27",3,IF(H2446="T43",6,IF(H2446="T43",10,IF(H2446="T75",14,IF(H2446="T75",18,IF(H2446="T43",22,"")))))))</f>
        <v/>
      </c>
      <c r="J2446" s="1" t="s">
        <v>1808</v>
      </c>
      <c r="K2446" s="10">
        <v>1</v>
      </c>
      <c r="L2446" s="10">
        <v>1</v>
      </c>
      <c r="O2446" s="6"/>
      <c r="Q2446" s="42" t="s">
        <v>5682</v>
      </c>
      <c r="R2446" s="42"/>
      <c r="S2446" s="1"/>
    </row>
    <row r="2447" spans="1:19" ht="18.75" hidden="1" customHeight="1" x14ac:dyDescent="0.3">
      <c r="A2447" s="10">
        <v>2446</v>
      </c>
      <c r="B2447" s="10">
        <f>_xlfn.XLOOKUP(1,(VALUE(D2447)&gt;=VALUE(block!$C$3:$C$500))*(VALUE(D2447)&lt;VALUE(block!$C$3:$C$500)+VALUE(block!$D$3:$D$500)),block!$A$3:$A$500,"无匹配",0,1)</f>
        <v>66</v>
      </c>
      <c r="C2447" s="3" t="str">
        <f>B2447 &amp; "-" &amp; COUNTIF($B$2:B2447, B2447)</f>
        <v>66-70</v>
      </c>
      <c r="D2447" s="10">
        <f t="shared" si="7"/>
        <v>14915</v>
      </c>
      <c r="E2447" s="1" t="s">
        <v>6397</v>
      </c>
      <c r="F2447" s="1" t="s">
        <v>6398</v>
      </c>
      <c r="G2447" s="1" t="s">
        <v>1836</v>
      </c>
      <c r="H2447" s="1" t="s">
        <v>1812</v>
      </c>
      <c r="I2447" s="10" t="str">
        <f>IF(H2447="T28",1,IF(H2447="T28",3,IF(H2447="T44",6,IF(H2447="T44",10,IF(H2447="T76",14,IF(H2447="T76",18,IF(H2447="T44",22,"")))))))</f>
        <v/>
      </c>
      <c r="J2447" s="1" t="s">
        <v>1808</v>
      </c>
      <c r="K2447" s="10">
        <v>2</v>
      </c>
      <c r="L2447" s="10">
        <v>1</v>
      </c>
      <c r="O2447" s="6"/>
      <c r="P2447" s="42" t="s">
        <v>5560</v>
      </c>
      <c r="Q2447" s="42" t="s">
        <v>5682</v>
      </c>
      <c r="R2447" s="42"/>
      <c r="S2447" s="1"/>
    </row>
    <row r="2448" spans="1:19" ht="18.75" hidden="1" customHeight="1" x14ac:dyDescent="0.3">
      <c r="A2448" s="10">
        <v>2447</v>
      </c>
      <c r="B2448" s="10">
        <f>_xlfn.XLOOKUP(1,(VALUE(D2448)&gt;=VALUE(block!$C$3:$C$500))*(VALUE(D2448)&lt;VALUE(block!$C$3:$C$500)+VALUE(block!$D$3:$D$500)),block!$A$3:$A$500,"无匹配",0,1)</f>
        <v>66</v>
      </c>
      <c r="C2448" s="3" t="str">
        <f>B2448 &amp; "-" &amp; COUNTIF($B$2:B2448, B2448)</f>
        <v>66-71</v>
      </c>
      <c r="D2448" s="10">
        <f t="shared" si="7"/>
        <v>14917</v>
      </c>
      <c r="E2448" s="3" t="s">
        <v>6399</v>
      </c>
      <c r="F2448" s="1" t="s">
        <v>6400</v>
      </c>
      <c r="H2448" s="3" t="s">
        <v>1838</v>
      </c>
      <c r="I2448" s="10" t="str">
        <f>IF(H2448="T29",1,IF(H2448="T29",3,IF(H2448="T45",6,IF(H2448="T45",10,IF(H2448="T77",14,IF(H2448="T77",18,IF(H2448="T45",22,"")))))))</f>
        <v/>
      </c>
      <c r="J2448" s="1" t="s">
        <v>1808</v>
      </c>
      <c r="K2448" s="10">
        <v>2</v>
      </c>
      <c r="L2448" s="10">
        <v>1</v>
      </c>
      <c r="O2448" s="6"/>
      <c r="Q2448" s="42" t="s">
        <v>5682</v>
      </c>
      <c r="R2448" s="42"/>
      <c r="S2448" s="1"/>
    </row>
    <row r="2449" spans="1:19" ht="18.75" hidden="1" customHeight="1" x14ac:dyDescent="0.3">
      <c r="A2449" s="10">
        <v>2448</v>
      </c>
      <c r="B2449" s="10">
        <f>_xlfn.XLOOKUP(1,(VALUE(D2449)&gt;=VALUE(block!$C$3:$C$500))*(VALUE(D2449)&lt;VALUE(block!$C$3:$C$500)+VALUE(block!$D$3:$D$500)),block!$A$3:$A$500,"无匹配",0,1)</f>
        <v>66</v>
      </c>
      <c r="C2449" s="3" t="str">
        <f>B2449 &amp; "-" &amp; COUNTIF($B$2:B2449, B2449)</f>
        <v>66-72</v>
      </c>
      <c r="D2449" s="10">
        <f t="shared" si="7"/>
        <v>14919</v>
      </c>
      <c r="E2449" s="3" t="s">
        <v>6399</v>
      </c>
      <c r="F2449" s="1" t="s">
        <v>6401</v>
      </c>
      <c r="H2449" s="3" t="s">
        <v>5458</v>
      </c>
      <c r="I2449" s="10" t="str">
        <f>IF(H2449="T30",1,IF(H2449="T30",3,IF(H2449="T46",6,IF(H2449="T46",10,IF(H2449="T78",14,IF(H2449="T78",18,IF(H2449="T46",22,"")))))))</f>
        <v/>
      </c>
      <c r="J2449" s="1" t="s">
        <v>1808</v>
      </c>
      <c r="K2449" s="10">
        <v>1</v>
      </c>
      <c r="L2449" s="10">
        <v>1</v>
      </c>
      <c r="O2449" s="6"/>
      <c r="Q2449" s="42" t="s">
        <v>5682</v>
      </c>
      <c r="R2449" s="42"/>
      <c r="S2449" s="1"/>
    </row>
    <row r="2450" spans="1:19" ht="18.75" hidden="1" customHeight="1" x14ac:dyDescent="0.3">
      <c r="A2450" s="10">
        <v>2449</v>
      </c>
      <c r="B2450" s="10">
        <f>_xlfn.XLOOKUP(1,(VALUE(D2450)&gt;=VALUE(block!$C$3:$C$500))*(VALUE(D2450)&lt;VALUE(block!$C$3:$C$500)+VALUE(block!$D$3:$D$500)),block!$A$3:$A$500,"无匹配",0,1)</f>
        <v>67</v>
      </c>
      <c r="C2450" s="3" t="str">
        <f>B2450 &amp; "-" &amp; COUNTIF($B$2:B2450, B2450)</f>
        <v>67-1</v>
      </c>
      <c r="D2450" s="10">
        <f t="shared" si="7"/>
        <v>14920</v>
      </c>
      <c r="E2450" s="1" t="s">
        <v>6402</v>
      </c>
      <c r="F2450" s="1" t="s">
        <v>6403</v>
      </c>
      <c r="G2450" s="1" t="s">
        <v>1830</v>
      </c>
      <c r="H2450" s="1" t="s">
        <v>1812</v>
      </c>
      <c r="I2450" s="10" t="str">
        <f>IF(H2450="T31",1,IF(H2450="T31",3,IF(H2450="T47",6,IF(H2450="T47",10,IF(H2450="T79",14,IF(H2450="T79",18,IF(H2450="T47",22,"")))))))</f>
        <v/>
      </c>
      <c r="J2450" s="1" t="s">
        <v>1808</v>
      </c>
      <c r="K2450" s="10">
        <v>2</v>
      </c>
      <c r="L2450" s="10">
        <v>1</v>
      </c>
      <c r="O2450" s="6"/>
      <c r="P2450" s="42" t="s">
        <v>5560</v>
      </c>
      <c r="Q2450" s="42" t="s">
        <v>5682</v>
      </c>
      <c r="R2450" s="42"/>
      <c r="S2450" s="1"/>
    </row>
    <row r="2451" spans="1:19" ht="18.75" hidden="1" customHeight="1" x14ac:dyDescent="0.3">
      <c r="A2451" s="10">
        <v>2450</v>
      </c>
      <c r="B2451" s="10">
        <f>_xlfn.XLOOKUP(1,(VALUE(D2451)&gt;=VALUE(block!$C$3:$C$500))*(VALUE(D2451)&lt;VALUE(block!$C$3:$C$500)+VALUE(block!$D$3:$D$500)),block!$A$3:$A$500,"无匹配",0,1)</f>
        <v>67</v>
      </c>
      <c r="C2451" s="3" t="str">
        <f>B2451 &amp; "-" &amp; COUNTIF($B$2:B2451, B2451)</f>
        <v>67-2</v>
      </c>
      <c r="D2451" s="10">
        <f t="shared" si="7"/>
        <v>14922</v>
      </c>
      <c r="E2451" s="3" t="s">
        <v>6404</v>
      </c>
      <c r="F2451" s="1" t="s">
        <v>6405</v>
      </c>
      <c r="H2451" s="3" t="s">
        <v>1838</v>
      </c>
      <c r="I2451" s="10" t="str">
        <f>IF(H2451="T32",1,IF(H2451="T32",3,IF(H2451="T48",6,IF(H2451="T48",10,IF(H2451="T80",14,IF(H2451="T80",18,IF(H2451="T48",22,"")))))))</f>
        <v/>
      </c>
      <c r="J2451" s="1" t="s">
        <v>1808</v>
      </c>
      <c r="K2451" s="10">
        <v>2</v>
      </c>
      <c r="L2451" s="10">
        <v>1</v>
      </c>
      <c r="O2451" s="6"/>
      <c r="Q2451" s="42" t="s">
        <v>5682</v>
      </c>
      <c r="R2451" s="42"/>
      <c r="S2451" s="1"/>
    </row>
    <row r="2452" spans="1:19" ht="18.75" hidden="1" customHeight="1" x14ac:dyDescent="0.3">
      <c r="A2452" s="10">
        <v>2451</v>
      </c>
      <c r="B2452" s="10">
        <f>_xlfn.XLOOKUP(1,(VALUE(D2452)&gt;=VALUE(block!$C$3:$C$500))*(VALUE(D2452)&lt;VALUE(block!$C$3:$C$500)+VALUE(block!$D$3:$D$500)),block!$A$3:$A$500,"无匹配",0,1)</f>
        <v>67</v>
      </c>
      <c r="C2452" s="3" t="str">
        <f>B2452 &amp; "-" &amp; COUNTIF($B$2:B2452, B2452)</f>
        <v>67-3</v>
      </c>
      <c r="D2452" s="10">
        <f t="shared" si="7"/>
        <v>14924</v>
      </c>
      <c r="E2452" s="3" t="s">
        <v>6404</v>
      </c>
      <c r="F2452" s="1" t="s">
        <v>6406</v>
      </c>
      <c r="H2452" s="3" t="s">
        <v>5458</v>
      </c>
      <c r="I2452" s="10" t="str">
        <f>IF(H2452="T33",1,IF(H2452="T33",3,IF(H2452="T49",6,IF(H2452="T49",10,IF(H2452="T81",14,IF(H2452="T81",18,IF(H2452="T49",22,"")))))))</f>
        <v/>
      </c>
      <c r="J2452" s="1" t="s">
        <v>1808</v>
      </c>
      <c r="K2452" s="10">
        <v>1</v>
      </c>
      <c r="L2452" s="10">
        <v>1</v>
      </c>
      <c r="O2452" s="6"/>
      <c r="Q2452" s="42" t="s">
        <v>5682</v>
      </c>
      <c r="R2452" s="42"/>
      <c r="S2452" s="1"/>
    </row>
    <row r="2453" spans="1:19" ht="18.75" hidden="1" customHeight="1" x14ac:dyDescent="0.3">
      <c r="A2453" s="10">
        <v>2452</v>
      </c>
      <c r="B2453" s="10">
        <f>_xlfn.XLOOKUP(1,(VALUE(D2453)&gt;=VALUE(block!$C$3:$C$500))*(VALUE(D2453)&lt;VALUE(block!$C$3:$C$500)+VALUE(block!$D$3:$D$500)),block!$A$3:$A$500,"无匹配",0,1)</f>
        <v>67</v>
      </c>
      <c r="C2453" s="3" t="str">
        <f>B2453 &amp; "-" &amp; COUNTIF($B$2:B2453, B2453)</f>
        <v>67-4</v>
      </c>
      <c r="D2453" s="10">
        <f t="shared" si="7"/>
        <v>14925</v>
      </c>
      <c r="E2453" s="1" t="s">
        <v>6407</v>
      </c>
      <c r="F2453" s="1" t="s">
        <v>6408</v>
      </c>
      <c r="G2453" s="1" t="s">
        <v>1832</v>
      </c>
      <c r="H2453" s="1" t="s">
        <v>1812</v>
      </c>
      <c r="I2453" s="10" t="str">
        <f>IF(H2453="T34",1,IF(H2453="T34",3,IF(H2453="T50",6,IF(H2453="T50",10,IF(H2453="T82",14,IF(H2453="T82",18,IF(H2453="T50",22,"")))))))</f>
        <v/>
      </c>
      <c r="J2453" s="1" t="s">
        <v>1808</v>
      </c>
      <c r="K2453" s="10">
        <v>2</v>
      </c>
      <c r="L2453" s="10">
        <v>1</v>
      </c>
      <c r="O2453" s="6"/>
      <c r="P2453" s="42" t="s">
        <v>5560</v>
      </c>
      <c r="Q2453" s="42" t="s">
        <v>5682</v>
      </c>
      <c r="R2453" s="42"/>
      <c r="S2453" s="1"/>
    </row>
    <row r="2454" spans="1:19" ht="18.75" hidden="1" customHeight="1" x14ac:dyDescent="0.3">
      <c r="A2454" s="10">
        <v>2453</v>
      </c>
      <c r="B2454" s="10">
        <f>_xlfn.XLOOKUP(1,(VALUE(D2454)&gt;=VALUE(block!$C$3:$C$500))*(VALUE(D2454)&lt;VALUE(block!$C$3:$C$500)+VALUE(block!$D$3:$D$500)),block!$A$3:$A$500,"无匹配",0,1)</f>
        <v>67</v>
      </c>
      <c r="C2454" s="3" t="str">
        <f>B2454 &amp; "-" &amp; COUNTIF($B$2:B2454, B2454)</f>
        <v>67-5</v>
      </c>
      <c r="D2454" s="10">
        <f t="shared" si="7"/>
        <v>14927</v>
      </c>
      <c r="E2454" s="3" t="s">
        <v>6409</v>
      </c>
      <c r="F2454" s="1" t="s">
        <v>6410</v>
      </c>
      <c r="H2454" s="3" t="s">
        <v>1838</v>
      </c>
      <c r="I2454" s="10" t="str">
        <f>IF(H2454="T35",1,IF(H2454="T35",3,IF(H2454="T51",6,IF(H2454="T51",10,IF(H2454="T83",14,IF(H2454="T83",18,IF(H2454="T51",22,"")))))))</f>
        <v/>
      </c>
      <c r="J2454" s="1" t="s">
        <v>1808</v>
      </c>
      <c r="K2454" s="10">
        <v>2</v>
      </c>
      <c r="L2454" s="10">
        <v>1</v>
      </c>
      <c r="O2454" s="6"/>
      <c r="Q2454" s="42" t="s">
        <v>5682</v>
      </c>
      <c r="R2454" s="42"/>
      <c r="S2454" s="1"/>
    </row>
    <row r="2455" spans="1:19" ht="18.75" hidden="1" customHeight="1" x14ac:dyDescent="0.3">
      <c r="A2455" s="10">
        <v>2454</v>
      </c>
      <c r="B2455" s="10">
        <f>_xlfn.XLOOKUP(1,(VALUE(D2455)&gt;=VALUE(block!$C$3:$C$500))*(VALUE(D2455)&lt;VALUE(block!$C$3:$C$500)+VALUE(block!$D$3:$D$500)),block!$A$3:$A$500,"无匹配",0,1)</f>
        <v>67</v>
      </c>
      <c r="C2455" s="3" t="str">
        <f>B2455 &amp; "-" &amp; COUNTIF($B$2:B2455, B2455)</f>
        <v>67-6</v>
      </c>
      <c r="D2455" s="10">
        <f t="shared" si="7"/>
        <v>14929</v>
      </c>
      <c r="E2455" s="3" t="s">
        <v>6409</v>
      </c>
      <c r="F2455" s="1" t="s">
        <v>6411</v>
      </c>
      <c r="H2455" s="3" t="s">
        <v>5458</v>
      </c>
      <c r="I2455" s="10" t="str">
        <f>IF(H2455="T36",1,IF(H2455="T36",3,IF(H2455="T52",6,IF(H2455="T52",10,IF(H2455="T84",14,IF(H2455="T84",18,IF(H2455="T52",22,"")))))))</f>
        <v/>
      </c>
      <c r="J2455" s="1" t="s">
        <v>1808</v>
      </c>
      <c r="K2455" s="10">
        <v>1</v>
      </c>
      <c r="L2455" s="10">
        <v>1</v>
      </c>
      <c r="O2455" s="6"/>
      <c r="Q2455" s="42" t="s">
        <v>5682</v>
      </c>
      <c r="R2455" s="42"/>
      <c r="S2455" s="1"/>
    </row>
    <row r="2456" spans="1:19" ht="18.75" hidden="1" customHeight="1" x14ac:dyDescent="0.3">
      <c r="A2456" s="10">
        <v>2455</v>
      </c>
      <c r="B2456" s="10">
        <f>_xlfn.XLOOKUP(1,(VALUE(D2456)&gt;=VALUE(block!$C$3:$C$500))*(VALUE(D2456)&lt;VALUE(block!$C$3:$C$500)+VALUE(block!$D$3:$D$500)),block!$A$3:$A$500,"无匹配",0,1)</f>
        <v>67</v>
      </c>
      <c r="C2456" s="3" t="str">
        <f>B2456 &amp; "-" &amp; COUNTIF($B$2:B2456, B2456)</f>
        <v>67-7</v>
      </c>
      <c r="D2456" s="10">
        <f t="shared" si="7"/>
        <v>14930</v>
      </c>
      <c r="E2456" s="1" t="s">
        <v>6412</v>
      </c>
      <c r="F2456" s="1" t="s">
        <v>6413</v>
      </c>
      <c r="G2456" s="1" t="s">
        <v>1832</v>
      </c>
      <c r="H2456" s="1" t="s">
        <v>1812</v>
      </c>
      <c r="I2456" s="10" t="str">
        <f>IF(H2456="T37",1,IF(H2456="T37",3,IF(H2456="T53",6,IF(H2456="T53",10,IF(H2456="T85",14,IF(H2456="T85",18,IF(H2456="T53",22,"")))))))</f>
        <v/>
      </c>
      <c r="J2456" s="1" t="s">
        <v>1808</v>
      </c>
      <c r="K2456" s="10">
        <v>2</v>
      </c>
      <c r="L2456" s="10">
        <v>1</v>
      </c>
      <c r="O2456" s="6"/>
      <c r="P2456" s="42" t="s">
        <v>5560</v>
      </c>
      <c r="Q2456" s="42" t="s">
        <v>5682</v>
      </c>
      <c r="R2456" s="42"/>
      <c r="S2456" s="1"/>
    </row>
    <row r="2457" spans="1:19" ht="18.75" hidden="1" customHeight="1" x14ac:dyDescent="0.3">
      <c r="A2457" s="10">
        <v>2456</v>
      </c>
      <c r="B2457" s="10">
        <f>_xlfn.XLOOKUP(1,(VALUE(D2457)&gt;=VALUE(block!$C$3:$C$500))*(VALUE(D2457)&lt;VALUE(block!$C$3:$C$500)+VALUE(block!$D$3:$D$500)),block!$A$3:$A$500,"无匹配",0,1)</f>
        <v>67</v>
      </c>
      <c r="C2457" s="3" t="str">
        <f>B2457 &amp; "-" &amp; COUNTIF($B$2:B2457, B2457)</f>
        <v>67-8</v>
      </c>
      <c r="D2457" s="10">
        <f t="shared" si="7"/>
        <v>14932</v>
      </c>
      <c r="E2457" s="3" t="s">
        <v>6414</v>
      </c>
      <c r="F2457" s="1" t="s">
        <v>6415</v>
      </c>
      <c r="H2457" s="3" t="s">
        <v>1838</v>
      </c>
      <c r="I2457" s="10" t="str">
        <f>IF(H2457="T38",1,IF(H2457="T38",3,IF(H2457="T54",6,IF(H2457="T54",10,IF(H2457="T86",14,IF(H2457="T86",18,IF(H2457="T54",22,"")))))))</f>
        <v/>
      </c>
      <c r="J2457" s="1" t="s">
        <v>1808</v>
      </c>
      <c r="K2457" s="10">
        <v>2</v>
      </c>
      <c r="L2457" s="10">
        <v>1</v>
      </c>
      <c r="O2457" s="6"/>
      <c r="Q2457" s="42" t="s">
        <v>5682</v>
      </c>
      <c r="R2457" s="42"/>
      <c r="S2457" s="1"/>
    </row>
    <row r="2458" spans="1:19" ht="18.75" hidden="1" customHeight="1" x14ac:dyDescent="0.3">
      <c r="A2458" s="10">
        <v>2457</v>
      </c>
      <c r="B2458" s="10">
        <f>_xlfn.XLOOKUP(1,(VALUE(D2458)&gt;=VALUE(block!$C$3:$C$500))*(VALUE(D2458)&lt;VALUE(block!$C$3:$C$500)+VALUE(block!$D$3:$D$500)),block!$A$3:$A$500,"无匹配",0,1)</f>
        <v>67</v>
      </c>
      <c r="C2458" s="3" t="str">
        <f>B2458 &amp; "-" &amp; COUNTIF($B$2:B2458, B2458)</f>
        <v>67-9</v>
      </c>
      <c r="D2458" s="10">
        <f t="shared" si="7"/>
        <v>14934</v>
      </c>
      <c r="E2458" s="3" t="s">
        <v>6414</v>
      </c>
      <c r="F2458" s="1" t="s">
        <v>6416</v>
      </c>
      <c r="H2458" s="3" t="s">
        <v>5458</v>
      </c>
      <c r="I2458" s="10" t="str">
        <f>IF(H2458="T39",1,IF(H2458="T39",3,IF(H2458="T55",6,IF(H2458="T55",10,IF(H2458="T87",14,IF(H2458="T87",18,IF(H2458="T55",22,"")))))))</f>
        <v/>
      </c>
      <c r="J2458" s="1" t="s">
        <v>1808</v>
      </c>
      <c r="K2458" s="10">
        <v>1</v>
      </c>
      <c r="L2458" s="10">
        <v>1</v>
      </c>
      <c r="O2458" s="6"/>
      <c r="Q2458" s="42" t="s">
        <v>5682</v>
      </c>
      <c r="R2458" s="42"/>
      <c r="S2458" s="1"/>
    </row>
    <row r="2459" spans="1:19" ht="18.75" hidden="1" customHeight="1" x14ac:dyDescent="0.3">
      <c r="A2459" s="10">
        <v>2458</v>
      </c>
      <c r="B2459" s="10">
        <f>_xlfn.XLOOKUP(1,(VALUE(D2459)&gt;=VALUE(block!$C$3:$C$500))*(VALUE(D2459)&lt;VALUE(block!$C$3:$C$500)+VALUE(block!$D$3:$D$500)),block!$A$3:$A$500,"无匹配",0,1)</f>
        <v>67</v>
      </c>
      <c r="C2459" s="3" t="str">
        <f>B2459 &amp; "-" &amp; COUNTIF($B$2:B2459, B2459)</f>
        <v>67-10</v>
      </c>
      <c r="D2459" s="10">
        <f t="shared" ref="D2459:D2522" si="8">D2458+K2458</f>
        <v>14935</v>
      </c>
      <c r="E2459" s="1" t="s">
        <v>6417</v>
      </c>
      <c r="F2459" s="1" t="s">
        <v>6418</v>
      </c>
      <c r="G2459" s="1" t="s">
        <v>1834</v>
      </c>
      <c r="H2459" s="1" t="s">
        <v>1812</v>
      </c>
      <c r="I2459" s="10" t="str">
        <f>IF(H2459="T40",1,IF(H2459="T40",3,IF(H2459="T56",6,IF(H2459="T56",10,IF(H2459="T88",14,IF(H2459="T88",18,IF(H2459="T56",22,"")))))))</f>
        <v/>
      </c>
      <c r="J2459" s="1" t="s">
        <v>1808</v>
      </c>
      <c r="K2459" s="10">
        <v>2</v>
      </c>
      <c r="L2459" s="10">
        <v>1</v>
      </c>
      <c r="O2459" s="6"/>
      <c r="P2459" s="42" t="s">
        <v>5560</v>
      </c>
      <c r="Q2459" s="42" t="s">
        <v>5682</v>
      </c>
      <c r="R2459" s="42"/>
      <c r="S2459" s="1"/>
    </row>
    <row r="2460" spans="1:19" ht="18.75" hidden="1" customHeight="1" x14ac:dyDescent="0.3">
      <c r="A2460" s="10">
        <v>2459</v>
      </c>
      <c r="B2460" s="10">
        <f>_xlfn.XLOOKUP(1,(VALUE(D2460)&gt;=VALUE(block!$C$3:$C$500))*(VALUE(D2460)&lt;VALUE(block!$C$3:$C$500)+VALUE(block!$D$3:$D$500)),block!$A$3:$A$500,"无匹配",0,1)</f>
        <v>67</v>
      </c>
      <c r="C2460" s="3" t="str">
        <f>B2460 &amp; "-" &amp; COUNTIF($B$2:B2460, B2460)</f>
        <v>67-11</v>
      </c>
      <c r="D2460" s="10">
        <f t="shared" si="8"/>
        <v>14937</v>
      </c>
      <c r="E2460" s="3" t="s">
        <v>6419</v>
      </c>
      <c r="F2460" s="1" t="s">
        <v>6420</v>
      </c>
      <c r="H2460" s="3" t="s">
        <v>1838</v>
      </c>
      <c r="I2460" s="10" t="str">
        <f>IF(H2460="T41",1,IF(H2460="T41",3,IF(H2460="T57",6,IF(H2460="T57",10,IF(H2460="T89",14,IF(H2460="T89",18,IF(H2460="T57",22,"")))))))</f>
        <v/>
      </c>
      <c r="J2460" s="1" t="s">
        <v>1808</v>
      </c>
      <c r="K2460" s="10">
        <v>2</v>
      </c>
      <c r="L2460" s="10">
        <v>1</v>
      </c>
      <c r="O2460" s="6"/>
      <c r="Q2460" s="42" t="s">
        <v>5682</v>
      </c>
      <c r="R2460" s="42"/>
      <c r="S2460" s="1"/>
    </row>
    <row r="2461" spans="1:19" ht="18.75" hidden="1" customHeight="1" x14ac:dyDescent="0.3">
      <c r="A2461" s="10">
        <v>2460</v>
      </c>
      <c r="B2461" s="10">
        <f>_xlfn.XLOOKUP(1,(VALUE(D2461)&gt;=VALUE(block!$C$3:$C$500))*(VALUE(D2461)&lt;VALUE(block!$C$3:$C$500)+VALUE(block!$D$3:$D$500)),block!$A$3:$A$500,"无匹配",0,1)</f>
        <v>67</v>
      </c>
      <c r="C2461" s="3" t="str">
        <f>B2461 &amp; "-" &amp; COUNTIF($B$2:B2461, B2461)</f>
        <v>67-12</v>
      </c>
      <c r="D2461" s="10">
        <f t="shared" si="8"/>
        <v>14939</v>
      </c>
      <c r="E2461" s="3" t="s">
        <v>6419</v>
      </c>
      <c r="F2461" s="1" t="s">
        <v>6421</v>
      </c>
      <c r="H2461" s="3" t="s">
        <v>5458</v>
      </c>
      <c r="I2461" s="10" t="str">
        <f>IF(H2461="T42",1,IF(H2461="T42",3,IF(H2461="T58",6,IF(H2461="T58",10,IF(H2461="T90",14,IF(H2461="T90",18,IF(H2461="T58",22,"")))))))</f>
        <v/>
      </c>
      <c r="J2461" s="1" t="s">
        <v>1808</v>
      </c>
      <c r="K2461" s="10">
        <v>1</v>
      </c>
      <c r="L2461" s="10">
        <v>1</v>
      </c>
      <c r="O2461" s="6"/>
      <c r="Q2461" s="42" t="s">
        <v>5682</v>
      </c>
      <c r="R2461" s="42"/>
      <c r="S2461" s="1"/>
    </row>
    <row r="2462" spans="1:19" ht="18.75" hidden="1" customHeight="1" x14ac:dyDescent="0.3">
      <c r="A2462" s="10">
        <v>2461</v>
      </c>
      <c r="B2462" s="10">
        <f>_xlfn.XLOOKUP(1,(VALUE(D2462)&gt;=VALUE(block!$C$3:$C$500))*(VALUE(D2462)&lt;VALUE(block!$C$3:$C$500)+VALUE(block!$D$3:$D$500)),block!$A$3:$A$500,"无匹配",0,1)</f>
        <v>67</v>
      </c>
      <c r="C2462" s="3" t="str">
        <f>B2462 &amp; "-" &amp; COUNTIF($B$2:B2462, B2462)</f>
        <v>67-13</v>
      </c>
      <c r="D2462" s="10">
        <f t="shared" si="8"/>
        <v>14940</v>
      </c>
      <c r="E2462" s="1" t="s">
        <v>6422</v>
      </c>
      <c r="F2462" s="1" t="s">
        <v>6423</v>
      </c>
      <c r="G2462" s="1" t="s">
        <v>1834</v>
      </c>
      <c r="H2462" s="1" t="s">
        <v>1812</v>
      </c>
      <c r="I2462" s="10" t="str">
        <f>IF(H2462="T43",1,IF(H2462="T43",3,IF(H2462="T59",6,IF(H2462="T59",10,IF(H2462="T91",14,IF(H2462="T91",18,IF(H2462="T59",22,"")))))))</f>
        <v/>
      </c>
      <c r="J2462" s="1" t="s">
        <v>1808</v>
      </c>
      <c r="K2462" s="10">
        <v>2</v>
      </c>
      <c r="L2462" s="10">
        <v>1</v>
      </c>
      <c r="O2462" s="6"/>
      <c r="P2462" s="42" t="s">
        <v>5560</v>
      </c>
      <c r="Q2462" s="42" t="s">
        <v>5682</v>
      </c>
      <c r="R2462" s="42"/>
      <c r="S2462" s="1"/>
    </row>
    <row r="2463" spans="1:19" ht="18.75" hidden="1" customHeight="1" x14ac:dyDescent="0.3">
      <c r="A2463" s="10">
        <v>2462</v>
      </c>
      <c r="B2463" s="10">
        <f>_xlfn.XLOOKUP(1,(VALUE(D2463)&gt;=VALUE(block!$C$3:$C$500))*(VALUE(D2463)&lt;VALUE(block!$C$3:$C$500)+VALUE(block!$D$3:$D$500)),block!$A$3:$A$500,"无匹配",0,1)</f>
        <v>67</v>
      </c>
      <c r="C2463" s="3" t="str">
        <f>B2463 &amp; "-" &amp; COUNTIF($B$2:B2463, B2463)</f>
        <v>67-14</v>
      </c>
      <c r="D2463" s="10">
        <f t="shared" si="8"/>
        <v>14942</v>
      </c>
      <c r="E2463" s="3" t="s">
        <v>6424</v>
      </c>
      <c r="F2463" s="1" t="s">
        <v>6425</v>
      </c>
      <c r="H2463" s="3" t="s">
        <v>1838</v>
      </c>
      <c r="I2463" s="10" t="str">
        <f>IF(H2463="T44",1,IF(H2463="T44",3,IF(H2463="T60",6,IF(H2463="T60",10,IF(H2463="T92",14,IF(H2463="T92",18,IF(H2463="T60",22,"")))))))</f>
        <v/>
      </c>
      <c r="J2463" s="1" t="s">
        <v>1808</v>
      </c>
      <c r="K2463" s="10">
        <v>2</v>
      </c>
      <c r="L2463" s="10">
        <v>1</v>
      </c>
      <c r="O2463" s="6"/>
      <c r="Q2463" s="42" t="s">
        <v>5682</v>
      </c>
      <c r="R2463" s="42"/>
      <c r="S2463" s="1"/>
    </row>
    <row r="2464" spans="1:19" ht="18.75" hidden="1" customHeight="1" x14ac:dyDescent="0.3">
      <c r="A2464" s="10">
        <v>2463</v>
      </c>
      <c r="B2464" s="10">
        <f>_xlfn.XLOOKUP(1,(VALUE(D2464)&gt;=VALUE(block!$C$3:$C$500))*(VALUE(D2464)&lt;VALUE(block!$C$3:$C$500)+VALUE(block!$D$3:$D$500)),block!$A$3:$A$500,"无匹配",0,1)</f>
        <v>67</v>
      </c>
      <c r="C2464" s="3" t="str">
        <f>B2464 &amp; "-" &amp; COUNTIF($B$2:B2464, B2464)</f>
        <v>67-15</v>
      </c>
      <c r="D2464" s="10">
        <f t="shared" si="8"/>
        <v>14944</v>
      </c>
      <c r="E2464" s="3" t="s">
        <v>6424</v>
      </c>
      <c r="F2464" s="1" t="s">
        <v>6426</v>
      </c>
      <c r="H2464" s="3" t="s">
        <v>5458</v>
      </c>
      <c r="I2464" s="10" t="str">
        <f>IF(H2464="T45",1,IF(H2464="T45",3,IF(H2464="T61",6,IF(H2464="T61",10,IF(H2464="T93",14,IF(H2464="T93",18,IF(H2464="T61",22,"")))))))</f>
        <v/>
      </c>
      <c r="J2464" s="1" t="s">
        <v>1808</v>
      </c>
      <c r="K2464" s="10">
        <v>1</v>
      </c>
      <c r="L2464" s="10">
        <v>1</v>
      </c>
      <c r="O2464" s="6"/>
      <c r="Q2464" s="42" t="s">
        <v>5682</v>
      </c>
      <c r="R2464" s="42"/>
      <c r="S2464" s="1"/>
    </row>
    <row r="2465" spans="1:19" ht="18.75" hidden="1" customHeight="1" x14ac:dyDescent="0.3">
      <c r="A2465" s="10">
        <v>2464</v>
      </c>
      <c r="B2465" s="10">
        <f>_xlfn.XLOOKUP(1,(VALUE(D2465)&gt;=VALUE(block!$C$3:$C$500))*(VALUE(D2465)&lt;VALUE(block!$C$3:$C$500)+VALUE(block!$D$3:$D$500)),block!$A$3:$A$500,"无匹配",0,1)</f>
        <v>67</v>
      </c>
      <c r="C2465" s="3" t="str">
        <f>B2465 &amp; "-" &amp; COUNTIF($B$2:B2465, B2465)</f>
        <v>67-16</v>
      </c>
      <c r="D2465" s="10">
        <f t="shared" si="8"/>
        <v>14945</v>
      </c>
      <c r="E2465" s="1" t="s">
        <v>6427</v>
      </c>
      <c r="F2465" s="1" t="s">
        <v>6428</v>
      </c>
      <c r="G2465" s="1" t="s">
        <v>1836</v>
      </c>
      <c r="H2465" s="1" t="s">
        <v>1812</v>
      </c>
      <c r="I2465" s="10" t="str">
        <f>IF(H2465="T46",1,IF(H2465="T46",3,IF(H2465="T62",6,IF(H2465="T62",10,IF(H2465="T94",14,IF(H2465="T94",18,IF(H2465="T62",22,"")))))))</f>
        <v/>
      </c>
      <c r="J2465" s="1" t="s">
        <v>1808</v>
      </c>
      <c r="K2465" s="10">
        <v>2</v>
      </c>
      <c r="L2465" s="10">
        <v>1</v>
      </c>
      <c r="O2465" s="6"/>
      <c r="P2465" s="42" t="s">
        <v>5560</v>
      </c>
      <c r="Q2465" s="42" t="s">
        <v>5682</v>
      </c>
      <c r="R2465" s="42"/>
      <c r="S2465" s="1"/>
    </row>
    <row r="2466" spans="1:19" ht="18.75" hidden="1" customHeight="1" x14ac:dyDescent="0.3">
      <c r="A2466" s="10">
        <v>2465</v>
      </c>
      <c r="B2466" s="10">
        <f>_xlfn.XLOOKUP(1,(VALUE(D2466)&gt;=VALUE(block!$C$3:$C$500))*(VALUE(D2466)&lt;VALUE(block!$C$3:$C$500)+VALUE(block!$D$3:$D$500)),block!$A$3:$A$500,"无匹配",0,1)</f>
        <v>67</v>
      </c>
      <c r="C2466" s="3" t="str">
        <f>B2466 &amp; "-" &amp; COUNTIF($B$2:B2466, B2466)</f>
        <v>67-17</v>
      </c>
      <c r="D2466" s="10">
        <f t="shared" si="8"/>
        <v>14947</v>
      </c>
      <c r="E2466" s="3" t="s">
        <v>6429</v>
      </c>
      <c r="F2466" s="1" t="s">
        <v>6430</v>
      </c>
      <c r="H2466" s="3" t="s">
        <v>1838</v>
      </c>
      <c r="I2466" s="10" t="str">
        <f>IF(H2466="T47",1,IF(H2466="T47",3,IF(H2466="T63",6,IF(H2466="T63",10,IF(H2466="T95",14,IF(H2466="T95",18,IF(H2466="T63",22,"")))))))</f>
        <v/>
      </c>
      <c r="J2466" s="1" t="s">
        <v>1808</v>
      </c>
      <c r="K2466" s="10">
        <v>2</v>
      </c>
      <c r="L2466" s="10">
        <v>1</v>
      </c>
      <c r="O2466" s="6"/>
      <c r="Q2466" s="42" t="s">
        <v>5682</v>
      </c>
      <c r="R2466" s="42"/>
      <c r="S2466" s="1"/>
    </row>
    <row r="2467" spans="1:19" ht="18.75" hidden="1" customHeight="1" x14ac:dyDescent="0.3">
      <c r="A2467" s="10">
        <v>2466</v>
      </c>
      <c r="B2467" s="10">
        <f>_xlfn.XLOOKUP(1,(VALUE(D2467)&gt;=VALUE(block!$C$3:$C$500))*(VALUE(D2467)&lt;VALUE(block!$C$3:$C$500)+VALUE(block!$D$3:$D$500)),block!$A$3:$A$500,"无匹配",0,1)</f>
        <v>67</v>
      </c>
      <c r="C2467" s="3" t="str">
        <f>B2467 &amp; "-" &amp; COUNTIF($B$2:B2467, B2467)</f>
        <v>67-18</v>
      </c>
      <c r="D2467" s="10">
        <f t="shared" si="8"/>
        <v>14949</v>
      </c>
      <c r="E2467" s="3" t="s">
        <v>6429</v>
      </c>
      <c r="F2467" s="1" t="s">
        <v>6431</v>
      </c>
      <c r="H2467" s="3" t="s">
        <v>5458</v>
      </c>
      <c r="I2467" s="10" t="str">
        <f>IF(H2467="T48",1,IF(H2467="T48",3,IF(H2467="T64",6,IF(H2467="T64",10,IF(H2467="T96",14,IF(H2467="T96",18,IF(H2467="T64",22,"")))))))</f>
        <v/>
      </c>
      <c r="J2467" s="1" t="s">
        <v>1808</v>
      </c>
      <c r="K2467" s="10">
        <v>1</v>
      </c>
      <c r="L2467" s="10">
        <v>1</v>
      </c>
      <c r="O2467" s="6"/>
      <c r="Q2467" s="42" t="s">
        <v>5682</v>
      </c>
      <c r="R2467" s="42"/>
      <c r="S2467" s="1"/>
    </row>
    <row r="2468" spans="1:19" ht="18.75" hidden="1" customHeight="1" x14ac:dyDescent="0.3">
      <c r="A2468" s="10">
        <v>2467</v>
      </c>
      <c r="B2468" s="10">
        <f>_xlfn.XLOOKUP(1,(VALUE(D2468)&gt;=VALUE(block!$C$3:$C$500))*(VALUE(D2468)&lt;VALUE(block!$C$3:$C$500)+VALUE(block!$D$3:$D$500)),block!$A$3:$A$500,"无匹配",0,1)</f>
        <v>67</v>
      </c>
      <c r="C2468" s="3" t="str">
        <f>B2468 &amp; "-" &amp; COUNTIF($B$2:B2468, B2468)</f>
        <v>67-19</v>
      </c>
      <c r="D2468" s="10">
        <f t="shared" si="8"/>
        <v>14950</v>
      </c>
      <c r="E2468" s="1" t="s">
        <v>6432</v>
      </c>
      <c r="F2468" s="1" t="s">
        <v>6433</v>
      </c>
      <c r="G2468" s="1" t="s">
        <v>1830</v>
      </c>
      <c r="H2468" s="1" t="s">
        <v>1812</v>
      </c>
      <c r="I2468" s="10" t="str">
        <f>IF(H2468="T49",1,IF(H2468="T49",3,IF(H2468="T65",6,IF(H2468="T65",10,IF(H2468="T97",14,IF(H2468="T97",18,IF(H2468="T65",22,"")))))))</f>
        <v/>
      </c>
      <c r="J2468" s="1" t="s">
        <v>1808</v>
      </c>
      <c r="K2468" s="10">
        <v>2</v>
      </c>
      <c r="L2468" s="10">
        <v>1</v>
      </c>
      <c r="O2468" s="6"/>
      <c r="P2468" s="42" t="s">
        <v>5560</v>
      </c>
      <c r="Q2468" s="42" t="s">
        <v>5682</v>
      </c>
      <c r="R2468" s="42"/>
      <c r="S2468" s="1"/>
    </row>
    <row r="2469" spans="1:19" ht="18.75" hidden="1" customHeight="1" x14ac:dyDescent="0.3">
      <c r="A2469" s="10">
        <v>2468</v>
      </c>
      <c r="B2469" s="10">
        <f>_xlfn.XLOOKUP(1,(VALUE(D2469)&gt;=VALUE(block!$C$3:$C$500))*(VALUE(D2469)&lt;VALUE(block!$C$3:$C$500)+VALUE(block!$D$3:$D$500)),block!$A$3:$A$500,"无匹配",0,1)</f>
        <v>67</v>
      </c>
      <c r="C2469" s="3" t="str">
        <f>B2469 &amp; "-" &amp; COUNTIF($B$2:B2469, B2469)</f>
        <v>67-20</v>
      </c>
      <c r="D2469" s="10">
        <f t="shared" si="8"/>
        <v>14952</v>
      </c>
      <c r="E2469" s="3" t="s">
        <v>6434</v>
      </c>
      <c r="F2469" s="1" t="s">
        <v>6435</v>
      </c>
      <c r="H2469" s="3" t="s">
        <v>1838</v>
      </c>
      <c r="I2469" s="10" t="str">
        <f>IF(H2469="T50",1,IF(H2469="T50",3,IF(H2469="T66",6,IF(H2469="T66",10,IF(H2469="T98",14,IF(H2469="T98",18,IF(H2469="T66",22,"")))))))</f>
        <v/>
      </c>
      <c r="J2469" s="1" t="s">
        <v>1808</v>
      </c>
      <c r="K2469" s="10">
        <v>2</v>
      </c>
      <c r="L2469" s="10">
        <v>1</v>
      </c>
      <c r="O2469" s="6"/>
      <c r="Q2469" s="42" t="s">
        <v>5682</v>
      </c>
      <c r="R2469" s="42"/>
      <c r="S2469" s="1"/>
    </row>
    <row r="2470" spans="1:19" ht="18.75" hidden="1" customHeight="1" x14ac:dyDescent="0.3">
      <c r="A2470" s="10">
        <v>2469</v>
      </c>
      <c r="B2470" s="10">
        <f>_xlfn.XLOOKUP(1,(VALUE(D2470)&gt;=VALUE(block!$C$3:$C$500))*(VALUE(D2470)&lt;VALUE(block!$C$3:$C$500)+VALUE(block!$D$3:$D$500)),block!$A$3:$A$500,"无匹配",0,1)</f>
        <v>67</v>
      </c>
      <c r="C2470" s="3" t="str">
        <f>B2470 &amp; "-" &amp; COUNTIF($B$2:B2470, B2470)</f>
        <v>67-21</v>
      </c>
      <c r="D2470" s="10">
        <f t="shared" si="8"/>
        <v>14954</v>
      </c>
      <c r="E2470" s="3" t="s">
        <v>6434</v>
      </c>
      <c r="F2470" s="1" t="s">
        <v>6436</v>
      </c>
      <c r="H2470" s="3" t="s">
        <v>5458</v>
      </c>
      <c r="I2470" s="10" t="str">
        <f>IF(H2470="T51",1,IF(H2470="T51",3,IF(H2470="T67",6,IF(H2470="T67",10,IF(H2470="T99",14,IF(H2470="T99",18,IF(H2470="T67",22,"")))))))</f>
        <v/>
      </c>
      <c r="J2470" s="1" t="s">
        <v>1808</v>
      </c>
      <c r="K2470" s="10">
        <v>1</v>
      </c>
      <c r="L2470" s="10">
        <v>1</v>
      </c>
      <c r="O2470" s="6"/>
      <c r="Q2470" s="42" t="s">
        <v>5682</v>
      </c>
      <c r="R2470" s="42"/>
      <c r="S2470" s="1"/>
    </row>
    <row r="2471" spans="1:19" ht="18.75" hidden="1" customHeight="1" x14ac:dyDescent="0.3">
      <c r="A2471" s="10">
        <v>2470</v>
      </c>
      <c r="B2471" s="10">
        <f>_xlfn.XLOOKUP(1,(VALUE(D2471)&gt;=VALUE(block!$C$3:$C$500))*(VALUE(D2471)&lt;VALUE(block!$C$3:$C$500)+VALUE(block!$D$3:$D$500)),block!$A$3:$A$500,"无匹配",0,1)</f>
        <v>67</v>
      </c>
      <c r="C2471" s="3" t="str">
        <f>B2471 &amp; "-" &amp; COUNTIF($B$2:B2471, B2471)</f>
        <v>67-22</v>
      </c>
      <c r="D2471" s="10">
        <f t="shared" si="8"/>
        <v>14955</v>
      </c>
      <c r="E2471" s="1" t="s">
        <v>6437</v>
      </c>
      <c r="F2471" s="1" t="s">
        <v>6438</v>
      </c>
      <c r="G2471" s="1" t="s">
        <v>1832</v>
      </c>
      <c r="H2471" s="1" t="s">
        <v>1812</v>
      </c>
      <c r="I2471" s="10" t="str">
        <f>IF(H2471="T52",1,IF(H2471="T52",3,IF(H2471="T68",6,IF(H2471="T68",10,IF(H2471="T100",14,IF(H2471="T100",18,IF(H2471="T68",22,"")))))))</f>
        <v/>
      </c>
      <c r="J2471" s="1" t="s">
        <v>1808</v>
      </c>
      <c r="K2471" s="10">
        <v>2</v>
      </c>
      <c r="L2471" s="10">
        <v>1</v>
      </c>
      <c r="O2471" s="6"/>
      <c r="P2471" s="42" t="s">
        <v>5560</v>
      </c>
      <c r="Q2471" s="42" t="s">
        <v>5682</v>
      </c>
      <c r="R2471" s="42"/>
      <c r="S2471" s="1"/>
    </row>
    <row r="2472" spans="1:19" ht="18.75" hidden="1" customHeight="1" x14ac:dyDescent="0.3">
      <c r="A2472" s="10">
        <v>2471</v>
      </c>
      <c r="B2472" s="10">
        <f>_xlfn.XLOOKUP(1,(VALUE(D2472)&gt;=VALUE(block!$C$3:$C$500))*(VALUE(D2472)&lt;VALUE(block!$C$3:$C$500)+VALUE(block!$D$3:$D$500)),block!$A$3:$A$500,"无匹配",0,1)</f>
        <v>67</v>
      </c>
      <c r="C2472" s="3" t="str">
        <f>B2472 &amp; "-" &amp; COUNTIF($B$2:B2472, B2472)</f>
        <v>67-23</v>
      </c>
      <c r="D2472" s="10">
        <f t="shared" si="8"/>
        <v>14957</v>
      </c>
      <c r="E2472" s="3" t="s">
        <v>6439</v>
      </c>
      <c r="F2472" s="1" t="s">
        <v>6440</v>
      </c>
      <c r="H2472" s="3" t="s">
        <v>1838</v>
      </c>
      <c r="I2472" s="10" t="str">
        <f>IF(H2472="T53",1,IF(H2472="T53",3,IF(H2472="T69",6,IF(H2472="T69",10,IF(H2472="T101",14,IF(H2472="T101",18,IF(H2472="T69",22,"")))))))</f>
        <v/>
      </c>
      <c r="J2472" s="1" t="s">
        <v>1808</v>
      </c>
      <c r="K2472" s="10">
        <v>2</v>
      </c>
      <c r="L2472" s="10">
        <v>1</v>
      </c>
      <c r="O2472" s="6"/>
      <c r="Q2472" s="42" t="s">
        <v>5682</v>
      </c>
      <c r="R2472" s="42"/>
      <c r="S2472" s="1"/>
    </row>
    <row r="2473" spans="1:19" ht="18.75" hidden="1" customHeight="1" x14ac:dyDescent="0.3">
      <c r="A2473" s="10">
        <v>2472</v>
      </c>
      <c r="B2473" s="10">
        <f>_xlfn.XLOOKUP(1,(VALUE(D2473)&gt;=VALUE(block!$C$3:$C$500))*(VALUE(D2473)&lt;VALUE(block!$C$3:$C$500)+VALUE(block!$D$3:$D$500)),block!$A$3:$A$500,"无匹配",0,1)</f>
        <v>67</v>
      </c>
      <c r="C2473" s="3" t="str">
        <f>B2473 &amp; "-" &amp; COUNTIF($B$2:B2473, B2473)</f>
        <v>67-24</v>
      </c>
      <c r="D2473" s="10">
        <f t="shared" si="8"/>
        <v>14959</v>
      </c>
      <c r="E2473" s="3" t="s">
        <v>6439</v>
      </c>
      <c r="F2473" s="1" t="s">
        <v>6441</v>
      </c>
      <c r="H2473" s="3" t="s">
        <v>5458</v>
      </c>
      <c r="I2473" s="10" t="str">
        <f>IF(H2473="T54",1,IF(H2473="T54",3,IF(H2473="T70",6,IF(H2473="T70",10,IF(H2473="T102",14,IF(H2473="T102",18,IF(H2473="T70",22,"")))))))</f>
        <v/>
      </c>
      <c r="J2473" s="1" t="s">
        <v>1808</v>
      </c>
      <c r="K2473" s="10">
        <v>1</v>
      </c>
      <c r="L2473" s="10">
        <v>1</v>
      </c>
      <c r="O2473" s="6"/>
      <c r="Q2473" s="42" t="s">
        <v>5682</v>
      </c>
      <c r="R2473" s="42"/>
      <c r="S2473" s="1"/>
    </row>
    <row r="2474" spans="1:19" ht="18.75" hidden="1" customHeight="1" x14ac:dyDescent="0.3">
      <c r="A2474" s="10">
        <v>2473</v>
      </c>
      <c r="B2474" s="10">
        <f>_xlfn.XLOOKUP(1,(VALUE(D2474)&gt;=VALUE(block!$C$3:$C$500))*(VALUE(D2474)&lt;VALUE(block!$C$3:$C$500)+VALUE(block!$D$3:$D$500)),block!$A$3:$A$500,"无匹配",0,1)</f>
        <v>67</v>
      </c>
      <c r="C2474" s="3" t="str">
        <f>B2474 &amp; "-" &amp; COUNTIF($B$2:B2474, B2474)</f>
        <v>67-25</v>
      </c>
      <c r="D2474" s="10">
        <f t="shared" si="8"/>
        <v>14960</v>
      </c>
      <c r="E2474" s="1" t="s">
        <v>6442</v>
      </c>
      <c r="F2474" s="1" t="s">
        <v>6443</v>
      </c>
      <c r="G2474" s="1" t="s">
        <v>1832</v>
      </c>
      <c r="H2474" s="1" t="s">
        <v>1812</v>
      </c>
      <c r="I2474" s="10" t="str">
        <f>IF(H2474="T55",1,IF(H2474="T55",3,IF(H2474="T71",6,IF(H2474="T71",10,IF(H2474="T103",14,IF(H2474="T103",18,IF(H2474="T71",22,"")))))))</f>
        <v/>
      </c>
      <c r="J2474" s="1" t="s">
        <v>1808</v>
      </c>
      <c r="K2474" s="10">
        <v>2</v>
      </c>
      <c r="L2474" s="10">
        <v>1</v>
      </c>
      <c r="O2474" s="6"/>
      <c r="P2474" s="42" t="s">
        <v>5560</v>
      </c>
      <c r="Q2474" s="42" t="s">
        <v>5682</v>
      </c>
      <c r="R2474" s="42"/>
      <c r="S2474" s="1"/>
    </row>
    <row r="2475" spans="1:19" ht="18.75" hidden="1" customHeight="1" x14ac:dyDescent="0.3">
      <c r="A2475" s="10">
        <v>2474</v>
      </c>
      <c r="B2475" s="10">
        <f>_xlfn.XLOOKUP(1,(VALUE(D2475)&gt;=VALUE(block!$C$3:$C$500))*(VALUE(D2475)&lt;VALUE(block!$C$3:$C$500)+VALUE(block!$D$3:$D$500)),block!$A$3:$A$500,"无匹配",0,1)</f>
        <v>67</v>
      </c>
      <c r="C2475" s="3" t="str">
        <f>B2475 &amp; "-" &amp; COUNTIF($B$2:B2475, B2475)</f>
        <v>67-26</v>
      </c>
      <c r="D2475" s="10">
        <f t="shared" si="8"/>
        <v>14962</v>
      </c>
      <c r="E2475" s="3" t="s">
        <v>6444</v>
      </c>
      <c r="F2475" s="1" t="s">
        <v>6445</v>
      </c>
      <c r="H2475" s="3" t="s">
        <v>1838</v>
      </c>
      <c r="I2475" s="10" t="str">
        <f>IF(H2475="T56",1,IF(H2475="T56",3,IF(H2475="T72",6,IF(H2475="T72",10,IF(H2475="T104",14,IF(H2475="T104",18,IF(H2475="T72",22,"")))))))</f>
        <v/>
      </c>
      <c r="J2475" s="1" t="s">
        <v>1808</v>
      </c>
      <c r="K2475" s="10">
        <v>2</v>
      </c>
      <c r="L2475" s="10">
        <v>1</v>
      </c>
      <c r="O2475" s="6"/>
      <c r="Q2475" s="42" t="s">
        <v>5682</v>
      </c>
      <c r="R2475" s="42"/>
      <c r="S2475" s="1"/>
    </row>
    <row r="2476" spans="1:19" ht="18.75" hidden="1" customHeight="1" x14ac:dyDescent="0.3">
      <c r="A2476" s="10">
        <v>2475</v>
      </c>
      <c r="B2476" s="10">
        <f>_xlfn.XLOOKUP(1,(VALUE(D2476)&gt;=VALUE(block!$C$3:$C$500))*(VALUE(D2476)&lt;VALUE(block!$C$3:$C$500)+VALUE(block!$D$3:$D$500)),block!$A$3:$A$500,"无匹配",0,1)</f>
        <v>67</v>
      </c>
      <c r="C2476" s="3" t="str">
        <f>B2476 &amp; "-" &amp; COUNTIF($B$2:B2476, B2476)</f>
        <v>67-27</v>
      </c>
      <c r="D2476" s="10">
        <f t="shared" si="8"/>
        <v>14964</v>
      </c>
      <c r="E2476" s="3" t="s">
        <v>6444</v>
      </c>
      <c r="F2476" s="1" t="s">
        <v>6446</v>
      </c>
      <c r="H2476" s="3" t="s">
        <v>5458</v>
      </c>
      <c r="I2476" s="10" t="str">
        <f>IF(H2476="T57",1,IF(H2476="T57",3,IF(H2476="T73",6,IF(H2476="T73",10,IF(H2476="T105",14,IF(H2476="T105",18,IF(H2476="T73",22,"")))))))</f>
        <v/>
      </c>
      <c r="J2476" s="1" t="s">
        <v>1808</v>
      </c>
      <c r="K2476" s="10">
        <v>1</v>
      </c>
      <c r="L2476" s="10">
        <v>1</v>
      </c>
      <c r="O2476" s="6"/>
      <c r="Q2476" s="42" t="s">
        <v>5682</v>
      </c>
      <c r="R2476" s="42"/>
      <c r="S2476" s="1"/>
    </row>
    <row r="2477" spans="1:19" ht="18.75" hidden="1" customHeight="1" x14ac:dyDescent="0.3">
      <c r="A2477" s="10">
        <v>2476</v>
      </c>
      <c r="B2477" s="10">
        <f>_xlfn.XLOOKUP(1,(VALUE(D2477)&gt;=VALUE(block!$C$3:$C$500))*(VALUE(D2477)&lt;VALUE(block!$C$3:$C$500)+VALUE(block!$D$3:$D$500)),block!$A$3:$A$500,"无匹配",0,1)</f>
        <v>67</v>
      </c>
      <c r="C2477" s="3" t="str">
        <f>B2477 &amp; "-" &amp; COUNTIF($B$2:B2477, B2477)</f>
        <v>67-28</v>
      </c>
      <c r="D2477" s="10">
        <f t="shared" si="8"/>
        <v>14965</v>
      </c>
      <c r="E2477" s="1" t="s">
        <v>6447</v>
      </c>
      <c r="F2477" s="1" t="s">
        <v>6448</v>
      </c>
      <c r="G2477" s="1" t="s">
        <v>1834</v>
      </c>
      <c r="H2477" s="1" t="s">
        <v>1812</v>
      </c>
      <c r="I2477" s="10" t="str">
        <f>IF(H2477="T58",1,IF(H2477="T58",3,IF(H2477="T74",6,IF(H2477="T74",10,IF(H2477="T106",14,IF(H2477="T106",18,IF(H2477="T74",22,"")))))))</f>
        <v/>
      </c>
      <c r="J2477" s="1" t="s">
        <v>1808</v>
      </c>
      <c r="K2477" s="10">
        <v>2</v>
      </c>
      <c r="L2477" s="10">
        <v>1</v>
      </c>
      <c r="O2477" s="6"/>
      <c r="P2477" s="42" t="s">
        <v>5560</v>
      </c>
      <c r="Q2477" s="42" t="s">
        <v>5682</v>
      </c>
      <c r="R2477" s="42"/>
      <c r="S2477" s="1"/>
    </row>
    <row r="2478" spans="1:19" ht="18.75" hidden="1" customHeight="1" x14ac:dyDescent="0.3">
      <c r="A2478" s="10">
        <v>2477</v>
      </c>
      <c r="B2478" s="10">
        <f>_xlfn.XLOOKUP(1,(VALUE(D2478)&gt;=VALUE(block!$C$3:$C$500))*(VALUE(D2478)&lt;VALUE(block!$C$3:$C$500)+VALUE(block!$D$3:$D$500)),block!$A$3:$A$500,"无匹配",0,1)</f>
        <v>67</v>
      </c>
      <c r="C2478" s="3" t="str">
        <f>B2478 &amp; "-" &amp; COUNTIF($B$2:B2478, B2478)</f>
        <v>67-29</v>
      </c>
      <c r="D2478" s="10">
        <f t="shared" si="8"/>
        <v>14967</v>
      </c>
      <c r="E2478" s="3" t="s">
        <v>6449</v>
      </c>
      <c r="F2478" s="1" t="s">
        <v>6450</v>
      </c>
      <c r="H2478" s="3" t="s">
        <v>1838</v>
      </c>
      <c r="I2478" s="10" t="str">
        <f>IF(H2478="T59",1,IF(H2478="T59",3,IF(H2478="T75",6,IF(H2478="T75",10,IF(H2478="T107",14,IF(H2478="T107",18,IF(H2478="T75",22,"")))))))</f>
        <v/>
      </c>
      <c r="J2478" s="1" t="s">
        <v>1808</v>
      </c>
      <c r="K2478" s="10">
        <v>2</v>
      </c>
      <c r="L2478" s="10">
        <v>1</v>
      </c>
      <c r="O2478" s="6"/>
      <c r="Q2478" s="42" t="s">
        <v>5682</v>
      </c>
      <c r="R2478" s="42"/>
      <c r="S2478" s="1"/>
    </row>
    <row r="2479" spans="1:19" ht="18.75" hidden="1" customHeight="1" x14ac:dyDescent="0.3">
      <c r="A2479" s="10">
        <v>2478</v>
      </c>
      <c r="B2479" s="10">
        <f>_xlfn.XLOOKUP(1,(VALUE(D2479)&gt;=VALUE(block!$C$3:$C$500))*(VALUE(D2479)&lt;VALUE(block!$C$3:$C$500)+VALUE(block!$D$3:$D$500)),block!$A$3:$A$500,"无匹配",0,1)</f>
        <v>67</v>
      </c>
      <c r="C2479" s="3" t="str">
        <f>B2479 &amp; "-" &amp; COUNTIF($B$2:B2479, B2479)</f>
        <v>67-30</v>
      </c>
      <c r="D2479" s="10">
        <f t="shared" si="8"/>
        <v>14969</v>
      </c>
      <c r="E2479" s="3" t="s">
        <v>6449</v>
      </c>
      <c r="F2479" s="1" t="s">
        <v>6451</v>
      </c>
      <c r="H2479" s="3" t="s">
        <v>5458</v>
      </c>
      <c r="I2479" s="10" t="str">
        <f>IF(H2479="T60",1,IF(H2479="T60",3,IF(H2479="T76",6,IF(H2479="T76",10,IF(H2479="T108",14,IF(H2479="T108",18,IF(H2479="T76",22,"")))))))</f>
        <v/>
      </c>
      <c r="J2479" s="1" t="s">
        <v>1808</v>
      </c>
      <c r="K2479" s="10">
        <v>1</v>
      </c>
      <c r="L2479" s="10">
        <v>1</v>
      </c>
      <c r="O2479" s="6"/>
      <c r="Q2479" s="42" t="s">
        <v>5682</v>
      </c>
      <c r="R2479" s="42"/>
      <c r="S2479" s="1"/>
    </row>
    <row r="2480" spans="1:19" ht="18.75" hidden="1" customHeight="1" x14ac:dyDescent="0.3">
      <c r="A2480" s="10">
        <v>2479</v>
      </c>
      <c r="B2480" s="10">
        <f>_xlfn.XLOOKUP(1,(VALUE(D2480)&gt;=VALUE(block!$C$3:$C$500))*(VALUE(D2480)&lt;VALUE(block!$C$3:$C$500)+VALUE(block!$D$3:$D$500)),block!$A$3:$A$500,"无匹配",0,1)</f>
        <v>67</v>
      </c>
      <c r="C2480" s="3" t="str">
        <f>B2480 &amp; "-" &amp; COUNTIF($B$2:B2480, B2480)</f>
        <v>67-31</v>
      </c>
      <c r="D2480" s="10">
        <f t="shared" si="8"/>
        <v>14970</v>
      </c>
      <c r="E2480" s="1" t="s">
        <v>6452</v>
      </c>
      <c r="F2480" s="1" t="s">
        <v>6453</v>
      </c>
      <c r="G2480" s="1" t="s">
        <v>1834</v>
      </c>
      <c r="H2480" s="1" t="s">
        <v>1812</v>
      </c>
      <c r="I2480" s="10" t="str">
        <f>IF(H2480="T61",1,IF(H2480="T61",3,IF(H2480="T77",6,IF(H2480="T77",10,IF(H2480="T109",14,IF(H2480="T109",18,IF(H2480="T77",22,"")))))))</f>
        <v/>
      </c>
      <c r="J2480" s="1" t="s">
        <v>1808</v>
      </c>
      <c r="K2480" s="10">
        <v>2</v>
      </c>
      <c r="L2480" s="10">
        <v>1</v>
      </c>
      <c r="O2480" s="6"/>
      <c r="P2480" s="42" t="s">
        <v>5560</v>
      </c>
      <c r="Q2480" s="42" t="s">
        <v>5682</v>
      </c>
      <c r="R2480" s="42"/>
      <c r="S2480" s="1"/>
    </row>
    <row r="2481" spans="1:19" ht="18.75" hidden="1" customHeight="1" x14ac:dyDescent="0.3">
      <c r="A2481" s="10">
        <v>2480</v>
      </c>
      <c r="B2481" s="10">
        <f>_xlfn.XLOOKUP(1,(VALUE(D2481)&gt;=VALUE(block!$C$3:$C$500))*(VALUE(D2481)&lt;VALUE(block!$C$3:$C$500)+VALUE(block!$D$3:$D$500)),block!$A$3:$A$500,"无匹配",0,1)</f>
        <v>67</v>
      </c>
      <c r="C2481" s="3" t="str">
        <f>B2481 &amp; "-" &amp; COUNTIF($B$2:B2481, B2481)</f>
        <v>67-32</v>
      </c>
      <c r="D2481" s="10">
        <f t="shared" si="8"/>
        <v>14972</v>
      </c>
      <c r="E2481" s="3" t="s">
        <v>6454</v>
      </c>
      <c r="F2481" s="1" t="s">
        <v>6455</v>
      </c>
      <c r="H2481" s="3" t="s">
        <v>1838</v>
      </c>
      <c r="I2481" s="10" t="str">
        <f>IF(H2481="T62",1,IF(H2481="T62",3,IF(H2481="T78",6,IF(H2481="T78",10,IF(H2481="T110",14,IF(H2481="T110",18,IF(H2481="T78",22,"")))))))</f>
        <v/>
      </c>
      <c r="J2481" s="1" t="s">
        <v>1808</v>
      </c>
      <c r="K2481" s="10">
        <v>2</v>
      </c>
      <c r="L2481" s="10">
        <v>1</v>
      </c>
      <c r="O2481" s="6"/>
      <c r="Q2481" s="42" t="s">
        <v>5682</v>
      </c>
      <c r="R2481" s="42"/>
      <c r="S2481" s="1"/>
    </row>
    <row r="2482" spans="1:19" ht="18.75" hidden="1" customHeight="1" x14ac:dyDescent="0.3">
      <c r="A2482" s="10">
        <v>2481</v>
      </c>
      <c r="B2482" s="10">
        <f>_xlfn.XLOOKUP(1,(VALUE(D2482)&gt;=VALUE(block!$C$3:$C$500))*(VALUE(D2482)&lt;VALUE(block!$C$3:$C$500)+VALUE(block!$D$3:$D$500)),block!$A$3:$A$500,"无匹配",0,1)</f>
        <v>67</v>
      </c>
      <c r="C2482" s="3" t="str">
        <f>B2482 &amp; "-" &amp; COUNTIF($B$2:B2482, B2482)</f>
        <v>67-33</v>
      </c>
      <c r="D2482" s="10">
        <f t="shared" si="8"/>
        <v>14974</v>
      </c>
      <c r="E2482" s="3" t="s">
        <v>6454</v>
      </c>
      <c r="F2482" s="1" t="s">
        <v>6456</v>
      </c>
      <c r="H2482" s="3" t="s">
        <v>5458</v>
      </c>
      <c r="I2482" s="10" t="str">
        <f>IF(H2482="T63",1,IF(H2482="T63",3,IF(H2482="T79",6,IF(H2482="T79",10,IF(H2482="T111",14,IF(H2482="T111",18,IF(H2482="T79",22,"")))))))</f>
        <v/>
      </c>
      <c r="J2482" s="1" t="s">
        <v>1808</v>
      </c>
      <c r="K2482" s="10">
        <v>1</v>
      </c>
      <c r="L2482" s="10">
        <v>1</v>
      </c>
      <c r="O2482" s="6"/>
      <c r="Q2482" s="42" t="s">
        <v>5682</v>
      </c>
      <c r="R2482" s="42"/>
      <c r="S2482" s="1"/>
    </row>
    <row r="2483" spans="1:19" ht="18.75" hidden="1" customHeight="1" x14ac:dyDescent="0.3">
      <c r="A2483" s="10">
        <v>2482</v>
      </c>
      <c r="B2483" s="10">
        <f>_xlfn.XLOOKUP(1,(VALUE(D2483)&gt;=VALUE(block!$C$3:$C$500))*(VALUE(D2483)&lt;VALUE(block!$C$3:$C$500)+VALUE(block!$D$3:$D$500)),block!$A$3:$A$500,"无匹配",0,1)</f>
        <v>67</v>
      </c>
      <c r="C2483" s="3" t="str">
        <f>B2483 &amp; "-" &amp; COUNTIF($B$2:B2483, B2483)</f>
        <v>67-34</v>
      </c>
      <c r="D2483" s="10">
        <f t="shared" si="8"/>
        <v>14975</v>
      </c>
      <c r="E2483" s="1" t="s">
        <v>6457</v>
      </c>
      <c r="F2483" s="1" t="s">
        <v>6458</v>
      </c>
      <c r="G2483" s="1" t="s">
        <v>1836</v>
      </c>
      <c r="H2483" s="1" t="s">
        <v>1812</v>
      </c>
      <c r="I2483" s="10" t="str">
        <f>IF(H2483="T64",1,IF(H2483="T64",3,IF(H2483="T80",6,IF(H2483="T80",10,IF(H2483="T112",14,IF(H2483="T112",18,IF(H2483="T80",22,"")))))))</f>
        <v/>
      </c>
      <c r="J2483" s="1" t="s">
        <v>1808</v>
      </c>
      <c r="K2483" s="10">
        <v>2</v>
      </c>
      <c r="L2483" s="10">
        <v>1</v>
      </c>
      <c r="O2483" s="6"/>
      <c r="P2483" s="42" t="s">
        <v>5560</v>
      </c>
      <c r="Q2483" s="42" t="s">
        <v>5682</v>
      </c>
      <c r="R2483" s="42"/>
      <c r="S2483" s="1"/>
    </row>
    <row r="2484" spans="1:19" ht="18.75" hidden="1" customHeight="1" x14ac:dyDescent="0.3">
      <c r="A2484" s="10">
        <v>2483</v>
      </c>
      <c r="B2484" s="10">
        <f>_xlfn.XLOOKUP(1,(VALUE(D2484)&gt;=VALUE(block!$C$3:$C$500))*(VALUE(D2484)&lt;VALUE(block!$C$3:$C$500)+VALUE(block!$D$3:$D$500)),block!$A$3:$A$500,"无匹配",0,1)</f>
        <v>67</v>
      </c>
      <c r="C2484" s="3" t="str">
        <f>B2484 &amp; "-" &amp; COUNTIF($B$2:B2484, B2484)</f>
        <v>67-35</v>
      </c>
      <c r="D2484" s="10">
        <f t="shared" si="8"/>
        <v>14977</v>
      </c>
      <c r="E2484" s="3" t="s">
        <v>6459</v>
      </c>
      <c r="F2484" s="1" t="s">
        <v>6460</v>
      </c>
      <c r="H2484" s="3" t="s">
        <v>1838</v>
      </c>
      <c r="I2484" s="10" t="str">
        <f>IF(H2484="T65",1,IF(H2484="T65",3,IF(H2484="T81",6,IF(H2484="T81",10,IF(H2484="T113",14,IF(H2484="T113",18,IF(H2484="T81",22,"")))))))</f>
        <v/>
      </c>
      <c r="J2484" s="1" t="s">
        <v>1808</v>
      </c>
      <c r="K2484" s="10">
        <v>2</v>
      </c>
      <c r="L2484" s="10">
        <v>1</v>
      </c>
      <c r="O2484" s="6"/>
      <c r="Q2484" s="42" t="s">
        <v>5682</v>
      </c>
      <c r="R2484" s="42"/>
      <c r="S2484" s="1"/>
    </row>
    <row r="2485" spans="1:19" ht="18.75" hidden="1" customHeight="1" x14ac:dyDescent="0.3">
      <c r="A2485" s="10">
        <v>2484</v>
      </c>
      <c r="B2485" s="10">
        <f>_xlfn.XLOOKUP(1,(VALUE(D2485)&gt;=VALUE(block!$C$3:$C$500))*(VALUE(D2485)&lt;VALUE(block!$C$3:$C$500)+VALUE(block!$D$3:$D$500)),block!$A$3:$A$500,"无匹配",0,1)</f>
        <v>67</v>
      </c>
      <c r="C2485" s="3" t="str">
        <f>B2485 &amp; "-" &amp; COUNTIF($B$2:B2485, B2485)</f>
        <v>67-36</v>
      </c>
      <c r="D2485" s="10">
        <f t="shared" si="8"/>
        <v>14979</v>
      </c>
      <c r="E2485" s="3" t="s">
        <v>6459</v>
      </c>
      <c r="F2485" s="1" t="s">
        <v>6461</v>
      </c>
      <c r="H2485" s="3" t="s">
        <v>5458</v>
      </c>
      <c r="I2485" s="10" t="str">
        <f>IF(H2485="T66",1,IF(H2485="T66",3,IF(H2485="T82",6,IF(H2485="T82",10,IF(H2485="T114",14,IF(H2485="T114",18,IF(H2485="T82",22,"")))))))</f>
        <v/>
      </c>
      <c r="J2485" s="1" t="s">
        <v>1808</v>
      </c>
      <c r="K2485" s="10">
        <v>1</v>
      </c>
      <c r="L2485" s="10">
        <v>1</v>
      </c>
      <c r="O2485" s="6"/>
      <c r="Q2485" s="42" t="s">
        <v>5682</v>
      </c>
      <c r="R2485" s="42"/>
      <c r="S2485" s="1"/>
    </row>
    <row r="2486" spans="1:19" ht="18.75" hidden="1" customHeight="1" x14ac:dyDescent="0.3">
      <c r="A2486" s="10">
        <v>2485</v>
      </c>
      <c r="B2486" s="10">
        <f>_xlfn.XLOOKUP(1,(VALUE(D2486)&gt;=VALUE(block!$C$3:$C$500))*(VALUE(D2486)&lt;VALUE(block!$C$3:$C$500)+VALUE(block!$D$3:$D$500)),block!$A$3:$A$500,"无匹配",0,1)</f>
        <v>67</v>
      </c>
      <c r="C2486" s="3" t="str">
        <f>B2486 &amp; "-" &amp; COUNTIF($B$2:B2486, B2486)</f>
        <v>67-37</v>
      </c>
      <c r="D2486" s="10">
        <f t="shared" si="8"/>
        <v>14980</v>
      </c>
      <c r="E2486" s="1" t="s">
        <v>6462</v>
      </c>
      <c r="F2486" s="1" t="s">
        <v>6463</v>
      </c>
      <c r="G2486" s="1" t="s">
        <v>1830</v>
      </c>
      <c r="H2486" s="1" t="s">
        <v>1812</v>
      </c>
      <c r="I2486" s="10" t="str">
        <f>IF(H2486="T67",1,IF(H2486="T67",3,IF(H2486="T83",6,IF(H2486="T83",10,IF(H2486="T115",14,IF(H2486="T115",18,IF(H2486="T83",22,"")))))))</f>
        <v/>
      </c>
      <c r="J2486" s="1" t="s">
        <v>1808</v>
      </c>
      <c r="K2486" s="10">
        <v>2</v>
      </c>
      <c r="L2486" s="10">
        <v>1</v>
      </c>
      <c r="O2486" s="6"/>
      <c r="P2486" s="42" t="s">
        <v>5560</v>
      </c>
      <c r="Q2486" s="42" t="s">
        <v>5682</v>
      </c>
      <c r="R2486" s="42"/>
      <c r="S2486" s="1"/>
    </row>
    <row r="2487" spans="1:19" ht="18.75" hidden="1" customHeight="1" x14ac:dyDescent="0.3">
      <c r="A2487" s="10">
        <v>2486</v>
      </c>
      <c r="B2487" s="10">
        <f>_xlfn.XLOOKUP(1,(VALUE(D2487)&gt;=VALUE(block!$C$3:$C$500))*(VALUE(D2487)&lt;VALUE(block!$C$3:$C$500)+VALUE(block!$D$3:$D$500)),block!$A$3:$A$500,"无匹配",0,1)</f>
        <v>67</v>
      </c>
      <c r="C2487" s="3" t="str">
        <f>B2487 &amp; "-" &amp; COUNTIF($B$2:B2487, B2487)</f>
        <v>67-38</v>
      </c>
      <c r="D2487" s="10">
        <f t="shared" si="8"/>
        <v>14982</v>
      </c>
      <c r="E2487" s="3" t="s">
        <v>6464</v>
      </c>
      <c r="F2487" s="1" t="s">
        <v>6465</v>
      </c>
      <c r="H2487" s="3" t="s">
        <v>1838</v>
      </c>
      <c r="I2487" s="10" t="str">
        <f>IF(H2487="T68",1,IF(H2487="T68",3,IF(H2487="T84",6,IF(H2487="T84",10,IF(H2487="T116",14,IF(H2487="T116",18,IF(H2487="T84",22,"")))))))</f>
        <v/>
      </c>
      <c r="J2487" s="1" t="s">
        <v>1808</v>
      </c>
      <c r="K2487" s="10">
        <v>2</v>
      </c>
      <c r="L2487" s="10">
        <v>1</v>
      </c>
      <c r="O2487" s="6"/>
      <c r="Q2487" s="42" t="s">
        <v>5682</v>
      </c>
      <c r="R2487" s="42"/>
      <c r="S2487" s="1"/>
    </row>
    <row r="2488" spans="1:19" ht="18.75" hidden="1" customHeight="1" x14ac:dyDescent="0.3">
      <c r="A2488" s="10">
        <v>2487</v>
      </c>
      <c r="B2488" s="10">
        <f>_xlfn.XLOOKUP(1,(VALUE(D2488)&gt;=VALUE(block!$C$3:$C$500))*(VALUE(D2488)&lt;VALUE(block!$C$3:$C$500)+VALUE(block!$D$3:$D$500)),block!$A$3:$A$500,"无匹配",0,1)</f>
        <v>67</v>
      </c>
      <c r="C2488" s="3" t="str">
        <f>B2488 &amp; "-" &amp; COUNTIF($B$2:B2488, B2488)</f>
        <v>67-39</v>
      </c>
      <c r="D2488" s="10">
        <f t="shared" si="8"/>
        <v>14984</v>
      </c>
      <c r="E2488" s="3" t="s">
        <v>6464</v>
      </c>
      <c r="F2488" s="1" t="s">
        <v>6466</v>
      </c>
      <c r="H2488" s="3" t="s">
        <v>5458</v>
      </c>
      <c r="I2488" s="10" t="str">
        <f>IF(H2488="T69",1,IF(H2488="T69",3,IF(H2488="T85",6,IF(H2488="T85",10,IF(H2488="T117",14,IF(H2488="T117",18,IF(H2488="T85",22,"")))))))</f>
        <v/>
      </c>
      <c r="J2488" s="1" t="s">
        <v>1808</v>
      </c>
      <c r="K2488" s="10">
        <v>1</v>
      </c>
      <c r="L2488" s="10">
        <v>1</v>
      </c>
      <c r="O2488" s="6"/>
      <c r="Q2488" s="42" t="s">
        <v>5682</v>
      </c>
      <c r="R2488" s="42"/>
      <c r="S2488" s="1"/>
    </row>
    <row r="2489" spans="1:19" ht="18.75" hidden="1" customHeight="1" x14ac:dyDescent="0.3">
      <c r="A2489" s="10">
        <v>2488</v>
      </c>
      <c r="B2489" s="10">
        <f>_xlfn.XLOOKUP(1,(VALUE(D2489)&gt;=VALUE(block!$C$3:$C$500))*(VALUE(D2489)&lt;VALUE(block!$C$3:$C$500)+VALUE(block!$D$3:$D$500)),block!$A$3:$A$500,"无匹配",0,1)</f>
        <v>67</v>
      </c>
      <c r="C2489" s="3" t="str">
        <f>B2489 &amp; "-" &amp; COUNTIF($B$2:B2489, B2489)</f>
        <v>67-40</v>
      </c>
      <c r="D2489" s="10">
        <f t="shared" si="8"/>
        <v>14985</v>
      </c>
      <c r="E2489" s="1" t="s">
        <v>6467</v>
      </c>
      <c r="F2489" s="1" t="s">
        <v>6468</v>
      </c>
      <c r="G2489" s="1" t="s">
        <v>1832</v>
      </c>
      <c r="H2489" s="1" t="s">
        <v>1812</v>
      </c>
      <c r="I2489" s="10" t="str">
        <f>IF(H2489="T70",1,IF(H2489="T70",3,IF(H2489="T86",6,IF(H2489="T86",10,IF(H2489="T118",14,IF(H2489="T118",18,IF(H2489="T86",22,"")))))))</f>
        <v/>
      </c>
      <c r="J2489" s="1" t="s">
        <v>1808</v>
      </c>
      <c r="K2489" s="10">
        <v>2</v>
      </c>
      <c r="L2489" s="10">
        <v>1</v>
      </c>
      <c r="O2489" s="6"/>
      <c r="P2489" s="42" t="s">
        <v>5560</v>
      </c>
      <c r="Q2489" s="42" t="s">
        <v>5682</v>
      </c>
      <c r="R2489" s="42"/>
      <c r="S2489" s="1"/>
    </row>
    <row r="2490" spans="1:19" ht="18.75" hidden="1" customHeight="1" x14ac:dyDescent="0.3">
      <c r="A2490" s="10">
        <v>2489</v>
      </c>
      <c r="B2490" s="10">
        <f>_xlfn.XLOOKUP(1,(VALUE(D2490)&gt;=VALUE(block!$C$3:$C$500))*(VALUE(D2490)&lt;VALUE(block!$C$3:$C$500)+VALUE(block!$D$3:$D$500)),block!$A$3:$A$500,"无匹配",0,1)</f>
        <v>67</v>
      </c>
      <c r="C2490" s="3" t="str">
        <f>B2490 &amp; "-" &amp; COUNTIF($B$2:B2490, B2490)</f>
        <v>67-41</v>
      </c>
      <c r="D2490" s="10">
        <f t="shared" si="8"/>
        <v>14987</v>
      </c>
      <c r="E2490" s="3" t="s">
        <v>6469</v>
      </c>
      <c r="F2490" s="1" t="s">
        <v>6470</v>
      </c>
      <c r="H2490" s="3" t="s">
        <v>1838</v>
      </c>
      <c r="I2490" s="10" t="str">
        <f>IF(H2490="T71",1,IF(H2490="T71",3,IF(H2490="T87",6,IF(H2490="T87",10,IF(H2490="T119",14,IF(H2490="T119",18,IF(H2490="T87",22,"")))))))</f>
        <v/>
      </c>
      <c r="J2490" s="1" t="s">
        <v>1808</v>
      </c>
      <c r="K2490" s="10">
        <v>2</v>
      </c>
      <c r="L2490" s="10">
        <v>1</v>
      </c>
      <c r="O2490" s="6"/>
      <c r="Q2490" s="42" t="s">
        <v>5682</v>
      </c>
      <c r="R2490" s="42"/>
      <c r="S2490" s="1"/>
    </row>
    <row r="2491" spans="1:19" ht="18.75" hidden="1" customHeight="1" x14ac:dyDescent="0.3">
      <c r="A2491" s="10">
        <v>2490</v>
      </c>
      <c r="B2491" s="10">
        <f>_xlfn.XLOOKUP(1,(VALUE(D2491)&gt;=VALUE(block!$C$3:$C$500))*(VALUE(D2491)&lt;VALUE(block!$C$3:$C$500)+VALUE(block!$D$3:$D$500)),block!$A$3:$A$500,"无匹配",0,1)</f>
        <v>67</v>
      </c>
      <c r="C2491" s="3" t="str">
        <f>B2491 &amp; "-" &amp; COUNTIF($B$2:B2491, B2491)</f>
        <v>67-42</v>
      </c>
      <c r="D2491" s="10">
        <f t="shared" si="8"/>
        <v>14989</v>
      </c>
      <c r="E2491" s="3" t="s">
        <v>6469</v>
      </c>
      <c r="F2491" s="1" t="s">
        <v>6471</v>
      </c>
      <c r="H2491" s="3" t="s">
        <v>5458</v>
      </c>
      <c r="I2491" s="10" t="str">
        <f>IF(H2491="T72",1,IF(H2491="T72",3,IF(H2491="T88",6,IF(H2491="T88",10,IF(H2491="T120",14,IF(H2491="T120",18,IF(H2491="T88",22,"")))))))</f>
        <v/>
      </c>
      <c r="J2491" s="1" t="s">
        <v>1808</v>
      </c>
      <c r="K2491" s="10">
        <v>1</v>
      </c>
      <c r="L2491" s="10">
        <v>1</v>
      </c>
      <c r="O2491" s="6"/>
      <c r="Q2491" s="42" t="s">
        <v>5682</v>
      </c>
      <c r="R2491" s="42"/>
      <c r="S2491" s="1"/>
    </row>
    <row r="2492" spans="1:19" ht="18.75" hidden="1" customHeight="1" x14ac:dyDescent="0.3">
      <c r="A2492" s="10">
        <v>2491</v>
      </c>
      <c r="B2492" s="10">
        <f>_xlfn.XLOOKUP(1,(VALUE(D2492)&gt;=VALUE(block!$C$3:$C$500))*(VALUE(D2492)&lt;VALUE(block!$C$3:$C$500)+VALUE(block!$D$3:$D$500)),block!$A$3:$A$500,"无匹配",0,1)</f>
        <v>67</v>
      </c>
      <c r="C2492" s="3" t="str">
        <f>B2492 &amp; "-" &amp; COUNTIF($B$2:B2492, B2492)</f>
        <v>67-43</v>
      </c>
      <c r="D2492" s="10">
        <f t="shared" si="8"/>
        <v>14990</v>
      </c>
      <c r="E2492" s="1" t="s">
        <v>6472</v>
      </c>
      <c r="F2492" s="1" t="s">
        <v>6473</v>
      </c>
      <c r="G2492" s="1" t="s">
        <v>1832</v>
      </c>
      <c r="H2492" s="1" t="s">
        <v>1812</v>
      </c>
      <c r="I2492" s="10" t="str">
        <f>IF(H2492="T73",1,IF(H2492="T73",3,IF(H2492="T89",6,IF(H2492="T89",10,IF(H2492="T121",14,IF(H2492="T121",18,IF(H2492="T89",22,"")))))))</f>
        <v/>
      </c>
      <c r="J2492" s="1" t="s">
        <v>1808</v>
      </c>
      <c r="K2492" s="10">
        <v>2</v>
      </c>
      <c r="L2492" s="10">
        <v>1</v>
      </c>
      <c r="O2492" s="6"/>
      <c r="P2492" s="42" t="s">
        <v>5560</v>
      </c>
      <c r="Q2492" s="42" t="s">
        <v>5682</v>
      </c>
      <c r="R2492" s="42"/>
      <c r="S2492" s="1"/>
    </row>
    <row r="2493" spans="1:19" ht="18.75" hidden="1" customHeight="1" x14ac:dyDescent="0.3">
      <c r="A2493" s="10">
        <v>2492</v>
      </c>
      <c r="B2493" s="10">
        <f>_xlfn.XLOOKUP(1,(VALUE(D2493)&gt;=VALUE(block!$C$3:$C$500))*(VALUE(D2493)&lt;VALUE(block!$C$3:$C$500)+VALUE(block!$D$3:$D$500)),block!$A$3:$A$500,"无匹配",0,1)</f>
        <v>67</v>
      </c>
      <c r="C2493" s="3" t="str">
        <f>B2493 &amp; "-" &amp; COUNTIF($B$2:B2493, B2493)</f>
        <v>67-44</v>
      </c>
      <c r="D2493" s="10">
        <f t="shared" si="8"/>
        <v>14992</v>
      </c>
      <c r="E2493" s="3" t="s">
        <v>6474</v>
      </c>
      <c r="F2493" s="1" t="s">
        <v>6475</v>
      </c>
      <c r="H2493" s="3" t="s">
        <v>1838</v>
      </c>
      <c r="I2493" s="10" t="str">
        <f>IF(H2493="T74",1,IF(H2493="T74",3,IF(H2493="T90",6,IF(H2493="T90",10,IF(H2493="T122",14,IF(H2493="T122",18,IF(H2493="T90",22,"")))))))</f>
        <v/>
      </c>
      <c r="J2493" s="1" t="s">
        <v>1808</v>
      </c>
      <c r="K2493" s="10">
        <v>2</v>
      </c>
      <c r="L2493" s="10">
        <v>1</v>
      </c>
      <c r="O2493" s="6"/>
      <c r="Q2493" s="42" t="s">
        <v>5682</v>
      </c>
      <c r="R2493" s="42"/>
      <c r="S2493" s="1"/>
    </row>
    <row r="2494" spans="1:19" ht="18.75" hidden="1" customHeight="1" x14ac:dyDescent="0.3">
      <c r="A2494" s="10">
        <v>2493</v>
      </c>
      <c r="B2494" s="10">
        <f>_xlfn.XLOOKUP(1,(VALUE(D2494)&gt;=VALUE(block!$C$3:$C$500))*(VALUE(D2494)&lt;VALUE(block!$C$3:$C$500)+VALUE(block!$D$3:$D$500)),block!$A$3:$A$500,"无匹配",0,1)</f>
        <v>67</v>
      </c>
      <c r="C2494" s="3" t="str">
        <f>B2494 &amp; "-" &amp; COUNTIF($B$2:B2494, B2494)</f>
        <v>67-45</v>
      </c>
      <c r="D2494" s="10">
        <f t="shared" si="8"/>
        <v>14994</v>
      </c>
      <c r="E2494" s="3" t="s">
        <v>6474</v>
      </c>
      <c r="F2494" s="1" t="s">
        <v>6476</v>
      </c>
      <c r="H2494" s="3" t="s">
        <v>5458</v>
      </c>
      <c r="I2494" s="10" t="str">
        <f>IF(H2494="T75",1,IF(H2494="T75",3,IF(H2494="T91",6,IF(H2494="T91",10,IF(H2494="T123",14,IF(H2494="T123",18,IF(H2494="T91",22,"")))))))</f>
        <v/>
      </c>
      <c r="J2494" s="1" t="s">
        <v>1808</v>
      </c>
      <c r="K2494" s="10">
        <v>1</v>
      </c>
      <c r="L2494" s="10">
        <v>1</v>
      </c>
      <c r="O2494" s="6"/>
      <c r="Q2494" s="42" t="s">
        <v>5682</v>
      </c>
      <c r="R2494" s="42"/>
      <c r="S2494" s="1"/>
    </row>
    <row r="2495" spans="1:19" ht="18.75" hidden="1" customHeight="1" x14ac:dyDescent="0.3">
      <c r="A2495" s="10">
        <v>2494</v>
      </c>
      <c r="B2495" s="10">
        <f>_xlfn.XLOOKUP(1,(VALUE(D2495)&gt;=VALUE(block!$C$3:$C$500))*(VALUE(D2495)&lt;VALUE(block!$C$3:$C$500)+VALUE(block!$D$3:$D$500)),block!$A$3:$A$500,"无匹配",0,1)</f>
        <v>67</v>
      </c>
      <c r="C2495" s="3" t="str">
        <f>B2495 &amp; "-" &amp; COUNTIF($B$2:B2495, B2495)</f>
        <v>67-46</v>
      </c>
      <c r="D2495" s="10">
        <f t="shared" si="8"/>
        <v>14995</v>
      </c>
      <c r="E2495" s="1" t="s">
        <v>6477</v>
      </c>
      <c r="F2495" s="1" t="s">
        <v>6478</v>
      </c>
      <c r="G2495" s="1" t="s">
        <v>1834</v>
      </c>
      <c r="H2495" s="1" t="s">
        <v>1812</v>
      </c>
      <c r="I2495" s="10" t="str">
        <f>IF(H2495="T76",1,IF(H2495="T76",3,IF(H2495="T92",6,IF(H2495="T92",10,IF(H2495="T124",14,IF(H2495="T124",18,IF(H2495="T92",22,"")))))))</f>
        <v/>
      </c>
      <c r="J2495" s="1" t="s">
        <v>1808</v>
      </c>
      <c r="K2495" s="10">
        <v>2</v>
      </c>
      <c r="L2495" s="10">
        <v>1</v>
      </c>
      <c r="O2495" s="6"/>
      <c r="P2495" s="42" t="s">
        <v>5560</v>
      </c>
      <c r="Q2495" s="42" t="s">
        <v>5682</v>
      </c>
      <c r="R2495" s="42"/>
      <c r="S2495" s="1"/>
    </row>
    <row r="2496" spans="1:19" ht="18.75" hidden="1" customHeight="1" x14ac:dyDescent="0.3">
      <c r="A2496" s="10">
        <v>2495</v>
      </c>
      <c r="B2496" s="10">
        <f>_xlfn.XLOOKUP(1,(VALUE(D2496)&gt;=VALUE(block!$C$3:$C$500))*(VALUE(D2496)&lt;VALUE(block!$C$3:$C$500)+VALUE(block!$D$3:$D$500)),block!$A$3:$A$500,"无匹配",0,1)</f>
        <v>67</v>
      </c>
      <c r="C2496" s="3" t="str">
        <f>B2496 &amp; "-" &amp; COUNTIF($B$2:B2496, B2496)</f>
        <v>67-47</v>
      </c>
      <c r="D2496" s="10">
        <f t="shared" si="8"/>
        <v>14997</v>
      </c>
      <c r="E2496" s="3" t="s">
        <v>6479</v>
      </c>
      <c r="F2496" s="1" t="s">
        <v>6480</v>
      </c>
      <c r="H2496" s="3" t="s">
        <v>1838</v>
      </c>
      <c r="I2496" s="10" t="str">
        <f>IF(H2496="T77",1,IF(H2496="T77",3,IF(H2496="T93",6,IF(H2496="T93",10,IF(H2496="T125",14,IF(H2496="T125",18,IF(H2496="T93",22,"")))))))</f>
        <v/>
      </c>
      <c r="J2496" s="1" t="s">
        <v>1808</v>
      </c>
      <c r="K2496" s="10">
        <v>2</v>
      </c>
      <c r="L2496" s="10">
        <v>1</v>
      </c>
      <c r="O2496" s="6"/>
      <c r="Q2496" s="42" t="s">
        <v>5682</v>
      </c>
      <c r="R2496" s="42"/>
      <c r="S2496" s="1"/>
    </row>
    <row r="2497" spans="1:19" ht="18.75" hidden="1" customHeight="1" x14ac:dyDescent="0.3">
      <c r="A2497" s="10">
        <v>2496</v>
      </c>
      <c r="B2497" s="10">
        <f>_xlfn.XLOOKUP(1,(VALUE(D2497)&gt;=VALUE(block!$C$3:$C$500))*(VALUE(D2497)&lt;VALUE(block!$C$3:$C$500)+VALUE(block!$D$3:$D$500)),block!$A$3:$A$500,"无匹配",0,1)</f>
        <v>67</v>
      </c>
      <c r="C2497" s="3" t="str">
        <f>B2497 &amp; "-" &amp; COUNTIF($B$2:B2497, B2497)</f>
        <v>67-48</v>
      </c>
      <c r="D2497" s="10">
        <f t="shared" si="8"/>
        <v>14999</v>
      </c>
      <c r="E2497" s="3" t="s">
        <v>6479</v>
      </c>
      <c r="F2497" s="1" t="s">
        <v>6481</v>
      </c>
      <c r="H2497" s="3" t="s">
        <v>5458</v>
      </c>
      <c r="I2497" s="10" t="str">
        <f>IF(H2497="T78",1,IF(H2497="T78",3,IF(H2497="T94",6,IF(H2497="T94",10,IF(H2497="T126",14,IF(H2497="T126",18,IF(H2497="T94",22,"")))))))</f>
        <v/>
      </c>
      <c r="J2497" s="1" t="s">
        <v>1808</v>
      </c>
      <c r="K2497" s="10">
        <v>1</v>
      </c>
      <c r="L2497" s="10">
        <v>1</v>
      </c>
      <c r="O2497" s="6"/>
      <c r="Q2497" s="42" t="s">
        <v>5682</v>
      </c>
      <c r="R2497" s="42"/>
      <c r="S2497" s="1"/>
    </row>
    <row r="2498" spans="1:19" ht="18.75" hidden="1" customHeight="1" x14ac:dyDescent="0.3">
      <c r="A2498" s="10">
        <v>2497</v>
      </c>
      <c r="B2498" s="10">
        <f>_xlfn.XLOOKUP(1,(VALUE(D2498)&gt;=VALUE(block!$C$3:$C$500))*(VALUE(D2498)&lt;VALUE(block!$C$3:$C$500)+VALUE(block!$D$3:$D$500)),block!$A$3:$A$500,"无匹配",0,1)</f>
        <v>67</v>
      </c>
      <c r="C2498" s="3" t="str">
        <f>B2498 &amp; "-" &amp; COUNTIF($B$2:B2498, B2498)</f>
        <v>67-49</v>
      </c>
      <c r="D2498" s="10">
        <f t="shared" si="8"/>
        <v>15000</v>
      </c>
      <c r="E2498" s="1" t="s">
        <v>6482</v>
      </c>
      <c r="F2498" s="1" t="s">
        <v>6483</v>
      </c>
      <c r="G2498" s="1" t="s">
        <v>1834</v>
      </c>
      <c r="H2498" s="1" t="s">
        <v>1812</v>
      </c>
      <c r="I2498" s="10" t="str">
        <f>IF(H2498="T79",1,IF(H2498="T79",3,IF(H2498="T95",6,IF(H2498="T95",10,IF(H2498="T127",14,IF(H2498="T127",18,IF(H2498="T95",22,"")))))))</f>
        <v/>
      </c>
      <c r="J2498" s="1" t="s">
        <v>1808</v>
      </c>
      <c r="K2498" s="10">
        <v>2</v>
      </c>
      <c r="L2498" s="10">
        <v>1</v>
      </c>
      <c r="O2498" s="6"/>
      <c r="P2498" s="42" t="s">
        <v>5560</v>
      </c>
      <c r="Q2498" s="42" t="s">
        <v>5682</v>
      </c>
      <c r="R2498" s="42"/>
      <c r="S2498" s="1"/>
    </row>
    <row r="2499" spans="1:19" ht="18.75" hidden="1" customHeight="1" x14ac:dyDescent="0.3">
      <c r="A2499" s="10">
        <v>2498</v>
      </c>
      <c r="B2499" s="10">
        <f>_xlfn.XLOOKUP(1,(VALUE(D2499)&gt;=VALUE(block!$C$3:$C$500))*(VALUE(D2499)&lt;VALUE(block!$C$3:$C$500)+VALUE(block!$D$3:$D$500)),block!$A$3:$A$500,"无匹配",0,1)</f>
        <v>67</v>
      </c>
      <c r="C2499" s="3" t="str">
        <f>B2499 &amp; "-" &amp; COUNTIF($B$2:B2499, B2499)</f>
        <v>67-50</v>
      </c>
      <c r="D2499" s="10">
        <f t="shared" si="8"/>
        <v>15002</v>
      </c>
      <c r="E2499" s="3" t="s">
        <v>6484</v>
      </c>
      <c r="F2499" s="1" t="s">
        <v>6485</v>
      </c>
      <c r="H2499" s="3" t="s">
        <v>1838</v>
      </c>
      <c r="I2499" s="10">
        <f>IF(H2499="uint16",1,IF(H2499="int16",3,IF(H2499="uint32",6,IF(H2499="int32",10,IF(H2499="uint64",14,IF(H2499="int64",18,IF(H2499="float32",22,"")))))))</f>
        <v>6</v>
      </c>
      <c r="J2499" s="1" t="s">
        <v>1808</v>
      </c>
      <c r="K2499" s="10">
        <v>2</v>
      </c>
      <c r="L2499" s="10">
        <v>1</v>
      </c>
      <c r="O2499" s="6"/>
      <c r="Q2499" s="42" t="s">
        <v>5682</v>
      </c>
      <c r="R2499" s="42"/>
      <c r="S2499" s="1"/>
    </row>
    <row r="2500" spans="1:19" ht="18.75" hidden="1" customHeight="1" x14ac:dyDescent="0.3">
      <c r="A2500" s="10">
        <v>2499</v>
      </c>
      <c r="B2500" s="10">
        <f>_xlfn.XLOOKUP(1,(VALUE(D2500)&gt;=VALUE(block!$C$3:$C$500))*(VALUE(D2500)&lt;VALUE(block!$C$3:$C$500)+VALUE(block!$D$3:$D$500)),block!$A$3:$A$500,"无匹配",0,1)</f>
        <v>67</v>
      </c>
      <c r="C2500" s="3" t="str">
        <f>B2500 &amp; "-" &amp; COUNTIF($B$2:B2500, B2500)</f>
        <v>67-51</v>
      </c>
      <c r="D2500" s="10">
        <f t="shared" si="8"/>
        <v>15004</v>
      </c>
      <c r="E2500" s="3" t="s">
        <v>6484</v>
      </c>
      <c r="F2500" s="1" t="s">
        <v>6486</v>
      </c>
      <c r="H2500" s="3" t="s">
        <v>5458</v>
      </c>
      <c r="I2500" s="10" t="str">
        <f>IF(H2500="T17",1,IF(H2500="T17",3,IF(H2500="T33",6,IF(H2500="T33",10,IF(H2500="T65",14,IF(H2500="T65",18,IF(H2500="T33",22,"")))))))</f>
        <v/>
      </c>
      <c r="J2500" s="1" t="s">
        <v>1808</v>
      </c>
      <c r="K2500" s="10">
        <v>1</v>
      </c>
      <c r="L2500" s="10">
        <v>1</v>
      </c>
      <c r="O2500" s="6"/>
      <c r="Q2500" s="42" t="s">
        <v>5682</v>
      </c>
      <c r="R2500" s="42"/>
      <c r="S2500" s="1"/>
    </row>
    <row r="2501" spans="1:19" ht="18.75" hidden="1" customHeight="1" x14ac:dyDescent="0.3">
      <c r="A2501" s="10">
        <v>2500</v>
      </c>
      <c r="B2501" s="10">
        <f>_xlfn.XLOOKUP(1,(VALUE(D2501)&gt;=VALUE(block!$C$3:$C$500))*(VALUE(D2501)&lt;VALUE(block!$C$3:$C$500)+VALUE(block!$D$3:$D$500)),block!$A$3:$A$500,"无匹配",0,1)</f>
        <v>67</v>
      </c>
      <c r="C2501" s="3" t="str">
        <f>B2501 &amp; "-" &amp; COUNTIF($B$2:B2501, B2501)</f>
        <v>67-52</v>
      </c>
      <c r="D2501" s="10">
        <f t="shared" si="8"/>
        <v>15005</v>
      </c>
      <c r="E2501" s="1" t="s">
        <v>6487</v>
      </c>
      <c r="F2501" s="1" t="s">
        <v>6488</v>
      </c>
      <c r="G2501" s="1" t="s">
        <v>1836</v>
      </c>
      <c r="H2501" s="1" t="s">
        <v>1812</v>
      </c>
      <c r="I2501" s="10" t="str">
        <f>IF(H2501="T18",1,IF(H2501="T18",3,IF(H2501="T34",6,IF(H2501="T34",10,IF(H2501="T66",14,IF(H2501="T66",18,IF(H2501="T34",22,"")))))))</f>
        <v/>
      </c>
      <c r="J2501" s="1" t="s">
        <v>1808</v>
      </c>
      <c r="K2501" s="10">
        <v>2</v>
      </c>
      <c r="L2501" s="10">
        <v>1</v>
      </c>
      <c r="O2501" s="6"/>
      <c r="P2501" s="42" t="s">
        <v>5560</v>
      </c>
      <c r="Q2501" s="42" t="s">
        <v>5682</v>
      </c>
      <c r="R2501" s="42"/>
      <c r="S2501" s="1"/>
    </row>
    <row r="2502" spans="1:19" ht="18.75" hidden="1" customHeight="1" x14ac:dyDescent="0.3">
      <c r="A2502" s="10">
        <v>2501</v>
      </c>
      <c r="B2502" s="10">
        <f>_xlfn.XLOOKUP(1,(VALUE(D2502)&gt;=VALUE(block!$C$3:$C$500))*(VALUE(D2502)&lt;VALUE(block!$C$3:$C$500)+VALUE(block!$D$3:$D$500)),block!$A$3:$A$500,"无匹配",0,1)</f>
        <v>67</v>
      </c>
      <c r="C2502" s="3" t="str">
        <f>B2502 &amp; "-" &amp; COUNTIF($B$2:B2502, B2502)</f>
        <v>67-53</v>
      </c>
      <c r="D2502" s="10">
        <f t="shared" si="8"/>
        <v>15007</v>
      </c>
      <c r="E2502" s="3" t="s">
        <v>6489</v>
      </c>
      <c r="F2502" s="1" t="s">
        <v>6490</v>
      </c>
      <c r="H2502" s="3" t="s">
        <v>1838</v>
      </c>
      <c r="I2502" s="10" t="str">
        <f>IF(H2502="T19",1,IF(H2502="T19",3,IF(H2502="T35",6,IF(H2502="T35",10,IF(H2502="T67",14,IF(H2502="T67",18,IF(H2502="T35",22,"")))))))</f>
        <v/>
      </c>
      <c r="J2502" s="1" t="s">
        <v>1808</v>
      </c>
      <c r="K2502" s="10">
        <v>2</v>
      </c>
      <c r="L2502" s="10">
        <v>1</v>
      </c>
      <c r="O2502" s="6"/>
      <c r="Q2502" s="42" t="s">
        <v>5682</v>
      </c>
      <c r="R2502" s="42"/>
      <c r="S2502" s="1"/>
    </row>
    <row r="2503" spans="1:19" ht="18.75" hidden="1" customHeight="1" x14ac:dyDescent="0.3">
      <c r="A2503" s="10">
        <v>2502</v>
      </c>
      <c r="B2503" s="10">
        <f>_xlfn.XLOOKUP(1,(VALUE(D2503)&gt;=VALUE(block!$C$3:$C$500))*(VALUE(D2503)&lt;VALUE(block!$C$3:$C$500)+VALUE(block!$D$3:$D$500)),block!$A$3:$A$500,"无匹配",0,1)</f>
        <v>67</v>
      </c>
      <c r="C2503" s="3" t="str">
        <f>B2503 &amp; "-" &amp; COUNTIF($B$2:B2503, B2503)</f>
        <v>67-54</v>
      </c>
      <c r="D2503" s="10">
        <f t="shared" si="8"/>
        <v>15009</v>
      </c>
      <c r="E2503" s="3" t="s">
        <v>6489</v>
      </c>
      <c r="F2503" s="1" t="s">
        <v>6491</v>
      </c>
      <c r="H2503" s="3" t="s">
        <v>5458</v>
      </c>
      <c r="I2503" s="10" t="str">
        <f>IF(H2503="T20",1,IF(H2503="T20",3,IF(H2503="T36",6,IF(H2503="T36",10,IF(H2503="T68",14,IF(H2503="T68",18,IF(H2503="T36",22,"")))))))</f>
        <v/>
      </c>
      <c r="J2503" s="1" t="s">
        <v>1808</v>
      </c>
      <c r="K2503" s="10">
        <v>1</v>
      </c>
      <c r="L2503" s="10">
        <v>1</v>
      </c>
      <c r="O2503" s="6"/>
      <c r="Q2503" s="42" t="s">
        <v>5682</v>
      </c>
      <c r="R2503" s="42"/>
      <c r="S2503" s="1"/>
    </row>
    <row r="2504" spans="1:19" ht="18.75" hidden="1" customHeight="1" x14ac:dyDescent="0.3">
      <c r="A2504" s="10">
        <v>2503</v>
      </c>
      <c r="B2504" s="10">
        <f>_xlfn.XLOOKUP(1,(VALUE(D2504)&gt;=VALUE(block!$C$3:$C$500))*(VALUE(D2504)&lt;VALUE(block!$C$3:$C$500)+VALUE(block!$D$3:$D$500)),block!$A$3:$A$500,"无匹配",0,1)</f>
        <v>67</v>
      </c>
      <c r="C2504" s="3" t="str">
        <f>B2504 &amp; "-" &amp; COUNTIF($B$2:B2504, B2504)</f>
        <v>67-55</v>
      </c>
      <c r="D2504" s="10">
        <f t="shared" si="8"/>
        <v>15010</v>
      </c>
      <c r="E2504" s="1" t="s">
        <v>6492</v>
      </c>
      <c r="F2504" s="1" t="s">
        <v>6493</v>
      </c>
      <c r="G2504" s="1" t="s">
        <v>1830</v>
      </c>
      <c r="H2504" s="1" t="s">
        <v>1812</v>
      </c>
      <c r="I2504" s="10" t="str">
        <f>IF(H2504="T21",1,IF(H2504="T21",3,IF(H2504="T37",6,IF(H2504="T37",10,IF(H2504="T69",14,IF(H2504="T69",18,IF(H2504="T37",22,"")))))))</f>
        <v/>
      </c>
      <c r="J2504" s="1" t="s">
        <v>1808</v>
      </c>
      <c r="K2504" s="10">
        <v>2</v>
      </c>
      <c r="L2504" s="10">
        <v>1</v>
      </c>
      <c r="O2504" s="6"/>
      <c r="P2504" s="42" t="s">
        <v>5560</v>
      </c>
      <c r="Q2504" s="42" t="s">
        <v>5682</v>
      </c>
      <c r="R2504" s="42"/>
      <c r="S2504" s="1"/>
    </row>
    <row r="2505" spans="1:19" ht="18.75" hidden="1" customHeight="1" x14ac:dyDescent="0.3">
      <c r="A2505" s="10">
        <v>2504</v>
      </c>
      <c r="B2505" s="10">
        <f>_xlfn.XLOOKUP(1,(VALUE(D2505)&gt;=VALUE(block!$C$3:$C$500))*(VALUE(D2505)&lt;VALUE(block!$C$3:$C$500)+VALUE(block!$D$3:$D$500)),block!$A$3:$A$500,"无匹配",0,1)</f>
        <v>67</v>
      </c>
      <c r="C2505" s="3" t="str">
        <f>B2505 &amp; "-" &amp; COUNTIF($B$2:B2505, B2505)</f>
        <v>67-56</v>
      </c>
      <c r="D2505" s="10">
        <f t="shared" si="8"/>
        <v>15012</v>
      </c>
      <c r="E2505" s="3" t="s">
        <v>6494</v>
      </c>
      <c r="F2505" s="1" t="s">
        <v>6495</v>
      </c>
      <c r="H2505" s="3" t="s">
        <v>1838</v>
      </c>
      <c r="I2505" s="10" t="str">
        <f>IF(H2505="T22",1,IF(H2505="T22",3,IF(H2505="T38",6,IF(H2505="T38",10,IF(H2505="T70",14,IF(H2505="T70",18,IF(H2505="T38",22,"")))))))</f>
        <v/>
      </c>
      <c r="J2505" s="1" t="s">
        <v>1808</v>
      </c>
      <c r="K2505" s="10">
        <v>2</v>
      </c>
      <c r="L2505" s="10">
        <v>1</v>
      </c>
      <c r="O2505" s="6"/>
      <c r="Q2505" s="42" t="s">
        <v>5682</v>
      </c>
      <c r="R2505" s="42"/>
      <c r="S2505" s="1"/>
    </row>
    <row r="2506" spans="1:19" ht="18.75" hidden="1" customHeight="1" x14ac:dyDescent="0.3">
      <c r="A2506" s="10">
        <v>2505</v>
      </c>
      <c r="B2506" s="10">
        <f>_xlfn.XLOOKUP(1,(VALUE(D2506)&gt;=VALUE(block!$C$3:$C$500))*(VALUE(D2506)&lt;VALUE(block!$C$3:$C$500)+VALUE(block!$D$3:$D$500)),block!$A$3:$A$500,"无匹配",0,1)</f>
        <v>67</v>
      </c>
      <c r="C2506" s="3" t="str">
        <f>B2506 &amp; "-" &amp; COUNTIF($B$2:B2506, B2506)</f>
        <v>67-57</v>
      </c>
      <c r="D2506" s="10">
        <f t="shared" si="8"/>
        <v>15014</v>
      </c>
      <c r="E2506" s="3" t="s">
        <v>6494</v>
      </c>
      <c r="F2506" s="1" t="s">
        <v>6496</v>
      </c>
      <c r="H2506" s="3" t="s">
        <v>5458</v>
      </c>
      <c r="I2506" s="10" t="str">
        <f>IF(H2506="T23",1,IF(H2506="T23",3,IF(H2506="T39",6,IF(H2506="T39",10,IF(H2506="T71",14,IF(H2506="T71",18,IF(H2506="T39",22,"")))))))</f>
        <v/>
      </c>
      <c r="J2506" s="1" t="s">
        <v>1808</v>
      </c>
      <c r="K2506" s="10">
        <v>1</v>
      </c>
      <c r="L2506" s="10">
        <v>1</v>
      </c>
      <c r="O2506" s="6"/>
      <c r="Q2506" s="42" t="s">
        <v>5682</v>
      </c>
      <c r="R2506" s="42"/>
      <c r="S2506" s="1"/>
    </row>
    <row r="2507" spans="1:19" ht="18.75" hidden="1" customHeight="1" x14ac:dyDescent="0.3">
      <c r="A2507" s="10">
        <v>2506</v>
      </c>
      <c r="B2507" s="10">
        <f>_xlfn.XLOOKUP(1,(VALUE(D2507)&gt;=VALUE(block!$C$3:$C$500))*(VALUE(D2507)&lt;VALUE(block!$C$3:$C$500)+VALUE(block!$D$3:$D$500)),block!$A$3:$A$500,"无匹配",0,1)</f>
        <v>67</v>
      </c>
      <c r="C2507" s="3" t="str">
        <f>B2507 &amp; "-" &amp; COUNTIF($B$2:B2507, B2507)</f>
        <v>67-58</v>
      </c>
      <c r="D2507" s="10">
        <f t="shared" si="8"/>
        <v>15015</v>
      </c>
      <c r="E2507" s="1" t="s">
        <v>6497</v>
      </c>
      <c r="F2507" s="1" t="s">
        <v>6498</v>
      </c>
      <c r="G2507" s="1" t="s">
        <v>1832</v>
      </c>
      <c r="H2507" s="1" t="s">
        <v>1812</v>
      </c>
      <c r="I2507" s="10" t="str">
        <f>IF(H2507="T24",1,IF(H2507="T24",3,IF(H2507="T40",6,IF(H2507="T40",10,IF(H2507="T72",14,IF(H2507="T72",18,IF(H2507="T40",22,"")))))))</f>
        <v/>
      </c>
      <c r="J2507" s="1" t="s">
        <v>1808</v>
      </c>
      <c r="K2507" s="10">
        <v>2</v>
      </c>
      <c r="L2507" s="10">
        <v>1</v>
      </c>
      <c r="O2507" s="6"/>
      <c r="P2507" s="42" t="s">
        <v>5560</v>
      </c>
      <c r="Q2507" s="42" t="s">
        <v>5682</v>
      </c>
      <c r="R2507" s="42"/>
      <c r="S2507" s="1"/>
    </row>
    <row r="2508" spans="1:19" ht="18.75" hidden="1" customHeight="1" x14ac:dyDescent="0.3">
      <c r="A2508" s="10">
        <v>2507</v>
      </c>
      <c r="B2508" s="10">
        <f>_xlfn.XLOOKUP(1,(VALUE(D2508)&gt;=VALUE(block!$C$3:$C$500))*(VALUE(D2508)&lt;VALUE(block!$C$3:$C$500)+VALUE(block!$D$3:$D$500)),block!$A$3:$A$500,"无匹配",0,1)</f>
        <v>67</v>
      </c>
      <c r="C2508" s="3" t="str">
        <f>B2508 &amp; "-" &amp; COUNTIF($B$2:B2508, B2508)</f>
        <v>67-59</v>
      </c>
      <c r="D2508" s="10">
        <f t="shared" si="8"/>
        <v>15017</v>
      </c>
      <c r="E2508" s="3" t="s">
        <v>6499</v>
      </c>
      <c r="F2508" s="1" t="s">
        <v>6500</v>
      </c>
      <c r="H2508" s="3" t="s">
        <v>1838</v>
      </c>
      <c r="I2508" s="10" t="str">
        <f>IF(H2508="T25",1,IF(H2508="T25",3,IF(H2508="T41",6,IF(H2508="T41",10,IF(H2508="T73",14,IF(H2508="T73",18,IF(H2508="T41",22,"")))))))</f>
        <v/>
      </c>
      <c r="J2508" s="1" t="s">
        <v>1808</v>
      </c>
      <c r="K2508" s="10">
        <v>2</v>
      </c>
      <c r="L2508" s="10">
        <v>1</v>
      </c>
      <c r="O2508" s="6"/>
      <c r="Q2508" s="42" t="s">
        <v>5682</v>
      </c>
      <c r="R2508" s="42"/>
      <c r="S2508" s="1"/>
    </row>
    <row r="2509" spans="1:19" ht="18.75" hidden="1" customHeight="1" x14ac:dyDescent="0.3">
      <c r="A2509" s="10">
        <v>2508</v>
      </c>
      <c r="B2509" s="10">
        <f>_xlfn.XLOOKUP(1,(VALUE(D2509)&gt;=VALUE(block!$C$3:$C$500))*(VALUE(D2509)&lt;VALUE(block!$C$3:$C$500)+VALUE(block!$D$3:$D$500)),block!$A$3:$A$500,"无匹配",0,1)</f>
        <v>67</v>
      </c>
      <c r="C2509" s="3" t="str">
        <f>B2509 &amp; "-" &amp; COUNTIF($B$2:B2509, B2509)</f>
        <v>67-60</v>
      </c>
      <c r="D2509" s="10">
        <f t="shared" si="8"/>
        <v>15019</v>
      </c>
      <c r="E2509" s="3" t="s">
        <v>6499</v>
      </c>
      <c r="F2509" s="1" t="s">
        <v>6501</v>
      </c>
      <c r="H2509" s="3" t="s">
        <v>5458</v>
      </c>
      <c r="I2509" s="10" t="str">
        <f>IF(H2509="T26",1,IF(H2509="T26",3,IF(H2509="T42",6,IF(H2509="T42",10,IF(H2509="T74",14,IF(H2509="T74",18,IF(H2509="T42",22,"")))))))</f>
        <v/>
      </c>
      <c r="J2509" s="1" t="s">
        <v>1808</v>
      </c>
      <c r="K2509" s="10">
        <v>1</v>
      </c>
      <c r="L2509" s="10">
        <v>1</v>
      </c>
      <c r="O2509" s="6"/>
      <c r="Q2509" s="42" t="s">
        <v>5682</v>
      </c>
      <c r="R2509" s="42"/>
      <c r="S2509" s="1"/>
    </row>
    <row r="2510" spans="1:19" ht="18.75" hidden="1" customHeight="1" x14ac:dyDescent="0.3">
      <c r="A2510" s="10">
        <v>2509</v>
      </c>
      <c r="B2510" s="10">
        <f>_xlfn.XLOOKUP(1,(VALUE(D2510)&gt;=VALUE(block!$C$3:$C$500))*(VALUE(D2510)&lt;VALUE(block!$C$3:$C$500)+VALUE(block!$D$3:$D$500)),block!$A$3:$A$500,"无匹配",0,1)</f>
        <v>67</v>
      </c>
      <c r="C2510" s="3" t="str">
        <f>B2510 &amp; "-" &amp; COUNTIF($B$2:B2510, B2510)</f>
        <v>67-61</v>
      </c>
      <c r="D2510" s="10">
        <f t="shared" si="8"/>
        <v>15020</v>
      </c>
      <c r="E2510" s="1" t="s">
        <v>6502</v>
      </c>
      <c r="F2510" s="1" t="s">
        <v>6503</v>
      </c>
      <c r="G2510" s="1" t="s">
        <v>1832</v>
      </c>
      <c r="H2510" s="1" t="s">
        <v>1812</v>
      </c>
      <c r="I2510" s="10" t="str">
        <f>IF(H2510="T27",1,IF(H2510="T27",3,IF(H2510="T43",6,IF(H2510="T43",10,IF(H2510="T75",14,IF(H2510="T75",18,IF(H2510="T43",22,"")))))))</f>
        <v/>
      </c>
      <c r="J2510" s="1" t="s">
        <v>1808</v>
      </c>
      <c r="K2510" s="10">
        <v>2</v>
      </c>
      <c r="L2510" s="10">
        <v>1</v>
      </c>
      <c r="O2510" s="6"/>
      <c r="P2510" s="42" t="s">
        <v>5560</v>
      </c>
      <c r="Q2510" s="42" t="s">
        <v>5682</v>
      </c>
      <c r="R2510" s="42"/>
      <c r="S2510" s="1"/>
    </row>
    <row r="2511" spans="1:19" ht="18.75" hidden="1" customHeight="1" x14ac:dyDescent="0.3">
      <c r="A2511" s="10">
        <v>2510</v>
      </c>
      <c r="B2511" s="10">
        <f>_xlfn.XLOOKUP(1,(VALUE(D2511)&gt;=VALUE(block!$C$3:$C$500))*(VALUE(D2511)&lt;VALUE(block!$C$3:$C$500)+VALUE(block!$D$3:$D$500)),block!$A$3:$A$500,"无匹配",0,1)</f>
        <v>67</v>
      </c>
      <c r="C2511" s="3" t="str">
        <f>B2511 &amp; "-" &amp; COUNTIF($B$2:B2511, B2511)</f>
        <v>67-62</v>
      </c>
      <c r="D2511" s="10">
        <f t="shared" si="8"/>
        <v>15022</v>
      </c>
      <c r="E2511" s="3" t="s">
        <v>6504</v>
      </c>
      <c r="F2511" s="1" t="s">
        <v>6505</v>
      </c>
      <c r="H2511" s="3" t="s">
        <v>1838</v>
      </c>
      <c r="I2511" s="10" t="str">
        <f>IF(H2511="T28",1,IF(H2511="T28",3,IF(H2511="T44",6,IF(H2511="T44",10,IF(H2511="T76",14,IF(H2511="T76",18,IF(H2511="T44",22,"")))))))</f>
        <v/>
      </c>
      <c r="J2511" s="1" t="s">
        <v>1808</v>
      </c>
      <c r="K2511" s="10">
        <v>2</v>
      </c>
      <c r="L2511" s="10">
        <v>1</v>
      </c>
      <c r="O2511" s="6"/>
      <c r="Q2511" s="42" t="s">
        <v>5682</v>
      </c>
      <c r="R2511" s="42"/>
      <c r="S2511" s="1"/>
    </row>
    <row r="2512" spans="1:19" ht="18.75" hidden="1" customHeight="1" x14ac:dyDescent="0.3">
      <c r="A2512" s="10">
        <v>2511</v>
      </c>
      <c r="B2512" s="10">
        <f>_xlfn.XLOOKUP(1,(VALUE(D2512)&gt;=VALUE(block!$C$3:$C$500))*(VALUE(D2512)&lt;VALUE(block!$C$3:$C$500)+VALUE(block!$D$3:$D$500)),block!$A$3:$A$500,"无匹配",0,1)</f>
        <v>67</v>
      </c>
      <c r="C2512" s="3" t="str">
        <f>B2512 &amp; "-" &amp; COUNTIF($B$2:B2512, B2512)</f>
        <v>67-63</v>
      </c>
      <c r="D2512" s="10">
        <f t="shared" si="8"/>
        <v>15024</v>
      </c>
      <c r="E2512" s="3" t="s">
        <v>6504</v>
      </c>
      <c r="F2512" s="1" t="s">
        <v>6506</v>
      </c>
      <c r="H2512" s="3" t="s">
        <v>5458</v>
      </c>
      <c r="I2512" s="10" t="str">
        <f>IF(H2512="T29",1,IF(H2512="T29",3,IF(H2512="T45",6,IF(H2512="T45",10,IF(H2512="T77",14,IF(H2512="T77",18,IF(H2512="T45",22,"")))))))</f>
        <v/>
      </c>
      <c r="J2512" s="1" t="s">
        <v>1808</v>
      </c>
      <c r="K2512" s="10">
        <v>1</v>
      </c>
      <c r="L2512" s="10">
        <v>1</v>
      </c>
      <c r="O2512" s="6"/>
      <c r="Q2512" s="42" t="s">
        <v>5682</v>
      </c>
      <c r="R2512" s="42"/>
      <c r="S2512" s="1"/>
    </row>
    <row r="2513" spans="1:19" ht="18.75" hidden="1" customHeight="1" x14ac:dyDescent="0.3">
      <c r="A2513" s="10">
        <v>2512</v>
      </c>
      <c r="B2513" s="10">
        <f>_xlfn.XLOOKUP(1,(VALUE(D2513)&gt;=VALUE(block!$C$3:$C$500))*(VALUE(D2513)&lt;VALUE(block!$C$3:$C$500)+VALUE(block!$D$3:$D$500)),block!$A$3:$A$500,"无匹配",0,1)</f>
        <v>67</v>
      </c>
      <c r="C2513" s="3" t="str">
        <f>B2513 &amp; "-" &amp; COUNTIF($B$2:B2513, B2513)</f>
        <v>67-64</v>
      </c>
      <c r="D2513" s="10">
        <f t="shared" si="8"/>
        <v>15025</v>
      </c>
      <c r="E2513" s="1" t="s">
        <v>6507</v>
      </c>
      <c r="F2513" s="1" t="s">
        <v>6508</v>
      </c>
      <c r="G2513" s="1" t="s">
        <v>1834</v>
      </c>
      <c r="H2513" s="1" t="s">
        <v>1812</v>
      </c>
      <c r="I2513" s="10" t="str">
        <f>IF(H2513="T30",1,IF(H2513="T30",3,IF(H2513="T46",6,IF(H2513="T46",10,IF(H2513="T78",14,IF(H2513="T78",18,IF(H2513="T46",22,"")))))))</f>
        <v/>
      </c>
      <c r="J2513" s="1" t="s">
        <v>1808</v>
      </c>
      <c r="K2513" s="10">
        <v>2</v>
      </c>
      <c r="L2513" s="10">
        <v>1</v>
      </c>
      <c r="O2513" s="6"/>
      <c r="P2513" s="42" t="s">
        <v>5560</v>
      </c>
      <c r="Q2513" s="42" t="s">
        <v>5682</v>
      </c>
      <c r="R2513" s="42"/>
      <c r="S2513" s="1"/>
    </row>
    <row r="2514" spans="1:19" ht="18.75" hidden="1" customHeight="1" x14ac:dyDescent="0.3">
      <c r="A2514" s="10">
        <v>2513</v>
      </c>
      <c r="B2514" s="10">
        <f>_xlfn.XLOOKUP(1,(VALUE(D2514)&gt;=VALUE(block!$C$3:$C$500))*(VALUE(D2514)&lt;VALUE(block!$C$3:$C$500)+VALUE(block!$D$3:$D$500)),block!$A$3:$A$500,"无匹配",0,1)</f>
        <v>67</v>
      </c>
      <c r="C2514" s="3" t="str">
        <f>B2514 &amp; "-" &amp; COUNTIF($B$2:B2514, B2514)</f>
        <v>67-65</v>
      </c>
      <c r="D2514" s="10">
        <f t="shared" si="8"/>
        <v>15027</v>
      </c>
      <c r="E2514" s="3" t="s">
        <v>6509</v>
      </c>
      <c r="F2514" s="1" t="s">
        <v>6510</v>
      </c>
      <c r="H2514" s="3" t="s">
        <v>1838</v>
      </c>
      <c r="I2514" s="10" t="str">
        <f>IF(H2514="T31",1,IF(H2514="T31",3,IF(H2514="T47",6,IF(H2514="T47",10,IF(H2514="T79",14,IF(H2514="T79",18,IF(H2514="T47",22,"")))))))</f>
        <v/>
      </c>
      <c r="J2514" s="1" t="s">
        <v>1808</v>
      </c>
      <c r="K2514" s="10">
        <v>2</v>
      </c>
      <c r="L2514" s="10">
        <v>1</v>
      </c>
      <c r="O2514" s="6"/>
      <c r="Q2514" s="42" t="s">
        <v>5682</v>
      </c>
      <c r="R2514" s="42"/>
      <c r="S2514" s="1"/>
    </row>
    <row r="2515" spans="1:19" ht="18.75" hidden="1" customHeight="1" x14ac:dyDescent="0.3">
      <c r="A2515" s="10">
        <v>2514</v>
      </c>
      <c r="B2515" s="10">
        <f>_xlfn.XLOOKUP(1,(VALUE(D2515)&gt;=VALUE(block!$C$3:$C$500))*(VALUE(D2515)&lt;VALUE(block!$C$3:$C$500)+VALUE(block!$D$3:$D$500)),block!$A$3:$A$500,"无匹配",0,1)</f>
        <v>67</v>
      </c>
      <c r="C2515" s="3" t="str">
        <f>B2515 &amp; "-" &amp; COUNTIF($B$2:B2515, B2515)</f>
        <v>67-66</v>
      </c>
      <c r="D2515" s="10">
        <f t="shared" si="8"/>
        <v>15029</v>
      </c>
      <c r="E2515" s="3" t="s">
        <v>6509</v>
      </c>
      <c r="F2515" s="1" t="s">
        <v>6511</v>
      </c>
      <c r="H2515" s="3" t="s">
        <v>5458</v>
      </c>
      <c r="I2515" s="10" t="str">
        <f>IF(H2515="T32",1,IF(H2515="T32",3,IF(H2515="T48",6,IF(H2515="T48",10,IF(H2515="T80",14,IF(H2515="T80",18,IF(H2515="T48",22,"")))))))</f>
        <v/>
      </c>
      <c r="J2515" s="1" t="s">
        <v>1808</v>
      </c>
      <c r="K2515" s="10">
        <v>1</v>
      </c>
      <c r="L2515" s="10">
        <v>1</v>
      </c>
      <c r="O2515" s="6"/>
      <c r="Q2515" s="42" t="s">
        <v>5682</v>
      </c>
      <c r="R2515" s="42"/>
      <c r="S2515" s="1"/>
    </row>
    <row r="2516" spans="1:19" ht="18.75" hidden="1" customHeight="1" x14ac:dyDescent="0.3">
      <c r="A2516" s="10">
        <v>2515</v>
      </c>
      <c r="B2516" s="10">
        <f>_xlfn.XLOOKUP(1,(VALUE(D2516)&gt;=VALUE(block!$C$3:$C$500))*(VALUE(D2516)&lt;VALUE(block!$C$3:$C$500)+VALUE(block!$D$3:$D$500)),block!$A$3:$A$500,"无匹配",0,1)</f>
        <v>67</v>
      </c>
      <c r="C2516" s="3" t="str">
        <f>B2516 &amp; "-" &amp; COUNTIF($B$2:B2516, B2516)</f>
        <v>67-67</v>
      </c>
      <c r="D2516" s="10">
        <f t="shared" si="8"/>
        <v>15030</v>
      </c>
      <c r="E2516" s="1" t="s">
        <v>6512</v>
      </c>
      <c r="F2516" s="1" t="s">
        <v>6513</v>
      </c>
      <c r="G2516" s="1" t="s">
        <v>1834</v>
      </c>
      <c r="H2516" s="1" t="s">
        <v>1812</v>
      </c>
      <c r="I2516" s="10" t="str">
        <f>IF(H2516="T33",1,IF(H2516="T33",3,IF(H2516="T49",6,IF(H2516="T49",10,IF(H2516="T81",14,IF(H2516="T81",18,IF(H2516="T49",22,"")))))))</f>
        <v/>
      </c>
      <c r="J2516" s="1" t="s">
        <v>1808</v>
      </c>
      <c r="K2516" s="10">
        <v>2</v>
      </c>
      <c r="L2516" s="10">
        <v>1</v>
      </c>
      <c r="O2516" s="6"/>
      <c r="P2516" s="42" t="s">
        <v>5560</v>
      </c>
      <c r="Q2516" s="42" t="s">
        <v>5682</v>
      </c>
      <c r="R2516" s="42"/>
      <c r="S2516" s="1"/>
    </row>
    <row r="2517" spans="1:19" ht="18.75" hidden="1" customHeight="1" x14ac:dyDescent="0.3">
      <c r="A2517" s="10">
        <v>2516</v>
      </c>
      <c r="B2517" s="10">
        <f>_xlfn.XLOOKUP(1,(VALUE(D2517)&gt;=VALUE(block!$C$3:$C$500))*(VALUE(D2517)&lt;VALUE(block!$C$3:$C$500)+VALUE(block!$D$3:$D$500)),block!$A$3:$A$500,"无匹配",0,1)</f>
        <v>67</v>
      </c>
      <c r="C2517" s="3" t="str">
        <f>B2517 &amp; "-" &amp; COUNTIF($B$2:B2517, B2517)</f>
        <v>67-68</v>
      </c>
      <c r="D2517" s="10">
        <f t="shared" si="8"/>
        <v>15032</v>
      </c>
      <c r="E2517" s="3" t="s">
        <v>6514</v>
      </c>
      <c r="F2517" s="1" t="s">
        <v>6515</v>
      </c>
      <c r="H2517" s="3" t="s">
        <v>1838</v>
      </c>
      <c r="I2517" s="10" t="str">
        <f>IF(H2517="T34",1,IF(H2517="T34",3,IF(H2517="T50",6,IF(H2517="T50",10,IF(H2517="T82",14,IF(H2517="T82",18,IF(H2517="T50",22,"")))))))</f>
        <v/>
      </c>
      <c r="J2517" s="1" t="s">
        <v>1808</v>
      </c>
      <c r="K2517" s="10">
        <v>2</v>
      </c>
      <c r="L2517" s="10">
        <v>1</v>
      </c>
      <c r="O2517" s="6"/>
      <c r="Q2517" s="42" t="s">
        <v>5682</v>
      </c>
      <c r="R2517" s="42"/>
      <c r="S2517" s="1"/>
    </row>
    <row r="2518" spans="1:19" ht="18.75" hidden="1" customHeight="1" x14ac:dyDescent="0.3">
      <c r="A2518" s="10">
        <v>2517</v>
      </c>
      <c r="B2518" s="10">
        <f>_xlfn.XLOOKUP(1,(VALUE(D2518)&gt;=VALUE(block!$C$3:$C$500))*(VALUE(D2518)&lt;VALUE(block!$C$3:$C$500)+VALUE(block!$D$3:$D$500)),block!$A$3:$A$500,"无匹配",0,1)</f>
        <v>67</v>
      </c>
      <c r="C2518" s="3" t="str">
        <f>B2518 &amp; "-" &amp; COUNTIF($B$2:B2518, B2518)</f>
        <v>67-69</v>
      </c>
      <c r="D2518" s="10">
        <f t="shared" si="8"/>
        <v>15034</v>
      </c>
      <c r="E2518" s="3" t="s">
        <v>6514</v>
      </c>
      <c r="F2518" s="1" t="s">
        <v>6516</v>
      </c>
      <c r="H2518" s="3" t="s">
        <v>5458</v>
      </c>
      <c r="I2518" s="10" t="str">
        <f>IF(H2518="T35",1,IF(H2518="T35",3,IF(H2518="T51",6,IF(H2518="T51",10,IF(H2518="T83",14,IF(H2518="T83",18,IF(H2518="T51",22,"")))))))</f>
        <v/>
      </c>
      <c r="J2518" s="1" t="s">
        <v>1808</v>
      </c>
      <c r="K2518" s="10">
        <v>1</v>
      </c>
      <c r="L2518" s="10">
        <v>1</v>
      </c>
      <c r="O2518" s="6"/>
      <c r="Q2518" s="42" t="s">
        <v>5682</v>
      </c>
      <c r="R2518" s="42"/>
      <c r="S2518" s="1"/>
    </row>
    <row r="2519" spans="1:19" ht="18.75" hidden="1" customHeight="1" x14ac:dyDescent="0.3">
      <c r="A2519" s="10">
        <v>2518</v>
      </c>
      <c r="B2519" s="10">
        <f>_xlfn.XLOOKUP(1,(VALUE(D2519)&gt;=VALUE(block!$C$3:$C$500))*(VALUE(D2519)&lt;VALUE(block!$C$3:$C$500)+VALUE(block!$D$3:$D$500)),block!$A$3:$A$500,"无匹配",0,1)</f>
        <v>67</v>
      </c>
      <c r="C2519" s="3" t="str">
        <f>B2519 &amp; "-" &amp; COUNTIF($B$2:B2519, B2519)</f>
        <v>67-70</v>
      </c>
      <c r="D2519" s="10">
        <f t="shared" si="8"/>
        <v>15035</v>
      </c>
      <c r="E2519" s="1" t="s">
        <v>6517</v>
      </c>
      <c r="F2519" s="1" t="s">
        <v>6518</v>
      </c>
      <c r="G2519" s="1" t="s">
        <v>1836</v>
      </c>
      <c r="H2519" s="1" t="s">
        <v>1812</v>
      </c>
      <c r="I2519" s="10" t="str">
        <f>IF(H2519="T36",1,IF(H2519="T36",3,IF(H2519="T52",6,IF(H2519="T52",10,IF(H2519="T84",14,IF(H2519="T84",18,IF(H2519="T52",22,"")))))))</f>
        <v/>
      </c>
      <c r="J2519" s="1" t="s">
        <v>1808</v>
      </c>
      <c r="K2519" s="10">
        <v>2</v>
      </c>
      <c r="L2519" s="10">
        <v>1</v>
      </c>
      <c r="O2519" s="6"/>
      <c r="P2519" s="42" t="s">
        <v>5560</v>
      </c>
      <c r="Q2519" s="42" t="s">
        <v>5682</v>
      </c>
      <c r="R2519" s="42"/>
      <c r="S2519" s="1"/>
    </row>
    <row r="2520" spans="1:19" ht="18.75" hidden="1" customHeight="1" x14ac:dyDescent="0.3">
      <c r="A2520" s="10">
        <v>2519</v>
      </c>
      <c r="B2520" s="10">
        <f>_xlfn.XLOOKUP(1,(VALUE(D2520)&gt;=VALUE(block!$C$3:$C$500))*(VALUE(D2520)&lt;VALUE(block!$C$3:$C$500)+VALUE(block!$D$3:$D$500)),block!$A$3:$A$500,"无匹配",0,1)</f>
        <v>67</v>
      </c>
      <c r="C2520" s="3" t="str">
        <f>B2520 &amp; "-" &amp; COUNTIF($B$2:B2520, B2520)</f>
        <v>67-71</v>
      </c>
      <c r="D2520" s="10">
        <f t="shared" si="8"/>
        <v>15037</v>
      </c>
      <c r="E2520" s="3" t="s">
        <v>6519</v>
      </c>
      <c r="F2520" s="1" t="s">
        <v>6520</v>
      </c>
      <c r="H2520" s="3" t="s">
        <v>1838</v>
      </c>
      <c r="I2520" s="10" t="str">
        <f>IF(H2520="T37",1,IF(H2520="T37",3,IF(H2520="T53",6,IF(H2520="T53",10,IF(H2520="T85",14,IF(H2520="T85",18,IF(H2520="T53",22,"")))))))</f>
        <v/>
      </c>
      <c r="J2520" s="1" t="s">
        <v>1808</v>
      </c>
      <c r="K2520" s="10">
        <v>2</v>
      </c>
      <c r="L2520" s="10">
        <v>1</v>
      </c>
      <c r="O2520" s="6"/>
      <c r="Q2520" s="42" t="s">
        <v>5682</v>
      </c>
      <c r="R2520" s="42"/>
      <c r="S2520" s="1"/>
    </row>
    <row r="2521" spans="1:19" ht="18.75" hidden="1" customHeight="1" x14ac:dyDescent="0.3">
      <c r="A2521" s="10">
        <v>2520</v>
      </c>
      <c r="B2521" s="10">
        <f>_xlfn.XLOOKUP(1,(VALUE(D2521)&gt;=VALUE(block!$C$3:$C$500))*(VALUE(D2521)&lt;VALUE(block!$C$3:$C$500)+VALUE(block!$D$3:$D$500)),block!$A$3:$A$500,"无匹配",0,1)</f>
        <v>67</v>
      </c>
      <c r="C2521" s="3" t="str">
        <f>B2521 &amp; "-" &amp; COUNTIF($B$2:B2521, B2521)</f>
        <v>67-72</v>
      </c>
      <c r="D2521" s="10">
        <f t="shared" si="8"/>
        <v>15039</v>
      </c>
      <c r="E2521" s="3" t="s">
        <v>6519</v>
      </c>
      <c r="F2521" s="1" t="s">
        <v>6521</v>
      </c>
      <c r="H2521" s="3" t="s">
        <v>5458</v>
      </c>
      <c r="I2521" s="10" t="str">
        <f>IF(H2521="T38",1,IF(H2521="T38",3,IF(H2521="T54",6,IF(H2521="T54",10,IF(H2521="T86",14,IF(H2521="T86",18,IF(H2521="T54",22,"")))))))</f>
        <v/>
      </c>
      <c r="J2521" s="1" t="s">
        <v>1808</v>
      </c>
      <c r="K2521" s="10">
        <v>1</v>
      </c>
      <c r="L2521" s="10">
        <v>1</v>
      </c>
      <c r="O2521" s="6"/>
      <c r="Q2521" s="42" t="s">
        <v>5682</v>
      </c>
      <c r="R2521" s="42"/>
      <c r="S2521" s="1"/>
    </row>
    <row r="2522" spans="1:19" ht="18.75" hidden="1" customHeight="1" x14ac:dyDescent="0.3">
      <c r="A2522" s="10">
        <v>2521</v>
      </c>
      <c r="B2522" s="10">
        <f>_xlfn.XLOOKUP(1,(VALUE(D2522)&gt;=VALUE(block!$C$3:$C$500))*(VALUE(D2522)&lt;VALUE(block!$C$3:$C$500)+VALUE(block!$D$3:$D$500)),block!$A$3:$A$500,"无匹配",0,1)</f>
        <v>68</v>
      </c>
      <c r="C2522" s="3" t="str">
        <f>B2522 &amp; "-" &amp; COUNTIF($B$2:B2522, B2522)</f>
        <v>68-1</v>
      </c>
      <c r="D2522" s="10">
        <f t="shared" si="8"/>
        <v>15040</v>
      </c>
      <c r="E2522" s="1" t="s">
        <v>6522</v>
      </c>
      <c r="F2522" s="1" t="s">
        <v>6523</v>
      </c>
      <c r="G2522" s="1" t="s">
        <v>1830</v>
      </c>
      <c r="H2522" s="1" t="s">
        <v>1812</v>
      </c>
      <c r="I2522" s="10" t="str">
        <f>IF(H2522="T39",1,IF(H2522="T39",3,IF(H2522="T55",6,IF(H2522="T55",10,IF(H2522="T87",14,IF(H2522="T87",18,IF(H2522="T55",22,"")))))))</f>
        <v/>
      </c>
      <c r="J2522" s="1" t="s">
        <v>1808</v>
      </c>
      <c r="K2522" s="10">
        <v>2</v>
      </c>
      <c r="L2522" s="10">
        <v>1</v>
      </c>
      <c r="O2522" s="6"/>
      <c r="P2522" s="42" t="s">
        <v>5560</v>
      </c>
      <c r="Q2522" s="42" t="s">
        <v>5682</v>
      </c>
      <c r="R2522" s="42"/>
      <c r="S2522" s="1"/>
    </row>
    <row r="2523" spans="1:19" ht="18.75" hidden="1" customHeight="1" x14ac:dyDescent="0.3">
      <c r="A2523" s="10">
        <v>2522</v>
      </c>
      <c r="B2523" s="10">
        <f>_xlfn.XLOOKUP(1,(VALUE(D2523)&gt;=VALUE(block!$C$3:$C$500))*(VALUE(D2523)&lt;VALUE(block!$C$3:$C$500)+VALUE(block!$D$3:$D$500)),block!$A$3:$A$500,"无匹配",0,1)</f>
        <v>68</v>
      </c>
      <c r="C2523" s="3" t="str">
        <f>B2523 &amp; "-" &amp; COUNTIF($B$2:B2523, B2523)</f>
        <v>68-2</v>
      </c>
      <c r="D2523" s="10">
        <f t="shared" ref="D2523:D2586" si="9">D2522+K2522</f>
        <v>15042</v>
      </c>
      <c r="E2523" s="3" t="s">
        <v>6524</v>
      </c>
      <c r="F2523" s="1" t="s">
        <v>6525</v>
      </c>
      <c r="H2523" s="3" t="s">
        <v>1838</v>
      </c>
      <c r="I2523" s="10" t="str">
        <f>IF(H2523="T40",1,IF(H2523="T40",3,IF(H2523="T56",6,IF(H2523="T56",10,IF(H2523="T88",14,IF(H2523="T88",18,IF(H2523="T56",22,"")))))))</f>
        <v/>
      </c>
      <c r="J2523" s="1" t="s">
        <v>1808</v>
      </c>
      <c r="K2523" s="10">
        <v>2</v>
      </c>
      <c r="L2523" s="10">
        <v>1</v>
      </c>
      <c r="O2523" s="6"/>
      <c r="Q2523" s="42" t="s">
        <v>5682</v>
      </c>
      <c r="R2523" s="42"/>
      <c r="S2523" s="1"/>
    </row>
    <row r="2524" spans="1:19" ht="18.75" hidden="1" customHeight="1" x14ac:dyDescent="0.3">
      <c r="A2524" s="10">
        <v>2523</v>
      </c>
      <c r="B2524" s="10">
        <f>_xlfn.XLOOKUP(1,(VALUE(D2524)&gt;=VALUE(block!$C$3:$C$500))*(VALUE(D2524)&lt;VALUE(block!$C$3:$C$500)+VALUE(block!$D$3:$D$500)),block!$A$3:$A$500,"无匹配",0,1)</f>
        <v>68</v>
      </c>
      <c r="C2524" s="3" t="str">
        <f>B2524 &amp; "-" &amp; COUNTIF($B$2:B2524, B2524)</f>
        <v>68-3</v>
      </c>
      <c r="D2524" s="10">
        <f t="shared" si="9"/>
        <v>15044</v>
      </c>
      <c r="E2524" s="3" t="s">
        <v>6524</v>
      </c>
      <c r="F2524" s="1" t="s">
        <v>6526</v>
      </c>
      <c r="H2524" s="3" t="s">
        <v>5458</v>
      </c>
      <c r="I2524" s="10" t="str">
        <f>IF(H2524="T41",1,IF(H2524="T41",3,IF(H2524="T57",6,IF(H2524="T57",10,IF(H2524="T89",14,IF(H2524="T89",18,IF(H2524="T57",22,"")))))))</f>
        <v/>
      </c>
      <c r="J2524" s="1" t="s">
        <v>1808</v>
      </c>
      <c r="K2524" s="10">
        <v>1</v>
      </c>
      <c r="L2524" s="10">
        <v>1</v>
      </c>
      <c r="O2524" s="6"/>
      <c r="Q2524" s="42" t="s">
        <v>5682</v>
      </c>
      <c r="R2524" s="42"/>
      <c r="S2524" s="1"/>
    </row>
    <row r="2525" spans="1:19" ht="18.75" hidden="1" customHeight="1" x14ac:dyDescent="0.3">
      <c r="A2525" s="10">
        <v>2524</v>
      </c>
      <c r="B2525" s="10">
        <f>_xlfn.XLOOKUP(1,(VALUE(D2525)&gt;=VALUE(block!$C$3:$C$500))*(VALUE(D2525)&lt;VALUE(block!$C$3:$C$500)+VALUE(block!$D$3:$D$500)),block!$A$3:$A$500,"无匹配",0,1)</f>
        <v>68</v>
      </c>
      <c r="C2525" s="3" t="str">
        <f>B2525 &amp; "-" &amp; COUNTIF($B$2:B2525, B2525)</f>
        <v>68-4</v>
      </c>
      <c r="D2525" s="10">
        <f t="shared" si="9"/>
        <v>15045</v>
      </c>
      <c r="E2525" s="1" t="s">
        <v>6527</v>
      </c>
      <c r="F2525" s="1" t="s">
        <v>6528</v>
      </c>
      <c r="G2525" s="1" t="s">
        <v>1832</v>
      </c>
      <c r="H2525" s="1" t="s">
        <v>1812</v>
      </c>
      <c r="I2525" s="10" t="str">
        <f>IF(H2525="T42",1,IF(H2525="T42",3,IF(H2525="T58",6,IF(H2525="T58",10,IF(H2525="T90",14,IF(H2525="T90",18,IF(H2525="T58",22,"")))))))</f>
        <v/>
      </c>
      <c r="J2525" s="1" t="s">
        <v>1808</v>
      </c>
      <c r="K2525" s="10">
        <v>2</v>
      </c>
      <c r="L2525" s="10">
        <v>1</v>
      </c>
      <c r="O2525" s="6"/>
      <c r="P2525" s="42" t="s">
        <v>5560</v>
      </c>
      <c r="Q2525" s="42" t="s">
        <v>5682</v>
      </c>
      <c r="R2525" s="42"/>
      <c r="S2525" s="1"/>
    </row>
    <row r="2526" spans="1:19" ht="18.75" hidden="1" customHeight="1" x14ac:dyDescent="0.3">
      <c r="A2526" s="10">
        <v>2525</v>
      </c>
      <c r="B2526" s="10">
        <f>_xlfn.XLOOKUP(1,(VALUE(D2526)&gt;=VALUE(block!$C$3:$C$500))*(VALUE(D2526)&lt;VALUE(block!$C$3:$C$500)+VALUE(block!$D$3:$D$500)),block!$A$3:$A$500,"无匹配",0,1)</f>
        <v>68</v>
      </c>
      <c r="C2526" s="3" t="str">
        <f>B2526 &amp; "-" &amp; COUNTIF($B$2:B2526, B2526)</f>
        <v>68-5</v>
      </c>
      <c r="D2526" s="10">
        <f t="shared" si="9"/>
        <v>15047</v>
      </c>
      <c r="E2526" s="3" t="s">
        <v>6529</v>
      </c>
      <c r="F2526" s="1" t="s">
        <v>6530</v>
      </c>
      <c r="H2526" s="3" t="s">
        <v>1838</v>
      </c>
      <c r="I2526" s="10" t="str">
        <f>IF(H2526="T43",1,IF(H2526="T43",3,IF(H2526="T59",6,IF(H2526="T59",10,IF(H2526="T91",14,IF(H2526="T91",18,IF(H2526="T59",22,"")))))))</f>
        <v/>
      </c>
      <c r="J2526" s="1" t="s">
        <v>1808</v>
      </c>
      <c r="K2526" s="10">
        <v>2</v>
      </c>
      <c r="L2526" s="10">
        <v>1</v>
      </c>
      <c r="O2526" s="6"/>
      <c r="Q2526" s="42" t="s">
        <v>5682</v>
      </c>
      <c r="R2526" s="42"/>
      <c r="S2526" s="1"/>
    </row>
    <row r="2527" spans="1:19" ht="18.75" hidden="1" customHeight="1" x14ac:dyDescent="0.3">
      <c r="A2527" s="10">
        <v>2526</v>
      </c>
      <c r="B2527" s="10">
        <f>_xlfn.XLOOKUP(1,(VALUE(D2527)&gt;=VALUE(block!$C$3:$C$500))*(VALUE(D2527)&lt;VALUE(block!$C$3:$C$500)+VALUE(block!$D$3:$D$500)),block!$A$3:$A$500,"无匹配",0,1)</f>
        <v>68</v>
      </c>
      <c r="C2527" s="3" t="str">
        <f>B2527 &amp; "-" &amp; COUNTIF($B$2:B2527, B2527)</f>
        <v>68-6</v>
      </c>
      <c r="D2527" s="10">
        <f t="shared" si="9"/>
        <v>15049</v>
      </c>
      <c r="E2527" s="3" t="s">
        <v>6529</v>
      </c>
      <c r="F2527" s="1" t="s">
        <v>6531</v>
      </c>
      <c r="H2527" s="3" t="s">
        <v>5458</v>
      </c>
      <c r="I2527" s="10" t="str">
        <f>IF(H2527="T44",1,IF(H2527="T44",3,IF(H2527="T60",6,IF(H2527="T60",10,IF(H2527="T92",14,IF(H2527="T92",18,IF(H2527="T60",22,"")))))))</f>
        <v/>
      </c>
      <c r="J2527" s="1" t="s">
        <v>1808</v>
      </c>
      <c r="K2527" s="10">
        <v>1</v>
      </c>
      <c r="L2527" s="10">
        <v>1</v>
      </c>
      <c r="O2527" s="6"/>
      <c r="Q2527" s="42" t="s">
        <v>5682</v>
      </c>
      <c r="R2527" s="42"/>
      <c r="S2527" s="1"/>
    </row>
    <row r="2528" spans="1:19" ht="18.75" hidden="1" customHeight="1" x14ac:dyDescent="0.3">
      <c r="A2528" s="10">
        <v>2527</v>
      </c>
      <c r="B2528" s="10">
        <f>_xlfn.XLOOKUP(1,(VALUE(D2528)&gt;=VALUE(block!$C$3:$C$500))*(VALUE(D2528)&lt;VALUE(block!$C$3:$C$500)+VALUE(block!$D$3:$D$500)),block!$A$3:$A$500,"无匹配",0,1)</f>
        <v>68</v>
      </c>
      <c r="C2528" s="3" t="str">
        <f>B2528 &amp; "-" &amp; COUNTIF($B$2:B2528, B2528)</f>
        <v>68-7</v>
      </c>
      <c r="D2528" s="10">
        <f t="shared" si="9"/>
        <v>15050</v>
      </c>
      <c r="E2528" s="1" t="s">
        <v>6532</v>
      </c>
      <c r="F2528" s="1" t="s">
        <v>6533</v>
      </c>
      <c r="G2528" s="1" t="s">
        <v>1832</v>
      </c>
      <c r="H2528" s="1" t="s">
        <v>1812</v>
      </c>
      <c r="I2528" s="10" t="str">
        <f>IF(H2528="T45",1,IF(H2528="T45",3,IF(H2528="T61",6,IF(H2528="T61",10,IF(H2528="T93",14,IF(H2528="T93",18,IF(H2528="T61",22,"")))))))</f>
        <v/>
      </c>
      <c r="J2528" s="1" t="s">
        <v>1808</v>
      </c>
      <c r="K2528" s="10">
        <v>2</v>
      </c>
      <c r="L2528" s="10">
        <v>1</v>
      </c>
      <c r="O2528" s="6"/>
      <c r="P2528" s="42" t="s">
        <v>5560</v>
      </c>
      <c r="Q2528" s="42" t="s">
        <v>5682</v>
      </c>
      <c r="R2528" s="42"/>
      <c r="S2528" s="1"/>
    </row>
    <row r="2529" spans="1:19" ht="18.75" hidden="1" customHeight="1" x14ac:dyDescent="0.3">
      <c r="A2529" s="10">
        <v>2528</v>
      </c>
      <c r="B2529" s="10">
        <f>_xlfn.XLOOKUP(1,(VALUE(D2529)&gt;=VALUE(block!$C$3:$C$500))*(VALUE(D2529)&lt;VALUE(block!$C$3:$C$500)+VALUE(block!$D$3:$D$500)),block!$A$3:$A$500,"无匹配",0,1)</f>
        <v>68</v>
      </c>
      <c r="C2529" s="3" t="str">
        <f>B2529 &amp; "-" &amp; COUNTIF($B$2:B2529, B2529)</f>
        <v>68-8</v>
      </c>
      <c r="D2529" s="10">
        <f t="shared" si="9"/>
        <v>15052</v>
      </c>
      <c r="E2529" s="3" t="s">
        <v>6534</v>
      </c>
      <c r="F2529" s="1" t="s">
        <v>6535</v>
      </c>
      <c r="H2529" s="3" t="s">
        <v>1838</v>
      </c>
      <c r="I2529" s="10" t="str">
        <f>IF(H2529="T46",1,IF(H2529="T46",3,IF(H2529="T62",6,IF(H2529="T62",10,IF(H2529="T94",14,IF(H2529="T94",18,IF(H2529="T62",22,"")))))))</f>
        <v/>
      </c>
      <c r="J2529" s="1" t="s">
        <v>1808</v>
      </c>
      <c r="K2529" s="10">
        <v>2</v>
      </c>
      <c r="L2529" s="10">
        <v>1</v>
      </c>
      <c r="O2529" s="6"/>
      <c r="Q2529" s="42" t="s">
        <v>5682</v>
      </c>
      <c r="R2529" s="42"/>
      <c r="S2529" s="1"/>
    </row>
    <row r="2530" spans="1:19" ht="18.75" hidden="1" customHeight="1" x14ac:dyDescent="0.3">
      <c r="A2530" s="10">
        <v>2529</v>
      </c>
      <c r="B2530" s="10">
        <f>_xlfn.XLOOKUP(1,(VALUE(D2530)&gt;=VALUE(block!$C$3:$C$500))*(VALUE(D2530)&lt;VALUE(block!$C$3:$C$500)+VALUE(block!$D$3:$D$500)),block!$A$3:$A$500,"无匹配",0,1)</f>
        <v>68</v>
      </c>
      <c r="C2530" s="3" t="str">
        <f>B2530 &amp; "-" &amp; COUNTIF($B$2:B2530, B2530)</f>
        <v>68-9</v>
      </c>
      <c r="D2530" s="10">
        <f t="shared" si="9"/>
        <v>15054</v>
      </c>
      <c r="E2530" s="3" t="s">
        <v>6534</v>
      </c>
      <c r="F2530" s="1" t="s">
        <v>6536</v>
      </c>
      <c r="H2530" s="3" t="s">
        <v>5458</v>
      </c>
      <c r="I2530" s="10" t="str">
        <f>IF(H2530="T47",1,IF(H2530="T47",3,IF(H2530="T63",6,IF(H2530="T63",10,IF(H2530="T95",14,IF(H2530="T95",18,IF(H2530="T63",22,"")))))))</f>
        <v/>
      </c>
      <c r="J2530" s="1" t="s">
        <v>1808</v>
      </c>
      <c r="K2530" s="10">
        <v>1</v>
      </c>
      <c r="L2530" s="10">
        <v>1</v>
      </c>
      <c r="O2530" s="6"/>
      <c r="Q2530" s="42" t="s">
        <v>5682</v>
      </c>
      <c r="R2530" s="42"/>
      <c r="S2530" s="1"/>
    </row>
    <row r="2531" spans="1:19" ht="18.75" hidden="1" customHeight="1" x14ac:dyDescent="0.3">
      <c r="A2531" s="10">
        <v>2530</v>
      </c>
      <c r="B2531" s="10">
        <f>_xlfn.XLOOKUP(1,(VALUE(D2531)&gt;=VALUE(block!$C$3:$C$500))*(VALUE(D2531)&lt;VALUE(block!$C$3:$C$500)+VALUE(block!$D$3:$D$500)),block!$A$3:$A$500,"无匹配",0,1)</f>
        <v>68</v>
      </c>
      <c r="C2531" s="3" t="str">
        <f>B2531 &amp; "-" &amp; COUNTIF($B$2:B2531, B2531)</f>
        <v>68-10</v>
      </c>
      <c r="D2531" s="10">
        <f t="shared" si="9"/>
        <v>15055</v>
      </c>
      <c r="E2531" s="1" t="s">
        <v>6537</v>
      </c>
      <c r="F2531" s="1" t="s">
        <v>6538</v>
      </c>
      <c r="G2531" s="1" t="s">
        <v>1834</v>
      </c>
      <c r="H2531" s="1" t="s">
        <v>1812</v>
      </c>
      <c r="I2531" s="10" t="str">
        <f>IF(H2531="T48",1,IF(H2531="T48",3,IF(H2531="T64",6,IF(H2531="T64",10,IF(H2531="T96",14,IF(H2531="T96",18,IF(H2531="T64",22,"")))))))</f>
        <v/>
      </c>
      <c r="J2531" s="1" t="s">
        <v>1808</v>
      </c>
      <c r="K2531" s="10">
        <v>2</v>
      </c>
      <c r="L2531" s="10">
        <v>1</v>
      </c>
      <c r="O2531" s="6"/>
      <c r="P2531" s="42" t="s">
        <v>5560</v>
      </c>
      <c r="Q2531" s="42" t="s">
        <v>5682</v>
      </c>
      <c r="R2531" s="42"/>
      <c r="S2531" s="1"/>
    </row>
    <row r="2532" spans="1:19" ht="18.75" hidden="1" customHeight="1" x14ac:dyDescent="0.3">
      <c r="A2532" s="10">
        <v>2531</v>
      </c>
      <c r="B2532" s="10">
        <f>_xlfn.XLOOKUP(1,(VALUE(D2532)&gt;=VALUE(block!$C$3:$C$500))*(VALUE(D2532)&lt;VALUE(block!$C$3:$C$500)+VALUE(block!$D$3:$D$500)),block!$A$3:$A$500,"无匹配",0,1)</f>
        <v>68</v>
      </c>
      <c r="C2532" s="3" t="str">
        <f>B2532 &amp; "-" &amp; COUNTIF($B$2:B2532, B2532)</f>
        <v>68-11</v>
      </c>
      <c r="D2532" s="10">
        <f t="shared" si="9"/>
        <v>15057</v>
      </c>
      <c r="E2532" s="3" t="s">
        <v>6539</v>
      </c>
      <c r="F2532" s="1" t="s">
        <v>6540</v>
      </c>
      <c r="H2532" s="3" t="s">
        <v>1838</v>
      </c>
      <c r="I2532" s="10" t="str">
        <f>IF(H2532="T49",1,IF(H2532="T49",3,IF(H2532="T65",6,IF(H2532="T65",10,IF(H2532="T97",14,IF(H2532="T97",18,IF(H2532="T65",22,"")))))))</f>
        <v/>
      </c>
      <c r="J2532" s="1" t="s">
        <v>1808</v>
      </c>
      <c r="K2532" s="10">
        <v>2</v>
      </c>
      <c r="L2532" s="10">
        <v>1</v>
      </c>
      <c r="O2532" s="6"/>
      <c r="Q2532" s="42" t="s">
        <v>5682</v>
      </c>
      <c r="R2532" s="42"/>
      <c r="S2532" s="1"/>
    </row>
    <row r="2533" spans="1:19" ht="18.75" hidden="1" customHeight="1" x14ac:dyDescent="0.3">
      <c r="A2533" s="10">
        <v>2532</v>
      </c>
      <c r="B2533" s="10">
        <f>_xlfn.XLOOKUP(1,(VALUE(D2533)&gt;=VALUE(block!$C$3:$C$500))*(VALUE(D2533)&lt;VALUE(block!$C$3:$C$500)+VALUE(block!$D$3:$D$500)),block!$A$3:$A$500,"无匹配",0,1)</f>
        <v>68</v>
      </c>
      <c r="C2533" s="3" t="str">
        <f>B2533 &amp; "-" &amp; COUNTIF($B$2:B2533, B2533)</f>
        <v>68-12</v>
      </c>
      <c r="D2533" s="10">
        <f t="shared" si="9"/>
        <v>15059</v>
      </c>
      <c r="E2533" s="3" t="s">
        <v>6539</v>
      </c>
      <c r="F2533" s="1" t="s">
        <v>6541</v>
      </c>
      <c r="H2533" s="3" t="s">
        <v>5458</v>
      </c>
      <c r="I2533" s="10" t="str">
        <f>IF(H2533="T50",1,IF(H2533="T50",3,IF(H2533="T66",6,IF(H2533="T66",10,IF(H2533="T98",14,IF(H2533="T98",18,IF(H2533="T66",22,"")))))))</f>
        <v/>
      </c>
      <c r="J2533" s="1" t="s">
        <v>1808</v>
      </c>
      <c r="K2533" s="10">
        <v>1</v>
      </c>
      <c r="L2533" s="10">
        <v>1</v>
      </c>
      <c r="O2533" s="6"/>
      <c r="Q2533" s="42" t="s">
        <v>5682</v>
      </c>
      <c r="R2533" s="42"/>
      <c r="S2533" s="1"/>
    </row>
    <row r="2534" spans="1:19" ht="18.75" hidden="1" customHeight="1" x14ac:dyDescent="0.3">
      <c r="A2534" s="10">
        <v>2533</v>
      </c>
      <c r="B2534" s="10">
        <f>_xlfn.XLOOKUP(1,(VALUE(D2534)&gt;=VALUE(block!$C$3:$C$500))*(VALUE(D2534)&lt;VALUE(block!$C$3:$C$500)+VALUE(block!$D$3:$D$500)),block!$A$3:$A$500,"无匹配",0,1)</f>
        <v>68</v>
      </c>
      <c r="C2534" s="3" t="str">
        <f>B2534 &amp; "-" &amp; COUNTIF($B$2:B2534, B2534)</f>
        <v>68-13</v>
      </c>
      <c r="D2534" s="10">
        <f t="shared" si="9"/>
        <v>15060</v>
      </c>
      <c r="E2534" s="1" t="s">
        <v>6542</v>
      </c>
      <c r="F2534" s="1" t="s">
        <v>6543</v>
      </c>
      <c r="G2534" s="1" t="s">
        <v>1834</v>
      </c>
      <c r="H2534" s="1" t="s">
        <v>1812</v>
      </c>
      <c r="I2534" s="10" t="str">
        <f>IF(H2534="T51",1,IF(H2534="T51",3,IF(H2534="T67",6,IF(H2534="T67",10,IF(H2534="T99",14,IF(H2534="T99",18,IF(H2534="T67",22,"")))))))</f>
        <v/>
      </c>
      <c r="J2534" s="1" t="s">
        <v>1808</v>
      </c>
      <c r="K2534" s="10">
        <v>2</v>
      </c>
      <c r="L2534" s="10">
        <v>1</v>
      </c>
      <c r="O2534" s="6"/>
      <c r="P2534" s="42" t="s">
        <v>5560</v>
      </c>
      <c r="Q2534" s="42" t="s">
        <v>5682</v>
      </c>
      <c r="R2534" s="42"/>
      <c r="S2534" s="1"/>
    </row>
    <row r="2535" spans="1:19" ht="18.75" hidden="1" customHeight="1" x14ac:dyDescent="0.3">
      <c r="A2535" s="10">
        <v>2534</v>
      </c>
      <c r="B2535" s="10">
        <f>_xlfn.XLOOKUP(1,(VALUE(D2535)&gt;=VALUE(block!$C$3:$C$500))*(VALUE(D2535)&lt;VALUE(block!$C$3:$C$500)+VALUE(block!$D$3:$D$500)),block!$A$3:$A$500,"无匹配",0,1)</f>
        <v>68</v>
      </c>
      <c r="C2535" s="3" t="str">
        <f>B2535 &amp; "-" &amp; COUNTIF($B$2:B2535, B2535)</f>
        <v>68-14</v>
      </c>
      <c r="D2535" s="10">
        <f t="shared" si="9"/>
        <v>15062</v>
      </c>
      <c r="E2535" s="3" t="s">
        <v>6544</v>
      </c>
      <c r="F2535" s="1" t="s">
        <v>6545</v>
      </c>
      <c r="H2535" s="3" t="s">
        <v>1838</v>
      </c>
      <c r="I2535" s="10" t="str">
        <f>IF(H2535="T52",1,IF(H2535="T52",3,IF(H2535="T68",6,IF(H2535="T68",10,IF(H2535="T100",14,IF(H2535="T100",18,IF(H2535="T68",22,"")))))))</f>
        <v/>
      </c>
      <c r="J2535" s="1" t="s">
        <v>1808</v>
      </c>
      <c r="K2535" s="10">
        <v>2</v>
      </c>
      <c r="L2535" s="10">
        <v>1</v>
      </c>
      <c r="O2535" s="6"/>
      <c r="Q2535" s="42" t="s">
        <v>5682</v>
      </c>
      <c r="R2535" s="42"/>
      <c r="S2535" s="1"/>
    </row>
    <row r="2536" spans="1:19" ht="18.75" hidden="1" customHeight="1" x14ac:dyDescent="0.3">
      <c r="A2536" s="10">
        <v>2535</v>
      </c>
      <c r="B2536" s="10">
        <f>_xlfn.XLOOKUP(1,(VALUE(D2536)&gt;=VALUE(block!$C$3:$C$500))*(VALUE(D2536)&lt;VALUE(block!$C$3:$C$500)+VALUE(block!$D$3:$D$500)),block!$A$3:$A$500,"无匹配",0,1)</f>
        <v>68</v>
      </c>
      <c r="C2536" s="3" t="str">
        <f>B2536 &amp; "-" &amp; COUNTIF($B$2:B2536, B2536)</f>
        <v>68-15</v>
      </c>
      <c r="D2536" s="10">
        <f t="shared" si="9"/>
        <v>15064</v>
      </c>
      <c r="E2536" s="3" t="s">
        <v>6544</v>
      </c>
      <c r="F2536" s="1" t="s">
        <v>6546</v>
      </c>
      <c r="H2536" s="3" t="s">
        <v>5458</v>
      </c>
      <c r="I2536" s="10" t="str">
        <f>IF(H2536="T53",1,IF(H2536="T53",3,IF(H2536="T69",6,IF(H2536="T69",10,IF(H2536="T101",14,IF(H2536="T101",18,IF(H2536="T69",22,"")))))))</f>
        <v/>
      </c>
      <c r="J2536" s="1" t="s">
        <v>1808</v>
      </c>
      <c r="K2536" s="10">
        <v>1</v>
      </c>
      <c r="L2536" s="10">
        <v>1</v>
      </c>
      <c r="O2536" s="6"/>
      <c r="Q2536" s="42" t="s">
        <v>5682</v>
      </c>
      <c r="R2536" s="42"/>
      <c r="S2536" s="1"/>
    </row>
    <row r="2537" spans="1:19" ht="18.75" hidden="1" customHeight="1" x14ac:dyDescent="0.3">
      <c r="A2537" s="10">
        <v>2536</v>
      </c>
      <c r="B2537" s="10">
        <f>_xlfn.XLOOKUP(1,(VALUE(D2537)&gt;=VALUE(block!$C$3:$C$500))*(VALUE(D2537)&lt;VALUE(block!$C$3:$C$500)+VALUE(block!$D$3:$D$500)),block!$A$3:$A$500,"无匹配",0,1)</f>
        <v>68</v>
      </c>
      <c r="C2537" s="3" t="str">
        <f>B2537 &amp; "-" &amp; COUNTIF($B$2:B2537, B2537)</f>
        <v>68-16</v>
      </c>
      <c r="D2537" s="10">
        <f t="shared" si="9"/>
        <v>15065</v>
      </c>
      <c r="E2537" s="1" t="s">
        <v>6547</v>
      </c>
      <c r="F2537" s="1" t="s">
        <v>6548</v>
      </c>
      <c r="G2537" s="1" t="s">
        <v>1836</v>
      </c>
      <c r="H2537" s="1" t="s">
        <v>1812</v>
      </c>
      <c r="I2537" s="10" t="str">
        <f>IF(H2537="T54",1,IF(H2537="T54",3,IF(H2537="T70",6,IF(H2537="T70",10,IF(H2537="T102",14,IF(H2537="T102",18,IF(H2537="T70",22,"")))))))</f>
        <v/>
      </c>
      <c r="J2537" s="1" t="s">
        <v>1808</v>
      </c>
      <c r="K2537" s="10">
        <v>2</v>
      </c>
      <c r="L2537" s="10">
        <v>1</v>
      </c>
      <c r="O2537" s="6"/>
      <c r="P2537" s="42" t="s">
        <v>5560</v>
      </c>
      <c r="Q2537" s="42" t="s">
        <v>5682</v>
      </c>
      <c r="R2537" s="42"/>
      <c r="S2537" s="1"/>
    </row>
    <row r="2538" spans="1:19" ht="18.75" hidden="1" customHeight="1" x14ac:dyDescent="0.3">
      <c r="A2538" s="10">
        <v>2537</v>
      </c>
      <c r="B2538" s="10">
        <f>_xlfn.XLOOKUP(1,(VALUE(D2538)&gt;=VALUE(block!$C$3:$C$500))*(VALUE(D2538)&lt;VALUE(block!$C$3:$C$500)+VALUE(block!$D$3:$D$500)),block!$A$3:$A$500,"无匹配",0,1)</f>
        <v>68</v>
      </c>
      <c r="C2538" s="3" t="str">
        <f>B2538 &amp; "-" &amp; COUNTIF($B$2:B2538, B2538)</f>
        <v>68-17</v>
      </c>
      <c r="D2538" s="10">
        <f t="shared" si="9"/>
        <v>15067</v>
      </c>
      <c r="E2538" s="3" t="s">
        <v>6549</v>
      </c>
      <c r="F2538" s="1" t="s">
        <v>6550</v>
      </c>
      <c r="H2538" s="3" t="s">
        <v>1838</v>
      </c>
      <c r="I2538" s="10" t="str">
        <f>IF(H2538="T55",1,IF(H2538="T55",3,IF(H2538="T71",6,IF(H2538="T71",10,IF(H2538="T103",14,IF(H2538="T103",18,IF(H2538="T71",22,"")))))))</f>
        <v/>
      </c>
      <c r="J2538" s="1" t="s">
        <v>1808</v>
      </c>
      <c r="K2538" s="10">
        <v>2</v>
      </c>
      <c r="L2538" s="10">
        <v>1</v>
      </c>
      <c r="O2538" s="6"/>
      <c r="Q2538" s="42" t="s">
        <v>5682</v>
      </c>
      <c r="R2538" s="42"/>
      <c r="S2538" s="1"/>
    </row>
    <row r="2539" spans="1:19" ht="18.75" hidden="1" customHeight="1" x14ac:dyDescent="0.3">
      <c r="A2539" s="10">
        <v>2538</v>
      </c>
      <c r="B2539" s="10">
        <f>_xlfn.XLOOKUP(1,(VALUE(D2539)&gt;=VALUE(block!$C$3:$C$500))*(VALUE(D2539)&lt;VALUE(block!$C$3:$C$500)+VALUE(block!$D$3:$D$500)),block!$A$3:$A$500,"无匹配",0,1)</f>
        <v>68</v>
      </c>
      <c r="C2539" s="3" t="str">
        <f>B2539 &amp; "-" &amp; COUNTIF($B$2:B2539, B2539)</f>
        <v>68-18</v>
      </c>
      <c r="D2539" s="10">
        <f t="shared" si="9"/>
        <v>15069</v>
      </c>
      <c r="E2539" s="3" t="s">
        <v>6549</v>
      </c>
      <c r="F2539" s="1" t="s">
        <v>6551</v>
      </c>
      <c r="H2539" s="3" t="s">
        <v>5458</v>
      </c>
      <c r="I2539" s="10" t="str">
        <f>IF(H2539="T56",1,IF(H2539="T56",3,IF(H2539="T72",6,IF(H2539="T72",10,IF(H2539="T104",14,IF(H2539="T104",18,IF(H2539="T72",22,"")))))))</f>
        <v/>
      </c>
      <c r="J2539" s="1" t="s">
        <v>1808</v>
      </c>
      <c r="K2539" s="10">
        <v>1</v>
      </c>
      <c r="L2539" s="10">
        <v>1</v>
      </c>
      <c r="O2539" s="6"/>
      <c r="Q2539" s="42" t="s">
        <v>5682</v>
      </c>
      <c r="R2539" s="42"/>
      <c r="S2539" s="1"/>
    </row>
    <row r="2540" spans="1:19" ht="18.75" hidden="1" customHeight="1" x14ac:dyDescent="0.3">
      <c r="A2540" s="10">
        <v>2539</v>
      </c>
      <c r="B2540" s="10">
        <f>_xlfn.XLOOKUP(1,(VALUE(D2540)&gt;=VALUE(block!$C$3:$C$500))*(VALUE(D2540)&lt;VALUE(block!$C$3:$C$500)+VALUE(block!$D$3:$D$500)),block!$A$3:$A$500,"无匹配",0,1)</f>
        <v>68</v>
      </c>
      <c r="C2540" s="3" t="str">
        <f>B2540 &amp; "-" &amp; COUNTIF($B$2:B2540, B2540)</f>
        <v>68-19</v>
      </c>
      <c r="D2540" s="10">
        <f t="shared" si="9"/>
        <v>15070</v>
      </c>
      <c r="E2540" s="1" t="s">
        <v>6552</v>
      </c>
      <c r="F2540" s="1" t="s">
        <v>6553</v>
      </c>
      <c r="G2540" s="1" t="s">
        <v>1830</v>
      </c>
      <c r="H2540" s="1" t="s">
        <v>1812</v>
      </c>
      <c r="I2540" s="10" t="str">
        <f>IF(H2540="T57",1,IF(H2540="T57",3,IF(H2540="T73",6,IF(H2540="T73",10,IF(H2540="T105",14,IF(H2540="T105",18,IF(H2540="T73",22,"")))))))</f>
        <v/>
      </c>
      <c r="J2540" s="1" t="s">
        <v>1808</v>
      </c>
      <c r="K2540" s="10">
        <v>2</v>
      </c>
      <c r="L2540" s="10">
        <v>1</v>
      </c>
      <c r="O2540" s="6"/>
      <c r="P2540" s="42" t="s">
        <v>5560</v>
      </c>
      <c r="Q2540" s="42" t="s">
        <v>5682</v>
      </c>
      <c r="R2540" s="42"/>
      <c r="S2540" s="1"/>
    </row>
    <row r="2541" spans="1:19" ht="18.75" hidden="1" customHeight="1" x14ac:dyDescent="0.3">
      <c r="A2541" s="10">
        <v>2540</v>
      </c>
      <c r="B2541" s="10">
        <f>_xlfn.XLOOKUP(1,(VALUE(D2541)&gt;=VALUE(block!$C$3:$C$500))*(VALUE(D2541)&lt;VALUE(block!$C$3:$C$500)+VALUE(block!$D$3:$D$500)),block!$A$3:$A$500,"无匹配",0,1)</f>
        <v>68</v>
      </c>
      <c r="C2541" s="3" t="str">
        <f>B2541 &amp; "-" &amp; COUNTIF($B$2:B2541, B2541)</f>
        <v>68-20</v>
      </c>
      <c r="D2541" s="10">
        <f t="shared" si="9"/>
        <v>15072</v>
      </c>
      <c r="E2541" s="3" t="s">
        <v>6554</v>
      </c>
      <c r="F2541" s="1" t="s">
        <v>6555</v>
      </c>
      <c r="H2541" s="3" t="s">
        <v>1838</v>
      </c>
      <c r="I2541" s="10" t="str">
        <f>IF(H2541="T58",1,IF(H2541="T58",3,IF(H2541="T74",6,IF(H2541="T74",10,IF(H2541="T106",14,IF(H2541="T106",18,IF(H2541="T74",22,"")))))))</f>
        <v/>
      </c>
      <c r="J2541" s="1" t="s">
        <v>1808</v>
      </c>
      <c r="K2541" s="10">
        <v>2</v>
      </c>
      <c r="L2541" s="10">
        <v>1</v>
      </c>
      <c r="O2541" s="6"/>
      <c r="Q2541" s="42" t="s">
        <v>5682</v>
      </c>
      <c r="R2541" s="42"/>
      <c r="S2541" s="1"/>
    </row>
    <row r="2542" spans="1:19" ht="18.75" hidden="1" customHeight="1" x14ac:dyDescent="0.3">
      <c r="A2542" s="10">
        <v>2541</v>
      </c>
      <c r="B2542" s="10">
        <f>_xlfn.XLOOKUP(1,(VALUE(D2542)&gt;=VALUE(block!$C$3:$C$500))*(VALUE(D2542)&lt;VALUE(block!$C$3:$C$500)+VALUE(block!$D$3:$D$500)),block!$A$3:$A$500,"无匹配",0,1)</f>
        <v>68</v>
      </c>
      <c r="C2542" s="3" t="str">
        <f>B2542 &amp; "-" &amp; COUNTIF($B$2:B2542, B2542)</f>
        <v>68-21</v>
      </c>
      <c r="D2542" s="10">
        <f t="shared" si="9"/>
        <v>15074</v>
      </c>
      <c r="E2542" s="3" t="s">
        <v>6554</v>
      </c>
      <c r="F2542" s="1" t="s">
        <v>6556</v>
      </c>
      <c r="H2542" s="3" t="s">
        <v>5458</v>
      </c>
      <c r="I2542" s="10" t="str">
        <f>IF(H2542="T59",1,IF(H2542="T59",3,IF(H2542="T75",6,IF(H2542="T75",10,IF(H2542="T107",14,IF(H2542="T107",18,IF(H2542="T75",22,"")))))))</f>
        <v/>
      </c>
      <c r="J2542" s="1" t="s">
        <v>1808</v>
      </c>
      <c r="K2542" s="10">
        <v>1</v>
      </c>
      <c r="L2542" s="10">
        <v>1</v>
      </c>
      <c r="O2542" s="6"/>
      <c r="Q2542" s="42" t="s">
        <v>5682</v>
      </c>
      <c r="R2542" s="42"/>
      <c r="S2542" s="1"/>
    </row>
    <row r="2543" spans="1:19" ht="18.75" hidden="1" customHeight="1" x14ac:dyDescent="0.3">
      <c r="A2543" s="10">
        <v>2542</v>
      </c>
      <c r="B2543" s="10">
        <f>_xlfn.XLOOKUP(1,(VALUE(D2543)&gt;=VALUE(block!$C$3:$C$500))*(VALUE(D2543)&lt;VALUE(block!$C$3:$C$500)+VALUE(block!$D$3:$D$500)),block!$A$3:$A$500,"无匹配",0,1)</f>
        <v>68</v>
      </c>
      <c r="C2543" s="3" t="str">
        <f>B2543 &amp; "-" &amp; COUNTIF($B$2:B2543, B2543)</f>
        <v>68-22</v>
      </c>
      <c r="D2543" s="10">
        <f t="shared" si="9"/>
        <v>15075</v>
      </c>
      <c r="E2543" s="1" t="s">
        <v>6557</v>
      </c>
      <c r="F2543" s="1" t="s">
        <v>6558</v>
      </c>
      <c r="G2543" s="1" t="s">
        <v>1832</v>
      </c>
      <c r="H2543" s="1" t="s">
        <v>1812</v>
      </c>
      <c r="I2543" s="10" t="str">
        <f>IF(H2543="T60",1,IF(H2543="T60",3,IF(H2543="T76",6,IF(H2543="T76",10,IF(H2543="T108",14,IF(H2543="T108",18,IF(H2543="T76",22,"")))))))</f>
        <v/>
      </c>
      <c r="J2543" s="1" t="s">
        <v>1808</v>
      </c>
      <c r="K2543" s="10">
        <v>2</v>
      </c>
      <c r="L2543" s="10">
        <v>1</v>
      </c>
      <c r="O2543" s="6"/>
      <c r="P2543" s="42" t="s">
        <v>5560</v>
      </c>
      <c r="Q2543" s="42" t="s">
        <v>5682</v>
      </c>
      <c r="R2543" s="42"/>
      <c r="S2543" s="1"/>
    </row>
    <row r="2544" spans="1:19" ht="18.75" hidden="1" customHeight="1" x14ac:dyDescent="0.3">
      <c r="A2544" s="10">
        <v>2543</v>
      </c>
      <c r="B2544" s="10">
        <f>_xlfn.XLOOKUP(1,(VALUE(D2544)&gt;=VALUE(block!$C$3:$C$500))*(VALUE(D2544)&lt;VALUE(block!$C$3:$C$500)+VALUE(block!$D$3:$D$500)),block!$A$3:$A$500,"无匹配",0,1)</f>
        <v>68</v>
      </c>
      <c r="C2544" s="3" t="str">
        <f>B2544 &amp; "-" &amp; COUNTIF($B$2:B2544, B2544)</f>
        <v>68-23</v>
      </c>
      <c r="D2544" s="10">
        <f t="shared" si="9"/>
        <v>15077</v>
      </c>
      <c r="E2544" s="3" t="s">
        <v>6559</v>
      </c>
      <c r="F2544" s="1" t="s">
        <v>6560</v>
      </c>
      <c r="H2544" s="3" t="s">
        <v>1838</v>
      </c>
      <c r="I2544" s="10" t="str">
        <f>IF(H2544="T61",1,IF(H2544="T61",3,IF(H2544="T77",6,IF(H2544="T77",10,IF(H2544="T109",14,IF(H2544="T109",18,IF(H2544="T77",22,"")))))))</f>
        <v/>
      </c>
      <c r="J2544" s="1" t="s">
        <v>1808</v>
      </c>
      <c r="K2544" s="10">
        <v>2</v>
      </c>
      <c r="L2544" s="10">
        <v>1</v>
      </c>
      <c r="O2544" s="6"/>
      <c r="Q2544" s="42" t="s">
        <v>5682</v>
      </c>
      <c r="R2544" s="42"/>
      <c r="S2544" s="1"/>
    </row>
    <row r="2545" spans="1:19" ht="18.75" hidden="1" customHeight="1" x14ac:dyDescent="0.3">
      <c r="A2545" s="10">
        <v>2544</v>
      </c>
      <c r="B2545" s="10">
        <f>_xlfn.XLOOKUP(1,(VALUE(D2545)&gt;=VALUE(block!$C$3:$C$500))*(VALUE(D2545)&lt;VALUE(block!$C$3:$C$500)+VALUE(block!$D$3:$D$500)),block!$A$3:$A$500,"无匹配",0,1)</f>
        <v>68</v>
      </c>
      <c r="C2545" s="3" t="str">
        <f>B2545 &amp; "-" &amp; COUNTIF($B$2:B2545, B2545)</f>
        <v>68-24</v>
      </c>
      <c r="D2545" s="10">
        <f t="shared" si="9"/>
        <v>15079</v>
      </c>
      <c r="E2545" s="3" t="s">
        <v>6559</v>
      </c>
      <c r="F2545" s="1" t="s">
        <v>6561</v>
      </c>
      <c r="H2545" s="3" t="s">
        <v>5458</v>
      </c>
      <c r="I2545" s="10" t="str">
        <f>IF(H2545="T62",1,IF(H2545="T62",3,IF(H2545="T78",6,IF(H2545="T78",10,IF(H2545="T110",14,IF(H2545="T110",18,IF(H2545="T78",22,"")))))))</f>
        <v/>
      </c>
      <c r="J2545" s="1" t="s">
        <v>1808</v>
      </c>
      <c r="K2545" s="10">
        <v>1</v>
      </c>
      <c r="L2545" s="10">
        <v>1</v>
      </c>
      <c r="O2545" s="6"/>
      <c r="Q2545" s="42" t="s">
        <v>5682</v>
      </c>
      <c r="R2545" s="42"/>
      <c r="S2545" s="1"/>
    </row>
    <row r="2546" spans="1:19" ht="18.75" hidden="1" customHeight="1" x14ac:dyDescent="0.3">
      <c r="A2546" s="10">
        <v>2545</v>
      </c>
      <c r="B2546" s="10">
        <f>_xlfn.XLOOKUP(1,(VALUE(D2546)&gt;=VALUE(block!$C$3:$C$500))*(VALUE(D2546)&lt;VALUE(block!$C$3:$C$500)+VALUE(block!$D$3:$D$500)),block!$A$3:$A$500,"无匹配",0,1)</f>
        <v>68</v>
      </c>
      <c r="C2546" s="3" t="str">
        <f>B2546 &amp; "-" &amp; COUNTIF($B$2:B2546, B2546)</f>
        <v>68-25</v>
      </c>
      <c r="D2546" s="10">
        <f t="shared" si="9"/>
        <v>15080</v>
      </c>
      <c r="E2546" s="1" t="s">
        <v>6562</v>
      </c>
      <c r="F2546" s="1" t="s">
        <v>6563</v>
      </c>
      <c r="G2546" s="1" t="s">
        <v>1832</v>
      </c>
      <c r="H2546" s="1" t="s">
        <v>1812</v>
      </c>
      <c r="I2546" s="10" t="str">
        <f>IF(H2546="T63",1,IF(H2546="T63",3,IF(H2546="T79",6,IF(H2546="T79",10,IF(H2546="T111",14,IF(H2546="T111",18,IF(H2546="T79",22,"")))))))</f>
        <v/>
      </c>
      <c r="J2546" s="1" t="s">
        <v>1808</v>
      </c>
      <c r="K2546" s="10">
        <v>2</v>
      </c>
      <c r="L2546" s="10">
        <v>1</v>
      </c>
      <c r="O2546" s="6"/>
      <c r="P2546" s="42" t="s">
        <v>5560</v>
      </c>
      <c r="Q2546" s="42" t="s">
        <v>5682</v>
      </c>
      <c r="R2546" s="42"/>
      <c r="S2546" s="1"/>
    </row>
    <row r="2547" spans="1:19" ht="18.75" hidden="1" customHeight="1" x14ac:dyDescent="0.3">
      <c r="A2547" s="10">
        <v>2546</v>
      </c>
      <c r="B2547" s="10">
        <f>_xlfn.XLOOKUP(1,(VALUE(D2547)&gt;=VALUE(block!$C$3:$C$500))*(VALUE(D2547)&lt;VALUE(block!$C$3:$C$500)+VALUE(block!$D$3:$D$500)),block!$A$3:$A$500,"无匹配",0,1)</f>
        <v>68</v>
      </c>
      <c r="C2547" s="3" t="str">
        <f>B2547 &amp; "-" &amp; COUNTIF($B$2:B2547, B2547)</f>
        <v>68-26</v>
      </c>
      <c r="D2547" s="10">
        <f t="shared" si="9"/>
        <v>15082</v>
      </c>
      <c r="E2547" s="3" t="s">
        <v>6564</v>
      </c>
      <c r="F2547" s="1" t="s">
        <v>6565</v>
      </c>
      <c r="H2547" s="3" t="s">
        <v>1838</v>
      </c>
      <c r="I2547" s="10" t="str">
        <f>IF(H2547="T64",1,IF(H2547="T64",3,IF(H2547="T80",6,IF(H2547="T80",10,IF(H2547="T112",14,IF(H2547="T112",18,IF(H2547="T80",22,"")))))))</f>
        <v/>
      </c>
      <c r="J2547" s="1" t="s">
        <v>1808</v>
      </c>
      <c r="K2547" s="10">
        <v>2</v>
      </c>
      <c r="L2547" s="10">
        <v>1</v>
      </c>
      <c r="O2547" s="6"/>
      <c r="Q2547" s="42" t="s">
        <v>5682</v>
      </c>
      <c r="R2547" s="42"/>
      <c r="S2547" s="1"/>
    </row>
    <row r="2548" spans="1:19" ht="18.75" hidden="1" customHeight="1" x14ac:dyDescent="0.3">
      <c r="A2548" s="10">
        <v>2547</v>
      </c>
      <c r="B2548" s="10">
        <f>_xlfn.XLOOKUP(1,(VALUE(D2548)&gt;=VALUE(block!$C$3:$C$500))*(VALUE(D2548)&lt;VALUE(block!$C$3:$C$500)+VALUE(block!$D$3:$D$500)),block!$A$3:$A$500,"无匹配",0,1)</f>
        <v>68</v>
      </c>
      <c r="C2548" s="3" t="str">
        <f>B2548 &amp; "-" &amp; COUNTIF($B$2:B2548, B2548)</f>
        <v>68-27</v>
      </c>
      <c r="D2548" s="10">
        <f t="shared" si="9"/>
        <v>15084</v>
      </c>
      <c r="E2548" s="3" t="s">
        <v>6564</v>
      </c>
      <c r="F2548" s="1" t="s">
        <v>6566</v>
      </c>
      <c r="H2548" s="3" t="s">
        <v>5458</v>
      </c>
      <c r="I2548" s="10" t="str">
        <f>IF(H2548="T65",1,IF(H2548="T65",3,IF(H2548="T81",6,IF(H2548="T81",10,IF(H2548="T113",14,IF(H2548="T113",18,IF(H2548="T81",22,"")))))))</f>
        <v/>
      </c>
      <c r="J2548" s="1" t="s">
        <v>1808</v>
      </c>
      <c r="K2548" s="10">
        <v>1</v>
      </c>
      <c r="L2548" s="10">
        <v>1</v>
      </c>
      <c r="O2548" s="6"/>
      <c r="Q2548" s="42" t="s">
        <v>5682</v>
      </c>
      <c r="R2548" s="42"/>
      <c r="S2548" s="1"/>
    </row>
    <row r="2549" spans="1:19" ht="18.75" hidden="1" customHeight="1" x14ac:dyDescent="0.3">
      <c r="A2549" s="10">
        <v>2548</v>
      </c>
      <c r="B2549" s="10">
        <f>_xlfn.XLOOKUP(1,(VALUE(D2549)&gt;=VALUE(block!$C$3:$C$500))*(VALUE(D2549)&lt;VALUE(block!$C$3:$C$500)+VALUE(block!$D$3:$D$500)),block!$A$3:$A$500,"无匹配",0,1)</f>
        <v>68</v>
      </c>
      <c r="C2549" s="3" t="str">
        <f>B2549 &amp; "-" &amp; COUNTIF($B$2:B2549, B2549)</f>
        <v>68-28</v>
      </c>
      <c r="D2549" s="10">
        <f t="shared" si="9"/>
        <v>15085</v>
      </c>
      <c r="E2549" s="1" t="s">
        <v>6567</v>
      </c>
      <c r="F2549" s="1" t="s">
        <v>6568</v>
      </c>
      <c r="G2549" s="1" t="s">
        <v>1834</v>
      </c>
      <c r="H2549" s="1" t="s">
        <v>1812</v>
      </c>
      <c r="I2549" s="10" t="str">
        <f>IF(H2549="T66",1,IF(H2549="T66",3,IF(H2549="T82",6,IF(H2549="T82",10,IF(H2549="T114",14,IF(H2549="T114",18,IF(H2549="T82",22,"")))))))</f>
        <v/>
      </c>
      <c r="J2549" s="1" t="s">
        <v>1808</v>
      </c>
      <c r="K2549" s="10">
        <v>2</v>
      </c>
      <c r="L2549" s="10">
        <v>1</v>
      </c>
      <c r="O2549" s="6"/>
      <c r="P2549" s="42" t="s">
        <v>5560</v>
      </c>
      <c r="Q2549" s="42" t="s">
        <v>5682</v>
      </c>
      <c r="R2549" s="42"/>
      <c r="S2549" s="1"/>
    </row>
    <row r="2550" spans="1:19" ht="18.75" hidden="1" customHeight="1" x14ac:dyDescent="0.3">
      <c r="A2550" s="10">
        <v>2549</v>
      </c>
      <c r="B2550" s="10">
        <f>_xlfn.XLOOKUP(1,(VALUE(D2550)&gt;=VALUE(block!$C$3:$C$500))*(VALUE(D2550)&lt;VALUE(block!$C$3:$C$500)+VALUE(block!$D$3:$D$500)),block!$A$3:$A$500,"无匹配",0,1)</f>
        <v>68</v>
      </c>
      <c r="C2550" s="3" t="str">
        <f>B2550 &amp; "-" &amp; COUNTIF($B$2:B2550, B2550)</f>
        <v>68-29</v>
      </c>
      <c r="D2550" s="10">
        <f t="shared" si="9"/>
        <v>15087</v>
      </c>
      <c r="E2550" s="3" t="s">
        <v>6569</v>
      </c>
      <c r="F2550" s="1" t="s">
        <v>6570</v>
      </c>
      <c r="H2550" s="3" t="s">
        <v>1838</v>
      </c>
      <c r="I2550" s="10" t="str">
        <f>IF(H2550="T67",1,IF(H2550="T67",3,IF(H2550="T83",6,IF(H2550="T83",10,IF(H2550="T115",14,IF(H2550="T115",18,IF(H2550="T83",22,"")))))))</f>
        <v/>
      </c>
      <c r="J2550" s="1" t="s">
        <v>1808</v>
      </c>
      <c r="K2550" s="10">
        <v>2</v>
      </c>
      <c r="L2550" s="10">
        <v>1</v>
      </c>
      <c r="O2550" s="6"/>
      <c r="Q2550" s="42" t="s">
        <v>5682</v>
      </c>
      <c r="R2550" s="42"/>
      <c r="S2550" s="1"/>
    </row>
    <row r="2551" spans="1:19" ht="18.75" hidden="1" customHeight="1" x14ac:dyDescent="0.3">
      <c r="A2551" s="10">
        <v>2550</v>
      </c>
      <c r="B2551" s="10">
        <f>_xlfn.XLOOKUP(1,(VALUE(D2551)&gt;=VALUE(block!$C$3:$C$500))*(VALUE(D2551)&lt;VALUE(block!$C$3:$C$500)+VALUE(block!$D$3:$D$500)),block!$A$3:$A$500,"无匹配",0,1)</f>
        <v>68</v>
      </c>
      <c r="C2551" s="3" t="str">
        <f>B2551 &amp; "-" &amp; COUNTIF($B$2:B2551, B2551)</f>
        <v>68-30</v>
      </c>
      <c r="D2551" s="10">
        <f t="shared" si="9"/>
        <v>15089</v>
      </c>
      <c r="E2551" s="3" t="s">
        <v>6569</v>
      </c>
      <c r="F2551" s="1" t="s">
        <v>6571</v>
      </c>
      <c r="H2551" s="3" t="s">
        <v>5458</v>
      </c>
      <c r="I2551" s="10" t="str">
        <f>IF(H2551="T68",1,IF(H2551="T68",3,IF(H2551="T84",6,IF(H2551="T84",10,IF(H2551="T116",14,IF(H2551="T116",18,IF(H2551="T84",22,"")))))))</f>
        <v/>
      </c>
      <c r="J2551" s="1" t="s">
        <v>1808</v>
      </c>
      <c r="K2551" s="10">
        <v>1</v>
      </c>
      <c r="L2551" s="10">
        <v>1</v>
      </c>
      <c r="O2551" s="6"/>
      <c r="Q2551" s="42" t="s">
        <v>5682</v>
      </c>
      <c r="R2551" s="42"/>
      <c r="S2551" s="1"/>
    </row>
    <row r="2552" spans="1:19" ht="18.75" hidden="1" customHeight="1" x14ac:dyDescent="0.3">
      <c r="A2552" s="10">
        <v>2551</v>
      </c>
      <c r="B2552" s="10">
        <f>_xlfn.XLOOKUP(1,(VALUE(D2552)&gt;=VALUE(block!$C$3:$C$500))*(VALUE(D2552)&lt;VALUE(block!$C$3:$C$500)+VALUE(block!$D$3:$D$500)),block!$A$3:$A$500,"无匹配",0,1)</f>
        <v>68</v>
      </c>
      <c r="C2552" s="3" t="str">
        <f>B2552 &amp; "-" &amp; COUNTIF($B$2:B2552, B2552)</f>
        <v>68-31</v>
      </c>
      <c r="D2552" s="10">
        <f t="shared" si="9"/>
        <v>15090</v>
      </c>
      <c r="E2552" s="1" t="s">
        <v>6572</v>
      </c>
      <c r="F2552" s="1" t="s">
        <v>6573</v>
      </c>
      <c r="G2552" s="1" t="s">
        <v>1834</v>
      </c>
      <c r="H2552" s="1" t="s">
        <v>1812</v>
      </c>
      <c r="I2552" s="10" t="str">
        <f>IF(H2552="T69",1,IF(H2552="T69",3,IF(H2552="T85",6,IF(H2552="T85",10,IF(H2552="T117",14,IF(H2552="T117",18,IF(H2552="T85",22,"")))))))</f>
        <v/>
      </c>
      <c r="J2552" s="1" t="s">
        <v>1808</v>
      </c>
      <c r="K2552" s="10">
        <v>2</v>
      </c>
      <c r="L2552" s="10">
        <v>1</v>
      </c>
      <c r="O2552" s="6"/>
      <c r="P2552" s="42" t="s">
        <v>5560</v>
      </c>
      <c r="Q2552" s="42" t="s">
        <v>5682</v>
      </c>
      <c r="R2552" s="42"/>
      <c r="S2552" s="1"/>
    </row>
    <row r="2553" spans="1:19" ht="18.75" hidden="1" customHeight="1" x14ac:dyDescent="0.3">
      <c r="A2553" s="10">
        <v>2552</v>
      </c>
      <c r="B2553" s="10">
        <f>_xlfn.XLOOKUP(1,(VALUE(D2553)&gt;=VALUE(block!$C$3:$C$500))*(VALUE(D2553)&lt;VALUE(block!$C$3:$C$500)+VALUE(block!$D$3:$D$500)),block!$A$3:$A$500,"无匹配",0,1)</f>
        <v>68</v>
      </c>
      <c r="C2553" s="3" t="str">
        <f>B2553 &amp; "-" &amp; COUNTIF($B$2:B2553, B2553)</f>
        <v>68-32</v>
      </c>
      <c r="D2553" s="10">
        <f t="shared" si="9"/>
        <v>15092</v>
      </c>
      <c r="E2553" s="3" t="s">
        <v>6574</v>
      </c>
      <c r="F2553" s="1" t="s">
        <v>6575</v>
      </c>
      <c r="H2553" s="3" t="s">
        <v>1838</v>
      </c>
      <c r="I2553" s="10" t="str">
        <f>IF(H2553="T70",1,IF(H2553="T70",3,IF(H2553="T86",6,IF(H2553="T86",10,IF(H2553="T118",14,IF(H2553="T118",18,IF(H2553="T86",22,"")))))))</f>
        <v/>
      </c>
      <c r="J2553" s="1" t="s">
        <v>1808</v>
      </c>
      <c r="K2553" s="10">
        <v>2</v>
      </c>
      <c r="L2553" s="10">
        <v>1</v>
      </c>
      <c r="O2553" s="6"/>
      <c r="Q2553" s="42" t="s">
        <v>5682</v>
      </c>
      <c r="R2553" s="42"/>
      <c r="S2553" s="1"/>
    </row>
    <row r="2554" spans="1:19" ht="18.75" hidden="1" customHeight="1" x14ac:dyDescent="0.3">
      <c r="A2554" s="10">
        <v>2553</v>
      </c>
      <c r="B2554" s="10">
        <f>_xlfn.XLOOKUP(1,(VALUE(D2554)&gt;=VALUE(block!$C$3:$C$500))*(VALUE(D2554)&lt;VALUE(block!$C$3:$C$500)+VALUE(block!$D$3:$D$500)),block!$A$3:$A$500,"无匹配",0,1)</f>
        <v>68</v>
      </c>
      <c r="C2554" s="3" t="str">
        <f>B2554 &amp; "-" &amp; COUNTIF($B$2:B2554, B2554)</f>
        <v>68-33</v>
      </c>
      <c r="D2554" s="10">
        <f t="shared" si="9"/>
        <v>15094</v>
      </c>
      <c r="E2554" s="3" t="s">
        <v>6574</v>
      </c>
      <c r="F2554" s="1" t="s">
        <v>6576</v>
      </c>
      <c r="H2554" s="3" t="s">
        <v>5458</v>
      </c>
      <c r="I2554" s="10" t="str">
        <f>IF(H2554="T71",1,IF(H2554="T71",3,IF(H2554="T87",6,IF(H2554="T87",10,IF(H2554="T119",14,IF(H2554="T119",18,IF(H2554="T87",22,"")))))))</f>
        <v/>
      </c>
      <c r="J2554" s="1" t="s">
        <v>1808</v>
      </c>
      <c r="K2554" s="10">
        <v>1</v>
      </c>
      <c r="L2554" s="10">
        <v>1</v>
      </c>
      <c r="O2554" s="6"/>
      <c r="Q2554" s="42" t="s">
        <v>5682</v>
      </c>
      <c r="R2554" s="42"/>
      <c r="S2554" s="1"/>
    </row>
    <row r="2555" spans="1:19" ht="18.75" hidden="1" customHeight="1" x14ac:dyDescent="0.3">
      <c r="A2555" s="10">
        <v>2554</v>
      </c>
      <c r="B2555" s="10">
        <f>_xlfn.XLOOKUP(1,(VALUE(D2555)&gt;=VALUE(block!$C$3:$C$500))*(VALUE(D2555)&lt;VALUE(block!$C$3:$C$500)+VALUE(block!$D$3:$D$500)),block!$A$3:$A$500,"无匹配",0,1)</f>
        <v>68</v>
      </c>
      <c r="C2555" s="3" t="str">
        <f>B2555 &amp; "-" &amp; COUNTIF($B$2:B2555, B2555)</f>
        <v>68-34</v>
      </c>
      <c r="D2555" s="10">
        <f t="shared" si="9"/>
        <v>15095</v>
      </c>
      <c r="E2555" s="1" t="s">
        <v>6577</v>
      </c>
      <c r="F2555" s="1" t="s">
        <v>6578</v>
      </c>
      <c r="G2555" s="1" t="s">
        <v>1836</v>
      </c>
      <c r="H2555" s="1" t="s">
        <v>1812</v>
      </c>
      <c r="I2555" s="10" t="str">
        <f>IF(H2555="T72",1,IF(H2555="T72",3,IF(H2555="T88",6,IF(H2555="T88",10,IF(H2555="T120",14,IF(H2555="T120",18,IF(H2555="T88",22,"")))))))</f>
        <v/>
      </c>
      <c r="J2555" s="1" t="s">
        <v>1808</v>
      </c>
      <c r="K2555" s="10">
        <v>2</v>
      </c>
      <c r="L2555" s="10">
        <v>1</v>
      </c>
      <c r="O2555" s="6"/>
      <c r="P2555" s="42" t="s">
        <v>5560</v>
      </c>
      <c r="Q2555" s="42" t="s">
        <v>5682</v>
      </c>
      <c r="R2555" s="42"/>
      <c r="S2555" s="1"/>
    </row>
    <row r="2556" spans="1:19" ht="18.75" hidden="1" customHeight="1" x14ac:dyDescent="0.3">
      <c r="A2556" s="10">
        <v>2555</v>
      </c>
      <c r="B2556" s="10">
        <f>_xlfn.XLOOKUP(1,(VALUE(D2556)&gt;=VALUE(block!$C$3:$C$500))*(VALUE(D2556)&lt;VALUE(block!$C$3:$C$500)+VALUE(block!$D$3:$D$500)),block!$A$3:$A$500,"无匹配",0,1)</f>
        <v>68</v>
      </c>
      <c r="C2556" s="3" t="str">
        <f>B2556 &amp; "-" &amp; COUNTIF($B$2:B2556, B2556)</f>
        <v>68-35</v>
      </c>
      <c r="D2556" s="10">
        <f t="shared" si="9"/>
        <v>15097</v>
      </c>
      <c r="E2556" s="3" t="s">
        <v>6579</v>
      </c>
      <c r="F2556" s="1" t="s">
        <v>6580</v>
      </c>
      <c r="H2556" s="3" t="s">
        <v>1838</v>
      </c>
      <c r="I2556" s="10" t="str">
        <f>IF(H2556="T73",1,IF(H2556="T73",3,IF(H2556="T89",6,IF(H2556="T89",10,IF(H2556="T121",14,IF(H2556="T121",18,IF(H2556="T89",22,"")))))))</f>
        <v/>
      </c>
      <c r="J2556" s="1" t="s">
        <v>1808</v>
      </c>
      <c r="K2556" s="10">
        <v>2</v>
      </c>
      <c r="L2556" s="10">
        <v>1</v>
      </c>
      <c r="O2556" s="6"/>
      <c r="Q2556" s="42" t="s">
        <v>5682</v>
      </c>
      <c r="R2556" s="42"/>
      <c r="S2556" s="1"/>
    </row>
    <row r="2557" spans="1:19" ht="18.75" hidden="1" customHeight="1" x14ac:dyDescent="0.3">
      <c r="A2557" s="10">
        <v>2556</v>
      </c>
      <c r="B2557" s="10">
        <f>_xlfn.XLOOKUP(1,(VALUE(D2557)&gt;=VALUE(block!$C$3:$C$500))*(VALUE(D2557)&lt;VALUE(block!$C$3:$C$500)+VALUE(block!$D$3:$D$500)),block!$A$3:$A$500,"无匹配",0,1)</f>
        <v>68</v>
      </c>
      <c r="C2557" s="3" t="str">
        <f>B2557 &amp; "-" &amp; COUNTIF($B$2:B2557, B2557)</f>
        <v>68-36</v>
      </c>
      <c r="D2557" s="10">
        <f t="shared" si="9"/>
        <v>15099</v>
      </c>
      <c r="E2557" s="3" t="s">
        <v>6579</v>
      </c>
      <c r="F2557" s="1" t="s">
        <v>6581</v>
      </c>
      <c r="H2557" s="3" t="s">
        <v>5458</v>
      </c>
      <c r="I2557" s="10" t="str">
        <f>IF(H2557="T74",1,IF(H2557="T74",3,IF(H2557="T90",6,IF(H2557="T90",10,IF(H2557="T122",14,IF(H2557="T122",18,IF(H2557="T90",22,"")))))))</f>
        <v/>
      </c>
      <c r="J2557" s="1" t="s">
        <v>1808</v>
      </c>
      <c r="K2557" s="10">
        <v>1</v>
      </c>
      <c r="L2557" s="10">
        <v>1</v>
      </c>
      <c r="O2557" s="6"/>
      <c r="Q2557" s="42" t="s">
        <v>5682</v>
      </c>
      <c r="R2557" s="42"/>
      <c r="S2557" s="1"/>
    </row>
    <row r="2558" spans="1:19" ht="18.75" hidden="1" customHeight="1" x14ac:dyDescent="0.3">
      <c r="A2558" s="10">
        <v>2557</v>
      </c>
      <c r="B2558" s="10">
        <f>_xlfn.XLOOKUP(1,(VALUE(D2558)&gt;=VALUE(block!$C$3:$C$500))*(VALUE(D2558)&lt;VALUE(block!$C$3:$C$500)+VALUE(block!$D$3:$D$500)),block!$A$3:$A$500,"无匹配",0,1)</f>
        <v>68</v>
      </c>
      <c r="C2558" s="3" t="str">
        <f>B2558 &amp; "-" &amp; COUNTIF($B$2:B2558, B2558)</f>
        <v>68-37</v>
      </c>
      <c r="D2558" s="10">
        <f t="shared" si="9"/>
        <v>15100</v>
      </c>
      <c r="E2558" s="1" t="s">
        <v>6582</v>
      </c>
      <c r="F2558" s="1" t="s">
        <v>6583</v>
      </c>
      <c r="G2558" s="1" t="s">
        <v>1830</v>
      </c>
      <c r="H2558" s="1" t="s">
        <v>1812</v>
      </c>
      <c r="I2558" s="10" t="str">
        <f>IF(H2558="T75",1,IF(H2558="T75",3,IF(H2558="T91",6,IF(H2558="T91",10,IF(H2558="T123",14,IF(H2558="T123",18,IF(H2558="T91",22,"")))))))</f>
        <v/>
      </c>
      <c r="J2558" s="1" t="s">
        <v>1808</v>
      </c>
      <c r="K2558" s="10">
        <v>2</v>
      </c>
      <c r="L2558" s="10">
        <v>1</v>
      </c>
      <c r="O2558" s="6"/>
      <c r="P2558" s="42" t="s">
        <v>5560</v>
      </c>
      <c r="Q2558" s="42" t="s">
        <v>5682</v>
      </c>
      <c r="R2558" s="42"/>
      <c r="S2558" s="1"/>
    </row>
    <row r="2559" spans="1:19" ht="18.75" hidden="1" customHeight="1" x14ac:dyDescent="0.3">
      <c r="A2559" s="10">
        <v>2558</v>
      </c>
      <c r="B2559" s="10">
        <f>_xlfn.XLOOKUP(1,(VALUE(D2559)&gt;=VALUE(block!$C$3:$C$500))*(VALUE(D2559)&lt;VALUE(block!$C$3:$C$500)+VALUE(block!$D$3:$D$500)),block!$A$3:$A$500,"无匹配",0,1)</f>
        <v>68</v>
      </c>
      <c r="C2559" s="3" t="str">
        <f>B2559 &amp; "-" &amp; COUNTIF($B$2:B2559, B2559)</f>
        <v>68-38</v>
      </c>
      <c r="D2559" s="10">
        <f t="shared" si="9"/>
        <v>15102</v>
      </c>
      <c r="E2559" s="3" t="s">
        <v>6584</v>
      </c>
      <c r="F2559" s="1" t="s">
        <v>6585</v>
      </c>
      <c r="H2559" s="3" t="s">
        <v>1838</v>
      </c>
      <c r="I2559" s="10" t="str">
        <f>IF(H2559="T76",1,IF(H2559="T76",3,IF(H2559="T92",6,IF(H2559="T92",10,IF(H2559="T124",14,IF(H2559="T124",18,IF(H2559="T92",22,"")))))))</f>
        <v/>
      </c>
      <c r="J2559" s="1" t="s">
        <v>1808</v>
      </c>
      <c r="K2559" s="10">
        <v>2</v>
      </c>
      <c r="L2559" s="10">
        <v>1</v>
      </c>
      <c r="O2559" s="6"/>
      <c r="Q2559" s="42" t="s">
        <v>5682</v>
      </c>
      <c r="R2559" s="42"/>
      <c r="S2559" s="1"/>
    </row>
    <row r="2560" spans="1:19" ht="18.75" hidden="1" customHeight="1" x14ac:dyDescent="0.3">
      <c r="A2560" s="10">
        <v>2559</v>
      </c>
      <c r="B2560" s="10">
        <f>_xlfn.XLOOKUP(1,(VALUE(D2560)&gt;=VALUE(block!$C$3:$C$500))*(VALUE(D2560)&lt;VALUE(block!$C$3:$C$500)+VALUE(block!$D$3:$D$500)),block!$A$3:$A$500,"无匹配",0,1)</f>
        <v>68</v>
      </c>
      <c r="C2560" s="3" t="str">
        <f>B2560 &amp; "-" &amp; COUNTIF($B$2:B2560, B2560)</f>
        <v>68-39</v>
      </c>
      <c r="D2560" s="10">
        <f t="shared" si="9"/>
        <v>15104</v>
      </c>
      <c r="E2560" s="3" t="s">
        <v>6584</v>
      </c>
      <c r="F2560" s="1" t="s">
        <v>6586</v>
      </c>
      <c r="H2560" s="3" t="s">
        <v>5458</v>
      </c>
      <c r="I2560" s="10" t="str">
        <f>IF(H2560="T77",1,IF(H2560="T77",3,IF(H2560="T93",6,IF(H2560="T93",10,IF(H2560="T125",14,IF(H2560="T125",18,IF(H2560="T93",22,"")))))))</f>
        <v/>
      </c>
      <c r="J2560" s="1" t="s">
        <v>1808</v>
      </c>
      <c r="K2560" s="10">
        <v>1</v>
      </c>
      <c r="L2560" s="10">
        <v>1</v>
      </c>
      <c r="O2560" s="6"/>
      <c r="Q2560" s="42" t="s">
        <v>5682</v>
      </c>
      <c r="R2560" s="42"/>
      <c r="S2560" s="1"/>
    </row>
    <row r="2561" spans="1:19" ht="18.75" hidden="1" customHeight="1" x14ac:dyDescent="0.3">
      <c r="A2561" s="10">
        <v>2560</v>
      </c>
      <c r="B2561" s="10">
        <f>_xlfn.XLOOKUP(1,(VALUE(D2561)&gt;=VALUE(block!$C$3:$C$500))*(VALUE(D2561)&lt;VALUE(block!$C$3:$C$500)+VALUE(block!$D$3:$D$500)),block!$A$3:$A$500,"无匹配",0,1)</f>
        <v>68</v>
      </c>
      <c r="C2561" s="3" t="str">
        <f>B2561 &amp; "-" &amp; COUNTIF($B$2:B2561, B2561)</f>
        <v>68-40</v>
      </c>
      <c r="D2561" s="10">
        <f t="shared" si="9"/>
        <v>15105</v>
      </c>
      <c r="E2561" s="1" t="s">
        <v>6587</v>
      </c>
      <c r="F2561" s="1" t="s">
        <v>6588</v>
      </c>
      <c r="G2561" s="1" t="s">
        <v>1832</v>
      </c>
      <c r="H2561" s="1" t="s">
        <v>1812</v>
      </c>
      <c r="I2561" s="10" t="str">
        <f>IF(H2561="T78",1,IF(H2561="T78",3,IF(H2561="T94",6,IF(H2561="T94",10,IF(H2561="T126",14,IF(H2561="T126",18,IF(H2561="T94",22,"")))))))</f>
        <v/>
      </c>
      <c r="J2561" s="1" t="s">
        <v>1808</v>
      </c>
      <c r="K2561" s="10">
        <v>2</v>
      </c>
      <c r="L2561" s="10">
        <v>1</v>
      </c>
      <c r="O2561" s="6"/>
      <c r="P2561" s="42" t="s">
        <v>5560</v>
      </c>
      <c r="Q2561" s="42" t="s">
        <v>5682</v>
      </c>
      <c r="R2561" s="42"/>
      <c r="S2561" s="1"/>
    </row>
    <row r="2562" spans="1:19" ht="18.75" hidden="1" customHeight="1" x14ac:dyDescent="0.3">
      <c r="A2562" s="10">
        <v>2561</v>
      </c>
      <c r="B2562" s="10">
        <f>_xlfn.XLOOKUP(1,(VALUE(D2562)&gt;=VALUE(block!$C$3:$C$500))*(VALUE(D2562)&lt;VALUE(block!$C$3:$C$500)+VALUE(block!$D$3:$D$500)),block!$A$3:$A$500,"无匹配",0,1)</f>
        <v>68</v>
      </c>
      <c r="C2562" s="3" t="str">
        <f>B2562 &amp; "-" &amp; COUNTIF($B$2:B2562, B2562)</f>
        <v>68-41</v>
      </c>
      <c r="D2562" s="10">
        <f t="shared" si="9"/>
        <v>15107</v>
      </c>
      <c r="E2562" s="3" t="s">
        <v>6589</v>
      </c>
      <c r="F2562" s="1" t="s">
        <v>6590</v>
      </c>
      <c r="H2562" s="3" t="s">
        <v>1838</v>
      </c>
      <c r="I2562" s="10" t="str">
        <f>IF(H2562="T79",1,IF(H2562="T79",3,IF(H2562="T95",6,IF(H2562="T95",10,IF(H2562="T127",14,IF(H2562="T127",18,IF(H2562="T95",22,"")))))))</f>
        <v/>
      </c>
      <c r="J2562" s="1" t="s">
        <v>1808</v>
      </c>
      <c r="K2562" s="10">
        <v>2</v>
      </c>
      <c r="L2562" s="10">
        <v>1</v>
      </c>
      <c r="O2562" s="6"/>
      <c r="Q2562" s="42" t="s">
        <v>5682</v>
      </c>
      <c r="R2562" s="42"/>
      <c r="S2562" s="1"/>
    </row>
    <row r="2563" spans="1:19" ht="18.75" hidden="1" customHeight="1" x14ac:dyDescent="0.3">
      <c r="A2563" s="10">
        <v>2562</v>
      </c>
      <c r="B2563" s="10">
        <f>_xlfn.XLOOKUP(1,(VALUE(D2563)&gt;=VALUE(block!$C$3:$C$500))*(VALUE(D2563)&lt;VALUE(block!$C$3:$C$500)+VALUE(block!$D$3:$D$500)),block!$A$3:$A$500,"无匹配",0,1)</f>
        <v>68</v>
      </c>
      <c r="C2563" s="3" t="str">
        <f>B2563 &amp; "-" &amp; COUNTIF($B$2:B2563, B2563)</f>
        <v>68-42</v>
      </c>
      <c r="D2563" s="10">
        <f t="shared" si="9"/>
        <v>15109</v>
      </c>
      <c r="E2563" s="3" t="s">
        <v>6589</v>
      </c>
      <c r="F2563" s="1" t="s">
        <v>6591</v>
      </c>
      <c r="H2563" s="3" t="s">
        <v>5458</v>
      </c>
      <c r="I2563" s="10">
        <f>IF(H2563="uint16",1,IF(H2563="int16",3,IF(H2563="uint32",6,IF(H2563="int32",10,IF(H2563="uint64",14,IF(H2563="int64",18,IF(H2563="float32",22,"")))))))</f>
        <v>1</v>
      </c>
      <c r="J2563" s="1" t="s">
        <v>1808</v>
      </c>
      <c r="K2563" s="10">
        <v>1</v>
      </c>
      <c r="L2563" s="10">
        <v>1</v>
      </c>
      <c r="O2563" s="6"/>
      <c r="Q2563" s="42" t="s">
        <v>5682</v>
      </c>
      <c r="R2563" s="42"/>
      <c r="S2563" s="1"/>
    </row>
    <row r="2564" spans="1:19" ht="18.75" hidden="1" customHeight="1" x14ac:dyDescent="0.3">
      <c r="A2564" s="10">
        <v>2563</v>
      </c>
      <c r="B2564" s="10">
        <f>_xlfn.XLOOKUP(1,(VALUE(D2564)&gt;=VALUE(block!$C$3:$C$500))*(VALUE(D2564)&lt;VALUE(block!$C$3:$C$500)+VALUE(block!$D$3:$D$500)),block!$A$3:$A$500,"无匹配",0,1)</f>
        <v>68</v>
      </c>
      <c r="C2564" s="3" t="str">
        <f>B2564 &amp; "-" &amp; COUNTIF($B$2:B2564, B2564)</f>
        <v>68-43</v>
      </c>
      <c r="D2564" s="10">
        <f t="shared" si="9"/>
        <v>15110</v>
      </c>
      <c r="E2564" s="1" t="s">
        <v>6592</v>
      </c>
      <c r="F2564" s="1" t="s">
        <v>6593</v>
      </c>
      <c r="G2564" s="1" t="s">
        <v>1832</v>
      </c>
      <c r="H2564" s="1" t="s">
        <v>1812</v>
      </c>
      <c r="I2564" s="10" t="str">
        <f>IF(H2564="T17",1,IF(H2564="T17",3,IF(H2564="T33",6,IF(H2564="T33",10,IF(H2564="T65",14,IF(H2564="T65",18,IF(H2564="T33",22,"")))))))</f>
        <v/>
      </c>
      <c r="J2564" s="1" t="s">
        <v>1808</v>
      </c>
      <c r="K2564" s="10">
        <v>2</v>
      </c>
      <c r="L2564" s="10">
        <v>1</v>
      </c>
      <c r="O2564" s="6"/>
      <c r="P2564" s="42" t="s">
        <v>5560</v>
      </c>
      <c r="Q2564" s="42" t="s">
        <v>5682</v>
      </c>
      <c r="R2564" s="42"/>
      <c r="S2564" s="1"/>
    </row>
    <row r="2565" spans="1:19" ht="18.75" hidden="1" customHeight="1" x14ac:dyDescent="0.3">
      <c r="A2565" s="10">
        <v>2564</v>
      </c>
      <c r="B2565" s="10">
        <f>_xlfn.XLOOKUP(1,(VALUE(D2565)&gt;=VALUE(block!$C$3:$C$500))*(VALUE(D2565)&lt;VALUE(block!$C$3:$C$500)+VALUE(block!$D$3:$D$500)),block!$A$3:$A$500,"无匹配",0,1)</f>
        <v>68</v>
      </c>
      <c r="C2565" s="3" t="str">
        <f>B2565 &amp; "-" &amp; COUNTIF($B$2:B2565, B2565)</f>
        <v>68-44</v>
      </c>
      <c r="D2565" s="10">
        <f t="shared" si="9"/>
        <v>15112</v>
      </c>
      <c r="E2565" s="3" t="s">
        <v>6594</v>
      </c>
      <c r="F2565" s="1" t="s">
        <v>6595</v>
      </c>
      <c r="H2565" s="3" t="s">
        <v>1838</v>
      </c>
      <c r="I2565" s="10" t="str">
        <f>IF(H2565="T18",1,IF(H2565="T18",3,IF(H2565="T34",6,IF(H2565="T34",10,IF(H2565="T66",14,IF(H2565="T66",18,IF(H2565="T34",22,"")))))))</f>
        <v/>
      </c>
      <c r="J2565" s="1" t="s">
        <v>1808</v>
      </c>
      <c r="K2565" s="10">
        <v>2</v>
      </c>
      <c r="L2565" s="10">
        <v>1</v>
      </c>
      <c r="O2565" s="6"/>
      <c r="Q2565" s="42" t="s">
        <v>5682</v>
      </c>
      <c r="R2565" s="42"/>
      <c r="S2565" s="1"/>
    </row>
    <row r="2566" spans="1:19" ht="18.75" hidden="1" customHeight="1" x14ac:dyDescent="0.3">
      <c r="A2566" s="10">
        <v>2565</v>
      </c>
      <c r="B2566" s="10">
        <f>_xlfn.XLOOKUP(1,(VALUE(D2566)&gt;=VALUE(block!$C$3:$C$500))*(VALUE(D2566)&lt;VALUE(block!$C$3:$C$500)+VALUE(block!$D$3:$D$500)),block!$A$3:$A$500,"无匹配",0,1)</f>
        <v>68</v>
      </c>
      <c r="C2566" s="3" t="str">
        <f>B2566 &amp; "-" &amp; COUNTIF($B$2:B2566, B2566)</f>
        <v>68-45</v>
      </c>
      <c r="D2566" s="10">
        <f t="shared" si="9"/>
        <v>15114</v>
      </c>
      <c r="E2566" s="3" t="s">
        <v>6594</v>
      </c>
      <c r="F2566" s="1" t="s">
        <v>6596</v>
      </c>
      <c r="H2566" s="3" t="s">
        <v>5458</v>
      </c>
      <c r="I2566" s="10" t="str">
        <f>IF(H2566="T19",1,IF(H2566="T19",3,IF(H2566="T35",6,IF(H2566="T35",10,IF(H2566="T67",14,IF(H2566="T67",18,IF(H2566="T35",22,"")))))))</f>
        <v/>
      </c>
      <c r="J2566" s="1" t="s">
        <v>1808</v>
      </c>
      <c r="K2566" s="10">
        <v>1</v>
      </c>
      <c r="L2566" s="10">
        <v>1</v>
      </c>
      <c r="O2566" s="6"/>
      <c r="Q2566" s="42" t="s">
        <v>5682</v>
      </c>
      <c r="R2566" s="42"/>
      <c r="S2566" s="1"/>
    </row>
    <row r="2567" spans="1:19" ht="18.75" hidden="1" customHeight="1" x14ac:dyDescent="0.3">
      <c r="A2567" s="10">
        <v>2566</v>
      </c>
      <c r="B2567" s="10">
        <f>_xlfn.XLOOKUP(1,(VALUE(D2567)&gt;=VALUE(block!$C$3:$C$500))*(VALUE(D2567)&lt;VALUE(block!$C$3:$C$500)+VALUE(block!$D$3:$D$500)),block!$A$3:$A$500,"无匹配",0,1)</f>
        <v>68</v>
      </c>
      <c r="C2567" s="3" t="str">
        <f>B2567 &amp; "-" &amp; COUNTIF($B$2:B2567, B2567)</f>
        <v>68-46</v>
      </c>
      <c r="D2567" s="10">
        <f t="shared" si="9"/>
        <v>15115</v>
      </c>
      <c r="E2567" s="1" t="s">
        <v>6597</v>
      </c>
      <c r="F2567" s="1" t="s">
        <v>6598</v>
      </c>
      <c r="G2567" s="1" t="s">
        <v>1834</v>
      </c>
      <c r="H2567" s="1" t="s">
        <v>1812</v>
      </c>
      <c r="I2567" s="10" t="str">
        <f>IF(H2567="T20",1,IF(H2567="T20",3,IF(H2567="T36",6,IF(H2567="T36",10,IF(H2567="T68",14,IF(H2567="T68",18,IF(H2567="T36",22,"")))))))</f>
        <v/>
      </c>
      <c r="J2567" s="1" t="s">
        <v>1808</v>
      </c>
      <c r="K2567" s="10">
        <v>2</v>
      </c>
      <c r="L2567" s="10">
        <v>1</v>
      </c>
      <c r="O2567" s="6"/>
      <c r="P2567" s="42" t="s">
        <v>5560</v>
      </c>
      <c r="Q2567" s="42" t="s">
        <v>5682</v>
      </c>
      <c r="R2567" s="42"/>
      <c r="S2567" s="1"/>
    </row>
    <row r="2568" spans="1:19" ht="18.75" hidden="1" customHeight="1" x14ac:dyDescent="0.3">
      <c r="A2568" s="10">
        <v>2567</v>
      </c>
      <c r="B2568" s="10">
        <f>_xlfn.XLOOKUP(1,(VALUE(D2568)&gt;=VALUE(block!$C$3:$C$500))*(VALUE(D2568)&lt;VALUE(block!$C$3:$C$500)+VALUE(block!$D$3:$D$500)),block!$A$3:$A$500,"无匹配",0,1)</f>
        <v>68</v>
      </c>
      <c r="C2568" s="3" t="str">
        <f>B2568 &amp; "-" &amp; COUNTIF($B$2:B2568, B2568)</f>
        <v>68-47</v>
      </c>
      <c r="D2568" s="10">
        <f t="shared" si="9"/>
        <v>15117</v>
      </c>
      <c r="E2568" s="3" t="s">
        <v>6599</v>
      </c>
      <c r="F2568" s="1" t="s">
        <v>6600</v>
      </c>
      <c r="H2568" s="3" t="s">
        <v>1838</v>
      </c>
      <c r="I2568" s="10" t="str">
        <f>IF(H2568="T21",1,IF(H2568="T21",3,IF(H2568="T37",6,IF(H2568="T37",10,IF(H2568="T69",14,IF(H2568="T69",18,IF(H2568="T37",22,"")))))))</f>
        <v/>
      </c>
      <c r="J2568" s="1" t="s">
        <v>1808</v>
      </c>
      <c r="K2568" s="10">
        <v>2</v>
      </c>
      <c r="L2568" s="10">
        <v>1</v>
      </c>
      <c r="O2568" s="6"/>
      <c r="Q2568" s="42" t="s">
        <v>5682</v>
      </c>
      <c r="R2568" s="42"/>
      <c r="S2568" s="1"/>
    </row>
    <row r="2569" spans="1:19" ht="18.75" hidden="1" customHeight="1" x14ac:dyDescent="0.3">
      <c r="A2569" s="10">
        <v>2568</v>
      </c>
      <c r="B2569" s="10">
        <f>_xlfn.XLOOKUP(1,(VALUE(D2569)&gt;=VALUE(block!$C$3:$C$500))*(VALUE(D2569)&lt;VALUE(block!$C$3:$C$500)+VALUE(block!$D$3:$D$500)),block!$A$3:$A$500,"无匹配",0,1)</f>
        <v>68</v>
      </c>
      <c r="C2569" s="3" t="str">
        <f>B2569 &amp; "-" &amp; COUNTIF($B$2:B2569, B2569)</f>
        <v>68-48</v>
      </c>
      <c r="D2569" s="10">
        <f t="shared" si="9"/>
        <v>15119</v>
      </c>
      <c r="E2569" s="3" t="s">
        <v>6599</v>
      </c>
      <c r="F2569" s="1" t="s">
        <v>6601</v>
      </c>
      <c r="H2569" s="3" t="s">
        <v>5458</v>
      </c>
      <c r="I2569" s="10" t="str">
        <f>IF(H2569="T22",1,IF(H2569="T22",3,IF(H2569="T38",6,IF(H2569="T38",10,IF(H2569="T70",14,IF(H2569="T70",18,IF(H2569="T38",22,"")))))))</f>
        <v/>
      </c>
      <c r="J2569" s="1" t="s">
        <v>1808</v>
      </c>
      <c r="K2569" s="10">
        <v>1</v>
      </c>
      <c r="L2569" s="10">
        <v>1</v>
      </c>
      <c r="O2569" s="6"/>
      <c r="Q2569" s="42" t="s">
        <v>5682</v>
      </c>
      <c r="R2569" s="42"/>
      <c r="S2569" s="1"/>
    </row>
    <row r="2570" spans="1:19" ht="18.75" hidden="1" customHeight="1" x14ac:dyDescent="0.3">
      <c r="A2570" s="10">
        <v>2569</v>
      </c>
      <c r="B2570" s="10">
        <f>_xlfn.XLOOKUP(1,(VALUE(D2570)&gt;=VALUE(block!$C$3:$C$500))*(VALUE(D2570)&lt;VALUE(block!$C$3:$C$500)+VALUE(block!$D$3:$D$500)),block!$A$3:$A$500,"无匹配",0,1)</f>
        <v>68</v>
      </c>
      <c r="C2570" s="3" t="str">
        <f>B2570 &amp; "-" &amp; COUNTIF($B$2:B2570, B2570)</f>
        <v>68-49</v>
      </c>
      <c r="D2570" s="10">
        <f t="shared" si="9"/>
        <v>15120</v>
      </c>
      <c r="E2570" s="1" t="s">
        <v>6602</v>
      </c>
      <c r="F2570" s="1" t="s">
        <v>6603</v>
      </c>
      <c r="G2570" s="1" t="s">
        <v>1834</v>
      </c>
      <c r="H2570" s="1" t="s">
        <v>1812</v>
      </c>
      <c r="I2570" s="10" t="str">
        <f>IF(H2570="T23",1,IF(H2570="T23",3,IF(H2570="T39",6,IF(H2570="T39",10,IF(H2570="T71",14,IF(H2570="T71",18,IF(H2570="T39",22,"")))))))</f>
        <v/>
      </c>
      <c r="J2570" s="1" t="s">
        <v>1808</v>
      </c>
      <c r="K2570" s="10">
        <v>2</v>
      </c>
      <c r="L2570" s="10">
        <v>1</v>
      </c>
      <c r="O2570" s="6"/>
      <c r="P2570" s="42" t="s">
        <v>5560</v>
      </c>
      <c r="Q2570" s="42" t="s">
        <v>5682</v>
      </c>
      <c r="R2570" s="42"/>
      <c r="S2570" s="1"/>
    </row>
    <row r="2571" spans="1:19" ht="18.75" hidden="1" customHeight="1" x14ac:dyDescent="0.3">
      <c r="A2571" s="10">
        <v>2570</v>
      </c>
      <c r="B2571" s="10">
        <f>_xlfn.XLOOKUP(1,(VALUE(D2571)&gt;=VALUE(block!$C$3:$C$500))*(VALUE(D2571)&lt;VALUE(block!$C$3:$C$500)+VALUE(block!$D$3:$D$500)),block!$A$3:$A$500,"无匹配",0,1)</f>
        <v>68</v>
      </c>
      <c r="C2571" s="3" t="str">
        <f>B2571 &amp; "-" &amp; COUNTIF($B$2:B2571, B2571)</f>
        <v>68-50</v>
      </c>
      <c r="D2571" s="10">
        <f t="shared" si="9"/>
        <v>15122</v>
      </c>
      <c r="E2571" s="3" t="s">
        <v>6604</v>
      </c>
      <c r="F2571" s="1" t="s">
        <v>6605</v>
      </c>
      <c r="H2571" s="3" t="s">
        <v>1838</v>
      </c>
      <c r="I2571" s="10" t="str">
        <f>IF(H2571="T24",1,IF(H2571="T24",3,IF(H2571="T40",6,IF(H2571="T40",10,IF(H2571="T72",14,IF(H2571="T72",18,IF(H2571="T40",22,"")))))))</f>
        <v/>
      </c>
      <c r="J2571" s="1" t="s">
        <v>1808</v>
      </c>
      <c r="K2571" s="10">
        <v>2</v>
      </c>
      <c r="L2571" s="10">
        <v>1</v>
      </c>
      <c r="O2571" s="6"/>
      <c r="Q2571" s="42" t="s">
        <v>5682</v>
      </c>
      <c r="R2571" s="42"/>
      <c r="S2571" s="1"/>
    </row>
    <row r="2572" spans="1:19" ht="18.75" hidden="1" customHeight="1" x14ac:dyDescent="0.3">
      <c r="A2572" s="10">
        <v>2571</v>
      </c>
      <c r="B2572" s="10">
        <f>_xlfn.XLOOKUP(1,(VALUE(D2572)&gt;=VALUE(block!$C$3:$C$500))*(VALUE(D2572)&lt;VALUE(block!$C$3:$C$500)+VALUE(block!$D$3:$D$500)),block!$A$3:$A$500,"无匹配",0,1)</f>
        <v>68</v>
      </c>
      <c r="C2572" s="3" t="str">
        <f>B2572 &amp; "-" &amp; COUNTIF($B$2:B2572, B2572)</f>
        <v>68-51</v>
      </c>
      <c r="D2572" s="10">
        <f t="shared" si="9"/>
        <v>15124</v>
      </c>
      <c r="E2572" s="3" t="s">
        <v>6604</v>
      </c>
      <c r="F2572" s="1" t="s">
        <v>6606</v>
      </c>
      <c r="H2572" s="3" t="s">
        <v>5458</v>
      </c>
      <c r="I2572" s="10" t="str">
        <f>IF(H2572="T25",1,IF(H2572="T25",3,IF(H2572="T41",6,IF(H2572="T41",10,IF(H2572="T73",14,IF(H2572="T73",18,IF(H2572="T41",22,"")))))))</f>
        <v/>
      </c>
      <c r="J2572" s="1" t="s">
        <v>1808</v>
      </c>
      <c r="K2572" s="10">
        <v>1</v>
      </c>
      <c r="L2572" s="10">
        <v>1</v>
      </c>
      <c r="O2572" s="6"/>
      <c r="Q2572" s="42" t="s">
        <v>5682</v>
      </c>
      <c r="R2572" s="42"/>
      <c r="S2572" s="1"/>
    </row>
    <row r="2573" spans="1:19" ht="18.75" hidden="1" customHeight="1" x14ac:dyDescent="0.3">
      <c r="A2573" s="10">
        <v>2572</v>
      </c>
      <c r="B2573" s="10">
        <f>_xlfn.XLOOKUP(1,(VALUE(D2573)&gt;=VALUE(block!$C$3:$C$500))*(VALUE(D2573)&lt;VALUE(block!$C$3:$C$500)+VALUE(block!$D$3:$D$500)),block!$A$3:$A$500,"无匹配",0,1)</f>
        <v>68</v>
      </c>
      <c r="C2573" s="3" t="str">
        <f>B2573 &amp; "-" &amp; COUNTIF($B$2:B2573, B2573)</f>
        <v>68-52</v>
      </c>
      <c r="D2573" s="10">
        <f t="shared" si="9"/>
        <v>15125</v>
      </c>
      <c r="E2573" s="1" t="s">
        <v>6607</v>
      </c>
      <c r="F2573" s="1" t="s">
        <v>6608</v>
      </c>
      <c r="G2573" s="1" t="s">
        <v>1836</v>
      </c>
      <c r="H2573" s="1" t="s">
        <v>1812</v>
      </c>
      <c r="I2573" s="10" t="str">
        <f>IF(H2573="T26",1,IF(H2573="T26",3,IF(H2573="T42",6,IF(H2573="T42",10,IF(H2573="T74",14,IF(H2573="T74",18,IF(H2573="T42",22,"")))))))</f>
        <v/>
      </c>
      <c r="J2573" s="1" t="s">
        <v>1808</v>
      </c>
      <c r="K2573" s="10">
        <v>2</v>
      </c>
      <c r="L2573" s="10">
        <v>1</v>
      </c>
      <c r="O2573" s="6"/>
      <c r="P2573" s="42" t="s">
        <v>5560</v>
      </c>
      <c r="Q2573" s="42" t="s">
        <v>5682</v>
      </c>
      <c r="R2573" s="42"/>
      <c r="S2573" s="1"/>
    </row>
    <row r="2574" spans="1:19" ht="18.75" hidden="1" customHeight="1" x14ac:dyDescent="0.3">
      <c r="A2574" s="10">
        <v>2573</v>
      </c>
      <c r="B2574" s="10">
        <f>_xlfn.XLOOKUP(1,(VALUE(D2574)&gt;=VALUE(block!$C$3:$C$500))*(VALUE(D2574)&lt;VALUE(block!$C$3:$C$500)+VALUE(block!$D$3:$D$500)),block!$A$3:$A$500,"无匹配",0,1)</f>
        <v>68</v>
      </c>
      <c r="C2574" s="3" t="str">
        <f>B2574 &amp; "-" &amp; COUNTIF($B$2:B2574, B2574)</f>
        <v>68-53</v>
      </c>
      <c r="D2574" s="10">
        <f t="shared" si="9"/>
        <v>15127</v>
      </c>
      <c r="E2574" s="3" t="s">
        <v>6609</v>
      </c>
      <c r="F2574" s="1" t="s">
        <v>6610</v>
      </c>
      <c r="H2574" s="3" t="s">
        <v>1838</v>
      </c>
      <c r="I2574" s="10" t="str">
        <f>IF(H2574="T27",1,IF(H2574="T27",3,IF(H2574="T43",6,IF(H2574="T43",10,IF(H2574="T75",14,IF(H2574="T75",18,IF(H2574="T43",22,"")))))))</f>
        <v/>
      </c>
      <c r="J2574" s="1" t="s">
        <v>1808</v>
      </c>
      <c r="K2574" s="10">
        <v>2</v>
      </c>
      <c r="L2574" s="10">
        <v>1</v>
      </c>
      <c r="O2574" s="6"/>
      <c r="Q2574" s="42" t="s">
        <v>5682</v>
      </c>
      <c r="R2574" s="42"/>
      <c r="S2574" s="1"/>
    </row>
    <row r="2575" spans="1:19" ht="18.75" hidden="1" customHeight="1" x14ac:dyDescent="0.3">
      <c r="A2575" s="10">
        <v>2574</v>
      </c>
      <c r="B2575" s="10">
        <f>_xlfn.XLOOKUP(1,(VALUE(D2575)&gt;=VALUE(block!$C$3:$C$500))*(VALUE(D2575)&lt;VALUE(block!$C$3:$C$500)+VALUE(block!$D$3:$D$500)),block!$A$3:$A$500,"无匹配",0,1)</f>
        <v>68</v>
      </c>
      <c r="C2575" s="3" t="str">
        <f>B2575 &amp; "-" &amp; COUNTIF($B$2:B2575, B2575)</f>
        <v>68-54</v>
      </c>
      <c r="D2575" s="10">
        <f t="shared" si="9"/>
        <v>15129</v>
      </c>
      <c r="E2575" s="3" t="s">
        <v>6609</v>
      </c>
      <c r="F2575" s="1" t="s">
        <v>6611</v>
      </c>
      <c r="H2575" s="3" t="s">
        <v>5458</v>
      </c>
      <c r="I2575" s="10" t="str">
        <f>IF(H2575="T28",1,IF(H2575="T28",3,IF(H2575="T44",6,IF(H2575="T44",10,IF(H2575="T76",14,IF(H2575="T76",18,IF(H2575="T44",22,"")))))))</f>
        <v/>
      </c>
      <c r="J2575" s="1" t="s">
        <v>1808</v>
      </c>
      <c r="K2575" s="10">
        <v>1</v>
      </c>
      <c r="L2575" s="10">
        <v>1</v>
      </c>
      <c r="O2575" s="6"/>
      <c r="Q2575" s="42" t="s">
        <v>5682</v>
      </c>
      <c r="R2575" s="42"/>
      <c r="S2575" s="1"/>
    </row>
    <row r="2576" spans="1:19" ht="18.75" hidden="1" customHeight="1" x14ac:dyDescent="0.3">
      <c r="A2576" s="10">
        <v>2575</v>
      </c>
      <c r="B2576" s="10">
        <f>_xlfn.XLOOKUP(1,(VALUE(D2576)&gt;=VALUE(block!$C$3:$C$500))*(VALUE(D2576)&lt;VALUE(block!$C$3:$C$500)+VALUE(block!$D$3:$D$500)),block!$A$3:$A$500,"无匹配",0,1)</f>
        <v>68</v>
      </c>
      <c r="C2576" s="3" t="str">
        <f>B2576 &amp; "-" &amp; COUNTIF($B$2:B2576, B2576)</f>
        <v>68-55</v>
      </c>
      <c r="D2576" s="10">
        <f t="shared" si="9"/>
        <v>15130</v>
      </c>
      <c r="E2576" s="1" t="s">
        <v>6612</v>
      </c>
      <c r="F2576" s="1" t="s">
        <v>6613</v>
      </c>
      <c r="G2576" s="1" t="s">
        <v>1830</v>
      </c>
      <c r="H2576" s="1" t="s">
        <v>1812</v>
      </c>
      <c r="I2576" s="10" t="str">
        <f>IF(H2576="T29",1,IF(H2576="T29",3,IF(H2576="T45",6,IF(H2576="T45",10,IF(H2576="T77",14,IF(H2576="T77",18,IF(H2576="T45",22,"")))))))</f>
        <v/>
      </c>
      <c r="J2576" s="1" t="s">
        <v>1808</v>
      </c>
      <c r="K2576" s="10">
        <v>2</v>
      </c>
      <c r="L2576" s="10">
        <v>1</v>
      </c>
      <c r="O2576" s="6"/>
      <c r="P2576" s="42" t="s">
        <v>5560</v>
      </c>
      <c r="Q2576" s="42" t="s">
        <v>5682</v>
      </c>
      <c r="R2576" s="42"/>
      <c r="S2576" s="1"/>
    </row>
    <row r="2577" spans="1:19" ht="18.75" hidden="1" customHeight="1" x14ac:dyDescent="0.3">
      <c r="A2577" s="10">
        <v>2576</v>
      </c>
      <c r="B2577" s="10">
        <f>_xlfn.XLOOKUP(1,(VALUE(D2577)&gt;=VALUE(block!$C$3:$C$500))*(VALUE(D2577)&lt;VALUE(block!$C$3:$C$500)+VALUE(block!$D$3:$D$500)),block!$A$3:$A$500,"无匹配",0,1)</f>
        <v>68</v>
      </c>
      <c r="C2577" s="3" t="str">
        <f>B2577 &amp; "-" &amp; COUNTIF($B$2:B2577, B2577)</f>
        <v>68-56</v>
      </c>
      <c r="D2577" s="10">
        <f t="shared" si="9"/>
        <v>15132</v>
      </c>
      <c r="E2577" s="3" t="s">
        <v>6614</v>
      </c>
      <c r="F2577" s="1" t="s">
        <v>6615</v>
      </c>
      <c r="H2577" s="3" t="s">
        <v>1838</v>
      </c>
      <c r="I2577" s="10" t="str">
        <f>IF(H2577="T30",1,IF(H2577="T30",3,IF(H2577="T46",6,IF(H2577="T46",10,IF(H2577="T78",14,IF(H2577="T78",18,IF(H2577="T46",22,"")))))))</f>
        <v/>
      </c>
      <c r="J2577" s="1" t="s">
        <v>1808</v>
      </c>
      <c r="K2577" s="10">
        <v>2</v>
      </c>
      <c r="L2577" s="10">
        <v>1</v>
      </c>
      <c r="O2577" s="6"/>
      <c r="Q2577" s="42" t="s">
        <v>5682</v>
      </c>
      <c r="R2577" s="42"/>
      <c r="S2577" s="1"/>
    </row>
    <row r="2578" spans="1:19" ht="18.75" hidden="1" customHeight="1" x14ac:dyDescent="0.3">
      <c r="A2578" s="10">
        <v>2577</v>
      </c>
      <c r="B2578" s="10">
        <f>_xlfn.XLOOKUP(1,(VALUE(D2578)&gt;=VALUE(block!$C$3:$C$500))*(VALUE(D2578)&lt;VALUE(block!$C$3:$C$500)+VALUE(block!$D$3:$D$500)),block!$A$3:$A$500,"无匹配",0,1)</f>
        <v>68</v>
      </c>
      <c r="C2578" s="3" t="str">
        <f>B2578 &amp; "-" &amp; COUNTIF($B$2:B2578, B2578)</f>
        <v>68-57</v>
      </c>
      <c r="D2578" s="10">
        <f t="shared" si="9"/>
        <v>15134</v>
      </c>
      <c r="E2578" s="3" t="s">
        <v>6614</v>
      </c>
      <c r="F2578" s="1" t="s">
        <v>6616</v>
      </c>
      <c r="H2578" s="3" t="s">
        <v>5458</v>
      </c>
      <c r="I2578" s="10" t="str">
        <f>IF(H2578="T31",1,IF(H2578="T31",3,IF(H2578="T47",6,IF(H2578="T47",10,IF(H2578="T79",14,IF(H2578="T79",18,IF(H2578="T47",22,"")))))))</f>
        <v/>
      </c>
      <c r="J2578" s="1" t="s">
        <v>1808</v>
      </c>
      <c r="K2578" s="10">
        <v>1</v>
      </c>
      <c r="L2578" s="10">
        <v>1</v>
      </c>
      <c r="O2578" s="6"/>
      <c r="Q2578" s="42" t="s">
        <v>5682</v>
      </c>
      <c r="R2578" s="42"/>
      <c r="S2578" s="1"/>
    </row>
    <row r="2579" spans="1:19" ht="18.75" hidden="1" customHeight="1" x14ac:dyDescent="0.3">
      <c r="A2579" s="10">
        <v>2578</v>
      </c>
      <c r="B2579" s="10">
        <f>_xlfn.XLOOKUP(1,(VALUE(D2579)&gt;=VALUE(block!$C$3:$C$500))*(VALUE(D2579)&lt;VALUE(block!$C$3:$C$500)+VALUE(block!$D$3:$D$500)),block!$A$3:$A$500,"无匹配",0,1)</f>
        <v>68</v>
      </c>
      <c r="C2579" s="3" t="str">
        <f>B2579 &amp; "-" &amp; COUNTIF($B$2:B2579, B2579)</f>
        <v>68-58</v>
      </c>
      <c r="D2579" s="10">
        <f t="shared" si="9"/>
        <v>15135</v>
      </c>
      <c r="E2579" s="1" t="s">
        <v>6617</v>
      </c>
      <c r="F2579" s="1" t="s">
        <v>6618</v>
      </c>
      <c r="G2579" s="1" t="s">
        <v>1832</v>
      </c>
      <c r="H2579" s="1" t="s">
        <v>1812</v>
      </c>
      <c r="I2579" s="10" t="str">
        <f>IF(H2579="T32",1,IF(H2579="T32",3,IF(H2579="T48",6,IF(H2579="T48",10,IF(H2579="T80",14,IF(H2579="T80",18,IF(H2579="T48",22,"")))))))</f>
        <v/>
      </c>
      <c r="J2579" s="1" t="s">
        <v>1808</v>
      </c>
      <c r="K2579" s="10">
        <v>2</v>
      </c>
      <c r="L2579" s="10">
        <v>1</v>
      </c>
      <c r="O2579" s="6"/>
      <c r="P2579" s="42" t="s">
        <v>5560</v>
      </c>
      <c r="Q2579" s="42" t="s">
        <v>5682</v>
      </c>
      <c r="R2579" s="42"/>
      <c r="S2579" s="1"/>
    </row>
    <row r="2580" spans="1:19" ht="18.75" hidden="1" customHeight="1" x14ac:dyDescent="0.3">
      <c r="A2580" s="10">
        <v>2579</v>
      </c>
      <c r="B2580" s="10">
        <f>_xlfn.XLOOKUP(1,(VALUE(D2580)&gt;=VALUE(block!$C$3:$C$500))*(VALUE(D2580)&lt;VALUE(block!$C$3:$C$500)+VALUE(block!$D$3:$D$500)),block!$A$3:$A$500,"无匹配",0,1)</f>
        <v>68</v>
      </c>
      <c r="C2580" s="3" t="str">
        <f>B2580 &amp; "-" &amp; COUNTIF($B$2:B2580, B2580)</f>
        <v>68-59</v>
      </c>
      <c r="D2580" s="10">
        <f t="shared" si="9"/>
        <v>15137</v>
      </c>
      <c r="E2580" s="3" t="s">
        <v>6619</v>
      </c>
      <c r="F2580" s="1" t="s">
        <v>6620</v>
      </c>
      <c r="H2580" s="3" t="s">
        <v>1838</v>
      </c>
      <c r="I2580" s="10" t="str">
        <f>IF(H2580="T33",1,IF(H2580="T33",3,IF(H2580="T49",6,IF(H2580="T49",10,IF(H2580="T81",14,IF(H2580="T81",18,IF(H2580="T49",22,"")))))))</f>
        <v/>
      </c>
      <c r="J2580" s="1" t="s">
        <v>1808</v>
      </c>
      <c r="K2580" s="10">
        <v>2</v>
      </c>
      <c r="L2580" s="10">
        <v>1</v>
      </c>
      <c r="O2580" s="6"/>
      <c r="Q2580" s="42" t="s">
        <v>5682</v>
      </c>
      <c r="R2580" s="42"/>
      <c r="S2580" s="1"/>
    </row>
    <row r="2581" spans="1:19" ht="18.75" hidden="1" customHeight="1" x14ac:dyDescent="0.3">
      <c r="A2581" s="10">
        <v>2580</v>
      </c>
      <c r="B2581" s="10">
        <f>_xlfn.XLOOKUP(1,(VALUE(D2581)&gt;=VALUE(block!$C$3:$C$500))*(VALUE(D2581)&lt;VALUE(block!$C$3:$C$500)+VALUE(block!$D$3:$D$500)),block!$A$3:$A$500,"无匹配",0,1)</f>
        <v>68</v>
      </c>
      <c r="C2581" s="3" t="str">
        <f>B2581 &amp; "-" &amp; COUNTIF($B$2:B2581, B2581)</f>
        <v>68-60</v>
      </c>
      <c r="D2581" s="10">
        <f t="shared" si="9"/>
        <v>15139</v>
      </c>
      <c r="E2581" s="3" t="s">
        <v>6619</v>
      </c>
      <c r="F2581" s="1" t="s">
        <v>6621</v>
      </c>
      <c r="H2581" s="3" t="s">
        <v>5458</v>
      </c>
      <c r="I2581" s="10" t="str">
        <f>IF(H2581="T34",1,IF(H2581="T34",3,IF(H2581="T50",6,IF(H2581="T50",10,IF(H2581="T82",14,IF(H2581="T82",18,IF(H2581="T50",22,"")))))))</f>
        <v/>
      </c>
      <c r="J2581" s="1" t="s">
        <v>1808</v>
      </c>
      <c r="K2581" s="10">
        <v>1</v>
      </c>
      <c r="L2581" s="10">
        <v>1</v>
      </c>
      <c r="O2581" s="6"/>
      <c r="Q2581" s="42" t="s">
        <v>5682</v>
      </c>
      <c r="R2581" s="42"/>
      <c r="S2581" s="1"/>
    </row>
    <row r="2582" spans="1:19" ht="18.75" hidden="1" customHeight="1" x14ac:dyDescent="0.3">
      <c r="A2582" s="10">
        <v>2581</v>
      </c>
      <c r="B2582" s="10">
        <f>_xlfn.XLOOKUP(1,(VALUE(D2582)&gt;=VALUE(block!$C$3:$C$500))*(VALUE(D2582)&lt;VALUE(block!$C$3:$C$500)+VALUE(block!$D$3:$D$500)),block!$A$3:$A$500,"无匹配",0,1)</f>
        <v>68</v>
      </c>
      <c r="C2582" s="3" t="str">
        <f>B2582 &amp; "-" &amp; COUNTIF($B$2:B2582, B2582)</f>
        <v>68-61</v>
      </c>
      <c r="D2582" s="10">
        <f t="shared" si="9"/>
        <v>15140</v>
      </c>
      <c r="E2582" s="1" t="s">
        <v>6622</v>
      </c>
      <c r="F2582" s="1" t="s">
        <v>6623</v>
      </c>
      <c r="G2582" s="1" t="s">
        <v>1832</v>
      </c>
      <c r="H2582" s="1" t="s">
        <v>1812</v>
      </c>
      <c r="I2582" s="10" t="str">
        <f>IF(H2582="T35",1,IF(H2582="T35",3,IF(H2582="T51",6,IF(H2582="T51",10,IF(H2582="T83",14,IF(H2582="T83",18,IF(H2582="T51",22,"")))))))</f>
        <v/>
      </c>
      <c r="J2582" s="1" t="s">
        <v>1808</v>
      </c>
      <c r="K2582" s="10">
        <v>2</v>
      </c>
      <c r="L2582" s="10">
        <v>1</v>
      </c>
      <c r="O2582" s="6"/>
      <c r="P2582" s="42" t="s">
        <v>5560</v>
      </c>
      <c r="Q2582" s="42" t="s">
        <v>5682</v>
      </c>
      <c r="R2582" s="42"/>
      <c r="S2582" s="1"/>
    </row>
    <row r="2583" spans="1:19" ht="18.75" hidden="1" customHeight="1" x14ac:dyDescent="0.3">
      <c r="A2583" s="10">
        <v>2582</v>
      </c>
      <c r="B2583" s="10">
        <f>_xlfn.XLOOKUP(1,(VALUE(D2583)&gt;=VALUE(block!$C$3:$C$500))*(VALUE(D2583)&lt;VALUE(block!$C$3:$C$500)+VALUE(block!$D$3:$D$500)),block!$A$3:$A$500,"无匹配",0,1)</f>
        <v>68</v>
      </c>
      <c r="C2583" s="3" t="str">
        <f>B2583 &amp; "-" &amp; COUNTIF($B$2:B2583, B2583)</f>
        <v>68-62</v>
      </c>
      <c r="D2583" s="10">
        <f t="shared" si="9"/>
        <v>15142</v>
      </c>
      <c r="E2583" s="3" t="s">
        <v>6624</v>
      </c>
      <c r="F2583" s="1" t="s">
        <v>6625</v>
      </c>
      <c r="H2583" s="3" t="s">
        <v>1838</v>
      </c>
      <c r="I2583" s="10" t="str">
        <f>IF(H2583="T36",1,IF(H2583="T36",3,IF(H2583="T52",6,IF(H2583="T52",10,IF(H2583="T84",14,IF(H2583="T84",18,IF(H2583="T52",22,"")))))))</f>
        <v/>
      </c>
      <c r="J2583" s="1" t="s">
        <v>1808</v>
      </c>
      <c r="K2583" s="10">
        <v>2</v>
      </c>
      <c r="L2583" s="10">
        <v>1</v>
      </c>
      <c r="O2583" s="6"/>
      <c r="Q2583" s="42" t="s">
        <v>5682</v>
      </c>
      <c r="R2583" s="42"/>
      <c r="S2583" s="1"/>
    </row>
    <row r="2584" spans="1:19" ht="18.75" hidden="1" customHeight="1" x14ac:dyDescent="0.3">
      <c r="A2584" s="10">
        <v>2583</v>
      </c>
      <c r="B2584" s="10">
        <f>_xlfn.XLOOKUP(1,(VALUE(D2584)&gt;=VALUE(block!$C$3:$C$500))*(VALUE(D2584)&lt;VALUE(block!$C$3:$C$500)+VALUE(block!$D$3:$D$500)),block!$A$3:$A$500,"无匹配",0,1)</f>
        <v>68</v>
      </c>
      <c r="C2584" s="3" t="str">
        <f>B2584 &amp; "-" &amp; COUNTIF($B$2:B2584, B2584)</f>
        <v>68-63</v>
      </c>
      <c r="D2584" s="10">
        <f t="shared" si="9"/>
        <v>15144</v>
      </c>
      <c r="E2584" s="3" t="s">
        <v>6624</v>
      </c>
      <c r="F2584" s="1" t="s">
        <v>6626</v>
      </c>
      <c r="H2584" s="3" t="s">
        <v>5458</v>
      </c>
      <c r="I2584" s="10" t="str">
        <f>IF(H2584="T37",1,IF(H2584="T37",3,IF(H2584="T53",6,IF(H2584="T53",10,IF(H2584="T85",14,IF(H2584="T85",18,IF(H2584="T53",22,"")))))))</f>
        <v/>
      </c>
      <c r="J2584" s="1" t="s">
        <v>1808</v>
      </c>
      <c r="K2584" s="10">
        <v>1</v>
      </c>
      <c r="L2584" s="10">
        <v>1</v>
      </c>
      <c r="O2584" s="6"/>
      <c r="Q2584" s="42" t="s">
        <v>5682</v>
      </c>
      <c r="R2584" s="42"/>
      <c r="S2584" s="1"/>
    </row>
    <row r="2585" spans="1:19" ht="18.75" hidden="1" customHeight="1" x14ac:dyDescent="0.3">
      <c r="A2585" s="10">
        <v>2584</v>
      </c>
      <c r="B2585" s="10">
        <f>_xlfn.XLOOKUP(1,(VALUE(D2585)&gt;=VALUE(block!$C$3:$C$500))*(VALUE(D2585)&lt;VALUE(block!$C$3:$C$500)+VALUE(block!$D$3:$D$500)),block!$A$3:$A$500,"无匹配",0,1)</f>
        <v>68</v>
      </c>
      <c r="C2585" s="3" t="str">
        <f>B2585 &amp; "-" &amp; COUNTIF($B$2:B2585, B2585)</f>
        <v>68-64</v>
      </c>
      <c r="D2585" s="10">
        <f t="shared" si="9"/>
        <v>15145</v>
      </c>
      <c r="E2585" s="1" t="s">
        <v>6627</v>
      </c>
      <c r="F2585" s="1" t="s">
        <v>6628</v>
      </c>
      <c r="G2585" s="1" t="s">
        <v>1834</v>
      </c>
      <c r="H2585" s="1" t="s">
        <v>1812</v>
      </c>
      <c r="I2585" s="10" t="str">
        <f>IF(H2585="T38",1,IF(H2585="T38",3,IF(H2585="T54",6,IF(H2585="T54",10,IF(H2585="T86",14,IF(H2585="T86",18,IF(H2585="T54",22,"")))))))</f>
        <v/>
      </c>
      <c r="J2585" s="1" t="s">
        <v>1808</v>
      </c>
      <c r="K2585" s="10">
        <v>2</v>
      </c>
      <c r="L2585" s="10">
        <v>1</v>
      </c>
      <c r="O2585" s="6"/>
      <c r="P2585" s="42" t="s">
        <v>5560</v>
      </c>
      <c r="Q2585" s="42" t="s">
        <v>5682</v>
      </c>
      <c r="R2585" s="42"/>
      <c r="S2585" s="1"/>
    </row>
    <row r="2586" spans="1:19" ht="18.75" hidden="1" customHeight="1" x14ac:dyDescent="0.3">
      <c r="A2586" s="10">
        <v>2585</v>
      </c>
      <c r="B2586" s="10">
        <f>_xlfn.XLOOKUP(1,(VALUE(D2586)&gt;=VALUE(block!$C$3:$C$500))*(VALUE(D2586)&lt;VALUE(block!$C$3:$C$500)+VALUE(block!$D$3:$D$500)),block!$A$3:$A$500,"无匹配",0,1)</f>
        <v>68</v>
      </c>
      <c r="C2586" s="3" t="str">
        <f>B2586 &amp; "-" &amp; COUNTIF($B$2:B2586, B2586)</f>
        <v>68-65</v>
      </c>
      <c r="D2586" s="10">
        <f t="shared" si="9"/>
        <v>15147</v>
      </c>
      <c r="E2586" s="3" t="s">
        <v>6629</v>
      </c>
      <c r="F2586" s="1" t="s">
        <v>6630</v>
      </c>
      <c r="H2586" s="3" t="s">
        <v>1838</v>
      </c>
      <c r="I2586" s="10" t="str">
        <f>IF(H2586="T39",1,IF(H2586="T39",3,IF(H2586="T55",6,IF(H2586="T55",10,IF(H2586="T87",14,IF(H2586="T87",18,IF(H2586="T55",22,"")))))))</f>
        <v/>
      </c>
      <c r="J2586" s="1" t="s">
        <v>1808</v>
      </c>
      <c r="K2586" s="10">
        <v>2</v>
      </c>
      <c r="L2586" s="10">
        <v>1</v>
      </c>
      <c r="O2586" s="6"/>
      <c r="Q2586" s="42" t="s">
        <v>5682</v>
      </c>
      <c r="R2586" s="42"/>
      <c r="S2586" s="1"/>
    </row>
    <row r="2587" spans="1:19" ht="18.75" hidden="1" customHeight="1" x14ac:dyDescent="0.3">
      <c r="A2587" s="10">
        <v>2586</v>
      </c>
      <c r="B2587" s="10">
        <f>_xlfn.XLOOKUP(1,(VALUE(D2587)&gt;=VALUE(block!$C$3:$C$500))*(VALUE(D2587)&lt;VALUE(block!$C$3:$C$500)+VALUE(block!$D$3:$D$500)),block!$A$3:$A$500,"无匹配",0,1)</f>
        <v>68</v>
      </c>
      <c r="C2587" s="3" t="str">
        <f>B2587 &amp; "-" &amp; COUNTIF($B$2:B2587, B2587)</f>
        <v>68-66</v>
      </c>
      <c r="D2587" s="10">
        <f t="shared" ref="D2587:D2650" si="10">D2586+K2586</f>
        <v>15149</v>
      </c>
      <c r="E2587" s="3" t="s">
        <v>6629</v>
      </c>
      <c r="F2587" s="1" t="s">
        <v>6631</v>
      </c>
      <c r="H2587" s="3" t="s">
        <v>5458</v>
      </c>
      <c r="I2587" s="10" t="str">
        <f>IF(H2587="T40",1,IF(H2587="T40",3,IF(H2587="T56",6,IF(H2587="T56",10,IF(H2587="T88",14,IF(H2587="T88",18,IF(H2587="T56",22,"")))))))</f>
        <v/>
      </c>
      <c r="J2587" s="1" t="s">
        <v>1808</v>
      </c>
      <c r="K2587" s="10">
        <v>1</v>
      </c>
      <c r="L2587" s="10">
        <v>1</v>
      </c>
      <c r="O2587" s="6"/>
      <c r="Q2587" s="42" t="s">
        <v>5682</v>
      </c>
      <c r="R2587" s="42"/>
      <c r="S2587" s="1"/>
    </row>
    <row r="2588" spans="1:19" ht="18.75" hidden="1" customHeight="1" x14ac:dyDescent="0.3">
      <c r="A2588" s="10">
        <v>2587</v>
      </c>
      <c r="B2588" s="10">
        <f>_xlfn.XLOOKUP(1,(VALUE(D2588)&gt;=VALUE(block!$C$3:$C$500))*(VALUE(D2588)&lt;VALUE(block!$C$3:$C$500)+VALUE(block!$D$3:$D$500)),block!$A$3:$A$500,"无匹配",0,1)</f>
        <v>68</v>
      </c>
      <c r="C2588" s="3" t="str">
        <f>B2588 &amp; "-" &amp; COUNTIF($B$2:B2588, B2588)</f>
        <v>68-67</v>
      </c>
      <c r="D2588" s="10">
        <f t="shared" si="10"/>
        <v>15150</v>
      </c>
      <c r="E2588" s="1" t="s">
        <v>6632</v>
      </c>
      <c r="F2588" s="1" t="s">
        <v>6633</v>
      </c>
      <c r="G2588" s="1" t="s">
        <v>1834</v>
      </c>
      <c r="H2588" s="1" t="s">
        <v>1812</v>
      </c>
      <c r="I2588" s="10" t="str">
        <f>IF(H2588="T41",1,IF(H2588="T41",3,IF(H2588="T57",6,IF(H2588="T57",10,IF(H2588="T89",14,IF(H2588="T89",18,IF(H2588="T57",22,"")))))))</f>
        <v/>
      </c>
      <c r="J2588" s="1" t="s">
        <v>1808</v>
      </c>
      <c r="K2588" s="10">
        <v>2</v>
      </c>
      <c r="L2588" s="10">
        <v>1</v>
      </c>
      <c r="O2588" s="6"/>
      <c r="P2588" s="42" t="s">
        <v>5560</v>
      </c>
      <c r="Q2588" s="42" t="s">
        <v>5682</v>
      </c>
      <c r="R2588" s="42"/>
      <c r="S2588" s="1"/>
    </row>
    <row r="2589" spans="1:19" ht="18.75" hidden="1" customHeight="1" x14ac:dyDescent="0.3">
      <c r="A2589" s="10">
        <v>2588</v>
      </c>
      <c r="B2589" s="10">
        <f>_xlfn.XLOOKUP(1,(VALUE(D2589)&gt;=VALUE(block!$C$3:$C$500))*(VALUE(D2589)&lt;VALUE(block!$C$3:$C$500)+VALUE(block!$D$3:$D$500)),block!$A$3:$A$500,"无匹配",0,1)</f>
        <v>68</v>
      </c>
      <c r="C2589" s="3" t="str">
        <f>B2589 &amp; "-" &amp; COUNTIF($B$2:B2589, B2589)</f>
        <v>68-68</v>
      </c>
      <c r="D2589" s="10">
        <f t="shared" si="10"/>
        <v>15152</v>
      </c>
      <c r="E2589" s="3" t="s">
        <v>6634</v>
      </c>
      <c r="F2589" s="1" t="s">
        <v>6635</v>
      </c>
      <c r="H2589" s="3" t="s">
        <v>1838</v>
      </c>
      <c r="I2589" s="10" t="str">
        <f>IF(H2589="T42",1,IF(H2589="T42",3,IF(H2589="T58",6,IF(H2589="T58",10,IF(H2589="T90",14,IF(H2589="T90",18,IF(H2589="T58",22,"")))))))</f>
        <v/>
      </c>
      <c r="J2589" s="1" t="s">
        <v>1808</v>
      </c>
      <c r="K2589" s="10">
        <v>2</v>
      </c>
      <c r="L2589" s="10">
        <v>1</v>
      </c>
      <c r="O2589" s="6"/>
      <c r="Q2589" s="42" t="s">
        <v>5682</v>
      </c>
      <c r="R2589" s="42"/>
      <c r="S2589" s="1"/>
    </row>
    <row r="2590" spans="1:19" ht="18.75" hidden="1" customHeight="1" x14ac:dyDescent="0.3">
      <c r="A2590" s="10">
        <v>2589</v>
      </c>
      <c r="B2590" s="10">
        <f>_xlfn.XLOOKUP(1,(VALUE(D2590)&gt;=VALUE(block!$C$3:$C$500))*(VALUE(D2590)&lt;VALUE(block!$C$3:$C$500)+VALUE(block!$D$3:$D$500)),block!$A$3:$A$500,"无匹配",0,1)</f>
        <v>68</v>
      </c>
      <c r="C2590" s="3" t="str">
        <f>B2590 &amp; "-" &amp; COUNTIF($B$2:B2590, B2590)</f>
        <v>68-69</v>
      </c>
      <c r="D2590" s="10">
        <f t="shared" si="10"/>
        <v>15154</v>
      </c>
      <c r="E2590" s="3" t="s">
        <v>6634</v>
      </c>
      <c r="F2590" s="1" t="s">
        <v>6636</v>
      </c>
      <c r="H2590" s="3" t="s">
        <v>5458</v>
      </c>
      <c r="I2590" s="10" t="str">
        <f>IF(H2590="T43",1,IF(H2590="T43",3,IF(H2590="T59",6,IF(H2590="T59",10,IF(H2590="T91",14,IF(H2590="T91",18,IF(H2590="T59",22,"")))))))</f>
        <v/>
      </c>
      <c r="J2590" s="1" t="s">
        <v>1808</v>
      </c>
      <c r="K2590" s="10">
        <v>1</v>
      </c>
      <c r="L2590" s="10">
        <v>1</v>
      </c>
      <c r="O2590" s="6"/>
      <c r="Q2590" s="42" t="s">
        <v>5682</v>
      </c>
      <c r="R2590" s="42"/>
      <c r="S2590" s="1"/>
    </row>
    <row r="2591" spans="1:19" ht="18.75" hidden="1" customHeight="1" x14ac:dyDescent="0.3">
      <c r="A2591" s="10">
        <v>2590</v>
      </c>
      <c r="B2591" s="10">
        <f>_xlfn.XLOOKUP(1,(VALUE(D2591)&gt;=VALUE(block!$C$3:$C$500))*(VALUE(D2591)&lt;VALUE(block!$C$3:$C$500)+VALUE(block!$D$3:$D$500)),block!$A$3:$A$500,"无匹配",0,1)</f>
        <v>68</v>
      </c>
      <c r="C2591" s="3" t="str">
        <f>B2591 &amp; "-" &amp; COUNTIF($B$2:B2591, B2591)</f>
        <v>68-70</v>
      </c>
      <c r="D2591" s="10">
        <f t="shared" si="10"/>
        <v>15155</v>
      </c>
      <c r="E2591" s="1" t="s">
        <v>6637</v>
      </c>
      <c r="F2591" s="1" t="s">
        <v>6638</v>
      </c>
      <c r="G2591" s="1" t="s">
        <v>1836</v>
      </c>
      <c r="H2591" s="1" t="s">
        <v>1812</v>
      </c>
      <c r="I2591" s="10" t="str">
        <f>IF(H2591="T44",1,IF(H2591="T44",3,IF(H2591="T60",6,IF(H2591="T60",10,IF(H2591="T92",14,IF(H2591="T92",18,IF(H2591="T60",22,"")))))))</f>
        <v/>
      </c>
      <c r="J2591" s="1" t="s">
        <v>1808</v>
      </c>
      <c r="K2591" s="10">
        <v>2</v>
      </c>
      <c r="L2591" s="10">
        <v>1</v>
      </c>
      <c r="O2591" s="6"/>
      <c r="P2591" s="42" t="s">
        <v>5560</v>
      </c>
      <c r="Q2591" s="42" t="s">
        <v>5682</v>
      </c>
      <c r="R2591" s="42"/>
      <c r="S2591" s="1"/>
    </row>
    <row r="2592" spans="1:19" ht="18.75" hidden="1" customHeight="1" x14ac:dyDescent="0.3">
      <c r="A2592" s="10">
        <v>2591</v>
      </c>
      <c r="B2592" s="10">
        <f>_xlfn.XLOOKUP(1,(VALUE(D2592)&gt;=VALUE(block!$C$3:$C$500))*(VALUE(D2592)&lt;VALUE(block!$C$3:$C$500)+VALUE(block!$D$3:$D$500)),block!$A$3:$A$500,"无匹配",0,1)</f>
        <v>68</v>
      </c>
      <c r="C2592" s="3" t="str">
        <f>B2592 &amp; "-" &amp; COUNTIF($B$2:B2592, B2592)</f>
        <v>68-71</v>
      </c>
      <c r="D2592" s="10">
        <f t="shared" si="10"/>
        <v>15157</v>
      </c>
      <c r="E2592" s="3" t="s">
        <v>6639</v>
      </c>
      <c r="F2592" s="1" t="s">
        <v>6640</v>
      </c>
      <c r="H2592" s="3" t="s">
        <v>1838</v>
      </c>
      <c r="I2592" s="10" t="str">
        <f>IF(H2592="T45",1,IF(H2592="T45",3,IF(H2592="T61",6,IF(H2592="T61",10,IF(H2592="T93",14,IF(H2592="T93",18,IF(H2592="T61",22,"")))))))</f>
        <v/>
      </c>
      <c r="J2592" s="1" t="s">
        <v>1808</v>
      </c>
      <c r="K2592" s="10">
        <v>2</v>
      </c>
      <c r="L2592" s="10">
        <v>1</v>
      </c>
      <c r="O2592" s="6"/>
      <c r="Q2592" s="42" t="s">
        <v>5682</v>
      </c>
      <c r="R2592" s="42"/>
      <c r="S2592" s="1"/>
    </row>
    <row r="2593" spans="1:19" ht="18.75" hidden="1" customHeight="1" x14ac:dyDescent="0.3">
      <c r="A2593" s="10">
        <v>2592</v>
      </c>
      <c r="B2593" s="10">
        <f>_xlfn.XLOOKUP(1,(VALUE(D2593)&gt;=VALUE(block!$C$3:$C$500))*(VALUE(D2593)&lt;VALUE(block!$C$3:$C$500)+VALUE(block!$D$3:$D$500)),block!$A$3:$A$500,"无匹配",0,1)</f>
        <v>68</v>
      </c>
      <c r="C2593" s="3" t="str">
        <f>B2593 &amp; "-" &amp; COUNTIF($B$2:B2593, B2593)</f>
        <v>68-72</v>
      </c>
      <c r="D2593" s="10">
        <f t="shared" si="10"/>
        <v>15159</v>
      </c>
      <c r="E2593" s="3" t="s">
        <v>6639</v>
      </c>
      <c r="F2593" s="1" t="s">
        <v>6641</v>
      </c>
      <c r="H2593" s="3" t="s">
        <v>5458</v>
      </c>
      <c r="I2593" s="10" t="str">
        <f>IF(H2593="T46",1,IF(H2593="T46",3,IF(H2593="T62",6,IF(H2593="T62",10,IF(H2593="T94",14,IF(H2593="T94",18,IF(H2593="T62",22,"")))))))</f>
        <v/>
      </c>
      <c r="J2593" s="1" t="s">
        <v>1808</v>
      </c>
      <c r="K2593" s="10">
        <v>1</v>
      </c>
      <c r="L2593" s="10">
        <v>1</v>
      </c>
      <c r="O2593" s="6"/>
      <c r="Q2593" s="42" t="s">
        <v>5682</v>
      </c>
      <c r="R2593" s="42"/>
      <c r="S2593" s="1"/>
    </row>
    <row r="2594" spans="1:19" ht="18.75" hidden="1" customHeight="1" x14ac:dyDescent="0.3">
      <c r="A2594" s="10">
        <v>2593</v>
      </c>
      <c r="B2594" s="10">
        <f>_xlfn.XLOOKUP(1,(VALUE(D2594)&gt;=VALUE(block!$C$3:$C$500))*(VALUE(D2594)&lt;VALUE(block!$C$3:$C$500)+VALUE(block!$D$3:$D$500)),block!$A$3:$A$500,"无匹配",0,1)</f>
        <v>69</v>
      </c>
      <c r="C2594" s="3" t="str">
        <f>B2594 &amp; "-" &amp; COUNTIF($B$2:B2594, B2594)</f>
        <v>69-1</v>
      </c>
      <c r="D2594" s="10">
        <f t="shared" si="10"/>
        <v>15160</v>
      </c>
      <c r="E2594" s="1" t="s">
        <v>6642</v>
      </c>
      <c r="F2594" s="1" t="s">
        <v>6643</v>
      </c>
      <c r="G2594" s="1" t="s">
        <v>1830</v>
      </c>
      <c r="H2594" s="1" t="s">
        <v>1812</v>
      </c>
      <c r="I2594" s="10" t="str">
        <f>IF(H2594="T47",1,IF(H2594="T47",3,IF(H2594="T63",6,IF(H2594="T63",10,IF(H2594="T95",14,IF(H2594="T95",18,IF(H2594="T63",22,"")))))))</f>
        <v/>
      </c>
      <c r="J2594" s="1" t="s">
        <v>1808</v>
      </c>
      <c r="K2594" s="10">
        <v>2</v>
      </c>
      <c r="L2594" s="10">
        <v>1</v>
      </c>
      <c r="O2594" s="6"/>
      <c r="P2594" s="42" t="s">
        <v>5560</v>
      </c>
      <c r="Q2594" s="42" t="s">
        <v>5682</v>
      </c>
      <c r="R2594" s="42"/>
      <c r="S2594" s="1"/>
    </row>
    <row r="2595" spans="1:19" ht="18.75" hidden="1" customHeight="1" x14ac:dyDescent="0.3">
      <c r="A2595" s="10">
        <v>2594</v>
      </c>
      <c r="B2595" s="10">
        <f>_xlfn.XLOOKUP(1,(VALUE(D2595)&gt;=VALUE(block!$C$3:$C$500))*(VALUE(D2595)&lt;VALUE(block!$C$3:$C$500)+VALUE(block!$D$3:$D$500)),block!$A$3:$A$500,"无匹配",0,1)</f>
        <v>69</v>
      </c>
      <c r="C2595" s="3" t="str">
        <f>B2595 &amp; "-" &amp; COUNTIF($B$2:B2595, B2595)</f>
        <v>69-2</v>
      </c>
      <c r="D2595" s="10">
        <f t="shared" si="10"/>
        <v>15162</v>
      </c>
      <c r="E2595" s="3" t="s">
        <v>6644</v>
      </c>
      <c r="F2595" s="1" t="s">
        <v>6645</v>
      </c>
      <c r="H2595" s="3" t="s">
        <v>1838</v>
      </c>
      <c r="I2595" s="10" t="str">
        <f>IF(H2595="T48",1,IF(H2595="T48",3,IF(H2595="T64",6,IF(H2595="T64",10,IF(H2595="T96",14,IF(H2595="T96",18,IF(H2595="T64",22,"")))))))</f>
        <v/>
      </c>
      <c r="J2595" s="1" t="s">
        <v>1808</v>
      </c>
      <c r="K2595" s="10">
        <v>2</v>
      </c>
      <c r="L2595" s="10">
        <v>1</v>
      </c>
      <c r="O2595" s="6"/>
      <c r="Q2595" s="42" t="s">
        <v>5682</v>
      </c>
      <c r="R2595" s="42"/>
      <c r="S2595" s="1"/>
    </row>
    <row r="2596" spans="1:19" ht="18.75" hidden="1" customHeight="1" x14ac:dyDescent="0.3">
      <c r="A2596" s="10">
        <v>2595</v>
      </c>
      <c r="B2596" s="10">
        <f>_xlfn.XLOOKUP(1,(VALUE(D2596)&gt;=VALUE(block!$C$3:$C$500))*(VALUE(D2596)&lt;VALUE(block!$C$3:$C$500)+VALUE(block!$D$3:$D$500)),block!$A$3:$A$500,"无匹配",0,1)</f>
        <v>69</v>
      </c>
      <c r="C2596" s="3" t="str">
        <f>B2596 &amp; "-" &amp; COUNTIF($B$2:B2596, B2596)</f>
        <v>69-3</v>
      </c>
      <c r="D2596" s="10">
        <f t="shared" si="10"/>
        <v>15164</v>
      </c>
      <c r="E2596" s="3" t="s">
        <v>6644</v>
      </c>
      <c r="F2596" s="1" t="s">
        <v>6646</v>
      </c>
      <c r="H2596" s="3" t="s">
        <v>5458</v>
      </c>
      <c r="I2596" s="10" t="str">
        <f>IF(H2596="T49",1,IF(H2596="T49",3,IF(H2596="T65",6,IF(H2596="T65",10,IF(H2596="T97",14,IF(H2596="T97",18,IF(H2596="T65",22,"")))))))</f>
        <v/>
      </c>
      <c r="J2596" s="1" t="s">
        <v>1808</v>
      </c>
      <c r="K2596" s="10">
        <v>1</v>
      </c>
      <c r="L2596" s="10">
        <v>1</v>
      </c>
      <c r="O2596" s="6"/>
      <c r="Q2596" s="42" t="s">
        <v>5682</v>
      </c>
      <c r="R2596" s="42"/>
      <c r="S2596" s="1"/>
    </row>
    <row r="2597" spans="1:19" ht="18.75" hidden="1" customHeight="1" x14ac:dyDescent="0.3">
      <c r="A2597" s="10">
        <v>2596</v>
      </c>
      <c r="B2597" s="10">
        <f>_xlfn.XLOOKUP(1,(VALUE(D2597)&gt;=VALUE(block!$C$3:$C$500))*(VALUE(D2597)&lt;VALUE(block!$C$3:$C$500)+VALUE(block!$D$3:$D$500)),block!$A$3:$A$500,"无匹配",0,1)</f>
        <v>69</v>
      </c>
      <c r="C2597" s="3" t="str">
        <f>B2597 &amp; "-" &amp; COUNTIF($B$2:B2597, B2597)</f>
        <v>69-4</v>
      </c>
      <c r="D2597" s="10">
        <f t="shared" si="10"/>
        <v>15165</v>
      </c>
      <c r="E2597" s="1" t="s">
        <v>6647</v>
      </c>
      <c r="F2597" s="1" t="s">
        <v>6648</v>
      </c>
      <c r="G2597" s="1" t="s">
        <v>1832</v>
      </c>
      <c r="H2597" s="1" t="s">
        <v>1812</v>
      </c>
      <c r="I2597" s="10" t="str">
        <f>IF(H2597="T50",1,IF(H2597="T50",3,IF(H2597="T66",6,IF(H2597="T66",10,IF(H2597="T98",14,IF(H2597="T98",18,IF(H2597="T66",22,"")))))))</f>
        <v/>
      </c>
      <c r="J2597" s="1" t="s">
        <v>1808</v>
      </c>
      <c r="K2597" s="10">
        <v>2</v>
      </c>
      <c r="L2597" s="10">
        <v>1</v>
      </c>
      <c r="O2597" s="6"/>
      <c r="P2597" s="42" t="s">
        <v>5560</v>
      </c>
      <c r="Q2597" s="42" t="s">
        <v>5682</v>
      </c>
      <c r="R2597" s="42"/>
      <c r="S2597" s="1"/>
    </row>
    <row r="2598" spans="1:19" ht="18.75" hidden="1" customHeight="1" x14ac:dyDescent="0.3">
      <c r="A2598" s="10">
        <v>2597</v>
      </c>
      <c r="B2598" s="10">
        <f>_xlfn.XLOOKUP(1,(VALUE(D2598)&gt;=VALUE(block!$C$3:$C$500))*(VALUE(D2598)&lt;VALUE(block!$C$3:$C$500)+VALUE(block!$D$3:$D$500)),block!$A$3:$A$500,"无匹配",0,1)</f>
        <v>69</v>
      </c>
      <c r="C2598" s="3" t="str">
        <f>B2598 &amp; "-" &amp; COUNTIF($B$2:B2598, B2598)</f>
        <v>69-5</v>
      </c>
      <c r="D2598" s="10">
        <f t="shared" si="10"/>
        <v>15167</v>
      </c>
      <c r="E2598" s="3" t="s">
        <v>6649</v>
      </c>
      <c r="F2598" s="1" t="s">
        <v>6650</v>
      </c>
      <c r="H2598" s="3" t="s">
        <v>1838</v>
      </c>
      <c r="I2598" s="10" t="str">
        <f>IF(H2598="T51",1,IF(H2598="T51",3,IF(H2598="T67",6,IF(H2598="T67",10,IF(H2598="T99",14,IF(H2598="T99",18,IF(H2598="T67",22,"")))))))</f>
        <v/>
      </c>
      <c r="J2598" s="1" t="s">
        <v>1808</v>
      </c>
      <c r="K2598" s="10">
        <v>2</v>
      </c>
      <c r="L2598" s="10">
        <v>1</v>
      </c>
      <c r="O2598" s="6"/>
      <c r="Q2598" s="42" t="s">
        <v>5682</v>
      </c>
      <c r="R2598" s="42"/>
      <c r="S2598" s="1"/>
    </row>
    <row r="2599" spans="1:19" ht="18.75" hidden="1" customHeight="1" x14ac:dyDescent="0.3">
      <c r="A2599" s="10">
        <v>2598</v>
      </c>
      <c r="B2599" s="10">
        <f>_xlfn.XLOOKUP(1,(VALUE(D2599)&gt;=VALUE(block!$C$3:$C$500))*(VALUE(D2599)&lt;VALUE(block!$C$3:$C$500)+VALUE(block!$D$3:$D$500)),block!$A$3:$A$500,"无匹配",0,1)</f>
        <v>69</v>
      </c>
      <c r="C2599" s="3" t="str">
        <f>B2599 &amp; "-" &amp; COUNTIF($B$2:B2599, B2599)</f>
        <v>69-6</v>
      </c>
      <c r="D2599" s="10">
        <f t="shared" si="10"/>
        <v>15169</v>
      </c>
      <c r="E2599" s="3" t="s">
        <v>6649</v>
      </c>
      <c r="F2599" s="1" t="s">
        <v>6651</v>
      </c>
      <c r="H2599" s="3" t="s">
        <v>5458</v>
      </c>
      <c r="I2599" s="10" t="str">
        <f>IF(H2599="T52",1,IF(H2599="T52",3,IF(H2599="T68",6,IF(H2599="T68",10,IF(H2599="T100",14,IF(H2599="T100",18,IF(H2599="T68",22,"")))))))</f>
        <v/>
      </c>
      <c r="J2599" s="1" t="s">
        <v>1808</v>
      </c>
      <c r="K2599" s="10">
        <v>1</v>
      </c>
      <c r="L2599" s="10">
        <v>1</v>
      </c>
      <c r="O2599" s="6"/>
      <c r="Q2599" s="42" t="s">
        <v>5682</v>
      </c>
      <c r="R2599" s="42"/>
      <c r="S2599" s="1"/>
    </row>
    <row r="2600" spans="1:19" ht="18.75" hidden="1" customHeight="1" x14ac:dyDescent="0.3">
      <c r="A2600" s="10">
        <v>2599</v>
      </c>
      <c r="B2600" s="10">
        <f>_xlfn.XLOOKUP(1,(VALUE(D2600)&gt;=VALUE(block!$C$3:$C$500))*(VALUE(D2600)&lt;VALUE(block!$C$3:$C$500)+VALUE(block!$D$3:$D$500)),block!$A$3:$A$500,"无匹配",0,1)</f>
        <v>69</v>
      </c>
      <c r="C2600" s="3" t="str">
        <f>B2600 &amp; "-" &amp; COUNTIF($B$2:B2600, B2600)</f>
        <v>69-7</v>
      </c>
      <c r="D2600" s="10">
        <f t="shared" si="10"/>
        <v>15170</v>
      </c>
      <c r="E2600" s="1" t="s">
        <v>6652</v>
      </c>
      <c r="F2600" s="1" t="s">
        <v>6653</v>
      </c>
      <c r="G2600" s="1" t="s">
        <v>1832</v>
      </c>
      <c r="H2600" s="1" t="s">
        <v>1812</v>
      </c>
      <c r="I2600" s="10" t="str">
        <f>IF(H2600="T53",1,IF(H2600="T53",3,IF(H2600="T69",6,IF(H2600="T69",10,IF(H2600="T101",14,IF(H2600="T101",18,IF(H2600="T69",22,"")))))))</f>
        <v/>
      </c>
      <c r="J2600" s="1" t="s">
        <v>1808</v>
      </c>
      <c r="K2600" s="10">
        <v>2</v>
      </c>
      <c r="L2600" s="10">
        <v>1</v>
      </c>
      <c r="O2600" s="6"/>
      <c r="P2600" s="42" t="s">
        <v>5560</v>
      </c>
      <c r="Q2600" s="42" t="s">
        <v>5682</v>
      </c>
      <c r="R2600" s="42"/>
      <c r="S2600" s="1"/>
    </row>
    <row r="2601" spans="1:19" ht="18.75" hidden="1" customHeight="1" x14ac:dyDescent="0.3">
      <c r="A2601" s="10">
        <v>2600</v>
      </c>
      <c r="B2601" s="10">
        <f>_xlfn.XLOOKUP(1,(VALUE(D2601)&gt;=VALUE(block!$C$3:$C$500))*(VALUE(D2601)&lt;VALUE(block!$C$3:$C$500)+VALUE(block!$D$3:$D$500)),block!$A$3:$A$500,"无匹配",0,1)</f>
        <v>69</v>
      </c>
      <c r="C2601" s="3" t="str">
        <f>B2601 &amp; "-" &amp; COUNTIF($B$2:B2601, B2601)</f>
        <v>69-8</v>
      </c>
      <c r="D2601" s="10">
        <f t="shared" si="10"/>
        <v>15172</v>
      </c>
      <c r="E2601" s="3" t="s">
        <v>6654</v>
      </c>
      <c r="F2601" s="1" t="s">
        <v>6655</v>
      </c>
      <c r="H2601" s="3" t="s">
        <v>1838</v>
      </c>
      <c r="I2601" s="10" t="str">
        <f>IF(H2601="T54",1,IF(H2601="T54",3,IF(H2601="T70",6,IF(H2601="T70",10,IF(H2601="T102",14,IF(H2601="T102",18,IF(H2601="T70",22,"")))))))</f>
        <v/>
      </c>
      <c r="J2601" s="1" t="s">
        <v>1808</v>
      </c>
      <c r="K2601" s="10">
        <v>2</v>
      </c>
      <c r="L2601" s="10">
        <v>1</v>
      </c>
      <c r="O2601" s="6"/>
      <c r="Q2601" s="42" t="s">
        <v>5682</v>
      </c>
      <c r="R2601" s="42"/>
      <c r="S2601" s="1"/>
    </row>
    <row r="2602" spans="1:19" ht="18.75" hidden="1" customHeight="1" x14ac:dyDescent="0.3">
      <c r="A2602" s="10">
        <v>2601</v>
      </c>
      <c r="B2602" s="10">
        <f>_xlfn.XLOOKUP(1,(VALUE(D2602)&gt;=VALUE(block!$C$3:$C$500))*(VALUE(D2602)&lt;VALUE(block!$C$3:$C$500)+VALUE(block!$D$3:$D$500)),block!$A$3:$A$500,"无匹配",0,1)</f>
        <v>69</v>
      </c>
      <c r="C2602" s="3" t="str">
        <f>B2602 &amp; "-" &amp; COUNTIF($B$2:B2602, B2602)</f>
        <v>69-9</v>
      </c>
      <c r="D2602" s="10">
        <f t="shared" si="10"/>
        <v>15174</v>
      </c>
      <c r="E2602" s="3" t="s">
        <v>6654</v>
      </c>
      <c r="F2602" s="1" t="s">
        <v>6656</v>
      </c>
      <c r="H2602" s="3" t="s">
        <v>5458</v>
      </c>
      <c r="I2602" s="10" t="str">
        <f>IF(H2602="T55",1,IF(H2602="T55",3,IF(H2602="T71",6,IF(H2602="T71",10,IF(H2602="T103",14,IF(H2602="T103",18,IF(H2602="T71",22,"")))))))</f>
        <v/>
      </c>
      <c r="J2602" s="1" t="s">
        <v>1808</v>
      </c>
      <c r="K2602" s="10">
        <v>1</v>
      </c>
      <c r="L2602" s="10">
        <v>1</v>
      </c>
      <c r="O2602" s="6"/>
      <c r="Q2602" s="42" t="s">
        <v>5682</v>
      </c>
      <c r="R2602" s="42"/>
      <c r="S2602" s="1"/>
    </row>
    <row r="2603" spans="1:19" ht="18.75" hidden="1" customHeight="1" x14ac:dyDescent="0.3">
      <c r="A2603" s="10">
        <v>2602</v>
      </c>
      <c r="B2603" s="10">
        <f>_xlfn.XLOOKUP(1,(VALUE(D2603)&gt;=VALUE(block!$C$3:$C$500))*(VALUE(D2603)&lt;VALUE(block!$C$3:$C$500)+VALUE(block!$D$3:$D$500)),block!$A$3:$A$500,"无匹配",0,1)</f>
        <v>69</v>
      </c>
      <c r="C2603" s="3" t="str">
        <f>B2603 &amp; "-" &amp; COUNTIF($B$2:B2603, B2603)</f>
        <v>69-10</v>
      </c>
      <c r="D2603" s="10">
        <f t="shared" si="10"/>
        <v>15175</v>
      </c>
      <c r="E2603" s="1" t="s">
        <v>6657</v>
      </c>
      <c r="F2603" s="1" t="s">
        <v>6658</v>
      </c>
      <c r="G2603" s="1" t="s">
        <v>1834</v>
      </c>
      <c r="H2603" s="1" t="s">
        <v>1812</v>
      </c>
      <c r="I2603" s="10" t="str">
        <f>IF(H2603="T56",1,IF(H2603="T56",3,IF(H2603="T72",6,IF(H2603="T72",10,IF(H2603="T104",14,IF(H2603="T104",18,IF(H2603="T72",22,"")))))))</f>
        <v/>
      </c>
      <c r="J2603" s="1" t="s">
        <v>1808</v>
      </c>
      <c r="K2603" s="10">
        <v>2</v>
      </c>
      <c r="L2603" s="10">
        <v>1</v>
      </c>
      <c r="O2603" s="6"/>
      <c r="P2603" s="42" t="s">
        <v>5560</v>
      </c>
      <c r="Q2603" s="42" t="s">
        <v>5682</v>
      </c>
      <c r="R2603" s="42"/>
      <c r="S2603" s="1"/>
    </row>
    <row r="2604" spans="1:19" ht="18.75" hidden="1" customHeight="1" x14ac:dyDescent="0.3">
      <c r="A2604" s="10">
        <v>2603</v>
      </c>
      <c r="B2604" s="10">
        <f>_xlfn.XLOOKUP(1,(VALUE(D2604)&gt;=VALUE(block!$C$3:$C$500))*(VALUE(D2604)&lt;VALUE(block!$C$3:$C$500)+VALUE(block!$D$3:$D$500)),block!$A$3:$A$500,"无匹配",0,1)</f>
        <v>69</v>
      </c>
      <c r="C2604" s="3" t="str">
        <f>B2604 &amp; "-" &amp; COUNTIF($B$2:B2604, B2604)</f>
        <v>69-11</v>
      </c>
      <c r="D2604" s="10">
        <f t="shared" si="10"/>
        <v>15177</v>
      </c>
      <c r="E2604" s="3" t="s">
        <v>6659</v>
      </c>
      <c r="F2604" s="1" t="s">
        <v>6660</v>
      </c>
      <c r="H2604" s="3" t="s">
        <v>1838</v>
      </c>
      <c r="I2604" s="10" t="str">
        <f>IF(H2604="T57",1,IF(H2604="T57",3,IF(H2604="T73",6,IF(H2604="T73",10,IF(H2604="T105",14,IF(H2604="T105",18,IF(H2604="T73",22,"")))))))</f>
        <v/>
      </c>
      <c r="J2604" s="1" t="s">
        <v>1808</v>
      </c>
      <c r="K2604" s="10">
        <v>2</v>
      </c>
      <c r="L2604" s="10">
        <v>1</v>
      </c>
      <c r="O2604" s="6"/>
      <c r="Q2604" s="42" t="s">
        <v>5682</v>
      </c>
      <c r="R2604" s="42"/>
      <c r="S2604" s="1"/>
    </row>
    <row r="2605" spans="1:19" ht="18.75" hidden="1" customHeight="1" x14ac:dyDescent="0.3">
      <c r="A2605" s="10">
        <v>2604</v>
      </c>
      <c r="B2605" s="10">
        <f>_xlfn.XLOOKUP(1,(VALUE(D2605)&gt;=VALUE(block!$C$3:$C$500))*(VALUE(D2605)&lt;VALUE(block!$C$3:$C$500)+VALUE(block!$D$3:$D$500)),block!$A$3:$A$500,"无匹配",0,1)</f>
        <v>69</v>
      </c>
      <c r="C2605" s="3" t="str">
        <f>B2605 &amp; "-" &amp; COUNTIF($B$2:B2605, B2605)</f>
        <v>69-12</v>
      </c>
      <c r="D2605" s="10">
        <f t="shared" si="10"/>
        <v>15179</v>
      </c>
      <c r="E2605" s="3" t="s">
        <v>6659</v>
      </c>
      <c r="F2605" s="1" t="s">
        <v>6661</v>
      </c>
      <c r="H2605" s="3" t="s">
        <v>5458</v>
      </c>
      <c r="I2605" s="10" t="str">
        <f>IF(H2605="T58",1,IF(H2605="T58",3,IF(H2605="T74",6,IF(H2605="T74",10,IF(H2605="T106",14,IF(H2605="T106",18,IF(H2605="T74",22,"")))))))</f>
        <v/>
      </c>
      <c r="J2605" s="1" t="s">
        <v>1808</v>
      </c>
      <c r="K2605" s="10">
        <v>1</v>
      </c>
      <c r="L2605" s="10">
        <v>1</v>
      </c>
      <c r="O2605" s="6"/>
      <c r="Q2605" s="42" t="s">
        <v>5682</v>
      </c>
      <c r="R2605" s="42"/>
      <c r="S2605" s="1"/>
    </row>
    <row r="2606" spans="1:19" ht="18.75" hidden="1" customHeight="1" x14ac:dyDescent="0.3">
      <c r="A2606" s="10">
        <v>2605</v>
      </c>
      <c r="B2606" s="10">
        <f>_xlfn.XLOOKUP(1,(VALUE(D2606)&gt;=VALUE(block!$C$3:$C$500))*(VALUE(D2606)&lt;VALUE(block!$C$3:$C$500)+VALUE(block!$D$3:$D$500)),block!$A$3:$A$500,"无匹配",0,1)</f>
        <v>69</v>
      </c>
      <c r="C2606" s="3" t="str">
        <f>B2606 &amp; "-" &amp; COUNTIF($B$2:B2606, B2606)</f>
        <v>69-13</v>
      </c>
      <c r="D2606" s="10">
        <f t="shared" si="10"/>
        <v>15180</v>
      </c>
      <c r="E2606" s="1" t="s">
        <v>6662</v>
      </c>
      <c r="F2606" s="1" t="s">
        <v>6663</v>
      </c>
      <c r="G2606" s="1" t="s">
        <v>1834</v>
      </c>
      <c r="H2606" s="1" t="s">
        <v>1812</v>
      </c>
      <c r="I2606" s="10" t="str">
        <f>IF(H2606="T59",1,IF(H2606="T59",3,IF(H2606="T75",6,IF(H2606="T75",10,IF(H2606="T107",14,IF(H2606="T107",18,IF(H2606="T75",22,"")))))))</f>
        <v/>
      </c>
      <c r="J2606" s="1" t="s">
        <v>1808</v>
      </c>
      <c r="K2606" s="10">
        <v>2</v>
      </c>
      <c r="L2606" s="10">
        <v>1</v>
      </c>
      <c r="O2606" s="6"/>
      <c r="P2606" s="42" t="s">
        <v>5560</v>
      </c>
      <c r="Q2606" s="42" t="s">
        <v>5682</v>
      </c>
      <c r="R2606" s="42"/>
      <c r="S2606" s="1"/>
    </row>
    <row r="2607" spans="1:19" ht="18.75" hidden="1" customHeight="1" x14ac:dyDescent="0.3">
      <c r="A2607" s="10">
        <v>2606</v>
      </c>
      <c r="B2607" s="10">
        <f>_xlfn.XLOOKUP(1,(VALUE(D2607)&gt;=VALUE(block!$C$3:$C$500))*(VALUE(D2607)&lt;VALUE(block!$C$3:$C$500)+VALUE(block!$D$3:$D$500)),block!$A$3:$A$500,"无匹配",0,1)</f>
        <v>69</v>
      </c>
      <c r="C2607" s="3" t="str">
        <f>B2607 &amp; "-" &amp; COUNTIF($B$2:B2607, B2607)</f>
        <v>69-14</v>
      </c>
      <c r="D2607" s="10">
        <f t="shared" si="10"/>
        <v>15182</v>
      </c>
      <c r="E2607" s="3" t="s">
        <v>6664</v>
      </c>
      <c r="F2607" s="1" t="s">
        <v>6665</v>
      </c>
      <c r="H2607" s="3" t="s">
        <v>1838</v>
      </c>
      <c r="I2607" s="10" t="str">
        <f>IF(H2607="T60",1,IF(H2607="T60",3,IF(H2607="T76",6,IF(H2607="T76",10,IF(H2607="T108",14,IF(H2607="T108",18,IF(H2607="T76",22,"")))))))</f>
        <v/>
      </c>
      <c r="J2607" s="1" t="s">
        <v>1808</v>
      </c>
      <c r="K2607" s="10">
        <v>2</v>
      </c>
      <c r="L2607" s="10">
        <v>1</v>
      </c>
      <c r="O2607" s="6"/>
      <c r="Q2607" s="42" t="s">
        <v>5682</v>
      </c>
      <c r="R2607" s="42"/>
      <c r="S2607" s="1"/>
    </row>
    <row r="2608" spans="1:19" ht="18.75" hidden="1" customHeight="1" x14ac:dyDescent="0.3">
      <c r="A2608" s="10">
        <v>2607</v>
      </c>
      <c r="B2608" s="10">
        <f>_xlfn.XLOOKUP(1,(VALUE(D2608)&gt;=VALUE(block!$C$3:$C$500))*(VALUE(D2608)&lt;VALUE(block!$C$3:$C$500)+VALUE(block!$D$3:$D$500)),block!$A$3:$A$500,"无匹配",0,1)</f>
        <v>69</v>
      </c>
      <c r="C2608" s="3" t="str">
        <f>B2608 &amp; "-" &amp; COUNTIF($B$2:B2608, B2608)</f>
        <v>69-15</v>
      </c>
      <c r="D2608" s="10">
        <f t="shared" si="10"/>
        <v>15184</v>
      </c>
      <c r="E2608" s="3" t="s">
        <v>6664</v>
      </c>
      <c r="F2608" s="1" t="s">
        <v>6666</v>
      </c>
      <c r="H2608" s="3" t="s">
        <v>5458</v>
      </c>
      <c r="I2608" s="10" t="str">
        <f>IF(H2608="T61",1,IF(H2608="T61",3,IF(H2608="T77",6,IF(H2608="T77",10,IF(H2608="T109",14,IF(H2608="T109",18,IF(H2608="T77",22,"")))))))</f>
        <v/>
      </c>
      <c r="J2608" s="1" t="s">
        <v>1808</v>
      </c>
      <c r="K2608" s="10">
        <v>1</v>
      </c>
      <c r="L2608" s="10">
        <v>1</v>
      </c>
      <c r="O2608" s="6"/>
      <c r="Q2608" s="42" t="s">
        <v>5682</v>
      </c>
      <c r="R2608" s="42"/>
      <c r="S2608" s="1"/>
    </row>
    <row r="2609" spans="1:19" ht="18.75" hidden="1" customHeight="1" x14ac:dyDescent="0.3">
      <c r="A2609" s="10">
        <v>2608</v>
      </c>
      <c r="B2609" s="10">
        <f>_xlfn.XLOOKUP(1,(VALUE(D2609)&gt;=VALUE(block!$C$3:$C$500))*(VALUE(D2609)&lt;VALUE(block!$C$3:$C$500)+VALUE(block!$D$3:$D$500)),block!$A$3:$A$500,"无匹配",0,1)</f>
        <v>69</v>
      </c>
      <c r="C2609" s="3" t="str">
        <f>B2609 &amp; "-" &amp; COUNTIF($B$2:B2609, B2609)</f>
        <v>69-16</v>
      </c>
      <c r="D2609" s="10">
        <f t="shared" si="10"/>
        <v>15185</v>
      </c>
      <c r="E2609" s="1" t="s">
        <v>6667</v>
      </c>
      <c r="F2609" s="1" t="s">
        <v>6668</v>
      </c>
      <c r="G2609" s="1" t="s">
        <v>1836</v>
      </c>
      <c r="H2609" s="1" t="s">
        <v>1812</v>
      </c>
      <c r="I2609" s="10" t="str">
        <f>IF(H2609="T62",1,IF(H2609="T62",3,IF(H2609="T78",6,IF(H2609="T78",10,IF(H2609="T110",14,IF(H2609="T110",18,IF(H2609="T78",22,"")))))))</f>
        <v/>
      </c>
      <c r="J2609" s="1" t="s">
        <v>1808</v>
      </c>
      <c r="K2609" s="10">
        <v>2</v>
      </c>
      <c r="L2609" s="10">
        <v>1</v>
      </c>
      <c r="O2609" s="6"/>
      <c r="P2609" s="42" t="s">
        <v>5560</v>
      </c>
      <c r="Q2609" s="42" t="s">
        <v>5682</v>
      </c>
      <c r="R2609" s="42"/>
      <c r="S2609" s="1"/>
    </row>
    <row r="2610" spans="1:19" ht="18.75" hidden="1" customHeight="1" x14ac:dyDescent="0.3">
      <c r="A2610" s="10">
        <v>2609</v>
      </c>
      <c r="B2610" s="10">
        <f>_xlfn.XLOOKUP(1,(VALUE(D2610)&gt;=VALUE(block!$C$3:$C$500))*(VALUE(D2610)&lt;VALUE(block!$C$3:$C$500)+VALUE(block!$D$3:$D$500)),block!$A$3:$A$500,"无匹配",0,1)</f>
        <v>69</v>
      </c>
      <c r="C2610" s="3" t="str">
        <f>B2610 &amp; "-" &amp; COUNTIF($B$2:B2610, B2610)</f>
        <v>69-17</v>
      </c>
      <c r="D2610" s="10">
        <f t="shared" si="10"/>
        <v>15187</v>
      </c>
      <c r="E2610" s="3" t="s">
        <v>6669</v>
      </c>
      <c r="F2610" s="1" t="s">
        <v>6670</v>
      </c>
      <c r="H2610" s="3" t="s">
        <v>1838</v>
      </c>
      <c r="I2610" s="10" t="str">
        <f>IF(H2610="T63",1,IF(H2610="T63",3,IF(H2610="T79",6,IF(H2610="T79",10,IF(H2610="T111",14,IF(H2610="T111",18,IF(H2610="T79",22,"")))))))</f>
        <v/>
      </c>
      <c r="J2610" s="1" t="s">
        <v>1808</v>
      </c>
      <c r="K2610" s="10">
        <v>2</v>
      </c>
      <c r="L2610" s="10">
        <v>1</v>
      </c>
      <c r="O2610" s="6"/>
      <c r="Q2610" s="42" t="s">
        <v>5682</v>
      </c>
      <c r="R2610" s="42"/>
      <c r="S2610" s="1"/>
    </row>
    <row r="2611" spans="1:19" ht="18.75" hidden="1" customHeight="1" x14ac:dyDescent="0.3">
      <c r="A2611" s="10">
        <v>2610</v>
      </c>
      <c r="B2611" s="10">
        <f>_xlfn.XLOOKUP(1,(VALUE(D2611)&gt;=VALUE(block!$C$3:$C$500))*(VALUE(D2611)&lt;VALUE(block!$C$3:$C$500)+VALUE(block!$D$3:$D$500)),block!$A$3:$A$500,"无匹配",0,1)</f>
        <v>69</v>
      </c>
      <c r="C2611" s="3" t="str">
        <f>B2611 &amp; "-" &amp; COUNTIF($B$2:B2611, B2611)</f>
        <v>69-18</v>
      </c>
      <c r="D2611" s="10">
        <f t="shared" si="10"/>
        <v>15189</v>
      </c>
      <c r="E2611" s="3" t="s">
        <v>6669</v>
      </c>
      <c r="F2611" s="1" t="s">
        <v>6671</v>
      </c>
      <c r="H2611" s="3" t="s">
        <v>5458</v>
      </c>
      <c r="I2611" s="10" t="str">
        <f>IF(H2611="T64",1,IF(H2611="T64",3,IF(H2611="T80",6,IF(H2611="T80",10,IF(H2611="T112",14,IF(H2611="T112",18,IF(H2611="T80",22,"")))))))</f>
        <v/>
      </c>
      <c r="J2611" s="1" t="s">
        <v>1808</v>
      </c>
      <c r="K2611" s="10">
        <v>1</v>
      </c>
      <c r="L2611" s="10">
        <v>1</v>
      </c>
      <c r="O2611" s="6"/>
      <c r="Q2611" s="42" t="s">
        <v>5682</v>
      </c>
      <c r="R2611" s="42"/>
      <c r="S2611" s="1"/>
    </row>
    <row r="2612" spans="1:19" ht="18.75" hidden="1" customHeight="1" x14ac:dyDescent="0.3">
      <c r="A2612" s="10">
        <v>2611</v>
      </c>
      <c r="B2612" s="10">
        <f>_xlfn.XLOOKUP(1,(VALUE(D2612)&gt;=VALUE(block!$C$3:$C$500))*(VALUE(D2612)&lt;VALUE(block!$C$3:$C$500)+VALUE(block!$D$3:$D$500)),block!$A$3:$A$500,"无匹配",0,1)</f>
        <v>69</v>
      </c>
      <c r="C2612" s="3" t="str">
        <f>B2612 &amp; "-" &amp; COUNTIF($B$2:B2612, B2612)</f>
        <v>69-19</v>
      </c>
      <c r="D2612" s="10">
        <f t="shared" si="10"/>
        <v>15190</v>
      </c>
      <c r="E2612" s="1" t="s">
        <v>6672</v>
      </c>
      <c r="F2612" s="1" t="s">
        <v>6673</v>
      </c>
      <c r="G2612" s="1" t="s">
        <v>1830</v>
      </c>
      <c r="H2612" s="1" t="s">
        <v>1812</v>
      </c>
      <c r="I2612" s="10" t="str">
        <f>IF(H2612="T65",1,IF(H2612="T65",3,IF(H2612="T81",6,IF(H2612="T81",10,IF(H2612="T113",14,IF(H2612="T113",18,IF(H2612="T81",22,"")))))))</f>
        <v/>
      </c>
      <c r="J2612" s="1" t="s">
        <v>1808</v>
      </c>
      <c r="K2612" s="10">
        <v>2</v>
      </c>
      <c r="L2612" s="10">
        <v>1</v>
      </c>
      <c r="O2612" s="6"/>
      <c r="P2612" s="42" t="s">
        <v>5560</v>
      </c>
      <c r="Q2612" s="42" t="s">
        <v>5682</v>
      </c>
      <c r="R2612" s="42"/>
      <c r="S2612" s="1"/>
    </row>
    <row r="2613" spans="1:19" ht="18.75" hidden="1" customHeight="1" x14ac:dyDescent="0.3">
      <c r="A2613" s="10">
        <v>2612</v>
      </c>
      <c r="B2613" s="10">
        <f>_xlfn.XLOOKUP(1,(VALUE(D2613)&gt;=VALUE(block!$C$3:$C$500))*(VALUE(D2613)&lt;VALUE(block!$C$3:$C$500)+VALUE(block!$D$3:$D$500)),block!$A$3:$A$500,"无匹配",0,1)</f>
        <v>69</v>
      </c>
      <c r="C2613" s="3" t="str">
        <f>B2613 &amp; "-" &amp; COUNTIF($B$2:B2613, B2613)</f>
        <v>69-20</v>
      </c>
      <c r="D2613" s="10">
        <f t="shared" si="10"/>
        <v>15192</v>
      </c>
      <c r="E2613" s="3" t="s">
        <v>6674</v>
      </c>
      <c r="F2613" s="1" t="s">
        <v>6675</v>
      </c>
      <c r="H2613" s="3" t="s">
        <v>1838</v>
      </c>
      <c r="I2613" s="10" t="str">
        <f>IF(H2613="T66",1,IF(H2613="T66",3,IF(H2613="T82",6,IF(H2613="T82",10,IF(H2613="T114",14,IF(H2613="T114",18,IF(H2613="T82",22,"")))))))</f>
        <v/>
      </c>
      <c r="J2613" s="1" t="s">
        <v>1808</v>
      </c>
      <c r="K2613" s="10">
        <v>2</v>
      </c>
      <c r="L2613" s="10">
        <v>1</v>
      </c>
      <c r="O2613" s="6"/>
      <c r="Q2613" s="42" t="s">
        <v>5682</v>
      </c>
      <c r="R2613" s="42"/>
      <c r="S2613" s="1"/>
    </row>
    <row r="2614" spans="1:19" ht="18.75" hidden="1" customHeight="1" x14ac:dyDescent="0.3">
      <c r="A2614" s="10">
        <v>2613</v>
      </c>
      <c r="B2614" s="10">
        <f>_xlfn.XLOOKUP(1,(VALUE(D2614)&gt;=VALUE(block!$C$3:$C$500))*(VALUE(D2614)&lt;VALUE(block!$C$3:$C$500)+VALUE(block!$D$3:$D$500)),block!$A$3:$A$500,"无匹配",0,1)</f>
        <v>69</v>
      </c>
      <c r="C2614" s="3" t="str">
        <f>B2614 &amp; "-" &amp; COUNTIF($B$2:B2614, B2614)</f>
        <v>69-21</v>
      </c>
      <c r="D2614" s="10">
        <f t="shared" si="10"/>
        <v>15194</v>
      </c>
      <c r="E2614" s="3" t="s">
        <v>6674</v>
      </c>
      <c r="F2614" s="1" t="s">
        <v>6676</v>
      </c>
      <c r="H2614" s="3" t="s">
        <v>5458</v>
      </c>
      <c r="I2614" s="10" t="str">
        <f>IF(H2614="T67",1,IF(H2614="T67",3,IF(H2614="T83",6,IF(H2614="T83",10,IF(H2614="T115",14,IF(H2614="T115",18,IF(H2614="T83",22,"")))))))</f>
        <v/>
      </c>
      <c r="J2614" s="1" t="s">
        <v>1808</v>
      </c>
      <c r="K2614" s="10">
        <v>1</v>
      </c>
      <c r="L2614" s="10">
        <v>1</v>
      </c>
      <c r="O2614" s="6"/>
      <c r="Q2614" s="42" t="s">
        <v>5682</v>
      </c>
      <c r="R2614" s="42"/>
      <c r="S2614" s="1"/>
    </row>
    <row r="2615" spans="1:19" ht="18.75" hidden="1" customHeight="1" x14ac:dyDescent="0.3">
      <c r="A2615" s="10">
        <v>2614</v>
      </c>
      <c r="B2615" s="10">
        <f>_xlfn.XLOOKUP(1,(VALUE(D2615)&gt;=VALUE(block!$C$3:$C$500))*(VALUE(D2615)&lt;VALUE(block!$C$3:$C$500)+VALUE(block!$D$3:$D$500)),block!$A$3:$A$500,"无匹配",0,1)</f>
        <v>69</v>
      </c>
      <c r="C2615" s="3" t="str">
        <f>B2615 &amp; "-" &amp; COUNTIF($B$2:B2615, B2615)</f>
        <v>69-22</v>
      </c>
      <c r="D2615" s="10">
        <f t="shared" si="10"/>
        <v>15195</v>
      </c>
      <c r="E2615" s="1" t="s">
        <v>6677</v>
      </c>
      <c r="F2615" s="1" t="s">
        <v>6678</v>
      </c>
      <c r="G2615" s="1" t="s">
        <v>1832</v>
      </c>
      <c r="H2615" s="1" t="s">
        <v>1812</v>
      </c>
      <c r="I2615" s="10" t="str">
        <f>IF(H2615="T68",1,IF(H2615="T68",3,IF(H2615="T84",6,IF(H2615="T84",10,IF(H2615="T116",14,IF(H2615="T116",18,IF(H2615="T84",22,"")))))))</f>
        <v/>
      </c>
      <c r="J2615" s="1" t="s">
        <v>1808</v>
      </c>
      <c r="K2615" s="10">
        <v>2</v>
      </c>
      <c r="L2615" s="10">
        <v>1</v>
      </c>
      <c r="O2615" s="6"/>
      <c r="P2615" s="42" t="s">
        <v>5560</v>
      </c>
      <c r="Q2615" s="42" t="s">
        <v>5682</v>
      </c>
      <c r="R2615" s="42"/>
      <c r="S2615" s="1"/>
    </row>
    <row r="2616" spans="1:19" ht="18.75" hidden="1" customHeight="1" x14ac:dyDescent="0.3">
      <c r="A2616" s="10">
        <v>2615</v>
      </c>
      <c r="B2616" s="10">
        <f>_xlfn.XLOOKUP(1,(VALUE(D2616)&gt;=VALUE(block!$C$3:$C$500))*(VALUE(D2616)&lt;VALUE(block!$C$3:$C$500)+VALUE(block!$D$3:$D$500)),block!$A$3:$A$500,"无匹配",0,1)</f>
        <v>69</v>
      </c>
      <c r="C2616" s="3" t="str">
        <f>B2616 &amp; "-" &amp; COUNTIF($B$2:B2616, B2616)</f>
        <v>69-23</v>
      </c>
      <c r="D2616" s="10">
        <f t="shared" si="10"/>
        <v>15197</v>
      </c>
      <c r="E2616" s="3" t="s">
        <v>6679</v>
      </c>
      <c r="F2616" s="1" t="s">
        <v>6680</v>
      </c>
      <c r="H2616" s="3" t="s">
        <v>1838</v>
      </c>
      <c r="I2616" s="10" t="str">
        <f>IF(H2616="T69",1,IF(H2616="T69",3,IF(H2616="T85",6,IF(H2616="T85",10,IF(H2616="T117",14,IF(H2616="T117",18,IF(H2616="T85",22,"")))))))</f>
        <v/>
      </c>
      <c r="J2616" s="1" t="s">
        <v>1808</v>
      </c>
      <c r="K2616" s="10">
        <v>2</v>
      </c>
      <c r="L2616" s="10">
        <v>1</v>
      </c>
      <c r="O2616" s="6"/>
      <c r="Q2616" s="42" t="s">
        <v>5682</v>
      </c>
      <c r="R2616" s="42"/>
      <c r="S2616" s="1"/>
    </row>
    <row r="2617" spans="1:19" ht="18.75" hidden="1" customHeight="1" x14ac:dyDescent="0.3">
      <c r="A2617" s="10">
        <v>2616</v>
      </c>
      <c r="B2617" s="10">
        <f>_xlfn.XLOOKUP(1,(VALUE(D2617)&gt;=VALUE(block!$C$3:$C$500))*(VALUE(D2617)&lt;VALUE(block!$C$3:$C$500)+VALUE(block!$D$3:$D$500)),block!$A$3:$A$500,"无匹配",0,1)</f>
        <v>69</v>
      </c>
      <c r="C2617" s="3" t="str">
        <f>B2617 &amp; "-" &amp; COUNTIF($B$2:B2617, B2617)</f>
        <v>69-24</v>
      </c>
      <c r="D2617" s="10">
        <f t="shared" si="10"/>
        <v>15199</v>
      </c>
      <c r="E2617" s="3" t="s">
        <v>6679</v>
      </c>
      <c r="F2617" s="1" t="s">
        <v>6681</v>
      </c>
      <c r="H2617" s="3" t="s">
        <v>5458</v>
      </c>
      <c r="I2617" s="10" t="str">
        <f>IF(H2617="T70",1,IF(H2617="T70",3,IF(H2617="T86",6,IF(H2617="T86",10,IF(H2617="T118",14,IF(H2617="T118",18,IF(H2617="T86",22,"")))))))</f>
        <v/>
      </c>
      <c r="J2617" s="1" t="s">
        <v>1808</v>
      </c>
      <c r="K2617" s="10">
        <v>1</v>
      </c>
      <c r="L2617" s="10">
        <v>1</v>
      </c>
      <c r="O2617" s="6"/>
      <c r="Q2617" s="42" t="s">
        <v>5682</v>
      </c>
      <c r="R2617" s="42"/>
      <c r="S2617" s="1"/>
    </row>
    <row r="2618" spans="1:19" ht="18.75" hidden="1" customHeight="1" x14ac:dyDescent="0.3">
      <c r="A2618" s="10">
        <v>2617</v>
      </c>
      <c r="B2618" s="10">
        <f>_xlfn.XLOOKUP(1,(VALUE(D2618)&gt;=VALUE(block!$C$3:$C$500))*(VALUE(D2618)&lt;VALUE(block!$C$3:$C$500)+VALUE(block!$D$3:$D$500)),block!$A$3:$A$500,"无匹配",0,1)</f>
        <v>69</v>
      </c>
      <c r="C2618" s="3" t="str">
        <f>B2618 &amp; "-" &amp; COUNTIF($B$2:B2618, B2618)</f>
        <v>69-25</v>
      </c>
      <c r="D2618" s="10">
        <f t="shared" si="10"/>
        <v>15200</v>
      </c>
      <c r="E2618" s="1" t="s">
        <v>6682</v>
      </c>
      <c r="F2618" s="1" t="s">
        <v>6683</v>
      </c>
      <c r="G2618" s="1" t="s">
        <v>1832</v>
      </c>
      <c r="H2618" s="1" t="s">
        <v>1812</v>
      </c>
      <c r="I2618" s="10" t="str">
        <f>IF(H2618="T71",1,IF(H2618="T71",3,IF(H2618="T87",6,IF(H2618="T87",10,IF(H2618="T119",14,IF(H2618="T119",18,IF(H2618="T87",22,"")))))))</f>
        <v/>
      </c>
      <c r="J2618" s="1" t="s">
        <v>1808</v>
      </c>
      <c r="K2618" s="10">
        <v>2</v>
      </c>
      <c r="L2618" s="10">
        <v>1</v>
      </c>
      <c r="O2618" s="6"/>
      <c r="P2618" s="42" t="s">
        <v>5560</v>
      </c>
      <c r="Q2618" s="42" t="s">
        <v>5682</v>
      </c>
      <c r="R2618" s="42"/>
      <c r="S2618" s="1"/>
    </row>
    <row r="2619" spans="1:19" ht="18.75" hidden="1" customHeight="1" x14ac:dyDescent="0.3">
      <c r="A2619" s="10">
        <v>2618</v>
      </c>
      <c r="B2619" s="10">
        <f>_xlfn.XLOOKUP(1,(VALUE(D2619)&gt;=VALUE(block!$C$3:$C$500))*(VALUE(D2619)&lt;VALUE(block!$C$3:$C$500)+VALUE(block!$D$3:$D$500)),block!$A$3:$A$500,"无匹配",0,1)</f>
        <v>69</v>
      </c>
      <c r="C2619" s="3" t="str">
        <f>B2619 &amp; "-" &amp; COUNTIF($B$2:B2619, B2619)</f>
        <v>69-26</v>
      </c>
      <c r="D2619" s="10">
        <f t="shared" si="10"/>
        <v>15202</v>
      </c>
      <c r="E2619" s="3" t="s">
        <v>6684</v>
      </c>
      <c r="F2619" s="1" t="s">
        <v>6685</v>
      </c>
      <c r="H2619" s="3" t="s">
        <v>1838</v>
      </c>
      <c r="I2619" s="10" t="str">
        <f>IF(H2619="T72",1,IF(H2619="T72",3,IF(H2619="T88",6,IF(H2619="T88",10,IF(H2619="T120",14,IF(H2619="T120",18,IF(H2619="T88",22,"")))))))</f>
        <v/>
      </c>
      <c r="J2619" s="1" t="s">
        <v>1808</v>
      </c>
      <c r="K2619" s="10">
        <v>2</v>
      </c>
      <c r="L2619" s="10">
        <v>1</v>
      </c>
      <c r="O2619" s="6"/>
      <c r="Q2619" s="42" t="s">
        <v>5682</v>
      </c>
      <c r="R2619" s="42"/>
      <c r="S2619" s="1"/>
    </row>
    <row r="2620" spans="1:19" ht="18.75" hidden="1" customHeight="1" x14ac:dyDescent="0.3">
      <c r="A2620" s="10">
        <v>2619</v>
      </c>
      <c r="B2620" s="10">
        <f>_xlfn.XLOOKUP(1,(VALUE(D2620)&gt;=VALUE(block!$C$3:$C$500))*(VALUE(D2620)&lt;VALUE(block!$C$3:$C$500)+VALUE(block!$D$3:$D$500)),block!$A$3:$A$500,"无匹配",0,1)</f>
        <v>69</v>
      </c>
      <c r="C2620" s="3" t="str">
        <f>B2620 &amp; "-" &amp; COUNTIF($B$2:B2620, B2620)</f>
        <v>69-27</v>
      </c>
      <c r="D2620" s="10">
        <f t="shared" si="10"/>
        <v>15204</v>
      </c>
      <c r="E2620" s="3" t="s">
        <v>6684</v>
      </c>
      <c r="F2620" s="1" t="s">
        <v>6686</v>
      </c>
      <c r="H2620" s="3" t="s">
        <v>5458</v>
      </c>
      <c r="I2620" s="10" t="str">
        <f>IF(H2620="T73",1,IF(H2620="T73",3,IF(H2620="T89",6,IF(H2620="T89",10,IF(H2620="T121",14,IF(H2620="T121",18,IF(H2620="T89",22,"")))))))</f>
        <v/>
      </c>
      <c r="J2620" s="1" t="s">
        <v>1808</v>
      </c>
      <c r="K2620" s="10">
        <v>1</v>
      </c>
      <c r="L2620" s="10">
        <v>1</v>
      </c>
      <c r="O2620" s="6"/>
      <c r="Q2620" s="42" t="s">
        <v>5682</v>
      </c>
      <c r="R2620" s="42"/>
      <c r="S2620" s="1"/>
    </row>
    <row r="2621" spans="1:19" ht="18.75" hidden="1" customHeight="1" x14ac:dyDescent="0.3">
      <c r="A2621" s="10">
        <v>2620</v>
      </c>
      <c r="B2621" s="10">
        <f>_xlfn.XLOOKUP(1,(VALUE(D2621)&gt;=VALUE(block!$C$3:$C$500))*(VALUE(D2621)&lt;VALUE(block!$C$3:$C$500)+VALUE(block!$D$3:$D$500)),block!$A$3:$A$500,"无匹配",0,1)</f>
        <v>69</v>
      </c>
      <c r="C2621" s="3" t="str">
        <f>B2621 &amp; "-" &amp; COUNTIF($B$2:B2621, B2621)</f>
        <v>69-28</v>
      </c>
      <c r="D2621" s="10">
        <f t="shared" si="10"/>
        <v>15205</v>
      </c>
      <c r="E2621" s="1" t="s">
        <v>6687</v>
      </c>
      <c r="F2621" s="1" t="s">
        <v>6688</v>
      </c>
      <c r="G2621" s="1" t="s">
        <v>1834</v>
      </c>
      <c r="H2621" s="1" t="s">
        <v>1812</v>
      </c>
      <c r="I2621" s="10" t="str">
        <f>IF(H2621="T74",1,IF(H2621="T74",3,IF(H2621="T90",6,IF(H2621="T90",10,IF(H2621="T122",14,IF(H2621="T122",18,IF(H2621="T90",22,"")))))))</f>
        <v/>
      </c>
      <c r="J2621" s="1" t="s">
        <v>1808</v>
      </c>
      <c r="K2621" s="10">
        <v>2</v>
      </c>
      <c r="L2621" s="10">
        <v>1</v>
      </c>
      <c r="O2621" s="6"/>
      <c r="P2621" s="42" t="s">
        <v>5560</v>
      </c>
      <c r="Q2621" s="42" t="s">
        <v>5682</v>
      </c>
      <c r="R2621" s="42"/>
      <c r="S2621" s="1"/>
    </row>
    <row r="2622" spans="1:19" ht="18.75" hidden="1" customHeight="1" x14ac:dyDescent="0.3">
      <c r="A2622" s="10">
        <v>2621</v>
      </c>
      <c r="B2622" s="10">
        <f>_xlfn.XLOOKUP(1,(VALUE(D2622)&gt;=VALUE(block!$C$3:$C$500))*(VALUE(D2622)&lt;VALUE(block!$C$3:$C$500)+VALUE(block!$D$3:$D$500)),block!$A$3:$A$500,"无匹配",0,1)</f>
        <v>69</v>
      </c>
      <c r="C2622" s="3" t="str">
        <f>B2622 &amp; "-" &amp; COUNTIF($B$2:B2622, B2622)</f>
        <v>69-29</v>
      </c>
      <c r="D2622" s="10">
        <f t="shared" si="10"/>
        <v>15207</v>
      </c>
      <c r="E2622" s="3" t="s">
        <v>6689</v>
      </c>
      <c r="F2622" s="1" t="s">
        <v>6690</v>
      </c>
      <c r="H2622" s="3" t="s">
        <v>1838</v>
      </c>
      <c r="I2622" s="10" t="str">
        <f>IF(H2622="T75",1,IF(H2622="T75",3,IF(H2622="T91",6,IF(H2622="T91",10,IF(H2622="T123",14,IF(H2622="T123",18,IF(H2622="T91",22,"")))))))</f>
        <v/>
      </c>
      <c r="J2622" s="1" t="s">
        <v>1808</v>
      </c>
      <c r="K2622" s="10">
        <v>2</v>
      </c>
      <c r="L2622" s="10">
        <v>1</v>
      </c>
      <c r="O2622" s="6"/>
      <c r="Q2622" s="42" t="s">
        <v>5682</v>
      </c>
      <c r="R2622" s="42"/>
      <c r="S2622" s="1"/>
    </row>
    <row r="2623" spans="1:19" ht="18.75" hidden="1" customHeight="1" x14ac:dyDescent="0.3">
      <c r="A2623" s="10">
        <v>2622</v>
      </c>
      <c r="B2623" s="10">
        <f>_xlfn.XLOOKUP(1,(VALUE(D2623)&gt;=VALUE(block!$C$3:$C$500))*(VALUE(D2623)&lt;VALUE(block!$C$3:$C$500)+VALUE(block!$D$3:$D$500)),block!$A$3:$A$500,"无匹配",0,1)</f>
        <v>69</v>
      </c>
      <c r="C2623" s="3" t="str">
        <f>B2623 &amp; "-" &amp; COUNTIF($B$2:B2623, B2623)</f>
        <v>69-30</v>
      </c>
      <c r="D2623" s="10">
        <f t="shared" si="10"/>
        <v>15209</v>
      </c>
      <c r="E2623" s="3" t="s">
        <v>6689</v>
      </c>
      <c r="F2623" s="1" t="s">
        <v>6691</v>
      </c>
      <c r="H2623" s="3" t="s">
        <v>5458</v>
      </c>
      <c r="I2623" s="10" t="str">
        <f>IF(H2623="T76",1,IF(H2623="T76",3,IF(H2623="T92",6,IF(H2623="T92",10,IF(H2623="T124",14,IF(H2623="T124",18,IF(H2623="T92",22,"")))))))</f>
        <v/>
      </c>
      <c r="J2623" s="1" t="s">
        <v>1808</v>
      </c>
      <c r="K2623" s="10">
        <v>1</v>
      </c>
      <c r="L2623" s="10">
        <v>1</v>
      </c>
      <c r="O2623" s="6"/>
      <c r="Q2623" s="42" t="s">
        <v>5682</v>
      </c>
      <c r="R2623" s="42"/>
      <c r="S2623" s="1"/>
    </row>
    <row r="2624" spans="1:19" ht="18.75" hidden="1" customHeight="1" x14ac:dyDescent="0.3">
      <c r="A2624" s="10">
        <v>2623</v>
      </c>
      <c r="B2624" s="10">
        <f>_xlfn.XLOOKUP(1,(VALUE(D2624)&gt;=VALUE(block!$C$3:$C$500))*(VALUE(D2624)&lt;VALUE(block!$C$3:$C$500)+VALUE(block!$D$3:$D$500)),block!$A$3:$A$500,"无匹配",0,1)</f>
        <v>69</v>
      </c>
      <c r="C2624" s="3" t="str">
        <f>B2624 &amp; "-" &amp; COUNTIF($B$2:B2624, B2624)</f>
        <v>69-31</v>
      </c>
      <c r="D2624" s="10">
        <f t="shared" si="10"/>
        <v>15210</v>
      </c>
      <c r="E2624" s="1" t="s">
        <v>6692</v>
      </c>
      <c r="F2624" s="1" t="s">
        <v>6693</v>
      </c>
      <c r="G2624" s="1" t="s">
        <v>1834</v>
      </c>
      <c r="H2624" s="1" t="s">
        <v>1812</v>
      </c>
      <c r="I2624" s="10" t="str">
        <f>IF(H2624="T77",1,IF(H2624="T77",3,IF(H2624="T93",6,IF(H2624="T93",10,IF(H2624="T125",14,IF(H2624="T125",18,IF(H2624="T93",22,"")))))))</f>
        <v/>
      </c>
      <c r="J2624" s="1" t="s">
        <v>1808</v>
      </c>
      <c r="K2624" s="10">
        <v>2</v>
      </c>
      <c r="L2624" s="10">
        <v>1</v>
      </c>
      <c r="O2624" s="6"/>
      <c r="P2624" s="42" t="s">
        <v>5560</v>
      </c>
      <c r="Q2624" s="42" t="s">
        <v>5682</v>
      </c>
      <c r="R2624" s="42"/>
      <c r="S2624" s="1"/>
    </row>
    <row r="2625" spans="1:19" ht="18.75" hidden="1" customHeight="1" x14ac:dyDescent="0.3">
      <c r="A2625" s="10">
        <v>2624</v>
      </c>
      <c r="B2625" s="10">
        <f>_xlfn.XLOOKUP(1,(VALUE(D2625)&gt;=VALUE(block!$C$3:$C$500))*(VALUE(D2625)&lt;VALUE(block!$C$3:$C$500)+VALUE(block!$D$3:$D$500)),block!$A$3:$A$500,"无匹配",0,1)</f>
        <v>69</v>
      </c>
      <c r="C2625" s="3" t="str">
        <f>B2625 &amp; "-" &amp; COUNTIF($B$2:B2625, B2625)</f>
        <v>69-32</v>
      </c>
      <c r="D2625" s="10">
        <f t="shared" si="10"/>
        <v>15212</v>
      </c>
      <c r="E2625" s="3" t="s">
        <v>6694</v>
      </c>
      <c r="F2625" s="1" t="s">
        <v>6695</v>
      </c>
      <c r="H2625" s="3" t="s">
        <v>1838</v>
      </c>
      <c r="I2625" s="10" t="str">
        <f>IF(H2625="T78",1,IF(H2625="T78",3,IF(H2625="T94",6,IF(H2625="T94",10,IF(H2625="T126",14,IF(H2625="T126",18,IF(H2625="T94",22,"")))))))</f>
        <v/>
      </c>
      <c r="J2625" s="1" t="s">
        <v>1808</v>
      </c>
      <c r="K2625" s="10">
        <v>2</v>
      </c>
      <c r="L2625" s="10">
        <v>1</v>
      </c>
      <c r="O2625" s="6"/>
      <c r="Q2625" s="42" t="s">
        <v>5682</v>
      </c>
      <c r="R2625" s="42"/>
      <c r="S2625" s="1"/>
    </row>
    <row r="2626" spans="1:19" ht="18.75" hidden="1" customHeight="1" x14ac:dyDescent="0.3">
      <c r="A2626" s="10">
        <v>2625</v>
      </c>
      <c r="B2626" s="10">
        <f>_xlfn.XLOOKUP(1,(VALUE(D2626)&gt;=VALUE(block!$C$3:$C$500))*(VALUE(D2626)&lt;VALUE(block!$C$3:$C$500)+VALUE(block!$D$3:$D$500)),block!$A$3:$A$500,"无匹配",0,1)</f>
        <v>69</v>
      </c>
      <c r="C2626" s="3" t="str">
        <f>B2626 &amp; "-" &amp; COUNTIF($B$2:B2626, B2626)</f>
        <v>69-33</v>
      </c>
      <c r="D2626" s="10">
        <f t="shared" si="10"/>
        <v>15214</v>
      </c>
      <c r="E2626" s="3" t="s">
        <v>6694</v>
      </c>
      <c r="F2626" s="1" t="s">
        <v>6696</v>
      </c>
      <c r="H2626" s="3" t="s">
        <v>5458</v>
      </c>
      <c r="I2626" s="10" t="str">
        <f>IF(H2626="T79",1,IF(H2626="T79",3,IF(H2626="T95",6,IF(H2626="T95",10,IF(H2626="T127",14,IF(H2626="T127",18,IF(H2626="T95",22,"")))))))</f>
        <v/>
      </c>
      <c r="J2626" s="1" t="s">
        <v>1808</v>
      </c>
      <c r="K2626" s="10">
        <v>1</v>
      </c>
      <c r="L2626" s="10">
        <v>1</v>
      </c>
      <c r="O2626" s="6"/>
      <c r="Q2626" s="42" t="s">
        <v>5682</v>
      </c>
      <c r="R2626" s="42"/>
      <c r="S2626" s="1"/>
    </row>
    <row r="2627" spans="1:19" ht="18.75" hidden="1" customHeight="1" x14ac:dyDescent="0.3">
      <c r="A2627" s="10">
        <v>2626</v>
      </c>
      <c r="B2627" s="10">
        <f>_xlfn.XLOOKUP(1,(VALUE(D2627)&gt;=VALUE(block!$C$3:$C$500))*(VALUE(D2627)&lt;VALUE(block!$C$3:$C$500)+VALUE(block!$D$3:$D$500)),block!$A$3:$A$500,"无匹配",0,1)</f>
        <v>69</v>
      </c>
      <c r="C2627" s="3" t="str">
        <f>B2627 &amp; "-" &amp; COUNTIF($B$2:B2627, B2627)</f>
        <v>69-34</v>
      </c>
      <c r="D2627" s="10">
        <f t="shared" si="10"/>
        <v>15215</v>
      </c>
      <c r="E2627" s="1" t="s">
        <v>6697</v>
      </c>
      <c r="F2627" s="1" t="s">
        <v>6698</v>
      </c>
      <c r="G2627" s="1" t="s">
        <v>1836</v>
      </c>
      <c r="H2627" s="1" t="s">
        <v>1812</v>
      </c>
      <c r="I2627" s="10">
        <f>IF(H2627="uint16",1,IF(H2627="int16",3,IF(H2627="uint32",6,IF(H2627="int32",10,IF(H2627="uint64",14,IF(H2627="int64",18,IF(H2627="float32",22,"")))))))</f>
        <v>22</v>
      </c>
      <c r="J2627" s="1" t="s">
        <v>1808</v>
      </c>
      <c r="K2627" s="10">
        <v>2</v>
      </c>
      <c r="L2627" s="10">
        <v>1</v>
      </c>
      <c r="O2627" s="6"/>
      <c r="P2627" s="42" t="s">
        <v>5560</v>
      </c>
      <c r="Q2627" s="42" t="s">
        <v>5682</v>
      </c>
      <c r="R2627" s="42"/>
      <c r="S2627" s="1"/>
    </row>
    <row r="2628" spans="1:19" ht="18.75" hidden="1" customHeight="1" x14ac:dyDescent="0.3">
      <c r="A2628" s="10">
        <v>2627</v>
      </c>
      <c r="B2628" s="10">
        <f>_xlfn.XLOOKUP(1,(VALUE(D2628)&gt;=VALUE(block!$C$3:$C$500))*(VALUE(D2628)&lt;VALUE(block!$C$3:$C$500)+VALUE(block!$D$3:$D$500)),block!$A$3:$A$500,"无匹配",0,1)</f>
        <v>69</v>
      </c>
      <c r="C2628" s="3" t="str">
        <f>B2628 &amp; "-" &amp; COUNTIF($B$2:B2628, B2628)</f>
        <v>69-35</v>
      </c>
      <c r="D2628" s="10">
        <f t="shared" si="10"/>
        <v>15217</v>
      </c>
      <c r="E2628" s="3" t="s">
        <v>6699</v>
      </c>
      <c r="F2628" s="1" t="s">
        <v>6700</v>
      </c>
      <c r="H2628" s="3" t="s">
        <v>1838</v>
      </c>
      <c r="I2628" s="10" t="str">
        <f>IF(H2628="T17",1,IF(H2628="T17",3,IF(H2628="T33",6,IF(H2628="T33",10,IF(H2628="T65",14,IF(H2628="T65",18,IF(H2628="T33",22,"")))))))</f>
        <v/>
      </c>
      <c r="J2628" s="1" t="s">
        <v>1808</v>
      </c>
      <c r="K2628" s="10">
        <v>2</v>
      </c>
      <c r="L2628" s="10">
        <v>1</v>
      </c>
      <c r="O2628" s="6"/>
      <c r="Q2628" s="42" t="s">
        <v>5682</v>
      </c>
      <c r="R2628" s="42"/>
      <c r="S2628" s="1"/>
    </row>
    <row r="2629" spans="1:19" ht="18.75" hidden="1" customHeight="1" x14ac:dyDescent="0.3">
      <c r="A2629" s="10">
        <v>2628</v>
      </c>
      <c r="B2629" s="10">
        <f>_xlfn.XLOOKUP(1,(VALUE(D2629)&gt;=VALUE(block!$C$3:$C$500))*(VALUE(D2629)&lt;VALUE(block!$C$3:$C$500)+VALUE(block!$D$3:$D$500)),block!$A$3:$A$500,"无匹配",0,1)</f>
        <v>69</v>
      </c>
      <c r="C2629" s="3" t="str">
        <f>B2629 &amp; "-" &amp; COUNTIF($B$2:B2629, B2629)</f>
        <v>69-36</v>
      </c>
      <c r="D2629" s="10">
        <f t="shared" si="10"/>
        <v>15219</v>
      </c>
      <c r="E2629" s="3" t="s">
        <v>6699</v>
      </c>
      <c r="F2629" s="1" t="s">
        <v>6701</v>
      </c>
      <c r="H2629" s="3" t="s">
        <v>5458</v>
      </c>
      <c r="I2629" s="10" t="str">
        <f>IF(H2629="T18",1,IF(H2629="T18",3,IF(H2629="T34",6,IF(H2629="T34",10,IF(H2629="T66",14,IF(H2629="T66",18,IF(H2629="T34",22,"")))))))</f>
        <v/>
      </c>
      <c r="J2629" s="1" t="s">
        <v>1808</v>
      </c>
      <c r="K2629" s="10">
        <v>1</v>
      </c>
      <c r="L2629" s="10">
        <v>1</v>
      </c>
      <c r="O2629" s="6"/>
      <c r="Q2629" s="42" t="s">
        <v>5682</v>
      </c>
      <c r="R2629" s="42"/>
      <c r="S2629" s="1"/>
    </row>
    <row r="2630" spans="1:19" ht="18.75" hidden="1" customHeight="1" x14ac:dyDescent="0.3">
      <c r="A2630" s="10">
        <v>2629</v>
      </c>
      <c r="B2630" s="10">
        <f>_xlfn.XLOOKUP(1,(VALUE(D2630)&gt;=VALUE(block!$C$3:$C$500))*(VALUE(D2630)&lt;VALUE(block!$C$3:$C$500)+VALUE(block!$D$3:$D$500)),block!$A$3:$A$500,"无匹配",0,1)</f>
        <v>69</v>
      </c>
      <c r="C2630" s="3" t="str">
        <f>B2630 &amp; "-" &amp; COUNTIF($B$2:B2630, B2630)</f>
        <v>69-37</v>
      </c>
      <c r="D2630" s="10">
        <f t="shared" si="10"/>
        <v>15220</v>
      </c>
      <c r="E2630" s="1" t="s">
        <v>6702</v>
      </c>
      <c r="F2630" s="1" t="s">
        <v>6703</v>
      </c>
      <c r="G2630" s="1" t="s">
        <v>1830</v>
      </c>
      <c r="H2630" s="1" t="s">
        <v>1812</v>
      </c>
      <c r="I2630" s="10" t="str">
        <f>IF(H2630="T19",1,IF(H2630="T19",3,IF(H2630="T35",6,IF(H2630="T35",10,IF(H2630="T67",14,IF(H2630="T67",18,IF(H2630="T35",22,"")))))))</f>
        <v/>
      </c>
      <c r="J2630" s="1" t="s">
        <v>1808</v>
      </c>
      <c r="K2630" s="10">
        <v>2</v>
      </c>
      <c r="L2630" s="10">
        <v>1</v>
      </c>
      <c r="O2630" s="6"/>
      <c r="P2630" s="42" t="s">
        <v>5560</v>
      </c>
      <c r="Q2630" s="42" t="s">
        <v>5682</v>
      </c>
      <c r="R2630" s="42"/>
      <c r="S2630" s="1"/>
    </row>
    <row r="2631" spans="1:19" ht="18.75" hidden="1" customHeight="1" x14ac:dyDescent="0.3">
      <c r="A2631" s="10">
        <v>2630</v>
      </c>
      <c r="B2631" s="10">
        <f>_xlfn.XLOOKUP(1,(VALUE(D2631)&gt;=VALUE(block!$C$3:$C$500))*(VALUE(D2631)&lt;VALUE(block!$C$3:$C$500)+VALUE(block!$D$3:$D$500)),block!$A$3:$A$500,"无匹配",0,1)</f>
        <v>69</v>
      </c>
      <c r="C2631" s="3" t="str">
        <f>B2631 &amp; "-" &amp; COUNTIF($B$2:B2631, B2631)</f>
        <v>69-38</v>
      </c>
      <c r="D2631" s="10">
        <f t="shared" si="10"/>
        <v>15222</v>
      </c>
      <c r="E2631" s="3" t="s">
        <v>6704</v>
      </c>
      <c r="F2631" s="1" t="s">
        <v>6705</v>
      </c>
      <c r="H2631" s="3" t="s">
        <v>1838</v>
      </c>
      <c r="I2631" s="10" t="str">
        <f>IF(H2631="T20",1,IF(H2631="T20",3,IF(H2631="T36",6,IF(H2631="T36",10,IF(H2631="T68",14,IF(H2631="T68",18,IF(H2631="T36",22,"")))))))</f>
        <v/>
      </c>
      <c r="J2631" s="1" t="s">
        <v>1808</v>
      </c>
      <c r="K2631" s="10">
        <v>2</v>
      </c>
      <c r="L2631" s="10">
        <v>1</v>
      </c>
      <c r="O2631" s="6"/>
      <c r="Q2631" s="42" t="s">
        <v>5682</v>
      </c>
      <c r="R2631" s="42"/>
      <c r="S2631" s="1"/>
    </row>
    <row r="2632" spans="1:19" ht="18.75" hidden="1" customHeight="1" x14ac:dyDescent="0.3">
      <c r="A2632" s="10">
        <v>2631</v>
      </c>
      <c r="B2632" s="10">
        <f>_xlfn.XLOOKUP(1,(VALUE(D2632)&gt;=VALUE(block!$C$3:$C$500))*(VALUE(D2632)&lt;VALUE(block!$C$3:$C$500)+VALUE(block!$D$3:$D$500)),block!$A$3:$A$500,"无匹配",0,1)</f>
        <v>69</v>
      </c>
      <c r="C2632" s="3" t="str">
        <f>B2632 &amp; "-" &amp; COUNTIF($B$2:B2632, B2632)</f>
        <v>69-39</v>
      </c>
      <c r="D2632" s="10">
        <f t="shared" si="10"/>
        <v>15224</v>
      </c>
      <c r="E2632" s="3" t="s">
        <v>6704</v>
      </c>
      <c r="F2632" s="1" t="s">
        <v>6706</v>
      </c>
      <c r="H2632" s="3" t="s">
        <v>5458</v>
      </c>
      <c r="I2632" s="10" t="str">
        <f>IF(H2632="T21",1,IF(H2632="T21",3,IF(H2632="T37",6,IF(H2632="T37",10,IF(H2632="T69",14,IF(H2632="T69",18,IF(H2632="T37",22,"")))))))</f>
        <v/>
      </c>
      <c r="J2632" s="1" t="s">
        <v>1808</v>
      </c>
      <c r="K2632" s="10">
        <v>1</v>
      </c>
      <c r="L2632" s="10">
        <v>1</v>
      </c>
      <c r="O2632" s="6"/>
      <c r="Q2632" s="42" t="s">
        <v>5682</v>
      </c>
      <c r="R2632" s="42"/>
      <c r="S2632" s="1"/>
    </row>
    <row r="2633" spans="1:19" ht="18.75" hidden="1" customHeight="1" x14ac:dyDescent="0.3">
      <c r="A2633" s="10">
        <v>2632</v>
      </c>
      <c r="B2633" s="10">
        <f>_xlfn.XLOOKUP(1,(VALUE(D2633)&gt;=VALUE(block!$C$3:$C$500))*(VALUE(D2633)&lt;VALUE(block!$C$3:$C$500)+VALUE(block!$D$3:$D$500)),block!$A$3:$A$500,"无匹配",0,1)</f>
        <v>69</v>
      </c>
      <c r="C2633" s="3" t="str">
        <f>B2633 &amp; "-" &amp; COUNTIF($B$2:B2633, B2633)</f>
        <v>69-40</v>
      </c>
      <c r="D2633" s="10">
        <f t="shared" si="10"/>
        <v>15225</v>
      </c>
      <c r="E2633" s="1" t="s">
        <v>6707</v>
      </c>
      <c r="F2633" s="1" t="s">
        <v>6708</v>
      </c>
      <c r="G2633" s="1" t="s">
        <v>1832</v>
      </c>
      <c r="H2633" s="1" t="s">
        <v>1812</v>
      </c>
      <c r="I2633" s="10" t="str">
        <f>IF(H2633="T22",1,IF(H2633="T22",3,IF(H2633="T38",6,IF(H2633="T38",10,IF(H2633="T70",14,IF(H2633="T70",18,IF(H2633="T38",22,"")))))))</f>
        <v/>
      </c>
      <c r="J2633" s="1" t="s">
        <v>1808</v>
      </c>
      <c r="K2633" s="10">
        <v>2</v>
      </c>
      <c r="L2633" s="10">
        <v>1</v>
      </c>
      <c r="O2633" s="6"/>
      <c r="P2633" s="42" t="s">
        <v>5560</v>
      </c>
      <c r="Q2633" s="42" t="s">
        <v>5682</v>
      </c>
      <c r="R2633" s="42"/>
      <c r="S2633" s="1"/>
    </row>
    <row r="2634" spans="1:19" ht="18.75" hidden="1" customHeight="1" x14ac:dyDescent="0.3">
      <c r="A2634" s="10">
        <v>2633</v>
      </c>
      <c r="B2634" s="10">
        <f>_xlfn.XLOOKUP(1,(VALUE(D2634)&gt;=VALUE(block!$C$3:$C$500))*(VALUE(D2634)&lt;VALUE(block!$C$3:$C$500)+VALUE(block!$D$3:$D$500)),block!$A$3:$A$500,"无匹配",0,1)</f>
        <v>69</v>
      </c>
      <c r="C2634" s="3" t="str">
        <f>B2634 &amp; "-" &amp; COUNTIF($B$2:B2634, B2634)</f>
        <v>69-41</v>
      </c>
      <c r="D2634" s="10">
        <f t="shared" si="10"/>
        <v>15227</v>
      </c>
      <c r="E2634" s="3" t="s">
        <v>6709</v>
      </c>
      <c r="F2634" s="1" t="s">
        <v>6710</v>
      </c>
      <c r="H2634" s="3" t="s">
        <v>1838</v>
      </c>
      <c r="I2634" s="10" t="str">
        <f>IF(H2634="T23",1,IF(H2634="T23",3,IF(H2634="T39",6,IF(H2634="T39",10,IF(H2634="T71",14,IF(H2634="T71",18,IF(H2634="T39",22,"")))))))</f>
        <v/>
      </c>
      <c r="J2634" s="1" t="s">
        <v>1808</v>
      </c>
      <c r="K2634" s="10">
        <v>2</v>
      </c>
      <c r="L2634" s="10">
        <v>1</v>
      </c>
      <c r="O2634" s="6"/>
      <c r="Q2634" s="42" t="s">
        <v>5682</v>
      </c>
      <c r="R2634" s="42"/>
      <c r="S2634" s="1"/>
    </row>
    <row r="2635" spans="1:19" ht="18.75" hidden="1" customHeight="1" x14ac:dyDescent="0.3">
      <c r="A2635" s="10">
        <v>2634</v>
      </c>
      <c r="B2635" s="10">
        <f>_xlfn.XLOOKUP(1,(VALUE(D2635)&gt;=VALUE(block!$C$3:$C$500))*(VALUE(D2635)&lt;VALUE(block!$C$3:$C$500)+VALUE(block!$D$3:$D$500)),block!$A$3:$A$500,"无匹配",0,1)</f>
        <v>69</v>
      </c>
      <c r="C2635" s="3" t="str">
        <f>B2635 &amp; "-" &amp; COUNTIF($B$2:B2635, B2635)</f>
        <v>69-42</v>
      </c>
      <c r="D2635" s="10">
        <f t="shared" si="10"/>
        <v>15229</v>
      </c>
      <c r="E2635" s="3" t="s">
        <v>6709</v>
      </c>
      <c r="F2635" s="1" t="s">
        <v>6711</v>
      </c>
      <c r="H2635" s="3" t="s">
        <v>5458</v>
      </c>
      <c r="I2635" s="10" t="str">
        <f>IF(H2635="T24",1,IF(H2635="T24",3,IF(H2635="T40",6,IF(H2635="T40",10,IF(H2635="T72",14,IF(H2635="T72",18,IF(H2635="T40",22,"")))))))</f>
        <v/>
      </c>
      <c r="J2635" s="1" t="s">
        <v>1808</v>
      </c>
      <c r="K2635" s="10">
        <v>1</v>
      </c>
      <c r="L2635" s="10">
        <v>1</v>
      </c>
      <c r="O2635" s="6"/>
      <c r="Q2635" s="42" t="s">
        <v>5682</v>
      </c>
      <c r="R2635" s="42"/>
      <c r="S2635" s="1"/>
    </row>
    <row r="2636" spans="1:19" ht="18.75" hidden="1" customHeight="1" x14ac:dyDescent="0.3">
      <c r="A2636" s="10">
        <v>2635</v>
      </c>
      <c r="B2636" s="10">
        <f>_xlfn.XLOOKUP(1,(VALUE(D2636)&gt;=VALUE(block!$C$3:$C$500))*(VALUE(D2636)&lt;VALUE(block!$C$3:$C$500)+VALUE(block!$D$3:$D$500)),block!$A$3:$A$500,"无匹配",0,1)</f>
        <v>69</v>
      </c>
      <c r="C2636" s="3" t="str">
        <f>B2636 &amp; "-" &amp; COUNTIF($B$2:B2636, B2636)</f>
        <v>69-43</v>
      </c>
      <c r="D2636" s="10">
        <f t="shared" si="10"/>
        <v>15230</v>
      </c>
      <c r="E2636" s="1" t="s">
        <v>6712</v>
      </c>
      <c r="F2636" s="1" t="s">
        <v>6713</v>
      </c>
      <c r="G2636" s="1" t="s">
        <v>1832</v>
      </c>
      <c r="H2636" s="1" t="s">
        <v>1812</v>
      </c>
      <c r="I2636" s="10" t="str">
        <f>IF(H2636="T25",1,IF(H2636="T25",3,IF(H2636="T41",6,IF(H2636="T41",10,IF(H2636="T73",14,IF(H2636="T73",18,IF(H2636="T41",22,"")))))))</f>
        <v/>
      </c>
      <c r="J2636" s="1" t="s">
        <v>1808</v>
      </c>
      <c r="K2636" s="10">
        <v>2</v>
      </c>
      <c r="L2636" s="10">
        <v>1</v>
      </c>
      <c r="O2636" s="6"/>
      <c r="P2636" s="42" t="s">
        <v>5560</v>
      </c>
      <c r="Q2636" s="42" t="s">
        <v>5682</v>
      </c>
      <c r="R2636" s="42"/>
      <c r="S2636" s="1"/>
    </row>
    <row r="2637" spans="1:19" ht="18.75" hidden="1" customHeight="1" x14ac:dyDescent="0.3">
      <c r="A2637" s="10">
        <v>2636</v>
      </c>
      <c r="B2637" s="10">
        <f>_xlfn.XLOOKUP(1,(VALUE(D2637)&gt;=VALUE(block!$C$3:$C$500))*(VALUE(D2637)&lt;VALUE(block!$C$3:$C$500)+VALUE(block!$D$3:$D$500)),block!$A$3:$A$500,"无匹配",0,1)</f>
        <v>69</v>
      </c>
      <c r="C2637" s="3" t="str">
        <f>B2637 &amp; "-" &amp; COUNTIF($B$2:B2637, B2637)</f>
        <v>69-44</v>
      </c>
      <c r="D2637" s="10">
        <f t="shared" si="10"/>
        <v>15232</v>
      </c>
      <c r="E2637" s="3" t="s">
        <v>6714</v>
      </c>
      <c r="F2637" s="1" t="s">
        <v>6715</v>
      </c>
      <c r="H2637" s="3" t="s">
        <v>1838</v>
      </c>
      <c r="I2637" s="10" t="str">
        <f>IF(H2637="T26",1,IF(H2637="T26",3,IF(H2637="T42",6,IF(H2637="T42",10,IF(H2637="T74",14,IF(H2637="T74",18,IF(H2637="T42",22,"")))))))</f>
        <v/>
      </c>
      <c r="J2637" s="1" t="s">
        <v>1808</v>
      </c>
      <c r="K2637" s="10">
        <v>2</v>
      </c>
      <c r="L2637" s="10">
        <v>1</v>
      </c>
      <c r="O2637" s="6"/>
      <c r="Q2637" s="42" t="s">
        <v>5682</v>
      </c>
      <c r="R2637" s="42"/>
      <c r="S2637" s="1"/>
    </row>
    <row r="2638" spans="1:19" ht="18.75" hidden="1" customHeight="1" x14ac:dyDescent="0.3">
      <c r="A2638" s="10">
        <v>2637</v>
      </c>
      <c r="B2638" s="10">
        <f>_xlfn.XLOOKUP(1,(VALUE(D2638)&gt;=VALUE(block!$C$3:$C$500))*(VALUE(D2638)&lt;VALUE(block!$C$3:$C$500)+VALUE(block!$D$3:$D$500)),block!$A$3:$A$500,"无匹配",0,1)</f>
        <v>69</v>
      </c>
      <c r="C2638" s="3" t="str">
        <f>B2638 &amp; "-" &amp; COUNTIF($B$2:B2638, B2638)</f>
        <v>69-45</v>
      </c>
      <c r="D2638" s="10">
        <f t="shared" si="10"/>
        <v>15234</v>
      </c>
      <c r="E2638" s="3" t="s">
        <v>6714</v>
      </c>
      <c r="F2638" s="1" t="s">
        <v>6716</v>
      </c>
      <c r="H2638" s="3" t="s">
        <v>5458</v>
      </c>
      <c r="I2638" s="10" t="str">
        <f>IF(H2638="T27",1,IF(H2638="T27",3,IF(H2638="T43",6,IF(H2638="T43",10,IF(H2638="T75",14,IF(H2638="T75",18,IF(H2638="T43",22,"")))))))</f>
        <v/>
      </c>
      <c r="J2638" s="1" t="s">
        <v>1808</v>
      </c>
      <c r="K2638" s="10">
        <v>1</v>
      </c>
      <c r="L2638" s="10">
        <v>1</v>
      </c>
      <c r="O2638" s="6"/>
      <c r="Q2638" s="42" t="s">
        <v>5682</v>
      </c>
      <c r="R2638" s="42"/>
      <c r="S2638" s="1"/>
    </row>
    <row r="2639" spans="1:19" ht="18.75" hidden="1" customHeight="1" x14ac:dyDescent="0.3">
      <c r="A2639" s="10">
        <v>2638</v>
      </c>
      <c r="B2639" s="10">
        <f>_xlfn.XLOOKUP(1,(VALUE(D2639)&gt;=VALUE(block!$C$3:$C$500))*(VALUE(D2639)&lt;VALUE(block!$C$3:$C$500)+VALUE(block!$D$3:$D$500)),block!$A$3:$A$500,"无匹配",0,1)</f>
        <v>69</v>
      </c>
      <c r="C2639" s="3" t="str">
        <f>B2639 &amp; "-" &amp; COUNTIF($B$2:B2639, B2639)</f>
        <v>69-46</v>
      </c>
      <c r="D2639" s="10">
        <f t="shared" si="10"/>
        <v>15235</v>
      </c>
      <c r="E2639" s="1" t="s">
        <v>6717</v>
      </c>
      <c r="F2639" s="1" t="s">
        <v>6718</v>
      </c>
      <c r="G2639" s="1" t="s">
        <v>1834</v>
      </c>
      <c r="H2639" s="1" t="s">
        <v>1812</v>
      </c>
      <c r="I2639" s="10" t="str">
        <f>IF(H2639="T28",1,IF(H2639="T28",3,IF(H2639="T44",6,IF(H2639="T44",10,IF(H2639="T76",14,IF(H2639="T76",18,IF(H2639="T44",22,"")))))))</f>
        <v/>
      </c>
      <c r="J2639" s="1" t="s">
        <v>1808</v>
      </c>
      <c r="K2639" s="10">
        <v>2</v>
      </c>
      <c r="L2639" s="10">
        <v>1</v>
      </c>
      <c r="O2639" s="6"/>
      <c r="P2639" s="42" t="s">
        <v>5560</v>
      </c>
      <c r="Q2639" s="42" t="s">
        <v>5682</v>
      </c>
      <c r="R2639" s="42"/>
      <c r="S2639" s="1"/>
    </row>
    <row r="2640" spans="1:19" ht="18.75" hidden="1" customHeight="1" x14ac:dyDescent="0.3">
      <c r="A2640" s="10">
        <v>2639</v>
      </c>
      <c r="B2640" s="10">
        <f>_xlfn.XLOOKUP(1,(VALUE(D2640)&gt;=VALUE(block!$C$3:$C$500))*(VALUE(D2640)&lt;VALUE(block!$C$3:$C$500)+VALUE(block!$D$3:$D$500)),block!$A$3:$A$500,"无匹配",0,1)</f>
        <v>69</v>
      </c>
      <c r="C2640" s="3" t="str">
        <f>B2640 &amp; "-" &amp; COUNTIF($B$2:B2640, B2640)</f>
        <v>69-47</v>
      </c>
      <c r="D2640" s="10">
        <f t="shared" si="10"/>
        <v>15237</v>
      </c>
      <c r="E2640" s="3" t="s">
        <v>6719</v>
      </c>
      <c r="F2640" s="3" t="s">
        <v>6720</v>
      </c>
      <c r="H2640" s="3" t="s">
        <v>1838</v>
      </c>
      <c r="I2640" s="10" t="str">
        <f>IF(H2640="T29",1,IF(H2640="T29",3,IF(H2640="T45",6,IF(H2640="T45",10,IF(H2640="T77",14,IF(H2640="T77",18,IF(H2640="T45",22,"")))))))</f>
        <v/>
      </c>
      <c r="J2640" s="1" t="s">
        <v>1808</v>
      </c>
      <c r="K2640" s="10">
        <v>2</v>
      </c>
      <c r="L2640" s="10">
        <v>1</v>
      </c>
      <c r="O2640" s="6"/>
      <c r="Q2640" s="42" t="s">
        <v>5682</v>
      </c>
      <c r="R2640" s="42"/>
      <c r="S2640" s="3"/>
    </row>
    <row r="2641" spans="1:19" ht="18.75" hidden="1" customHeight="1" x14ac:dyDescent="0.3">
      <c r="A2641" s="10">
        <v>2640</v>
      </c>
      <c r="B2641" s="10">
        <f>_xlfn.XLOOKUP(1,(VALUE(D2641)&gt;=VALUE(block!$C$3:$C$500))*(VALUE(D2641)&lt;VALUE(block!$C$3:$C$500)+VALUE(block!$D$3:$D$500)),block!$A$3:$A$500,"无匹配",0,1)</f>
        <v>69</v>
      </c>
      <c r="C2641" s="3" t="str">
        <f>B2641 &amp; "-" &amp; COUNTIF($B$2:B2641, B2641)</f>
        <v>69-48</v>
      </c>
      <c r="D2641" s="10">
        <f t="shared" si="10"/>
        <v>15239</v>
      </c>
      <c r="E2641" s="3" t="s">
        <v>6719</v>
      </c>
      <c r="F2641" s="1" t="s">
        <v>6721</v>
      </c>
      <c r="H2641" s="3" t="s">
        <v>5458</v>
      </c>
      <c r="I2641" s="10" t="str">
        <f>IF(H2641="T30",1,IF(H2641="T30",3,IF(H2641="T46",6,IF(H2641="T46",10,IF(H2641="T78",14,IF(H2641="T78",18,IF(H2641="T46",22,"")))))))</f>
        <v/>
      </c>
      <c r="J2641" s="1" t="s">
        <v>1808</v>
      </c>
      <c r="K2641" s="10">
        <v>1</v>
      </c>
      <c r="L2641" s="10">
        <v>1</v>
      </c>
      <c r="O2641" s="6"/>
      <c r="Q2641" s="42" t="s">
        <v>5682</v>
      </c>
      <c r="R2641" s="42"/>
      <c r="S2641" s="1"/>
    </row>
    <row r="2642" spans="1:19" ht="18.75" hidden="1" customHeight="1" x14ac:dyDescent="0.3">
      <c r="A2642" s="10">
        <v>2641</v>
      </c>
      <c r="B2642" s="10">
        <f>_xlfn.XLOOKUP(1,(VALUE(D2642)&gt;=VALUE(block!$C$3:$C$500))*(VALUE(D2642)&lt;VALUE(block!$C$3:$C$500)+VALUE(block!$D$3:$D$500)),block!$A$3:$A$500,"无匹配",0,1)</f>
        <v>69</v>
      </c>
      <c r="C2642" s="3" t="str">
        <f>B2642 &amp; "-" &amp; COUNTIF($B$2:B2642, B2642)</f>
        <v>69-49</v>
      </c>
      <c r="D2642" s="10">
        <f t="shared" si="10"/>
        <v>15240</v>
      </c>
      <c r="E2642" s="1" t="s">
        <v>6722</v>
      </c>
      <c r="F2642" s="1" t="s">
        <v>6723</v>
      </c>
      <c r="G2642" s="1" t="s">
        <v>1834</v>
      </c>
      <c r="H2642" s="1" t="s">
        <v>1812</v>
      </c>
      <c r="I2642" s="10" t="str">
        <f>IF(H2642="T31",1,IF(H2642="T31",3,IF(H2642="T47",6,IF(H2642="T47",10,IF(H2642="T79",14,IF(H2642="T79",18,IF(H2642="T47",22,"")))))))</f>
        <v/>
      </c>
      <c r="J2642" s="1" t="s">
        <v>1808</v>
      </c>
      <c r="K2642" s="10">
        <v>2</v>
      </c>
      <c r="L2642" s="10">
        <v>1</v>
      </c>
      <c r="O2642" s="6"/>
      <c r="P2642" s="42" t="s">
        <v>5560</v>
      </c>
      <c r="Q2642" s="42" t="s">
        <v>5682</v>
      </c>
      <c r="R2642" s="42"/>
      <c r="S2642" s="1"/>
    </row>
    <row r="2643" spans="1:19" ht="18.75" hidden="1" customHeight="1" x14ac:dyDescent="0.3">
      <c r="A2643" s="10">
        <v>2642</v>
      </c>
      <c r="B2643" s="10">
        <f>_xlfn.XLOOKUP(1,(VALUE(D2643)&gt;=VALUE(block!$C$3:$C$500))*(VALUE(D2643)&lt;VALUE(block!$C$3:$C$500)+VALUE(block!$D$3:$D$500)),block!$A$3:$A$500,"无匹配",0,1)</f>
        <v>69</v>
      </c>
      <c r="C2643" s="3" t="str">
        <f>B2643 &amp; "-" &amp; COUNTIF($B$2:B2643, B2643)</f>
        <v>69-50</v>
      </c>
      <c r="D2643" s="10">
        <f t="shared" si="10"/>
        <v>15242</v>
      </c>
      <c r="E2643" s="3" t="s">
        <v>6724</v>
      </c>
      <c r="F2643" s="1" t="s">
        <v>6725</v>
      </c>
      <c r="H2643" s="3" t="s">
        <v>1838</v>
      </c>
      <c r="I2643" s="10" t="str">
        <f>IF(H2643="T32",1,IF(H2643="T32",3,IF(H2643="T48",6,IF(H2643="T48",10,IF(H2643="T80",14,IF(H2643="T80",18,IF(H2643="T48",22,"")))))))</f>
        <v/>
      </c>
      <c r="J2643" s="1" t="s">
        <v>1808</v>
      </c>
      <c r="K2643" s="10">
        <v>2</v>
      </c>
      <c r="L2643" s="10">
        <v>1</v>
      </c>
      <c r="O2643" s="6"/>
      <c r="Q2643" s="42" t="s">
        <v>5682</v>
      </c>
      <c r="R2643" s="42"/>
      <c r="S2643" s="1"/>
    </row>
    <row r="2644" spans="1:19" ht="18.75" hidden="1" customHeight="1" x14ac:dyDescent="0.3">
      <c r="A2644" s="10">
        <v>2643</v>
      </c>
      <c r="B2644" s="10">
        <f>_xlfn.XLOOKUP(1,(VALUE(D2644)&gt;=VALUE(block!$C$3:$C$500))*(VALUE(D2644)&lt;VALUE(block!$C$3:$C$500)+VALUE(block!$D$3:$D$500)),block!$A$3:$A$500,"无匹配",0,1)</f>
        <v>69</v>
      </c>
      <c r="C2644" s="3" t="str">
        <f>B2644 &amp; "-" &amp; COUNTIF($B$2:B2644, B2644)</f>
        <v>69-51</v>
      </c>
      <c r="D2644" s="10">
        <f t="shared" si="10"/>
        <v>15244</v>
      </c>
      <c r="E2644" s="3" t="s">
        <v>6724</v>
      </c>
      <c r="F2644" s="1" t="s">
        <v>6726</v>
      </c>
      <c r="H2644" s="3" t="s">
        <v>5458</v>
      </c>
      <c r="I2644" s="10" t="str">
        <f>IF(H2644="T33",1,IF(H2644="T33",3,IF(H2644="T49",6,IF(H2644="T49",10,IF(H2644="T81",14,IF(H2644="T81",18,IF(H2644="T49",22,"")))))))</f>
        <v/>
      </c>
      <c r="J2644" s="1" t="s">
        <v>1808</v>
      </c>
      <c r="K2644" s="10">
        <v>1</v>
      </c>
      <c r="L2644" s="10">
        <v>1</v>
      </c>
      <c r="O2644" s="6"/>
      <c r="Q2644" s="42" t="s">
        <v>5682</v>
      </c>
      <c r="R2644" s="42"/>
      <c r="S2644" s="1"/>
    </row>
    <row r="2645" spans="1:19" ht="18.75" hidden="1" customHeight="1" x14ac:dyDescent="0.3">
      <c r="A2645" s="10">
        <v>2644</v>
      </c>
      <c r="B2645" s="10">
        <f>_xlfn.XLOOKUP(1,(VALUE(D2645)&gt;=VALUE(block!$C$3:$C$500))*(VALUE(D2645)&lt;VALUE(block!$C$3:$C$500)+VALUE(block!$D$3:$D$500)),block!$A$3:$A$500,"无匹配",0,1)</f>
        <v>69</v>
      </c>
      <c r="C2645" s="3" t="str">
        <f>B2645 &amp; "-" &amp; COUNTIF($B$2:B2645, B2645)</f>
        <v>69-52</v>
      </c>
      <c r="D2645" s="10">
        <f t="shared" si="10"/>
        <v>15245</v>
      </c>
      <c r="E2645" s="1" t="s">
        <v>6727</v>
      </c>
      <c r="F2645" s="1" t="s">
        <v>6728</v>
      </c>
      <c r="G2645" s="1" t="s">
        <v>1836</v>
      </c>
      <c r="H2645" s="1" t="s">
        <v>1812</v>
      </c>
      <c r="I2645" s="10" t="str">
        <f>IF(H2645="T34",1,IF(H2645="T34",3,IF(H2645="T50",6,IF(H2645="T50",10,IF(H2645="T82",14,IF(H2645="T82",18,IF(H2645="T50",22,"")))))))</f>
        <v/>
      </c>
      <c r="J2645" s="1" t="s">
        <v>1808</v>
      </c>
      <c r="K2645" s="10">
        <v>2</v>
      </c>
      <c r="L2645" s="10">
        <v>1</v>
      </c>
      <c r="O2645" s="6"/>
      <c r="P2645" s="42" t="s">
        <v>5560</v>
      </c>
      <c r="Q2645" s="42" t="s">
        <v>5682</v>
      </c>
      <c r="R2645" s="42"/>
      <c r="S2645" s="1"/>
    </row>
    <row r="2646" spans="1:19" ht="18.75" hidden="1" customHeight="1" x14ac:dyDescent="0.3">
      <c r="A2646" s="10">
        <v>2645</v>
      </c>
      <c r="B2646" s="10">
        <f>_xlfn.XLOOKUP(1,(VALUE(D2646)&gt;=VALUE(block!$C$3:$C$500))*(VALUE(D2646)&lt;VALUE(block!$C$3:$C$500)+VALUE(block!$D$3:$D$500)),block!$A$3:$A$500,"无匹配",0,1)</f>
        <v>69</v>
      </c>
      <c r="C2646" s="3" t="str">
        <f>B2646 &amp; "-" &amp; COUNTIF($B$2:B2646, B2646)</f>
        <v>69-53</v>
      </c>
      <c r="D2646" s="10">
        <f t="shared" si="10"/>
        <v>15247</v>
      </c>
      <c r="E2646" s="3" t="s">
        <v>6729</v>
      </c>
      <c r="F2646" s="1" t="s">
        <v>6730</v>
      </c>
      <c r="H2646" s="3" t="s">
        <v>1838</v>
      </c>
      <c r="I2646" s="10" t="str">
        <f>IF(H2646="T35",1,IF(H2646="T35",3,IF(H2646="T51",6,IF(H2646="T51",10,IF(H2646="T83",14,IF(H2646="T83",18,IF(H2646="T51",22,"")))))))</f>
        <v/>
      </c>
      <c r="J2646" s="1" t="s">
        <v>1808</v>
      </c>
      <c r="K2646" s="10">
        <v>2</v>
      </c>
      <c r="L2646" s="10">
        <v>1</v>
      </c>
      <c r="O2646" s="6"/>
      <c r="Q2646" s="42" t="s">
        <v>5682</v>
      </c>
      <c r="R2646" s="42"/>
      <c r="S2646" s="1"/>
    </row>
    <row r="2647" spans="1:19" ht="18.75" hidden="1" customHeight="1" x14ac:dyDescent="0.3">
      <c r="A2647" s="10">
        <v>2646</v>
      </c>
      <c r="B2647" s="10">
        <f>_xlfn.XLOOKUP(1,(VALUE(D2647)&gt;=VALUE(block!$C$3:$C$500))*(VALUE(D2647)&lt;VALUE(block!$C$3:$C$500)+VALUE(block!$D$3:$D$500)),block!$A$3:$A$500,"无匹配",0,1)</f>
        <v>69</v>
      </c>
      <c r="C2647" s="3" t="str">
        <f>B2647 &amp; "-" &amp; COUNTIF($B$2:B2647, B2647)</f>
        <v>69-54</v>
      </c>
      <c r="D2647" s="10">
        <f t="shared" si="10"/>
        <v>15249</v>
      </c>
      <c r="E2647" s="3" t="s">
        <v>6729</v>
      </c>
      <c r="F2647" s="1" t="s">
        <v>6731</v>
      </c>
      <c r="H2647" s="3" t="s">
        <v>5458</v>
      </c>
      <c r="I2647" s="10" t="str">
        <f>IF(H2647="T36",1,IF(H2647="T36",3,IF(H2647="T52",6,IF(H2647="T52",10,IF(H2647="T84",14,IF(H2647="T84",18,IF(H2647="T52",22,"")))))))</f>
        <v/>
      </c>
      <c r="J2647" s="1" t="s">
        <v>1808</v>
      </c>
      <c r="K2647" s="10">
        <v>1</v>
      </c>
      <c r="L2647" s="10">
        <v>1</v>
      </c>
      <c r="O2647" s="6"/>
      <c r="Q2647" s="42" t="s">
        <v>5682</v>
      </c>
      <c r="R2647" s="42"/>
      <c r="S2647" s="1"/>
    </row>
    <row r="2648" spans="1:19" ht="18.75" hidden="1" customHeight="1" x14ac:dyDescent="0.3">
      <c r="A2648" s="10">
        <v>2647</v>
      </c>
      <c r="B2648" s="10">
        <f>_xlfn.XLOOKUP(1,(VALUE(D2648)&gt;=VALUE(block!$C$3:$C$500))*(VALUE(D2648)&lt;VALUE(block!$C$3:$C$500)+VALUE(block!$D$3:$D$500)),block!$A$3:$A$500,"无匹配",0,1)</f>
        <v>69</v>
      </c>
      <c r="C2648" s="3" t="str">
        <f>B2648 &amp; "-" &amp; COUNTIF($B$2:B2648, B2648)</f>
        <v>69-55</v>
      </c>
      <c r="D2648" s="10">
        <f t="shared" si="10"/>
        <v>15250</v>
      </c>
      <c r="E2648" s="1" t="s">
        <v>6732</v>
      </c>
      <c r="F2648" s="1" t="s">
        <v>6733</v>
      </c>
      <c r="G2648" s="1" t="s">
        <v>1830</v>
      </c>
      <c r="H2648" s="1" t="s">
        <v>1812</v>
      </c>
      <c r="I2648" s="10" t="str">
        <f>IF(H2648="T37",1,IF(H2648="T37",3,IF(H2648="T53",6,IF(H2648="T53",10,IF(H2648="T85",14,IF(H2648="T85",18,IF(H2648="T53",22,"")))))))</f>
        <v/>
      </c>
      <c r="J2648" s="1" t="s">
        <v>1808</v>
      </c>
      <c r="K2648" s="10">
        <v>2</v>
      </c>
      <c r="L2648" s="10">
        <v>1</v>
      </c>
      <c r="O2648" s="6"/>
      <c r="P2648" s="42" t="s">
        <v>5560</v>
      </c>
      <c r="Q2648" s="42" t="s">
        <v>5682</v>
      </c>
      <c r="R2648" s="42"/>
      <c r="S2648" s="1"/>
    </row>
    <row r="2649" spans="1:19" ht="18.75" hidden="1" customHeight="1" x14ac:dyDescent="0.3">
      <c r="A2649" s="10">
        <v>2648</v>
      </c>
      <c r="B2649" s="10">
        <f>_xlfn.XLOOKUP(1,(VALUE(D2649)&gt;=VALUE(block!$C$3:$C$500))*(VALUE(D2649)&lt;VALUE(block!$C$3:$C$500)+VALUE(block!$D$3:$D$500)),block!$A$3:$A$500,"无匹配",0,1)</f>
        <v>69</v>
      </c>
      <c r="C2649" s="3" t="str">
        <f>B2649 &amp; "-" &amp; COUNTIF($B$2:B2649, B2649)</f>
        <v>69-56</v>
      </c>
      <c r="D2649" s="10">
        <f t="shared" si="10"/>
        <v>15252</v>
      </c>
      <c r="E2649" s="3" t="s">
        <v>6734</v>
      </c>
      <c r="F2649" s="1" t="s">
        <v>6735</v>
      </c>
      <c r="H2649" s="3" t="s">
        <v>1838</v>
      </c>
      <c r="I2649" s="10" t="str">
        <f>IF(H2649="T38",1,IF(H2649="T38",3,IF(H2649="T54",6,IF(H2649="T54",10,IF(H2649="T86",14,IF(H2649="T86",18,IF(H2649="T54",22,"")))))))</f>
        <v/>
      </c>
      <c r="J2649" s="1" t="s">
        <v>1808</v>
      </c>
      <c r="K2649" s="10">
        <v>2</v>
      </c>
      <c r="L2649" s="10">
        <v>1</v>
      </c>
      <c r="O2649" s="6"/>
      <c r="Q2649" s="42" t="s">
        <v>5682</v>
      </c>
      <c r="R2649" s="42"/>
      <c r="S2649" s="1"/>
    </row>
    <row r="2650" spans="1:19" ht="18.75" hidden="1" customHeight="1" x14ac:dyDescent="0.3">
      <c r="A2650" s="10">
        <v>2649</v>
      </c>
      <c r="B2650" s="10">
        <f>_xlfn.XLOOKUP(1,(VALUE(D2650)&gt;=VALUE(block!$C$3:$C$500))*(VALUE(D2650)&lt;VALUE(block!$C$3:$C$500)+VALUE(block!$D$3:$D$500)),block!$A$3:$A$500,"无匹配",0,1)</f>
        <v>69</v>
      </c>
      <c r="C2650" s="3" t="str">
        <f>B2650 &amp; "-" &amp; COUNTIF($B$2:B2650, B2650)</f>
        <v>69-57</v>
      </c>
      <c r="D2650" s="10">
        <f t="shared" si="10"/>
        <v>15254</v>
      </c>
      <c r="E2650" s="3" t="s">
        <v>6734</v>
      </c>
      <c r="F2650" s="1" t="s">
        <v>6736</v>
      </c>
      <c r="H2650" s="3" t="s">
        <v>5458</v>
      </c>
      <c r="I2650" s="10" t="str">
        <f>IF(H2650="T39",1,IF(H2650="T39",3,IF(H2650="T55",6,IF(H2650="T55",10,IF(H2650="T87",14,IF(H2650="T87",18,IF(H2650="T55",22,"")))))))</f>
        <v/>
      </c>
      <c r="J2650" s="1" t="s">
        <v>1808</v>
      </c>
      <c r="K2650" s="10">
        <v>1</v>
      </c>
      <c r="L2650" s="10">
        <v>1</v>
      </c>
      <c r="O2650" s="6"/>
      <c r="Q2650" s="42" t="s">
        <v>5682</v>
      </c>
      <c r="R2650" s="42"/>
      <c r="S2650" s="1"/>
    </row>
    <row r="2651" spans="1:19" ht="18.75" hidden="1" customHeight="1" x14ac:dyDescent="0.3">
      <c r="A2651" s="10">
        <v>2650</v>
      </c>
      <c r="B2651" s="10">
        <f>_xlfn.XLOOKUP(1,(VALUE(D2651)&gt;=VALUE(block!$C$3:$C$500))*(VALUE(D2651)&lt;VALUE(block!$C$3:$C$500)+VALUE(block!$D$3:$D$500)),block!$A$3:$A$500,"无匹配",0,1)</f>
        <v>69</v>
      </c>
      <c r="C2651" s="3" t="str">
        <f>B2651 &amp; "-" &amp; COUNTIF($B$2:B2651, B2651)</f>
        <v>69-58</v>
      </c>
      <c r="D2651" s="10">
        <f t="shared" ref="D2651:D2665" si="11">D2650+K2650</f>
        <v>15255</v>
      </c>
      <c r="E2651" s="1" t="s">
        <v>6737</v>
      </c>
      <c r="F2651" s="1" t="s">
        <v>6738</v>
      </c>
      <c r="G2651" s="1" t="s">
        <v>1832</v>
      </c>
      <c r="H2651" s="1" t="s">
        <v>1812</v>
      </c>
      <c r="I2651" s="10" t="str">
        <f>IF(H2651="T40",1,IF(H2651="T40",3,IF(H2651="T56",6,IF(H2651="T56",10,IF(H2651="T88",14,IF(H2651="T88",18,IF(H2651="T56",22,"")))))))</f>
        <v/>
      </c>
      <c r="J2651" s="1" t="s">
        <v>1808</v>
      </c>
      <c r="K2651" s="10">
        <v>2</v>
      </c>
      <c r="L2651" s="10">
        <v>1</v>
      </c>
      <c r="O2651" s="6"/>
      <c r="P2651" s="42" t="s">
        <v>5560</v>
      </c>
      <c r="Q2651" s="42" t="s">
        <v>5682</v>
      </c>
      <c r="R2651" s="42"/>
      <c r="S2651" s="1"/>
    </row>
    <row r="2652" spans="1:19" ht="18.75" hidden="1" customHeight="1" x14ac:dyDescent="0.3">
      <c r="A2652" s="10">
        <v>2651</v>
      </c>
      <c r="B2652" s="10">
        <f>_xlfn.XLOOKUP(1,(VALUE(D2652)&gt;=VALUE(block!$C$3:$C$500))*(VALUE(D2652)&lt;VALUE(block!$C$3:$C$500)+VALUE(block!$D$3:$D$500)),block!$A$3:$A$500,"无匹配",0,1)</f>
        <v>69</v>
      </c>
      <c r="C2652" s="3" t="str">
        <f>B2652 &amp; "-" &amp; COUNTIF($B$2:B2652, B2652)</f>
        <v>69-59</v>
      </c>
      <c r="D2652" s="10">
        <f t="shared" si="11"/>
        <v>15257</v>
      </c>
      <c r="E2652" s="3" t="s">
        <v>6739</v>
      </c>
      <c r="F2652" s="1" t="s">
        <v>6740</v>
      </c>
      <c r="H2652" s="3" t="s">
        <v>1838</v>
      </c>
      <c r="I2652" s="10" t="str">
        <f>IF(H2652="T41",1,IF(H2652="T41",3,IF(H2652="T57",6,IF(H2652="T57",10,IF(H2652="T89",14,IF(H2652="T89",18,IF(H2652="T57",22,"")))))))</f>
        <v/>
      </c>
      <c r="J2652" s="1" t="s">
        <v>1808</v>
      </c>
      <c r="K2652" s="10">
        <v>2</v>
      </c>
      <c r="L2652" s="10">
        <v>1</v>
      </c>
      <c r="O2652" s="6"/>
      <c r="Q2652" s="42" t="s">
        <v>5682</v>
      </c>
      <c r="R2652" s="42"/>
      <c r="S2652" s="1"/>
    </row>
    <row r="2653" spans="1:19" ht="18.75" hidden="1" customHeight="1" x14ac:dyDescent="0.3">
      <c r="A2653" s="10">
        <v>2652</v>
      </c>
      <c r="B2653" s="10">
        <f>_xlfn.XLOOKUP(1,(VALUE(D2653)&gt;=VALUE(block!$C$3:$C$500))*(VALUE(D2653)&lt;VALUE(block!$C$3:$C$500)+VALUE(block!$D$3:$D$500)),block!$A$3:$A$500,"无匹配",0,1)</f>
        <v>69</v>
      </c>
      <c r="C2653" s="3" t="str">
        <f>B2653 &amp; "-" &amp; COUNTIF($B$2:B2653, B2653)</f>
        <v>69-60</v>
      </c>
      <c r="D2653" s="10">
        <f t="shared" si="11"/>
        <v>15259</v>
      </c>
      <c r="E2653" s="3" t="s">
        <v>6739</v>
      </c>
      <c r="F2653" s="1" t="s">
        <v>6741</v>
      </c>
      <c r="H2653" s="3" t="s">
        <v>5458</v>
      </c>
      <c r="I2653" s="10" t="str">
        <f>IF(H2653="T42",1,IF(H2653="T42",3,IF(H2653="T58",6,IF(H2653="T58",10,IF(H2653="T90",14,IF(H2653="T90",18,IF(H2653="T58",22,"")))))))</f>
        <v/>
      </c>
      <c r="J2653" s="1" t="s">
        <v>1808</v>
      </c>
      <c r="K2653" s="10">
        <v>1</v>
      </c>
      <c r="L2653" s="10">
        <v>1</v>
      </c>
      <c r="O2653" s="6"/>
      <c r="Q2653" s="42" t="s">
        <v>5682</v>
      </c>
      <c r="R2653" s="42"/>
      <c r="S2653" s="1"/>
    </row>
    <row r="2654" spans="1:19" ht="18.75" hidden="1" customHeight="1" x14ac:dyDescent="0.3">
      <c r="A2654" s="10">
        <v>2653</v>
      </c>
      <c r="B2654" s="10">
        <f>_xlfn.XLOOKUP(1,(VALUE(D2654)&gt;=VALUE(block!$C$3:$C$500))*(VALUE(D2654)&lt;VALUE(block!$C$3:$C$500)+VALUE(block!$D$3:$D$500)),block!$A$3:$A$500,"无匹配",0,1)</f>
        <v>69</v>
      </c>
      <c r="C2654" s="3" t="str">
        <f>B2654 &amp; "-" &amp; COUNTIF($B$2:B2654, B2654)</f>
        <v>69-61</v>
      </c>
      <c r="D2654" s="10">
        <f t="shared" si="11"/>
        <v>15260</v>
      </c>
      <c r="E2654" s="1" t="s">
        <v>6742</v>
      </c>
      <c r="F2654" s="1" t="s">
        <v>6743</v>
      </c>
      <c r="G2654" s="1" t="s">
        <v>1832</v>
      </c>
      <c r="H2654" s="1" t="s">
        <v>1812</v>
      </c>
      <c r="I2654" s="10" t="str">
        <f>IF(H2654="T43",1,IF(H2654="T43",3,IF(H2654="T59",6,IF(H2654="T59",10,IF(H2654="T91",14,IF(H2654="T91",18,IF(H2654="T59",22,"")))))))</f>
        <v/>
      </c>
      <c r="J2654" s="1" t="s">
        <v>1808</v>
      </c>
      <c r="K2654" s="10">
        <v>2</v>
      </c>
      <c r="L2654" s="10">
        <v>1</v>
      </c>
      <c r="O2654" s="6"/>
      <c r="P2654" s="42" t="s">
        <v>5560</v>
      </c>
      <c r="Q2654" s="42" t="s">
        <v>5682</v>
      </c>
      <c r="R2654" s="42"/>
      <c r="S2654" s="1"/>
    </row>
    <row r="2655" spans="1:19" ht="18.75" hidden="1" customHeight="1" x14ac:dyDescent="0.3">
      <c r="A2655" s="10">
        <v>2654</v>
      </c>
      <c r="B2655" s="10">
        <f>_xlfn.XLOOKUP(1,(VALUE(D2655)&gt;=VALUE(block!$C$3:$C$500))*(VALUE(D2655)&lt;VALUE(block!$C$3:$C$500)+VALUE(block!$D$3:$D$500)),block!$A$3:$A$500,"无匹配",0,1)</f>
        <v>69</v>
      </c>
      <c r="C2655" s="3" t="str">
        <f>B2655 &amp; "-" &amp; COUNTIF($B$2:B2655, B2655)</f>
        <v>69-62</v>
      </c>
      <c r="D2655" s="10">
        <f t="shared" si="11"/>
        <v>15262</v>
      </c>
      <c r="E2655" s="3" t="s">
        <v>6744</v>
      </c>
      <c r="F2655" s="1" t="s">
        <v>6745</v>
      </c>
      <c r="H2655" s="3" t="s">
        <v>1838</v>
      </c>
      <c r="I2655" s="10" t="str">
        <f>IF(H2655="T44",1,IF(H2655="T44",3,IF(H2655="T60",6,IF(H2655="T60",10,IF(H2655="T92",14,IF(H2655="T92",18,IF(H2655="T60",22,"")))))))</f>
        <v/>
      </c>
      <c r="J2655" s="1" t="s">
        <v>1808</v>
      </c>
      <c r="K2655" s="10">
        <v>2</v>
      </c>
      <c r="L2655" s="10">
        <v>1</v>
      </c>
      <c r="O2655" s="6"/>
      <c r="Q2655" s="42" t="s">
        <v>5682</v>
      </c>
      <c r="R2655" s="42"/>
      <c r="S2655" s="1"/>
    </row>
    <row r="2656" spans="1:19" ht="18.75" hidden="1" customHeight="1" x14ac:dyDescent="0.3">
      <c r="A2656" s="10">
        <v>2655</v>
      </c>
      <c r="B2656" s="10">
        <f>_xlfn.XLOOKUP(1,(VALUE(D2656)&gt;=VALUE(block!$C$3:$C$500))*(VALUE(D2656)&lt;VALUE(block!$C$3:$C$500)+VALUE(block!$D$3:$D$500)),block!$A$3:$A$500,"无匹配",0,1)</f>
        <v>69</v>
      </c>
      <c r="C2656" s="3" t="str">
        <f>B2656 &amp; "-" &amp; COUNTIF($B$2:B2656, B2656)</f>
        <v>69-63</v>
      </c>
      <c r="D2656" s="10">
        <f t="shared" si="11"/>
        <v>15264</v>
      </c>
      <c r="E2656" s="3" t="s">
        <v>6744</v>
      </c>
      <c r="F2656" s="1" t="s">
        <v>6746</v>
      </c>
      <c r="H2656" s="3" t="s">
        <v>5458</v>
      </c>
      <c r="I2656" s="10" t="str">
        <f>IF(H2656="T45",1,IF(H2656="T45",3,IF(H2656="T61",6,IF(H2656="T61",10,IF(H2656="T93",14,IF(H2656="T93",18,IF(H2656="T61",22,"")))))))</f>
        <v/>
      </c>
      <c r="J2656" s="1" t="s">
        <v>1808</v>
      </c>
      <c r="K2656" s="10">
        <v>1</v>
      </c>
      <c r="L2656" s="10">
        <v>1</v>
      </c>
      <c r="O2656" s="6"/>
      <c r="Q2656" s="42" t="s">
        <v>5682</v>
      </c>
      <c r="R2656" s="42"/>
      <c r="S2656" s="1"/>
    </row>
    <row r="2657" spans="1:19" ht="18.75" hidden="1" customHeight="1" x14ac:dyDescent="0.3">
      <c r="A2657" s="10">
        <v>2656</v>
      </c>
      <c r="B2657" s="10">
        <f>_xlfn.XLOOKUP(1,(VALUE(D2657)&gt;=VALUE(block!$C$3:$C$500))*(VALUE(D2657)&lt;VALUE(block!$C$3:$C$500)+VALUE(block!$D$3:$D$500)),block!$A$3:$A$500,"无匹配",0,1)</f>
        <v>69</v>
      </c>
      <c r="C2657" s="3" t="str">
        <f>B2657 &amp; "-" &amp; COUNTIF($B$2:B2657, B2657)</f>
        <v>69-64</v>
      </c>
      <c r="D2657" s="10">
        <f t="shared" si="11"/>
        <v>15265</v>
      </c>
      <c r="E2657" s="1" t="s">
        <v>6747</v>
      </c>
      <c r="F2657" s="1" t="s">
        <v>6748</v>
      </c>
      <c r="G2657" s="1" t="s">
        <v>1834</v>
      </c>
      <c r="H2657" s="1" t="s">
        <v>1812</v>
      </c>
      <c r="I2657" s="10" t="str">
        <f>IF(H2657="T46",1,IF(H2657="T46",3,IF(H2657="T62",6,IF(H2657="T62",10,IF(H2657="T94",14,IF(H2657="T94",18,IF(H2657="T62",22,"")))))))</f>
        <v/>
      </c>
      <c r="J2657" s="1" t="s">
        <v>1808</v>
      </c>
      <c r="K2657" s="10">
        <v>2</v>
      </c>
      <c r="L2657" s="10">
        <v>1</v>
      </c>
      <c r="O2657" s="6"/>
      <c r="P2657" s="42" t="s">
        <v>5560</v>
      </c>
      <c r="Q2657" s="42" t="s">
        <v>5682</v>
      </c>
      <c r="R2657" s="42"/>
      <c r="S2657" s="1"/>
    </row>
    <row r="2658" spans="1:19" ht="18.75" hidden="1" customHeight="1" x14ac:dyDescent="0.3">
      <c r="A2658" s="10">
        <v>2657</v>
      </c>
      <c r="B2658" s="10">
        <f>_xlfn.XLOOKUP(1,(VALUE(D2658)&gt;=VALUE(block!$C$3:$C$500))*(VALUE(D2658)&lt;VALUE(block!$C$3:$C$500)+VALUE(block!$D$3:$D$500)),block!$A$3:$A$500,"无匹配",0,1)</f>
        <v>69</v>
      </c>
      <c r="C2658" s="3" t="str">
        <f>B2658 &amp; "-" &amp; COUNTIF($B$2:B2658, B2658)</f>
        <v>69-65</v>
      </c>
      <c r="D2658" s="10">
        <f t="shared" si="11"/>
        <v>15267</v>
      </c>
      <c r="E2658" s="3" t="s">
        <v>6749</v>
      </c>
      <c r="F2658" s="1" t="s">
        <v>6750</v>
      </c>
      <c r="H2658" s="3" t="s">
        <v>1838</v>
      </c>
      <c r="I2658" s="10" t="str">
        <f>IF(H2658="T47",1,IF(H2658="T47",3,IF(H2658="T63",6,IF(H2658="T63",10,IF(H2658="T95",14,IF(H2658="T95",18,IF(H2658="T63",22,"")))))))</f>
        <v/>
      </c>
      <c r="J2658" s="1" t="s">
        <v>1808</v>
      </c>
      <c r="K2658" s="10">
        <v>2</v>
      </c>
      <c r="L2658" s="10">
        <v>1</v>
      </c>
      <c r="O2658" s="6"/>
      <c r="Q2658" s="42" t="s">
        <v>5682</v>
      </c>
      <c r="R2658" s="42"/>
      <c r="S2658" s="1"/>
    </row>
    <row r="2659" spans="1:19" ht="18.75" hidden="1" customHeight="1" x14ac:dyDescent="0.3">
      <c r="A2659" s="10">
        <v>2658</v>
      </c>
      <c r="B2659" s="10">
        <f>_xlfn.XLOOKUP(1,(VALUE(D2659)&gt;=VALUE(block!$C$3:$C$500))*(VALUE(D2659)&lt;VALUE(block!$C$3:$C$500)+VALUE(block!$D$3:$D$500)),block!$A$3:$A$500,"无匹配",0,1)</f>
        <v>69</v>
      </c>
      <c r="C2659" s="3" t="str">
        <f>B2659 &amp; "-" &amp; COUNTIF($B$2:B2659, B2659)</f>
        <v>69-66</v>
      </c>
      <c r="D2659" s="10">
        <f t="shared" si="11"/>
        <v>15269</v>
      </c>
      <c r="E2659" s="3" t="s">
        <v>6749</v>
      </c>
      <c r="F2659" s="1" t="s">
        <v>6751</v>
      </c>
      <c r="H2659" s="3" t="s">
        <v>5458</v>
      </c>
      <c r="I2659" s="10" t="str">
        <f>IF(H2659="T48",1,IF(H2659="T48",3,IF(H2659="T64",6,IF(H2659="T64",10,IF(H2659="T96",14,IF(H2659="T96",18,IF(H2659="T64",22,"")))))))</f>
        <v/>
      </c>
      <c r="J2659" s="1" t="s">
        <v>1808</v>
      </c>
      <c r="K2659" s="10">
        <v>1</v>
      </c>
      <c r="L2659" s="10">
        <v>1</v>
      </c>
      <c r="O2659" s="6"/>
      <c r="Q2659" s="42" t="s">
        <v>5682</v>
      </c>
      <c r="R2659" s="42"/>
      <c r="S2659" s="1"/>
    </row>
    <row r="2660" spans="1:19" ht="18.75" hidden="1" customHeight="1" x14ac:dyDescent="0.3">
      <c r="A2660" s="10">
        <v>2659</v>
      </c>
      <c r="B2660" s="10">
        <f>_xlfn.XLOOKUP(1,(VALUE(D2660)&gt;=VALUE(block!$C$3:$C$500))*(VALUE(D2660)&lt;VALUE(block!$C$3:$C$500)+VALUE(block!$D$3:$D$500)),block!$A$3:$A$500,"无匹配",0,1)</f>
        <v>69</v>
      </c>
      <c r="C2660" s="3" t="str">
        <f>B2660 &amp; "-" &amp; COUNTIF($B$2:B2660, B2660)</f>
        <v>69-67</v>
      </c>
      <c r="D2660" s="10">
        <f t="shared" si="11"/>
        <v>15270</v>
      </c>
      <c r="E2660" s="1" t="s">
        <v>6752</v>
      </c>
      <c r="F2660" s="1" t="s">
        <v>6753</v>
      </c>
      <c r="G2660" s="1" t="s">
        <v>1834</v>
      </c>
      <c r="H2660" s="1" t="s">
        <v>1812</v>
      </c>
      <c r="I2660" s="10" t="str">
        <f>IF(H2660="T49",1,IF(H2660="T49",3,IF(H2660="T65",6,IF(H2660="T65",10,IF(H2660="T97",14,IF(H2660="T97",18,IF(H2660="T65",22,"")))))))</f>
        <v/>
      </c>
      <c r="J2660" s="1" t="s">
        <v>1808</v>
      </c>
      <c r="K2660" s="10">
        <v>2</v>
      </c>
      <c r="L2660" s="10">
        <v>1</v>
      </c>
      <c r="O2660" s="6"/>
      <c r="P2660" s="42" t="s">
        <v>5560</v>
      </c>
      <c r="Q2660" s="42" t="s">
        <v>5682</v>
      </c>
      <c r="R2660" s="42"/>
      <c r="S2660" s="1"/>
    </row>
    <row r="2661" spans="1:19" ht="18.75" hidden="1" customHeight="1" x14ac:dyDescent="0.3">
      <c r="A2661" s="10">
        <v>2660</v>
      </c>
      <c r="B2661" s="10">
        <f>_xlfn.XLOOKUP(1,(VALUE(D2661)&gt;=VALUE(block!$C$3:$C$500))*(VALUE(D2661)&lt;VALUE(block!$C$3:$C$500)+VALUE(block!$D$3:$D$500)),block!$A$3:$A$500,"无匹配",0,1)</f>
        <v>69</v>
      </c>
      <c r="C2661" s="3" t="str">
        <f>B2661 &amp; "-" &amp; COUNTIF($B$2:B2661, B2661)</f>
        <v>69-68</v>
      </c>
      <c r="D2661" s="10">
        <f t="shared" si="11"/>
        <v>15272</v>
      </c>
      <c r="E2661" s="3" t="s">
        <v>6754</v>
      </c>
      <c r="F2661" s="1" t="s">
        <v>6755</v>
      </c>
      <c r="H2661" s="3" t="s">
        <v>1838</v>
      </c>
      <c r="I2661" s="10" t="str">
        <f>IF(H2661="T50",1,IF(H2661="T50",3,IF(H2661="T66",6,IF(H2661="T66",10,IF(H2661="T98",14,IF(H2661="T98",18,IF(H2661="T66",22,"")))))))</f>
        <v/>
      </c>
      <c r="J2661" s="1" t="s">
        <v>1808</v>
      </c>
      <c r="K2661" s="10">
        <v>2</v>
      </c>
      <c r="L2661" s="10">
        <v>1</v>
      </c>
      <c r="O2661" s="6"/>
      <c r="Q2661" s="42" t="s">
        <v>5682</v>
      </c>
      <c r="R2661" s="42"/>
      <c r="S2661" s="1"/>
    </row>
    <row r="2662" spans="1:19" ht="18.75" hidden="1" customHeight="1" x14ac:dyDescent="0.3">
      <c r="A2662" s="10">
        <v>2661</v>
      </c>
      <c r="B2662" s="10">
        <f>_xlfn.XLOOKUP(1,(VALUE(D2662)&gt;=VALUE(block!$C$3:$C$500))*(VALUE(D2662)&lt;VALUE(block!$C$3:$C$500)+VALUE(block!$D$3:$D$500)),block!$A$3:$A$500,"无匹配",0,1)</f>
        <v>69</v>
      </c>
      <c r="C2662" s="3" t="str">
        <f>B2662 &amp; "-" &amp; COUNTIF($B$2:B2662, B2662)</f>
        <v>69-69</v>
      </c>
      <c r="D2662" s="10">
        <f t="shared" si="11"/>
        <v>15274</v>
      </c>
      <c r="E2662" s="3" t="s">
        <v>6754</v>
      </c>
      <c r="F2662" s="1" t="s">
        <v>6756</v>
      </c>
      <c r="H2662" s="3" t="s">
        <v>5458</v>
      </c>
      <c r="I2662" s="10" t="str">
        <f>IF(H2662="T51",1,IF(H2662="T51",3,IF(H2662="T67",6,IF(H2662="T67",10,IF(H2662="T99",14,IF(H2662="T99",18,IF(H2662="T67",22,"")))))))</f>
        <v/>
      </c>
      <c r="J2662" s="1" t="s">
        <v>1808</v>
      </c>
      <c r="K2662" s="10">
        <v>1</v>
      </c>
      <c r="L2662" s="10">
        <v>1</v>
      </c>
      <c r="O2662" s="6"/>
      <c r="Q2662" s="42" t="s">
        <v>5682</v>
      </c>
      <c r="R2662" s="42"/>
      <c r="S2662" s="1"/>
    </row>
    <row r="2663" spans="1:19" ht="18.75" hidden="1" customHeight="1" x14ac:dyDescent="0.3">
      <c r="A2663" s="10">
        <v>2662</v>
      </c>
      <c r="B2663" s="10">
        <f>_xlfn.XLOOKUP(1,(VALUE(D2663)&gt;=VALUE(block!$C$3:$C$500))*(VALUE(D2663)&lt;VALUE(block!$C$3:$C$500)+VALUE(block!$D$3:$D$500)),block!$A$3:$A$500,"无匹配",0,1)</f>
        <v>69</v>
      </c>
      <c r="C2663" s="3" t="str">
        <f>B2663 &amp; "-" &amp; COUNTIF($B$2:B2663, B2663)</f>
        <v>69-70</v>
      </c>
      <c r="D2663" s="10">
        <f t="shared" si="11"/>
        <v>15275</v>
      </c>
      <c r="E2663" s="1" t="s">
        <v>6757</v>
      </c>
      <c r="F2663" s="1" t="s">
        <v>6758</v>
      </c>
      <c r="G2663" s="1" t="s">
        <v>1836</v>
      </c>
      <c r="H2663" s="1" t="s">
        <v>1812</v>
      </c>
      <c r="I2663" s="10" t="str">
        <f>IF(H2663="T52",1,IF(H2663="T52",3,IF(H2663="T68",6,IF(H2663="T68",10,IF(H2663="T100",14,IF(H2663="T100",18,IF(H2663="T68",22,"")))))))</f>
        <v/>
      </c>
      <c r="J2663" s="1" t="s">
        <v>1808</v>
      </c>
      <c r="K2663" s="10">
        <v>2</v>
      </c>
      <c r="L2663" s="10">
        <v>1</v>
      </c>
      <c r="O2663" s="6"/>
      <c r="P2663" s="42" t="s">
        <v>5560</v>
      </c>
      <c r="Q2663" s="42" t="s">
        <v>5682</v>
      </c>
      <c r="R2663" s="42"/>
      <c r="S2663" s="1"/>
    </row>
    <row r="2664" spans="1:19" ht="18.75" hidden="1" customHeight="1" x14ac:dyDescent="0.3">
      <c r="A2664" s="10">
        <v>2663</v>
      </c>
      <c r="B2664" s="10">
        <f>_xlfn.XLOOKUP(1,(VALUE(D2664)&gt;=VALUE(block!$C$3:$C$500))*(VALUE(D2664)&lt;VALUE(block!$C$3:$C$500)+VALUE(block!$D$3:$D$500)),block!$A$3:$A$500,"无匹配",0,1)</f>
        <v>69</v>
      </c>
      <c r="C2664" s="3" t="str">
        <f>B2664 &amp; "-" &amp; COUNTIF($B$2:B2664, B2664)</f>
        <v>69-71</v>
      </c>
      <c r="D2664" s="10">
        <f t="shared" si="11"/>
        <v>15277</v>
      </c>
      <c r="E2664" s="3" t="s">
        <v>6759</v>
      </c>
      <c r="F2664" s="1" t="s">
        <v>6760</v>
      </c>
      <c r="H2664" s="3" t="s">
        <v>1838</v>
      </c>
      <c r="I2664" s="10" t="str">
        <f>IF(H2664="T53",1,IF(H2664="T53",3,IF(H2664="T69",6,IF(H2664="T69",10,IF(H2664="T101",14,IF(H2664="T101",18,IF(H2664="T69",22,"")))))))</f>
        <v/>
      </c>
      <c r="J2664" s="1" t="s">
        <v>1808</v>
      </c>
      <c r="K2664" s="10">
        <v>2</v>
      </c>
      <c r="L2664" s="10">
        <v>1</v>
      </c>
      <c r="O2664" s="6"/>
      <c r="Q2664" s="42" t="s">
        <v>5682</v>
      </c>
      <c r="R2664" s="42"/>
      <c r="S2664" s="1"/>
    </row>
    <row r="2665" spans="1:19" ht="18.75" hidden="1" customHeight="1" x14ac:dyDescent="0.3">
      <c r="A2665" s="10">
        <v>2664</v>
      </c>
      <c r="B2665" s="10">
        <f>_xlfn.XLOOKUP(1,(VALUE(D2665)&gt;=VALUE(block!$C$3:$C$500))*(VALUE(D2665)&lt;VALUE(block!$C$3:$C$500)+VALUE(block!$D$3:$D$500)),block!$A$3:$A$500,"无匹配",0,1)</f>
        <v>69</v>
      </c>
      <c r="C2665" s="3" t="str">
        <f>B2665 &amp; "-" &amp; COUNTIF($B$2:B2665, B2665)</f>
        <v>69-72</v>
      </c>
      <c r="D2665" s="10">
        <f t="shared" si="11"/>
        <v>15279</v>
      </c>
      <c r="E2665" s="3" t="s">
        <v>6759</v>
      </c>
      <c r="F2665" s="1" t="s">
        <v>6761</v>
      </c>
      <c r="H2665" s="3" t="s">
        <v>5458</v>
      </c>
      <c r="I2665" s="10" t="str">
        <f>IF(H2665="T54",1,IF(H2665="T54",3,IF(H2665="T70",6,IF(H2665="T70",10,IF(H2665="T102",14,IF(H2665="T102",18,IF(H2665="T70",22,"")))))))</f>
        <v/>
      </c>
      <c r="J2665" s="1" t="s">
        <v>1808</v>
      </c>
      <c r="K2665" s="10">
        <v>1</v>
      </c>
      <c r="L2665" s="10">
        <v>1</v>
      </c>
      <c r="O2665" s="6"/>
      <c r="Q2665" s="42" t="s">
        <v>5682</v>
      </c>
      <c r="R2665" s="42"/>
      <c r="S2665" s="1"/>
    </row>
    <row r="2666" spans="1:19" ht="18.75" hidden="1" customHeight="1" x14ac:dyDescent="0.3">
      <c r="A2666" s="10">
        <v>2665</v>
      </c>
      <c r="B2666" s="10">
        <f>_xlfn.XLOOKUP(1,(VALUE(D2666)&gt;=VALUE(block!$C$3:$C$500))*(VALUE(D2666)&lt;VALUE(block!$C$3:$C$500)+VALUE(block!$D$3:$D$500)),block!$A$3:$A$500,"无匹配",0,1)</f>
        <v>70</v>
      </c>
      <c r="C2666" s="3" t="str">
        <f>B2666 &amp; "-" &amp; COUNTIF($B$2:B2666, B2666)</f>
        <v>70-1</v>
      </c>
      <c r="D2666" s="10">
        <v>20992</v>
      </c>
      <c r="E2666" s="3" t="s">
        <v>6762</v>
      </c>
      <c r="F2666" s="1" t="s">
        <v>6763</v>
      </c>
      <c r="G2666" s="1" t="s">
        <v>1811</v>
      </c>
      <c r="H2666" s="1" t="s">
        <v>1812</v>
      </c>
      <c r="I2666" s="10" t="str">
        <f>IF(H2666="T55",1,IF(H2666="T55",3,IF(H2666="T71",6,IF(H2666="T71",10,IF(H2666="T103",14,IF(H2666="T103",18,IF(H2666="T71",22,"")))))))</f>
        <v/>
      </c>
      <c r="J2666" s="1" t="s">
        <v>1808</v>
      </c>
      <c r="K2666" s="10">
        <v>2</v>
      </c>
      <c r="L2666" s="10">
        <v>1</v>
      </c>
      <c r="O2666" s="6"/>
      <c r="P2666" s="10">
        <v>6</v>
      </c>
      <c r="Q2666" s="42" t="s">
        <v>6764</v>
      </c>
      <c r="R2666" s="42"/>
      <c r="S2666" s="1"/>
    </row>
    <row r="2667" spans="1:19" ht="18.75" hidden="1" customHeight="1" x14ac:dyDescent="0.3">
      <c r="A2667" s="10">
        <v>2666</v>
      </c>
      <c r="B2667" s="10">
        <f>_xlfn.XLOOKUP(1,(VALUE(D2667)&gt;=VALUE(block!$C$3:$C$500))*(VALUE(D2667)&lt;VALUE(block!$C$3:$C$500)+VALUE(block!$D$3:$D$500)),block!$A$3:$A$500,"无匹配",0,1)</f>
        <v>70</v>
      </c>
      <c r="C2667" s="3" t="str">
        <f>B2667 &amp; "-" &amp; COUNTIF($B$2:B2667, B2667)</f>
        <v>70-2</v>
      </c>
      <c r="D2667" s="10">
        <v>20994</v>
      </c>
      <c r="E2667" s="3" t="s">
        <v>6765</v>
      </c>
      <c r="F2667" s="1" t="s">
        <v>6766</v>
      </c>
      <c r="H2667" s="3" t="s">
        <v>6767</v>
      </c>
      <c r="I2667" s="10" t="str">
        <f>IF(H2667="T56",1,IF(H2667="T56",3,IF(H2667="T72",6,IF(H2667="T72",10,IF(H2667="T104",14,IF(H2667="T104",18,IF(H2667="T72",22,"")))))))</f>
        <v/>
      </c>
      <c r="J2667" s="1" t="s">
        <v>1808</v>
      </c>
      <c r="K2667" s="10">
        <v>4</v>
      </c>
      <c r="L2667" s="10">
        <v>1</v>
      </c>
      <c r="O2667" s="6"/>
      <c r="Q2667" s="42" t="s">
        <v>6764</v>
      </c>
      <c r="R2667" s="42"/>
      <c r="S2667" s="1"/>
    </row>
    <row r="2668" spans="1:19" ht="18.75" hidden="1" customHeight="1" x14ac:dyDescent="0.3">
      <c r="A2668" s="10">
        <v>2667</v>
      </c>
      <c r="B2668" s="10">
        <f>_xlfn.XLOOKUP(1,(VALUE(D2668)&gt;=VALUE(block!$C$3:$C$500))*(VALUE(D2668)&lt;VALUE(block!$C$3:$C$500)+VALUE(block!$D$3:$D$500)),block!$A$3:$A$500,"无匹配",0,1)</f>
        <v>70</v>
      </c>
      <c r="C2668" s="3" t="str">
        <f>B2668 &amp; "-" &amp; COUNTIF($B$2:B2668, B2668)</f>
        <v>70-3</v>
      </c>
      <c r="D2668" s="10">
        <v>20998</v>
      </c>
      <c r="E2668" s="1" t="s">
        <v>6768</v>
      </c>
      <c r="F2668" s="1" t="s">
        <v>6769</v>
      </c>
      <c r="G2668" s="1" t="s">
        <v>1816</v>
      </c>
      <c r="H2668" s="1" t="s">
        <v>1812</v>
      </c>
      <c r="I2668" s="10" t="str">
        <f>IF(H2668="T57",1,IF(H2668="T57",3,IF(H2668="T73",6,IF(H2668="T73",10,IF(H2668="T105",14,IF(H2668="T105",18,IF(H2668="T73",22,"")))))))</f>
        <v/>
      </c>
      <c r="J2668" s="1" t="s">
        <v>1808</v>
      </c>
      <c r="K2668" s="10">
        <v>2</v>
      </c>
      <c r="L2668" s="10">
        <v>1</v>
      </c>
      <c r="O2668" s="6"/>
      <c r="P2668" s="10">
        <v>6</v>
      </c>
      <c r="Q2668" s="42" t="s">
        <v>6764</v>
      </c>
      <c r="R2668" s="42"/>
      <c r="S2668" s="1"/>
    </row>
    <row r="2669" spans="1:19" ht="18.75" hidden="1" customHeight="1" x14ac:dyDescent="0.3">
      <c r="A2669" s="10">
        <v>2668</v>
      </c>
      <c r="B2669" s="10">
        <f>_xlfn.XLOOKUP(1,(VALUE(D2669)&gt;=VALUE(block!$C$3:$C$500))*(VALUE(D2669)&lt;VALUE(block!$C$3:$C$500)+VALUE(block!$D$3:$D$500)),block!$A$3:$A$500,"无匹配",0,1)</f>
        <v>70</v>
      </c>
      <c r="C2669" s="3" t="str">
        <f>B2669 &amp; "-" &amp; COUNTIF($B$2:B2669, B2669)</f>
        <v>70-4</v>
      </c>
      <c r="D2669" s="10">
        <v>21000</v>
      </c>
      <c r="E2669" s="1" t="s">
        <v>6770</v>
      </c>
      <c r="F2669" s="1" t="s">
        <v>6771</v>
      </c>
      <c r="H2669" s="3" t="s">
        <v>6767</v>
      </c>
      <c r="I2669" s="10" t="str">
        <f>IF(H2669="T58",1,IF(H2669="T58",3,IF(H2669="T74",6,IF(H2669="T74",10,IF(H2669="T106",14,IF(H2669="T106",18,IF(H2669="T74",22,"")))))))</f>
        <v/>
      </c>
      <c r="J2669" s="1" t="s">
        <v>1808</v>
      </c>
      <c r="K2669" s="10">
        <v>4</v>
      </c>
      <c r="L2669" s="10">
        <v>1</v>
      </c>
      <c r="O2669" s="6"/>
      <c r="Q2669" s="42" t="s">
        <v>6764</v>
      </c>
      <c r="R2669" s="42"/>
      <c r="S2669" s="1"/>
    </row>
    <row r="2670" spans="1:19" ht="18.75" hidden="1" customHeight="1" x14ac:dyDescent="0.3">
      <c r="A2670" s="10">
        <v>2669</v>
      </c>
      <c r="B2670" s="10">
        <f>_xlfn.XLOOKUP(1,(VALUE(D2670)&gt;=VALUE(block!$C$3:$C$500))*(VALUE(D2670)&lt;VALUE(block!$C$3:$C$500)+VALUE(block!$D$3:$D$500)),block!$A$3:$A$500,"无匹配",0,1)</f>
        <v>70</v>
      </c>
      <c r="C2670" s="3" t="str">
        <f>B2670 &amp; "-" &amp; COUNTIF($B$2:B2670, B2670)</f>
        <v>70-5</v>
      </c>
      <c r="D2670" s="10">
        <v>21004</v>
      </c>
      <c r="E2670" s="1" t="s">
        <v>6772</v>
      </c>
      <c r="F2670" s="1" t="s">
        <v>6773</v>
      </c>
      <c r="G2670" s="1" t="s">
        <v>1816</v>
      </c>
      <c r="H2670" s="1" t="s">
        <v>1812</v>
      </c>
      <c r="I2670" s="10" t="str">
        <f>IF(H2670="T59",1,IF(H2670="T59",3,IF(H2670="T75",6,IF(H2670="T75",10,IF(H2670="T107",14,IF(H2670="T107",18,IF(H2670="T75",22,"")))))))</f>
        <v/>
      </c>
      <c r="J2670" s="1" t="s">
        <v>1808</v>
      </c>
      <c r="K2670" s="10">
        <v>2</v>
      </c>
      <c r="L2670" s="10">
        <v>1</v>
      </c>
      <c r="O2670" s="6"/>
      <c r="P2670" s="10">
        <v>6</v>
      </c>
      <c r="Q2670" s="42" t="s">
        <v>6764</v>
      </c>
      <c r="R2670" s="42"/>
      <c r="S2670" s="1"/>
    </row>
    <row r="2671" spans="1:19" ht="18.75" hidden="1" customHeight="1" x14ac:dyDescent="0.3">
      <c r="A2671" s="10">
        <v>2670</v>
      </c>
      <c r="B2671" s="10">
        <f>_xlfn.XLOOKUP(1,(VALUE(D2671)&gt;=VALUE(block!$C$3:$C$500))*(VALUE(D2671)&lt;VALUE(block!$C$3:$C$500)+VALUE(block!$D$3:$D$500)),block!$A$3:$A$500,"无匹配",0,1)</f>
        <v>70</v>
      </c>
      <c r="C2671" s="3" t="str">
        <f>B2671 &amp; "-" &amp; COUNTIF($B$2:B2671, B2671)</f>
        <v>70-6</v>
      </c>
      <c r="D2671" s="10">
        <v>21006</v>
      </c>
      <c r="E2671" s="1" t="s">
        <v>6774</v>
      </c>
      <c r="F2671" s="1" t="s">
        <v>6775</v>
      </c>
      <c r="H2671" s="3" t="s">
        <v>6767</v>
      </c>
      <c r="I2671" s="10" t="str">
        <f>IF(H2671="T60",1,IF(H2671="T60",3,IF(H2671="T76",6,IF(H2671="T76",10,IF(H2671="T108",14,IF(H2671="T108",18,IF(H2671="T76",22,"")))))))</f>
        <v/>
      </c>
      <c r="J2671" s="1" t="s">
        <v>1808</v>
      </c>
      <c r="K2671" s="10">
        <v>4</v>
      </c>
      <c r="L2671" s="10">
        <v>1</v>
      </c>
      <c r="O2671" s="6"/>
      <c r="Q2671" s="42" t="s">
        <v>6764</v>
      </c>
      <c r="R2671" s="42"/>
      <c r="S2671" s="1"/>
    </row>
    <row r="2672" spans="1:19" ht="18.75" hidden="1" customHeight="1" x14ac:dyDescent="0.3">
      <c r="A2672" s="10">
        <v>2671</v>
      </c>
      <c r="B2672" s="10">
        <f>_xlfn.XLOOKUP(1,(VALUE(D2672)&gt;=VALUE(block!$C$3:$C$500))*(VALUE(D2672)&lt;VALUE(block!$C$3:$C$500)+VALUE(block!$D$3:$D$500)),block!$A$3:$A$500,"无匹配",0,1)</f>
        <v>70</v>
      </c>
      <c r="C2672" s="3" t="str">
        <f>B2672 &amp; "-" &amp; COUNTIF($B$2:B2672, B2672)</f>
        <v>70-7</v>
      </c>
      <c r="D2672" s="10">
        <v>21010</v>
      </c>
      <c r="E2672" s="1" t="s">
        <v>6776</v>
      </c>
      <c r="F2672" s="1" t="s">
        <v>6777</v>
      </c>
      <c r="G2672" s="1" t="s">
        <v>1816</v>
      </c>
      <c r="H2672" s="1" t="s">
        <v>1812</v>
      </c>
      <c r="I2672" s="10" t="str">
        <f>IF(H2672="T61",1,IF(H2672="T61",3,IF(H2672="T77",6,IF(H2672="T77",10,IF(H2672="T109",14,IF(H2672="T109",18,IF(H2672="T77",22,"")))))))</f>
        <v/>
      </c>
      <c r="J2672" s="1" t="s">
        <v>1808</v>
      </c>
      <c r="K2672" s="10">
        <v>2</v>
      </c>
      <c r="L2672" s="10">
        <v>1</v>
      </c>
      <c r="O2672" s="6"/>
      <c r="P2672" s="10">
        <v>6</v>
      </c>
      <c r="Q2672" s="42" t="s">
        <v>6764</v>
      </c>
      <c r="R2672" s="42"/>
      <c r="S2672" s="1"/>
    </row>
    <row r="2673" spans="1:19" ht="18.75" hidden="1" customHeight="1" x14ac:dyDescent="0.3">
      <c r="A2673" s="10">
        <v>2672</v>
      </c>
      <c r="B2673" s="10">
        <f>_xlfn.XLOOKUP(1,(VALUE(D2673)&gt;=VALUE(block!$C$3:$C$500))*(VALUE(D2673)&lt;VALUE(block!$C$3:$C$500)+VALUE(block!$D$3:$D$500)),block!$A$3:$A$500,"无匹配",0,1)</f>
        <v>70</v>
      </c>
      <c r="C2673" s="3" t="str">
        <f>B2673 &amp; "-" &amp; COUNTIF($B$2:B2673, B2673)</f>
        <v>70-8</v>
      </c>
      <c r="D2673" s="10">
        <v>21012</v>
      </c>
      <c r="E2673" s="1" t="s">
        <v>6778</v>
      </c>
      <c r="F2673" s="1" t="s">
        <v>6779</v>
      </c>
      <c r="H2673" s="3" t="s">
        <v>6767</v>
      </c>
      <c r="I2673" s="10" t="str">
        <f>IF(H2673="T62",1,IF(H2673="T62",3,IF(H2673="T78",6,IF(H2673="T78",10,IF(H2673="T110",14,IF(H2673="T110",18,IF(H2673="T78",22,"")))))))</f>
        <v/>
      </c>
      <c r="J2673" s="1" t="s">
        <v>1808</v>
      </c>
      <c r="K2673" s="10">
        <v>4</v>
      </c>
      <c r="L2673" s="10">
        <v>1</v>
      </c>
      <c r="O2673" s="6"/>
      <c r="Q2673" s="42" t="s">
        <v>6764</v>
      </c>
      <c r="R2673" s="42"/>
      <c r="S2673" s="1"/>
    </row>
    <row r="2674" spans="1:19" ht="18.75" hidden="1" customHeight="1" x14ac:dyDescent="0.3">
      <c r="A2674" s="10">
        <v>2673</v>
      </c>
      <c r="B2674" s="10">
        <f>_xlfn.XLOOKUP(1,(VALUE(D2674)&gt;=VALUE(block!$C$3:$C$500))*(VALUE(D2674)&lt;VALUE(block!$C$3:$C$500)+VALUE(block!$D$3:$D$500)),block!$A$3:$A$500,"无匹配",0,1)</f>
        <v>70</v>
      </c>
      <c r="C2674" s="3" t="str">
        <f>B2674 &amp; "-" &amp; COUNTIF($B$2:B2674, B2674)</f>
        <v>70-9</v>
      </c>
      <c r="D2674" s="10">
        <v>21016</v>
      </c>
      <c r="E2674" s="1" t="s">
        <v>6780</v>
      </c>
      <c r="F2674" s="1" t="s">
        <v>6781</v>
      </c>
      <c r="G2674" s="1" t="s">
        <v>1816</v>
      </c>
      <c r="H2674" s="1" t="s">
        <v>1812</v>
      </c>
      <c r="I2674" s="10" t="str">
        <f>IF(H2674="T63",1,IF(H2674="T63",3,IF(H2674="T79",6,IF(H2674="T79",10,IF(H2674="T111",14,IF(H2674="T111",18,IF(H2674="T79",22,"")))))))</f>
        <v/>
      </c>
      <c r="J2674" s="1" t="s">
        <v>1808</v>
      </c>
      <c r="K2674" s="10">
        <v>2</v>
      </c>
      <c r="L2674" s="10">
        <v>1</v>
      </c>
      <c r="O2674" s="6"/>
      <c r="P2674" s="10">
        <v>6</v>
      </c>
      <c r="Q2674" s="42" t="s">
        <v>6764</v>
      </c>
      <c r="R2674" s="42"/>
      <c r="S2674" s="1"/>
    </row>
    <row r="2675" spans="1:19" ht="18.75" hidden="1" customHeight="1" x14ac:dyDescent="0.3">
      <c r="A2675" s="10">
        <v>2674</v>
      </c>
      <c r="B2675" s="10">
        <f>_xlfn.XLOOKUP(1,(VALUE(D2675)&gt;=VALUE(block!$C$3:$C$500))*(VALUE(D2675)&lt;VALUE(block!$C$3:$C$500)+VALUE(block!$D$3:$D$500)),block!$A$3:$A$500,"无匹配",0,1)</f>
        <v>70</v>
      </c>
      <c r="C2675" s="3" t="str">
        <f>B2675 &amp; "-" &amp; COUNTIF($B$2:B2675, B2675)</f>
        <v>70-10</v>
      </c>
      <c r="D2675" s="10">
        <v>21018</v>
      </c>
      <c r="E2675" s="1" t="s">
        <v>6782</v>
      </c>
      <c r="F2675" s="1" t="s">
        <v>6783</v>
      </c>
      <c r="H2675" s="3" t="s">
        <v>6767</v>
      </c>
      <c r="I2675" s="10" t="str">
        <f>IF(H2675="T64",1,IF(H2675="T64",3,IF(H2675="T80",6,IF(H2675="T80",10,IF(H2675="T112",14,IF(H2675="T112",18,IF(H2675="T80",22,"")))))))</f>
        <v/>
      </c>
      <c r="J2675" s="1" t="s">
        <v>1808</v>
      </c>
      <c r="K2675" s="10">
        <v>4</v>
      </c>
      <c r="L2675" s="10">
        <v>1</v>
      </c>
      <c r="O2675" s="6"/>
      <c r="Q2675" s="42" t="s">
        <v>6764</v>
      </c>
      <c r="R2675" s="42"/>
      <c r="S2675" s="1"/>
    </row>
    <row r="2676" spans="1:19" ht="18.75" hidden="1" customHeight="1" x14ac:dyDescent="0.3">
      <c r="A2676" s="10">
        <v>2675</v>
      </c>
      <c r="B2676" s="10">
        <f>_xlfn.XLOOKUP(1,(VALUE(D2676)&gt;=VALUE(block!$C$3:$C$500))*(VALUE(D2676)&lt;VALUE(block!$C$3:$C$500)+VALUE(block!$D$3:$D$500)),block!$A$3:$A$500,"无匹配",0,1)</f>
        <v>70</v>
      </c>
      <c r="C2676" s="3" t="str">
        <f>B2676 &amp; "-" &amp; COUNTIF($B$2:B2676, B2676)</f>
        <v>70-11</v>
      </c>
      <c r="D2676" s="10">
        <v>21022</v>
      </c>
      <c r="E2676" s="1" t="s">
        <v>6784</v>
      </c>
      <c r="F2676" s="1" t="s">
        <v>6785</v>
      </c>
      <c r="G2676" s="1" t="s">
        <v>1816</v>
      </c>
      <c r="H2676" s="1" t="s">
        <v>1812</v>
      </c>
      <c r="I2676" s="10" t="str">
        <f>IF(H2676="T65",1,IF(H2676="T65",3,IF(H2676="T81",6,IF(H2676="T81",10,IF(H2676="T113",14,IF(H2676="T113",18,IF(H2676="T81",22,"")))))))</f>
        <v/>
      </c>
      <c r="J2676" s="1" t="s">
        <v>1808</v>
      </c>
      <c r="K2676" s="10">
        <v>2</v>
      </c>
      <c r="L2676" s="10">
        <v>1</v>
      </c>
      <c r="O2676" s="6"/>
      <c r="P2676" s="10">
        <v>6</v>
      </c>
      <c r="Q2676" s="42" t="s">
        <v>6764</v>
      </c>
      <c r="R2676" s="42"/>
      <c r="S2676" s="1"/>
    </row>
    <row r="2677" spans="1:19" ht="18.75" hidden="1" customHeight="1" x14ac:dyDescent="0.3">
      <c r="A2677" s="10">
        <v>2676</v>
      </c>
      <c r="B2677" s="10">
        <f>_xlfn.XLOOKUP(1,(VALUE(D2677)&gt;=VALUE(block!$C$3:$C$500))*(VALUE(D2677)&lt;VALUE(block!$C$3:$C$500)+VALUE(block!$D$3:$D$500)),block!$A$3:$A$500,"无匹配",0,1)</f>
        <v>70</v>
      </c>
      <c r="C2677" s="3" t="str">
        <f>B2677 &amp; "-" &amp; COUNTIF($B$2:B2677, B2677)</f>
        <v>70-12</v>
      </c>
      <c r="D2677" s="10">
        <v>21024</v>
      </c>
      <c r="E2677" s="1" t="s">
        <v>6786</v>
      </c>
      <c r="F2677" s="1" t="s">
        <v>6787</v>
      </c>
      <c r="H2677" s="3" t="s">
        <v>6767</v>
      </c>
      <c r="I2677" s="10" t="str">
        <f>IF(H2677="T66",1,IF(H2677="T66",3,IF(H2677="T82",6,IF(H2677="T82",10,IF(H2677="T114",14,IF(H2677="T114",18,IF(H2677="T82",22,"")))))))</f>
        <v/>
      </c>
      <c r="J2677" s="1" t="s">
        <v>1808</v>
      </c>
      <c r="K2677" s="10">
        <v>4</v>
      </c>
      <c r="L2677" s="10">
        <v>1</v>
      </c>
      <c r="O2677" s="6"/>
      <c r="Q2677" s="42" t="s">
        <v>6764</v>
      </c>
      <c r="R2677" s="42"/>
      <c r="S2677" s="1"/>
    </row>
    <row r="2678" spans="1:19" ht="18.75" hidden="1" customHeight="1" x14ac:dyDescent="0.3">
      <c r="A2678" s="10">
        <v>2677</v>
      </c>
      <c r="B2678" s="10">
        <f>_xlfn.XLOOKUP(1,(VALUE(D2678)&gt;=VALUE(block!$C$3:$C$500))*(VALUE(D2678)&lt;VALUE(block!$C$3:$C$500)+VALUE(block!$D$3:$D$500)),block!$A$3:$A$500,"无匹配",0,1)</f>
        <v>70</v>
      </c>
      <c r="C2678" s="3" t="str">
        <f>B2678 &amp; "-" &amp; COUNTIF($B$2:B2678, B2678)</f>
        <v>70-13</v>
      </c>
      <c r="D2678" s="10">
        <v>21028</v>
      </c>
      <c r="E2678" s="1" t="s">
        <v>6788</v>
      </c>
      <c r="F2678" s="1" t="s">
        <v>6789</v>
      </c>
      <c r="G2678" s="1" t="s">
        <v>1816</v>
      </c>
      <c r="H2678" s="1" t="s">
        <v>1812</v>
      </c>
      <c r="I2678" s="10" t="str">
        <f>IF(H2678="T67",1,IF(H2678="T67",3,IF(H2678="T83",6,IF(H2678="T83",10,IF(H2678="T115",14,IF(H2678="T115",18,IF(H2678="T83",22,"")))))))</f>
        <v/>
      </c>
      <c r="J2678" s="1" t="s">
        <v>1808</v>
      </c>
      <c r="K2678" s="10">
        <v>2</v>
      </c>
      <c r="L2678" s="10">
        <v>1</v>
      </c>
      <c r="O2678" s="6"/>
      <c r="P2678" s="10">
        <v>6</v>
      </c>
      <c r="Q2678" s="42" t="s">
        <v>6764</v>
      </c>
      <c r="R2678" s="42"/>
      <c r="S2678" s="1"/>
    </row>
    <row r="2679" spans="1:19" ht="18.75" hidden="1" customHeight="1" x14ac:dyDescent="0.3">
      <c r="A2679" s="10">
        <v>2678</v>
      </c>
      <c r="B2679" s="10">
        <f>_xlfn.XLOOKUP(1,(VALUE(D2679)&gt;=VALUE(block!$C$3:$C$500))*(VALUE(D2679)&lt;VALUE(block!$C$3:$C$500)+VALUE(block!$D$3:$D$500)),block!$A$3:$A$500,"无匹配",0,1)</f>
        <v>70</v>
      </c>
      <c r="C2679" s="3" t="str">
        <f>B2679 &amp; "-" &amp; COUNTIF($B$2:B2679, B2679)</f>
        <v>70-14</v>
      </c>
      <c r="D2679" s="10">
        <v>21030</v>
      </c>
      <c r="E2679" s="1" t="s">
        <v>6790</v>
      </c>
      <c r="F2679" s="1" t="s">
        <v>6791</v>
      </c>
      <c r="H2679" s="3" t="s">
        <v>6767</v>
      </c>
      <c r="I2679" s="10" t="str">
        <f>IF(H2679="T68",1,IF(H2679="T68",3,IF(H2679="T84",6,IF(H2679="T84",10,IF(H2679="T116",14,IF(H2679="T116",18,IF(H2679="T84",22,"")))))))</f>
        <v/>
      </c>
      <c r="J2679" s="1" t="s">
        <v>1808</v>
      </c>
      <c r="K2679" s="10">
        <v>4</v>
      </c>
      <c r="L2679" s="10">
        <v>1</v>
      </c>
      <c r="O2679" s="6"/>
      <c r="Q2679" s="42" t="s">
        <v>6764</v>
      </c>
      <c r="R2679" s="42"/>
      <c r="S2679" s="1"/>
    </row>
    <row r="2680" spans="1:19" ht="18.75" hidden="1" customHeight="1" x14ac:dyDescent="0.3">
      <c r="A2680" s="10">
        <v>2679</v>
      </c>
      <c r="B2680" s="10">
        <f>_xlfn.XLOOKUP(1,(VALUE(D2680)&gt;=VALUE(block!$C$3:$C$500))*(VALUE(D2680)&lt;VALUE(block!$C$3:$C$500)+VALUE(block!$D$3:$D$500)),block!$A$3:$A$500,"无匹配",0,1)</f>
        <v>71</v>
      </c>
      <c r="C2680" s="3" t="str">
        <f>B2680 &amp; "-" &amp; COUNTIF($B$2:B2680, B2680)</f>
        <v>71-1</v>
      </c>
      <c r="D2680" s="10">
        <v>21034</v>
      </c>
      <c r="E2680" s="1" t="s">
        <v>6792</v>
      </c>
      <c r="F2680" s="1" t="s">
        <v>6793</v>
      </c>
      <c r="G2680" s="1" t="s">
        <v>1830</v>
      </c>
      <c r="H2680" s="1" t="s">
        <v>1812</v>
      </c>
      <c r="I2680" s="10" t="str">
        <f>IF(H2680="T69",1,IF(H2680="T69",3,IF(H2680="T85",6,IF(H2680="T85",10,IF(H2680="T117",14,IF(H2680="T117",18,IF(H2680="T85",22,"")))))))</f>
        <v/>
      </c>
      <c r="J2680" s="1" t="s">
        <v>1808</v>
      </c>
      <c r="K2680" s="10">
        <v>2</v>
      </c>
      <c r="L2680" s="10">
        <v>1</v>
      </c>
      <c r="O2680" s="6"/>
      <c r="P2680" s="10">
        <v>6</v>
      </c>
      <c r="Q2680" s="42" t="s">
        <v>6764</v>
      </c>
      <c r="R2680" s="42"/>
      <c r="S2680" s="1"/>
    </row>
    <row r="2681" spans="1:19" ht="18.75" hidden="1" customHeight="1" x14ac:dyDescent="0.3">
      <c r="A2681" s="10">
        <v>2680</v>
      </c>
      <c r="B2681" s="10">
        <f>_xlfn.XLOOKUP(1,(VALUE(D2681)&gt;=VALUE(block!$C$3:$C$500))*(VALUE(D2681)&lt;VALUE(block!$C$3:$C$500)+VALUE(block!$D$3:$D$500)),block!$A$3:$A$500,"无匹配",0,1)</f>
        <v>71</v>
      </c>
      <c r="C2681" s="3" t="str">
        <f>B2681 &amp; "-" &amp; COUNTIF($B$2:B2681, B2681)</f>
        <v>71-2</v>
      </c>
      <c r="D2681" s="10">
        <v>21036</v>
      </c>
      <c r="E2681" s="1" t="s">
        <v>6794</v>
      </c>
      <c r="F2681" s="1" t="s">
        <v>6795</v>
      </c>
      <c r="H2681" s="3" t="s">
        <v>6767</v>
      </c>
      <c r="I2681" s="10" t="str">
        <f>IF(H2681="T70",1,IF(H2681="T70",3,IF(H2681="T86",6,IF(H2681="T86",10,IF(H2681="T118",14,IF(H2681="T118",18,IF(H2681="T86",22,"")))))))</f>
        <v/>
      </c>
      <c r="J2681" s="1" t="s">
        <v>1808</v>
      </c>
      <c r="K2681" s="10">
        <v>4</v>
      </c>
      <c r="L2681" s="10">
        <v>1</v>
      </c>
      <c r="O2681" s="6"/>
      <c r="Q2681" s="42" t="s">
        <v>6764</v>
      </c>
      <c r="R2681" s="42"/>
      <c r="S2681" s="1"/>
    </row>
    <row r="2682" spans="1:19" ht="18.75" hidden="1" customHeight="1" x14ac:dyDescent="0.3">
      <c r="A2682" s="10">
        <v>2681</v>
      </c>
      <c r="B2682" s="10">
        <f>_xlfn.XLOOKUP(1,(VALUE(D2682)&gt;=VALUE(block!$C$3:$C$500))*(VALUE(D2682)&lt;VALUE(block!$C$3:$C$500)+VALUE(block!$D$3:$D$500)),block!$A$3:$A$500,"无匹配",0,1)</f>
        <v>71</v>
      </c>
      <c r="C2682" s="3" t="str">
        <f>B2682 &amp; "-" &amp; COUNTIF($B$2:B2682, B2682)</f>
        <v>71-3</v>
      </c>
      <c r="D2682" s="10">
        <v>21040</v>
      </c>
      <c r="E2682" s="1" t="s">
        <v>6796</v>
      </c>
      <c r="F2682" s="1" t="s">
        <v>6797</v>
      </c>
      <c r="G2682" s="1" t="s">
        <v>1832</v>
      </c>
      <c r="H2682" s="1" t="s">
        <v>1812</v>
      </c>
      <c r="I2682" s="10" t="str">
        <f>IF(H2682="T71",1,IF(H2682="T71",3,IF(H2682="T87",6,IF(H2682="T87",10,IF(H2682="T119",14,IF(H2682="T119",18,IF(H2682="T87",22,"")))))))</f>
        <v/>
      </c>
      <c r="J2682" s="1" t="s">
        <v>1808</v>
      </c>
      <c r="K2682" s="10">
        <v>2</v>
      </c>
      <c r="L2682" s="10">
        <v>1</v>
      </c>
      <c r="O2682" s="6"/>
      <c r="P2682" s="10">
        <v>6</v>
      </c>
      <c r="Q2682" s="42" t="s">
        <v>6764</v>
      </c>
      <c r="R2682" s="42"/>
      <c r="S2682" s="1"/>
    </row>
    <row r="2683" spans="1:19" ht="18.75" hidden="1" customHeight="1" x14ac:dyDescent="0.3">
      <c r="A2683" s="10">
        <v>2682</v>
      </c>
      <c r="B2683" s="10">
        <f>_xlfn.XLOOKUP(1,(VALUE(D2683)&gt;=VALUE(block!$C$3:$C$500))*(VALUE(D2683)&lt;VALUE(block!$C$3:$C$500)+VALUE(block!$D$3:$D$500)),block!$A$3:$A$500,"无匹配",0,1)</f>
        <v>71</v>
      </c>
      <c r="C2683" s="3" t="str">
        <f>B2683 &amp; "-" &amp; COUNTIF($B$2:B2683, B2683)</f>
        <v>71-4</v>
      </c>
      <c r="D2683" s="10">
        <v>21042</v>
      </c>
      <c r="E2683" s="1" t="s">
        <v>6798</v>
      </c>
      <c r="F2683" s="1" t="s">
        <v>6799</v>
      </c>
      <c r="H2683" s="3" t="s">
        <v>6767</v>
      </c>
      <c r="I2683" s="10" t="str">
        <f>IF(H2683="T72",1,IF(H2683="T72",3,IF(H2683="T88",6,IF(H2683="T88",10,IF(H2683="T120",14,IF(H2683="T120",18,IF(H2683="T88",22,"")))))))</f>
        <v/>
      </c>
      <c r="J2683" s="1" t="s">
        <v>1808</v>
      </c>
      <c r="K2683" s="10">
        <v>4</v>
      </c>
      <c r="L2683" s="10">
        <v>1</v>
      </c>
      <c r="O2683" s="6"/>
      <c r="Q2683" s="42" t="s">
        <v>6764</v>
      </c>
      <c r="R2683" s="42"/>
      <c r="S2683" s="1"/>
    </row>
    <row r="2684" spans="1:19" ht="18.75" hidden="1" customHeight="1" x14ac:dyDescent="0.3">
      <c r="A2684" s="10">
        <v>2683</v>
      </c>
      <c r="B2684" s="10">
        <f>_xlfn.XLOOKUP(1,(VALUE(D2684)&gt;=VALUE(block!$C$3:$C$500))*(VALUE(D2684)&lt;VALUE(block!$C$3:$C$500)+VALUE(block!$D$3:$D$500)),block!$A$3:$A$500,"无匹配",0,1)</f>
        <v>71</v>
      </c>
      <c r="C2684" s="3" t="str">
        <f>B2684 &amp; "-" &amp; COUNTIF($B$2:B2684, B2684)</f>
        <v>71-5</v>
      </c>
      <c r="D2684" s="10">
        <v>21046</v>
      </c>
      <c r="E2684" s="1" t="s">
        <v>6800</v>
      </c>
      <c r="F2684" s="1" t="s">
        <v>6801</v>
      </c>
      <c r="G2684" s="1" t="s">
        <v>1834</v>
      </c>
      <c r="H2684" s="1" t="s">
        <v>1812</v>
      </c>
      <c r="I2684" s="10" t="str">
        <f>IF(H2684="T73",1,IF(H2684="T73",3,IF(H2684="T89",6,IF(H2684="T89",10,IF(H2684="T121",14,IF(H2684="T121",18,IF(H2684="T89",22,"")))))))</f>
        <v/>
      </c>
      <c r="J2684" s="1" t="s">
        <v>1808</v>
      </c>
      <c r="K2684" s="10">
        <v>2</v>
      </c>
      <c r="L2684" s="10">
        <v>1</v>
      </c>
      <c r="O2684" s="6"/>
      <c r="P2684" s="10">
        <v>6</v>
      </c>
      <c r="Q2684" s="42" t="s">
        <v>6764</v>
      </c>
      <c r="R2684" s="42"/>
      <c r="S2684" s="1"/>
    </row>
    <row r="2685" spans="1:19" ht="18.75" hidden="1" customHeight="1" x14ac:dyDescent="0.3">
      <c r="A2685" s="10">
        <v>2684</v>
      </c>
      <c r="B2685" s="10">
        <f>_xlfn.XLOOKUP(1,(VALUE(D2685)&gt;=VALUE(block!$C$3:$C$500))*(VALUE(D2685)&lt;VALUE(block!$C$3:$C$500)+VALUE(block!$D$3:$D$500)),block!$A$3:$A$500,"无匹配",0,1)</f>
        <v>71</v>
      </c>
      <c r="C2685" s="3" t="str">
        <f>B2685 &amp; "-" &amp; COUNTIF($B$2:B2685, B2685)</f>
        <v>71-6</v>
      </c>
      <c r="D2685" s="10">
        <v>21048</v>
      </c>
      <c r="E2685" s="1" t="s">
        <v>6802</v>
      </c>
      <c r="F2685" s="1" t="s">
        <v>6803</v>
      </c>
      <c r="H2685" s="3" t="s">
        <v>6767</v>
      </c>
      <c r="I2685" s="10" t="str">
        <f>IF(H2685="T74",1,IF(H2685="T74",3,IF(H2685="T90",6,IF(H2685="T90",10,IF(H2685="T122",14,IF(H2685="T122",18,IF(H2685="T90",22,"")))))))</f>
        <v/>
      </c>
      <c r="J2685" s="1" t="s">
        <v>1808</v>
      </c>
      <c r="K2685" s="10">
        <v>4</v>
      </c>
      <c r="L2685" s="10">
        <v>1</v>
      </c>
      <c r="O2685" s="6"/>
      <c r="Q2685" s="42" t="s">
        <v>6764</v>
      </c>
      <c r="R2685" s="42"/>
      <c r="S2685" s="1"/>
    </row>
    <row r="2686" spans="1:19" ht="18.75" hidden="1" customHeight="1" x14ac:dyDescent="0.3">
      <c r="A2686" s="10">
        <v>2685</v>
      </c>
      <c r="B2686" s="10">
        <f>_xlfn.XLOOKUP(1,(VALUE(D2686)&gt;=VALUE(block!$C$3:$C$500))*(VALUE(D2686)&lt;VALUE(block!$C$3:$C$500)+VALUE(block!$D$3:$D$500)),block!$A$3:$A$500,"无匹配",0,1)</f>
        <v>71</v>
      </c>
      <c r="C2686" s="3" t="str">
        <f>B2686 &amp; "-" &amp; COUNTIF($B$2:B2686, B2686)</f>
        <v>71-7</v>
      </c>
      <c r="D2686" s="10">
        <v>21052</v>
      </c>
      <c r="E2686" s="1" t="s">
        <v>6804</v>
      </c>
      <c r="F2686" s="1" t="s">
        <v>6805</v>
      </c>
      <c r="G2686" s="1" t="s">
        <v>1836</v>
      </c>
      <c r="H2686" s="1" t="s">
        <v>1812</v>
      </c>
      <c r="I2686" s="10" t="str">
        <f>IF(H2686="T75",1,IF(H2686="T75",3,IF(H2686="T91",6,IF(H2686="T91",10,IF(H2686="T123",14,IF(H2686="T123",18,IF(H2686="T91",22,"")))))))</f>
        <v/>
      </c>
      <c r="J2686" s="1" t="s">
        <v>1808</v>
      </c>
      <c r="K2686" s="10">
        <v>2</v>
      </c>
      <c r="L2686" s="10">
        <v>1</v>
      </c>
      <c r="O2686" s="6"/>
      <c r="P2686" s="10">
        <v>6</v>
      </c>
      <c r="Q2686" s="42" t="s">
        <v>6764</v>
      </c>
      <c r="R2686" s="42"/>
      <c r="S2686" s="1"/>
    </row>
    <row r="2687" spans="1:19" ht="18.75" hidden="1" customHeight="1" x14ac:dyDescent="0.3">
      <c r="A2687" s="10">
        <v>2686</v>
      </c>
      <c r="B2687" s="10">
        <f>_xlfn.XLOOKUP(1,(VALUE(D2687)&gt;=VALUE(block!$C$3:$C$500))*(VALUE(D2687)&lt;VALUE(block!$C$3:$C$500)+VALUE(block!$D$3:$D$500)),block!$A$3:$A$500,"无匹配",0,1)</f>
        <v>71</v>
      </c>
      <c r="C2687" s="3" t="str">
        <f>B2687 &amp; "-" &amp; COUNTIF($B$2:B2687, B2687)</f>
        <v>71-8</v>
      </c>
      <c r="D2687" s="10">
        <v>21054</v>
      </c>
      <c r="E2687" s="1" t="s">
        <v>6806</v>
      </c>
      <c r="F2687" s="1" t="s">
        <v>6807</v>
      </c>
      <c r="H2687" s="3" t="s">
        <v>6767</v>
      </c>
      <c r="I2687" s="10" t="str">
        <f>IF(H2687="T76",1,IF(H2687="T76",3,IF(H2687="T92",6,IF(H2687="T92",10,IF(H2687="T124",14,IF(H2687="T124",18,IF(H2687="T92",22,"")))))))</f>
        <v/>
      </c>
      <c r="J2687" s="1" t="s">
        <v>1808</v>
      </c>
      <c r="K2687" s="10">
        <v>4</v>
      </c>
      <c r="L2687" s="10">
        <v>1</v>
      </c>
      <c r="O2687" s="6"/>
      <c r="Q2687" s="42" t="s">
        <v>6764</v>
      </c>
      <c r="R2687" s="42"/>
      <c r="S2687" s="1"/>
    </row>
    <row r="2688" spans="1:19" ht="18.75" hidden="1" customHeight="1" x14ac:dyDescent="0.3">
      <c r="A2688" s="10">
        <v>2687</v>
      </c>
      <c r="B2688" s="10">
        <f>_xlfn.XLOOKUP(1,(VALUE(D2688)&gt;=VALUE(block!$C$3:$C$500))*(VALUE(D2688)&lt;VALUE(block!$C$3:$C$500)+VALUE(block!$D$3:$D$500)),block!$A$3:$A$500,"无匹配",0,1)</f>
        <v>71</v>
      </c>
      <c r="C2688" s="3" t="str">
        <f>B2688 &amp; "-" &amp; COUNTIF($B$2:B2688, B2688)</f>
        <v>71-9</v>
      </c>
      <c r="D2688" s="10">
        <v>21058</v>
      </c>
      <c r="E2688" s="1" t="s">
        <v>6808</v>
      </c>
      <c r="F2688" s="1" t="s">
        <v>6809</v>
      </c>
      <c r="G2688" s="1" t="s">
        <v>1840</v>
      </c>
      <c r="H2688" s="1" t="s">
        <v>1812</v>
      </c>
      <c r="I2688" s="10" t="str">
        <f>IF(H2688="T77",1,IF(H2688="T77",3,IF(H2688="T93",6,IF(H2688="T93",10,IF(H2688="T125",14,IF(H2688="T125",18,IF(H2688="T93",22,"")))))))</f>
        <v/>
      </c>
      <c r="J2688" s="1" t="s">
        <v>1808</v>
      </c>
      <c r="K2688" s="10">
        <v>2</v>
      </c>
      <c r="L2688" s="10">
        <v>1</v>
      </c>
      <c r="O2688" s="6"/>
      <c r="P2688" s="10">
        <v>6</v>
      </c>
      <c r="Q2688" s="42" t="s">
        <v>6764</v>
      </c>
      <c r="R2688" s="42"/>
      <c r="S2688" s="1"/>
    </row>
    <row r="2689" spans="1:19" ht="18.75" hidden="1" customHeight="1" x14ac:dyDescent="0.3">
      <c r="A2689" s="10">
        <v>2688</v>
      </c>
      <c r="B2689" s="10">
        <f>_xlfn.XLOOKUP(1,(VALUE(D2689)&gt;=VALUE(block!$C$3:$C$500))*(VALUE(D2689)&lt;VALUE(block!$C$3:$C$500)+VALUE(block!$D$3:$D$500)),block!$A$3:$A$500,"无匹配",0,1)</f>
        <v>71</v>
      </c>
      <c r="C2689" s="3" t="str">
        <f>B2689 &amp; "-" &amp; COUNTIF($B$2:B2689, B2689)</f>
        <v>71-10</v>
      </c>
      <c r="D2689" s="10">
        <v>21060</v>
      </c>
      <c r="E2689" s="1" t="s">
        <v>6810</v>
      </c>
      <c r="F2689" s="1" t="s">
        <v>6811</v>
      </c>
      <c r="H2689" s="3" t="s">
        <v>6767</v>
      </c>
      <c r="I2689" s="10" t="str">
        <f>IF(H2689="T78",1,IF(H2689="T78",3,IF(H2689="T94",6,IF(H2689="T94",10,IF(H2689="T126",14,IF(H2689="T126",18,IF(H2689="T94",22,"")))))))</f>
        <v/>
      </c>
      <c r="J2689" s="1" t="s">
        <v>1808</v>
      </c>
      <c r="K2689" s="10">
        <v>4</v>
      </c>
      <c r="L2689" s="10">
        <v>1</v>
      </c>
      <c r="O2689" s="6"/>
      <c r="Q2689" s="42" t="s">
        <v>6764</v>
      </c>
      <c r="R2689" s="42"/>
      <c r="S2689" s="1"/>
    </row>
    <row r="2690" spans="1:19" ht="18.75" hidden="1" customHeight="1" x14ac:dyDescent="0.3">
      <c r="A2690" s="10">
        <v>2689</v>
      </c>
      <c r="B2690" s="10">
        <f>_xlfn.XLOOKUP(1,(VALUE(D2690)&gt;=VALUE(block!$C$3:$C$500))*(VALUE(D2690)&lt;VALUE(block!$C$3:$C$500)+VALUE(block!$D$3:$D$500)),block!$A$3:$A$500,"无匹配",0,1)</f>
        <v>71</v>
      </c>
      <c r="C2690" s="3" t="str">
        <f>B2690 &amp; "-" &amp; COUNTIF($B$2:B2690, B2690)</f>
        <v>71-11</v>
      </c>
      <c r="D2690" s="10">
        <v>21064</v>
      </c>
      <c r="E2690" s="1" t="s">
        <v>6812</v>
      </c>
      <c r="F2690" s="1" t="s">
        <v>6813</v>
      </c>
      <c r="G2690" s="1" t="s">
        <v>1840</v>
      </c>
      <c r="H2690" s="1" t="s">
        <v>1812</v>
      </c>
      <c r="I2690" s="10" t="str">
        <f>IF(H2690="T79",1,IF(H2690="T79",3,IF(H2690="T95",6,IF(H2690="T95",10,IF(H2690="T127",14,IF(H2690="T127",18,IF(H2690="T95",22,"")))))))</f>
        <v/>
      </c>
      <c r="J2690" s="1" t="s">
        <v>1808</v>
      </c>
      <c r="K2690" s="10">
        <v>2</v>
      </c>
      <c r="L2690" s="10">
        <v>1</v>
      </c>
      <c r="O2690" s="6"/>
      <c r="P2690" s="10">
        <v>6</v>
      </c>
      <c r="Q2690" s="42" t="s">
        <v>6764</v>
      </c>
      <c r="R2690" s="42"/>
      <c r="S2690" s="1"/>
    </row>
    <row r="2691" spans="1:19" ht="18.75" hidden="1" customHeight="1" x14ac:dyDescent="0.3">
      <c r="A2691" s="10">
        <v>2690</v>
      </c>
      <c r="B2691" s="10">
        <f>_xlfn.XLOOKUP(1,(VALUE(D2691)&gt;=VALUE(block!$C$3:$C$500))*(VALUE(D2691)&lt;VALUE(block!$C$3:$C$500)+VALUE(block!$D$3:$D$500)),block!$A$3:$A$500,"无匹配",0,1)</f>
        <v>71</v>
      </c>
      <c r="C2691" s="3" t="str">
        <f>B2691 &amp; "-" &amp; COUNTIF($B$2:B2691, B2691)</f>
        <v>71-12</v>
      </c>
      <c r="D2691" s="10">
        <v>21066</v>
      </c>
      <c r="E2691" s="1" t="s">
        <v>6814</v>
      </c>
      <c r="F2691" s="1" t="s">
        <v>6815</v>
      </c>
      <c r="H2691" s="3" t="s">
        <v>6767</v>
      </c>
      <c r="I2691" s="10">
        <f>IF(H2691="uint16",1,IF(H2691="int16",3,IF(H2691="uint32",6,IF(H2691="int32",10,IF(H2691="uint64",14,IF(H2691="int64",18,IF(H2691="float32",22,"")))))))</f>
        <v>14</v>
      </c>
      <c r="J2691" s="1" t="s">
        <v>1808</v>
      </c>
      <c r="K2691" s="10">
        <v>4</v>
      </c>
      <c r="L2691" s="10">
        <v>1</v>
      </c>
      <c r="O2691" s="6"/>
      <c r="Q2691" s="42" t="s">
        <v>6764</v>
      </c>
      <c r="R2691" s="42"/>
      <c r="S2691" s="1"/>
    </row>
    <row r="2692" spans="1:19" ht="18.75" hidden="1" customHeight="1" x14ac:dyDescent="0.3">
      <c r="A2692" s="10">
        <v>2691</v>
      </c>
      <c r="B2692" s="10">
        <f>_xlfn.XLOOKUP(1,(VALUE(D2692)&gt;=VALUE(block!$C$3:$C$500))*(VALUE(D2692)&lt;VALUE(block!$C$3:$C$500)+VALUE(block!$D$3:$D$500)),block!$A$3:$A$500,"无匹配",0,1)</f>
        <v>71</v>
      </c>
      <c r="C2692" s="3" t="str">
        <f>B2692 &amp; "-" &amp; COUNTIF($B$2:B2692, B2692)</f>
        <v>71-13</v>
      </c>
      <c r="D2692" s="10">
        <v>21070</v>
      </c>
      <c r="E2692" s="1" t="s">
        <v>6816</v>
      </c>
      <c r="F2692" s="1" t="s">
        <v>6817</v>
      </c>
      <c r="G2692" s="1" t="s">
        <v>1830</v>
      </c>
      <c r="H2692" s="1" t="s">
        <v>1812</v>
      </c>
      <c r="I2692" s="10" t="str">
        <f>IF(H2692="T17",1,IF(H2692="T17",3,IF(H2692="T33",6,IF(H2692="T33",10,IF(H2692="T65",14,IF(H2692="T65",18,IF(H2692="T33",22,"")))))))</f>
        <v/>
      </c>
      <c r="J2692" s="1" t="s">
        <v>1808</v>
      </c>
      <c r="K2692" s="10">
        <v>2</v>
      </c>
      <c r="L2692" s="10">
        <v>1</v>
      </c>
      <c r="O2692" s="6"/>
      <c r="P2692" s="10">
        <v>6</v>
      </c>
      <c r="Q2692" s="42" t="s">
        <v>6764</v>
      </c>
      <c r="R2692" s="42"/>
      <c r="S2692" s="1"/>
    </row>
    <row r="2693" spans="1:19" ht="18.75" hidden="1" customHeight="1" x14ac:dyDescent="0.3">
      <c r="A2693" s="10">
        <v>2692</v>
      </c>
      <c r="B2693" s="10">
        <f>_xlfn.XLOOKUP(1,(VALUE(D2693)&gt;=VALUE(block!$C$3:$C$500))*(VALUE(D2693)&lt;VALUE(block!$C$3:$C$500)+VALUE(block!$D$3:$D$500)),block!$A$3:$A$500,"无匹配",0,1)</f>
        <v>71</v>
      </c>
      <c r="C2693" s="3" t="str">
        <f>B2693 &amp; "-" &amp; COUNTIF($B$2:B2693, B2693)</f>
        <v>71-14</v>
      </c>
      <c r="D2693" s="10">
        <v>21072</v>
      </c>
      <c r="E2693" s="1" t="s">
        <v>6818</v>
      </c>
      <c r="F2693" s="1" t="s">
        <v>6819</v>
      </c>
      <c r="H2693" s="3" t="s">
        <v>6767</v>
      </c>
      <c r="I2693" s="10" t="str">
        <f>IF(H2693="T18",1,IF(H2693="T18",3,IF(H2693="T34",6,IF(H2693="T34",10,IF(H2693="T66",14,IF(H2693="T66",18,IF(H2693="T34",22,"")))))))</f>
        <v/>
      </c>
      <c r="J2693" s="1" t="s">
        <v>1808</v>
      </c>
      <c r="K2693" s="10">
        <v>4</v>
      </c>
      <c r="L2693" s="10">
        <v>1</v>
      </c>
      <c r="O2693" s="6"/>
      <c r="Q2693" s="42" t="s">
        <v>6764</v>
      </c>
      <c r="R2693" s="42"/>
      <c r="S2693" s="1"/>
    </row>
    <row r="2694" spans="1:19" ht="18.75" hidden="1" customHeight="1" x14ac:dyDescent="0.3">
      <c r="A2694" s="10">
        <v>2693</v>
      </c>
      <c r="B2694" s="10">
        <f>_xlfn.XLOOKUP(1,(VALUE(D2694)&gt;=VALUE(block!$C$3:$C$500))*(VALUE(D2694)&lt;VALUE(block!$C$3:$C$500)+VALUE(block!$D$3:$D$500)),block!$A$3:$A$500,"无匹配",0,1)</f>
        <v>71</v>
      </c>
      <c r="C2694" s="3" t="str">
        <f>B2694 &amp; "-" &amp; COUNTIF($B$2:B2694, B2694)</f>
        <v>71-15</v>
      </c>
      <c r="D2694" s="10">
        <v>21076</v>
      </c>
      <c r="E2694" s="1" t="s">
        <v>6820</v>
      </c>
      <c r="F2694" s="1" t="s">
        <v>6821</v>
      </c>
      <c r="G2694" s="1" t="s">
        <v>1832</v>
      </c>
      <c r="H2694" s="1" t="s">
        <v>1812</v>
      </c>
      <c r="I2694" s="10" t="str">
        <f>IF(H2694="T19",1,IF(H2694="T19",3,IF(H2694="T35",6,IF(H2694="T35",10,IF(H2694="T67",14,IF(H2694="T67",18,IF(H2694="T35",22,"")))))))</f>
        <v/>
      </c>
      <c r="J2694" s="1" t="s">
        <v>1808</v>
      </c>
      <c r="K2694" s="10">
        <v>2</v>
      </c>
      <c r="L2694" s="10">
        <v>1</v>
      </c>
      <c r="O2694" s="6"/>
      <c r="P2694" s="10">
        <v>6</v>
      </c>
      <c r="Q2694" s="42" t="s">
        <v>6764</v>
      </c>
      <c r="R2694" s="42"/>
      <c r="S2694" s="1"/>
    </row>
    <row r="2695" spans="1:19" ht="18.75" hidden="1" customHeight="1" x14ac:dyDescent="0.3">
      <c r="A2695" s="10">
        <v>2694</v>
      </c>
      <c r="B2695" s="10">
        <f>_xlfn.XLOOKUP(1,(VALUE(D2695)&gt;=VALUE(block!$C$3:$C$500))*(VALUE(D2695)&lt;VALUE(block!$C$3:$C$500)+VALUE(block!$D$3:$D$500)),block!$A$3:$A$500,"无匹配",0,1)</f>
        <v>71</v>
      </c>
      <c r="C2695" s="3" t="str">
        <f>B2695 &amp; "-" &amp; COUNTIF($B$2:B2695, B2695)</f>
        <v>71-16</v>
      </c>
      <c r="D2695" s="10">
        <v>21078</v>
      </c>
      <c r="E2695" s="1" t="s">
        <v>6822</v>
      </c>
      <c r="F2695" s="1" t="s">
        <v>6823</v>
      </c>
      <c r="H2695" s="3" t="s">
        <v>6767</v>
      </c>
      <c r="I2695" s="10" t="str">
        <f>IF(H2695="T20",1,IF(H2695="T20",3,IF(H2695="T36",6,IF(H2695="T36",10,IF(H2695="T68",14,IF(H2695="T68",18,IF(H2695="T36",22,"")))))))</f>
        <v/>
      </c>
      <c r="J2695" s="1" t="s">
        <v>1808</v>
      </c>
      <c r="K2695" s="10">
        <v>4</v>
      </c>
      <c r="L2695" s="10">
        <v>1</v>
      </c>
      <c r="O2695" s="6"/>
      <c r="Q2695" s="42" t="s">
        <v>6764</v>
      </c>
      <c r="R2695" s="42"/>
      <c r="S2695" s="1"/>
    </row>
    <row r="2696" spans="1:19" ht="18.75" hidden="1" customHeight="1" x14ac:dyDescent="0.3">
      <c r="A2696" s="10">
        <v>2695</v>
      </c>
      <c r="B2696" s="10">
        <f>_xlfn.XLOOKUP(1,(VALUE(D2696)&gt;=VALUE(block!$C$3:$C$500))*(VALUE(D2696)&lt;VALUE(block!$C$3:$C$500)+VALUE(block!$D$3:$D$500)),block!$A$3:$A$500,"无匹配",0,1)</f>
        <v>71</v>
      </c>
      <c r="C2696" s="3" t="str">
        <f>B2696 &amp; "-" &amp; COUNTIF($B$2:B2696, B2696)</f>
        <v>71-17</v>
      </c>
      <c r="D2696" s="10">
        <v>21082</v>
      </c>
      <c r="E2696" s="1" t="s">
        <v>6824</v>
      </c>
      <c r="F2696" s="1" t="s">
        <v>6825</v>
      </c>
      <c r="G2696" s="1" t="s">
        <v>1834</v>
      </c>
      <c r="H2696" s="1" t="s">
        <v>1812</v>
      </c>
      <c r="I2696" s="10" t="str">
        <f>IF(H2696="T21",1,IF(H2696="T21",3,IF(H2696="T37",6,IF(H2696="T37",10,IF(H2696="T69",14,IF(H2696="T69",18,IF(H2696="T37",22,"")))))))</f>
        <v/>
      </c>
      <c r="J2696" s="1" t="s">
        <v>1808</v>
      </c>
      <c r="K2696" s="10">
        <v>2</v>
      </c>
      <c r="L2696" s="10">
        <v>1</v>
      </c>
      <c r="O2696" s="6"/>
      <c r="P2696" s="10">
        <v>6</v>
      </c>
      <c r="Q2696" s="42" t="s">
        <v>6764</v>
      </c>
      <c r="R2696" s="42"/>
      <c r="S2696" s="1"/>
    </row>
    <row r="2697" spans="1:19" ht="18.75" hidden="1" customHeight="1" x14ac:dyDescent="0.3">
      <c r="A2697" s="10">
        <v>2696</v>
      </c>
      <c r="B2697" s="10">
        <f>_xlfn.XLOOKUP(1,(VALUE(D2697)&gt;=VALUE(block!$C$3:$C$500))*(VALUE(D2697)&lt;VALUE(block!$C$3:$C$500)+VALUE(block!$D$3:$D$500)),block!$A$3:$A$500,"无匹配",0,1)</f>
        <v>71</v>
      </c>
      <c r="C2697" s="3" t="str">
        <f>B2697 &amp; "-" &amp; COUNTIF($B$2:B2697, B2697)</f>
        <v>71-18</v>
      </c>
      <c r="D2697" s="10">
        <v>21084</v>
      </c>
      <c r="E2697" s="1" t="s">
        <v>6826</v>
      </c>
      <c r="F2697" s="1" t="s">
        <v>6827</v>
      </c>
      <c r="H2697" s="3" t="s">
        <v>6767</v>
      </c>
      <c r="I2697" s="10" t="str">
        <f>IF(H2697="T22",1,IF(H2697="T22",3,IF(H2697="T38",6,IF(H2697="T38",10,IF(H2697="T70",14,IF(H2697="T70",18,IF(H2697="T38",22,"")))))))</f>
        <v/>
      </c>
      <c r="J2697" s="1" t="s">
        <v>1808</v>
      </c>
      <c r="K2697" s="10">
        <v>4</v>
      </c>
      <c r="L2697" s="10">
        <v>1</v>
      </c>
      <c r="O2697" s="6"/>
      <c r="Q2697" s="42" t="s">
        <v>6764</v>
      </c>
      <c r="R2697" s="42"/>
      <c r="S2697" s="1"/>
    </row>
    <row r="2698" spans="1:19" ht="18.75" hidden="1" customHeight="1" x14ac:dyDescent="0.3">
      <c r="A2698" s="10">
        <v>2697</v>
      </c>
      <c r="B2698" s="10">
        <f>_xlfn.XLOOKUP(1,(VALUE(D2698)&gt;=VALUE(block!$C$3:$C$500))*(VALUE(D2698)&lt;VALUE(block!$C$3:$C$500)+VALUE(block!$D$3:$D$500)),block!$A$3:$A$500,"无匹配",0,1)</f>
        <v>71</v>
      </c>
      <c r="C2698" s="3" t="str">
        <f>B2698 &amp; "-" &amp; COUNTIF($B$2:B2698, B2698)</f>
        <v>71-19</v>
      </c>
      <c r="D2698" s="10">
        <v>21088</v>
      </c>
      <c r="E2698" s="1" t="s">
        <v>6828</v>
      </c>
      <c r="F2698" s="1" t="s">
        <v>6829</v>
      </c>
      <c r="G2698" s="1" t="s">
        <v>1836</v>
      </c>
      <c r="H2698" s="1" t="s">
        <v>1812</v>
      </c>
      <c r="I2698" s="10" t="str">
        <f>IF(H2698="T23",1,IF(H2698="T23",3,IF(H2698="T39",6,IF(H2698="T39",10,IF(H2698="T71",14,IF(H2698="T71",18,IF(H2698="T39",22,"")))))))</f>
        <v/>
      </c>
      <c r="J2698" s="1" t="s">
        <v>1808</v>
      </c>
      <c r="K2698" s="10">
        <v>2</v>
      </c>
      <c r="L2698" s="10">
        <v>1</v>
      </c>
      <c r="O2698" s="6"/>
      <c r="P2698" s="10">
        <v>6</v>
      </c>
      <c r="Q2698" s="42" t="s">
        <v>6764</v>
      </c>
      <c r="R2698" s="42"/>
      <c r="S2698" s="1"/>
    </row>
    <row r="2699" spans="1:19" ht="18.75" hidden="1" customHeight="1" x14ac:dyDescent="0.3">
      <c r="A2699" s="10">
        <v>2698</v>
      </c>
      <c r="B2699" s="10">
        <f>_xlfn.XLOOKUP(1,(VALUE(D2699)&gt;=VALUE(block!$C$3:$C$500))*(VALUE(D2699)&lt;VALUE(block!$C$3:$C$500)+VALUE(block!$D$3:$D$500)),block!$A$3:$A$500,"无匹配",0,1)</f>
        <v>71</v>
      </c>
      <c r="C2699" s="3" t="str">
        <f>B2699 &amp; "-" &amp; COUNTIF($B$2:B2699, B2699)</f>
        <v>71-20</v>
      </c>
      <c r="D2699" s="10">
        <v>21090</v>
      </c>
      <c r="E2699" s="1" t="s">
        <v>6830</v>
      </c>
      <c r="F2699" s="1" t="s">
        <v>6831</v>
      </c>
      <c r="H2699" s="3" t="s">
        <v>6767</v>
      </c>
      <c r="I2699" s="10" t="str">
        <f>IF(H2699="T24",1,IF(H2699="T24",3,IF(H2699="T40",6,IF(H2699="T40",10,IF(H2699="T72",14,IF(H2699="T72",18,IF(H2699="T40",22,"")))))))</f>
        <v/>
      </c>
      <c r="J2699" s="1" t="s">
        <v>1808</v>
      </c>
      <c r="K2699" s="10">
        <v>4</v>
      </c>
      <c r="L2699" s="10">
        <v>1</v>
      </c>
      <c r="O2699" s="6"/>
      <c r="Q2699" s="42" t="s">
        <v>6764</v>
      </c>
      <c r="R2699" s="42"/>
      <c r="S2699" s="1"/>
    </row>
    <row r="2700" spans="1:19" ht="18.75" hidden="1" customHeight="1" x14ac:dyDescent="0.3">
      <c r="A2700" s="10">
        <v>2699</v>
      </c>
      <c r="B2700" s="10">
        <f>_xlfn.XLOOKUP(1,(VALUE(D2700)&gt;=VALUE(block!$C$3:$C$500))*(VALUE(D2700)&lt;VALUE(block!$C$3:$C$500)+VALUE(block!$D$3:$D$500)),block!$A$3:$A$500,"无匹配",0,1)</f>
        <v>71</v>
      </c>
      <c r="C2700" s="3" t="str">
        <f>B2700 &amp; "-" &amp; COUNTIF($B$2:B2700, B2700)</f>
        <v>71-21</v>
      </c>
      <c r="D2700" s="10">
        <v>21094</v>
      </c>
      <c r="E2700" s="1" t="s">
        <v>6832</v>
      </c>
      <c r="F2700" s="1" t="s">
        <v>6833</v>
      </c>
      <c r="G2700" s="1" t="s">
        <v>1840</v>
      </c>
      <c r="H2700" s="1" t="s">
        <v>1812</v>
      </c>
      <c r="I2700" s="10" t="str">
        <f>IF(H2700="T25",1,IF(H2700="T25",3,IF(H2700="T41",6,IF(H2700="T41",10,IF(H2700="T73",14,IF(H2700="T73",18,IF(H2700="T41",22,"")))))))</f>
        <v/>
      </c>
      <c r="J2700" s="1" t="s">
        <v>1808</v>
      </c>
      <c r="K2700" s="10">
        <v>2</v>
      </c>
      <c r="L2700" s="10">
        <v>1</v>
      </c>
      <c r="O2700" s="6"/>
      <c r="P2700" s="10">
        <v>6</v>
      </c>
      <c r="Q2700" s="42" t="s">
        <v>6764</v>
      </c>
      <c r="R2700" s="42"/>
      <c r="S2700" s="1"/>
    </row>
    <row r="2701" spans="1:19" ht="18.75" hidden="1" customHeight="1" x14ac:dyDescent="0.3">
      <c r="A2701" s="10">
        <v>2700</v>
      </c>
      <c r="B2701" s="10">
        <f>_xlfn.XLOOKUP(1,(VALUE(D2701)&gt;=VALUE(block!$C$3:$C$500))*(VALUE(D2701)&lt;VALUE(block!$C$3:$C$500)+VALUE(block!$D$3:$D$500)),block!$A$3:$A$500,"无匹配",0,1)</f>
        <v>71</v>
      </c>
      <c r="C2701" s="3" t="str">
        <f>B2701 &amp; "-" &amp; COUNTIF($B$2:B2701, B2701)</f>
        <v>71-22</v>
      </c>
      <c r="D2701" s="10">
        <v>21096</v>
      </c>
      <c r="E2701" s="1" t="s">
        <v>6834</v>
      </c>
      <c r="F2701" s="1" t="s">
        <v>6835</v>
      </c>
      <c r="H2701" s="3" t="s">
        <v>6767</v>
      </c>
      <c r="I2701" s="10" t="str">
        <f>IF(H2701="T26",1,IF(H2701="T26",3,IF(H2701="T42",6,IF(H2701="T42",10,IF(H2701="T74",14,IF(H2701="T74",18,IF(H2701="T42",22,"")))))))</f>
        <v/>
      </c>
      <c r="J2701" s="1" t="s">
        <v>1808</v>
      </c>
      <c r="K2701" s="10">
        <v>4</v>
      </c>
      <c r="L2701" s="10">
        <v>1</v>
      </c>
      <c r="O2701" s="6"/>
      <c r="Q2701" s="42" t="s">
        <v>6764</v>
      </c>
      <c r="R2701" s="42"/>
      <c r="S2701" s="1"/>
    </row>
    <row r="2702" spans="1:19" ht="18.75" hidden="1" customHeight="1" x14ac:dyDescent="0.3">
      <c r="A2702" s="10">
        <v>2701</v>
      </c>
      <c r="B2702" s="10">
        <f>_xlfn.XLOOKUP(1,(VALUE(D2702)&gt;=VALUE(block!$C$3:$C$500))*(VALUE(D2702)&lt;VALUE(block!$C$3:$C$500)+VALUE(block!$D$3:$D$500)),block!$A$3:$A$500,"无匹配",0,1)</f>
        <v>71</v>
      </c>
      <c r="C2702" s="3" t="str">
        <f>B2702 &amp; "-" &amp; COUNTIF($B$2:B2702, B2702)</f>
        <v>71-23</v>
      </c>
      <c r="D2702" s="10">
        <v>21100</v>
      </c>
      <c r="E2702" s="1" t="s">
        <v>6836</v>
      </c>
      <c r="F2702" s="1" t="s">
        <v>6837</v>
      </c>
      <c r="G2702" s="1" t="s">
        <v>1840</v>
      </c>
      <c r="H2702" s="1" t="s">
        <v>1812</v>
      </c>
      <c r="I2702" s="10" t="str">
        <f>IF(H2702="T27",1,IF(H2702="T27",3,IF(H2702="T43",6,IF(H2702="T43",10,IF(H2702="T75",14,IF(H2702="T75",18,IF(H2702="T43",22,"")))))))</f>
        <v/>
      </c>
      <c r="J2702" s="1" t="s">
        <v>1808</v>
      </c>
      <c r="K2702" s="10">
        <v>2</v>
      </c>
      <c r="L2702" s="10">
        <v>1</v>
      </c>
      <c r="O2702" s="6"/>
      <c r="P2702" s="10">
        <v>6</v>
      </c>
      <c r="Q2702" s="42" t="s">
        <v>6764</v>
      </c>
      <c r="R2702" s="42"/>
      <c r="S2702" s="1"/>
    </row>
    <row r="2703" spans="1:19" ht="18.75" hidden="1" customHeight="1" x14ac:dyDescent="0.3">
      <c r="A2703" s="10">
        <v>2702</v>
      </c>
      <c r="B2703" s="10">
        <f>_xlfn.XLOOKUP(1,(VALUE(D2703)&gt;=VALUE(block!$C$3:$C$500))*(VALUE(D2703)&lt;VALUE(block!$C$3:$C$500)+VALUE(block!$D$3:$D$500)),block!$A$3:$A$500,"无匹配",0,1)</f>
        <v>71</v>
      </c>
      <c r="C2703" s="3" t="str">
        <f>B2703 &amp; "-" &amp; COUNTIF($B$2:B2703, B2703)</f>
        <v>71-24</v>
      </c>
      <c r="D2703" s="10">
        <v>21102</v>
      </c>
      <c r="E2703" s="1" t="s">
        <v>6838</v>
      </c>
      <c r="F2703" s="1" t="s">
        <v>6839</v>
      </c>
      <c r="H2703" s="3" t="s">
        <v>6767</v>
      </c>
      <c r="I2703" s="10" t="str">
        <f>IF(H2703="T28",1,IF(H2703="T28",3,IF(H2703="T44",6,IF(H2703="T44",10,IF(H2703="T76",14,IF(H2703="T76",18,IF(H2703="T44",22,"")))))))</f>
        <v/>
      </c>
      <c r="J2703" s="1" t="s">
        <v>1808</v>
      </c>
      <c r="K2703" s="10">
        <v>4</v>
      </c>
      <c r="L2703" s="10">
        <v>1</v>
      </c>
      <c r="O2703" s="6"/>
      <c r="Q2703" s="42" t="s">
        <v>6764</v>
      </c>
      <c r="R2703" s="42"/>
      <c r="S2703" s="1"/>
    </row>
    <row r="2704" spans="1:19" ht="18.75" hidden="1" customHeight="1" x14ac:dyDescent="0.3">
      <c r="A2704" s="10">
        <v>2703</v>
      </c>
      <c r="B2704" s="10">
        <f>_xlfn.XLOOKUP(1,(VALUE(D2704)&gt;=VALUE(block!$C$3:$C$500))*(VALUE(D2704)&lt;VALUE(block!$C$3:$C$500)+VALUE(block!$D$3:$D$500)),block!$A$3:$A$500,"无匹配",0,1)</f>
        <v>71</v>
      </c>
      <c r="C2704" s="3" t="str">
        <f>B2704 &amp; "-" &amp; COUNTIF($B$2:B2704, B2704)</f>
        <v>71-25</v>
      </c>
      <c r="D2704" s="10">
        <v>21106</v>
      </c>
      <c r="E2704" s="3" t="s">
        <v>6840</v>
      </c>
      <c r="F2704" s="1" t="s">
        <v>6841</v>
      </c>
      <c r="G2704" s="1" t="s">
        <v>1830</v>
      </c>
      <c r="H2704" s="1" t="s">
        <v>1812</v>
      </c>
      <c r="I2704" s="10" t="str">
        <f>IF(H2704="T29",1,IF(H2704="T29",3,IF(H2704="T45",6,IF(H2704="T45",10,IF(H2704="T77",14,IF(H2704="T77",18,IF(H2704="T45",22,"")))))))</f>
        <v/>
      </c>
      <c r="J2704" s="1" t="s">
        <v>1808</v>
      </c>
      <c r="K2704" s="10">
        <v>2</v>
      </c>
      <c r="L2704" s="10">
        <v>1</v>
      </c>
      <c r="O2704" s="6"/>
      <c r="P2704" s="10">
        <v>6</v>
      </c>
      <c r="Q2704" s="42" t="s">
        <v>6764</v>
      </c>
      <c r="R2704" s="42"/>
      <c r="S2704" s="1"/>
    </row>
    <row r="2705" spans="1:19" ht="18.75" hidden="1" customHeight="1" x14ac:dyDescent="0.3">
      <c r="A2705" s="10">
        <v>2704</v>
      </c>
      <c r="B2705" s="10">
        <f>_xlfn.XLOOKUP(1,(VALUE(D2705)&gt;=VALUE(block!$C$3:$C$500))*(VALUE(D2705)&lt;VALUE(block!$C$3:$C$500)+VALUE(block!$D$3:$D$500)),block!$A$3:$A$500,"无匹配",0,1)</f>
        <v>71</v>
      </c>
      <c r="C2705" s="3" t="str">
        <f>B2705 &amp; "-" &amp; COUNTIF($B$2:B2705, B2705)</f>
        <v>71-26</v>
      </c>
      <c r="D2705" s="10">
        <v>21108</v>
      </c>
      <c r="E2705" s="1" t="s">
        <v>6842</v>
      </c>
      <c r="F2705" s="1" t="s">
        <v>6843</v>
      </c>
      <c r="H2705" s="3" t="s">
        <v>6767</v>
      </c>
      <c r="I2705" s="10" t="str">
        <f>IF(H2705="T30",1,IF(H2705="T30",3,IF(H2705="T46",6,IF(H2705="T46",10,IF(H2705="T78",14,IF(H2705="T78",18,IF(H2705="T46",22,"")))))))</f>
        <v/>
      </c>
      <c r="J2705" s="1" t="s">
        <v>1808</v>
      </c>
      <c r="K2705" s="10">
        <v>4</v>
      </c>
      <c r="L2705" s="10">
        <v>1</v>
      </c>
      <c r="O2705" s="6"/>
      <c r="Q2705" s="42" t="s">
        <v>6764</v>
      </c>
      <c r="R2705" s="42"/>
      <c r="S2705" s="1"/>
    </row>
    <row r="2706" spans="1:19" ht="18.75" hidden="1" customHeight="1" x14ac:dyDescent="0.3">
      <c r="A2706" s="10">
        <v>2705</v>
      </c>
      <c r="B2706" s="10">
        <f>_xlfn.XLOOKUP(1,(VALUE(D2706)&gt;=VALUE(block!$C$3:$C$500))*(VALUE(D2706)&lt;VALUE(block!$C$3:$C$500)+VALUE(block!$D$3:$D$500)),block!$A$3:$A$500,"无匹配",0,1)</f>
        <v>71</v>
      </c>
      <c r="C2706" s="3" t="str">
        <f>B2706 &amp; "-" &amp; COUNTIF($B$2:B2706, B2706)</f>
        <v>71-27</v>
      </c>
      <c r="D2706" s="10">
        <v>21112</v>
      </c>
      <c r="E2706" s="1" t="s">
        <v>6844</v>
      </c>
      <c r="F2706" s="1" t="s">
        <v>6845</v>
      </c>
      <c r="G2706" s="1" t="s">
        <v>1832</v>
      </c>
      <c r="H2706" s="1" t="s">
        <v>1812</v>
      </c>
      <c r="I2706" s="10" t="str">
        <f>IF(H2706="T31",1,IF(H2706="T31",3,IF(H2706="T47",6,IF(H2706="T47",10,IF(H2706="T79",14,IF(H2706="T79",18,IF(H2706="T47",22,"")))))))</f>
        <v/>
      </c>
      <c r="J2706" s="1" t="s">
        <v>1808</v>
      </c>
      <c r="K2706" s="10">
        <v>2</v>
      </c>
      <c r="L2706" s="10">
        <v>1</v>
      </c>
      <c r="O2706" s="6"/>
      <c r="P2706" s="10">
        <v>6</v>
      </c>
      <c r="Q2706" s="42" t="s">
        <v>6764</v>
      </c>
      <c r="R2706" s="42"/>
      <c r="S2706" s="1"/>
    </row>
    <row r="2707" spans="1:19" ht="18.75" hidden="1" customHeight="1" x14ac:dyDescent="0.3">
      <c r="A2707" s="10">
        <v>2706</v>
      </c>
      <c r="B2707" s="10">
        <f>_xlfn.XLOOKUP(1,(VALUE(D2707)&gt;=VALUE(block!$C$3:$C$500))*(VALUE(D2707)&lt;VALUE(block!$C$3:$C$500)+VALUE(block!$D$3:$D$500)),block!$A$3:$A$500,"无匹配",0,1)</f>
        <v>71</v>
      </c>
      <c r="C2707" s="3" t="str">
        <f>B2707 &amp; "-" &amp; COUNTIF($B$2:B2707, B2707)</f>
        <v>71-28</v>
      </c>
      <c r="D2707" s="10">
        <v>21114</v>
      </c>
      <c r="E2707" s="1" t="s">
        <v>6846</v>
      </c>
      <c r="F2707" s="1" t="s">
        <v>6847</v>
      </c>
      <c r="H2707" s="3" t="s">
        <v>6767</v>
      </c>
      <c r="I2707" s="10" t="str">
        <f>IF(H2707="T32",1,IF(H2707="T32",3,IF(H2707="T48",6,IF(H2707="T48",10,IF(H2707="T80",14,IF(H2707="T80",18,IF(H2707="T48",22,"")))))))</f>
        <v/>
      </c>
      <c r="J2707" s="1" t="s">
        <v>1808</v>
      </c>
      <c r="K2707" s="10">
        <v>4</v>
      </c>
      <c r="L2707" s="10">
        <v>1</v>
      </c>
      <c r="O2707" s="6"/>
      <c r="Q2707" s="42" t="s">
        <v>6764</v>
      </c>
      <c r="R2707" s="42"/>
      <c r="S2707" s="1"/>
    </row>
    <row r="2708" spans="1:19" ht="18.75" hidden="1" customHeight="1" x14ac:dyDescent="0.3">
      <c r="A2708" s="10">
        <v>2707</v>
      </c>
      <c r="B2708" s="10">
        <f>_xlfn.XLOOKUP(1,(VALUE(D2708)&gt;=VALUE(block!$C$3:$C$500))*(VALUE(D2708)&lt;VALUE(block!$C$3:$C$500)+VALUE(block!$D$3:$D$500)),block!$A$3:$A$500,"无匹配",0,1)</f>
        <v>71</v>
      </c>
      <c r="C2708" s="3" t="str">
        <f>B2708 &amp; "-" &amp; COUNTIF($B$2:B2708, B2708)</f>
        <v>71-29</v>
      </c>
      <c r="D2708" s="10">
        <v>21118</v>
      </c>
      <c r="E2708" s="1" t="s">
        <v>6848</v>
      </c>
      <c r="F2708" s="1" t="s">
        <v>6849</v>
      </c>
      <c r="G2708" s="1" t="s">
        <v>1834</v>
      </c>
      <c r="H2708" s="1" t="s">
        <v>1812</v>
      </c>
      <c r="I2708" s="10" t="str">
        <f>IF(H2708="T33",1,IF(H2708="T33",3,IF(H2708="T49",6,IF(H2708="T49",10,IF(H2708="T81",14,IF(H2708="T81",18,IF(H2708="T49",22,"")))))))</f>
        <v/>
      </c>
      <c r="J2708" s="1" t="s">
        <v>1808</v>
      </c>
      <c r="K2708" s="10">
        <v>2</v>
      </c>
      <c r="L2708" s="10">
        <v>1</v>
      </c>
      <c r="O2708" s="6"/>
      <c r="P2708" s="10">
        <v>6</v>
      </c>
      <c r="Q2708" s="42" t="s">
        <v>6764</v>
      </c>
      <c r="R2708" s="42"/>
      <c r="S2708" s="1"/>
    </row>
    <row r="2709" spans="1:19" ht="18.75" hidden="1" customHeight="1" x14ac:dyDescent="0.3">
      <c r="A2709" s="10">
        <v>2708</v>
      </c>
      <c r="B2709" s="10">
        <f>_xlfn.XLOOKUP(1,(VALUE(D2709)&gt;=VALUE(block!$C$3:$C$500))*(VALUE(D2709)&lt;VALUE(block!$C$3:$C$500)+VALUE(block!$D$3:$D$500)),block!$A$3:$A$500,"无匹配",0,1)</f>
        <v>71</v>
      </c>
      <c r="C2709" s="3" t="str">
        <f>B2709 &amp; "-" &amp; COUNTIF($B$2:B2709, B2709)</f>
        <v>71-30</v>
      </c>
      <c r="D2709" s="10">
        <v>21120</v>
      </c>
      <c r="E2709" s="1" t="s">
        <v>6850</v>
      </c>
      <c r="F2709" s="1" t="s">
        <v>6851</v>
      </c>
      <c r="H2709" s="3" t="s">
        <v>6767</v>
      </c>
      <c r="I2709" s="10" t="str">
        <f>IF(H2709="T34",1,IF(H2709="T34",3,IF(H2709="T50",6,IF(H2709="T50",10,IF(H2709="T82",14,IF(H2709="T82",18,IF(H2709="T50",22,"")))))))</f>
        <v/>
      </c>
      <c r="J2709" s="1" t="s">
        <v>1808</v>
      </c>
      <c r="K2709" s="10">
        <v>4</v>
      </c>
      <c r="L2709" s="10">
        <v>1</v>
      </c>
      <c r="O2709" s="6"/>
      <c r="Q2709" s="42" t="s">
        <v>6764</v>
      </c>
      <c r="R2709" s="42"/>
      <c r="S2709" s="1"/>
    </row>
    <row r="2710" spans="1:19" ht="18.75" hidden="1" customHeight="1" x14ac:dyDescent="0.3">
      <c r="A2710" s="10">
        <v>2709</v>
      </c>
      <c r="B2710" s="10">
        <f>_xlfn.XLOOKUP(1,(VALUE(D2710)&gt;=VALUE(block!$C$3:$C$500))*(VALUE(D2710)&lt;VALUE(block!$C$3:$C$500)+VALUE(block!$D$3:$D$500)),block!$A$3:$A$500,"无匹配",0,1)</f>
        <v>71</v>
      </c>
      <c r="C2710" s="3" t="str">
        <f>B2710 &amp; "-" &amp; COUNTIF($B$2:B2710, B2710)</f>
        <v>71-31</v>
      </c>
      <c r="D2710" s="10">
        <v>21124</v>
      </c>
      <c r="E2710" s="1" t="s">
        <v>6852</v>
      </c>
      <c r="F2710" s="1" t="s">
        <v>6853</v>
      </c>
      <c r="G2710" s="1" t="s">
        <v>1836</v>
      </c>
      <c r="H2710" s="1" t="s">
        <v>1812</v>
      </c>
      <c r="I2710" s="10" t="str">
        <f>IF(H2710="T35",1,IF(H2710="T35",3,IF(H2710="T51",6,IF(H2710="T51",10,IF(H2710="T83",14,IF(H2710="T83",18,IF(H2710="T51",22,"")))))))</f>
        <v/>
      </c>
      <c r="J2710" s="1" t="s">
        <v>1808</v>
      </c>
      <c r="K2710" s="10">
        <v>2</v>
      </c>
      <c r="L2710" s="10">
        <v>1</v>
      </c>
      <c r="O2710" s="6"/>
      <c r="P2710" s="10">
        <v>6</v>
      </c>
      <c r="Q2710" s="42" t="s">
        <v>6764</v>
      </c>
      <c r="R2710" s="42"/>
      <c r="S2710" s="1"/>
    </row>
    <row r="2711" spans="1:19" ht="18.75" hidden="1" customHeight="1" x14ac:dyDescent="0.3">
      <c r="A2711" s="10">
        <v>2710</v>
      </c>
      <c r="B2711" s="10">
        <f>_xlfn.XLOOKUP(1,(VALUE(D2711)&gt;=VALUE(block!$C$3:$C$500))*(VALUE(D2711)&lt;VALUE(block!$C$3:$C$500)+VALUE(block!$D$3:$D$500)),block!$A$3:$A$500,"无匹配",0,1)</f>
        <v>71</v>
      </c>
      <c r="C2711" s="3" t="str">
        <f>B2711 &amp; "-" &amp; COUNTIF($B$2:B2711, B2711)</f>
        <v>71-32</v>
      </c>
      <c r="D2711" s="10">
        <v>21126</v>
      </c>
      <c r="E2711" s="1" t="s">
        <v>6854</v>
      </c>
      <c r="F2711" s="1" t="s">
        <v>6855</v>
      </c>
      <c r="H2711" s="3" t="s">
        <v>6767</v>
      </c>
      <c r="I2711" s="10" t="str">
        <f>IF(H2711="T36",1,IF(H2711="T36",3,IF(H2711="T52",6,IF(H2711="T52",10,IF(H2711="T84",14,IF(H2711="T84",18,IF(H2711="T52",22,"")))))))</f>
        <v/>
      </c>
      <c r="J2711" s="1" t="s">
        <v>1808</v>
      </c>
      <c r="K2711" s="10">
        <v>4</v>
      </c>
      <c r="L2711" s="10">
        <v>1</v>
      </c>
      <c r="O2711" s="6"/>
      <c r="Q2711" s="42" t="s">
        <v>6764</v>
      </c>
      <c r="R2711" s="42"/>
      <c r="S2711" s="1"/>
    </row>
    <row r="2712" spans="1:19" ht="18.75" hidden="1" customHeight="1" x14ac:dyDescent="0.3">
      <c r="A2712" s="10">
        <v>2711</v>
      </c>
      <c r="B2712" s="10">
        <f>_xlfn.XLOOKUP(1,(VALUE(D2712)&gt;=VALUE(block!$C$3:$C$500))*(VALUE(D2712)&lt;VALUE(block!$C$3:$C$500)+VALUE(block!$D$3:$D$500)),block!$A$3:$A$500,"无匹配",0,1)</f>
        <v>71</v>
      </c>
      <c r="C2712" s="3" t="str">
        <f>B2712 &amp; "-" &amp; COUNTIF($B$2:B2712, B2712)</f>
        <v>71-33</v>
      </c>
      <c r="D2712" s="10">
        <v>21130</v>
      </c>
      <c r="E2712" s="1" t="s">
        <v>6856</v>
      </c>
      <c r="F2712" s="1" t="s">
        <v>6857</v>
      </c>
      <c r="G2712" s="1" t="s">
        <v>1840</v>
      </c>
      <c r="H2712" s="1" t="s">
        <v>1812</v>
      </c>
      <c r="I2712" s="10" t="str">
        <f>IF(H2712="T37",1,IF(H2712="T37",3,IF(H2712="T53",6,IF(H2712="T53",10,IF(H2712="T85",14,IF(H2712="T85",18,IF(H2712="T53",22,"")))))))</f>
        <v/>
      </c>
      <c r="J2712" s="1" t="s">
        <v>1808</v>
      </c>
      <c r="K2712" s="10">
        <v>2</v>
      </c>
      <c r="L2712" s="10">
        <v>1</v>
      </c>
      <c r="O2712" s="6"/>
      <c r="P2712" s="10">
        <v>6</v>
      </c>
      <c r="Q2712" s="42" t="s">
        <v>6764</v>
      </c>
      <c r="R2712" s="42"/>
      <c r="S2712" s="1"/>
    </row>
    <row r="2713" spans="1:19" ht="18.75" hidden="1" customHeight="1" x14ac:dyDescent="0.3">
      <c r="A2713" s="10">
        <v>2712</v>
      </c>
      <c r="B2713" s="10">
        <f>_xlfn.XLOOKUP(1,(VALUE(D2713)&gt;=VALUE(block!$C$3:$C$500))*(VALUE(D2713)&lt;VALUE(block!$C$3:$C$500)+VALUE(block!$D$3:$D$500)),block!$A$3:$A$500,"无匹配",0,1)</f>
        <v>71</v>
      </c>
      <c r="C2713" s="3" t="str">
        <f>B2713 &amp; "-" &amp; COUNTIF($B$2:B2713, B2713)</f>
        <v>71-34</v>
      </c>
      <c r="D2713" s="10">
        <v>21132</v>
      </c>
      <c r="E2713" s="1" t="s">
        <v>6858</v>
      </c>
      <c r="F2713" s="1" t="s">
        <v>6859</v>
      </c>
      <c r="H2713" s="3" t="s">
        <v>6767</v>
      </c>
      <c r="I2713" s="10" t="str">
        <f>IF(H2713="T38",1,IF(H2713="T38",3,IF(H2713="T54",6,IF(H2713="T54",10,IF(H2713="T86",14,IF(H2713="T86",18,IF(H2713="T54",22,"")))))))</f>
        <v/>
      </c>
      <c r="J2713" s="1" t="s">
        <v>1808</v>
      </c>
      <c r="K2713" s="10">
        <v>4</v>
      </c>
      <c r="L2713" s="10">
        <v>1</v>
      </c>
      <c r="O2713" s="6"/>
      <c r="Q2713" s="42" t="s">
        <v>6764</v>
      </c>
      <c r="R2713" s="42"/>
      <c r="S2713" s="1"/>
    </row>
    <row r="2714" spans="1:19" ht="18.75" hidden="1" customHeight="1" x14ac:dyDescent="0.3">
      <c r="A2714" s="10">
        <v>2713</v>
      </c>
      <c r="B2714" s="10">
        <f>_xlfn.XLOOKUP(1,(VALUE(D2714)&gt;=VALUE(block!$C$3:$C$500))*(VALUE(D2714)&lt;VALUE(block!$C$3:$C$500)+VALUE(block!$D$3:$D$500)),block!$A$3:$A$500,"无匹配",0,1)</f>
        <v>71</v>
      </c>
      <c r="C2714" s="3" t="str">
        <f>B2714 &amp; "-" &amp; COUNTIF($B$2:B2714, B2714)</f>
        <v>71-35</v>
      </c>
      <c r="D2714" s="10">
        <v>21136</v>
      </c>
      <c r="E2714" s="1" t="s">
        <v>6860</v>
      </c>
      <c r="F2714" s="1" t="s">
        <v>6861</v>
      </c>
      <c r="G2714" s="1" t="s">
        <v>1840</v>
      </c>
      <c r="H2714" s="1" t="s">
        <v>1812</v>
      </c>
      <c r="I2714" s="10" t="str">
        <f>IF(H2714="T39",1,IF(H2714="T39",3,IF(H2714="T55",6,IF(H2714="T55",10,IF(H2714="T87",14,IF(H2714="T87",18,IF(H2714="T55",22,"")))))))</f>
        <v/>
      </c>
      <c r="J2714" s="1" t="s">
        <v>1808</v>
      </c>
      <c r="K2714" s="10">
        <v>2</v>
      </c>
      <c r="L2714" s="10">
        <v>1</v>
      </c>
      <c r="O2714" s="6"/>
      <c r="P2714" s="10">
        <v>6</v>
      </c>
      <c r="Q2714" s="42" t="s">
        <v>6764</v>
      </c>
      <c r="R2714" s="42"/>
      <c r="S2714" s="1"/>
    </row>
    <row r="2715" spans="1:19" ht="18.75" hidden="1" customHeight="1" x14ac:dyDescent="0.3">
      <c r="A2715" s="10">
        <v>2714</v>
      </c>
      <c r="B2715" s="10">
        <f>_xlfn.XLOOKUP(1,(VALUE(D2715)&gt;=VALUE(block!$C$3:$C$500))*(VALUE(D2715)&lt;VALUE(block!$C$3:$C$500)+VALUE(block!$D$3:$D$500)),block!$A$3:$A$500,"无匹配",0,1)</f>
        <v>71</v>
      </c>
      <c r="C2715" s="3" t="str">
        <f>B2715 &amp; "-" &amp; COUNTIF($B$2:B2715, B2715)</f>
        <v>71-36</v>
      </c>
      <c r="D2715" s="10">
        <v>21138</v>
      </c>
      <c r="E2715" s="1" t="s">
        <v>6862</v>
      </c>
      <c r="F2715" s="1" t="s">
        <v>6863</v>
      </c>
      <c r="H2715" s="3" t="s">
        <v>6767</v>
      </c>
      <c r="I2715" s="10" t="str">
        <f>IF(H2715="T40",1,IF(H2715="T40",3,IF(H2715="T56",6,IF(H2715="T56",10,IF(H2715="T88",14,IF(H2715="T88",18,IF(H2715="T56",22,"")))))))</f>
        <v/>
      </c>
      <c r="J2715" s="1" t="s">
        <v>1808</v>
      </c>
      <c r="K2715" s="10">
        <v>4</v>
      </c>
      <c r="L2715" s="10">
        <v>1</v>
      </c>
      <c r="O2715" s="6"/>
      <c r="Q2715" s="42" t="s">
        <v>6764</v>
      </c>
      <c r="R2715" s="42"/>
      <c r="S2715" s="1"/>
    </row>
    <row r="2716" spans="1:19" ht="18.75" hidden="1" customHeight="1" x14ac:dyDescent="0.3">
      <c r="A2716" s="10">
        <v>2715</v>
      </c>
      <c r="B2716" s="10">
        <f>_xlfn.XLOOKUP(1,(VALUE(D2716)&gt;=VALUE(block!$C$3:$C$500))*(VALUE(D2716)&lt;VALUE(block!$C$3:$C$500)+VALUE(block!$D$3:$D$500)),block!$A$3:$A$500,"无匹配",0,1)</f>
        <v>71</v>
      </c>
      <c r="C2716" s="3" t="str">
        <f>B2716 &amp; "-" &amp; COUNTIF($B$2:B2716, B2716)</f>
        <v>71-37</v>
      </c>
      <c r="D2716" s="10">
        <v>21142</v>
      </c>
      <c r="E2716" s="1" t="s">
        <v>6864</v>
      </c>
      <c r="F2716" s="1" t="s">
        <v>6865</v>
      </c>
      <c r="G2716" s="1" t="s">
        <v>1840</v>
      </c>
      <c r="H2716" s="1" t="s">
        <v>1812</v>
      </c>
      <c r="I2716" s="10" t="str">
        <f>IF(H2716="T41",1,IF(H2716="T41",3,IF(H2716="T57",6,IF(H2716="T57",10,IF(H2716="T89",14,IF(H2716="T89",18,IF(H2716="T57",22,"")))))))</f>
        <v/>
      </c>
      <c r="J2716" s="1" t="s">
        <v>1808</v>
      </c>
      <c r="K2716" s="10">
        <v>2</v>
      </c>
      <c r="L2716" s="10">
        <v>1</v>
      </c>
      <c r="O2716" s="6"/>
      <c r="P2716" s="10">
        <v>6</v>
      </c>
      <c r="Q2716" s="42" t="s">
        <v>6764</v>
      </c>
      <c r="R2716" s="42"/>
      <c r="S2716" s="1"/>
    </row>
    <row r="2717" spans="1:19" ht="18.75" hidden="1" customHeight="1" x14ac:dyDescent="0.3">
      <c r="A2717" s="10">
        <v>2716</v>
      </c>
      <c r="B2717" s="10">
        <f>_xlfn.XLOOKUP(1,(VALUE(D2717)&gt;=VALUE(block!$C$3:$C$500))*(VALUE(D2717)&lt;VALUE(block!$C$3:$C$500)+VALUE(block!$D$3:$D$500)),block!$A$3:$A$500,"无匹配",0,1)</f>
        <v>71</v>
      </c>
      <c r="C2717" s="3" t="str">
        <f>B2717 &amp; "-" &amp; COUNTIF($B$2:B2717, B2717)</f>
        <v>71-38</v>
      </c>
      <c r="D2717" s="10">
        <v>21144</v>
      </c>
      <c r="E2717" s="1" t="s">
        <v>6866</v>
      </c>
      <c r="F2717" s="1" t="s">
        <v>6867</v>
      </c>
      <c r="H2717" s="3" t="s">
        <v>6767</v>
      </c>
      <c r="I2717" s="10" t="str">
        <f>IF(H2717="T42",1,IF(H2717="T42",3,IF(H2717="T58",6,IF(H2717="T58",10,IF(H2717="T90",14,IF(H2717="T90",18,IF(H2717="T58",22,"")))))))</f>
        <v/>
      </c>
      <c r="J2717" s="1" t="s">
        <v>1808</v>
      </c>
      <c r="K2717" s="10">
        <v>4</v>
      </c>
      <c r="L2717" s="10">
        <v>1</v>
      </c>
      <c r="O2717" s="6"/>
      <c r="Q2717" s="42" t="s">
        <v>6764</v>
      </c>
      <c r="R2717" s="42"/>
      <c r="S2717" s="1"/>
    </row>
    <row r="2718" spans="1:19" ht="18.75" hidden="1" customHeight="1" x14ac:dyDescent="0.3">
      <c r="A2718" s="10">
        <v>2717</v>
      </c>
      <c r="B2718" s="10">
        <f>_xlfn.XLOOKUP(1,(VALUE(D2718)&gt;=VALUE(block!$C$3:$C$500))*(VALUE(D2718)&lt;VALUE(block!$C$3:$C$500)+VALUE(block!$D$3:$D$500)),block!$A$3:$A$500,"无匹配",0,1)</f>
        <v>72</v>
      </c>
      <c r="C2718" s="3" t="str">
        <f>B2718 &amp; "-" &amp; COUNTIF($B$2:B2718, B2718)</f>
        <v>72-1</v>
      </c>
      <c r="D2718" s="10">
        <v>21148</v>
      </c>
      <c r="E2718" s="1" t="s">
        <v>6868</v>
      </c>
      <c r="F2718" s="1" t="s">
        <v>6869</v>
      </c>
      <c r="G2718" s="1" t="s">
        <v>1830</v>
      </c>
      <c r="H2718" s="1" t="s">
        <v>1812</v>
      </c>
      <c r="I2718" s="10" t="str">
        <f>IF(H2718="T43",1,IF(H2718="T43",3,IF(H2718="T59",6,IF(H2718="T59",10,IF(H2718="T91",14,IF(H2718="T91",18,IF(H2718="T59",22,"")))))))</f>
        <v/>
      </c>
      <c r="J2718" s="1" t="s">
        <v>1808</v>
      </c>
      <c r="K2718" s="10">
        <v>2</v>
      </c>
      <c r="L2718" s="10">
        <v>1</v>
      </c>
      <c r="O2718" s="6"/>
      <c r="P2718" s="10">
        <v>6</v>
      </c>
      <c r="Q2718" s="42" t="s">
        <v>6870</v>
      </c>
      <c r="R2718" s="42"/>
      <c r="S2718" s="1"/>
    </row>
    <row r="2719" spans="1:19" ht="18.75" hidden="1" customHeight="1" x14ac:dyDescent="0.3">
      <c r="A2719" s="10">
        <v>2718</v>
      </c>
      <c r="B2719" s="10">
        <f>_xlfn.XLOOKUP(1,(VALUE(D2719)&gt;=VALUE(block!$C$3:$C$500))*(VALUE(D2719)&lt;VALUE(block!$C$3:$C$500)+VALUE(block!$D$3:$D$500)),block!$A$3:$A$500,"无匹配",0,1)</f>
        <v>72</v>
      </c>
      <c r="C2719" s="3" t="str">
        <f>B2719 &amp; "-" &amp; COUNTIF($B$2:B2719, B2719)</f>
        <v>72-2</v>
      </c>
      <c r="D2719" s="10">
        <v>21150</v>
      </c>
      <c r="E2719" s="1" t="s">
        <v>6871</v>
      </c>
      <c r="F2719" s="1" t="s">
        <v>6872</v>
      </c>
      <c r="H2719" s="3" t="s">
        <v>6767</v>
      </c>
      <c r="I2719" s="10" t="str">
        <f>IF(H2719="T44",1,IF(H2719="T44",3,IF(H2719="T60",6,IF(H2719="T60",10,IF(H2719="T92",14,IF(H2719="T92",18,IF(H2719="T60",22,"")))))))</f>
        <v/>
      </c>
      <c r="J2719" s="1" t="s">
        <v>1808</v>
      </c>
      <c r="K2719" s="10">
        <v>4</v>
      </c>
      <c r="L2719" s="10">
        <v>1</v>
      </c>
      <c r="O2719" s="6"/>
      <c r="Q2719" s="42" t="s">
        <v>6870</v>
      </c>
      <c r="R2719" s="42"/>
      <c r="S2719" s="1"/>
    </row>
    <row r="2720" spans="1:19" ht="18.75" hidden="1" customHeight="1" x14ac:dyDescent="0.3">
      <c r="A2720" s="10">
        <v>2719</v>
      </c>
      <c r="B2720" s="10">
        <f>_xlfn.XLOOKUP(1,(VALUE(D2720)&gt;=VALUE(block!$C$3:$C$500))*(VALUE(D2720)&lt;VALUE(block!$C$3:$C$500)+VALUE(block!$D$3:$D$500)),block!$A$3:$A$500,"无匹配",0,1)</f>
        <v>72</v>
      </c>
      <c r="C2720" s="3" t="str">
        <f>B2720 &amp; "-" &amp; COUNTIF($B$2:B2720, B2720)</f>
        <v>72-3</v>
      </c>
      <c r="D2720" s="10">
        <v>21154</v>
      </c>
      <c r="E2720" s="1" t="s">
        <v>6873</v>
      </c>
      <c r="F2720" s="1" t="s">
        <v>6874</v>
      </c>
      <c r="G2720" s="1" t="s">
        <v>1832</v>
      </c>
      <c r="H2720" s="1" t="s">
        <v>1812</v>
      </c>
      <c r="I2720" s="10" t="str">
        <f>IF(H2720="T45",1,IF(H2720="T45",3,IF(H2720="T61",6,IF(H2720="T61",10,IF(H2720="T93",14,IF(H2720="T93",18,IF(H2720="T61",22,"")))))))</f>
        <v/>
      </c>
      <c r="J2720" s="1" t="s">
        <v>1808</v>
      </c>
      <c r="K2720" s="10">
        <v>2</v>
      </c>
      <c r="L2720" s="10">
        <v>1</v>
      </c>
      <c r="O2720" s="6"/>
      <c r="P2720" s="10">
        <v>6</v>
      </c>
      <c r="Q2720" s="42" t="s">
        <v>6870</v>
      </c>
      <c r="R2720" s="42"/>
      <c r="S2720" s="1"/>
    </row>
    <row r="2721" spans="1:19" ht="18.75" hidden="1" customHeight="1" x14ac:dyDescent="0.3">
      <c r="A2721" s="10">
        <v>2720</v>
      </c>
      <c r="B2721" s="10">
        <f>_xlfn.XLOOKUP(1,(VALUE(D2721)&gt;=VALUE(block!$C$3:$C$500))*(VALUE(D2721)&lt;VALUE(block!$C$3:$C$500)+VALUE(block!$D$3:$D$500)),block!$A$3:$A$500,"无匹配",0,1)</f>
        <v>72</v>
      </c>
      <c r="C2721" s="3" t="str">
        <f>B2721 &amp; "-" &amp; COUNTIF($B$2:B2721, B2721)</f>
        <v>72-4</v>
      </c>
      <c r="D2721" s="10">
        <v>21156</v>
      </c>
      <c r="E2721" s="1" t="s">
        <v>6875</v>
      </c>
      <c r="F2721" s="1" t="s">
        <v>6876</v>
      </c>
      <c r="H2721" s="3" t="s">
        <v>6767</v>
      </c>
      <c r="I2721" s="10" t="str">
        <f>IF(H2721="T46",1,IF(H2721="T46",3,IF(H2721="T62",6,IF(H2721="T62",10,IF(H2721="T94",14,IF(H2721="T94",18,IF(H2721="T62",22,"")))))))</f>
        <v/>
      </c>
      <c r="J2721" s="1" t="s">
        <v>1808</v>
      </c>
      <c r="K2721" s="10">
        <v>4</v>
      </c>
      <c r="L2721" s="10">
        <v>1</v>
      </c>
      <c r="O2721" s="6"/>
      <c r="Q2721" s="42" t="s">
        <v>6870</v>
      </c>
      <c r="R2721" s="42"/>
      <c r="S2721" s="1"/>
    </row>
    <row r="2722" spans="1:19" ht="18.75" hidden="1" customHeight="1" x14ac:dyDescent="0.3">
      <c r="A2722" s="10">
        <v>2721</v>
      </c>
      <c r="B2722" s="10">
        <f>_xlfn.XLOOKUP(1,(VALUE(D2722)&gt;=VALUE(block!$C$3:$C$500))*(VALUE(D2722)&lt;VALUE(block!$C$3:$C$500)+VALUE(block!$D$3:$D$500)),block!$A$3:$A$500,"无匹配",0,1)</f>
        <v>72</v>
      </c>
      <c r="C2722" s="3" t="str">
        <f>B2722 &amp; "-" &amp; COUNTIF($B$2:B2722, B2722)</f>
        <v>72-5</v>
      </c>
      <c r="D2722" s="10">
        <v>21160</v>
      </c>
      <c r="E2722" s="1" t="s">
        <v>6877</v>
      </c>
      <c r="F2722" s="1" t="s">
        <v>6878</v>
      </c>
      <c r="G2722" s="1" t="s">
        <v>1834</v>
      </c>
      <c r="H2722" s="1" t="s">
        <v>1812</v>
      </c>
      <c r="I2722" s="10" t="str">
        <f>IF(H2722="T47",1,IF(H2722="T47",3,IF(H2722="T63",6,IF(H2722="T63",10,IF(H2722="T95",14,IF(H2722="T95",18,IF(H2722="T63",22,"")))))))</f>
        <v/>
      </c>
      <c r="J2722" s="1" t="s">
        <v>1808</v>
      </c>
      <c r="K2722" s="10">
        <v>2</v>
      </c>
      <c r="L2722" s="10">
        <v>1</v>
      </c>
      <c r="O2722" s="6"/>
      <c r="P2722" s="10">
        <v>6</v>
      </c>
      <c r="Q2722" s="42" t="s">
        <v>6870</v>
      </c>
      <c r="R2722" s="42"/>
      <c r="S2722" s="1"/>
    </row>
    <row r="2723" spans="1:19" ht="18.75" hidden="1" customHeight="1" x14ac:dyDescent="0.3">
      <c r="A2723" s="10">
        <v>2722</v>
      </c>
      <c r="B2723" s="10">
        <f>_xlfn.XLOOKUP(1,(VALUE(D2723)&gt;=VALUE(block!$C$3:$C$500))*(VALUE(D2723)&lt;VALUE(block!$C$3:$C$500)+VALUE(block!$D$3:$D$500)),block!$A$3:$A$500,"无匹配",0,1)</f>
        <v>72</v>
      </c>
      <c r="C2723" s="3" t="str">
        <f>B2723 &amp; "-" &amp; COUNTIF($B$2:B2723, B2723)</f>
        <v>72-6</v>
      </c>
      <c r="D2723" s="10">
        <v>21162</v>
      </c>
      <c r="E2723" s="1" t="s">
        <v>6879</v>
      </c>
      <c r="F2723" s="1" t="s">
        <v>6880</v>
      </c>
      <c r="H2723" s="3" t="s">
        <v>6767</v>
      </c>
      <c r="I2723" s="10" t="str">
        <f>IF(H2723="T48",1,IF(H2723="T48",3,IF(H2723="T64",6,IF(H2723="T64",10,IF(H2723="T96",14,IF(H2723="T96",18,IF(H2723="T64",22,"")))))))</f>
        <v/>
      </c>
      <c r="J2723" s="1" t="s">
        <v>1808</v>
      </c>
      <c r="K2723" s="10">
        <v>4</v>
      </c>
      <c r="L2723" s="10">
        <v>1</v>
      </c>
      <c r="O2723" s="6"/>
      <c r="Q2723" s="42" t="s">
        <v>6870</v>
      </c>
      <c r="R2723" s="42"/>
      <c r="S2723" s="1"/>
    </row>
    <row r="2724" spans="1:19" ht="18.75" hidden="1" customHeight="1" x14ac:dyDescent="0.3">
      <c r="A2724" s="10">
        <v>2723</v>
      </c>
      <c r="B2724" s="10">
        <f>_xlfn.XLOOKUP(1,(VALUE(D2724)&gt;=VALUE(block!$C$3:$C$500))*(VALUE(D2724)&lt;VALUE(block!$C$3:$C$500)+VALUE(block!$D$3:$D$500)),block!$A$3:$A$500,"无匹配",0,1)</f>
        <v>72</v>
      </c>
      <c r="C2724" s="3" t="str">
        <f>B2724 &amp; "-" &amp; COUNTIF($B$2:B2724, B2724)</f>
        <v>72-7</v>
      </c>
      <c r="D2724" s="10">
        <v>21166</v>
      </c>
      <c r="E2724" s="1" t="s">
        <v>6881</v>
      </c>
      <c r="F2724" s="1" t="s">
        <v>6882</v>
      </c>
      <c r="G2724" s="1" t="s">
        <v>1836</v>
      </c>
      <c r="H2724" s="1" t="s">
        <v>1812</v>
      </c>
      <c r="I2724" s="10" t="str">
        <f>IF(H2724="T49",1,IF(H2724="T49",3,IF(H2724="T65",6,IF(H2724="T65",10,IF(H2724="T97",14,IF(H2724="T97",18,IF(H2724="T65",22,"")))))))</f>
        <v/>
      </c>
      <c r="J2724" s="1" t="s">
        <v>1808</v>
      </c>
      <c r="K2724" s="10">
        <v>2</v>
      </c>
      <c r="L2724" s="10">
        <v>1</v>
      </c>
      <c r="O2724" s="6"/>
      <c r="P2724" s="10">
        <v>6</v>
      </c>
      <c r="Q2724" s="42" t="s">
        <v>6870</v>
      </c>
      <c r="R2724" s="42"/>
      <c r="S2724" s="1"/>
    </row>
    <row r="2725" spans="1:19" ht="18.75" hidden="1" customHeight="1" x14ac:dyDescent="0.3">
      <c r="A2725" s="10">
        <v>2724</v>
      </c>
      <c r="B2725" s="10">
        <f>_xlfn.XLOOKUP(1,(VALUE(D2725)&gt;=VALUE(block!$C$3:$C$500))*(VALUE(D2725)&lt;VALUE(block!$C$3:$C$500)+VALUE(block!$D$3:$D$500)),block!$A$3:$A$500,"无匹配",0,1)</f>
        <v>72</v>
      </c>
      <c r="C2725" s="3" t="str">
        <f>B2725 &amp; "-" &amp; COUNTIF($B$2:B2725, B2725)</f>
        <v>72-8</v>
      </c>
      <c r="D2725" s="10">
        <v>21168</v>
      </c>
      <c r="E2725" s="1" t="s">
        <v>6883</v>
      </c>
      <c r="F2725" s="1" t="s">
        <v>6884</v>
      </c>
      <c r="H2725" s="3" t="s">
        <v>6767</v>
      </c>
      <c r="I2725" s="10" t="str">
        <f>IF(H2725="T50",1,IF(H2725="T50",3,IF(H2725="T66",6,IF(H2725="T66",10,IF(H2725="T98",14,IF(H2725="T98",18,IF(H2725="T66",22,"")))))))</f>
        <v/>
      </c>
      <c r="J2725" s="1" t="s">
        <v>1808</v>
      </c>
      <c r="K2725" s="10">
        <v>4</v>
      </c>
      <c r="L2725" s="10">
        <v>1</v>
      </c>
      <c r="O2725" s="6"/>
      <c r="Q2725" s="42" t="s">
        <v>6870</v>
      </c>
      <c r="R2725" s="42"/>
      <c r="S2725" s="1"/>
    </row>
    <row r="2726" spans="1:19" ht="18.75" hidden="1" customHeight="1" x14ac:dyDescent="0.3">
      <c r="A2726" s="10">
        <v>2725</v>
      </c>
      <c r="B2726" s="10">
        <f>_xlfn.XLOOKUP(1,(VALUE(D2726)&gt;=VALUE(block!$C$3:$C$500))*(VALUE(D2726)&lt;VALUE(block!$C$3:$C$500)+VALUE(block!$D$3:$D$500)),block!$A$3:$A$500,"无匹配",0,1)</f>
        <v>72</v>
      </c>
      <c r="C2726" s="3" t="str">
        <f>B2726 &amp; "-" &amp; COUNTIF($B$2:B2726, B2726)</f>
        <v>72-9</v>
      </c>
      <c r="D2726" s="10">
        <v>21172</v>
      </c>
      <c r="E2726" s="1" t="s">
        <v>6885</v>
      </c>
      <c r="F2726" s="1" t="s">
        <v>6886</v>
      </c>
      <c r="G2726" s="1" t="s">
        <v>1840</v>
      </c>
      <c r="H2726" s="1" t="s">
        <v>1812</v>
      </c>
      <c r="I2726" s="10" t="str">
        <f>IF(H2726="T51",1,IF(H2726="T51",3,IF(H2726="T67",6,IF(H2726="T67",10,IF(H2726="T99",14,IF(H2726="T99",18,IF(H2726="T67",22,"")))))))</f>
        <v/>
      </c>
      <c r="J2726" s="1" t="s">
        <v>1808</v>
      </c>
      <c r="K2726" s="10">
        <v>2</v>
      </c>
      <c r="L2726" s="10">
        <v>1</v>
      </c>
      <c r="O2726" s="6"/>
      <c r="P2726" s="10">
        <v>6</v>
      </c>
      <c r="Q2726" s="42" t="s">
        <v>6870</v>
      </c>
      <c r="R2726" s="42"/>
      <c r="S2726" s="1"/>
    </row>
    <row r="2727" spans="1:19" ht="18.75" hidden="1" customHeight="1" x14ac:dyDescent="0.3">
      <c r="A2727" s="10">
        <v>2726</v>
      </c>
      <c r="B2727" s="10">
        <f>_xlfn.XLOOKUP(1,(VALUE(D2727)&gt;=VALUE(block!$C$3:$C$500))*(VALUE(D2727)&lt;VALUE(block!$C$3:$C$500)+VALUE(block!$D$3:$D$500)),block!$A$3:$A$500,"无匹配",0,1)</f>
        <v>72</v>
      </c>
      <c r="C2727" s="3" t="str">
        <f>B2727 &amp; "-" &amp; COUNTIF($B$2:B2727, B2727)</f>
        <v>72-10</v>
      </c>
      <c r="D2727" s="10">
        <v>21174</v>
      </c>
      <c r="E2727" s="1" t="s">
        <v>6887</v>
      </c>
      <c r="F2727" s="1" t="s">
        <v>6888</v>
      </c>
      <c r="H2727" s="3" t="s">
        <v>6767</v>
      </c>
      <c r="I2727" s="10" t="str">
        <f>IF(H2727="T52",1,IF(H2727="T52",3,IF(H2727="T68",6,IF(H2727="T68",10,IF(H2727="T100",14,IF(H2727="T100",18,IF(H2727="T68",22,"")))))))</f>
        <v/>
      </c>
      <c r="J2727" s="1" t="s">
        <v>1808</v>
      </c>
      <c r="K2727" s="10">
        <v>4</v>
      </c>
      <c r="L2727" s="10">
        <v>1</v>
      </c>
      <c r="O2727" s="6"/>
      <c r="Q2727" s="42" t="s">
        <v>6870</v>
      </c>
      <c r="R2727" s="42"/>
      <c r="S2727" s="1"/>
    </row>
    <row r="2728" spans="1:19" ht="18.75" hidden="1" customHeight="1" x14ac:dyDescent="0.3">
      <c r="A2728" s="10">
        <v>2727</v>
      </c>
      <c r="B2728" s="10">
        <f>_xlfn.XLOOKUP(1,(VALUE(D2728)&gt;=VALUE(block!$C$3:$C$500))*(VALUE(D2728)&lt;VALUE(block!$C$3:$C$500)+VALUE(block!$D$3:$D$500)),block!$A$3:$A$500,"无匹配",0,1)</f>
        <v>72</v>
      </c>
      <c r="C2728" s="3" t="str">
        <f>B2728 &amp; "-" &amp; COUNTIF($B$2:B2728, B2728)</f>
        <v>72-11</v>
      </c>
      <c r="D2728" s="10">
        <v>21178</v>
      </c>
      <c r="E2728" s="1" t="s">
        <v>6889</v>
      </c>
      <c r="F2728" s="1" t="s">
        <v>6890</v>
      </c>
      <c r="G2728" s="1" t="s">
        <v>1840</v>
      </c>
      <c r="H2728" s="1" t="s">
        <v>1812</v>
      </c>
      <c r="I2728" s="10" t="str">
        <f>IF(H2728="T53",1,IF(H2728="T53",3,IF(H2728="T69",6,IF(H2728="T69",10,IF(H2728="T101",14,IF(H2728="T101",18,IF(H2728="T69",22,"")))))))</f>
        <v/>
      </c>
      <c r="J2728" s="1" t="s">
        <v>1808</v>
      </c>
      <c r="K2728" s="10">
        <v>2</v>
      </c>
      <c r="L2728" s="10">
        <v>1</v>
      </c>
      <c r="O2728" s="6"/>
      <c r="P2728" s="10">
        <v>6</v>
      </c>
      <c r="Q2728" s="42" t="s">
        <v>6870</v>
      </c>
      <c r="R2728" s="42"/>
      <c r="S2728" s="1"/>
    </row>
    <row r="2729" spans="1:19" ht="18.75" hidden="1" customHeight="1" x14ac:dyDescent="0.3">
      <c r="A2729" s="10">
        <v>2728</v>
      </c>
      <c r="B2729" s="10">
        <f>_xlfn.XLOOKUP(1,(VALUE(D2729)&gt;=VALUE(block!$C$3:$C$500))*(VALUE(D2729)&lt;VALUE(block!$C$3:$C$500)+VALUE(block!$D$3:$D$500)),block!$A$3:$A$500,"无匹配",0,1)</f>
        <v>72</v>
      </c>
      <c r="C2729" s="3" t="str">
        <f>B2729 &amp; "-" &amp; COUNTIF($B$2:B2729, B2729)</f>
        <v>72-12</v>
      </c>
      <c r="D2729" s="10">
        <v>21180</v>
      </c>
      <c r="E2729" s="1" t="s">
        <v>6891</v>
      </c>
      <c r="F2729" s="1" t="s">
        <v>6892</v>
      </c>
      <c r="H2729" s="3" t="s">
        <v>6767</v>
      </c>
      <c r="I2729" s="10" t="str">
        <f>IF(H2729="T54",1,IF(H2729="T54",3,IF(H2729="T70",6,IF(H2729="T70",10,IF(H2729="T102",14,IF(H2729="T102",18,IF(H2729="T70",22,"")))))))</f>
        <v/>
      </c>
      <c r="J2729" s="1" t="s">
        <v>1808</v>
      </c>
      <c r="K2729" s="10">
        <v>4</v>
      </c>
      <c r="L2729" s="10">
        <v>1</v>
      </c>
      <c r="O2729" s="6"/>
      <c r="Q2729" s="42" t="s">
        <v>6870</v>
      </c>
      <c r="R2729" s="42"/>
      <c r="S2729" s="1"/>
    </row>
    <row r="2730" spans="1:19" ht="18.75" hidden="1" customHeight="1" x14ac:dyDescent="0.3">
      <c r="A2730" s="10">
        <v>2729</v>
      </c>
      <c r="B2730" s="10">
        <f>_xlfn.XLOOKUP(1,(VALUE(D2730)&gt;=VALUE(block!$C$3:$C$500))*(VALUE(D2730)&lt;VALUE(block!$C$3:$C$500)+VALUE(block!$D$3:$D$500)),block!$A$3:$A$500,"无匹配",0,1)</f>
        <v>72</v>
      </c>
      <c r="C2730" s="3" t="str">
        <f>B2730 &amp; "-" &amp; COUNTIF($B$2:B2730, B2730)</f>
        <v>72-13</v>
      </c>
      <c r="D2730" s="10">
        <v>21184</v>
      </c>
      <c r="E2730" s="1" t="s">
        <v>6893</v>
      </c>
      <c r="F2730" s="1" t="s">
        <v>6894</v>
      </c>
      <c r="G2730" s="1" t="s">
        <v>1830</v>
      </c>
      <c r="H2730" s="1" t="s">
        <v>1812</v>
      </c>
      <c r="I2730" s="10" t="str">
        <f>IF(H2730="T55",1,IF(H2730="T55",3,IF(H2730="T71",6,IF(H2730="T71",10,IF(H2730="T103",14,IF(H2730="T103",18,IF(H2730="T71",22,"")))))))</f>
        <v/>
      </c>
      <c r="J2730" s="1" t="s">
        <v>1808</v>
      </c>
      <c r="K2730" s="10">
        <v>2</v>
      </c>
      <c r="L2730" s="10">
        <v>1</v>
      </c>
      <c r="O2730" s="6"/>
      <c r="P2730" s="10">
        <v>6</v>
      </c>
      <c r="Q2730" s="42" t="s">
        <v>6870</v>
      </c>
      <c r="R2730" s="42"/>
      <c r="S2730" s="1"/>
    </row>
    <row r="2731" spans="1:19" ht="18.75" hidden="1" customHeight="1" x14ac:dyDescent="0.3">
      <c r="A2731" s="10">
        <v>2730</v>
      </c>
      <c r="B2731" s="10">
        <f>_xlfn.XLOOKUP(1,(VALUE(D2731)&gt;=VALUE(block!$C$3:$C$500))*(VALUE(D2731)&lt;VALUE(block!$C$3:$C$500)+VALUE(block!$D$3:$D$500)),block!$A$3:$A$500,"无匹配",0,1)</f>
        <v>72</v>
      </c>
      <c r="C2731" s="3" t="str">
        <f>B2731 &amp; "-" &amp; COUNTIF($B$2:B2731, B2731)</f>
        <v>72-14</v>
      </c>
      <c r="D2731" s="10">
        <v>21186</v>
      </c>
      <c r="E2731" s="1" t="s">
        <v>6895</v>
      </c>
      <c r="F2731" s="1" t="s">
        <v>6896</v>
      </c>
      <c r="H2731" s="3" t="s">
        <v>6767</v>
      </c>
      <c r="I2731" s="10" t="str">
        <f>IF(H2731="T56",1,IF(H2731="T56",3,IF(H2731="T72",6,IF(H2731="T72",10,IF(H2731="T104",14,IF(H2731="T104",18,IF(H2731="T72",22,"")))))))</f>
        <v/>
      </c>
      <c r="J2731" s="1" t="s">
        <v>1808</v>
      </c>
      <c r="K2731" s="10">
        <v>4</v>
      </c>
      <c r="L2731" s="10">
        <v>1</v>
      </c>
      <c r="O2731" s="6"/>
      <c r="Q2731" s="42" t="s">
        <v>6870</v>
      </c>
      <c r="R2731" s="42"/>
      <c r="S2731" s="1"/>
    </row>
    <row r="2732" spans="1:19" ht="18.75" hidden="1" customHeight="1" x14ac:dyDescent="0.3">
      <c r="A2732" s="10">
        <v>2731</v>
      </c>
      <c r="B2732" s="10">
        <f>_xlfn.XLOOKUP(1,(VALUE(D2732)&gt;=VALUE(block!$C$3:$C$500))*(VALUE(D2732)&lt;VALUE(block!$C$3:$C$500)+VALUE(block!$D$3:$D$500)),block!$A$3:$A$500,"无匹配",0,1)</f>
        <v>72</v>
      </c>
      <c r="C2732" s="3" t="str">
        <f>B2732 &amp; "-" &amp; COUNTIF($B$2:B2732, B2732)</f>
        <v>72-15</v>
      </c>
      <c r="D2732" s="10">
        <v>21190</v>
      </c>
      <c r="E2732" s="1" t="s">
        <v>6897</v>
      </c>
      <c r="F2732" s="1" t="s">
        <v>6898</v>
      </c>
      <c r="G2732" s="1" t="s">
        <v>1832</v>
      </c>
      <c r="H2732" s="1" t="s">
        <v>1812</v>
      </c>
      <c r="I2732" s="10" t="str">
        <f>IF(H2732="T57",1,IF(H2732="T57",3,IF(H2732="T73",6,IF(H2732="T73",10,IF(H2732="T105",14,IF(H2732="T105",18,IF(H2732="T73",22,"")))))))</f>
        <v/>
      </c>
      <c r="J2732" s="1" t="s">
        <v>1808</v>
      </c>
      <c r="K2732" s="10">
        <v>2</v>
      </c>
      <c r="L2732" s="10">
        <v>1</v>
      </c>
      <c r="O2732" s="6"/>
      <c r="P2732" s="10">
        <v>6</v>
      </c>
      <c r="Q2732" s="42" t="s">
        <v>6870</v>
      </c>
      <c r="R2732" s="42"/>
      <c r="S2732" s="1"/>
    </row>
    <row r="2733" spans="1:19" ht="18.75" hidden="1" customHeight="1" x14ac:dyDescent="0.3">
      <c r="A2733" s="10">
        <v>2732</v>
      </c>
      <c r="B2733" s="10">
        <f>_xlfn.XLOOKUP(1,(VALUE(D2733)&gt;=VALUE(block!$C$3:$C$500))*(VALUE(D2733)&lt;VALUE(block!$C$3:$C$500)+VALUE(block!$D$3:$D$500)),block!$A$3:$A$500,"无匹配",0,1)</f>
        <v>72</v>
      </c>
      <c r="C2733" s="3" t="str">
        <f>B2733 &amp; "-" &amp; COUNTIF($B$2:B2733, B2733)</f>
        <v>72-16</v>
      </c>
      <c r="D2733" s="10">
        <v>21192</v>
      </c>
      <c r="E2733" s="1" t="s">
        <v>6899</v>
      </c>
      <c r="F2733" s="1" t="s">
        <v>6900</v>
      </c>
      <c r="H2733" s="3" t="s">
        <v>6767</v>
      </c>
      <c r="I2733" s="10" t="str">
        <f>IF(H2733="T58",1,IF(H2733="T58",3,IF(H2733="T74",6,IF(H2733="T74",10,IF(H2733="T106",14,IF(H2733="T106",18,IF(H2733="T74",22,"")))))))</f>
        <v/>
      </c>
      <c r="J2733" s="1" t="s">
        <v>1808</v>
      </c>
      <c r="K2733" s="10">
        <v>4</v>
      </c>
      <c r="L2733" s="10">
        <v>1</v>
      </c>
      <c r="O2733" s="6"/>
      <c r="Q2733" s="42" t="s">
        <v>6870</v>
      </c>
      <c r="R2733" s="42"/>
      <c r="S2733" s="1"/>
    </row>
    <row r="2734" spans="1:19" ht="18.75" hidden="1" customHeight="1" x14ac:dyDescent="0.3">
      <c r="A2734" s="10">
        <v>2733</v>
      </c>
      <c r="B2734" s="10">
        <f>_xlfn.XLOOKUP(1,(VALUE(D2734)&gt;=VALUE(block!$C$3:$C$500))*(VALUE(D2734)&lt;VALUE(block!$C$3:$C$500)+VALUE(block!$D$3:$D$500)),block!$A$3:$A$500,"无匹配",0,1)</f>
        <v>72</v>
      </c>
      <c r="C2734" s="3" t="str">
        <f>B2734 &amp; "-" &amp; COUNTIF($B$2:B2734, B2734)</f>
        <v>72-17</v>
      </c>
      <c r="D2734" s="10">
        <v>21196</v>
      </c>
      <c r="E2734" s="1" t="s">
        <v>6901</v>
      </c>
      <c r="F2734" s="1" t="s">
        <v>6902</v>
      </c>
      <c r="G2734" s="1" t="s">
        <v>1834</v>
      </c>
      <c r="H2734" s="1" t="s">
        <v>1812</v>
      </c>
      <c r="I2734" s="10" t="str">
        <f>IF(H2734="T59",1,IF(H2734="T59",3,IF(H2734="T75",6,IF(H2734="T75",10,IF(H2734="T107",14,IF(H2734="T107",18,IF(H2734="T75",22,"")))))))</f>
        <v/>
      </c>
      <c r="J2734" s="1" t="s">
        <v>1808</v>
      </c>
      <c r="K2734" s="10">
        <v>2</v>
      </c>
      <c r="L2734" s="10">
        <v>1</v>
      </c>
      <c r="O2734" s="6"/>
      <c r="P2734" s="10">
        <v>6</v>
      </c>
      <c r="Q2734" s="42" t="s">
        <v>6870</v>
      </c>
      <c r="R2734" s="42"/>
      <c r="S2734" s="1"/>
    </row>
    <row r="2735" spans="1:19" ht="18.75" hidden="1" customHeight="1" x14ac:dyDescent="0.3">
      <c r="A2735" s="10">
        <v>2734</v>
      </c>
      <c r="B2735" s="10">
        <f>_xlfn.XLOOKUP(1,(VALUE(D2735)&gt;=VALUE(block!$C$3:$C$500))*(VALUE(D2735)&lt;VALUE(block!$C$3:$C$500)+VALUE(block!$D$3:$D$500)),block!$A$3:$A$500,"无匹配",0,1)</f>
        <v>72</v>
      </c>
      <c r="C2735" s="3" t="str">
        <f>B2735 &amp; "-" &amp; COUNTIF($B$2:B2735, B2735)</f>
        <v>72-18</v>
      </c>
      <c r="D2735" s="10">
        <v>21198</v>
      </c>
      <c r="E2735" s="1" t="s">
        <v>6903</v>
      </c>
      <c r="F2735" s="1" t="s">
        <v>6904</v>
      </c>
      <c r="H2735" s="3" t="s">
        <v>6767</v>
      </c>
      <c r="I2735" s="10" t="str">
        <f>IF(H2735="T60",1,IF(H2735="T60",3,IF(H2735="T76",6,IF(H2735="T76",10,IF(H2735="T108",14,IF(H2735="T108",18,IF(H2735="T76",22,"")))))))</f>
        <v/>
      </c>
      <c r="J2735" s="1" t="s">
        <v>1808</v>
      </c>
      <c r="K2735" s="10">
        <v>4</v>
      </c>
      <c r="L2735" s="10">
        <v>1</v>
      </c>
      <c r="O2735" s="6"/>
      <c r="Q2735" s="42" t="s">
        <v>6870</v>
      </c>
      <c r="R2735" s="42"/>
      <c r="S2735" s="1"/>
    </row>
    <row r="2736" spans="1:19" ht="18.75" hidden="1" customHeight="1" x14ac:dyDescent="0.3">
      <c r="A2736" s="10">
        <v>2735</v>
      </c>
      <c r="B2736" s="10">
        <f>_xlfn.XLOOKUP(1,(VALUE(D2736)&gt;=VALUE(block!$C$3:$C$500))*(VALUE(D2736)&lt;VALUE(block!$C$3:$C$500)+VALUE(block!$D$3:$D$500)),block!$A$3:$A$500,"无匹配",0,1)</f>
        <v>72</v>
      </c>
      <c r="C2736" s="3" t="str">
        <f>B2736 &amp; "-" &amp; COUNTIF($B$2:B2736, B2736)</f>
        <v>72-19</v>
      </c>
      <c r="D2736" s="10">
        <v>21202</v>
      </c>
      <c r="E2736" s="1" t="s">
        <v>6905</v>
      </c>
      <c r="F2736" s="1" t="s">
        <v>6906</v>
      </c>
      <c r="G2736" s="1" t="s">
        <v>1836</v>
      </c>
      <c r="H2736" s="1" t="s">
        <v>1812</v>
      </c>
      <c r="I2736" s="10" t="str">
        <f>IF(H2736="T61",1,IF(H2736="T61",3,IF(H2736="T77",6,IF(H2736="T77",10,IF(H2736="T109",14,IF(H2736="T109",18,IF(H2736="T77",22,"")))))))</f>
        <v/>
      </c>
      <c r="J2736" s="1" t="s">
        <v>1808</v>
      </c>
      <c r="K2736" s="10">
        <v>2</v>
      </c>
      <c r="L2736" s="10">
        <v>1</v>
      </c>
      <c r="O2736" s="6"/>
      <c r="P2736" s="10">
        <v>6</v>
      </c>
      <c r="Q2736" s="42" t="s">
        <v>6870</v>
      </c>
      <c r="R2736" s="42"/>
      <c r="S2736" s="1"/>
    </row>
    <row r="2737" spans="1:19" ht="18.75" hidden="1" customHeight="1" x14ac:dyDescent="0.3">
      <c r="A2737" s="10">
        <v>2736</v>
      </c>
      <c r="B2737" s="10">
        <f>_xlfn.XLOOKUP(1,(VALUE(D2737)&gt;=VALUE(block!$C$3:$C$500))*(VALUE(D2737)&lt;VALUE(block!$C$3:$C$500)+VALUE(block!$D$3:$D$500)),block!$A$3:$A$500,"无匹配",0,1)</f>
        <v>72</v>
      </c>
      <c r="C2737" s="3" t="str">
        <f>B2737 &amp; "-" &amp; COUNTIF($B$2:B2737, B2737)</f>
        <v>72-20</v>
      </c>
      <c r="D2737" s="10">
        <v>21204</v>
      </c>
      <c r="E2737" s="1" t="s">
        <v>6907</v>
      </c>
      <c r="F2737" s="1" t="s">
        <v>6908</v>
      </c>
      <c r="H2737" s="3" t="s">
        <v>6767</v>
      </c>
      <c r="I2737" s="10" t="str">
        <f>IF(H2737="T62",1,IF(H2737="T62",3,IF(H2737="T78",6,IF(H2737="T78",10,IF(H2737="T110",14,IF(H2737="T110",18,IF(H2737="T78",22,"")))))))</f>
        <v/>
      </c>
      <c r="J2737" s="1" t="s">
        <v>1808</v>
      </c>
      <c r="K2737" s="10">
        <v>4</v>
      </c>
      <c r="L2737" s="10">
        <v>1</v>
      </c>
      <c r="O2737" s="6"/>
      <c r="Q2737" s="42" t="s">
        <v>6870</v>
      </c>
      <c r="R2737" s="42"/>
      <c r="S2737" s="1"/>
    </row>
    <row r="2738" spans="1:19" ht="18.75" hidden="1" customHeight="1" x14ac:dyDescent="0.3">
      <c r="A2738" s="10">
        <v>2737</v>
      </c>
      <c r="B2738" s="10">
        <f>_xlfn.XLOOKUP(1,(VALUE(D2738)&gt;=VALUE(block!$C$3:$C$500))*(VALUE(D2738)&lt;VALUE(block!$C$3:$C$500)+VALUE(block!$D$3:$D$500)),block!$A$3:$A$500,"无匹配",0,1)</f>
        <v>72</v>
      </c>
      <c r="C2738" s="3" t="str">
        <f>B2738 &amp; "-" &amp; COUNTIF($B$2:B2738, B2738)</f>
        <v>72-21</v>
      </c>
      <c r="D2738" s="10">
        <v>21208</v>
      </c>
      <c r="E2738" s="1" t="s">
        <v>6909</v>
      </c>
      <c r="F2738" s="1" t="s">
        <v>6910</v>
      </c>
      <c r="G2738" s="1" t="s">
        <v>1840</v>
      </c>
      <c r="H2738" s="1" t="s">
        <v>1812</v>
      </c>
      <c r="I2738" s="10" t="str">
        <f>IF(H2738="T63",1,IF(H2738="T63",3,IF(H2738="T79",6,IF(H2738="T79",10,IF(H2738="T111",14,IF(H2738="T111",18,IF(H2738="T79",22,"")))))))</f>
        <v/>
      </c>
      <c r="J2738" s="1" t="s">
        <v>1808</v>
      </c>
      <c r="K2738" s="10">
        <v>2</v>
      </c>
      <c r="L2738" s="10">
        <v>1</v>
      </c>
      <c r="O2738" s="6"/>
      <c r="P2738" s="10">
        <v>6</v>
      </c>
      <c r="Q2738" s="42" t="s">
        <v>6870</v>
      </c>
      <c r="R2738" s="42"/>
      <c r="S2738" s="1"/>
    </row>
    <row r="2739" spans="1:19" ht="18.75" hidden="1" customHeight="1" x14ac:dyDescent="0.3">
      <c r="A2739" s="10">
        <v>2738</v>
      </c>
      <c r="B2739" s="10">
        <f>_xlfn.XLOOKUP(1,(VALUE(D2739)&gt;=VALUE(block!$C$3:$C$500))*(VALUE(D2739)&lt;VALUE(block!$C$3:$C$500)+VALUE(block!$D$3:$D$500)),block!$A$3:$A$500,"无匹配",0,1)</f>
        <v>72</v>
      </c>
      <c r="C2739" s="3" t="str">
        <f>B2739 &amp; "-" &amp; COUNTIF($B$2:B2739, B2739)</f>
        <v>72-22</v>
      </c>
      <c r="D2739" s="10">
        <v>21210</v>
      </c>
      <c r="E2739" s="1" t="s">
        <v>6911</v>
      </c>
      <c r="F2739" s="1" t="s">
        <v>6912</v>
      </c>
      <c r="H2739" s="3" t="s">
        <v>6767</v>
      </c>
      <c r="I2739" s="10" t="str">
        <f>IF(H2739="T64",1,IF(H2739="T64",3,IF(H2739="T80",6,IF(H2739="T80",10,IF(H2739="T112",14,IF(H2739="T112",18,IF(H2739="T80",22,"")))))))</f>
        <v/>
      </c>
      <c r="J2739" s="1" t="s">
        <v>1808</v>
      </c>
      <c r="K2739" s="10">
        <v>4</v>
      </c>
      <c r="L2739" s="10">
        <v>1</v>
      </c>
      <c r="O2739" s="6"/>
      <c r="Q2739" s="42" t="s">
        <v>6870</v>
      </c>
      <c r="R2739" s="42"/>
      <c r="S2739" s="1"/>
    </row>
    <row r="2740" spans="1:19" ht="18.75" hidden="1" customHeight="1" x14ac:dyDescent="0.3">
      <c r="A2740" s="10">
        <v>2739</v>
      </c>
      <c r="B2740" s="10">
        <f>_xlfn.XLOOKUP(1,(VALUE(D2740)&gt;=VALUE(block!$C$3:$C$500))*(VALUE(D2740)&lt;VALUE(block!$C$3:$C$500)+VALUE(block!$D$3:$D$500)),block!$A$3:$A$500,"无匹配",0,1)</f>
        <v>72</v>
      </c>
      <c r="C2740" s="3" t="str">
        <f>B2740 &amp; "-" &amp; COUNTIF($B$2:B2740, B2740)</f>
        <v>72-23</v>
      </c>
      <c r="D2740" s="10">
        <v>21214</v>
      </c>
      <c r="E2740" s="1" t="s">
        <v>6913</v>
      </c>
      <c r="F2740" s="1" t="s">
        <v>6914</v>
      </c>
      <c r="G2740" s="1" t="s">
        <v>1840</v>
      </c>
      <c r="H2740" s="1" t="s">
        <v>1812</v>
      </c>
      <c r="I2740" s="10" t="str">
        <f>IF(H2740="T65",1,IF(H2740="T65",3,IF(H2740="T81",6,IF(H2740="T81",10,IF(H2740="T113",14,IF(H2740="T113",18,IF(H2740="T81",22,"")))))))</f>
        <v/>
      </c>
      <c r="J2740" s="1" t="s">
        <v>1808</v>
      </c>
      <c r="K2740" s="10">
        <v>2</v>
      </c>
      <c r="L2740" s="10">
        <v>1</v>
      </c>
      <c r="O2740" s="6"/>
      <c r="P2740" s="10">
        <v>6</v>
      </c>
      <c r="Q2740" s="42" t="s">
        <v>6870</v>
      </c>
      <c r="R2740" s="42"/>
      <c r="S2740" s="1"/>
    </row>
    <row r="2741" spans="1:19" ht="18.75" hidden="1" customHeight="1" x14ac:dyDescent="0.3">
      <c r="A2741" s="10">
        <v>2740</v>
      </c>
      <c r="B2741" s="10">
        <f>_xlfn.XLOOKUP(1,(VALUE(D2741)&gt;=VALUE(block!$C$3:$C$500))*(VALUE(D2741)&lt;VALUE(block!$C$3:$C$500)+VALUE(block!$D$3:$D$500)),block!$A$3:$A$500,"无匹配",0,1)</f>
        <v>72</v>
      </c>
      <c r="C2741" s="3" t="str">
        <f>B2741 &amp; "-" &amp; COUNTIF($B$2:B2741, B2741)</f>
        <v>72-24</v>
      </c>
      <c r="D2741" s="10">
        <v>21216</v>
      </c>
      <c r="E2741" s="1" t="s">
        <v>6915</v>
      </c>
      <c r="F2741" s="1" t="s">
        <v>6916</v>
      </c>
      <c r="H2741" s="3" t="s">
        <v>6767</v>
      </c>
      <c r="I2741" s="10" t="str">
        <f>IF(H2741="T66",1,IF(H2741="T66",3,IF(H2741="T82",6,IF(H2741="T82",10,IF(H2741="T114",14,IF(H2741="T114",18,IF(H2741="T82",22,"")))))))</f>
        <v/>
      </c>
      <c r="J2741" s="1" t="s">
        <v>1808</v>
      </c>
      <c r="K2741" s="10">
        <v>4</v>
      </c>
      <c r="L2741" s="10">
        <v>1</v>
      </c>
      <c r="O2741" s="6"/>
      <c r="Q2741" s="42" t="s">
        <v>6870</v>
      </c>
      <c r="R2741" s="42"/>
      <c r="S2741" s="1"/>
    </row>
    <row r="2742" spans="1:19" ht="18.75" hidden="1" customHeight="1" x14ac:dyDescent="0.3">
      <c r="A2742" s="10">
        <v>2741</v>
      </c>
      <c r="B2742" s="10">
        <f>_xlfn.XLOOKUP(1,(VALUE(D2742)&gt;=VALUE(block!$C$3:$C$500))*(VALUE(D2742)&lt;VALUE(block!$C$3:$C$500)+VALUE(block!$D$3:$D$500)),block!$A$3:$A$500,"无匹配",0,1)</f>
        <v>72</v>
      </c>
      <c r="C2742" s="3" t="str">
        <f>B2742 &amp; "-" &amp; COUNTIF($B$2:B2742, B2742)</f>
        <v>72-25</v>
      </c>
      <c r="D2742" s="10">
        <v>21220</v>
      </c>
      <c r="E2742" s="1" t="s">
        <v>6917</v>
      </c>
      <c r="F2742" s="1" t="s">
        <v>6918</v>
      </c>
      <c r="G2742" s="1" t="s">
        <v>1830</v>
      </c>
      <c r="H2742" s="1" t="s">
        <v>1812</v>
      </c>
      <c r="I2742" s="10" t="str">
        <f>IF(H2742="T67",1,IF(H2742="T67",3,IF(H2742="T83",6,IF(H2742="T83",10,IF(H2742="T115",14,IF(H2742="T115",18,IF(H2742="T83",22,"")))))))</f>
        <v/>
      </c>
      <c r="J2742" s="1" t="s">
        <v>1808</v>
      </c>
      <c r="K2742" s="10">
        <v>2</v>
      </c>
      <c r="L2742" s="10">
        <v>1</v>
      </c>
      <c r="O2742" s="6"/>
      <c r="P2742" s="10">
        <v>6</v>
      </c>
      <c r="Q2742" s="42" t="s">
        <v>6870</v>
      </c>
      <c r="R2742" s="42"/>
      <c r="S2742" s="1"/>
    </row>
    <row r="2743" spans="1:19" ht="18.75" hidden="1" customHeight="1" x14ac:dyDescent="0.3">
      <c r="A2743" s="10">
        <v>2742</v>
      </c>
      <c r="B2743" s="10">
        <f>_xlfn.XLOOKUP(1,(VALUE(D2743)&gt;=VALUE(block!$C$3:$C$500))*(VALUE(D2743)&lt;VALUE(block!$C$3:$C$500)+VALUE(block!$D$3:$D$500)),block!$A$3:$A$500,"无匹配",0,1)</f>
        <v>72</v>
      </c>
      <c r="C2743" s="3" t="str">
        <f>B2743 &amp; "-" &amp; COUNTIF($B$2:B2743, B2743)</f>
        <v>72-26</v>
      </c>
      <c r="D2743" s="10">
        <v>21222</v>
      </c>
      <c r="E2743" s="1" t="s">
        <v>6919</v>
      </c>
      <c r="F2743" s="1" t="s">
        <v>6920</v>
      </c>
      <c r="H2743" s="3" t="s">
        <v>6767</v>
      </c>
      <c r="I2743" s="10" t="str">
        <f>IF(H2743="T68",1,IF(H2743="T68",3,IF(H2743="T84",6,IF(H2743="T84",10,IF(H2743="T116",14,IF(H2743="T116",18,IF(H2743="T84",22,"")))))))</f>
        <v/>
      </c>
      <c r="J2743" s="1" t="s">
        <v>1808</v>
      </c>
      <c r="K2743" s="10">
        <v>4</v>
      </c>
      <c r="L2743" s="10">
        <v>1</v>
      </c>
      <c r="O2743" s="6"/>
      <c r="Q2743" s="42" t="s">
        <v>6870</v>
      </c>
      <c r="R2743" s="42"/>
      <c r="S2743" s="1"/>
    </row>
    <row r="2744" spans="1:19" ht="18.75" hidden="1" customHeight="1" x14ac:dyDescent="0.3">
      <c r="A2744" s="10">
        <v>2743</v>
      </c>
      <c r="B2744" s="10">
        <f>_xlfn.XLOOKUP(1,(VALUE(D2744)&gt;=VALUE(block!$C$3:$C$500))*(VALUE(D2744)&lt;VALUE(block!$C$3:$C$500)+VALUE(block!$D$3:$D$500)),block!$A$3:$A$500,"无匹配",0,1)</f>
        <v>72</v>
      </c>
      <c r="C2744" s="3" t="str">
        <f>B2744 &amp; "-" &amp; COUNTIF($B$2:B2744, B2744)</f>
        <v>72-27</v>
      </c>
      <c r="D2744" s="10">
        <v>21226</v>
      </c>
      <c r="E2744" s="1" t="s">
        <v>6921</v>
      </c>
      <c r="F2744" s="1" t="s">
        <v>6922</v>
      </c>
      <c r="G2744" s="1" t="s">
        <v>1832</v>
      </c>
      <c r="H2744" s="1" t="s">
        <v>1812</v>
      </c>
      <c r="I2744" s="10" t="str">
        <f>IF(H2744="T69",1,IF(H2744="T69",3,IF(H2744="T85",6,IF(H2744="T85",10,IF(H2744="T117",14,IF(H2744="T117",18,IF(H2744="T85",22,"")))))))</f>
        <v/>
      </c>
      <c r="J2744" s="1" t="s">
        <v>1808</v>
      </c>
      <c r="K2744" s="10">
        <v>2</v>
      </c>
      <c r="L2744" s="10">
        <v>1</v>
      </c>
      <c r="O2744" s="6"/>
      <c r="P2744" s="10">
        <v>6</v>
      </c>
      <c r="Q2744" s="42" t="s">
        <v>6870</v>
      </c>
      <c r="R2744" s="42"/>
      <c r="S2744" s="1"/>
    </row>
    <row r="2745" spans="1:19" ht="18.75" hidden="1" customHeight="1" x14ac:dyDescent="0.3">
      <c r="A2745" s="10">
        <v>2744</v>
      </c>
      <c r="B2745" s="10">
        <f>_xlfn.XLOOKUP(1,(VALUE(D2745)&gt;=VALUE(block!$C$3:$C$500))*(VALUE(D2745)&lt;VALUE(block!$C$3:$C$500)+VALUE(block!$D$3:$D$500)),block!$A$3:$A$500,"无匹配",0,1)</f>
        <v>72</v>
      </c>
      <c r="C2745" s="3" t="str">
        <f>B2745 &amp; "-" &amp; COUNTIF($B$2:B2745, B2745)</f>
        <v>72-28</v>
      </c>
      <c r="D2745" s="10">
        <v>21228</v>
      </c>
      <c r="E2745" s="1" t="s">
        <v>6923</v>
      </c>
      <c r="F2745" s="1" t="s">
        <v>6924</v>
      </c>
      <c r="H2745" s="3" t="s">
        <v>6767</v>
      </c>
      <c r="I2745" s="10" t="str">
        <f>IF(H2745="T70",1,IF(H2745="T70",3,IF(H2745="T86",6,IF(H2745="T86",10,IF(H2745="T118",14,IF(H2745="T118",18,IF(H2745="T86",22,"")))))))</f>
        <v/>
      </c>
      <c r="J2745" s="1" t="s">
        <v>1808</v>
      </c>
      <c r="K2745" s="10">
        <v>4</v>
      </c>
      <c r="L2745" s="10">
        <v>1</v>
      </c>
      <c r="O2745" s="6"/>
      <c r="Q2745" s="42" t="s">
        <v>6870</v>
      </c>
      <c r="R2745" s="42"/>
      <c r="S2745" s="1"/>
    </row>
    <row r="2746" spans="1:19" ht="18.75" hidden="1" customHeight="1" x14ac:dyDescent="0.3">
      <c r="A2746" s="10">
        <v>2745</v>
      </c>
      <c r="B2746" s="10">
        <f>_xlfn.XLOOKUP(1,(VALUE(D2746)&gt;=VALUE(block!$C$3:$C$500))*(VALUE(D2746)&lt;VALUE(block!$C$3:$C$500)+VALUE(block!$D$3:$D$500)),block!$A$3:$A$500,"无匹配",0,1)</f>
        <v>72</v>
      </c>
      <c r="C2746" s="3" t="str">
        <f>B2746 &amp; "-" &amp; COUNTIF($B$2:B2746, B2746)</f>
        <v>72-29</v>
      </c>
      <c r="D2746" s="10">
        <v>21232</v>
      </c>
      <c r="E2746" s="1" t="s">
        <v>6925</v>
      </c>
      <c r="F2746" s="1" t="s">
        <v>6926</v>
      </c>
      <c r="G2746" s="1" t="s">
        <v>1834</v>
      </c>
      <c r="H2746" s="1" t="s">
        <v>1812</v>
      </c>
      <c r="I2746" s="10" t="str">
        <f>IF(H2746="T71",1,IF(H2746="T71",3,IF(H2746="T87",6,IF(H2746="T87",10,IF(H2746="T119",14,IF(H2746="T119",18,IF(H2746="T87",22,"")))))))</f>
        <v/>
      </c>
      <c r="J2746" s="1" t="s">
        <v>1808</v>
      </c>
      <c r="K2746" s="10">
        <v>2</v>
      </c>
      <c r="L2746" s="10">
        <v>1</v>
      </c>
      <c r="O2746" s="6"/>
      <c r="P2746" s="10">
        <v>6</v>
      </c>
      <c r="Q2746" s="42" t="s">
        <v>6870</v>
      </c>
      <c r="R2746" s="42"/>
      <c r="S2746" s="1"/>
    </row>
    <row r="2747" spans="1:19" ht="18.75" hidden="1" customHeight="1" x14ac:dyDescent="0.3">
      <c r="A2747" s="10">
        <v>2746</v>
      </c>
      <c r="B2747" s="10">
        <f>_xlfn.XLOOKUP(1,(VALUE(D2747)&gt;=VALUE(block!$C$3:$C$500))*(VALUE(D2747)&lt;VALUE(block!$C$3:$C$500)+VALUE(block!$D$3:$D$500)),block!$A$3:$A$500,"无匹配",0,1)</f>
        <v>72</v>
      </c>
      <c r="C2747" s="3" t="str">
        <f>B2747 &amp; "-" &amp; COUNTIF($B$2:B2747, B2747)</f>
        <v>72-30</v>
      </c>
      <c r="D2747" s="10">
        <v>21234</v>
      </c>
      <c r="E2747" s="1" t="s">
        <v>6927</v>
      </c>
      <c r="F2747" s="1" t="s">
        <v>6928</v>
      </c>
      <c r="H2747" s="3" t="s">
        <v>6767</v>
      </c>
      <c r="I2747" s="10" t="str">
        <f>IF(H2747="T72",1,IF(H2747="T72",3,IF(H2747="T88",6,IF(H2747="T88",10,IF(H2747="T120",14,IF(H2747="T120",18,IF(H2747="T88",22,"")))))))</f>
        <v/>
      </c>
      <c r="J2747" s="1" t="s">
        <v>1808</v>
      </c>
      <c r="K2747" s="10">
        <v>4</v>
      </c>
      <c r="L2747" s="10">
        <v>1</v>
      </c>
      <c r="O2747" s="6"/>
      <c r="Q2747" s="42" t="s">
        <v>6870</v>
      </c>
      <c r="R2747" s="42"/>
      <c r="S2747" s="1"/>
    </row>
    <row r="2748" spans="1:19" ht="18.75" hidden="1" customHeight="1" x14ac:dyDescent="0.3">
      <c r="A2748" s="10">
        <v>2747</v>
      </c>
      <c r="B2748" s="10">
        <f>_xlfn.XLOOKUP(1,(VALUE(D2748)&gt;=VALUE(block!$C$3:$C$500))*(VALUE(D2748)&lt;VALUE(block!$C$3:$C$500)+VALUE(block!$D$3:$D$500)),block!$A$3:$A$500,"无匹配",0,1)</f>
        <v>72</v>
      </c>
      <c r="C2748" s="3" t="str">
        <f>B2748 &amp; "-" &amp; COUNTIF($B$2:B2748, B2748)</f>
        <v>72-31</v>
      </c>
      <c r="D2748" s="10">
        <v>21238</v>
      </c>
      <c r="E2748" s="1" t="s">
        <v>6929</v>
      </c>
      <c r="F2748" s="1" t="s">
        <v>6930</v>
      </c>
      <c r="G2748" s="1" t="s">
        <v>1836</v>
      </c>
      <c r="H2748" s="1" t="s">
        <v>1812</v>
      </c>
      <c r="I2748" s="10" t="str">
        <f>IF(H2748="T73",1,IF(H2748="T73",3,IF(H2748="T89",6,IF(H2748="T89",10,IF(H2748="T121",14,IF(H2748="T121",18,IF(H2748="T89",22,"")))))))</f>
        <v/>
      </c>
      <c r="J2748" s="1" t="s">
        <v>1808</v>
      </c>
      <c r="K2748" s="10">
        <v>2</v>
      </c>
      <c r="L2748" s="10">
        <v>1</v>
      </c>
      <c r="O2748" s="6"/>
      <c r="P2748" s="10">
        <v>6</v>
      </c>
      <c r="Q2748" s="42" t="s">
        <v>6870</v>
      </c>
      <c r="R2748" s="42"/>
      <c r="S2748" s="1"/>
    </row>
    <row r="2749" spans="1:19" ht="18.75" hidden="1" customHeight="1" x14ac:dyDescent="0.3">
      <c r="A2749" s="10">
        <v>2748</v>
      </c>
      <c r="B2749" s="10">
        <f>_xlfn.XLOOKUP(1,(VALUE(D2749)&gt;=VALUE(block!$C$3:$C$500))*(VALUE(D2749)&lt;VALUE(block!$C$3:$C$500)+VALUE(block!$D$3:$D$500)),block!$A$3:$A$500,"无匹配",0,1)</f>
        <v>72</v>
      </c>
      <c r="C2749" s="3" t="str">
        <f>B2749 &amp; "-" &amp; COUNTIF($B$2:B2749, B2749)</f>
        <v>72-32</v>
      </c>
      <c r="D2749" s="10">
        <v>21240</v>
      </c>
      <c r="E2749" s="1" t="s">
        <v>6931</v>
      </c>
      <c r="F2749" s="1" t="s">
        <v>6932</v>
      </c>
      <c r="H2749" s="3" t="s">
        <v>6767</v>
      </c>
      <c r="I2749" s="10" t="str">
        <f>IF(H2749="T74",1,IF(H2749="T74",3,IF(H2749="T90",6,IF(H2749="T90",10,IF(H2749="T122",14,IF(H2749="T122",18,IF(H2749="T90",22,"")))))))</f>
        <v/>
      </c>
      <c r="J2749" s="1" t="s">
        <v>1808</v>
      </c>
      <c r="K2749" s="10">
        <v>4</v>
      </c>
      <c r="L2749" s="10">
        <v>1</v>
      </c>
      <c r="O2749" s="6"/>
      <c r="Q2749" s="42" t="s">
        <v>6870</v>
      </c>
      <c r="R2749" s="42"/>
      <c r="S2749" s="1"/>
    </row>
    <row r="2750" spans="1:19" ht="18.75" hidden="1" customHeight="1" x14ac:dyDescent="0.3">
      <c r="A2750" s="10">
        <v>2749</v>
      </c>
      <c r="B2750" s="10">
        <f>_xlfn.XLOOKUP(1,(VALUE(D2750)&gt;=VALUE(block!$C$3:$C$500))*(VALUE(D2750)&lt;VALUE(block!$C$3:$C$500)+VALUE(block!$D$3:$D$500)),block!$A$3:$A$500,"无匹配",0,1)</f>
        <v>72</v>
      </c>
      <c r="C2750" s="3" t="str">
        <f>B2750 &amp; "-" &amp; COUNTIF($B$2:B2750, B2750)</f>
        <v>72-33</v>
      </c>
      <c r="D2750" s="10">
        <v>21244</v>
      </c>
      <c r="E2750" s="1" t="s">
        <v>6933</v>
      </c>
      <c r="F2750" s="1" t="s">
        <v>6934</v>
      </c>
      <c r="G2750" s="1" t="s">
        <v>1840</v>
      </c>
      <c r="H2750" s="1" t="s">
        <v>1812</v>
      </c>
      <c r="I2750" s="10" t="str">
        <f>IF(H2750="T75",1,IF(H2750="T75",3,IF(H2750="T91",6,IF(H2750="T91",10,IF(H2750="T123",14,IF(H2750="T123",18,IF(H2750="T91",22,"")))))))</f>
        <v/>
      </c>
      <c r="J2750" s="1" t="s">
        <v>1808</v>
      </c>
      <c r="K2750" s="10">
        <v>2</v>
      </c>
      <c r="L2750" s="10">
        <v>1</v>
      </c>
      <c r="O2750" s="6"/>
      <c r="P2750" s="10">
        <v>6</v>
      </c>
      <c r="Q2750" s="42" t="s">
        <v>6870</v>
      </c>
      <c r="R2750" s="42"/>
      <c r="S2750" s="1"/>
    </row>
    <row r="2751" spans="1:19" ht="18.75" hidden="1" customHeight="1" x14ac:dyDescent="0.3">
      <c r="A2751" s="10">
        <v>2750</v>
      </c>
      <c r="B2751" s="10">
        <f>_xlfn.XLOOKUP(1,(VALUE(D2751)&gt;=VALUE(block!$C$3:$C$500))*(VALUE(D2751)&lt;VALUE(block!$C$3:$C$500)+VALUE(block!$D$3:$D$500)),block!$A$3:$A$500,"无匹配",0,1)</f>
        <v>72</v>
      </c>
      <c r="C2751" s="3" t="str">
        <f>B2751 &amp; "-" &amp; COUNTIF($B$2:B2751, B2751)</f>
        <v>72-34</v>
      </c>
      <c r="D2751" s="10">
        <v>21246</v>
      </c>
      <c r="E2751" s="1" t="s">
        <v>6935</v>
      </c>
      <c r="F2751" s="1" t="s">
        <v>6936</v>
      </c>
      <c r="H2751" s="3" t="s">
        <v>6767</v>
      </c>
      <c r="I2751" s="10" t="str">
        <f>IF(H2751="T76",1,IF(H2751="T76",3,IF(H2751="T92",6,IF(H2751="T92",10,IF(H2751="T124",14,IF(H2751="T124",18,IF(H2751="T92",22,"")))))))</f>
        <v/>
      </c>
      <c r="J2751" s="1" t="s">
        <v>1808</v>
      </c>
      <c r="K2751" s="10">
        <v>4</v>
      </c>
      <c r="L2751" s="10">
        <v>1</v>
      </c>
      <c r="O2751" s="6"/>
      <c r="Q2751" s="42" t="s">
        <v>6870</v>
      </c>
      <c r="R2751" s="42"/>
      <c r="S2751" s="1"/>
    </row>
    <row r="2752" spans="1:19" ht="18.75" hidden="1" customHeight="1" x14ac:dyDescent="0.3">
      <c r="A2752" s="10">
        <v>2751</v>
      </c>
      <c r="B2752" s="10">
        <f>_xlfn.XLOOKUP(1,(VALUE(D2752)&gt;=VALUE(block!$C$3:$C$500))*(VALUE(D2752)&lt;VALUE(block!$C$3:$C$500)+VALUE(block!$D$3:$D$500)),block!$A$3:$A$500,"无匹配",0,1)</f>
        <v>72</v>
      </c>
      <c r="C2752" s="3" t="str">
        <f>B2752 &amp; "-" &amp; COUNTIF($B$2:B2752, B2752)</f>
        <v>72-35</v>
      </c>
      <c r="D2752" s="10">
        <v>21250</v>
      </c>
      <c r="E2752" s="1" t="s">
        <v>6937</v>
      </c>
      <c r="F2752" s="1" t="s">
        <v>6938</v>
      </c>
      <c r="G2752" s="1" t="s">
        <v>1840</v>
      </c>
      <c r="H2752" s="1" t="s">
        <v>1812</v>
      </c>
      <c r="I2752" s="10" t="str">
        <f>IF(H2752="T77",1,IF(H2752="T77",3,IF(H2752="T93",6,IF(H2752="T93",10,IF(H2752="T125",14,IF(H2752="T125",18,IF(H2752="T93",22,"")))))))</f>
        <v/>
      </c>
      <c r="J2752" s="1" t="s">
        <v>1808</v>
      </c>
      <c r="K2752" s="10">
        <v>2</v>
      </c>
      <c r="L2752" s="10">
        <v>1</v>
      </c>
      <c r="O2752" s="6"/>
      <c r="P2752" s="10">
        <v>6</v>
      </c>
      <c r="Q2752" s="42" t="s">
        <v>6870</v>
      </c>
      <c r="R2752" s="42"/>
      <c r="S2752" s="1"/>
    </row>
    <row r="2753" spans="1:19" ht="18.75" hidden="1" customHeight="1" x14ac:dyDescent="0.3">
      <c r="A2753" s="10">
        <v>2752</v>
      </c>
      <c r="B2753" s="10">
        <f>_xlfn.XLOOKUP(1,(VALUE(D2753)&gt;=VALUE(block!$C$3:$C$500))*(VALUE(D2753)&lt;VALUE(block!$C$3:$C$500)+VALUE(block!$D$3:$D$500)),block!$A$3:$A$500,"无匹配",0,1)</f>
        <v>72</v>
      </c>
      <c r="C2753" s="3" t="str">
        <f>B2753 &amp; "-" &amp; COUNTIF($B$2:B2753, B2753)</f>
        <v>72-36</v>
      </c>
      <c r="D2753" s="10">
        <v>21252</v>
      </c>
      <c r="E2753" s="1" t="s">
        <v>6939</v>
      </c>
      <c r="F2753" s="1" t="s">
        <v>6940</v>
      </c>
      <c r="H2753" s="3" t="s">
        <v>6767</v>
      </c>
      <c r="I2753" s="10" t="str">
        <f>IF(H2753="T78",1,IF(H2753="T78",3,IF(H2753="T94",6,IF(H2753="T94",10,IF(H2753="T126",14,IF(H2753="T126",18,IF(H2753="T94",22,"")))))))</f>
        <v/>
      </c>
      <c r="J2753" s="1" t="s">
        <v>1808</v>
      </c>
      <c r="K2753" s="10">
        <v>4</v>
      </c>
      <c r="L2753" s="10">
        <v>1</v>
      </c>
      <c r="O2753" s="6"/>
      <c r="Q2753" s="42" t="s">
        <v>6870</v>
      </c>
      <c r="R2753" s="42"/>
      <c r="S2753" s="1"/>
    </row>
    <row r="2754" spans="1:19" ht="18.75" hidden="1" customHeight="1" x14ac:dyDescent="0.3">
      <c r="A2754" s="10">
        <v>2753</v>
      </c>
      <c r="B2754" s="10">
        <f>_xlfn.XLOOKUP(1,(VALUE(D2754)&gt;=VALUE(block!$C$3:$C$500))*(VALUE(D2754)&lt;VALUE(block!$C$3:$C$500)+VALUE(block!$D$3:$D$500)),block!$A$3:$A$500,"无匹配",0,1)</f>
        <v>73</v>
      </c>
      <c r="C2754" s="3" t="str">
        <f>B2754 &amp; "-" &amp; COUNTIF($B$2:B2754, B2754)</f>
        <v>73-1</v>
      </c>
      <c r="D2754" s="10">
        <v>21256</v>
      </c>
      <c r="E2754" s="1" t="s">
        <v>6941</v>
      </c>
      <c r="F2754" s="1" t="s">
        <v>6942</v>
      </c>
      <c r="G2754" s="1" t="s">
        <v>1830</v>
      </c>
      <c r="H2754" s="1" t="s">
        <v>1812</v>
      </c>
      <c r="I2754" s="10" t="str">
        <f>IF(H2754="T79",1,IF(H2754="T79",3,IF(H2754="T95",6,IF(H2754="T95",10,IF(H2754="T127",14,IF(H2754="T127",18,IF(H2754="T95",22,"")))))))</f>
        <v/>
      </c>
      <c r="J2754" s="1" t="s">
        <v>1808</v>
      </c>
      <c r="K2754" s="10">
        <v>2</v>
      </c>
      <c r="L2754" s="10">
        <v>1</v>
      </c>
      <c r="O2754" s="6"/>
      <c r="P2754" s="10">
        <v>6</v>
      </c>
      <c r="Q2754" s="42" t="s">
        <v>6870</v>
      </c>
      <c r="R2754" s="42"/>
      <c r="S2754" s="1"/>
    </row>
    <row r="2755" spans="1:19" ht="18.75" hidden="1" customHeight="1" x14ac:dyDescent="0.3">
      <c r="A2755" s="10">
        <v>2754</v>
      </c>
      <c r="B2755" s="10">
        <f>_xlfn.XLOOKUP(1,(VALUE(D2755)&gt;=VALUE(block!$C$3:$C$500))*(VALUE(D2755)&lt;VALUE(block!$C$3:$C$500)+VALUE(block!$D$3:$D$500)),block!$A$3:$A$500,"无匹配",0,1)</f>
        <v>73</v>
      </c>
      <c r="C2755" s="3" t="str">
        <f>B2755 &amp; "-" &amp; COUNTIF($B$2:B2755, B2755)</f>
        <v>73-2</v>
      </c>
      <c r="D2755" s="10">
        <v>21258</v>
      </c>
      <c r="E2755" s="1" t="s">
        <v>6943</v>
      </c>
      <c r="F2755" s="1" t="s">
        <v>6944</v>
      </c>
      <c r="H2755" s="3" t="s">
        <v>6767</v>
      </c>
      <c r="I2755" s="10">
        <f>IF(H2755="uint16",1,IF(H2755="int16",3,IF(H2755="uint32",6,IF(H2755="int32",10,IF(H2755="uint64",14,IF(H2755="int64",18,IF(H2755="float32",22,"")))))))</f>
        <v>14</v>
      </c>
      <c r="J2755" s="1" t="s">
        <v>1808</v>
      </c>
      <c r="K2755" s="10">
        <v>4</v>
      </c>
      <c r="L2755" s="10">
        <v>1</v>
      </c>
      <c r="O2755" s="6"/>
      <c r="Q2755" s="42" t="s">
        <v>6870</v>
      </c>
      <c r="R2755" s="42"/>
      <c r="S2755" s="1"/>
    </row>
    <row r="2756" spans="1:19" ht="18.75" hidden="1" customHeight="1" x14ac:dyDescent="0.3">
      <c r="A2756" s="10">
        <v>2755</v>
      </c>
      <c r="B2756" s="10">
        <f>_xlfn.XLOOKUP(1,(VALUE(D2756)&gt;=VALUE(block!$C$3:$C$500))*(VALUE(D2756)&lt;VALUE(block!$C$3:$C$500)+VALUE(block!$D$3:$D$500)),block!$A$3:$A$500,"无匹配",0,1)</f>
        <v>73</v>
      </c>
      <c r="C2756" s="3" t="str">
        <f>B2756 &amp; "-" &amp; COUNTIF($B$2:B2756, B2756)</f>
        <v>73-3</v>
      </c>
      <c r="D2756" s="10">
        <v>21262</v>
      </c>
      <c r="E2756" s="1" t="s">
        <v>6945</v>
      </c>
      <c r="F2756" s="1" t="s">
        <v>6946</v>
      </c>
      <c r="G2756" s="1" t="s">
        <v>1832</v>
      </c>
      <c r="H2756" s="1" t="s">
        <v>1812</v>
      </c>
      <c r="I2756" s="10" t="str">
        <f>IF(H2756="T17",1,IF(H2756="T17",3,IF(H2756="T33",6,IF(H2756="T33",10,IF(H2756="T65",14,IF(H2756="T65",18,IF(H2756="T33",22,"")))))))</f>
        <v/>
      </c>
      <c r="J2756" s="1" t="s">
        <v>1808</v>
      </c>
      <c r="K2756" s="10">
        <v>2</v>
      </c>
      <c r="L2756" s="10">
        <v>1</v>
      </c>
      <c r="O2756" s="6"/>
      <c r="P2756" s="10">
        <v>6</v>
      </c>
      <c r="Q2756" s="42" t="s">
        <v>6870</v>
      </c>
      <c r="R2756" s="42"/>
      <c r="S2756" s="1"/>
    </row>
    <row r="2757" spans="1:19" ht="18.75" hidden="1" customHeight="1" x14ac:dyDescent="0.3">
      <c r="A2757" s="10">
        <v>2756</v>
      </c>
      <c r="B2757" s="10">
        <f>_xlfn.XLOOKUP(1,(VALUE(D2757)&gt;=VALUE(block!$C$3:$C$500))*(VALUE(D2757)&lt;VALUE(block!$C$3:$C$500)+VALUE(block!$D$3:$D$500)),block!$A$3:$A$500,"无匹配",0,1)</f>
        <v>73</v>
      </c>
      <c r="C2757" s="3" t="str">
        <f>B2757 &amp; "-" &amp; COUNTIF($B$2:B2757, B2757)</f>
        <v>73-4</v>
      </c>
      <c r="D2757" s="10">
        <v>21264</v>
      </c>
      <c r="E2757" s="1" t="s">
        <v>6947</v>
      </c>
      <c r="F2757" s="1" t="s">
        <v>6948</v>
      </c>
      <c r="H2757" s="3" t="s">
        <v>6767</v>
      </c>
      <c r="I2757" s="10" t="str">
        <f>IF(H2757="T18",1,IF(H2757="T18",3,IF(H2757="T34",6,IF(H2757="T34",10,IF(H2757="T66",14,IF(H2757="T66",18,IF(H2757="T34",22,"")))))))</f>
        <v/>
      </c>
      <c r="J2757" s="1" t="s">
        <v>1808</v>
      </c>
      <c r="K2757" s="10">
        <v>4</v>
      </c>
      <c r="L2757" s="10">
        <v>1</v>
      </c>
      <c r="O2757" s="6"/>
      <c r="Q2757" s="42" t="s">
        <v>6870</v>
      </c>
      <c r="R2757" s="42"/>
      <c r="S2757" s="1"/>
    </row>
    <row r="2758" spans="1:19" ht="18.75" hidden="1" customHeight="1" x14ac:dyDescent="0.3">
      <c r="A2758" s="10">
        <v>2757</v>
      </c>
      <c r="B2758" s="10">
        <f>_xlfn.XLOOKUP(1,(VALUE(D2758)&gt;=VALUE(block!$C$3:$C$500))*(VALUE(D2758)&lt;VALUE(block!$C$3:$C$500)+VALUE(block!$D$3:$D$500)),block!$A$3:$A$500,"无匹配",0,1)</f>
        <v>73</v>
      </c>
      <c r="C2758" s="3" t="str">
        <f>B2758 &amp; "-" &amp; COUNTIF($B$2:B2758, B2758)</f>
        <v>73-5</v>
      </c>
      <c r="D2758" s="10">
        <v>21268</v>
      </c>
      <c r="E2758" s="1" t="s">
        <v>6949</v>
      </c>
      <c r="F2758" s="1" t="s">
        <v>6950</v>
      </c>
      <c r="G2758" s="1" t="s">
        <v>1834</v>
      </c>
      <c r="H2758" s="1" t="s">
        <v>1812</v>
      </c>
      <c r="I2758" s="10" t="str">
        <f>IF(H2758="T19",1,IF(H2758="T19",3,IF(H2758="T35",6,IF(H2758="T35",10,IF(H2758="T67",14,IF(H2758="T67",18,IF(H2758="T35",22,"")))))))</f>
        <v/>
      </c>
      <c r="J2758" s="1" t="s">
        <v>1808</v>
      </c>
      <c r="K2758" s="10">
        <v>2</v>
      </c>
      <c r="L2758" s="10">
        <v>1</v>
      </c>
      <c r="O2758" s="6"/>
      <c r="P2758" s="10">
        <v>6</v>
      </c>
      <c r="Q2758" s="42" t="s">
        <v>6870</v>
      </c>
      <c r="R2758" s="42"/>
      <c r="S2758" s="1"/>
    </row>
    <row r="2759" spans="1:19" ht="18.75" hidden="1" customHeight="1" x14ac:dyDescent="0.3">
      <c r="A2759" s="10">
        <v>2758</v>
      </c>
      <c r="B2759" s="10">
        <f>_xlfn.XLOOKUP(1,(VALUE(D2759)&gt;=VALUE(block!$C$3:$C$500))*(VALUE(D2759)&lt;VALUE(block!$C$3:$C$500)+VALUE(block!$D$3:$D$500)),block!$A$3:$A$500,"无匹配",0,1)</f>
        <v>73</v>
      </c>
      <c r="C2759" s="3" t="str">
        <f>B2759 &amp; "-" &amp; COUNTIF($B$2:B2759, B2759)</f>
        <v>73-6</v>
      </c>
      <c r="D2759" s="10">
        <v>21270</v>
      </c>
      <c r="E2759" s="1" t="s">
        <v>6951</v>
      </c>
      <c r="F2759" s="1" t="s">
        <v>6952</v>
      </c>
      <c r="H2759" s="3" t="s">
        <v>6767</v>
      </c>
      <c r="I2759" s="10" t="str">
        <f>IF(H2759="T20",1,IF(H2759="T20",3,IF(H2759="T36",6,IF(H2759="T36",10,IF(H2759="T68",14,IF(H2759="T68",18,IF(H2759="T36",22,"")))))))</f>
        <v/>
      </c>
      <c r="J2759" s="1" t="s">
        <v>1808</v>
      </c>
      <c r="K2759" s="10">
        <v>4</v>
      </c>
      <c r="L2759" s="10">
        <v>1</v>
      </c>
      <c r="O2759" s="6"/>
      <c r="Q2759" s="42" t="s">
        <v>6870</v>
      </c>
      <c r="R2759" s="42"/>
      <c r="S2759" s="1"/>
    </row>
    <row r="2760" spans="1:19" ht="18.75" hidden="1" customHeight="1" x14ac:dyDescent="0.3">
      <c r="A2760" s="10">
        <v>2759</v>
      </c>
      <c r="B2760" s="10">
        <f>_xlfn.XLOOKUP(1,(VALUE(D2760)&gt;=VALUE(block!$C$3:$C$500))*(VALUE(D2760)&lt;VALUE(block!$C$3:$C$500)+VALUE(block!$D$3:$D$500)),block!$A$3:$A$500,"无匹配",0,1)</f>
        <v>73</v>
      </c>
      <c r="C2760" s="3" t="str">
        <f>B2760 &amp; "-" &amp; COUNTIF($B$2:B2760, B2760)</f>
        <v>73-7</v>
      </c>
      <c r="D2760" s="10">
        <v>21274</v>
      </c>
      <c r="E2760" s="1" t="s">
        <v>6953</v>
      </c>
      <c r="F2760" s="1" t="s">
        <v>6954</v>
      </c>
      <c r="G2760" s="1" t="s">
        <v>1836</v>
      </c>
      <c r="H2760" s="1" t="s">
        <v>1812</v>
      </c>
      <c r="I2760" s="10" t="str">
        <f>IF(H2760="T21",1,IF(H2760="T21",3,IF(H2760="T37",6,IF(H2760="T37",10,IF(H2760="T69",14,IF(H2760="T69",18,IF(H2760="T37",22,"")))))))</f>
        <v/>
      </c>
      <c r="J2760" s="1" t="s">
        <v>1808</v>
      </c>
      <c r="K2760" s="10">
        <v>2</v>
      </c>
      <c r="L2760" s="10">
        <v>1</v>
      </c>
      <c r="O2760" s="6"/>
      <c r="P2760" s="10">
        <v>6</v>
      </c>
      <c r="Q2760" s="42" t="s">
        <v>6870</v>
      </c>
      <c r="R2760" s="42"/>
      <c r="S2760" s="1"/>
    </row>
    <row r="2761" spans="1:19" ht="18.75" hidden="1" customHeight="1" x14ac:dyDescent="0.3">
      <c r="A2761" s="10">
        <v>2760</v>
      </c>
      <c r="B2761" s="10">
        <f>_xlfn.XLOOKUP(1,(VALUE(D2761)&gt;=VALUE(block!$C$3:$C$500))*(VALUE(D2761)&lt;VALUE(block!$C$3:$C$500)+VALUE(block!$D$3:$D$500)),block!$A$3:$A$500,"无匹配",0,1)</f>
        <v>73</v>
      </c>
      <c r="C2761" s="3" t="str">
        <f>B2761 &amp; "-" &amp; COUNTIF($B$2:B2761, B2761)</f>
        <v>73-8</v>
      </c>
      <c r="D2761" s="10">
        <v>21276</v>
      </c>
      <c r="E2761" s="1" t="s">
        <v>6955</v>
      </c>
      <c r="F2761" s="1" t="s">
        <v>6956</v>
      </c>
      <c r="H2761" s="3" t="s">
        <v>6767</v>
      </c>
      <c r="I2761" s="10" t="str">
        <f>IF(H2761="T22",1,IF(H2761="T22",3,IF(H2761="T38",6,IF(H2761="T38",10,IF(H2761="T70",14,IF(H2761="T70",18,IF(H2761="T38",22,"")))))))</f>
        <v/>
      </c>
      <c r="J2761" s="1" t="s">
        <v>1808</v>
      </c>
      <c r="K2761" s="10">
        <v>4</v>
      </c>
      <c r="L2761" s="10">
        <v>1</v>
      </c>
      <c r="O2761" s="6"/>
      <c r="Q2761" s="42" t="s">
        <v>6870</v>
      </c>
      <c r="R2761" s="42"/>
      <c r="S2761" s="1"/>
    </row>
    <row r="2762" spans="1:19" ht="18.75" hidden="1" customHeight="1" x14ac:dyDescent="0.3">
      <c r="A2762" s="10">
        <v>2761</v>
      </c>
      <c r="B2762" s="10">
        <f>_xlfn.XLOOKUP(1,(VALUE(D2762)&gt;=VALUE(block!$C$3:$C$500))*(VALUE(D2762)&lt;VALUE(block!$C$3:$C$500)+VALUE(block!$D$3:$D$500)),block!$A$3:$A$500,"无匹配",0,1)</f>
        <v>73</v>
      </c>
      <c r="C2762" s="3" t="str">
        <f>B2762 &amp; "-" &amp; COUNTIF($B$2:B2762, B2762)</f>
        <v>73-9</v>
      </c>
      <c r="D2762" s="10">
        <v>21280</v>
      </c>
      <c r="E2762" s="1" t="s">
        <v>6957</v>
      </c>
      <c r="F2762" s="1" t="s">
        <v>6958</v>
      </c>
      <c r="G2762" s="1" t="s">
        <v>1840</v>
      </c>
      <c r="H2762" s="1" t="s">
        <v>1812</v>
      </c>
      <c r="I2762" s="10" t="str">
        <f>IF(H2762="T23",1,IF(H2762="T23",3,IF(H2762="T39",6,IF(H2762="T39",10,IF(H2762="T71",14,IF(H2762="T71",18,IF(H2762="T39",22,"")))))))</f>
        <v/>
      </c>
      <c r="J2762" s="1" t="s">
        <v>1808</v>
      </c>
      <c r="K2762" s="10">
        <v>2</v>
      </c>
      <c r="L2762" s="10">
        <v>1</v>
      </c>
      <c r="O2762" s="6"/>
      <c r="P2762" s="10">
        <v>6</v>
      </c>
      <c r="Q2762" s="42" t="s">
        <v>6870</v>
      </c>
      <c r="R2762" s="42"/>
      <c r="S2762" s="1"/>
    </row>
    <row r="2763" spans="1:19" ht="18.75" hidden="1" customHeight="1" x14ac:dyDescent="0.3">
      <c r="A2763" s="10">
        <v>2762</v>
      </c>
      <c r="B2763" s="10">
        <f>_xlfn.XLOOKUP(1,(VALUE(D2763)&gt;=VALUE(block!$C$3:$C$500))*(VALUE(D2763)&lt;VALUE(block!$C$3:$C$500)+VALUE(block!$D$3:$D$500)),block!$A$3:$A$500,"无匹配",0,1)</f>
        <v>73</v>
      </c>
      <c r="C2763" s="3" t="str">
        <f>B2763 &amp; "-" &amp; COUNTIF($B$2:B2763, B2763)</f>
        <v>73-10</v>
      </c>
      <c r="D2763" s="10">
        <v>21282</v>
      </c>
      <c r="E2763" s="1" t="s">
        <v>6959</v>
      </c>
      <c r="F2763" s="1" t="s">
        <v>6960</v>
      </c>
      <c r="H2763" s="3" t="s">
        <v>6767</v>
      </c>
      <c r="I2763" s="10" t="str">
        <f>IF(H2763="T24",1,IF(H2763="T24",3,IF(H2763="T40",6,IF(H2763="T40",10,IF(H2763="T72",14,IF(H2763="T72",18,IF(H2763="T40",22,"")))))))</f>
        <v/>
      </c>
      <c r="J2763" s="1" t="s">
        <v>1808</v>
      </c>
      <c r="K2763" s="10">
        <v>4</v>
      </c>
      <c r="L2763" s="10">
        <v>1</v>
      </c>
      <c r="O2763" s="6"/>
      <c r="Q2763" s="42" t="s">
        <v>6870</v>
      </c>
      <c r="R2763" s="42"/>
      <c r="S2763" s="1"/>
    </row>
    <row r="2764" spans="1:19" ht="18.75" hidden="1" customHeight="1" x14ac:dyDescent="0.3">
      <c r="A2764" s="10">
        <v>2763</v>
      </c>
      <c r="B2764" s="10">
        <f>_xlfn.XLOOKUP(1,(VALUE(D2764)&gt;=VALUE(block!$C$3:$C$500))*(VALUE(D2764)&lt;VALUE(block!$C$3:$C$500)+VALUE(block!$D$3:$D$500)),block!$A$3:$A$500,"无匹配",0,1)</f>
        <v>73</v>
      </c>
      <c r="C2764" s="3" t="str">
        <f>B2764 &amp; "-" &amp; COUNTIF($B$2:B2764, B2764)</f>
        <v>73-11</v>
      </c>
      <c r="D2764" s="10">
        <v>21286</v>
      </c>
      <c r="E2764" s="1" t="s">
        <v>6961</v>
      </c>
      <c r="F2764" s="1" t="s">
        <v>6962</v>
      </c>
      <c r="G2764" s="1" t="s">
        <v>1840</v>
      </c>
      <c r="H2764" s="1" t="s">
        <v>1812</v>
      </c>
      <c r="I2764" s="10" t="str">
        <f>IF(H2764="T25",1,IF(H2764="T25",3,IF(H2764="T41",6,IF(H2764="T41",10,IF(H2764="T73",14,IF(H2764="T73",18,IF(H2764="T41",22,"")))))))</f>
        <v/>
      </c>
      <c r="J2764" s="1" t="s">
        <v>1808</v>
      </c>
      <c r="K2764" s="10">
        <v>2</v>
      </c>
      <c r="L2764" s="10">
        <v>1</v>
      </c>
      <c r="O2764" s="6"/>
      <c r="P2764" s="10">
        <v>6</v>
      </c>
      <c r="Q2764" s="42" t="s">
        <v>6870</v>
      </c>
      <c r="R2764" s="42"/>
      <c r="S2764" s="1"/>
    </row>
    <row r="2765" spans="1:19" ht="18.75" hidden="1" customHeight="1" x14ac:dyDescent="0.3">
      <c r="A2765" s="10">
        <v>2764</v>
      </c>
      <c r="B2765" s="10">
        <f>_xlfn.XLOOKUP(1,(VALUE(D2765)&gt;=VALUE(block!$C$3:$C$500))*(VALUE(D2765)&lt;VALUE(block!$C$3:$C$500)+VALUE(block!$D$3:$D$500)),block!$A$3:$A$500,"无匹配",0,1)</f>
        <v>73</v>
      </c>
      <c r="C2765" s="3" t="str">
        <f>B2765 &amp; "-" &amp; COUNTIF($B$2:B2765, B2765)</f>
        <v>73-12</v>
      </c>
      <c r="D2765" s="10">
        <v>21288</v>
      </c>
      <c r="E2765" s="1" t="s">
        <v>6963</v>
      </c>
      <c r="F2765" s="1" t="s">
        <v>6964</v>
      </c>
      <c r="H2765" s="3" t="s">
        <v>6767</v>
      </c>
      <c r="I2765" s="10" t="str">
        <f>IF(H2765="T26",1,IF(H2765="T26",3,IF(H2765="T42",6,IF(H2765="T42",10,IF(H2765="T74",14,IF(H2765="T74",18,IF(H2765="T42",22,"")))))))</f>
        <v/>
      </c>
      <c r="J2765" s="1" t="s">
        <v>1808</v>
      </c>
      <c r="K2765" s="10">
        <v>4</v>
      </c>
      <c r="L2765" s="10">
        <v>1</v>
      </c>
      <c r="O2765" s="6"/>
      <c r="Q2765" s="42" t="s">
        <v>6870</v>
      </c>
      <c r="R2765" s="42"/>
      <c r="S2765" s="1"/>
    </row>
    <row r="2766" spans="1:19" ht="18.75" hidden="1" customHeight="1" x14ac:dyDescent="0.3">
      <c r="A2766" s="10">
        <v>2765</v>
      </c>
      <c r="B2766" s="10">
        <f>_xlfn.XLOOKUP(1,(VALUE(D2766)&gt;=VALUE(block!$C$3:$C$500))*(VALUE(D2766)&lt;VALUE(block!$C$3:$C$500)+VALUE(block!$D$3:$D$500)),block!$A$3:$A$500,"无匹配",0,1)</f>
        <v>73</v>
      </c>
      <c r="C2766" s="3" t="str">
        <f>B2766 &amp; "-" &amp; COUNTIF($B$2:B2766, B2766)</f>
        <v>73-13</v>
      </c>
      <c r="D2766" s="10">
        <v>21292</v>
      </c>
      <c r="E2766" s="1" t="s">
        <v>6965</v>
      </c>
      <c r="F2766" s="1" t="s">
        <v>6966</v>
      </c>
      <c r="G2766" s="1" t="s">
        <v>1830</v>
      </c>
      <c r="H2766" s="1" t="s">
        <v>1812</v>
      </c>
      <c r="I2766" s="10" t="str">
        <f>IF(H2766="T27",1,IF(H2766="T27",3,IF(H2766="T43",6,IF(H2766="T43",10,IF(H2766="T75",14,IF(H2766="T75",18,IF(H2766="T43",22,"")))))))</f>
        <v/>
      </c>
      <c r="J2766" s="1" t="s">
        <v>1808</v>
      </c>
      <c r="K2766" s="10">
        <v>2</v>
      </c>
      <c r="L2766" s="10">
        <v>1</v>
      </c>
      <c r="O2766" s="6"/>
      <c r="P2766" s="10">
        <v>6</v>
      </c>
      <c r="Q2766" s="42" t="s">
        <v>6870</v>
      </c>
      <c r="R2766" s="42"/>
      <c r="S2766" s="1"/>
    </row>
    <row r="2767" spans="1:19" ht="18.75" hidden="1" customHeight="1" x14ac:dyDescent="0.3">
      <c r="A2767" s="10">
        <v>2766</v>
      </c>
      <c r="B2767" s="10">
        <f>_xlfn.XLOOKUP(1,(VALUE(D2767)&gt;=VALUE(block!$C$3:$C$500))*(VALUE(D2767)&lt;VALUE(block!$C$3:$C$500)+VALUE(block!$D$3:$D$500)),block!$A$3:$A$500,"无匹配",0,1)</f>
        <v>73</v>
      </c>
      <c r="C2767" s="3" t="str">
        <f>B2767 &amp; "-" &amp; COUNTIF($B$2:B2767, B2767)</f>
        <v>73-14</v>
      </c>
      <c r="D2767" s="10">
        <v>21294</v>
      </c>
      <c r="E2767" s="1" t="s">
        <v>6967</v>
      </c>
      <c r="F2767" s="1" t="s">
        <v>6968</v>
      </c>
      <c r="H2767" s="3" t="s">
        <v>6767</v>
      </c>
      <c r="I2767" s="10" t="str">
        <f>IF(H2767="T28",1,IF(H2767="T28",3,IF(H2767="T44",6,IF(H2767="T44",10,IF(H2767="T76",14,IF(H2767="T76",18,IF(H2767="T44",22,"")))))))</f>
        <v/>
      </c>
      <c r="J2767" s="1" t="s">
        <v>1808</v>
      </c>
      <c r="K2767" s="10">
        <v>4</v>
      </c>
      <c r="L2767" s="10">
        <v>1</v>
      </c>
      <c r="O2767" s="6"/>
      <c r="Q2767" s="42" t="s">
        <v>6870</v>
      </c>
      <c r="R2767" s="42"/>
      <c r="S2767" s="1"/>
    </row>
    <row r="2768" spans="1:19" ht="18.75" hidden="1" customHeight="1" x14ac:dyDescent="0.3">
      <c r="A2768" s="10">
        <v>2767</v>
      </c>
      <c r="B2768" s="10">
        <f>_xlfn.XLOOKUP(1,(VALUE(D2768)&gt;=VALUE(block!$C$3:$C$500))*(VALUE(D2768)&lt;VALUE(block!$C$3:$C$500)+VALUE(block!$D$3:$D$500)),block!$A$3:$A$500,"无匹配",0,1)</f>
        <v>73</v>
      </c>
      <c r="C2768" s="3" t="str">
        <f>B2768 &amp; "-" &amp; COUNTIF($B$2:B2768, B2768)</f>
        <v>73-15</v>
      </c>
      <c r="D2768" s="10">
        <v>21298</v>
      </c>
      <c r="E2768" s="1" t="s">
        <v>6969</v>
      </c>
      <c r="F2768" s="1" t="s">
        <v>6970</v>
      </c>
      <c r="G2768" s="1" t="s">
        <v>1832</v>
      </c>
      <c r="H2768" s="1" t="s">
        <v>1812</v>
      </c>
      <c r="I2768" s="10" t="str">
        <f>IF(H2768="T29",1,IF(H2768="T29",3,IF(H2768="T45",6,IF(H2768="T45",10,IF(H2768="T77",14,IF(H2768="T77",18,IF(H2768="T45",22,"")))))))</f>
        <v/>
      </c>
      <c r="J2768" s="1" t="s">
        <v>1808</v>
      </c>
      <c r="K2768" s="10">
        <v>2</v>
      </c>
      <c r="L2768" s="10">
        <v>1</v>
      </c>
      <c r="O2768" s="6"/>
      <c r="P2768" s="10">
        <v>6</v>
      </c>
      <c r="Q2768" s="42" t="s">
        <v>6870</v>
      </c>
      <c r="R2768" s="42"/>
      <c r="S2768" s="1"/>
    </row>
    <row r="2769" spans="1:19" ht="18.75" hidden="1" customHeight="1" x14ac:dyDescent="0.3">
      <c r="A2769" s="10">
        <v>2768</v>
      </c>
      <c r="B2769" s="10">
        <f>_xlfn.XLOOKUP(1,(VALUE(D2769)&gt;=VALUE(block!$C$3:$C$500))*(VALUE(D2769)&lt;VALUE(block!$C$3:$C$500)+VALUE(block!$D$3:$D$500)),block!$A$3:$A$500,"无匹配",0,1)</f>
        <v>73</v>
      </c>
      <c r="C2769" s="3" t="str">
        <f>B2769 &amp; "-" &amp; COUNTIF($B$2:B2769, B2769)</f>
        <v>73-16</v>
      </c>
      <c r="D2769" s="10">
        <v>21300</v>
      </c>
      <c r="E2769" s="1" t="s">
        <v>6971</v>
      </c>
      <c r="F2769" s="1" t="s">
        <v>6972</v>
      </c>
      <c r="H2769" s="3" t="s">
        <v>6767</v>
      </c>
      <c r="I2769" s="10" t="str">
        <f>IF(H2769="T30",1,IF(H2769="T30",3,IF(H2769="T46",6,IF(H2769="T46",10,IF(H2769="T78",14,IF(H2769="T78",18,IF(H2769="T46",22,"")))))))</f>
        <v/>
      </c>
      <c r="J2769" s="1" t="s">
        <v>1808</v>
      </c>
      <c r="K2769" s="10">
        <v>4</v>
      </c>
      <c r="L2769" s="10">
        <v>1</v>
      </c>
      <c r="O2769" s="6"/>
      <c r="Q2769" s="42" t="s">
        <v>6870</v>
      </c>
      <c r="R2769" s="42"/>
      <c r="S2769" s="1"/>
    </row>
    <row r="2770" spans="1:19" ht="18.75" hidden="1" customHeight="1" x14ac:dyDescent="0.3">
      <c r="A2770" s="10">
        <v>2769</v>
      </c>
      <c r="B2770" s="10">
        <f>_xlfn.XLOOKUP(1,(VALUE(D2770)&gt;=VALUE(block!$C$3:$C$500))*(VALUE(D2770)&lt;VALUE(block!$C$3:$C$500)+VALUE(block!$D$3:$D$500)),block!$A$3:$A$500,"无匹配",0,1)</f>
        <v>73</v>
      </c>
      <c r="C2770" s="3" t="str">
        <f>B2770 &amp; "-" &amp; COUNTIF($B$2:B2770, B2770)</f>
        <v>73-17</v>
      </c>
      <c r="D2770" s="10">
        <v>21304</v>
      </c>
      <c r="E2770" s="1" t="s">
        <v>6973</v>
      </c>
      <c r="F2770" s="1" t="s">
        <v>6974</v>
      </c>
      <c r="G2770" s="1" t="s">
        <v>1834</v>
      </c>
      <c r="H2770" s="1" t="s">
        <v>1812</v>
      </c>
      <c r="I2770" s="10" t="str">
        <f>IF(H2770="T31",1,IF(H2770="T31",3,IF(H2770="T47",6,IF(H2770="T47",10,IF(H2770="T79",14,IF(H2770="T79",18,IF(H2770="T47",22,"")))))))</f>
        <v/>
      </c>
      <c r="J2770" s="1" t="s">
        <v>1808</v>
      </c>
      <c r="K2770" s="10">
        <v>2</v>
      </c>
      <c r="L2770" s="10">
        <v>1</v>
      </c>
      <c r="O2770" s="6"/>
      <c r="P2770" s="10">
        <v>6</v>
      </c>
      <c r="Q2770" s="42" t="s">
        <v>6870</v>
      </c>
      <c r="R2770" s="42"/>
      <c r="S2770" s="1"/>
    </row>
    <row r="2771" spans="1:19" ht="18.75" hidden="1" customHeight="1" x14ac:dyDescent="0.3">
      <c r="A2771" s="10">
        <v>2770</v>
      </c>
      <c r="B2771" s="10">
        <f>_xlfn.XLOOKUP(1,(VALUE(D2771)&gt;=VALUE(block!$C$3:$C$500))*(VALUE(D2771)&lt;VALUE(block!$C$3:$C$500)+VALUE(block!$D$3:$D$500)),block!$A$3:$A$500,"无匹配",0,1)</f>
        <v>73</v>
      </c>
      <c r="C2771" s="3" t="str">
        <f>B2771 &amp; "-" &amp; COUNTIF($B$2:B2771, B2771)</f>
        <v>73-18</v>
      </c>
      <c r="D2771" s="10">
        <v>21306</v>
      </c>
      <c r="E2771" s="1" t="s">
        <v>6975</v>
      </c>
      <c r="F2771" s="1" t="s">
        <v>6976</v>
      </c>
      <c r="H2771" s="3" t="s">
        <v>6767</v>
      </c>
      <c r="I2771" s="10" t="str">
        <f>IF(H2771="T32",1,IF(H2771="T32",3,IF(H2771="T48",6,IF(H2771="T48",10,IF(H2771="T80",14,IF(H2771="T80",18,IF(H2771="T48",22,"")))))))</f>
        <v/>
      </c>
      <c r="J2771" s="1" t="s">
        <v>1808</v>
      </c>
      <c r="K2771" s="10">
        <v>4</v>
      </c>
      <c r="L2771" s="10">
        <v>1</v>
      </c>
      <c r="O2771" s="6"/>
      <c r="Q2771" s="42" t="s">
        <v>6870</v>
      </c>
      <c r="R2771" s="42"/>
      <c r="S2771" s="1"/>
    </row>
    <row r="2772" spans="1:19" ht="18.75" hidden="1" customHeight="1" x14ac:dyDescent="0.3">
      <c r="A2772" s="10">
        <v>2771</v>
      </c>
      <c r="B2772" s="10">
        <f>_xlfn.XLOOKUP(1,(VALUE(D2772)&gt;=VALUE(block!$C$3:$C$500))*(VALUE(D2772)&lt;VALUE(block!$C$3:$C$500)+VALUE(block!$D$3:$D$500)),block!$A$3:$A$500,"无匹配",0,1)</f>
        <v>73</v>
      </c>
      <c r="C2772" s="3" t="str">
        <f>B2772 &amp; "-" &amp; COUNTIF($B$2:B2772, B2772)</f>
        <v>73-19</v>
      </c>
      <c r="D2772" s="10">
        <v>21310</v>
      </c>
      <c r="E2772" s="1" t="s">
        <v>6977</v>
      </c>
      <c r="F2772" s="1" t="s">
        <v>6978</v>
      </c>
      <c r="G2772" s="1" t="s">
        <v>1836</v>
      </c>
      <c r="H2772" s="1" t="s">
        <v>1812</v>
      </c>
      <c r="I2772" s="10" t="str">
        <f>IF(H2772="T33",1,IF(H2772="T33",3,IF(H2772="T49",6,IF(H2772="T49",10,IF(H2772="T81",14,IF(H2772="T81",18,IF(H2772="T49",22,"")))))))</f>
        <v/>
      </c>
      <c r="J2772" s="1" t="s">
        <v>1808</v>
      </c>
      <c r="K2772" s="10">
        <v>2</v>
      </c>
      <c r="L2772" s="10">
        <v>1</v>
      </c>
      <c r="O2772" s="6"/>
      <c r="P2772" s="10">
        <v>6</v>
      </c>
      <c r="Q2772" s="42" t="s">
        <v>6870</v>
      </c>
      <c r="R2772" s="42"/>
      <c r="S2772" s="1"/>
    </row>
    <row r="2773" spans="1:19" ht="18.75" hidden="1" customHeight="1" x14ac:dyDescent="0.3">
      <c r="A2773" s="10">
        <v>2772</v>
      </c>
      <c r="B2773" s="10">
        <f>_xlfn.XLOOKUP(1,(VALUE(D2773)&gt;=VALUE(block!$C$3:$C$500))*(VALUE(D2773)&lt;VALUE(block!$C$3:$C$500)+VALUE(block!$D$3:$D$500)),block!$A$3:$A$500,"无匹配",0,1)</f>
        <v>73</v>
      </c>
      <c r="C2773" s="3" t="str">
        <f>B2773 &amp; "-" &amp; COUNTIF($B$2:B2773, B2773)</f>
        <v>73-20</v>
      </c>
      <c r="D2773" s="10">
        <v>21312</v>
      </c>
      <c r="E2773" s="1" t="s">
        <v>6979</v>
      </c>
      <c r="F2773" s="1" t="s">
        <v>6980</v>
      </c>
      <c r="H2773" s="3" t="s">
        <v>6767</v>
      </c>
      <c r="I2773" s="10" t="str">
        <f>IF(H2773="T34",1,IF(H2773="T34",3,IF(H2773="T50",6,IF(H2773="T50",10,IF(H2773="T82",14,IF(H2773="T82",18,IF(H2773="T50",22,"")))))))</f>
        <v/>
      </c>
      <c r="J2773" s="1" t="s">
        <v>1808</v>
      </c>
      <c r="K2773" s="10">
        <v>4</v>
      </c>
      <c r="L2773" s="10">
        <v>1</v>
      </c>
      <c r="O2773" s="6"/>
      <c r="Q2773" s="42" t="s">
        <v>6870</v>
      </c>
      <c r="R2773" s="42"/>
      <c r="S2773" s="1"/>
    </row>
    <row r="2774" spans="1:19" ht="18.75" hidden="1" customHeight="1" x14ac:dyDescent="0.3">
      <c r="A2774" s="10">
        <v>2773</v>
      </c>
      <c r="B2774" s="10">
        <f>_xlfn.XLOOKUP(1,(VALUE(D2774)&gt;=VALUE(block!$C$3:$C$500))*(VALUE(D2774)&lt;VALUE(block!$C$3:$C$500)+VALUE(block!$D$3:$D$500)),block!$A$3:$A$500,"无匹配",0,1)</f>
        <v>73</v>
      </c>
      <c r="C2774" s="3" t="str">
        <f>B2774 &amp; "-" &amp; COUNTIF($B$2:B2774, B2774)</f>
        <v>73-21</v>
      </c>
      <c r="D2774" s="10">
        <v>21316</v>
      </c>
      <c r="E2774" s="1" t="s">
        <v>6981</v>
      </c>
      <c r="F2774" s="1" t="s">
        <v>6982</v>
      </c>
      <c r="G2774" s="1" t="s">
        <v>1840</v>
      </c>
      <c r="H2774" s="1" t="s">
        <v>1812</v>
      </c>
      <c r="I2774" s="10" t="str">
        <f>IF(H2774="T35",1,IF(H2774="T35",3,IF(H2774="T51",6,IF(H2774="T51",10,IF(H2774="T83",14,IF(H2774="T83",18,IF(H2774="T51",22,"")))))))</f>
        <v/>
      </c>
      <c r="J2774" s="1" t="s">
        <v>1808</v>
      </c>
      <c r="K2774" s="10">
        <v>2</v>
      </c>
      <c r="L2774" s="10">
        <v>1</v>
      </c>
      <c r="O2774" s="6"/>
      <c r="P2774" s="10">
        <v>6</v>
      </c>
      <c r="Q2774" s="42" t="s">
        <v>6870</v>
      </c>
      <c r="R2774" s="42"/>
      <c r="S2774" s="1"/>
    </row>
    <row r="2775" spans="1:19" ht="18.75" hidden="1" customHeight="1" x14ac:dyDescent="0.3">
      <c r="A2775" s="10">
        <v>2774</v>
      </c>
      <c r="B2775" s="10">
        <f>_xlfn.XLOOKUP(1,(VALUE(D2775)&gt;=VALUE(block!$C$3:$C$500))*(VALUE(D2775)&lt;VALUE(block!$C$3:$C$500)+VALUE(block!$D$3:$D$500)),block!$A$3:$A$500,"无匹配",0,1)</f>
        <v>73</v>
      </c>
      <c r="C2775" s="3" t="str">
        <f>B2775 &amp; "-" &amp; COUNTIF($B$2:B2775, B2775)</f>
        <v>73-22</v>
      </c>
      <c r="D2775" s="10">
        <v>21318</v>
      </c>
      <c r="E2775" s="1" t="s">
        <v>6983</v>
      </c>
      <c r="F2775" s="1" t="s">
        <v>6984</v>
      </c>
      <c r="H2775" s="3" t="s">
        <v>6767</v>
      </c>
      <c r="I2775" s="10" t="str">
        <f>IF(H2775="T36",1,IF(H2775="T36",3,IF(H2775="T52",6,IF(H2775="T52",10,IF(H2775="T84",14,IF(H2775="T84",18,IF(H2775="T52",22,"")))))))</f>
        <v/>
      </c>
      <c r="J2775" s="1" t="s">
        <v>1808</v>
      </c>
      <c r="K2775" s="10">
        <v>4</v>
      </c>
      <c r="L2775" s="10">
        <v>1</v>
      </c>
      <c r="O2775" s="6"/>
      <c r="Q2775" s="42" t="s">
        <v>6870</v>
      </c>
      <c r="R2775" s="42"/>
      <c r="S2775" s="1"/>
    </row>
    <row r="2776" spans="1:19" ht="18.75" hidden="1" customHeight="1" x14ac:dyDescent="0.3">
      <c r="A2776" s="10">
        <v>2775</v>
      </c>
      <c r="B2776" s="10">
        <f>_xlfn.XLOOKUP(1,(VALUE(D2776)&gt;=VALUE(block!$C$3:$C$500))*(VALUE(D2776)&lt;VALUE(block!$C$3:$C$500)+VALUE(block!$D$3:$D$500)),block!$A$3:$A$500,"无匹配",0,1)</f>
        <v>73</v>
      </c>
      <c r="C2776" s="3" t="str">
        <f>B2776 &amp; "-" &amp; COUNTIF($B$2:B2776, B2776)</f>
        <v>73-23</v>
      </c>
      <c r="D2776" s="10">
        <v>21322</v>
      </c>
      <c r="E2776" s="1" t="s">
        <v>6985</v>
      </c>
      <c r="F2776" s="1" t="s">
        <v>6986</v>
      </c>
      <c r="G2776" s="1" t="s">
        <v>1840</v>
      </c>
      <c r="H2776" s="1" t="s">
        <v>1812</v>
      </c>
      <c r="I2776" s="10" t="str">
        <f>IF(H2776="T37",1,IF(H2776="T37",3,IF(H2776="T53",6,IF(H2776="T53",10,IF(H2776="T85",14,IF(H2776="T85",18,IF(H2776="T53",22,"")))))))</f>
        <v/>
      </c>
      <c r="J2776" s="1" t="s">
        <v>1808</v>
      </c>
      <c r="K2776" s="10">
        <v>2</v>
      </c>
      <c r="L2776" s="10">
        <v>1</v>
      </c>
      <c r="O2776" s="6"/>
      <c r="P2776" s="10">
        <v>6</v>
      </c>
      <c r="Q2776" s="42" t="s">
        <v>6870</v>
      </c>
      <c r="R2776" s="42"/>
      <c r="S2776" s="1"/>
    </row>
    <row r="2777" spans="1:19" ht="18.75" hidden="1" customHeight="1" x14ac:dyDescent="0.3">
      <c r="A2777" s="10">
        <v>2776</v>
      </c>
      <c r="B2777" s="10">
        <f>_xlfn.XLOOKUP(1,(VALUE(D2777)&gt;=VALUE(block!$C$3:$C$500))*(VALUE(D2777)&lt;VALUE(block!$C$3:$C$500)+VALUE(block!$D$3:$D$500)),block!$A$3:$A$500,"无匹配",0,1)</f>
        <v>73</v>
      </c>
      <c r="C2777" s="3" t="str">
        <f>B2777 &amp; "-" &amp; COUNTIF($B$2:B2777, B2777)</f>
        <v>73-24</v>
      </c>
      <c r="D2777" s="10">
        <v>21324</v>
      </c>
      <c r="E2777" s="1" t="s">
        <v>6987</v>
      </c>
      <c r="F2777" s="1" t="s">
        <v>6988</v>
      </c>
      <c r="H2777" s="3" t="s">
        <v>6767</v>
      </c>
      <c r="I2777" s="10" t="str">
        <f>IF(H2777="T38",1,IF(H2777="T38",3,IF(H2777="T54",6,IF(H2777="T54",10,IF(H2777="T86",14,IF(H2777="T86",18,IF(H2777="T54",22,"")))))))</f>
        <v/>
      </c>
      <c r="J2777" s="1" t="s">
        <v>1808</v>
      </c>
      <c r="K2777" s="10">
        <v>4</v>
      </c>
      <c r="L2777" s="10">
        <v>1</v>
      </c>
      <c r="O2777" s="6"/>
      <c r="Q2777" s="42" t="s">
        <v>6870</v>
      </c>
      <c r="R2777" s="42"/>
      <c r="S2777" s="1"/>
    </row>
    <row r="2778" spans="1:19" ht="18.75" hidden="1" customHeight="1" x14ac:dyDescent="0.3">
      <c r="A2778" s="10">
        <v>2777</v>
      </c>
      <c r="B2778" s="10">
        <f>_xlfn.XLOOKUP(1,(VALUE(D2778)&gt;=VALUE(block!$C$3:$C$500))*(VALUE(D2778)&lt;VALUE(block!$C$3:$C$500)+VALUE(block!$D$3:$D$500)),block!$A$3:$A$500,"无匹配",0,1)</f>
        <v>73</v>
      </c>
      <c r="C2778" s="3" t="str">
        <f>B2778 &amp; "-" &amp; COUNTIF($B$2:B2778, B2778)</f>
        <v>73-25</v>
      </c>
      <c r="D2778" s="10">
        <v>21328</v>
      </c>
      <c r="E2778" s="1" t="s">
        <v>6989</v>
      </c>
      <c r="F2778" s="1" t="s">
        <v>6990</v>
      </c>
      <c r="G2778" s="1" t="s">
        <v>1830</v>
      </c>
      <c r="H2778" s="1" t="s">
        <v>1812</v>
      </c>
      <c r="I2778" s="10" t="str">
        <f>IF(H2778="T39",1,IF(H2778="T39",3,IF(H2778="T55",6,IF(H2778="T55",10,IF(H2778="T87",14,IF(H2778="T87",18,IF(H2778="T55",22,"")))))))</f>
        <v/>
      </c>
      <c r="J2778" s="1" t="s">
        <v>1808</v>
      </c>
      <c r="K2778" s="10">
        <v>2</v>
      </c>
      <c r="L2778" s="10">
        <v>1</v>
      </c>
      <c r="O2778" s="6"/>
      <c r="P2778" s="10">
        <v>6</v>
      </c>
      <c r="Q2778" s="42" t="s">
        <v>6870</v>
      </c>
      <c r="R2778" s="42"/>
      <c r="S2778" s="1"/>
    </row>
    <row r="2779" spans="1:19" ht="18.75" hidden="1" customHeight="1" x14ac:dyDescent="0.3">
      <c r="A2779" s="10">
        <v>2778</v>
      </c>
      <c r="B2779" s="10">
        <f>_xlfn.XLOOKUP(1,(VALUE(D2779)&gt;=VALUE(block!$C$3:$C$500))*(VALUE(D2779)&lt;VALUE(block!$C$3:$C$500)+VALUE(block!$D$3:$D$500)),block!$A$3:$A$500,"无匹配",0,1)</f>
        <v>73</v>
      </c>
      <c r="C2779" s="3" t="str">
        <f>B2779 &amp; "-" &amp; COUNTIF($B$2:B2779, B2779)</f>
        <v>73-26</v>
      </c>
      <c r="D2779" s="10">
        <v>21330</v>
      </c>
      <c r="E2779" s="1" t="s">
        <v>6991</v>
      </c>
      <c r="F2779" s="1" t="s">
        <v>6992</v>
      </c>
      <c r="H2779" s="3" t="s">
        <v>6767</v>
      </c>
      <c r="I2779" s="10" t="str">
        <f>IF(H2779="T40",1,IF(H2779="T40",3,IF(H2779="T56",6,IF(H2779="T56",10,IF(H2779="T88",14,IF(H2779="T88",18,IF(H2779="T56",22,"")))))))</f>
        <v/>
      </c>
      <c r="J2779" s="1" t="s">
        <v>1808</v>
      </c>
      <c r="K2779" s="10">
        <v>4</v>
      </c>
      <c r="L2779" s="10">
        <v>1</v>
      </c>
      <c r="O2779" s="6"/>
      <c r="Q2779" s="42" t="s">
        <v>6870</v>
      </c>
      <c r="R2779" s="42"/>
      <c r="S2779" s="1"/>
    </row>
    <row r="2780" spans="1:19" ht="18.75" hidden="1" customHeight="1" x14ac:dyDescent="0.3">
      <c r="A2780" s="10">
        <v>2779</v>
      </c>
      <c r="B2780" s="10">
        <f>_xlfn.XLOOKUP(1,(VALUE(D2780)&gt;=VALUE(block!$C$3:$C$500))*(VALUE(D2780)&lt;VALUE(block!$C$3:$C$500)+VALUE(block!$D$3:$D$500)),block!$A$3:$A$500,"无匹配",0,1)</f>
        <v>73</v>
      </c>
      <c r="C2780" s="3" t="str">
        <f>B2780 &amp; "-" &amp; COUNTIF($B$2:B2780, B2780)</f>
        <v>73-27</v>
      </c>
      <c r="D2780" s="10">
        <v>21334</v>
      </c>
      <c r="E2780" s="1" t="s">
        <v>6993</v>
      </c>
      <c r="F2780" s="1" t="s">
        <v>6994</v>
      </c>
      <c r="G2780" s="1" t="s">
        <v>1832</v>
      </c>
      <c r="H2780" s="1" t="s">
        <v>1812</v>
      </c>
      <c r="I2780" s="10" t="str">
        <f>IF(H2780="T41",1,IF(H2780="T41",3,IF(H2780="T57",6,IF(H2780="T57",10,IF(H2780="T89",14,IF(H2780="T89",18,IF(H2780="T57",22,"")))))))</f>
        <v/>
      </c>
      <c r="J2780" s="1" t="s">
        <v>1808</v>
      </c>
      <c r="K2780" s="10">
        <v>2</v>
      </c>
      <c r="L2780" s="10">
        <v>1</v>
      </c>
      <c r="O2780" s="6"/>
      <c r="P2780" s="10">
        <v>6</v>
      </c>
      <c r="Q2780" s="42" t="s">
        <v>6870</v>
      </c>
      <c r="R2780" s="42"/>
      <c r="S2780" s="1"/>
    </row>
    <row r="2781" spans="1:19" ht="18.75" hidden="1" customHeight="1" x14ac:dyDescent="0.3">
      <c r="A2781" s="10">
        <v>2780</v>
      </c>
      <c r="B2781" s="10">
        <f>_xlfn.XLOOKUP(1,(VALUE(D2781)&gt;=VALUE(block!$C$3:$C$500))*(VALUE(D2781)&lt;VALUE(block!$C$3:$C$500)+VALUE(block!$D$3:$D$500)),block!$A$3:$A$500,"无匹配",0,1)</f>
        <v>73</v>
      </c>
      <c r="C2781" s="3" t="str">
        <f>B2781 &amp; "-" &amp; COUNTIF($B$2:B2781, B2781)</f>
        <v>73-28</v>
      </c>
      <c r="D2781" s="10">
        <v>21336</v>
      </c>
      <c r="E2781" s="1" t="s">
        <v>6995</v>
      </c>
      <c r="F2781" s="1" t="s">
        <v>6996</v>
      </c>
      <c r="H2781" s="3" t="s">
        <v>6767</v>
      </c>
      <c r="I2781" s="10" t="str">
        <f>IF(H2781="T42",1,IF(H2781="T42",3,IF(H2781="T58",6,IF(H2781="T58",10,IF(H2781="T90",14,IF(H2781="T90",18,IF(H2781="T58",22,"")))))))</f>
        <v/>
      </c>
      <c r="J2781" s="1" t="s">
        <v>1808</v>
      </c>
      <c r="K2781" s="10">
        <v>4</v>
      </c>
      <c r="L2781" s="10">
        <v>1</v>
      </c>
      <c r="O2781" s="6"/>
      <c r="Q2781" s="42" t="s">
        <v>6870</v>
      </c>
      <c r="R2781" s="42"/>
      <c r="S2781" s="1"/>
    </row>
    <row r="2782" spans="1:19" ht="18.75" hidden="1" customHeight="1" x14ac:dyDescent="0.3">
      <c r="A2782" s="10">
        <v>2781</v>
      </c>
      <c r="B2782" s="10">
        <f>_xlfn.XLOOKUP(1,(VALUE(D2782)&gt;=VALUE(block!$C$3:$C$500))*(VALUE(D2782)&lt;VALUE(block!$C$3:$C$500)+VALUE(block!$D$3:$D$500)),block!$A$3:$A$500,"无匹配",0,1)</f>
        <v>73</v>
      </c>
      <c r="C2782" s="3" t="str">
        <f>B2782 &amp; "-" &amp; COUNTIF($B$2:B2782, B2782)</f>
        <v>73-29</v>
      </c>
      <c r="D2782" s="10">
        <v>21340</v>
      </c>
      <c r="E2782" s="1" t="s">
        <v>6997</v>
      </c>
      <c r="F2782" s="1" t="s">
        <v>6998</v>
      </c>
      <c r="G2782" s="1" t="s">
        <v>1834</v>
      </c>
      <c r="H2782" s="1" t="s">
        <v>1812</v>
      </c>
      <c r="I2782" s="10" t="str">
        <f>IF(H2782="T43",1,IF(H2782="T43",3,IF(H2782="T59",6,IF(H2782="T59",10,IF(H2782="T91",14,IF(H2782="T91",18,IF(H2782="T59",22,"")))))))</f>
        <v/>
      </c>
      <c r="J2782" s="1" t="s">
        <v>1808</v>
      </c>
      <c r="K2782" s="10">
        <v>2</v>
      </c>
      <c r="L2782" s="10">
        <v>1</v>
      </c>
      <c r="O2782" s="6"/>
      <c r="P2782" s="10">
        <v>6</v>
      </c>
      <c r="Q2782" s="42" t="s">
        <v>6870</v>
      </c>
      <c r="R2782" s="42"/>
      <c r="S2782" s="1"/>
    </row>
    <row r="2783" spans="1:19" ht="18.75" hidden="1" customHeight="1" x14ac:dyDescent="0.3">
      <c r="A2783" s="10">
        <v>2782</v>
      </c>
      <c r="B2783" s="10">
        <f>_xlfn.XLOOKUP(1,(VALUE(D2783)&gt;=VALUE(block!$C$3:$C$500))*(VALUE(D2783)&lt;VALUE(block!$C$3:$C$500)+VALUE(block!$D$3:$D$500)),block!$A$3:$A$500,"无匹配",0,1)</f>
        <v>73</v>
      </c>
      <c r="C2783" s="3" t="str">
        <f>B2783 &amp; "-" &amp; COUNTIF($B$2:B2783, B2783)</f>
        <v>73-30</v>
      </c>
      <c r="D2783" s="10">
        <v>21342</v>
      </c>
      <c r="E2783" s="1" t="s">
        <v>6999</v>
      </c>
      <c r="F2783" s="1" t="s">
        <v>7000</v>
      </c>
      <c r="H2783" s="3" t="s">
        <v>6767</v>
      </c>
      <c r="I2783" s="10" t="str">
        <f>IF(H2783="T44",1,IF(H2783="T44",3,IF(H2783="T60",6,IF(H2783="T60",10,IF(H2783="T92",14,IF(H2783="T92",18,IF(H2783="T60",22,"")))))))</f>
        <v/>
      </c>
      <c r="J2783" s="1" t="s">
        <v>1808</v>
      </c>
      <c r="K2783" s="10">
        <v>4</v>
      </c>
      <c r="L2783" s="10">
        <v>1</v>
      </c>
      <c r="O2783" s="6"/>
      <c r="Q2783" s="42" t="s">
        <v>6870</v>
      </c>
      <c r="R2783" s="42"/>
      <c r="S2783" s="1"/>
    </row>
    <row r="2784" spans="1:19" ht="18.75" hidden="1" customHeight="1" x14ac:dyDescent="0.3">
      <c r="A2784" s="10">
        <v>2783</v>
      </c>
      <c r="B2784" s="10">
        <f>_xlfn.XLOOKUP(1,(VALUE(D2784)&gt;=VALUE(block!$C$3:$C$500))*(VALUE(D2784)&lt;VALUE(block!$C$3:$C$500)+VALUE(block!$D$3:$D$500)),block!$A$3:$A$500,"无匹配",0,1)</f>
        <v>73</v>
      </c>
      <c r="C2784" s="3" t="str">
        <f>B2784 &amp; "-" &amp; COUNTIF($B$2:B2784, B2784)</f>
        <v>73-31</v>
      </c>
      <c r="D2784" s="10">
        <v>21346</v>
      </c>
      <c r="E2784" s="1" t="s">
        <v>7001</v>
      </c>
      <c r="F2784" s="1" t="s">
        <v>7002</v>
      </c>
      <c r="G2784" s="1" t="s">
        <v>1836</v>
      </c>
      <c r="H2784" s="1" t="s">
        <v>1812</v>
      </c>
      <c r="I2784" s="10" t="str">
        <f>IF(H2784="T45",1,IF(H2784="T45",3,IF(H2784="T61",6,IF(H2784="T61",10,IF(H2784="T93",14,IF(H2784="T93",18,IF(H2784="T61",22,"")))))))</f>
        <v/>
      </c>
      <c r="J2784" s="1" t="s">
        <v>1808</v>
      </c>
      <c r="K2784" s="10">
        <v>2</v>
      </c>
      <c r="L2784" s="10">
        <v>1</v>
      </c>
      <c r="O2784" s="6"/>
      <c r="P2784" s="10">
        <v>6</v>
      </c>
      <c r="Q2784" s="42" t="s">
        <v>6870</v>
      </c>
      <c r="R2784" s="42"/>
      <c r="S2784" s="1"/>
    </row>
    <row r="2785" spans="1:19" ht="18.75" hidden="1" customHeight="1" x14ac:dyDescent="0.3">
      <c r="A2785" s="10">
        <v>2784</v>
      </c>
      <c r="B2785" s="10">
        <f>_xlfn.XLOOKUP(1,(VALUE(D2785)&gt;=VALUE(block!$C$3:$C$500))*(VALUE(D2785)&lt;VALUE(block!$C$3:$C$500)+VALUE(block!$D$3:$D$500)),block!$A$3:$A$500,"无匹配",0,1)</f>
        <v>73</v>
      </c>
      <c r="C2785" s="3" t="str">
        <f>B2785 &amp; "-" &amp; COUNTIF($B$2:B2785, B2785)</f>
        <v>73-32</v>
      </c>
      <c r="D2785" s="10">
        <v>21348</v>
      </c>
      <c r="E2785" s="1" t="s">
        <v>7003</v>
      </c>
      <c r="F2785" s="1" t="s">
        <v>7004</v>
      </c>
      <c r="H2785" s="3" t="s">
        <v>6767</v>
      </c>
      <c r="I2785" s="10" t="str">
        <f>IF(H2785="T46",1,IF(H2785="T46",3,IF(H2785="T62",6,IF(H2785="T62",10,IF(H2785="T94",14,IF(H2785="T94",18,IF(H2785="T62",22,"")))))))</f>
        <v/>
      </c>
      <c r="J2785" s="1" t="s">
        <v>1808</v>
      </c>
      <c r="K2785" s="10">
        <v>4</v>
      </c>
      <c r="L2785" s="10">
        <v>1</v>
      </c>
      <c r="O2785" s="6"/>
      <c r="Q2785" s="42" t="s">
        <v>6870</v>
      </c>
      <c r="R2785" s="42"/>
      <c r="S2785" s="1"/>
    </row>
    <row r="2786" spans="1:19" ht="18.75" hidden="1" customHeight="1" x14ac:dyDescent="0.3">
      <c r="A2786" s="10">
        <v>2785</v>
      </c>
      <c r="B2786" s="10">
        <f>_xlfn.XLOOKUP(1,(VALUE(D2786)&gt;=VALUE(block!$C$3:$C$500))*(VALUE(D2786)&lt;VALUE(block!$C$3:$C$500)+VALUE(block!$D$3:$D$500)),block!$A$3:$A$500,"无匹配",0,1)</f>
        <v>73</v>
      </c>
      <c r="C2786" s="3" t="str">
        <f>B2786 &amp; "-" &amp; COUNTIF($B$2:B2786, B2786)</f>
        <v>73-33</v>
      </c>
      <c r="D2786" s="10">
        <v>21352</v>
      </c>
      <c r="E2786" s="1" t="s">
        <v>7005</v>
      </c>
      <c r="F2786" s="1" t="s">
        <v>7006</v>
      </c>
      <c r="G2786" s="1" t="s">
        <v>1840</v>
      </c>
      <c r="H2786" s="1" t="s">
        <v>1812</v>
      </c>
      <c r="I2786" s="10" t="str">
        <f>IF(H2786="T47",1,IF(H2786="T47",3,IF(H2786="T63",6,IF(H2786="T63",10,IF(H2786="T95",14,IF(H2786="T95",18,IF(H2786="T63",22,"")))))))</f>
        <v/>
      </c>
      <c r="J2786" s="1" t="s">
        <v>1808</v>
      </c>
      <c r="K2786" s="10">
        <v>2</v>
      </c>
      <c r="L2786" s="10">
        <v>1</v>
      </c>
      <c r="O2786" s="6"/>
      <c r="P2786" s="10">
        <v>6</v>
      </c>
      <c r="Q2786" s="42" t="s">
        <v>6870</v>
      </c>
      <c r="R2786" s="42"/>
      <c r="S2786" s="1"/>
    </row>
    <row r="2787" spans="1:19" ht="18.75" hidden="1" customHeight="1" x14ac:dyDescent="0.3">
      <c r="A2787" s="10">
        <v>2786</v>
      </c>
      <c r="B2787" s="10">
        <f>_xlfn.XLOOKUP(1,(VALUE(D2787)&gt;=VALUE(block!$C$3:$C$500))*(VALUE(D2787)&lt;VALUE(block!$C$3:$C$500)+VALUE(block!$D$3:$D$500)),block!$A$3:$A$500,"无匹配",0,1)</f>
        <v>73</v>
      </c>
      <c r="C2787" s="3" t="str">
        <f>B2787 &amp; "-" &amp; COUNTIF($B$2:B2787, B2787)</f>
        <v>73-34</v>
      </c>
      <c r="D2787" s="10">
        <v>21354</v>
      </c>
      <c r="E2787" s="1" t="s">
        <v>7007</v>
      </c>
      <c r="F2787" s="1" t="s">
        <v>7008</v>
      </c>
      <c r="H2787" s="3" t="s">
        <v>6767</v>
      </c>
      <c r="I2787" s="10" t="str">
        <f>IF(H2787="T48",1,IF(H2787="T48",3,IF(H2787="T64",6,IF(H2787="T64",10,IF(H2787="T96",14,IF(H2787="T96",18,IF(H2787="T64",22,"")))))))</f>
        <v/>
      </c>
      <c r="J2787" s="1" t="s">
        <v>1808</v>
      </c>
      <c r="K2787" s="10">
        <v>4</v>
      </c>
      <c r="L2787" s="10">
        <v>1</v>
      </c>
      <c r="O2787" s="6"/>
      <c r="Q2787" s="42" t="s">
        <v>6870</v>
      </c>
      <c r="R2787" s="42"/>
      <c r="S2787" s="1"/>
    </row>
    <row r="2788" spans="1:19" ht="18.75" hidden="1" customHeight="1" x14ac:dyDescent="0.3">
      <c r="A2788" s="10">
        <v>2787</v>
      </c>
      <c r="B2788" s="10">
        <f>_xlfn.XLOOKUP(1,(VALUE(D2788)&gt;=VALUE(block!$C$3:$C$500))*(VALUE(D2788)&lt;VALUE(block!$C$3:$C$500)+VALUE(block!$D$3:$D$500)),block!$A$3:$A$500,"无匹配",0,1)</f>
        <v>73</v>
      </c>
      <c r="C2788" s="3" t="str">
        <f>B2788 &amp; "-" &amp; COUNTIF($B$2:B2788, B2788)</f>
        <v>73-35</v>
      </c>
      <c r="D2788" s="10">
        <v>21358</v>
      </c>
      <c r="E2788" s="1" t="s">
        <v>7009</v>
      </c>
      <c r="F2788" s="1" t="s">
        <v>7010</v>
      </c>
      <c r="G2788" s="1" t="s">
        <v>1840</v>
      </c>
      <c r="H2788" s="1" t="s">
        <v>1812</v>
      </c>
      <c r="I2788" s="10" t="str">
        <f>IF(H2788="T49",1,IF(H2788="T49",3,IF(H2788="T65",6,IF(H2788="T65",10,IF(H2788="T97",14,IF(H2788="T97",18,IF(H2788="T65",22,"")))))))</f>
        <v/>
      </c>
      <c r="J2788" s="1" t="s">
        <v>1808</v>
      </c>
      <c r="K2788" s="10">
        <v>2</v>
      </c>
      <c r="L2788" s="10">
        <v>1</v>
      </c>
      <c r="O2788" s="6"/>
      <c r="P2788" s="10">
        <v>6</v>
      </c>
      <c r="Q2788" s="42" t="s">
        <v>6870</v>
      </c>
      <c r="R2788" s="42"/>
      <c r="S2788" s="1"/>
    </row>
    <row r="2789" spans="1:19" ht="18.75" hidden="1" customHeight="1" x14ac:dyDescent="0.3">
      <c r="A2789" s="10">
        <v>2788</v>
      </c>
      <c r="B2789" s="10">
        <f>_xlfn.XLOOKUP(1,(VALUE(D2789)&gt;=VALUE(block!$C$3:$C$500))*(VALUE(D2789)&lt;VALUE(block!$C$3:$C$500)+VALUE(block!$D$3:$D$500)),block!$A$3:$A$500,"无匹配",0,1)</f>
        <v>73</v>
      </c>
      <c r="C2789" s="3" t="str">
        <f>B2789 &amp; "-" &amp; COUNTIF($B$2:B2789, B2789)</f>
        <v>73-36</v>
      </c>
      <c r="D2789" s="10">
        <v>21360</v>
      </c>
      <c r="E2789" s="1" t="s">
        <v>7011</v>
      </c>
      <c r="F2789" s="1" t="s">
        <v>7012</v>
      </c>
      <c r="H2789" s="3" t="s">
        <v>6767</v>
      </c>
      <c r="I2789" s="10" t="str">
        <f>IF(H2789="T50",1,IF(H2789="T50",3,IF(H2789="T66",6,IF(H2789="T66",10,IF(H2789="T98",14,IF(H2789="T98",18,IF(H2789="T66",22,"")))))))</f>
        <v/>
      </c>
      <c r="J2789" s="1" t="s">
        <v>1808</v>
      </c>
      <c r="K2789" s="10">
        <v>4</v>
      </c>
      <c r="L2789" s="10">
        <v>1</v>
      </c>
      <c r="O2789" s="6"/>
      <c r="Q2789" s="42" t="s">
        <v>6870</v>
      </c>
      <c r="R2789" s="42"/>
      <c r="S2789" s="1"/>
    </row>
    <row r="2790" spans="1:19" ht="18.75" hidden="1" customHeight="1" x14ac:dyDescent="0.3">
      <c r="A2790" s="10">
        <v>2789</v>
      </c>
      <c r="B2790" s="10">
        <f>_xlfn.XLOOKUP(1,(VALUE(D2790)&gt;=VALUE(block!$C$3:$C$500))*(VALUE(D2790)&lt;VALUE(block!$C$3:$C$500)+VALUE(block!$D$3:$D$500)),block!$A$3:$A$500,"无匹配",0,1)</f>
        <v>74</v>
      </c>
      <c r="C2790" s="3" t="str">
        <f>B2790 &amp; "-" &amp; COUNTIF($B$2:B2790, B2790)</f>
        <v>74-1</v>
      </c>
      <c r="D2790" s="10">
        <v>21364</v>
      </c>
      <c r="E2790" s="1" t="s">
        <v>7013</v>
      </c>
      <c r="F2790" s="1" t="s">
        <v>7014</v>
      </c>
      <c r="G2790" s="1" t="s">
        <v>1830</v>
      </c>
      <c r="H2790" s="1" t="s">
        <v>1812</v>
      </c>
      <c r="I2790" s="10" t="str">
        <f>IF(H2790="T51",1,IF(H2790="T51",3,IF(H2790="T67",6,IF(H2790="T67",10,IF(H2790="T99",14,IF(H2790="T99",18,IF(H2790="T67",22,"")))))))</f>
        <v/>
      </c>
      <c r="J2790" s="1" t="s">
        <v>1808</v>
      </c>
      <c r="K2790" s="10">
        <v>2</v>
      </c>
      <c r="L2790" s="10">
        <v>1</v>
      </c>
      <c r="O2790" s="6"/>
      <c r="P2790" s="10">
        <v>6</v>
      </c>
      <c r="Q2790" s="42" t="s">
        <v>6870</v>
      </c>
      <c r="R2790" s="42"/>
      <c r="S2790" s="1"/>
    </row>
    <row r="2791" spans="1:19" ht="18.75" hidden="1" customHeight="1" x14ac:dyDescent="0.3">
      <c r="A2791" s="10">
        <v>2790</v>
      </c>
      <c r="B2791" s="10">
        <f>_xlfn.XLOOKUP(1,(VALUE(D2791)&gt;=VALUE(block!$C$3:$C$500))*(VALUE(D2791)&lt;VALUE(block!$C$3:$C$500)+VALUE(block!$D$3:$D$500)),block!$A$3:$A$500,"无匹配",0,1)</f>
        <v>74</v>
      </c>
      <c r="C2791" s="3" t="str">
        <f>B2791 &amp; "-" &amp; COUNTIF($B$2:B2791, B2791)</f>
        <v>74-2</v>
      </c>
      <c r="D2791" s="10">
        <v>21366</v>
      </c>
      <c r="E2791" s="1" t="s">
        <v>7015</v>
      </c>
      <c r="F2791" s="1" t="s">
        <v>7016</v>
      </c>
      <c r="H2791" s="3" t="s">
        <v>6767</v>
      </c>
      <c r="I2791" s="10" t="str">
        <f>IF(H2791="T52",1,IF(H2791="T52",3,IF(H2791="T68",6,IF(H2791="T68",10,IF(H2791="T100",14,IF(H2791="T100",18,IF(H2791="T68",22,"")))))))</f>
        <v/>
      </c>
      <c r="J2791" s="1" t="s">
        <v>1808</v>
      </c>
      <c r="K2791" s="10">
        <v>4</v>
      </c>
      <c r="L2791" s="10">
        <v>1</v>
      </c>
      <c r="O2791" s="6"/>
      <c r="Q2791" s="42" t="s">
        <v>6870</v>
      </c>
      <c r="R2791" s="42"/>
      <c r="S2791" s="1"/>
    </row>
    <row r="2792" spans="1:19" ht="18.75" hidden="1" customHeight="1" x14ac:dyDescent="0.3">
      <c r="A2792" s="10">
        <v>2791</v>
      </c>
      <c r="B2792" s="10">
        <f>_xlfn.XLOOKUP(1,(VALUE(D2792)&gt;=VALUE(block!$C$3:$C$500))*(VALUE(D2792)&lt;VALUE(block!$C$3:$C$500)+VALUE(block!$D$3:$D$500)),block!$A$3:$A$500,"无匹配",0,1)</f>
        <v>74</v>
      </c>
      <c r="C2792" s="3" t="str">
        <f>B2792 &amp; "-" &amp; COUNTIF($B$2:B2792, B2792)</f>
        <v>74-3</v>
      </c>
      <c r="D2792" s="10">
        <v>21370</v>
      </c>
      <c r="E2792" s="1" t="s">
        <v>7017</v>
      </c>
      <c r="F2792" s="1" t="s">
        <v>7018</v>
      </c>
      <c r="G2792" s="1" t="s">
        <v>1832</v>
      </c>
      <c r="H2792" s="1" t="s">
        <v>1812</v>
      </c>
      <c r="I2792" s="10" t="str">
        <f>IF(H2792="T53",1,IF(H2792="T53",3,IF(H2792="T69",6,IF(H2792="T69",10,IF(H2792="T101",14,IF(H2792="T101",18,IF(H2792="T69",22,"")))))))</f>
        <v/>
      </c>
      <c r="J2792" s="1" t="s">
        <v>1808</v>
      </c>
      <c r="K2792" s="10">
        <v>2</v>
      </c>
      <c r="L2792" s="10">
        <v>1</v>
      </c>
      <c r="O2792" s="6"/>
      <c r="P2792" s="10">
        <v>6</v>
      </c>
      <c r="Q2792" s="42" t="s">
        <v>6870</v>
      </c>
      <c r="R2792" s="42"/>
      <c r="S2792" s="1"/>
    </row>
    <row r="2793" spans="1:19" ht="18.75" hidden="1" customHeight="1" x14ac:dyDescent="0.3">
      <c r="A2793" s="10">
        <v>2792</v>
      </c>
      <c r="B2793" s="10">
        <f>_xlfn.XLOOKUP(1,(VALUE(D2793)&gt;=VALUE(block!$C$3:$C$500))*(VALUE(D2793)&lt;VALUE(block!$C$3:$C$500)+VALUE(block!$D$3:$D$500)),block!$A$3:$A$500,"无匹配",0,1)</f>
        <v>74</v>
      </c>
      <c r="C2793" s="3" t="str">
        <f>B2793 &amp; "-" &amp; COUNTIF($B$2:B2793, B2793)</f>
        <v>74-4</v>
      </c>
      <c r="D2793" s="10">
        <v>21372</v>
      </c>
      <c r="E2793" s="1" t="s">
        <v>7019</v>
      </c>
      <c r="F2793" s="1" t="s">
        <v>7020</v>
      </c>
      <c r="H2793" s="3" t="s">
        <v>6767</v>
      </c>
      <c r="I2793" s="10" t="str">
        <f>IF(H2793="T54",1,IF(H2793="T54",3,IF(H2793="T70",6,IF(H2793="T70",10,IF(H2793="T102",14,IF(H2793="T102",18,IF(H2793="T70",22,"")))))))</f>
        <v/>
      </c>
      <c r="J2793" s="1" t="s">
        <v>1808</v>
      </c>
      <c r="K2793" s="10">
        <v>4</v>
      </c>
      <c r="L2793" s="10">
        <v>1</v>
      </c>
      <c r="O2793" s="6"/>
      <c r="Q2793" s="42" t="s">
        <v>6870</v>
      </c>
      <c r="R2793" s="42"/>
      <c r="S2793" s="1"/>
    </row>
    <row r="2794" spans="1:19" ht="18.75" hidden="1" customHeight="1" x14ac:dyDescent="0.3">
      <c r="A2794" s="10">
        <v>2793</v>
      </c>
      <c r="B2794" s="10">
        <f>_xlfn.XLOOKUP(1,(VALUE(D2794)&gt;=VALUE(block!$C$3:$C$500))*(VALUE(D2794)&lt;VALUE(block!$C$3:$C$500)+VALUE(block!$D$3:$D$500)),block!$A$3:$A$500,"无匹配",0,1)</f>
        <v>74</v>
      </c>
      <c r="C2794" s="3" t="str">
        <f>B2794 &amp; "-" &amp; COUNTIF($B$2:B2794, B2794)</f>
        <v>74-5</v>
      </c>
      <c r="D2794" s="10">
        <v>21376</v>
      </c>
      <c r="E2794" s="1" t="s">
        <v>7021</v>
      </c>
      <c r="F2794" s="1" t="s">
        <v>7022</v>
      </c>
      <c r="G2794" s="1" t="s">
        <v>1834</v>
      </c>
      <c r="H2794" s="1" t="s">
        <v>1812</v>
      </c>
      <c r="I2794" s="10" t="str">
        <f>IF(H2794="T55",1,IF(H2794="T55",3,IF(H2794="T71",6,IF(H2794="T71",10,IF(H2794="T103",14,IF(H2794="T103",18,IF(H2794="T71",22,"")))))))</f>
        <v/>
      </c>
      <c r="J2794" s="1" t="s">
        <v>1808</v>
      </c>
      <c r="K2794" s="10">
        <v>2</v>
      </c>
      <c r="L2794" s="10">
        <v>1</v>
      </c>
      <c r="O2794" s="6"/>
      <c r="P2794" s="10">
        <v>6</v>
      </c>
      <c r="Q2794" s="42" t="s">
        <v>6870</v>
      </c>
      <c r="R2794" s="42"/>
      <c r="S2794" s="1"/>
    </row>
    <row r="2795" spans="1:19" ht="18.75" hidden="1" customHeight="1" x14ac:dyDescent="0.3">
      <c r="A2795" s="10">
        <v>2794</v>
      </c>
      <c r="B2795" s="10">
        <f>_xlfn.XLOOKUP(1,(VALUE(D2795)&gt;=VALUE(block!$C$3:$C$500))*(VALUE(D2795)&lt;VALUE(block!$C$3:$C$500)+VALUE(block!$D$3:$D$500)),block!$A$3:$A$500,"无匹配",0,1)</f>
        <v>74</v>
      </c>
      <c r="C2795" s="3" t="str">
        <f>B2795 &amp; "-" &amp; COUNTIF($B$2:B2795, B2795)</f>
        <v>74-6</v>
      </c>
      <c r="D2795" s="10">
        <v>21378</v>
      </c>
      <c r="E2795" s="1" t="s">
        <v>7023</v>
      </c>
      <c r="F2795" s="1" t="s">
        <v>7024</v>
      </c>
      <c r="H2795" s="3" t="s">
        <v>6767</v>
      </c>
      <c r="I2795" s="10" t="str">
        <f>IF(H2795="T56",1,IF(H2795="T56",3,IF(H2795="T72",6,IF(H2795="T72",10,IF(H2795="T104",14,IF(H2795="T104",18,IF(H2795="T72",22,"")))))))</f>
        <v/>
      </c>
      <c r="J2795" s="1" t="s">
        <v>1808</v>
      </c>
      <c r="K2795" s="10">
        <v>4</v>
      </c>
      <c r="L2795" s="10">
        <v>1</v>
      </c>
      <c r="O2795" s="6"/>
      <c r="Q2795" s="42" t="s">
        <v>6870</v>
      </c>
      <c r="R2795" s="42"/>
      <c r="S2795" s="1"/>
    </row>
    <row r="2796" spans="1:19" ht="18.75" hidden="1" customHeight="1" x14ac:dyDescent="0.3">
      <c r="A2796" s="10">
        <v>2795</v>
      </c>
      <c r="B2796" s="10">
        <f>_xlfn.XLOOKUP(1,(VALUE(D2796)&gt;=VALUE(block!$C$3:$C$500))*(VALUE(D2796)&lt;VALUE(block!$C$3:$C$500)+VALUE(block!$D$3:$D$500)),block!$A$3:$A$500,"无匹配",0,1)</f>
        <v>74</v>
      </c>
      <c r="C2796" s="3" t="str">
        <f>B2796 &amp; "-" &amp; COUNTIF($B$2:B2796, B2796)</f>
        <v>74-7</v>
      </c>
      <c r="D2796" s="10">
        <v>21382</v>
      </c>
      <c r="E2796" s="1" t="s">
        <v>7025</v>
      </c>
      <c r="F2796" s="1" t="s">
        <v>7026</v>
      </c>
      <c r="G2796" s="1" t="s">
        <v>1836</v>
      </c>
      <c r="H2796" s="1" t="s">
        <v>1812</v>
      </c>
      <c r="I2796" s="10" t="str">
        <f>IF(H2796="T57",1,IF(H2796="T57",3,IF(H2796="T73",6,IF(H2796="T73",10,IF(H2796="T105",14,IF(H2796="T105",18,IF(H2796="T73",22,"")))))))</f>
        <v/>
      </c>
      <c r="J2796" s="1" t="s">
        <v>1808</v>
      </c>
      <c r="K2796" s="10">
        <v>2</v>
      </c>
      <c r="L2796" s="10">
        <v>1</v>
      </c>
      <c r="O2796" s="6"/>
      <c r="P2796" s="10">
        <v>6</v>
      </c>
      <c r="Q2796" s="42" t="s">
        <v>6870</v>
      </c>
      <c r="R2796" s="42"/>
      <c r="S2796" s="1"/>
    </row>
    <row r="2797" spans="1:19" ht="18.75" hidden="1" customHeight="1" x14ac:dyDescent="0.3">
      <c r="A2797" s="10">
        <v>2796</v>
      </c>
      <c r="B2797" s="10">
        <f>_xlfn.XLOOKUP(1,(VALUE(D2797)&gt;=VALUE(block!$C$3:$C$500))*(VALUE(D2797)&lt;VALUE(block!$C$3:$C$500)+VALUE(block!$D$3:$D$500)),block!$A$3:$A$500,"无匹配",0,1)</f>
        <v>74</v>
      </c>
      <c r="C2797" s="3" t="str">
        <f>B2797 &amp; "-" &amp; COUNTIF($B$2:B2797, B2797)</f>
        <v>74-8</v>
      </c>
      <c r="D2797" s="10">
        <v>21384</v>
      </c>
      <c r="E2797" s="1" t="s">
        <v>7027</v>
      </c>
      <c r="F2797" s="1" t="s">
        <v>7028</v>
      </c>
      <c r="H2797" s="3" t="s">
        <v>6767</v>
      </c>
      <c r="I2797" s="10" t="str">
        <f>IF(H2797="T58",1,IF(H2797="T58",3,IF(H2797="T74",6,IF(H2797="T74",10,IF(H2797="T106",14,IF(H2797="T106",18,IF(H2797="T74",22,"")))))))</f>
        <v/>
      </c>
      <c r="J2797" s="1" t="s">
        <v>1808</v>
      </c>
      <c r="K2797" s="10">
        <v>4</v>
      </c>
      <c r="L2797" s="10">
        <v>1</v>
      </c>
      <c r="O2797" s="6"/>
      <c r="Q2797" s="42" t="s">
        <v>6870</v>
      </c>
      <c r="R2797" s="42"/>
      <c r="S2797" s="1"/>
    </row>
    <row r="2798" spans="1:19" ht="18.75" hidden="1" customHeight="1" x14ac:dyDescent="0.3">
      <c r="A2798" s="10">
        <v>2797</v>
      </c>
      <c r="B2798" s="10">
        <f>_xlfn.XLOOKUP(1,(VALUE(D2798)&gt;=VALUE(block!$C$3:$C$500))*(VALUE(D2798)&lt;VALUE(block!$C$3:$C$500)+VALUE(block!$D$3:$D$500)),block!$A$3:$A$500,"无匹配",0,1)</f>
        <v>74</v>
      </c>
      <c r="C2798" s="3" t="str">
        <f>B2798 &amp; "-" &amp; COUNTIF($B$2:B2798, B2798)</f>
        <v>74-9</v>
      </c>
      <c r="D2798" s="10">
        <v>21388</v>
      </c>
      <c r="E2798" s="1" t="s">
        <v>7029</v>
      </c>
      <c r="F2798" s="1" t="s">
        <v>7030</v>
      </c>
      <c r="G2798" s="1" t="s">
        <v>1840</v>
      </c>
      <c r="H2798" s="1" t="s">
        <v>1812</v>
      </c>
      <c r="I2798" s="10" t="str">
        <f>IF(H2798="T59",1,IF(H2798="T59",3,IF(H2798="T75",6,IF(H2798="T75",10,IF(H2798="T107",14,IF(H2798="T107",18,IF(H2798="T75",22,"")))))))</f>
        <v/>
      </c>
      <c r="J2798" s="1" t="s">
        <v>1808</v>
      </c>
      <c r="K2798" s="10">
        <v>2</v>
      </c>
      <c r="L2798" s="10">
        <v>1</v>
      </c>
      <c r="O2798" s="6"/>
      <c r="P2798" s="10">
        <v>6</v>
      </c>
      <c r="Q2798" s="42" t="s">
        <v>6870</v>
      </c>
      <c r="R2798" s="42"/>
      <c r="S2798" s="1"/>
    </row>
    <row r="2799" spans="1:19" ht="18.75" hidden="1" customHeight="1" x14ac:dyDescent="0.3">
      <c r="A2799" s="10">
        <v>2798</v>
      </c>
      <c r="B2799" s="10">
        <f>_xlfn.XLOOKUP(1,(VALUE(D2799)&gt;=VALUE(block!$C$3:$C$500))*(VALUE(D2799)&lt;VALUE(block!$C$3:$C$500)+VALUE(block!$D$3:$D$500)),block!$A$3:$A$500,"无匹配",0,1)</f>
        <v>74</v>
      </c>
      <c r="C2799" s="3" t="str">
        <f>B2799 &amp; "-" &amp; COUNTIF($B$2:B2799, B2799)</f>
        <v>74-10</v>
      </c>
      <c r="D2799" s="10">
        <v>21390</v>
      </c>
      <c r="E2799" s="1" t="s">
        <v>7031</v>
      </c>
      <c r="F2799" s="1" t="s">
        <v>7032</v>
      </c>
      <c r="H2799" s="3" t="s">
        <v>6767</v>
      </c>
      <c r="I2799" s="10" t="str">
        <f>IF(H2799="T60",1,IF(H2799="T60",3,IF(H2799="T76",6,IF(H2799="T76",10,IF(H2799="T108",14,IF(H2799="T108",18,IF(H2799="T76",22,"")))))))</f>
        <v/>
      </c>
      <c r="J2799" s="1" t="s">
        <v>1808</v>
      </c>
      <c r="K2799" s="10">
        <v>4</v>
      </c>
      <c r="L2799" s="10">
        <v>1</v>
      </c>
      <c r="O2799" s="6"/>
      <c r="Q2799" s="42" t="s">
        <v>6870</v>
      </c>
      <c r="R2799" s="42"/>
      <c r="S2799" s="1"/>
    </row>
    <row r="2800" spans="1:19" ht="18.75" hidden="1" customHeight="1" x14ac:dyDescent="0.3">
      <c r="A2800" s="10">
        <v>2799</v>
      </c>
      <c r="B2800" s="10">
        <f>_xlfn.XLOOKUP(1,(VALUE(D2800)&gt;=VALUE(block!$C$3:$C$500))*(VALUE(D2800)&lt;VALUE(block!$C$3:$C$500)+VALUE(block!$D$3:$D$500)),block!$A$3:$A$500,"无匹配",0,1)</f>
        <v>74</v>
      </c>
      <c r="C2800" s="3" t="str">
        <f>B2800 &amp; "-" &amp; COUNTIF($B$2:B2800, B2800)</f>
        <v>74-11</v>
      </c>
      <c r="D2800" s="10">
        <v>21394</v>
      </c>
      <c r="E2800" s="1" t="s">
        <v>7033</v>
      </c>
      <c r="F2800" s="1" t="s">
        <v>7034</v>
      </c>
      <c r="G2800" s="1" t="s">
        <v>1840</v>
      </c>
      <c r="H2800" s="1" t="s">
        <v>1812</v>
      </c>
      <c r="I2800" s="10" t="str">
        <f>IF(H2800="T61",1,IF(H2800="T61",3,IF(H2800="T77",6,IF(H2800="T77",10,IF(H2800="T109",14,IF(H2800="T109",18,IF(H2800="T77",22,"")))))))</f>
        <v/>
      </c>
      <c r="J2800" s="1" t="s">
        <v>1808</v>
      </c>
      <c r="K2800" s="10">
        <v>2</v>
      </c>
      <c r="L2800" s="10">
        <v>1</v>
      </c>
      <c r="O2800" s="6"/>
      <c r="P2800" s="10">
        <v>6</v>
      </c>
      <c r="Q2800" s="42" t="s">
        <v>6870</v>
      </c>
      <c r="R2800" s="42"/>
      <c r="S2800" s="1"/>
    </row>
    <row r="2801" spans="1:19" ht="18.75" hidden="1" customHeight="1" x14ac:dyDescent="0.3">
      <c r="A2801" s="10">
        <v>2800</v>
      </c>
      <c r="B2801" s="10">
        <f>_xlfn.XLOOKUP(1,(VALUE(D2801)&gt;=VALUE(block!$C$3:$C$500))*(VALUE(D2801)&lt;VALUE(block!$C$3:$C$500)+VALUE(block!$D$3:$D$500)),block!$A$3:$A$500,"无匹配",0,1)</f>
        <v>74</v>
      </c>
      <c r="C2801" s="3" t="str">
        <f>B2801 &amp; "-" &amp; COUNTIF($B$2:B2801, B2801)</f>
        <v>74-12</v>
      </c>
      <c r="D2801" s="10">
        <v>21396</v>
      </c>
      <c r="E2801" s="1" t="s">
        <v>7035</v>
      </c>
      <c r="F2801" s="1" t="s">
        <v>7036</v>
      </c>
      <c r="H2801" s="3" t="s">
        <v>6767</v>
      </c>
      <c r="I2801" s="10" t="str">
        <f>IF(H2801="T62",1,IF(H2801="T62",3,IF(H2801="T78",6,IF(H2801="T78",10,IF(H2801="T110",14,IF(H2801="T110",18,IF(H2801="T78",22,"")))))))</f>
        <v/>
      </c>
      <c r="J2801" s="1" t="s">
        <v>1808</v>
      </c>
      <c r="K2801" s="10">
        <v>4</v>
      </c>
      <c r="L2801" s="10">
        <v>1</v>
      </c>
      <c r="O2801" s="6"/>
      <c r="Q2801" s="42" t="s">
        <v>6870</v>
      </c>
      <c r="R2801" s="42"/>
      <c r="S2801" s="1"/>
    </row>
    <row r="2802" spans="1:19" ht="18.75" hidden="1" customHeight="1" x14ac:dyDescent="0.3">
      <c r="A2802" s="10">
        <v>2801</v>
      </c>
      <c r="B2802" s="10">
        <f>_xlfn.XLOOKUP(1,(VALUE(D2802)&gt;=VALUE(block!$C$3:$C$500))*(VALUE(D2802)&lt;VALUE(block!$C$3:$C$500)+VALUE(block!$D$3:$D$500)),block!$A$3:$A$500,"无匹配",0,1)</f>
        <v>74</v>
      </c>
      <c r="C2802" s="3" t="str">
        <f>B2802 &amp; "-" &amp; COUNTIF($B$2:B2802, B2802)</f>
        <v>74-13</v>
      </c>
      <c r="D2802" s="10">
        <v>21400</v>
      </c>
      <c r="E2802" s="1" t="s">
        <v>7037</v>
      </c>
      <c r="F2802" s="1" t="s">
        <v>7038</v>
      </c>
      <c r="G2802" s="1" t="s">
        <v>1830</v>
      </c>
      <c r="H2802" s="1" t="s">
        <v>1812</v>
      </c>
      <c r="I2802" s="10" t="str">
        <f>IF(H2802="T63",1,IF(H2802="T63",3,IF(H2802="T79",6,IF(H2802="T79",10,IF(H2802="T111",14,IF(H2802="T111",18,IF(H2802="T79",22,"")))))))</f>
        <v/>
      </c>
      <c r="J2802" s="1" t="s">
        <v>1808</v>
      </c>
      <c r="K2802" s="10">
        <v>2</v>
      </c>
      <c r="L2802" s="10">
        <v>1</v>
      </c>
      <c r="O2802" s="6"/>
      <c r="P2802" s="10">
        <v>6</v>
      </c>
      <c r="Q2802" s="42" t="s">
        <v>6870</v>
      </c>
      <c r="R2802" s="42"/>
      <c r="S2802" s="1"/>
    </row>
    <row r="2803" spans="1:19" ht="18.75" hidden="1" customHeight="1" x14ac:dyDescent="0.3">
      <c r="A2803" s="10">
        <v>2802</v>
      </c>
      <c r="B2803" s="10">
        <f>_xlfn.XLOOKUP(1,(VALUE(D2803)&gt;=VALUE(block!$C$3:$C$500))*(VALUE(D2803)&lt;VALUE(block!$C$3:$C$500)+VALUE(block!$D$3:$D$500)),block!$A$3:$A$500,"无匹配",0,1)</f>
        <v>74</v>
      </c>
      <c r="C2803" s="3" t="str">
        <f>B2803 &amp; "-" &amp; COUNTIF($B$2:B2803, B2803)</f>
        <v>74-14</v>
      </c>
      <c r="D2803" s="10">
        <v>21402</v>
      </c>
      <c r="E2803" s="1" t="s">
        <v>7039</v>
      </c>
      <c r="F2803" s="1" t="s">
        <v>7040</v>
      </c>
      <c r="H2803" s="3" t="s">
        <v>6767</v>
      </c>
      <c r="I2803" s="10" t="str">
        <f>IF(H2803="T64",1,IF(H2803="T64",3,IF(H2803="T80",6,IF(H2803="T80",10,IF(H2803="T112",14,IF(H2803="T112",18,IF(H2803="T80",22,"")))))))</f>
        <v/>
      </c>
      <c r="J2803" s="1" t="s">
        <v>1808</v>
      </c>
      <c r="K2803" s="10">
        <v>4</v>
      </c>
      <c r="L2803" s="10">
        <v>1</v>
      </c>
      <c r="O2803" s="6"/>
      <c r="Q2803" s="42" t="s">
        <v>6870</v>
      </c>
      <c r="R2803" s="42"/>
      <c r="S2803" s="1"/>
    </row>
    <row r="2804" spans="1:19" ht="18.75" hidden="1" customHeight="1" x14ac:dyDescent="0.3">
      <c r="A2804" s="10">
        <v>2803</v>
      </c>
      <c r="B2804" s="10">
        <f>_xlfn.XLOOKUP(1,(VALUE(D2804)&gt;=VALUE(block!$C$3:$C$500))*(VALUE(D2804)&lt;VALUE(block!$C$3:$C$500)+VALUE(block!$D$3:$D$500)),block!$A$3:$A$500,"无匹配",0,1)</f>
        <v>74</v>
      </c>
      <c r="C2804" s="3" t="str">
        <f>B2804 &amp; "-" &amp; COUNTIF($B$2:B2804, B2804)</f>
        <v>74-15</v>
      </c>
      <c r="D2804" s="10">
        <v>21406</v>
      </c>
      <c r="E2804" s="1" t="s">
        <v>7041</v>
      </c>
      <c r="F2804" s="1" t="s">
        <v>7042</v>
      </c>
      <c r="G2804" s="1" t="s">
        <v>1832</v>
      </c>
      <c r="H2804" s="1" t="s">
        <v>1812</v>
      </c>
      <c r="I2804" s="10" t="str">
        <f>IF(H2804="T65",1,IF(H2804="T65",3,IF(H2804="T81",6,IF(H2804="T81",10,IF(H2804="T113",14,IF(H2804="T113",18,IF(H2804="T81",22,"")))))))</f>
        <v/>
      </c>
      <c r="J2804" s="1" t="s">
        <v>1808</v>
      </c>
      <c r="K2804" s="10">
        <v>2</v>
      </c>
      <c r="L2804" s="10">
        <v>1</v>
      </c>
      <c r="O2804" s="6"/>
      <c r="P2804" s="10">
        <v>6</v>
      </c>
      <c r="Q2804" s="42" t="s">
        <v>6870</v>
      </c>
      <c r="R2804" s="42"/>
      <c r="S2804" s="1"/>
    </row>
    <row r="2805" spans="1:19" ht="18.75" hidden="1" customHeight="1" x14ac:dyDescent="0.3">
      <c r="A2805" s="10">
        <v>2804</v>
      </c>
      <c r="B2805" s="10">
        <f>_xlfn.XLOOKUP(1,(VALUE(D2805)&gt;=VALUE(block!$C$3:$C$500))*(VALUE(D2805)&lt;VALUE(block!$C$3:$C$500)+VALUE(block!$D$3:$D$500)),block!$A$3:$A$500,"无匹配",0,1)</f>
        <v>74</v>
      </c>
      <c r="C2805" s="3" t="str">
        <f>B2805 &amp; "-" &amp; COUNTIF($B$2:B2805, B2805)</f>
        <v>74-16</v>
      </c>
      <c r="D2805" s="10">
        <v>21408</v>
      </c>
      <c r="E2805" s="1" t="s">
        <v>7043</v>
      </c>
      <c r="F2805" s="1" t="s">
        <v>7044</v>
      </c>
      <c r="H2805" s="3" t="s">
        <v>6767</v>
      </c>
      <c r="I2805" s="10" t="str">
        <f>IF(H2805="T66",1,IF(H2805="T66",3,IF(H2805="T82",6,IF(H2805="T82",10,IF(H2805="T114",14,IF(H2805="T114",18,IF(H2805="T82",22,"")))))))</f>
        <v/>
      </c>
      <c r="J2805" s="1" t="s">
        <v>1808</v>
      </c>
      <c r="K2805" s="10">
        <v>4</v>
      </c>
      <c r="L2805" s="10">
        <v>1</v>
      </c>
      <c r="O2805" s="6"/>
      <c r="Q2805" s="42" t="s">
        <v>6870</v>
      </c>
      <c r="R2805" s="42"/>
      <c r="S2805" s="1"/>
    </row>
    <row r="2806" spans="1:19" ht="18.75" hidden="1" customHeight="1" x14ac:dyDescent="0.3">
      <c r="A2806" s="10">
        <v>2805</v>
      </c>
      <c r="B2806" s="10">
        <f>_xlfn.XLOOKUP(1,(VALUE(D2806)&gt;=VALUE(block!$C$3:$C$500))*(VALUE(D2806)&lt;VALUE(block!$C$3:$C$500)+VALUE(block!$D$3:$D$500)),block!$A$3:$A$500,"无匹配",0,1)</f>
        <v>74</v>
      </c>
      <c r="C2806" s="3" t="str">
        <f>B2806 &amp; "-" &amp; COUNTIF($B$2:B2806, B2806)</f>
        <v>74-17</v>
      </c>
      <c r="D2806" s="10">
        <v>21412</v>
      </c>
      <c r="E2806" s="1" t="s">
        <v>7045</v>
      </c>
      <c r="F2806" s="1" t="s">
        <v>7046</v>
      </c>
      <c r="G2806" s="1" t="s">
        <v>1834</v>
      </c>
      <c r="H2806" s="1" t="s">
        <v>1812</v>
      </c>
      <c r="I2806" s="10" t="str">
        <f>IF(H2806="T67",1,IF(H2806="T67",3,IF(H2806="T83",6,IF(H2806="T83",10,IF(H2806="T115",14,IF(H2806="T115",18,IF(H2806="T83",22,"")))))))</f>
        <v/>
      </c>
      <c r="J2806" s="1" t="s">
        <v>1808</v>
      </c>
      <c r="K2806" s="10">
        <v>2</v>
      </c>
      <c r="L2806" s="10">
        <v>1</v>
      </c>
      <c r="O2806" s="6"/>
      <c r="P2806" s="10">
        <v>6</v>
      </c>
      <c r="Q2806" s="42" t="s">
        <v>6870</v>
      </c>
      <c r="R2806" s="42"/>
      <c r="S2806" s="1"/>
    </row>
    <row r="2807" spans="1:19" ht="18.75" hidden="1" customHeight="1" x14ac:dyDescent="0.3">
      <c r="A2807" s="10">
        <v>2806</v>
      </c>
      <c r="B2807" s="10">
        <f>_xlfn.XLOOKUP(1,(VALUE(D2807)&gt;=VALUE(block!$C$3:$C$500))*(VALUE(D2807)&lt;VALUE(block!$C$3:$C$500)+VALUE(block!$D$3:$D$500)),block!$A$3:$A$500,"无匹配",0,1)</f>
        <v>74</v>
      </c>
      <c r="C2807" s="3" t="str">
        <f>B2807 &amp; "-" &amp; COUNTIF($B$2:B2807, B2807)</f>
        <v>74-18</v>
      </c>
      <c r="D2807" s="10">
        <v>21414</v>
      </c>
      <c r="E2807" s="1" t="s">
        <v>7047</v>
      </c>
      <c r="F2807" s="1" t="s">
        <v>7048</v>
      </c>
      <c r="H2807" s="3" t="s">
        <v>6767</v>
      </c>
      <c r="I2807" s="10" t="str">
        <f>IF(H2807="T68",1,IF(H2807="T68",3,IF(H2807="T84",6,IF(H2807="T84",10,IF(H2807="T116",14,IF(H2807="T116",18,IF(H2807="T84",22,"")))))))</f>
        <v/>
      </c>
      <c r="J2807" s="1" t="s">
        <v>1808</v>
      </c>
      <c r="K2807" s="10">
        <v>4</v>
      </c>
      <c r="L2807" s="10">
        <v>1</v>
      </c>
      <c r="O2807" s="6"/>
      <c r="Q2807" s="42" t="s">
        <v>6870</v>
      </c>
      <c r="R2807" s="42"/>
      <c r="S2807" s="1"/>
    </row>
    <row r="2808" spans="1:19" ht="18.75" hidden="1" customHeight="1" x14ac:dyDescent="0.3">
      <c r="A2808" s="10">
        <v>2807</v>
      </c>
      <c r="B2808" s="10">
        <f>_xlfn.XLOOKUP(1,(VALUE(D2808)&gt;=VALUE(block!$C$3:$C$500))*(VALUE(D2808)&lt;VALUE(block!$C$3:$C$500)+VALUE(block!$D$3:$D$500)),block!$A$3:$A$500,"无匹配",0,1)</f>
        <v>74</v>
      </c>
      <c r="C2808" s="3" t="str">
        <f>B2808 &amp; "-" &amp; COUNTIF($B$2:B2808, B2808)</f>
        <v>74-19</v>
      </c>
      <c r="D2808" s="10">
        <v>21418</v>
      </c>
      <c r="E2808" s="1" t="s">
        <v>7049</v>
      </c>
      <c r="F2808" s="1" t="s">
        <v>7050</v>
      </c>
      <c r="G2808" s="1" t="s">
        <v>1836</v>
      </c>
      <c r="H2808" s="1" t="s">
        <v>1812</v>
      </c>
      <c r="I2808" s="10" t="str">
        <f>IF(H2808="T69",1,IF(H2808="T69",3,IF(H2808="T85",6,IF(H2808="T85",10,IF(H2808="T117",14,IF(H2808="T117",18,IF(H2808="T85",22,"")))))))</f>
        <v/>
      </c>
      <c r="J2808" s="1" t="s">
        <v>1808</v>
      </c>
      <c r="K2808" s="10">
        <v>2</v>
      </c>
      <c r="L2808" s="10">
        <v>1</v>
      </c>
      <c r="O2808" s="6"/>
      <c r="P2808" s="10">
        <v>6</v>
      </c>
      <c r="Q2808" s="42" t="s">
        <v>6870</v>
      </c>
      <c r="R2808" s="42"/>
      <c r="S2808" s="1"/>
    </row>
    <row r="2809" spans="1:19" ht="18.75" hidden="1" customHeight="1" x14ac:dyDescent="0.3">
      <c r="A2809" s="10">
        <v>2808</v>
      </c>
      <c r="B2809" s="10">
        <f>_xlfn.XLOOKUP(1,(VALUE(D2809)&gt;=VALUE(block!$C$3:$C$500))*(VALUE(D2809)&lt;VALUE(block!$C$3:$C$500)+VALUE(block!$D$3:$D$500)),block!$A$3:$A$500,"无匹配",0,1)</f>
        <v>74</v>
      </c>
      <c r="C2809" s="3" t="str">
        <f>B2809 &amp; "-" &amp; COUNTIF($B$2:B2809, B2809)</f>
        <v>74-20</v>
      </c>
      <c r="D2809" s="10">
        <v>21420</v>
      </c>
      <c r="E2809" s="1" t="s">
        <v>7051</v>
      </c>
      <c r="F2809" s="1" t="s">
        <v>7052</v>
      </c>
      <c r="H2809" s="3" t="s">
        <v>6767</v>
      </c>
      <c r="I2809" s="10" t="str">
        <f>IF(H2809="T70",1,IF(H2809="T70",3,IF(H2809="T86",6,IF(H2809="T86",10,IF(H2809="T118",14,IF(H2809="T118",18,IF(H2809="T86",22,"")))))))</f>
        <v/>
      </c>
      <c r="J2809" s="1" t="s">
        <v>1808</v>
      </c>
      <c r="K2809" s="10">
        <v>4</v>
      </c>
      <c r="L2809" s="10">
        <v>1</v>
      </c>
      <c r="O2809" s="6"/>
      <c r="Q2809" s="42" t="s">
        <v>6870</v>
      </c>
      <c r="R2809" s="42"/>
      <c r="S2809" s="1"/>
    </row>
    <row r="2810" spans="1:19" ht="18.75" hidden="1" customHeight="1" x14ac:dyDescent="0.3">
      <c r="A2810" s="10">
        <v>2809</v>
      </c>
      <c r="B2810" s="10">
        <f>_xlfn.XLOOKUP(1,(VALUE(D2810)&gt;=VALUE(block!$C$3:$C$500))*(VALUE(D2810)&lt;VALUE(block!$C$3:$C$500)+VALUE(block!$D$3:$D$500)),block!$A$3:$A$500,"无匹配",0,1)</f>
        <v>74</v>
      </c>
      <c r="C2810" s="3" t="str">
        <f>B2810 &amp; "-" &amp; COUNTIF($B$2:B2810, B2810)</f>
        <v>74-21</v>
      </c>
      <c r="D2810" s="10">
        <v>21424</v>
      </c>
      <c r="E2810" s="1" t="s">
        <v>7053</v>
      </c>
      <c r="F2810" s="1" t="s">
        <v>7054</v>
      </c>
      <c r="G2810" s="1" t="s">
        <v>1840</v>
      </c>
      <c r="H2810" s="1" t="s">
        <v>1812</v>
      </c>
      <c r="I2810" s="10" t="str">
        <f>IF(H2810="T71",1,IF(H2810="T71",3,IF(H2810="T87",6,IF(H2810="T87",10,IF(H2810="T119",14,IF(H2810="T119",18,IF(H2810="T87",22,"")))))))</f>
        <v/>
      </c>
      <c r="J2810" s="1" t="s">
        <v>1808</v>
      </c>
      <c r="K2810" s="10">
        <v>2</v>
      </c>
      <c r="L2810" s="10">
        <v>1</v>
      </c>
      <c r="O2810" s="6"/>
      <c r="P2810" s="10">
        <v>6</v>
      </c>
      <c r="Q2810" s="42" t="s">
        <v>6870</v>
      </c>
      <c r="R2810" s="42"/>
      <c r="S2810" s="1"/>
    </row>
    <row r="2811" spans="1:19" ht="18.75" hidden="1" customHeight="1" x14ac:dyDescent="0.3">
      <c r="A2811" s="10">
        <v>2810</v>
      </c>
      <c r="B2811" s="10">
        <f>_xlfn.XLOOKUP(1,(VALUE(D2811)&gt;=VALUE(block!$C$3:$C$500))*(VALUE(D2811)&lt;VALUE(block!$C$3:$C$500)+VALUE(block!$D$3:$D$500)),block!$A$3:$A$500,"无匹配",0,1)</f>
        <v>74</v>
      </c>
      <c r="C2811" s="3" t="str">
        <f>B2811 &amp; "-" &amp; COUNTIF($B$2:B2811, B2811)</f>
        <v>74-22</v>
      </c>
      <c r="D2811" s="10">
        <v>21426</v>
      </c>
      <c r="E2811" s="1" t="s">
        <v>7055</v>
      </c>
      <c r="F2811" s="1" t="s">
        <v>7056</v>
      </c>
      <c r="H2811" s="3" t="s">
        <v>6767</v>
      </c>
      <c r="I2811" s="10" t="str">
        <f>IF(H2811="T72",1,IF(H2811="T72",3,IF(H2811="T88",6,IF(H2811="T88",10,IF(H2811="T120",14,IF(H2811="T120",18,IF(H2811="T88",22,"")))))))</f>
        <v/>
      </c>
      <c r="J2811" s="1" t="s">
        <v>1808</v>
      </c>
      <c r="K2811" s="10">
        <v>4</v>
      </c>
      <c r="L2811" s="10">
        <v>1</v>
      </c>
      <c r="O2811" s="6"/>
      <c r="Q2811" s="42" t="s">
        <v>6870</v>
      </c>
      <c r="R2811" s="42"/>
      <c r="S2811" s="1"/>
    </row>
    <row r="2812" spans="1:19" ht="18.75" hidden="1" customHeight="1" x14ac:dyDescent="0.3">
      <c r="A2812" s="10">
        <v>2811</v>
      </c>
      <c r="B2812" s="10">
        <f>_xlfn.XLOOKUP(1,(VALUE(D2812)&gt;=VALUE(block!$C$3:$C$500))*(VALUE(D2812)&lt;VALUE(block!$C$3:$C$500)+VALUE(block!$D$3:$D$500)),block!$A$3:$A$500,"无匹配",0,1)</f>
        <v>74</v>
      </c>
      <c r="C2812" s="3" t="str">
        <f>B2812 &amp; "-" &amp; COUNTIF($B$2:B2812, B2812)</f>
        <v>74-23</v>
      </c>
      <c r="D2812" s="10">
        <v>21430</v>
      </c>
      <c r="E2812" s="1" t="s">
        <v>7057</v>
      </c>
      <c r="F2812" s="1" t="s">
        <v>7058</v>
      </c>
      <c r="G2812" s="1" t="s">
        <v>1840</v>
      </c>
      <c r="H2812" s="1" t="s">
        <v>1812</v>
      </c>
      <c r="I2812" s="10" t="str">
        <f>IF(H2812="T73",1,IF(H2812="T73",3,IF(H2812="T89",6,IF(H2812="T89",10,IF(H2812="T121",14,IF(H2812="T121",18,IF(H2812="T89",22,"")))))))</f>
        <v/>
      </c>
      <c r="J2812" s="1" t="s">
        <v>1808</v>
      </c>
      <c r="K2812" s="10">
        <v>2</v>
      </c>
      <c r="L2812" s="10">
        <v>1</v>
      </c>
      <c r="O2812" s="6"/>
      <c r="P2812" s="10">
        <v>6</v>
      </c>
      <c r="Q2812" s="42" t="s">
        <v>6870</v>
      </c>
      <c r="R2812" s="42"/>
      <c r="S2812" s="1"/>
    </row>
    <row r="2813" spans="1:19" ht="18.75" hidden="1" customHeight="1" x14ac:dyDescent="0.3">
      <c r="A2813" s="10">
        <v>2812</v>
      </c>
      <c r="B2813" s="10">
        <f>_xlfn.XLOOKUP(1,(VALUE(D2813)&gt;=VALUE(block!$C$3:$C$500))*(VALUE(D2813)&lt;VALUE(block!$C$3:$C$500)+VALUE(block!$D$3:$D$500)),block!$A$3:$A$500,"无匹配",0,1)</f>
        <v>74</v>
      </c>
      <c r="C2813" s="3" t="str">
        <f>B2813 &amp; "-" &amp; COUNTIF($B$2:B2813, B2813)</f>
        <v>74-24</v>
      </c>
      <c r="D2813" s="10">
        <v>21432</v>
      </c>
      <c r="E2813" s="1" t="s">
        <v>7059</v>
      </c>
      <c r="F2813" s="1" t="s">
        <v>7060</v>
      </c>
      <c r="H2813" s="3" t="s">
        <v>6767</v>
      </c>
      <c r="I2813" s="10" t="str">
        <f>IF(H2813="T74",1,IF(H2813="T74",3,IF(H2813="T90",6,IF(H2813="T90",10,IF(H2813="T122",14,IF(H2813="T122",18,IF(H2813="T90",22,"")))))))</f>
        <v/>
      </c>
      <c r="J2813" s="1" t="s">
        <v>1808</v>
      </c>
      <c r="K2813" s="10">
        <v>4</v>
      </c>
      <c r="L2813" s="10">
        <v>1</v>
      </c>
      <c r="O2813" s="6"/>
      <c r="Q2813" s="42" t="s">
        <v>6870</v>
      </c>
      <c r="R2813" s="42"/>
      <c r="S2813" s="1"/>
    </row>
    <row r="2814" spans="1:19" ht="18.75" hidden="1" customHeight="1" x14ac:dyDescent="0.3">
      <c r="A2814" s="10">
        <v>2813</v>
      </c>
      <c r="B2814" s="10">
        <f>_xlfn.XLOOKUP(1,(VALUE(D2814)&gt;=VALUE(block!$C$3:$C$500))*(VALUE(D2814)&lt;VALUE(block!$C$3:$C$500)+VALUE(block!$D$3:$D$500)),block!$A$3:$A$500,"无匹配",0,1)</f>
        <v>74</v>
      </c>
      <c r="C2814" s="3" t="str">
        <f>B2814 &amp; "-" &amp; COUNTIF($B$2:B2814, B2814)</f>
        <v>74-25</v>
      </c>
      <c r="D2814" s="10">
        <v>21436</v>
      </c>
      <c r="E2814" s="1" t="s">
        <v>7061</v>
      </c>
      <c r="F2814" s="1" t="s">
        <v>7062</v>
      </c>
      <c r="G2814" s="1" t="s">
        <v>1830</v>
      </c>
      <c r="H2814" s="1" t="s">
        <v>1812</v>
      </c>
      <c r="I2814" s="10" t="str">
        <f>IF(H2814="T75",1,IF(H2814="T75",3,IF(H2814="T91",6,IF(H2814="T91",10,IF(H2814="T123",14,IF(H2814="T123",18,IF(H2814="T91",22,"")))))))</f>
        <v/>
      </c>
      <c r="J2814" s="1" t="s">
        <v>1808</v>
      </c>
      <c r="K2814" s="10">
        <v>2</v>
      </c>
      <c r="L2814" s="10">
        <v>1</v>
      </c>
      <c r="O2814" s="6"/>
      <c r="P2814" s="10">
        <v>6</v>
      </c>
      <c r="Q2814" s="42" t="s">
        <v>6870</v>
      </c>
      <c r="R2814" s="42"/>
      <c r="S2814" s="1"/>
    </row>
    <row r="2815" spans="1:19" ht="18.75" hidden="1" customHeight="1" x14ac:dyDescent="0.3">
      <c r="A2815" s="10">
        <v>2814</v>
      </c>
      <c r="B2815" s="10">
        <f>_xlfn.XLOOKUP(1,(VALUE(D2815)&gt;=VALUE(block!$C$3:$C$500))*(VALUE(D2815)&lt;VALUE(block!$C$3:$C$500)+VALUE(block!$D$3:$D$500)),block!$A$3:$A$500,"无匹配",0,1)</f>
        <v>74</v>
      </c>
      <c r="C2815" s="3" t="str">
        <f>B2815 &amp; "-" &amp; COUNTIF($B$2:B2815, B2815)</f>
        <v>74-26</v>
      </c>
      <c r="D2815" s="10">
        <v>21438</v>
      </c>
      <c r="E2815" s="1" t="s">
        <v>7063</v>
      </c>
      <c r="F2815" s="1" t="s">
        <v>7064</v>
      </c>
      <c r="H2815" s="3" t="s">
        <v>6767</v>
      </c>
      <c r="I2815" s="10" t="str">
        <f>IF(H2815="T76",1,IF(H2815="T76",3,IF(H2815="T92",6,IF(H2815="T92",10,IF(H2815="T124",14,IF(H2815="T124",18,IF(H2815="T92",22,"")))))))</f>
        <v/>
      </c>
      <c r="J2815" s="1" t="s">
        <v>1808</v>
      </c>
      <c r="K2815" s="10">
        <v>4</v>
      </c>
      <c r="L2815" s="10">
        <v>1</v>
      </c>
      <c r="O2815" s="6"/>
      <c r="Q2815" s="42" t="s">
        <v>6870</v>
      </c>
      <c r="R2815" s="42"/>
      <c r="S2815" s="1"/>
    </row>
    <row r="2816" spans="1:19" ht="18.75" hidden="1" customHeight="1" x14ac:dyDescent="0.3">
      <c r="A2816" s="10">
        <v>2815</v>
      </c>
      <c r="B2816" s="10">
        <f>_xlfn.XLOOKUP(1,(VALUE(D2816)&gt;=VALUE(block!$C$3:$C$500))*(VALUE(D2816)&lt;VALUE(block!$C$3:$C$500)+VALUE(block!$D$3:$D$500)),block!$A$3:$A$500,"无匹配",0,1)</f>
        <v>74</v>
      </c>
      <c r="C2816" s="3" t="str">
        <f>B2816 &amp; "-" &amp; COUNTIF($B$2:B2816, B2816)</f>
        <v>74-27</v>
      </c>
      <c r="D2816" s="10">
        <v>21442</v>
      </c>
      <c r="E2816" s="1" t="s">
        <v>7065</v>
      </c>
      <c r="F2816" s="1" t="s">
        <v>7066</v>
      </c>
      <c r="G2816" s="1" t="s">
        <v>1832</v>
      </c>
      <c r="H2816" s="1" t="s">
        <v>1812</v>
      </c>
      <c r="I2816" s="10" t="str">
        <f>IF(H2816="T77",1,IF(H2816="T77",3,IF(H2816="T93",6,IF(H2816="T93",10,IF(H2816="T125",14,IF(H2816="T125",18,IF(H2816="T93",22,"")))))))</f>
        <v/>
      </c>
      <c r="J2816" s="1" t="s">
        <v>1808</v>
      </c>
      <c r="K2816" s="10">
        <v>2</v>
      </c>
      <c r="L2816" s="10">
        <v>1</v>
      </c>
      <c r="O2816" s="6"/>
      <c r="P2816" s="10">
        <v>6</v>
      </c>
      <c r="Q2816" s="42" t="s">
        <v>6870</v>
      </c>
      <c r="R2816" s="42"/>
      <c r="S2816" s="1"/>
    </row>
    <row r="2817" spans="1:19" ht="18.75" hidden="1" customHeight="1" x14ac:dyDescent="0.3">
      <c r="A2817" s="10">
        <v>2816</v>
      </c>
      <c r="B2817" s="10">
        <f>_xlfn.XLOOKUP(1,(VALUE(D2817)&gt;=VALUE(block!$C$3:$C$500))*(VALUE(D2817)&lt;VALUE(block!$C$3:$C$500)+VALUE(block!$D$3:$D$500)),block!$A$3:$A$500,"无匹配",0,1)</f>
        <v>74</v>
      </c>
      <c r="C2817" s="3" t="str">
        <f>B2817 &amp; "-" &amp; COUNTIF($B$2:B2817, B2817)</f>
        <v>74-28</v>
      </c>
      <c r="D2817" s="10">
        <v>21444</v>
      </c>
      <c r="E2817" s="1" t="s">
        <v>7067</v>
      </c>
      <c r="F2817" s="1" t="s">
        <v>7068</v>
      </c>
      <c r="H2817" s="3" t="s">
        <v>6767</v>
      </c>
      <c r="I2817" s="10" t="str">
        <f>IF(H2817="T78",1,IF(H2817="T78",3,IF(H2817="T94",6,IF(H2817="T94",10,IF(H2817="T126",14,IF(H2817="T126",18,IF(H2817="T94",22,"")))))))</f>
        <v/>
      </c>
      <c r="J2817" s="1" t="s">
        <v>1808</v>
      </c>
      <c r="K2817" s="10">
        <v>4</v>
      </c>
      <c r="L2817" s="10">
        <v>1</v>
      </c>
      <c r="O2817" s="6"/>
      <c r="Q2817" s="42" t="s">
        <v>6870</v>
      </c>
      <c r="R2817" s="42"/>
      <c r="S2817" s="1"/>
    </row>
    <row r="2818" spans="1:19" ht="18.75" hidden="1" customHeight="1" x14ac:dyDescent="0.3">
      <c r="A2818" s="10">
        <v>2817</v>
      </c>
      <c r="B2818" s="10">
        <f>_xlfn.XLOOKUP(1,(VALUE(D2818)&gt;=VALUE(block!$C$3:$C$500))*(VALUE(D2818)&lt;VALUE(block!$C$3:$C$500)+VALUE(block!$D$3:$D$500)),block!$A$3:$A$500,"无匹配",0,1)</f>
        <v>74</v>
      </c>
      <c r="C2818" s="3" t="str">
        <f>B2818 &amp; "-" &amp; COUNTIF($B$2:B2818, B2818)</f>
        <v>74-29</v>
      </c>
      <c r="D2818" s="10">
        <v>21448</v>
      </c>
      <c r="E2818" s="1" t="s">
        <v>7069</v>
      </c>
      <c r="F2818" s="1" t="s">
        <v>7070</v>
      </c>
      <c r="G2818" s="1" t="s">
        <v>1834</v>
      </c>
      <c r="H2818" s="1" t="s">
        <v>1812</v>
      </c>
      <c r="I2818" s="10" t="str">
        <f>IF(H2818="T79",1,IF(H2818="T79",3,IF(H2818="T95",6,IF(H2818="T95",10,IF(H2818="T127",14,IF(H2818="T127",18,IF(H2818="T95",22,"")))))))</f>
        <v/>
      </c>
      <c r="J2818" s="1" t="s">
        <v>1808</v>
      </c>
      <c r="K2818" s="10">
        <v>2</v>
      </c>
      <c r="L2818" s="10">
        <v>1</v>
      </c>
      <c r="O2818" s="6"/>
      <c r="P2818" s="10">
        <v>6</v>
      </c>
      <c r="Q2818" s="42" t="s">
        <v>6870</v>
      </c>
      <c r="R2818" s="42"/>
      <c r="S2818" s="1"/>
    </row>
    <row r="2819" spans="1:19" ht="18.75" hidden="1" customHeight="1" x14ac:dyDescent="0.3">
      <c r="A2819" s="10">
        <v>2818</v>
      </c>
      <c r="B2819" s="10">
        <f>_xlfn.XLOOKUP(1,(VALUE(D2819)&gt;=VALUE(block!$C$3:$C$500))*(VALUE(D2819)&lt;VALUE(block!$C$3:$C$500)+VALUE(block!$D$3:$D$500)),block!$A$3:$A$500,"无匹配",0,1)</f>
        <v>74</v>
      </c>
      <c r="C2819" s="3" t="str">
        <f>B2819 &amp; "-" &amp; COUNTIF($B$2:B2819, B2819)</f>
        <v>74-30</v>
      </c>
      <c r="D2819" s="10">
        <v>21450</v>
      </c>
      <c r="E2819" s="1" t="s">
        <v>7071</v>
      </c>
      <c r="F2819" s="1" t="s">
        <v>7072</v>
      </c>
      <c r="H2819" s="3" t="s">
        <v>6767</v>
      </c>
      <c r="I2819" s="10">
        <f>IF(H2819="uint16",1,IF(H2819="int16",3,IF(H2819="uint32",6,IF(H2819="int32",10,IF(H2819="uint64",14,IF(H2819="int64",18,IF(H2819="float32",22,"")))))))</f>
        <v>14</v>
      </c>
      <c r="J2819" s="1" t="s">
        <v>1808</v>
      </c>
      <c r="K2819" s="10">
        <v>4</v>
      </c>
      <c r="L2819" s="10">
        <v>1</v>
      </c>
      <c r="O2819" s="6"/>
      <c r="Q2819" s="42" t="s">
        <v>6870</v>
      </c>
      <c r="R2819" s="42"/>
      <c r="S2819" s="1"/>
    </row>
    <row r="2820" spans="1:19" ht="18.75" hidden="1" customHeight="1" x14ac:dyDescent="0.3">
      <c r="A2820" s="10">
        <v>2819</v>
      </c>
      <c r="B2820" s="10">
        <f>_xlfn.XLOOKUP(1,(VALUE(D2820)&gt;=VALUE(block!$C$3:$C$500))*(VALUE(D2820)&lt;VALUE(block!$C$3:$C$500)+VALUE(block!$D$3:$D$500)),block!$A$3:$A$500,"无匹配",0,1)</f>
        <v>74</v>
      </c>
      <c r="C2820" s="3" t="str">
        <f>B2820 &amp; "-" &amp; COUNTIF($B$2:B2820, B2820)</f>
        <v>74-31</v>
      </c>
      <c r="D2820" s="10">
        <v>21454</v>
      </c>
      <c r="E2820" s="1" t="s">
        <v>7073</v>
      </c>
      <c r="F2820" s="1" t="s">
        <v>7074</v>
      </c>
      <c r="G2820" s="1" t="s">
        <v>1836</v>
      </c>
      <c r="H2820" s="1" t="s">
        <v>1812</v>
      </c>
      <c r="I2820" s="10" t="str">
        <f>IF(H2820="T17",1,IF(H2820="T17",3,IF(H2820="T33",6,IF(H2820="T33",10,IF(H2820="T65",14,IF(H2820="T65",18,IF(H2820="T33",22,"")))))))</f>
        <v/>
      </c>
      <c r="J2820" s="1" t="s">
        <v>1808</v>
      </c>
      <c r="K2820" s="10">
        <v>2</v>
      </c>
      <c r="L2820" s="10">
        <v>1</v>
      </c>
      <c r="O2820" s="6"/>
      <c r="P2820" s="10">
        <v>6</v>
      </c>
      <c r="Q2820" s="42" t="s">
        <v>6870</v>
      </c>
      <c r="R2820" s="42"/>
      <c r="S2820" s="1"/>
    </row>
    <row r="2821" spans="1:19" ht="18.75" hidden="1" customHeight="1" x14ac:dyDescent="0.3">
      <c r="A2821" s="10">
        <v>2820</v>
      </c>
      <c r="B2821" s="10">
        <f>_xlfn.XLOOKUP(1,(VALUE(D2821)&gt;=VALUE(block!$C$3:$C$500))*(VALUE(D2821)&lt;VALUE(block!$C$3:$C$500)+VALUE(block!$D$3:$D$500)),block!$A$3:$A$500,"无匹配",0,1)</f>
        <v>74</v>
      </c>
      <c r="C2821" s="3" t="str">
        <f>B2821 &amp; "-" &amp; COUNTIF($B$2:B2821, B2821)</f>
        <v>74-32</v>
      </c>
      <c r="D2821" s="10">
        <v>21456</v>
      </c>
      <c r="E2821" s="1" t="s">
        <v>7075</v>
      </c>
      <c r="F2821" s="1" t="s">
        <v>7076</v>
      </c>
      <c r="H2821" s="3" t="s">
        <v>6767</v>
      </c>
      <c r="I2821" s="10" t="str">
        <f>IF(H2821="T18",1,IF(H2821="T18",3,IF(H2821="T34",6,IF(H2821="T34",10,IF(H2821="T66",14,IF(H2821="T66",18,IF(H2821="T34",22,"")))))))</f>
        <v/>
      </c>
      <c r="J2821" s="1" t="s">
        <v>1808</v>
      </c>
      <c r="K2821" s="10">
        <v>4</v>
      </c>
      <c r="L2821" s="10">
        <v>1</v>
      </c>
      <c r="O2821" s="6"/>
      <c r="Q2821" s="42" t="s">
        <v>6870</v>
      </c>
      <c r="R2821" s="42"/>
      <c r="S2821" s="1"/>
    </row>
    <row r="2822" spans="1:19" ht="18.75" hidden="1" customHeight="1" x14ac:dyDescent="0.3">
      <c r="A2822" s="10">
        <v>2821</v>
      </c>
      <c r="B2822" s="10">
        <f>_xlfn.XLOOKUP(1,(VALUE(D2822)&gt;=VALUE(block!$C$3:$C$500))*(VALUE(D2822)&lt;VALUE(block!$C$3:$C$500)+VALUE(block!$D$3:$D$500)),block!$A$3:$A$500,"无匹配",0,1)</f>
        <v>74</v>
      </c>
      <c r="C2822" s="3" t="str">
        <f>B2822 &amp; "-" &amp; COUNTIF($B$2:B2822, B2822)</f>
        <v>74-33</v>
      </c>
      <c r="D2822" s="10">
        <v>21460</v>
      </c>
      <c r="E2822" s="1" t="s">
        <v>7077</v>
      </c>
      <c r="F2822" s="1" t="s">
        <v>7078</v>
      </c>
      <c r="G2822" s="1" t="s">
        <v>1840</v>
      </c>
      <c r="H2822" s="1" t="s">
        <v>1812</v>
      </c>
      <c r="I2822" s="10" t="str">
        <f>IF(H2822="T19",1,IF(H2822="T19",3,IF(H2822="T35",6,IF(H2822="T35",10,IF(H2822="T67",14,IF(H2822="T67",18,IF(H2822="T35",22,"")))))))</f>
        <v/>
      </c>
      <c r="J2822" s="1" t="s">
        <v>1808</v>
      </c>
      <c r="K2822" s="10">
        <v>2</v>
      </c>
      <c r="L2822" s="10">
        <v>1</v>
      </c>
      <c r="O2822" s="6"/>
      <c r="P2822" s="10">
        <v>6</v>
      </c>
      <c r="Q2822" s="42" t="s">
        <v>6870</v>
      </c>
      <c r="R2822" s="42"/>
      <c r="S2822" s="1"/>
    </row>
    <row r="2823" spans="1:19" ht="18.75" hidden="1" customHeight="1" x14ac:dyDescent="0.3">
      <c r="A2823" s="10">
        <v>2822</v>
      </c>
      <c r="B2823" s="10">
        <f>_xlfn.XLOOKUP(1,(VALUE(D2823)&gt;=VALUE(block!$C$3:$C$500))*(VALUE(D2823)&lt;VALUE(block!$C$3:$C$500)+VALUE(block!$D$3:$D$500)),block!$A$3:$A$500,"无匹配",0,1)</f>
        <v>74</v>
      </c>
      <c r="C2823" s="3" t="str">
        <f>B2823 &amp; "-" &amp; COUNTIF($B$2:B2823, B2823)</f>
        <v>74-34</v>
      </c>
      <c r="D2823" s="10">
        <v>21462</v>
      </c>
      <c r="E2823" s="1" t="s">
        <v>7079</v>
      </c>
      <c r="F2823" s="1" t="s">
        <v>7080</v>
      </c>
      <c r="H2823" s="3" t="s">
        <v>6767</v>
      </c>
      <c r="I2823" s="10" t="str">
        <f>IF(H2823="T20",1,IF(H2823="T20",3,IF(H2823="T36",6,IF(H2823="T36",10,IF(H2823="T68",14,IF(H2823="T68",18,IF(H2823="T36",22,"")))))))</f>
        <v/>
      </c>
      <c r="J2823" s="1" t="s">
        <v>1808</v>
      </c>
      <c r="K2823" s="10">
        <v>4</v>
      </c>
      <c r="L2823" s="10">
        <v>1</v>
      </c>
      <c r="O2823" s="6"/>
      <c r="Q2823" s="42" t="s">
        <v>6870</v>
      </c>
      <c r="R2823" s="42"/>
      <c r="S2823" s="1"/>
    </row>
    <row r="2824" spans="1:19" ht="18.75" hidden="1" customHeight="1" x14ac:dyDescent="0.3">
      <c r="A2824" s="10">
        <v>2823</v>
      </c>
      <c r="B2824" s="10">
        <f>_xlfn.XLOOKUP(1,(VALUE(D2824)&gt;=VALUE(block!$C$3:$C$500))*(VALUE(D2824)&lt;VALUE(block!$C$3:$C$500)+VALUE(block!$D$3:$D$500)),block!$A$3:$A$500,"无匹配",0,1)</f>
        <v>74</v>
      </c>
      <c r="C2824" s="3" t="str">
        <f>B2824 &amp; "-" &amp; COUNTIF($B$2:B2824, B2824)</f>
        <v>74-35</v>
      </c>
      <c r="D2824" s="10">
        <v>21466</v>
      </c>
      <c r="E2824" s="1" t="s">
        <v>7081</v>
      </c>
      <c r="F2824" s="1" t="s">
        <v>7082</v>
      </c>
      <c r="G2824" s="1" t="s">
        <v>1840</v>
      </c>
      <c r="H2824" s="1" t="s">
        <v>1812</v>
      </c>
      <c r="I2824" s="10" t="str">
        <f>IF(H2824="T21",1,IF(H2824="T21",3,IF(H2824="T37",6,IF(H2824="T37",10,IF(H2824="T69",14,IF(H2824="T69",18,IF(H2824="T37",22,"")))))))</f>
        <v/>
      </c>
      <c r="J2824" s="1" t="s">
        <v>1808</v>
      </c>
      <c r="K2824" s="10">
        <v>2</v>
      </c>
      <c r="L2824" s="10">
        <v>1</v>
      </c>
      <c r="O2824" s="6"/>
      <c r="P2824" s="10">
        <v>6</v>
      </c>
      <c r="Q2824" s="42" t="s">
        <v>6870</v>
      </c>
      <c r="R2824" s="42"/>
      <c r="S2824" s="1"/>
    </row>
    <row r="2825" spans="1:19" ht="18.75" hidden="1" customHeight="1" x14ac:dyDescent="0.3">
      <c r="A2825" s="10">
        <v>2824</v>
      </c>
      <c r="B2825" s="10">
        <f>_xlfn.XLOOKUP(1,(VALUE(D2825)&gt;=VALUE(block!$C$3:$C$500))*(VALUE(D2825)&lt;VALUE(block!$C$3:$C$500)+VALUE(block!$D$3:$D$500)),block!$A$3:$A$500,"无匹配",0,1)</f>
        <v>74</v>
      </c>
      <c r="C2825" s="3" t="str">
        <f>B2825 &amp; "-" &amp; COUNTIF($B$2:B2825, B2825)</f>
        <v>74-36</v>
      </c>
      <c r="D2825" s="10">
        <v>21468</v>
      </c>
      <c r="E2825" s="1" t="s">
        <v>7083</v>
      </c>
      <c r="F2825" s="1" t="s">
        <v>7084</v>
      </c>
      <c r="H2825" s="3" t="s">
        <v>6767</v>
      </c>
      <c r="I2825" s="10" t="str">
        <f>IF(H2825="T22",1,IF(H2825="T22",3,IF(H2825="T38",6,IF(H2825="T38",10,IF(H2825="T70",14,IF(H2825="T70",18,IF(H2825="T38",22,"")))))))</f>
        <v/>
      </c>
      <c r="J2825" s="1" t="s">
        <v>1808</v>
      </c>
      <c r="K2825" s="10">
        <v>4</v>
      </c>
      <c r="L2825" s="10">
        <v>1</v>
      </c>
      <c r="O2825" s="6"/>
      <c r="Q2825" s="42" t="s">
        <v>6870</v>
      </c>
      <c r="R2825" s="42"/>
      <c r="S2825" s="1"/>
    </row>
    <row r="2826" spans="1:19" ht="18.75" hidden="1" customHeight="1" x14ac:dyDescent="0.3">
      <c r="A2826" s="10">
        <v>2825</v>
      </c>
      <c r="B2826" s="10">
        <f>_xlfn.XLOOKUP(1,(VALUE(D2826)&gt;=VALUE(block!$C$3:$C$500))*(VALUE(D2826)&lt;VALUE(block!$C$3:$C$500)+VALUE(block!$D$3:$D$500)),block!$A$3:$A$500,"无匹配",0,1)</f>
        <v>75</v>
      </c>
      <c r="C2826" s="3" t="str">
        <f>B2826 &amp; "-" &amp; COUNTIF($B$2:B2826, B2826)</f>
        <v>75-1</v>
      </c>
      <c r="D2826" s="10">
        <v>21472</v>
      </c>
      <c r="E2826" s="1" t="s">
        <v>7085</v>
      </c>
      <c r="F2826" s="1" t="s">
        <v>7086</v>
      </c>
      <c r="G2826" s="1" t="s">
        <v>1830</v>
      </c>
      <c r="H2826" s="1" t="s">
        <v>1812</v>
      </c>
      <c r="I2826" s="10" t="str">
        <f>IF(H2826="T23",1,IF(H2826="T23",3,IF(H2826="T39",6,IF(H2826="T39",10,IF(H2826="T71",14,IF(H2826="T71",18,IF(H2826="T39",22,"")))))))</f>
        <v/>
      </c>
      <c r="J2826" s="1" t="s">
        <v>1808</v>
      </c>
      <c r="K2826" s="10">
        <v>2</v>
      </c>
      <c r="L2826" s="10">
        <v>1</v>
      </c>
      <c r="O2826" s="6"/>
      <c r="P2826" s="10">
        <v>6</v>
      </c>
      <c r="Q2826" s="42" t="s">
        <v>6870</v>
      </c>
      <c r="R2826" s="42"/>
      <c r="S2826" s="1"/>
    </row>
    <row r="2827" spans="1:19" ht="18.75" hidden="1" customHeight="1" x14ac:dyDescent="0.3">
      <c r="A2827" s="10">
        <v>2826</v>
      </c>
      <c r="B2827" s="10">
        <f>_xlfn.XLOOKUP(1,(VALUE(D2827)&gt;=VALUE(block!$C$3:$C$500))*(VALUE(D2827)&lt;VALUE(block!$C$3:$C$500)+VALUE(block!$D$3:$D$500)),block!$A$3:$A$500,"无匹配",0,1)</f>
        <v>75</v>
      </c>
      <c r="C2827" s="3" t="str">
        <f>B2827 &amp; "-" &amp; COUNTIF($B$2:B2827, B2827)</f>
        <v>75-2</v>
      </c>
      <c r="D2827" s="10">
        <v>21474</v>
      </c>
      <c r="E2827" s="1" t="s">
        <v>7087</v>
      </c>
      <c r="F2827" s="1" t="s">
        <v>7088</v>
      </c>
      <c r="H2827" s="3" t="s">
        <v>6767</v>
      </c>
      <c r="I2827" s="10" t="str">
        <f>IF(H2827="T24",1,IF(H2827="T24",3,IF(H2827="T40",6,IF(H2827="T40",10,IF(H2827="T72",14,IF(H2827="T72",18,IF(H2827="T40",22,"")))))))</f>
        <v/>
      </c>
      <c r="J2827" s="1" t="s">
        <v>1808</v>
      </c>
      <c r="K2827" s="10">
        <v>4</v>
      </c>
      <c r="L2827" s="10">
        <v>1</v>
      </c>
      <c r="O2827" s="6"/>
      <c r="Q2827" s="42" t="s">
        <v>6870</v>
      </c>
      <c r="R2827" s="42"/>
      <c r="S2827" s="1"/>
    </row>
    <row r="2828" spans="1:19" ht="18.75" hidden="1" customHeight="1" x14ac:dyDescent="0.3">
      <c r="A2828" s="10">
        <v>2827</v>
      </c>
      <c r="B2828" s="10">
        <f>_xlfn.XLOOKUP(1,(VALUE(D2828)&gt;=VALUE(block!$C$3:$C$500))*(VALUE(D2828)&lt;VALUE(block!$C$3:$C$500)+VALUE(block!$D$3:$D$500)),block!$A$3:$A$500,"无匹配",0,1)</f>
        <v>75</v>
      </c>
      <c r="C2828" s="3" t="str">
        <f>B2828 &amp; "-" &amp; COUNTIF($B$2:B2828, B2828)</f>
        <v>75-3</v>
      </c>
      <c r="D2828" s="10">
        <v>21478</v>
      </c>
      <c r="E2828" s="1" t="s">
        <v>7089</v>
      </c>
      <c r="F2828" s="1" t="s">
        <v>7090</v>
      </c>
      <c r="G2828" s="1" t="s">
        <v>1832</v>
      </c>
      <c r="H2828" s="1" t="s">
        <v>1812</v>
      </c>
      <c r="I2828" s="10" t="str">
        <f>IF(H2828="T25",1,IF(H2828="T25",3,IF(H2828="T41",6,IF(H2828="T41",10,IF(H2828="T73",14,IF(H2828="T73",18,IF(H2828="T41",22,"")))))))</f>
        <v/>
      </c>
      <c r="J2828" s="1" t="s">
        <v>1808</v>
      </c>
      <c r="K2828" s="10">
        <v>2</v>
      </c>
      <c r="L2828" s="10">
        <v>1</v>
      </c>
      <c r="O2828" s="6"/>
      <c r="P2828" s="10">
        <v>6</v>
      </c>
      <c r="Q2828" s="42" t="s">
        <v>6870</v>
      </c>
      <c r="R2828" s="42"/>
      <c r="S2828" s="1"/>
    </row>
    <row r="2829" spans="1:19" ht="18.75" hidden="1" customHeight="1" x14ac:dyDescent="0.3">
      <c r="A2829" s="10">
        <v>2828</v>
      </c>
      <c r="B2829" s="10">
        <f>_xlfn.XLOOKUP(1,(VALUE(D2829)&gt;=VALUE(block!$C$3:$C$500))*(VALUE(D2829)&lt;VALUE(block!$C$3:$C$500)+VALUE(block!$D$3:$D$500)),block!$A$3:$A$500,"无匹配",0,1)</f>
        <v>75</v>
      </c>
      <c r="C2829" s="3" t="str">
        <f>B2829 &amp; "-" &amp; COUNTIF($B$2:B2829, B2829)</f>
        <v>75-4</v>
      </c>
      <c r="D2829" s="10">
        <v>21480</v>
      </c>
      <c r="E2829" s="1" t="s">
        <v>7091</v>
      </c>
      <c r="F2829" s="1" t="s">
        <v>7092</v>
      </c>
      <c r="H2829" s="3" t="s">
        <v>6767</v>
      </c>
      <c r="I2829" s="10" t="str">
        <f>IF(H2829="T26",1,IF(H2829="T26",3,IF(H2829="T42",6,IF(H2829="T42",10,IF(H2829="T74",14,IF(H2829="T74",18,IF(H2829="T42",22,"")))))))</f>
        <v/>
      </c>
      <c r="J2829" s="1" t="s">
        <v>1808</v>
      </c>
      <c r="K2829" s="10">
        <v>4</v>
      </c>
      <c r="L2829" s="10">
        <v>1</v>
      </c>
      <c r="O2829" s="6"/>
      <c r="Q2829" s="42" t="s">
        <v>6870</v>
      </c>
      <c r="R2829" s="42"/>
      <c r="S2829" s="1"/>
    </row>
    <row r="2830" spans="1:19" ht="18.75" hidden="1" customHeight="1" x14ac:dyDescent="0.3">
      <c r="A2830" s="10">
        <v>2829</v>
      </c>
      <c r="B2830" s="10">
        <f>_xlfn.XLOOKUP(1,(VALUE(D2830)&gt;=VALUE(block!$C$3:$C$500))*(VALUE(D2830)&lt;VALUE(block!$C$3:$C$500)+VALUE(block!$D$3:$D$500)),block!$A$3:$A$500,"无匹配",0,1)</f>
        <v>75</v>
      </c>
      <c r="C2830" s="3" t="str">
        <f>B2830 &amp; "-" &amp; COUNTIF($B$2:B2830, B2830)</f>
        <v>75-5</v>
      </c>
      <c r="D2830" s="10">
        <v>21484</v>
      </c>
      <c r="E2830" s="1" t="s">
        <v>7093</v>
      </c>
      <c r="F2830" s="1" t="s">
        <v>7094</v>
      </c>
      <c r="G2830" s="1" t="s">
        <v>1834</v>
      </c>
      <c r="H2830" s="1" t="s">
        <v>1812</v>
      </c>
      <c r="I2830" s="10" t="str">
        <f>IF(H2830="T27",1,IF(H2830="T27",3,IF(H2830="T43",6,IF(H2830="T43",10,IF(H2830="T75",14,IF(H2830="T75",18,IF(H2830="T43",22,"")))))))</f>
        <v/>
      </c>
      <c r="J2830" s="1" t="s">
        <v>1808</v>
      </c>
      <c r="K2830" s="10">
        <v>2</v>
      </c>
      <c r="L2830" s="10">
        <v>1</v>
      </c>
      <c r="O2830" s="6"/>
      <c r="P2830" s="10">
        <v>6</v>
      </c>
      <c r="Q2830" s="42" t="s">
        <v>6870</v>
      </c>
      <c r="R2830" s="42"/>
      <c r="S2830" s="1"/>
    </row>
    <row r="2831" spans="1:19" ht="18.75" hidden="1" customHeight="1" x14ac:dyDescent="0.3">
      <c r="A2831" s="10">
        <v>2830</v>
      </c>
      <c r="B2831" s="10">
        <f>_xlfn.XLOOKUP(1,(VALUE(D2831)&gt;=VALUE(block!$C$3:$C$500))*(VALUE(D2831)&lt;VALUE(block!$C$3:$C$500)+VALUE(block!$D$3:$D$500)),block!$A$3:$A$500,"无匹配",0,1)</f>
        <v>75</v>
      </c>
      <c r="C2831" s="3" t="str">
        <f>B2831 &amp; "-" &amp; COUNTIF($B$2:B2831, B2831)</f>
        <v>75-6</v>
      </c>
      <c r="D2831" s="10">
        <v>21486</v>
      </c>
      <c r="E2831" s="1" t="s">
        <v>7095</v>
      </c>
      <c r="F2831" s="1" t="s">
        <v>7096</v>
      </c>
      <c r="H2831" s="3" t="s">
        <v>6767</v>
      </c>
      <c r="I2831" s="10" t="str">
        <f>IF(H2831="T28",1,IF(H2831="T28",3,IF(H2831="T44",6,IF(H2831="T44",10,IF(H2831="T76",14,IF(H2831="T76",18,IF(H2831="T44",22,"")))))))</f>
        <v/>
      </c>
      <c r="J2831" s="1" t="s">
        <v>1808</v>
      </c>
      <c r="K2831" s="10">
        <v>4</v>
      </c>
      <c r="L2831" s="10">
        <v>1</v>
      </c>
      <c r="O2831" s="6"/>
      <c r="Q2831" s="42" t="s">
        <v>6870</v>
      </c>
      <c r="R2831" s="42"/>
      <c r="S2831" s="1"/>
    </row>
    <row r="2832" spans="1:19" ht="18.75" hidden="1" customHeight="1" x14ac:dyDescent="0.3">
      <c r="A2832" s="10">
        <v>2831</v>
      </c>
      <c r="B2832" s="10">
        <f>_xlfn.XLOOKUP(1,(VALUE(D2832)&gt;=VALUE(block!$C$3:$C$500))*(VALUE(D2832)&lt;VALUE(block!$C$3:$C$500)+VALUE(block!$D$3:$D$500)),block!$A$3:$A$500,"无匹配",0,1)</f>
        <v>75</v>
      </c>
      <c r="C2832" s="3" t="str">
        <f>B2832 &amp; "-" &amp; COUNTIF($B$2:B2832, B2832)</f>
        <v>75-7</v>
      </c>
      <c r="D2832" s="10">
        <v>21490</v>
      </c>
      <c r="E2832" s="1" t="s">
        <v>7097</v>
      </c>
      <c r="F2832" s="1" t="s">
        <v>7098</v>
      </c>
      <c r="G2832" s="1" t="s">
        <v>1836</v>
      </c>
      <c r="H2832" s="1" t="s">
        <v>1812</v>
      </c>
      <c r="I2832" s="10" t="str">
        <f>IF(H2832="T29",1,IF(H2832="T29",3,IF(H2832="T45",6,IF(H2832="T45",10,IF(H2832="T77",14,IF(H2832="T77",18,IF(H2832="T45",22,"")))))))</f>
        <v/>
      </c>
      <c r="J2832" s="1" t="s">
        <v>1808</v>
      </c>
      <c r="K2832" s="10">
        <v>2</v>
      </c>
      <c r="L2832" s="10">
        <v>1</v>
      </c>
      <c r="O2832" s="6"/>
      <c r="P2832" s="10">
        <v>6</v>
      </c>
      <c r="Q2832" s="42" t="s">
        <v>6870</v>
      </c>
      <c r="R2832" s="42"/>
      <c r="S2832" s="1"/>
    </row>
    <row r="2833" spans="1:19" ht="18.75" hidden="1" customHeight="1" x14ac:dyDescent="0.3">
      <c r="A2833" s="10">
        <v>2832</v>
      </c>
      <c r="B2833" s="10">
        <f>_xlfn.XLOOKUP(1,(VALUE(D2833)&gt;=VALUE(block!$C$3:$C$500))*(VALUE(D2833)&lt;VALUE(block!$C$3:$C$500)+VALUE(block!$D$3:$D$500)),block!$A$3:$A$500,"无匹配",0,1)</f>
        <v>75</v>
      </c>
      <c r="C2833" s="3" t="str">
        <f>B2833 &amp; "-" &amp; COUNTIF($B$2:B2833, B2833)</f>
        <v>75-8</v>
      </c>
      <c r="D2833" s="10">
        <v>21492</v>
      </c>
      <c r="E2833" s="1" t="s">
        <v>7099</v>
      </c>
      <c r="F2833" s="1" t="s">
        <v>7100</v>
      </c>
      <c r="H2833" s="3" t="s">
        <v>6767</v>
      </c>
      <c r="I2833" s="10" t="str">
        <f>IF(H2833="T30",1,IF(H2833="T30",3,IF(H2833="T46",6,IF(H2833="T46",10,IF(H2833="T78",14,IF(H2833="T78",18,IF(H2833="T46",22,"")))))))</f>
        <v/>
      </c>
      <c r="J2833" s="1" t="s">
        <v>1808</v>
      </c>
      <c r="K2833" s="10">
        <v>4</v>
      </c>
      <c r="L2833" s="10">
        <v>1</v>
      </c>
      <c r="O2833" s="6"/>
      <c r="Q2833" s="42" t="s">
        <v>6870</v>
      </c>
      <c r="R2833" s="42"/>
      <c r="S2833" s="1"/>
    </row>
    <row r="2834" spans="1:19" ht="18.75" hidden="1" customHeight="1" x14ac:dyDescent="0.3">
      <c r="A2834" s="10">
        <v>2833</v>
      </c>
      <c r="B2834" s="10">
        <f>_xlfn.XLOOKUP(1,(VALUE(D2834)&gt;=VALUE(block!$C$3:$C$500))*(VALUE(D2834)&lt;VALUE(block!$C$3:$C$500)+VALUE(block!$D$3:$D$500)),block!$A$3:$A$500,"无匹配",0,1)</f>
        <v>75</v>
      </c>
      <c r="C2834" s="3" t="str">
        <f>B2834 &amp; "-" &amp; COUNTIF($B$2:B2834, B2834)</f>
        <v>75-9</v>
      </c>
      <c r="D2834" s="10">
        <v>21496</v>
      </c>
      <c r="E2834" s="1" t="s">
        <v>7101</v>
      </c>
      <c r="F2834" s="1" t="s">
        <v>7102</v>
      </c>
      <c r="G2834" s="1" t="s">
        <v>1840</v>
      </c>
      <c r="H2834" s="1" t="s">
        <v>1812</v>
      </c>
      <c r="I2834" s="10" t="str">
        <f>IF(H2834="T31",1,IF(H2834="T31",3,IF(H2834="T47",6,IF(H2834="T47",10,IF(H2834="T79",14,IF(H2834="T79",18,IF(H2834="T47",22,"")))))))</f>
        <v/>
      </c>
      <c r="J2834" s="1" t="s">
        <v>1808</v>
      </c>
      <c r="K2834" s="10">
        <v>2</v>
      </c>
      <c r="L2834" s="10">
        <v>1</v>
      </c>
      <c r="O2834" s="6"/>
      <c r="P2834" s="10">
        <v>6</v>
      </c>
      <c r="Q2834" s="42" t="s">
        <v>6870</v>
      </c>
      <c r="R2834" s="42"/>
      <c r="S2834" s="1"/>
    </row>
    <row r="2835" spans="1:19" ht="18.75" hidden="1" customHeight="1" x14ac:dyDescent="0.3">
      <c r="A2835" s="10">
        <v>2834</v>
      </c>
      <c r="B2835" s="10">
        <f>_xlfn.XLOOKUP(1,(VALUE(D2835)&gt;=VALUE(block!$C$3:$C$500))*(VALUE(D2835)&lt;VALUE(block!$C$3:$C$500)+VALUE(block!$D$3:$D$500)),block!$A$3:$A$500,"无匹配",0,1)</f>
        <v>75</v>
      </c>
      <c r="C2835" s="3" t="str">
        <f>B2835 &amp; "-" &amp; COUNTIF($B$2:B2835, B2835)</f>
        <v>75-10</v>
      </c>
      <c r="D2835" s="10">
        <v>21498</v>
      </c>
      <c r="E2835" s="1" t="s">
        <v>7103</v>
      </c>
      <c r="F2835" s="1" t="s">
        <v>7104</v>
      </c>
      <c r="H2835" s="3" t="s">
        <v>6767</v>
      </c>
      <c r="I2835" s="10" t="str">
        <f>IF(H2835="T32",1,IF(H2835="T32",3,IF(H2835="T48",6,IF(H2835="T48",10,IF(H2835="T80",14,IF(H2835="T80",18,IF(H2835="T48",22,"")))))))</f>
        <v/>
      </c>
      <c r="J2835" s="1" t="s">
        <v>1808</v>
      </c>
      <c r="K2835" s="10">
        <v>4</v>
      </c>
      <c r="L2835" s="10">
        <v>1</v>
      </c>
      <c r="O2835" s="6"/>
      <c r="Q2835" s="42" t="s">
        <v>6870</v>
      </c>
      <c r="R2835" s="42"/>
      <c r="S2835" s="1"/>
    </row>
    <row r="2836" spans="1:19" ht="18.75" hidden="1" customHeight="1" x14ac:dyDescent="0.3">
      <c r="A2836" s="10">
        <v>2835</v>
      </c>
      <c r="B2836" s="10">
        <f>_xlfn.XLOOKUP(1,(VALUE(D2836)&gt;=VALUE(block!$C$3:$C$500))*(VALUE(D2836)&lt;VALUE(block!$C$3:$C$500)+VALUE(block!$D$3:$D$500)),block!$A$3:$A$500,"无匹配",0,1)</f>
        <v>75</v>
      </c>
      <c r="C2836" s="3" t="str">
        <f>B2836 &amp; "-" &amp; COUNTIF($B$2:B2836, B2836)</f>
        <v>75-11</v>
      </c>
      <c r="D2836" s="10">
        <v>21502</v>
      </c>
      <c r="E2836" s="1" t="s">
        <v>7105</v>
      </c>
      <c r="F2836" s="1" t="s">
        <v>7106</v>
      </c>
      <c r="G2836" s="1" t="s">
        <v>1840</v>
      </c>
      <c r="H2836" s="1" t="s">
        <v>1812</v>
      </c>
      <c r="I2836" s="10" t="str">
        <f>IF(H2836="T33",1,IF(H2836="T33",3,IF(H2836="T49",6,IF(H2836="T49",10,IF(H2836="T81",14,IF(H2836="T81",18,IF(H2836="T49",22,"")))))))</f>
        <v/>
      </c>
      <c r="J2836" s="1" t="s">
        <v>1808</v>
      </c>
      <c r="K2836" s="10">
        <v>2</v>
      </c>
      <c r="L2836" s="10">
        <v>1</v>
      </c>
      <c r="O2836" s="6"/>
      <c r="P2836" s="10">
        <v>6</v>
      </c>
      <c r="Q2836" s="42" t="s">
        <v>6870</v>
      </c>
      <c r="R2836" s="42"/>
      <c r="S2836" s="1"/>
    </row>
    <row r="2837" spans="1:19" ht="18.75" hidden="1" customHeight="1" x14ac:dyDescent="0.3">
      <c r="A2837" s="10">
        <v>2836</v>
      </c>
      <c r="B2837" s="10">
        <f>_xlfn.XLOOKUP(1,(VALUE(D2837)&gt;=VALUE(block!$C$3:$C$500))*(VALUE(D2837)&lt;VALUE(block!$C$3:$C$500)+VALUE(block!$D$3:$D$500)),block!$A$3:$A$500,"无匹配",0,1)</f>
        <v>75</v>
      </c>
      <c r="C2837" s="3" t="str">
        <f>B2837 &amp; "-" &amp; COUNTIF($B$2:B2837, B2837)</f>
        <v>75-12</v>
      </c>
      <c r="D2837" s="10">
        <v>21504</v>
      </c>
      <c r="E2837" s="1" t="s">
        <v>7107</v>
      </c>
      <c r="F2837" s="1" t="s">
        <v>7108</v>
      </c>
      <c r="H2837" s="3" t="s">
        <v>6767</v>
      </c>
      <c r="I2837" s="10" t="str">
        <f>IF(H2837="T34",1,IF(H2837="T34",3,IF(H2837="T50",6,IF(H2837="T50",10,IF(H2837="T82",14,IF(H2837="T82",18,IF(H2837="T50",22,"")))))))</f>
        <v/>
      </c>
      <c r="J2837" s="1" t="s">
        <v>1808</v>
      </c>
      <c r="K2837" s="10">
        <v>4</v>
      </c>
      <c r="L2837" s="10">
        <v>1</v>
      </c>
      <c r="O2837" s="6"/>
      <c r="Q2837" s="42" t="s">
        <v>6870</v>
      </c>
      <c r="R2837" s="42"/>
      <c r="S2837" s="1"/>
    </row>
    <row r="2838" spans="1:19" ht="18.75" hidden="1" customHeight="1" x14ac:dyDescent="0.3">
      <c r="A2838" s="10">
        <v>2837</v>
      </c>
      <c r="B2838" s="10">
        <f>_xlfn.XLOOKUP(1,(VALUE(D2838)&gt;=VALUE(block!$C$3:$C$500))*(VALUE(D2838)&lt;VALUE(block!$C$3:$C$500)+VALUE(block!$D$3:$D$500)),block!$A$3:$A$500,"无匹配",0,1)</f>
        <v>75</v>
      </c>
      <c r="C2838" s="3" t="str">
        <f>B2838 &amp; "-" &amp; COUNTIF($B$2:B2838, B2838)</f>
        <v>75-13</v>
      </c>
      <c r="D2838" s="10">
        <v>21508</v>
      </c>
      <c r="E2838" s="1" t="s">
        <v>7109</v>
      </c>
      <c r="F2838" s="1" t="s">
        <v>7110</v>
      </c>
      <c r="G2838" s="1" t="s">
        <v>1830</v>
      </c>
      <c r="H2838" s="1" t="s">
        <v>1812</v>
      </c>
      <c r="I2838" s="10" t="str">
        <f>IF(H2838="T35",1,IF(H2838="T35",3,IF(H2838="T51",6,IF(H2838="T51",10,IF(H2838="T83",14,IF(H2838="T83",18,IF(H2838="T51",22,"")))))))</f>
        <v/>
      </c>
      <c r="J2838" s="1" t="s">
        <v>1808</v>
      </c>
      <c r="K2838" s="10">
        <v>2</v>
      </c>
      <c r="L2838" s="10">
        <v>1</v>
      </c>
      <c r="O2838" s="6"/>
      <c r="P2838" s="10">
        <v>6</v>
      </c>
      <c r="Q2838" s="42" t="s">
        <v>6870</v>
      </c>
      <c r="R2838" s="42"/>
      <c r="S2838" s="1"/>
    </row>
    <row r="2839" spans="1:19" ht="18.75" hidden="1" customHeight="1" x14ac:dyDescent="0.3">
      <c r="A2839" s="10">
        <v>2838</v>
      </c>
      <c r="B2839" s="10">
        <f>_xlfn.XLOOKUP(1,(VALUE(D2839)&gt;=VALUE(block!$C$3:$C$500))*(VALUE(D2839)&lt;VALUE(block!$C$3:$C$500)+VALUE(block!$D$3:$D$500)),block!$A$3:$A$500,"无匹配",0,1)</f>
        <v>75</v>
      </c>
      <c r="C2839" s="3" t="str">
        <f>B2839 &amp; "-" &amp; COUNTIF($B$2:B2839, B2839)</f>
        <v>75-14</v>
      </c>
      <c r="D2839" s="10">
        <v>21510</v>
      </c>
      <c r="E2839" s="1" t="s">
        <v>7111</v>
      </c>
      <c r="F2839" s="1" t="s">
        <v>7112</v>
      </c>
      <c r="H2839" s="3" t="s">
        <v>6767</v>
      </c>
      <c r="I2839" s="10" t="str">
        <f>IF(H2839="T36",1,IF(H2839="T36",3,IF(H2839="T52",6,IF(H2839="T52",10,IF(H2839="T84",14,IF(H2839="T84",18,IF(H2839="T52",22,"")))))))</f>
        <v/>
      </c>
      <c r="J2839" s="1" t="s">
        <v>1808</v>
      </c>
      <c r="K2839" s="10">
        <v>4</v>
      </c>
      <c r="L2839" s="10">
        <v>1</v>
      </c>
      <c r="O2839" s="6"/>
      <c r="Q2839" s="42" t="s">
        <v>6870</v>
      </c>
      <c r="R2839" s="42"/>
      <c r="S2839" s="1"/>
    </row>
    <row r="2840" spans="1:19" ht="18.75" hidden="1" customHeight="1" x14ac:dyDescent="0.3">
      <c r="A2840" s="10">
        <v>2839</v>
      </c>
      <c r="B2840" s="10">
        <f>_xlfn.XLOOKUP(1,(VALUE(D2840)&gt;=VALUE(block!$C$3:$C$500))*(VALUE(D2840)&lt;VALUE(block!$C$3:$C$500)+VALUE(block!$D$3:$D$500)),block!$A$3:$A$500,"无匹配",0,1)</f>
        <v>75</v>
      </c>
      <c r="C2840" s="3" t="str">
        <f>B2840 &amp; "-" &amp; COUNTIF($B$2:B2840, B2840)</f>
        <v>75-15</v>
      </c>
      <c r="D2840" s="10">
        <v>21514</v>
      </c>
      <c r="E2840" s="1" t="s">
        <v>7113</v>
      </c>
      <c r="F2840" s="1" t="s">
        <v>7114</v>
      </c>
      <c r="G2840" s="1" t="s">
        <v>1832</v>
      </c>
      <c r="H2840" s="1" t="s">
        <v>1812</v>
      </c>
      <c r="I2840" s="10" t="str">
        <f>IF(H2840="T37",1,IF(H2840="T37",3,IF(H2840="T53",6,IF(H2840="T53",10,IF(H2840="T85",14,IF(H2840="T85",18,IF(H2840="T53",22,"")))))))</f>
        <v/>
      </c>
      <c r="J2840" s="1" t="s">
        <v>1808</v>
      </c>
      <c r="K2840" s="10">
        <v>2</v>
      </c>
      <c r="L2840" s="10">
        <v>1</v>
      </c>
      <c r="O2840" s="6"/>
      <c r="P2840" s="10">
        <v>6</v>
      </c>
      <c r="Q2840" s="42" t="s">
        <v>6870</v>
      </c>
      <c r="R2840" s="42"/>
      <c r="S2840" s="1"/>
    </row>
    <row r="2841" spans="1:19" ht="18.75" hidden="1" customHeight="1" x14ac:dyDescent="0.3">
      <c r="A2841" s="10">
        <v>2840</v>
      </c>
      <c r="B2841" s="10">
        <f>_xlfn.XLOOKUP(1,(VALUE(D2841)&gt;=VALUE(block!$C$3:$C$500))*(VALUE(D2841)&lt;VALUE(block!$C$3:$C$500)+VALUE(block!$D$3:$D$500)),block!$A$3:$A$500,"无匹配",0,1)</f>
        <v>75</v>
      </c>
      <c r="C2841" s="3" t="str">
        <f>B2841 &amp; "-" &amp; COUNTIF($B$2:B2841, B2841)</f>
        <v>75-16</v>
      </c>
      <c r="D2841" s="10">
        <v>21516</v>
      </c>
      <c r="E2841" s="1" t="s">
        <v>7115</v>
      </c>
      <c r="F2841" s="1" t="s">
        <v>7116</v>
      </c>
      <c r="H2841" s="3" t="s">
        <v>6767</v>
      </c>
      <c r="I2841" s="10" t="str">
        <f>IF(H2841="T38",1,IF(H2841="T38",3,IF(H2841="T54",6,IF(H2841="T54",10,IF(H2841="T86",14,IF(H2841="T86",18,IF(H2841="T54",22,"")))))))</f>
        <v/>
      </c>
      <c r="J2841" s="1" t="s">
        <v>1808</v>
      </c>
      <c r="K2841" s="10">
        <v>4</v>
      </c>
      <c r="L2841" s="10">
        <v>1</v>
      </c>
      <c r="O2841" s="6"/>
      <c r="Q2841" s="42" t="s">
        <v>6870</v>
      </c>
      <c r="R2841" s="42"/>
      <c r="S2841" s="1"/>
    </row>
    <row r="2842" spans="1:19" ht="18.75" hidden="1" customHeight="1" x14ac:dyDescent="0.3">
      <c r="A2842" s="10">
        <v>2841</v>
      </c>
      <c r="B2842" s="10">
        <f>_xlfn.XLOOKUP(1,(VALUE(D2842)&gt;=VALUE(block!$C$3:$C$500))*(VALUE(D2842)&lt;VALUE(block!$C$3:$C$500)+VALUE(block!$D$3:$D$500)),block!$A$3:$A$500,"无匹配",0,1)</f>
        <v>75</v>
      </c>
      <c r="C2842" s="3" t="str">
        <f>B2842 &amp; "-" &amp; COUNTIF($B$2:B2842, B2842)</f>
        <v>75-17</v>
      </c>
      <c r="D2842" s="10">
        <v>21520</v>
      </c>
      <c r="E2842" s="1" t="s">
        <v>7117</v>
      </c>
      <c r="F2842" s="1" t="s">
        <v>7118</v>
      </c>
      <c r="G2842" s="1" t="s">
        <v>1834</v>
      </c>
      <c r="H2842" s="1" t="s">
        <v>1812</v>
      </c>
      <c r="I2842" s="10" t="str">
        <f>IF(H2842="T39",1,IF(H2842="T39",3,IF(H2842="T55",6,IF(H2842="T55",10,IF(H2842="T87",14,IF(H2842="T87",18,IF(H2842="T55",22,"")))))))</f>
        <v/>
      </c>
      <c r="J2842" s="1" t="s">
        <v>1808</v>
      </c>
      <c r="K2842" s="10">
        <v>2</v>
      </c>
      <c r="L2842" s="10">
        <v>1</v>
      </c>
      <c r="O2842" s="6"/>
      <c r="P2842" s="10">
        <v>6</v>
      </c>
      <c r="Q2842" s="42" t="s">
        <v>6870</v>
      </c>
      <c r="R2842" s="42"/>
      <c r="S2842" s="1"/>
    </row>
    <row r="2843" spans="1:19" ht="18.75" hidden="1" customHeight="1" x14ac:dyDescent="0.3">
      <c r="A2843" s="10">
        <v>2842</v>
      </c>
      <c r="B2843" s="10">
        <f>_xlfn.XLOOKUP(1,(VALUE(D2843)&gt;=VALUE(block!$C$3:$C$500))*(VALUE(D2843)&lt;VALUE(block!$C$3:$C$500)+VALUE(block!$D$3:$D$500)),block!$A$3:$A$500,"无匹配",0,1)</f>
        <v>75</v>
      </c>
      <c r="C2843" s="3" t="str">
        <f>B2843 &amp; "-" &amp; COUNTIF($B$2:B2843, B2843)</f>
        <v>75-18</v>
      </c>
      <c r="D2843" s="10">
        <v>21522</v>
      </c>
      <c r="E2843" s="1" t="s">
        <v>7119</v>
      </c>
      <c r="F2843" s="1" t="s">
        <v>7120</v>
      </c>
      <c r="H2843" s="3" t="s">
        <v>6767</v>
      </c>
      <c r="I2843" s="10" t="str">
        <f>IF(H2843="T40",1,IF(H2843="T40",3,IF(H2843="T56",6,IF(H2843="T56",10,IF(H2843="T88",14,IF(H2843="T88",18,IF(H2843="T56",22,"")))))))</f>
        <v/>
      </c>
      <c r="J2843" s="1" t="s">
        <v>1808</v>
      </c>
      <c r="K2843" s="10">
        <v>4</v>
      </c>
      <c r="L2843" s="10">
        <v>1</v>
      </c>
      <c r="O2843" s="6"/>
      <c r="Q2843" s="42" t="s">
        <v>6870</v>
      </c>
      <c r="R2843" s="42"/>
      <c r="S2843" s="1"/>
    </row>
    <row r="2844" spans="1:19" ht="18.75" hidden="1" customHeight="1" x14ac:dyDescent="0.3">
      <c r="A2844" s="10">
        <v>2843</v>
      </c>
      <c r="B2844" s="10">
        <f>_xlfn.XLOOKUP(1,(VALUE(D2844)&gt;=VALUE(block!$C$3:$C$500))*(VALUE(D2844)&lt;VALUE(block!$C$3:$C$500)+VALUE(block!$D$3:$D$500)),block!$A$3:$A$500,"无匹配",0,1)</f>
        <v>75</v>
      </c>
      <c r="C2844" s="3" t="str">
        <f>B2844 &amp; "-" &amp; COUNTIF($B$2:B2844, B2844)</f>
        <v>75-19</v>
      </c>
      <c r="D2844" s="10">
        <v>21526</v>
      </c>
      <c r="E2844" s="1" t="s">
        <v>7121</v>
      </c>
      <c r="F2844" s="1" t="s">
        <v>7122</v>
      </c>
      <c r="G2844" s="1" t="s">
        <v>1836</v>
      </c>
      <c r="H2844" s="1" t="s">
        <v>1812</v>
      </c>
      <c r="I2844" s="10" t="str">
        <f>IF(H2844="T41",1,IF(H2844="T41",3,IF(H2844="T57",6,IF(H2844="T57",10,IF(H2844="T89",14,IF(H2844="T89",18,IF(H2844="T57",22,"")))))))</f>
        <v/>
      </c>
      <c r="J2844" s="1" t="s">
        <v>1808</v>
      </c>
      <c r="K2844" s="10">
        <v>2</v>
      </c>
      <c r="L2844" s="10">
        <v>1</v>
      </c>
      <c r="O2844" s="6"/>
      <c r="P2844" s="10">
        <v>6</v>
      </c>
      <c r="Q2844" s="42" t="s">
        <v>6870</v>
      </c>
      <c r="R2844" s="42"/>
      <c r="S2844" s="1"/>
    </row>
    <row r="2845" spans="1:19" ht="18.75" hidden="1" customHeight="1" x14ac:dyDescent="0.3">
      <c r="A2845" s="10">
        <v>2844</v>
      </c>
      <c r="B2845" s="10">
        <f>_xlfn.XLOOKUP(1,(VALUE(D2845)&gt;=VALUE(block!$C$3:$C$500))*(VALUE(D2845)&lt;VALUE(block!$C$3:$C$500)+VALUE(block!$D$3:$D$500)),block!$A$3:$A$500,"无匹配",0,1)</f>
        <v>75</v>
      </c>
      <c r="C2845" s="3" t="str">
        <f>B2845 &amp; "-" &amp; COUNTIF($B$2:B2845, B2845)</f>
        <v>75-20</v>
      </c>
      <c r="D2845" s="10">
        <v>21528</v>
      </c>
      <c r="E2845" s="1" t="s">
        <v>7123</v>
      </c>
      <c r="F2845" s="1" t="s">
        <v>7124</v>
      </c>
      <c r="H2845" s="3" t="s">
        <v>6767</v>
      </c>
      <c r="I2845" s="10" t="str">
        <f>IF(H2845="T42",1,IF(H2845="T42",3,IF(H2845="T58",6,IF(H2845="T58",10,IF(H2845="T90",14,IF(H2845="T90",18,IF(H2845="T58",22,"")))))))</f>
        <v/>
      </c>
      <c r="J2845" s="1" t="s">
        <v>1808</v>
      </c>
      <c r="K2845" s="10">
        <v>4</v>
      </c>
      <c r="L2845" s="10">
        <v>1</v>
      </c>
      <c r="O2845" s="6"/>
      <c r="Q2845" s="42" t="s">
        <v>6870</v>
      </c>
      <c r="R2845" s="42"/>
      <c r="S2845" s="1"/>
    </row>
    <row r="2846" spans="1:19" ht="18.75" hidden="1" customHeight="1" x14ac:dyDescent="0.3">
      <c r="A2846" s="10">
        <v>2845</v>
      </c>
      <c r="B2846" s="10">
        <f>_xlfn.XLOOKUP(1,(VALUE(D2846)&gt;=VALUE(block!$C$3:$C$500))*(VALUE(D2846)&lt;VALUE(block!$C$3:$C$500)+VALUE(block!$D$3:$D$500)),block!$A$3:$A$500,"无匹配",0,1)</f>
        <v>75</v>
      </c>
      <c r="C2846" s="3" t="str">
        <f>B2846 &amp; "-" &amp; COUNTIF($B$2:B2846, B2846)</f>
        <v>75-21</v>
      </c>
      <c r="D2846" s="10">
        <v>21532</v>
      </c>
      <c r="E2846" s="1" t="s">
        <v>7125</v>
      </c>
      <c r="F2846" s="1" t="s">
        <v>7126</v>
      </c>
      <c r="G2846" s="1" t="s">
        <v>1840</v>
      </c>
      <c r="H2846" s="1" t="s">
        <v>1812</v>
      </c>
      <c r="I2846" s="10" t="str">
        <f>IF(H2846="T43",1,IF(H2846="T43",3,IF(H2846="T59",6,IF(H2846="T59",10,IF(H2846="T91",14,IF(H2846="T91",18,IF(H2846="T59",22,"")))))))</f>
        <v/>
      </c>
      <c r="J2846" s="1" t="s">
        <v>1808</v>
      </c>
      <c r="K2846" s="10">
        <v>2</v>
      </c>
      <c r="L2846" s="10">
        <v>1</v>
      </c>
      <c r="O2846" s="6"/>
      <c r="P2846" s="10">
        <v>6</v>
      </c>
      <c r="Q2846" s="42" t="s">
        <v>6870</v>
      </c>
      <c r="R2846" s="42"/>
      <c r="S2846" s="1"/>
    </row>
    <row r="2847" spans="1:19" ht="18.75" hidden="1" customHeight="1" x14ac:dyDescent="0.3">
      <c r="A2847" s="10">
        <v>2846</v>
      </c>
      <c r="B2847" s="10">
        <f>_xlfn.XLOOKUP(1,(VALUE(D2847)&gt;=VALUE(block!$C$3:$C$500))*(VALUE(D2847)&lt;VALUE(block!$C$3:$C$500)+VALUE(block!$D$3:$D$500)),block!$A$3:$A$500,"无匹配",0,1)</f>
        <v>75</v>
      </c>
      <c r="C2847" s="3" t="str">
        <f>B2847 &amp; "-" &amp; COUNTIF($B$2:B2847, B2847)</f>
        <v>75-22</v>
      </c>
      <c r="D2847" s="10">
        <v>21534</v>
      </c>
      <c r="E2847" s="1" t="s">
        <v>7127</v>
      </c>
      <c r="F2847" s="1" t="s">
        <v>7128</v>
      </c>
      <c r="H2847" s="3" t="s">
        <v>6767</v>
      </c>
      <c r="I2847" s="10" t="str">
        <f>IF(H2847="T44",1,IF(H2847="T44",3,IF(H2847="T60",6,IF(H2847="T60",10,IF(H2847="T92",14,IF(H2847="T92",18,IF(H2847="T60",22,"")))))))</f>
        <v/>
      </c>
      <c r="J2847" s="1" t="s">
        <v>1808</v>
      </c>
      <c r="K2847" s="10">
        <v>4</v>
      </c>
      <c r="L2847" s="10">
        <v>1</v>
      </c>
      <c r="O2847" s="6"/>
      <c r="Q2847" s="42" t="s">
        <v>6870</v>
      </c>
      <c r="R2847" s="42"/>
      <c r="S2847" s="1"/>
    </row>
    <row r="2848" spans="1:19" ht="18.75" hidden="1" customHeight="1" x14ac:dyDescent="0.3">
      <c r="A2848" s="10">
        <v>2847</v>
      </c>
      <c r="B2848" s="10">
        <f>_xlfn.XLOOKUP(1,(VALUE(D2848)&gt;=VALUE(block!$C$3:$C$500))*(VALUE(D2848)&lt;VALUE(block!$C$3:$C$500)+VALUE(block!$D$3:$D$500)),block!$A$3:$A$500,"无匹配",0,1)</f>
        <v>75</v>
      </c>
      <c r="C2848" s="3" t="str">
        <f>B2848 &amp; "-" &amp; COUNTIF($B$2:B2848, B2848)</f>
        <v>75-23</v>
      </c>
      <c r="D2848" s="10">
        <v>21538</v>
      </c>
      <c r="E2848" s="1" t="s">
        <v>7129</v>
      </c>
      <c r="F2848" s="1" t="s">
        <v>7130</v>
      </c>
      <c r="G2848" s="1" t="s">
        <v>1840</v>
      </c>
      <c r="H2848" s="1" t="s">
        <v>1812</v>
      </c>
      <c r="I2848" s="10" t="str">
        <f>IF(H2848="T45",1,IF(H2848="T45",3,IF(H2848="T61",6,IF(H2848="T61",10,IF(H2848="T93",14,IF(H2848="T93",18,IF(H2848="T61",22,"")))))))</f>
        <v/>
      </c>
      <c r="J2848" s="1" t="s">
        <v>1808</v>
      </c>
      <c r="K2848" s="10">
        <v>2</v>
      </c>
      <c r="L2848" s="10">
        <v>1</v>
      </c>
      <c r="O2848" s="6"/>
      <c r="P2848" s="10">
        <v>6</v>
      </c>
      <c r="Q2848" s="42" t="s">
        <v>6870</v>
      </c>
      <c r="R2848" s="42"/>
      <c r="S2848" s="1"/>
    </row>
    <row r="2849" spans="1:19" ht="18.75" hidden="1" customHeight="1" x14ac:dyDescent="0.3">
      <c r="A2849" s="10">
        <v>2848</v>
      </c>
      <c r="B2849" s="10">
        <f>_xlfn.XLOOKUP(1,(VALUE(D2849)&gt;=VALUE(block!$C$3:$C$500))*(VALUE(D2849)&lt;VALUE(block!$C$3:$C$500)+VALUE(block!$D$3:$D$500)),block!$A$3:$A$500,"无匹配",0,1)</f>
        <v>75</v>
      </c>
      <c r="C2849" s="3" t="str">
        <f>B2849 &amp; "-" &amp; COUNTIF($B$2:B2849, B2849)</f>
        <v>75-24</v>
      </c>
      <c r="D2849" s="10">
        <v>21540</v>
      </c>
      <c r="E2849" s="1" t="s">
        <v>7131</v>
      </c>
      <c r="F2849" s="1" t="s">
        <v>7132</v>
      </c>
      <c r="H2849" s="3" t="s">
        <v>6767</v>
      </c>
      <c r="I2849" s="10" t="str">
        <f>IF(H2849="T46",1,IF(H2849="T46",3,IF(H2849="T62",6,IF(H2849="T62",10,IF(H2849="T94",14,IF(H2849="T94",18,IF(H2849="T62",22,"")))))))</f>
        <v/>
      </c>
      <c r="J2849" s="1" t="s">
        <v>1808</v>
      </c>
      <c r="K2849" s="10">
        <v>4</v>
      </c>
      <c r="L2849" s="10">
        <v>1</v>
      </c>
      <c r="O2849" s="6"/>
      <c r="Q2849" s="42" t="s">
        <v>6870</v>
      </c>
      <c r="R2849" s="42"/>
      <c r="S2849" s="1"/>
    </row>
    <row r="2850" spans="1:19" ht="18.75" hidden="1" customHeight="1" x14ac:dyDescent="0.3">
      <c r="A2850" s="10">
        <v>2849</v>
      </c>
      <c r="B2850" s="10">
        <f>_xlfn.XLOOKUP(1,(VALUE(D2850)&gt;=VALUE(block!$C$3:$C$500))*(VALUE(D2850)&lt;VALUE(block!$C$3:$C$500)+VALUE(block!$D$3:$D$500)),block!$A$3:$A$500,"无匹配",0,1)</f>
        <v>75</v>
      </c>
      <c r="C2850" s="3" t="str">
        <f>B2850 &amp; "-" &amp; COUNTIF($B$2:B2850, B2850)</f>
        <v>75-25</v>
      </c>
      <c r="D2850" s="10">
        <v>21544</v>
      </c>
      <c r="E2850" s="1" t="s">
        <v>7133</v>
      </c>
      <c r="F2850" s="1" t="s">
        <v>7134</v>
      </c>
      <c r="G2850" s="1" t="s">
        <v>1830</v>
      </c>
      <c r="H2850" s="1" t="s">
        <v>1812</v>
      </c>
      <c r="I2850" s="10" t="str">
        <f>IF(H2850="T47",1,IF(H2850="T47",3,IF(H2850="T63",6,IF(H2850="T63",10,IF(H2850="T95",14,IF(H2850="T95",18,IF(H2850="T63",22,"")))))))</f>
        <v/>
      </c>
      <c r="J2850" s="1" t="s">
        <v>1808</v>
      </c>
      <c r="K2850" s="10">
        <v>2</v>
      </c>
      <c r="L2850" s="10">
        <v>1</v>
      </c>
      <c r="O2850" s="6"/>
      <c r="P2850" s="10">
        <v>6</v>
      </c>
      <c r="Q2850" s="42" t="s">
        <v>6870</v>
      </c>
      <c r="R2850" s="42"/>
      <c r="S2850" s="1"/>
    </row>
    <row r="2851" spans="1:19" ht="18.75" hidden="1" customHeight="1" x14ac:dyDescent="0.3">
      <c r="A2851" s="10">
        <v>2850</v>
      </c>
      <c r="B2851" s="10">
        <f>_xlfn.XLOOKUP(1,(VALUE(D2851)&gt;=VALUE(block!$C$3:$C$500))*(VALUE(D2851)&lt;VALUE(block!$C$3:$C$500)+VALUE(block!$D$3:$D$500)),block!$A$3:$A$500,"无匹配",0,1)</f>
        <v>75</v>
      </c>
      <c r="C2851" s="3" t="str">
        <f>B2851 &amp; "-" &amp; COUNTIF($B$2:B2851, B2851)</f>
        <v>75-26</v>
      </c>
      <c r="D2851" s="10">
        <v>21546</v>
      </c>
      <c r="E2851" s="1" t="s">
        <v>7135</v>
      </c>
      <c r="F2851" s="1" t="s">
        <v>7136</v>
      </c>
      <c r="H2851" s="3" t="s">
        <v>6767</v>
      </c>
      <c r="I2851" s="10" t="str">
        <f>IF(H2851="T48",1,IF(H2851="T48",3,IF(H2851="T64",6,IF(H2851="T64",10,IF(H2851="T96",14,IF(H2851="T96",18,IF(H2851="T64",22,"")))))))</f>
        <v/>
      </c>
      <c r="J2851" s="1" t="s">
        <v>1808</v>
      </c>
      <c r="K2851" s="10">
        <v>4</v>
      </c>
      <c r="L2851" s="10">
        <v>1</v>
      </c>
      <c r="O2851" s="6"/>
      <c r="Q2851" s="42" t="s">
        <v>6870</v>
      </c>
      <c r="R2851" s="42"/>
      <c r="S2851" s="1"/>
    </row>
    <row r="2852" spans="1:19" ht="18.75" hidden="1" customHeight="1" x14ac:dyDescent="0.3">
      <c r="A2852" s="10">
        <v>2851</v>
      </c>
      <c r="B2852" s="10">
        <f>_xlfn.XLOOKUP(1,(VALUE(D2852)&gt;=VALUE(block!$C$3:$C$500))*(VALUE(D2852)&lt;VALUE(block!$C$3:$C$500)+VALUE(block!$D$3:$D$500)),block!$A$3:$A$500,"无匹配",0,1)</f>
        <v>75</v>
      </c>
      <c r="C2852" s="3" t="str">
        <f>B2852 &amp; "-" &amp; COUNTIF($B$2:B2852, B2852)</f>
        <v>75-27</v>
      </c>
      <c r="D2852" s="10">
        <v>21550</v>
      </c>
      <c r="E2852" s="1" t="s">
        <v>7137</v>
      </c>
      <c r="F2852" s="1" t="s">
        <v>7138</v>
      </c>
      <c r="G2852" s="1" t="s">
        <v>1832</v>
      </c>
      <c r="H2852" s="1" t="s">
        <v>1812</v>
      </c>
      <c r="I2852" s="10" t="str">
        <f>IF(H2852="T49",1,IF(H2852="T49",3,IF(H2852="T65",6,IF(H2852="T65",10,IF(H2852="T97",14,IF(H2852="T97",18,IF(H2852="T65",22,"")))))))</f>
        <v/>
      </c>
      <c r="J2852" s="1" t="s">
        <v>1808</v>
      </c>
      <c r="K2852" s="10">
        <v>2</v>
      </c>
      <c r="L2852" s="10">
        <v>1</v>
      </c>
      <c r="O2852" s="6"/>
      <c r="P2852" s="10">
        <v>6</v>
      </c>
      <c r="Q2852" s="42" t="s">
        <v>6870</v>
      </c>
      <c r="R2852" s="42"/>
      <c r="S2852" s="1"/>
    </row>
    <row r="2853" spans="1:19" ht="18.75" hidden="1" customHeight="1" x14ac:dyDescent="0.3">
      <c r="A2853" s="10">
        <v>2852</v>
      </c>
      <c r="B2853" s="10">
        <f>_xlfn.XLOOKUP(1,(VALUE(D2853)&gt;=VALUE(block!$C$3:$C$500))*(VALUE(D2853)&lt;VALUE(block!$C$3:$C$500)+VALUE(block!$D$3:$D$500)),block!$A$3:$A$500,"无匹配",0,1)</f>
        <v>75</v>
      </c>
      <c r="C2853" s="3" t="str">
        <f>B2853 &amp; "-" &amp; COUNTIF($B$2:B2853, B2853)</f>
        <v>75-28</v>
      </c>
      <c r="D2853" s="10">
        <v>21552</v>
      </c>
      <c r="E2853" s="1" t="s">
        <v>7139</v>
      </c>
      <c r="F2853" s="1" t="s">
        <v>7140</v>
      </c>
      <c r="H2853" s="3" t="s">
        <v>6767</v>
      </c>
      <c r="I2853" s="10" t="str">
        <f>IF(H2853="T50",1,IF(H2853="T50",3,IF(H2853="T66",6,IF(H2853="T66",10,IF(H2853="T98",14,IF(H2853="T98",18,IF(H2853="T66",22,"")))))))</f>
        <v/>
      </c>
      <c r="J2853" s="1" t="s">
        <v>1808</v>
      </c>
      <c r="K2853" s="10">
        <v>4</v>
      </c>
      <c r="L2853" s="10">
        <v>1</v>
      </c>
      <c r="O2853" s="6"/>
      <c r="Q2853" s="42" t="s">
        <v>6870</v>
      </c>
      <c r="R2853" s="42"/>
      <c r="S2853" s="1"/>
    </row>
    <row r="2854" spans="1:19" ht="18.75" hidden="1" customHeight="1" x14ac:dyDescent="0.3">
      <c r="A2854" s="10">
        <v>2853</v>
      </c>
      <c r="B2854" s="10">
        <f>_xlfn.XLOOKUP(1,(VALUE(D2854)&gt;=VALUE(block!$C$3:$C$500))*(VALUE(D2854)&lt;VALUE(block!$C$3:$C$500)+VALUE(block!$D$3:$D$500)),block!$A$3:$A$500,"无匹配",0,1)</f>
        <v>75</v>
      </c>
      <c r="C2854" s="3" t="str">
        <f>B2854 &amp; "-" &amp; COUNTIF($B$2:B2854, B2854)</f>
        <v>75-29</v>
      </c>
      <c r="D2854" s="10">
        <v>21556</v>
      </c>
      <c r="E2854" s="1" t="s">
        <v>7141</v>
      </c>
      <c r="F2854" s="1" t="s">
        <v>7142</v>
      </c>
      <c r="G2854" s="1" t="s">
        <v>1834</v>
      </c>
      <c r="H2854" s="1" t="s">
        <v>1812</v>
      </c>
      <c r="I2854" s="10" t="str">
        <f>IF(H2854="T51",1,IF(H2854="T51",3,IF(H2854="T67",6,IF(H2854="T67",10,IF(H2854="T99",14,IF(H2854="T99",18,IF(H2854="T67",22,"")))))))</f>
        <v/>
      </c>
      <c r="J2854" s="1" t="s">
        <v>1808</v>
      </c>
      <c r="K2854" s="10">
        <v>2</v>
      </c>
      <c r="L2854" s="10">
        <v>1</v>
      </c>
      <c r="O2854" s="6"/>
      <c r="P2854" s="10">
        <v>6</v>
      </c>
      <c r="Q2854" s="42" t="s">
        <v>6870</v>
      </c>
      <c r="R2854" s="42"/>
      <c r="S2854" s="1"/>
    </row>
    <row r="2855" spans="1:19" ht="18.75" hidden="1" customHeight="1" x14ac:dyDescent="0.3">
      <c r="A2855" s="10">
        <v>2854</v>
      </c>
      <c r="B2855" s="10">
        <f>_xlfn.XLOOKUP(1,(VALUE(D2855)&gt;=VALUE(block!$C$3:$C$500))*(VALUE(D2855)&lt;VALUE(block!$C$3:$C$500)+VALUE(block!$D$3:$D$500)),block!$A$3:$A$500,"无匹配",0,1)</f>
        <v>75</v>
      </c>
      <c r="C2855" s="3" t="str">
        <f>B2855 &amp; "-" &amp; COUNTIF($B$2:B2855, B2855)</f>
        <v>75-30</v>
      </c>
      <c r="D2855" s="10">
        <v>21558</v>
      </c>
      <c r="E2855" s="1" t="s">
        <v>7143</v>
      </c>
      <c r="F2855" s="1" t="s">
        <v>7144</v>
      </c>
      <c r="H2855" s="3" t="s">
        <v>6767</v>
      </c>
      <c r="I2855" s="10" t="str">
        <f>IF(H2855="T52",1,IF(H2855="T52",3,IF(H2855="T68",6,IF(H2855="T68",10,IF(H2855="T100",14,IF(H2855="T100",18,IF(H2855="T68",22,"")))))))</f>
        <v/>
      </c>
      <c r="J2855" s="1" t="s">
        <v>1808</v>
      </c>
      <c r="K2855" s="10">
        <v>4</v>
      </c>
      <c r="L2855" s="10">
        <v>1</v>
      </c>
      <c r="O2855" s="6"/>
      <c r="Q2855" s="42" t="s">
        <v>6870</v>
      </c>
      <c r="R2855" s="42"/>
      <c r="S2855" s="1"/>
    </row>
    <row r="2856" spans="1:19" ht="18.75" hidden="1" customHeight="1" x14ac:dyDescent="0.3">
      <c r="A2856" s="10">
        <v>2855</v>
      </c>
      <c r="B2856" s="10">
        <f>_xlfn.XLOOKUP(1,(VALUE(D2856)&gt;=VALUE(block!$C$3:$C$500))*(VALUE(D2856)&lt;VALUE(block!$C$3:$C$500)+VALUE(block!$D$3:$D$500)),block!$A$3:$A$500,"无匹配",0,1)</f>
        <v>75</v>
      </c>
      <c r="C2856" s="3" t="str">
        <f>B2856 &amp; "-" &amp; COUNTIF($B$2:B2856, B2856)</f>
        <v>75-31</v>
      </c>
      <c r="D2856" s="10">
        <v>21562</v>
      </c>
      <c r="E2856" s="1" t="s">
        <v>7145</v>
      </c>
      <c r="F2856" s="1" t="s">
        <v>7146</v>
      </c>
      <c r="G2856" s="1" t="s">
        <v>1836</v>
      </c>
      <c r="H2856" s="1" t="s">
        <v>1812</v>
      </c>
      <c r="I2856" s="10" t="str">
        <f>IF(H2856="T53",1,IF(H2856="T53",3,IF(H2856="T69",6,IF(H2856="T69",10,IF(H2856="T101",14,IF(H2856="T101",18,IF(H2856="T69",22,"")))))))</f>
        <v/>
      </c>
      <c r="J2856" s="1" t="s">
        <v>1808</v>
      </c>
      <c r="K2856" s="10">
        <v>2</v>
      </c>
      <c r="L2856" s="10">
        <v>1</v>
      </c>
      <c r="O2856" s="6"/>
      <c r="P2856" s="10">
        <v>6</v>
      </c>
      <c r="Q2856" s="42" t="s">
        <v>6870</v>
      </c>
      <c r="R2856" s="42"/>
      <c r="S2856" s="1"/>
    </row>
    <row r="2857" spans="1:19" ht="18.75" hidden="1" customHeight="1" x14ac:dyDescent="0.3">
      <c r="A2857" s="10">
        <v>2856</v>
      </c>
      <c r="B2857" s="10">
        <f>_xlfn.XLOOKUP(1,(VALUE(D2857)&gt;=VALUE(block!$C$3:$C$500))*(VALUE(D2857)&lt;VALUE(block!$C$3:$C$500)+VALUE(block!$D$3:$D$500)),block!$A$3:$A$500,"无匹配",0,1)</f>
        <v>75</v>
      </c>
      <c r="C2857" s="3" t="str">
        <f>B2857 &amp; "-" &amp; COUNTIF($B$2:B2857, B2857)</f>
        <v>75-32</v>
      </c>
      <c r="D2857" s="10">
        <v>21564</v>
      </c>
      <c r="E2857" s="1" t="s">
        <v>7147</v>
      </c>
      <c r="F2857" s="1" t="s">
        <v>7148</v>
      </c>
      <c r="H2857" s="3" t="s">
        <v>6767</v>
      </c>
      <c r="I2857" s="10" t="str">
        <f>IF(H2857="T54",1,IF(H2857="T54",3,IF(H2857="T70",6,IF(H2857="T70",10,IF(H2857="T102",14,IF(H2857="T102",18,IF(H2857="T70",22,"")))))))</f>
        <v/>
      </c>
      <c r="J2857" s="1" t="s">
        <v>1808</v>
      </c>
      <c r="K2857" s="10">
        <v>4</v>
      </c>
      <c r="L2857" s="10">
        <v>1</v>
      </c>
      <c r="O2857" s="6"/>
      <c r="Q2857" s="42" t="s">
        <v>6870</v>
      </c>
      <c r="R2857" s="42"/>
      <c r="S2857" s="1"/>
    </row>
    <row r="2858" spans="1:19" ht="18.75" hidden="1" customHeight="1" x14ac:dyDescent="0.3">
      <c r="A2858" s="10">
        <v>2857</v>
      </c>
      <c r="B2858" s="10">
        <f>_xlfn.XLOOKUP(1,(VALUE(D2858)&gt;=VALUE(block!$C$3:$C$500))*(VALUE(D2858)&lt;VALUE(block!$C$3:$C$500)+VALUE(block!$D$3:$D$500)),block!$A$3:$A$500,"无匹配",0,1)</f>
        <v>75</v>
      </c>
      <c r="C2858" s="3" t="str">
        <f>B2858 &amp; "-" &amp; COUNTIF($B$2:B2858, B2858)</f>
        <v>75-33</v>
      </c>
      <c r="D2858" s="10">
        <v>21568</v>
      </c>
      <c r="E2858" s="1" t="s">
        <v>7149</v>
      </c>
      <c r="F2858" s="1" t="s">
        <v>7150</v>
      </c>
      <c r="G2858" s="1" t="s">
        <v>1840</v>
      </c>
      <c r="H2858" s="1" t="s">
        <v>1812</v>
      </c>
      <c r="I2858" s="10" t="str">
        <f>IF(H2858="T55",1,IF(H2858="T55",3,IF(H2858="T71",6,IF(H2858="T71",10,IF(H2858="T103",14,IF(H2858="T103",18,IF(H2858="T71",22,"")))))))</f>
        <v/>
      </c>
      <c r="J2858" s="1" t="s">
        <v>1808</v>
      </c>
      <c r="K2858" s="10">
        <v>2</v>
      </c>
      <c r="L2858" s="10">
        <v>1</v>
      </c>
      <c r="O2858" s="6"/>
      <c r="P2858" s="10">
        <v>6</v>
      </c>
      <c r="Q2858" s="42" t="s">
        <v>6870</v>
      </c>
      <c r="R2858" s="42"/>
      <c r="S2858" s="1"/>
    </row>
    <row r="2859" spans="1:19" ht="18.75" hidden="1" customHeight="1" x14ac:dyDescent="0.3">
      <c r="A2859" s="10">
        <v>2858</v>
      </c>
      <c r="B2859" s="10">
        <f>_xlfn.XLOOKUP(1,(VALUE(D2859)&gt;=VALUE(block!$C$3:$C$500))*(VALUE(D2859)&lt;VALUE(block!$C$3:$C$500)+VALUE(block!$D$3:$D$500)),block!$A$3:$A$500,"无匹配",0,1)</f>
        <v>75</v>
      </c>
      <c r="C2859" s="3" t="str">
        <f>B2859 &amp; "-" &amp; COUNTIF($B$2:B2859, B2859)</f>
        <v>75-34</v>
      </c>
      <c r="D2859" s="10">
        <v>21570</v>
      </c>
      <c r="E2859" s="1" t="s">
        <v>7151</v>
      </c>
      <c r="F2859" s="1" t="s">
        <v>7152</v>
      </c>
      <c r="H2859" s="3" t="s">
        <v>6767</v>
      </c>
      <c r="I2859" s="10" t="str">
        <f>IF(H2859="T56",1,IF(H2859="T56",3,IF(H2859="T72",6,IF(H2859="T72",10,IF(H2859="T104",14,IF(H2859="T104",18,IF(H2859="T72",22,"")))))))</f>
        <v/>
      </c>
      <c r="J2859" s="1" t="s">
        <v>1808</v>
      </c>
      <c r="K2859" s="10">
        <v>4</v>
      </c>
      <c r="L2859" s="10">
        <v>1</v>
      </c>
      <c r="O2859" s="6"/>
      <c r="Q2859" s="42" t="s">
        <v>6870</v>
      </c>
      <c r="R2859" s="42"/>
      <c r="S2859" s="1"/>
    </row>
    <row r="2860" spans="1:19" ht="18.75" hidden="1" customHeight="1" x14ac:dyDescent="0.3">
      <c r="A2860" s="10">
        <v>2859</v>
      </c>
      <c r="B2860" s="10">
        <f>_xlfn.XLOOKUP(1,(VALUE(D2860)&gt;=VALUE(block!$C$3:$C$500))*(VALUE(D2860)&lt;VALUE(block!$C$3:$C$500)+VALUE(block!$D$3:$D$500)),block!$A$3:$A$500,"无匹配",0,1)</f>
        <v>75</v>
      </c>
      <c r="C2860" s="3" t="str">
        <f>B2860 &amp; "-" &amp; COUNTIF($B$2:B2860, B2860)</f>
        <v>75-35</v>
      </c>
      <c r="D2860" s="10">
        <v>21574</v>
      </c>
      <c r="E2860" s="3" t="s">
        <v>7153</v>
      </c>
      <c r="F2860" s="3" t="s">
        <v>7154</v>
      </c>
      <c r="G2860" s="1" t="s">
        <v>1840</v>
      </c>
      <c r="H2860" s="1" t="s">
        <v>1812</v>
      </c>
      <c r="I2860" s="10" t="str">
        <f>IF(H2860="T57",1,IF(H2860="T57",3,IF(H2860="T73",6,IF(H2860="T73",10,IF(H2860="T105",14,IF(H2860="T105",18,IF(H2860="T73",22,"")))))))</f>
        <v/>
      </c>
      <c r="J2860" s="1" t="s">
        <v>1808</v>
      </c>
      <c r="K2860" s="10">
        <v>2</v>
      </c>
      <c r="L2860" s="10">
        <v>1</v>
      </c>
      <c r="O2860" s="6"/>
      <c r="P2860" s="10">
        <v>6</v>
      </c>
      <c r="Q2860" s="42" t="s">
        <v>6870</v>
      </c>
      <c r="R2860" s="42"/>
      <c r="S2860" s="3"/>
    </row>
    <row r="2861" spans="1:19" ht="18.75" hidden="1" customHeight="1" x14ac:dyDescent="0.3">
      <c r="A2861" s="10">
        <v>2860</v>
      </c>
      <c r="B2861" s="10">
        <f>_xlfn.XLOOKUP(1,(VALUE(D2861)&gt;=VALUE(block!$C$3:$C$500))*(VALUE(D2861)&lt;VALUE(block!$C$3:$C$500)+VALUE(block!$D$3:$D$500)),block!$A$3:$A$500,"无匹配",0,1)</f>
        <v>75</v>
      </c>
      <c r="C2861" s="3" t="str">
        <f>B2861 &amp; "-" &amp; COUNTIF($B$2:B2861, B2861)</f>
        <v>75-36</v>
      </c>
      <c r="D2861" s="10">
        <v>21576</v>
      </c>
      <c r="E2861" s="1" t="s">
        <v>7155</v>
      </c>
      <c r="F2861" s="1" t="s">
        <v>7156</v>
      </c>
      <c r="H2861" s="3" t="s">
        <v>6767</v>
      </c>
      <c r="I2861" s="10" t="str">
        <f>IF(H2861="T58",1,IF(H2861="T58",3,IF(H2861="T74",6,IF(H2861="T74",10,IF(H2861="T106",14,IF(H2861="T106",18,IF(H2861="T74",22,"")))))))</f>
        <v/>
      </c>
      <c r="J2861" s="1" t="s">
        <v>1808</v>
      </c>
      <c r="K2861" s="10">
        <v>4</v>
      </c>
      <c r="L2861" s="10">
        <v>1</v>
      </c>
      <c r="O2861" s="6"/>
      <c r="Q2861" s="42" t="s">
        <v>6870</v>
      </c>
      <c r="R2861" s="42"/>
      <c r="S2861" s="1"/>
    </row>
    <row r="2862" spans="1:19" ht="18.75" hidden="1" customHeight="1" x14ac:dyDescent="0.3">
      <c r="A2862" s="10">
        <v>2861</v>
      </c>
      <c r="B2862" s="10">
        <f>_xlfn.XLOOKUP(1,(VALUE(D2862)&gt;=VALUE(block!$C$3:$C$500))*(VALUE(D2862)&lt;VALUE(block!$C$3:$C$500)+VALUE(block!$D$3:$D$500)),block!$A$3:$A$500,"无匹配",0,1)</f>
        <v>76</v>
      </c>
      <c r="C2862" s="3" t="str">
        <f>B2862 &amp; "-" &amp; COUNTIF($B$2:B2862, B2862)</f>
        <v>76-1</v>
      </c>
      <c r="D2862" s="10">
        <v>21580</v>
      </c>
      <c r="E2862" s="1" t="s">
        <v>7157</v>
      </c>
      <c r="F2862" s="1" t="s">
        <v>7158</v>
      </c>
      <c r="G2862" s="1" t="s">
        <v>1830</v>
      </c>
      <c r="H2862" s="1" t="s">
        <v>1812</v>
      </c>
      <c r="I2862" s="10" t="str">
        <f>IF(H2862="T59",1,IF(H2862="T59",3,IF(H2862="T75",6,IF(H2862="T75",10,IF(H2862="T107",14,IF(H2862="T107",18,IF(H2862="T75",22,"")))))))</f>
        <v/>
      </c>
      <c r="J2862" s="1" t="s">
        <v>1808</v>
      </c>
      <c r="K2862" s="10">
        <v>2</v>
      </c>
      <c r="L2862" s="10">
        <v>1</v>
      </c>
      <c r="O2862" s="6"/>
      <c r="P2862" s="10">
        <v>6</v>
      </c>
      <c r="Q2862" s="42" t="s">
        <v>6870</v>
      </c>
      <c r="R2862" s="42"/>
      <c r="S2862" s="1"/>
    </row>
    <row r="2863" spans="1:19" ht="18.75" hidden="1" customHeight="1" x14ac:dyDescent="0.3">
      <c r="A2863" s="10">
        <v>2862</v>
      </c>
      <c r="B2863" s="10">
        <f>_xlfn.XLOOKUP(1,(VALUE(D2863)&gt;=VALUE(block!$C$3:$C$500))*(VALUE(D2863)&lt;VALUE(block!$C$3:$C$500)+VALUE(block!$D$3:$D$500)),block!$A$3:$A$500,"无匹配",0,1)</f>
        <v>76</v>
      </c>
      <c r="C2863" s="3" t="str">
        <f>B2863 &amp; "-" &amp; COUNTIF($B$2:B2863, B2863)</f>
        <v>76-2</v>
      </c>
      <c r="D2863" s="10">
        <v>21582</v>
      </c>
      <c r="E2863" s="1" t="s">
        <v>7159</v>
      </c>
      <c r="F2863" s="1" t="s">
        <v>7160</v>
      </c>
      <c r="H2863" s="3" t="s">
        <v>6767</v>
      </c>
      <c r="I2863" s="10" t="str">
        <f>IF(H2863="T60",1,IF(H2863="T60",3,IF(H2863="T76",6,IF(H2863="T76",10,IF(H2863="T108",14,IF(H2863="T108",18,IF(H2863="T76",22,"")))))))</f>
        <v/>
      </c>
      <c r="J2863" s="1" t="s">
        <v>1808</v>
      </c>
      <c r="K2863" s="10">
        <v>4</v>
      </c>
      <c r="L2863" s="10">
        <v>1</v>
      </c>
      <c r="O2863" s="6"/>
      <c r="Q2863" s="42" t="s">
        <v>6870</v>
      </c>
      <c r="R2863" s="42"/>
      <c r="S2863" s="1"/>
    </row>
    <row r="2864" spans="1:19" ht="18.75" hidden="1" customHeight="1" x14ac:dyDescent="0.3">
      <c r="A2864" s="10">
        <v>2863</v>
      </c>
      <c r="B2864" s="10">
        <f>_xlfn.XLOOKUP(1,(VALUE(D2864)&gt;=VALUE(block!$C$3:$C$500))*(VALUE(D2864)&lt;VALUE(block!$C$3:$C$500)+VALUE(block!$D$3:$D$500)),block!$A$3:$A$500,"无匹配",0,1)</f>
        <v>76</v>
      </c>
      <c r="C2864" s="3" t="str">
        <f>B2864 &amp; "-" &amp; COUNTIF($B$2:B2864, B2864)</f>
        <v>76-3</v>
      </c>
      <c r="D2864" s="10">
        <v>21586</v>
      </c>
      <c r="E2864" s="1" t="s">
        <v>7161</v>
      </c>
      <c r="F2864" s="1" t="s">
        <v>7162</v>
      </c>
      <c r="G2864" s="1" t="s">
        <v>1832</v>
      </c>
      <c r="H2864" s="1" t="s">
        <v>1812</v>
      </c>
      <c r="I2864" s="10" t="str">
        <f>IF(H2864="T61",1,IF(H2864="T61",3,IF(H2864="T77",6,IF(H2864="T77",10,IF(H2864="T109",14,IF(H2864="T109",18,IF(H2864="T77",22,"")))))))</f>
        <v/>
      </c>
      <c r="J2864" s="1" t="s">
        <v>1808</v>
      </c>
      <c r="K2864" s="10">
        <v>2</v>
      </c>
      <c r="L2864" s="10">
        <v>1</v>
      </c>
      <c r="O2864" s="6"/>
      <c r="P2864" s="10">
        <v>6</v>
      </c>
      <c r="Q2864" s="42" t="s">
        <v>6870</v>
      </c>
      <c r="R2864" s="42"/>
      <c r="S2864" s="1"/>
    </row>
    <row r="2865" spans="1:19" ht="18.75" hidden="1" customHeight="1" x14ac:dyDescent="0.3">
      <c r="A2865" s="10">
        <v>2864</v>
      </c>
      <c r="B2865" s="10">
        <f>_xlfn.XLOOKUP(1,(VALUE(D2865)&gt;=VALUE(block!$C$3:$C$500))*(VALUE(D2865)&lt;VALUE(block!$C$3:$C$500)+VALUE(block!$D$3:$D$500)),block!$A$3:$A$500,"无匹配",0,1)</f>
        <v>76</v>
      </c>
      <c r="C2865" s="3" t="str">
        <f>B2865 &amp; "-" &amp; COUNTIF($B$2:B2865, B2865)</f>
        <v>76-4</v>
      </c>
      <c r="D2865" s="10">
        <v>21588</v>
      </c>
      <c r="E2865" s="1" t="s">
        <v>7163</v>
      </c>
      <c r="F2865" s="1" t="s">
        <v>7164</v>
      </c>
      <c r="H2865" s="3" t="s">
        <v>6767</v>
      </c>
      <c r="I2865" s="10" t="str">
        <f>IF(H2865="T62",1,IF(H2865="T62",3,IF(H2865="T78",6,IF(H2865="T78",10,IF(H2865="T110",14,IF(H2865="T110",18,IF(H2865="T78",22,"")))))))</f>
        <v/>
      </c>
      <c r="J2865" s="1" t="s">
        <v>1808</v>
      </c>
      <c r="K2865" s="10">
        <v>4</v>
      </c>
      <c r="L2865" s="10">
        <v>1</v>
      </c>
      <c r="O2865" s="6"/>
      <c r="Q2865" s="42" t="s">
        <v>6870</v>
      </c>
      <c r="R2865" s="42"/>
      <c r="S2865" s="1"/>
    </row>
    <row r="2866" spans="1:19" ht="18.75" hidden="1" customHeight="1" x14ac:dyDescent="0.3">
      <c r="A2866" s="10">
        <v>2865</v>
      </c>
      <c r="B2866" s="10">
        <f>_xlfn.XLOOKUP(1,(VALUE(D2866)&gt;=VALUE(block!$C$3:$C$500))*(VALUE(D2866)&lt;VALUE(block!$C$3:$C$500)+VALUE(block!$D$3:$D$500)),block!$A$3:$A$500,"无匹配",0,1)</f>
        <v>76</v>
      </c>
      <c r="C2866" s="3" t="str">
        <f>B2866 &amp; "-" &amp; COUNTIF($B$2:B2866, B2866)</f>
        <v>76-5</v>
      </c>
      <c r="D2866" s="10">
        <v>21592</v>
      </c>
      <c r="E2866" s="1" t="s">
        <v>7165</v>
      </c>
      <c r="F2866" s="1" t="s">
        <v>7166</v>
      </c>
      <c r="G2866" s="1" t="s">
        <v>1834</v>
      </c>
      <c r="H2866" s="1" t="s">
        <v>1812</v>
      </c>
      <c r="I2866" s="10" t="str">
        <f>IF(H2866="T63",1,IF(H2866="T63",3,IF(H2866="T79",6,IF(H2866="T79",10,IF(H2866="T111",14,IF(H2866="T111",18,IF(H2866="T79",22,"")))))))</f>
        <v/>
      </c>
      <c r="J2866" s="1" t="s">
        <v>1808</v>
      </c>
      <c r="K2866" s="10">
        <v>2</v>
      </c>
      <c r="L2866" s="10">
        <v>1</v>
      </c>
      <c r="O2866" s="6"/>
      <c r="P2866" s="10">
        <v>6</v>
      </c>
      <c r="Q2866" s="42" t="s">
        <v>6870</v>
      </c>
      <c r="R2866" s="42"/>
      <c r="S2866" s="1"/>
    </row>
    <row r="2867" spans="1:19" ht="18.75" hidden="1" customHeight="1" x14ac:dyDescent="0.3">
      <c r="A2867" s="10">
        <v>2866</v>
      </c>
      <c r="B2867" s="10">
        <f>_xlfn.XLOOKUP(1,(VALUE(D2867)&gt;=VALUE(block!$C$3:$C$500))*(VALUE(D2867)&lt;VALUE(block!$C$3:$C$500)+VALUE(block!$D$3:$D$500)),block!$A$3:$A$500,"无匹配",0,1)</f>
        <v>76</v>
      </c>
      <c r="C2867" s="3" t="str">
        <f>B2867 &amp; "-" &amp; COUNTIF($B$2:B2867, B2867)</f>
        <v>76-6</v>
      </c>
      <c r="D2867" s="10">
        <v>21594</v>
      </c>
      <c r="E2867" s="1" t="s">
        <v>7167</v>
      </c>
      <c r="F2867" s="1" t="s">
        <v>7168</v>
      </c>
      <c r="H2867" s="3" t="s">
        <v>6767</v>
      </c>
      <c r="I2867" s="10" t="str">
        <f>IF(H2867="T64",1,IF(H2867="T64",3,IF(H2867="T80",6,IF(H2867="T80",10,IF(H2867="T112",14,IF(H2867="T112",18,IF(H2867="T80",22,"")))))))</f>
        <v/>
      </c>
      <c r="J2867" s="1" t="s">
        <v>1808</v>
      </c>
      <c r="K2867" s="10">
        <v>4</v>
      </c>
      <c r="L2867" s="10">
        <v>1</v>
      </c>
      <c r="O2867" s="6"/>
      <c r="Q2867" s="42" t="s">
        <v>6870</v>
      </c>
      <c r="R2867" s="42"/>
      <c r="S2867" s="1"/>
    </row>
    <row r="2868" spans="1:19" ht="18.75" hidden="1" customHeight="1" x14ac:dyDescent="0.3">
      <c r="A2868" s="10">
        <v>2867</v>
      </c>
      <c r="B2868" s="10">
        <f>_xlfn.XLOOKUP(1,(VALUE(D2868)&gt;=VALUE(block!$C$3:$C$500))*(VALUE(D2868)&lt;VALUE(block!$C$3:$C$500)+VALUE(block!$D$3:$D$500)),block!$A$3:$A$500,"无匹配",0,1)</f>
        <v>76</v>
      </c>
      <c r="C2868" s="3" t="str">
        <f>B2868 &amp; "-" &amp; COUNTIF($B$2:B2868, B2868)</f>
        <v>76-7</v>
      </c>
      <c r="D2868" s="10">
        <v>21598</v>
      </c>
      <c r="E2868" s="1" t="s">
        <v>7169</v>
      </c>
      <c r="F2868" s="1" t="s">
        <v>7170</v>
      </c>
      <c r="G2868" s="1" t="s">
        <v>1836</v>
      </c>
      <c r="H2868" s="1" t="s">
        <v>1812</v>
      </c>
      <c r="I2868" s="10" t="str">
        <f>IF(H2868="T65",1,IF(H2868="T65",3,IF(H2868="T81",6,IF(H2868="T81",10,IF(H2868="T113",14,IF(H2868="T113",18,IF(H2868="T81",22,"")))))))</f>
        <v/>
      </c>
      <c r="J2868" s="1" t="s">
        <v>1808</v>
      </c>
      <c r="K2868" s="10">
        <v>2</v>
      </c>
      <c r="L2868" s="10">
        <v>1</v>
      </c>
      <c r="O2868" s="6"/>
      <c r="P2868" s="10">
        <v>6</v>
      </c>
      <c r="Q2868" s="42" t="s">
        <v>6870</v>
      </c>
      <c r="R2868" s="42"/>
      <c r="S2868" s="1"/>
    </row>
    <row r="2869" spans="1:19" ht="18.75" hidden="1" customHeight="1" x14ac:dyDescent="0.3">
      <c r="A2869" s="10">
        <v>2868</v>
      </c>
      <c r="B2869" s="10">
        <f>_xlfn.XLOOKUP(1,(VALUE(D2869)&gt;=VALUE(block!$C$3:$C$500))*(VALUE(D2869)&lt;VALUE(block!$C$3:$C$500)+VALUE(block!$D$3:$D$500)),block!$A$3:$A$500,"无匹配",0,1)</f>
        <v>76</v>
      </c>
      <c r="C2869" s="3" t="str">
        <f>B2869 &amp; "-" &amp; COUNTIF($B$2:B2869, B2869)</f>
        <v>76-8</v>
      </c>
      <c r="D2869" s="10">
        <v>21600</v>
      </c>
      <c r="E2869" s="1" t="s">
        <v>7171</v>
      </c>
      <c r="F2869" s="1" t="s">
        <v>7172</v>
      </c>
      <c r="H2869" s="3" t="s">
        <v>6767</v>
      </c>
      <c r="I2869" s="10" t="str">
        <f>IF(H2869="T66",1,IF(H2869="T66",3,IF(H2869="T82",6,IF(H2869="T82",10,IF(H2869="T114",14,IF(H2869="T114",18,IF(H2869="T82",22,"")))))))</f>
        <v/>
      </c>
      <c r="J2869" s="1" t="s">
        <v>1808</v>
      </c>
      <c r="K2869" s="10">
        <v>4</v>
      </c>
      <c r="L2869" s="10">
        <v>1</v>
      </c>
      <c r="O2869" s="6"/>
      <c r="Q2869" s="42" t="s">
        <v>6870</v>
      </c>
      <c r="R2869" s="42"/>
      <c r="S2869" s="1"/>
    </row>
    <row r="2870" spans="1:19" ht="18.75" hidden="1" customHeight="1" x14ac:dyDescent="0.3">
      <c r="A2870" s="10">
        <v>2869</v>
      </c>
      <c r="B2870" s="10">
        <f>_xlfn.XLOOKUP(1,(VALUE(D2870)&gt;=VALUE(block!$C$3:$C$500))*(VALUE(D2870)&lt;VALUE(block!$C$3:$C$500)+VALUE(block!$D$3:$D$500)),block!$A$3:$A$500,"无匹配",0,1)</f>
        <v>76</v>
      </c>
      <c r="C2870" s="3" t="str">
        <f>B2870 &amp; "-" &amp; COUNTIF($B$2:B2870, B2870)</f>
        <v>76-9</v>
      </c>
      <c r="D2870" s="10">
        <v>21604</v>
      </c>
      <c r="E2870" s="1" t="s">
        <v>7173</v>
      </c>
      <c r="F2870" s="1" t="s">
        <v>7174</v>
      </c>
      <c r="G2870" s="1" t="s">
        <v>1840</v>
      </c>
      <c r="H2870" s="1" t="s">
        <v>1812</v>
      </c>
      <c r="I2870" s="10" t="str">
        <f>IF(H2870="T67",1,IF(H2870="T67",3,IF(H2870="T83",6,IF(H2870="T83",10,IF(H2870="T115",14,IF(H2870="T115",18,IF(H2870="T83",22,"")))))))</f>
        <v/>
      </c>
      <c r="J2870" s="1" t="s">
        <v>1808</v>
      </c>
      <c r="K2870" s="10">
        <v>2</v>
      </c>
      <c r="L2870" s="10">
        <v>1</v>
      </c>
      <c r="O2870" s="6"/>
      <c r="P2870" s="10">
        <v>6</v>
      </c>
      <c r="Q2870" s="42" t="s">
        <v>6870</v>
      </c>
      <c r="R2870" s="42"/>
      <c r="S2870" s="1"/>
    </row>
    <row r="2871" spans="1:19" ht="18.75" hidden="1" customHeight="1" x14ac:dyDescent="0.3">
      <c r="A2871" s="10">
        <v>2870</v>
      </c>
      <c r="B2871" s="10">
        <f>_xlfn.XLOOKUP(1,(VALUE(D2871)&gt;=VALUE(block!$C$3:$C$500))*(VALUE(D2871)&lt;VALUE(block!$C$3:$C$500)+VALUE(block!$D$3:$D$500)),block!$A$3:$A$500,"无匹配",0,1)</f>
        <v>76</v>
      </c>
      <c r="C2871" s="3" t="str">
        <f>B2871 &amp; "-" &amp; COUNTIF($B$2:B2871, B2871)</f>
        <v>76-10</v>
      </c>
      <c r="D2871" s="10">
        <v>21606</v>
      </c>
      <c r="E2871" s="1" t="s">
        <v>7175</v>
      </c>
      <c r="F2871" s="1" t="s">
        <v>7176</v>
      </c>
      <c r="H2871" s="3" t="s">
        <v>6767</v>
      </c>
      <c r="I2871" s="10" t="str">
        <f>IF(H2871="T68",1,IF(H2871="T68",3,IF(H2871="T84",6,IF(H2871="T84",10,IF(H2871="T116",14,IF(H2871="T116",18,IF(H2871="T84",22,"")))))))</f>
        <v/>
      </c>
      <c r="J2871" s="1" t="s">
        <v>1808</v>
      </c>
      <c r="K2871" s="10">
        <v>4</v>
      </c>
      <c r="L2871" s="10">
        <v>1</v>
      </c>
      <c r="O2871" s="6"/>
      <c r="Q2871" s="42" t="s">
        <v>6870</v>
      </c>
      <c r="R2871" s="42"/>
      <c r="S2871" s="1"/>
    </row>
    <row r="2872" spans="1:19" ht="18.75" hidden="1" customHeight="1" x14ac:dyDescent="0.3">
      <c r="A2872" s="10">
        <v>2871</v>
      </c>
      <c r="B2872" s="10">
        <f>_xlfn.XLOOKUP(1,(VALUE(D2872)&gt;=VALUE(block!$C$3:$C$500))*(VALUE(D2872)&lt;VALUE(block!$C$3:$C$500)+VALUE(block!$D$3:$D$500)),block!$A$3:$A$500,"无匹配",0,1)</f>
        <v>76</v>
      </c>
      <c r="C2872" s="3" t="str">
        <f>B2872 &amp; "-" &amp; COUNTIF($B$2:B2872, B2872)</f>
        <v>76-11</v>
      </c>
      <c r="D2872" s="10">
        <v>21610</v>
      </c>
      <c r="E2872" s="1" t="s">
        <v>7177</v>
      </c>
      <c r="F2872" s="1" t="s">
        <v>7178</v>
      </c>
      <c r="G2872" s="1" t="s">
        <v>1840</v>
      </c>
      <c r="H2872" s="1" t="s">
        <v>1812</v>
      </c>
      <c r="I2872" s="10" t="str">
        <f>IF(H2872="T69",1,IF(H2872="T69",3,IF(H2872="T85",6,IF(H2872="T85",10,IF(H2872="T117",14,IF(H2872="T117",18,IF(H2872="T85",22,"")))))))</f>
        <v/>
      </c>
      <c r="J2872" s="1" t="s">
        <v>1808</v>
      </c>
      <c r="K2872" s="10">
        <v>2</v>
      </c>
      <c r="L2872" s="10">
        <v>1</v>
      </c>
      <c r="O2872" s="6"/>
      <c r="P2872" s="10">
        <v>6</v>
      </c>
      <c r="Q2872" s="42" t="s">
        <v>6870</v>
      </c>
      <c r="R2872" s="42"/>
      <c r="S2872" s="1"/>
    </row>
    <row r="2873" spans="1:19" ht="18.75" hidden="1" customHeight="1" x14ac:dyDescent="0.3">
      <c r="A2873" s="10">
        <v>2872</v>
      </c>
      <c r="B2873" s="10">
        <f>_xlfn.XLOOKUP(1,(VALUE(D2873)&gt;=VALUE(block!$C$3:$C$500))*(VALUE(D2873)&lt;VALUE(block!$C$3:$C$500)+VALUE(block!$D$3:$D$500)),block!$A$3:$A$500,"无匹配",0,1)</f>
        <v>76</v>
      </c>
      <c r="C2873" s="3" t="str">
        <f>B2873 &amp; "-" &amp; COUNTIF($B$2:B2873, B2873)</f>
        <v>76-12</v>
      </c>
      <c r="D2873" s="10">
        <v>21612</v>
      </c>
      <c r="E2873" s="1" t="s">
        <v>7179</v>
      </c>
      <c r="F2873" s="1" t="s">
        <v>7180</v>
      </c>
      <c r="H2873" s="3" t="s">
        <v>6767</v>
      </c>
      <c r="I2873" s="10" t="str">
        <f>IF(H2873="T70",1,IF(H2873="T70",3,IF(H2873="T86",6,IF(H2873="T86",10,IF(H2873="T118",14,IF(H2873="T118",18,IF(H2873="T86",22,"")))))))</f>
        <v/>
      </c>
      <c r="J2873" s="1" t="s">
        <v>1808</v>
      </c>
      <c r="K2873" s="10">
        <v>4</v>
      </c>
      <c r="L2873" s="10">
        <v>1</v>
      </c>
      <c r="O2873" s="6"/>
      <c r="Q2873" s="42" t="s">
        <v>6870</v>
      </c>
      <c r="R2873" s="42"/>
      <c r="S2873" s="1"/>
    </row>
    <row r="2874" spans="1:19" ht="18.75" hidden="1" customHeight="1" x14ac:dyDescent="0.3">
      <c r="A2874" s="10">
        <v>2873</v>
      </c>
      <c r="B2874" s="10">
        <f>_xlfn.XLOOKUP(1,(VALUE(D2874)&gt;=VALUE(block!$C$3:$C$500))*(VALUE(D2874)&lt;VALUE(block!$C$3:$C$500)+VALUE(block!$D$3:$D$500)),block!$A$3:$A$500,"无匹配",0,1)</f>
        <v>76</v>
      </c>
      <c r="C2874" s="3" t="str">
        <f>B2874 &amp; "-" &amp; COUNTIF($B$2:B2874, B2874)</f>
        <v>76-13</v>
      </c>
      <c r="D2874" s="10">
        <v>21616</v>
      </c>
      <c r="E2874" s="1" t="s">
        <v>7181</v>
      </c>
      <c r="F2874" s="1" t="s">
        <v>7182</v>
      </c>
      <c r="G2874" s="1" t="s">
        <v>1830</v>
      </c>
      <c r="H2874" s="1" t="s">
        <v>1812</v>
      </c>
      <c r="I2874" s="10" t="str">
        <f>IF(H2874="T71",1,IF(H2874="T71",3,IF(H2874="T87",6,IF(H2874="T87",10,IF(H2874="T119",14,IF(H2874="T119",18,IF(H2874="T87",22,"")))))))</f>
        <v/>
      </c>
      <c r="J2874" s="1" t="s">
        <v>1808</v>
      </c>
      <c r="K2874" s="10">
        <v>2</v>
      </c>
      <c r="L2874" s="10">
        <v>1</v>
      </c>
      <c r="O2874" s="6"/>
      <c r="P2874" s="10">
        <v>6</v>
      </c>
      <c r="Q2874" s="42" t="s">
        <v>6870</v>
      </c>
      <c r="R2874" s="42"/>
      <c r="S2874" s="1"/>
    </row>
    <row r="2875" spans="1:19" ht="18.75" hidden="1" customHeight="1" x14ac:dyDescent="0.3">
      <c r="A2875" s="10">
        <v>2874</v>
      </c>
      <c r="B2875" s="10">
        <f>_xlfn.XLOOKUP(1,(VALUE(D2875)&gt;=VALUE(block!$C$3:$C$500))*(VALUE(D2875)&lt;VALUE(block!$C$3:$C$500)+VALUE(block!$D$3:$D$500)),block!$A$3:$A$500,"无匹配",0,1)</f>
        <v>76</v>
      </c>
      <c r="C2875" s="3" t="str">
        <f>B2875 &amp; "-" &amp; COUNTIF($B$2:B2875, B2875)</f>
        <v>76-14</v>
      </c>
      <c r="D2875" s="10">
        <v>21618</v>
      </c>
      <c r="E2875" s="1" t="s">
        <v>7183</v>
      </c>
      <c r="F2875" s="1" t="s">
        <v>7184</v>
      </c>
      <c r="H2875" s="3" t="s">
        <v>6767</v>
      </c>
      <c r="I2875" s="10" t="str">
        <f>IF(H2875="T72",1,IF(H2875="T72",3,IF(H2875="T88",6,IF(H2875="T88",10,IF(H2875="T120",14,IF(H2875="T120",18,IF(H2875="T88",22,"")))))))</f>
        <v/>
      </c>
      <c r="J2875" s="1" t="s">
        <v>1808</v>
      </c>
      <c r="K2875" s="10">
        <v>4</v>
      </c>
      <c r="L2875" s="10">
        <v>1</v>
      </c>
      <c r="O2875" s="6"/>
      <c r="Q2875" s="42" t="s">
        <v>6870</v>
      </c>
      <c r="R2875" s="42"/>
      <c r="S2875" s="1"/>
    </row>
    <row r="2876" spans="1:19" ht="18.75" hidden="1" customHeight="1" x14ac:dyDescent="0.3">
      <c r="A2876" s="10">
        <v>2875</v>
      </c>
      <c r="B2876" s="10">
        <f>_xlfn.XLOOKUP(1,(VALUE(D2876)&gt;=VALUE(block!$C$3:$C$500))*(VALUE(D2876)&lt;VALUE(block!$C$3:$C$500)+VALUE(block!$D$3:$D$500)),block!$A$3:$A$500,"无匹配",0,1)</f>
        <v>76</v>
      </c>
      <c r="C2876" s="3" t="str">
        <f>B2876 &amp; "-" &amp; COUNTIF($B$2:B2876, B2876)</f>
        <v>76-15</v>
      </c>
      <c r="D2876" s="10">
        <v>21622</v>
      </c>
      <c r="E2876" s="1" t="s">
        <v>7185</v>
      </c>
      <c r="F2876" s="1" t="s">
        <v>7186</v>
      </c>
      <c r="G2876" s="1" t="s">
        <v>1832</v>
      </c>
      <c r="H2876" s="1" t="s">
        <v>1812</v>
      </c>
      <c r="I2876" s="10" t="str">
        <f>IF(H2876="T73",1,IF(H2876="T73",3,IF(H2876="T89",6,IF(H2876="T89",10,IF(H2876="T121",14,IF(H2876="T121",18,IF(H2876="T89",22,"")))))))</f>
        <v/>
      </c>
      <c r="J2876" s="1" t="s">
        <v>1808</v>
      </c>
      <c r="K2876" s="10">
        <v>2</v>
      </c>
      <c r="L2876" s="10">
        <v>1</v>
      </c>
      <c r="O2876" s="6"/>
      <c r="P2876" s="10">
        <v>6</v>
      </c>
      <c r="Q2876" s="42" t="s">
        <v>6870</v>
      </c>
      <c r="R2876" s="42"/>
      <c r="S2876" s="1"/>
    </row>
    <row r="2877" spans="1:19" ht="18.75" hidden="1" customHeight="1" x14ac:dyDescent="0.3">
      <c r="A2877" s="10">
        <v>2876</v>
      </c>
      <c r="B2877" s="10">
        <f>_xlfn.XLOOKUP(1,(VALUE(D2877)&gt;=VALUE(block!$C$3:$C$500))*(VALUE(D2877)&lt;VALUE(block!$C$3:$C$500)+VALUE(block!$D$3:$D$500)),block!$A$3:$A$500,"无匹配",0,1)</f>
        <v>76</v>
      </c>
      <c r="C2877" s="3" t="str">
        <f>B2877 &amp; "-" &amp; COUNTIF($B$2:B2877, B2877)</f>
        <v>76-16</v>
      </c>
      <c r="D2877" s="10">
        <v>21624</v>
      </c>
      <c r="E2877" s="1" t="s">
        <v>7187</v>
      </c>
      <c r="F2877" s="1" t="s">
        <v>7188</v>
      </c>
      <c r="H2877" s="3" t="s">
        <v>6767</v>
      </c>
      <c r="I2877" s="10" t="str">
        <f>IF(H2877="T74",1,IF(H2877="T74",3,IF(H2877="T90",6,IF(H2877="T90",10,IF(H2877="T122",14,IF(H2877="T122",18,IF(H2877="T90",22,"")))))))</f>
        <v/>
      </c>
      <c r="J2877" s="1" t="s">
        <v>1808</v>
      </c>
      <c r="K2877" s="10">
        <v>4</v>
      </c>
      <c r="L2877" s="10">
        <v>1</v>
      </c>
      <c r="O2877" s="6"/>
      <c r="Q2877" s="42" t="s">
        <v>6870</v>
      </c>
      <c r="R2877" s="42"/>
      <c r="S2877" s="1"/>
    </row>
    <row r="2878" spans="1:19" ht="18.75" hidden="1" customHeight="1" x14ac:dyDescent="0.3">
      <c r="A2878" s="10">
        <v>2877</v>
      </c>
      <c r="B2878" s="10">
        <f>_xlfn.XLOOKUP(1,(VALUE(D2878)&gt;=VALUE(block!$C$3:$C$500))*(VALUE(D2878)&lt;VALUE(block!$C$3:$C$500)+VALUE(block!$D$3:$D$500)),block!$A$3:$A$500,"无匹配",0,1)</f>
        <v>76</v>
      </c>
      <c r="C2878" s="3" t="str">
        <f>B2878 &amp; "-" &amp; COUNTIF($B$2:B2878, B2878)</f>
        <v>76-17</v>
      </c>
      <c r="D2878" s="10">
        <v>21628</v>
      </c>
      <c r="E2878" s="1" t="s">
        <v>7189</v>
      </c>
      <c r="F2878" s="1" t="s">
        <v>7190</v>
      </c>
      <c r="G2878" s="1" t="s">
        <v>1834</v>
      </c>
      <c r="H2878" s="1" t="s">
        <v>1812</v>
      </c>
      <c r="I2878" s="10" t="str">
        <f>IF(H2878="T75",1,IF(H2878="T75",3,IF(H2878="T91",6,IF(H2878="T91",10,IF(H2878="T123",14,IF(H2878="T123",18,IF(H2878="T91",22,"")))))))</f>
        <v/>
      </c>
      <c r="J2878" s="1" t="s">
        <v>1808</v>
      </c>
      <c r="K2878" s="10">
        <v>2</v>
      </c>
      <c r="L2878" s="10">
        <v>1</v>
      </c>
      <c r="O2878" s="6"/>
      <c r="P2878" s="10">
        <v>6</v>
      </c>
      <c r="Q2878" s="42" t="s">
        <v>6870</v>
      </c>
      <c r="R2878" s="42"/>
      <c r="S2878" s="1"/>
    </row>
    <row r="2879" spans="1:19" ht="18.75" hidden="1" customHeight="1" x14ac:dyDescent="0.3">
      <c r="A2879" s="10">
        <v>2878</v>
      </c>
      <c r="B2879" s="10">
        <f>_xlfn.XLOOKUP(1,(VALUE(D2879)&gt;=VALUE(block!$C$3:$C$500))*(VALUE(D2879)&lt;VALUE(block!$C$3:$C$500)+VALUE(block!$D$3:$D$500)),block!$A$3:$A$500,"无匹配",0,1)</f>
        <v>76</v>
      </c>
      <c r="C2879" s="3" t="str">
        <f>B2879 &amp; "-" &amp; COUNTIF($B$2:B2879, B2879)</f>
        <v>76-18</v>
      </c>
      <c r="D2879" s="10">
        <v>21630</v>
      </c>
      <c r="E2879" s="1" t="s">
        <v>7191</v>
      </c>
      <c r="F2879" s="1" t="s">
        <v>7192</v>
      </c>
      <c r="H2879" s="3" t="s">
        <v>6767</v>
      </c>
      <c r="I2879" s="10" t="str">
        <f>IF(H2879="T76",1,IF(H2879="T76",3,IF(H2879="T92",6,IF(H2879="T92",10,IF(H2879="T124",14,IF(H2879="T124",18,IF(H2879="T92",22,"")))))))</f>
        <v/>
      </c>
      <c r="J2879" s="1" t="s">
        <v>1808</v>
      </c>
      <c r="K2879" s="10">
        <v>4</v>
      </c>
      <c r="L2879" s="10">
        <v>1</v>
      </c>
      <c r="O2879" s="6"/>
      <c r="Q2879" s="42" t="s">
        <v>6870</v>
      </c>
      <c r="R2879" s="42"/>
      <c r="S2879" s="1"/>
    </row>
    <row r="2880" spans="1:19" ht="18.75" hidden="1" customHeight="1" x14ac:dyDescent="0.3">
      <c r="A2880" s="10">
        <v>2879</v>
      </c>
      <c r="B2880" s="10">
        <f>_xlfn.XLOOKUP(1,(VALUE(D2880)&gt;=VALUE(block!$C$3:$C$500))*(VALUE(D2880)&lt;VALUE(block!$C$3:$C$500)+VALUE(block!$D$3:$D$500)),block!$A$3:$A$500,"无匹配",0,1)</f>
        <v>76</v>
      </c>
      <c r="C2880" s="3" t="str">
        <f>B2880 &amp; "-" &amp; COUNTIF($B$2:B2880, B2880)</f>
        <v>76-19</v>
      </c>
      <c r="D2880" s="10">
        <v>21634</v>
      </c>
      <c r="E2880" s="1" t="s">
        <v>7193</v>
      </c>
      <c r="F2880" s="1" t="s">
        <v>7194</v>
      </c>
      <c r="G2880" s="1" t="s">
        <v>1836</v>
      </c>
      <c r="H2880" s="1" t="s">
        <v>1812</v>
      </c>
      <c r="I2880" s="10" t="str">
        <f>IF(H2880="T77",1,IF(H2880="T77",3,IF(H2880="T93",6,IF(H2880="T93",10,IF(H2880="T125",14,IF(H2880="T125",18,IF(H2880="T93",22,"")))))))</f>
        <v/>
      </c>
      <c r="J2880" s="1" t="s">
        <v>1808</v>
      </c>
      <c r="K2880" s="10">
        <v>2</v>
      </c>
      <c r="L2880" s="10">
        <v>1</v>
      </c>
      <c r="O2880" s="6"/>
      <c r="P2880" s="10">
        <v>6</v>
      </c>
      <c r="Q2880" s="42" t="s">
        <v>6870</v>
      </c>
      <c r="R2880" s="42"/>
      <c r="S2880" s="1"/>
    </row>
    <row r="2881" spans="1:19" ht="18.75" hidden="1" customHeight="1" x14ac:dyDescent="0.3">
      <c r="A2881" s="10">
        <v>2880</v>
      </c>
      <c r="B2881" s="10">
        <f>_xlfn.XLOOKUP(1,(VALUE(D2881)&gt;=VALUE(block!$C$3:$C$500))*(VALUE(D2881)&lt;VALUE(block!$C$3:$C$500)+VALUE(block!$D$3:$D$500)),block!$A$3:$A$500,"无匹配",0,1)</f>
        <v>76</v>
      </c>
      <c r="C2881" s="3" t="str">
        <f>B2881 &amp; "-" &amp; COUNTIF($B$2:B2881, B2881)</f>
        <v>76-20</v>
      </c>
      <c r="D2881" s="10">
        <v>21636</v>
      </c>
      <c r="E2881" s="1" t="s">
        <v>7195</v>
      </c>
      <c r="F2881" s="1" t="s">
        <v>7196</v>
      </c>
      <c r="H2881" s="3" t="s">
        <v>6767</v>
      </c>
      <c r="I2881" s="10" t="str">
        <f>IF(H2881="T78",1,IF(H2881="T78",3,IF(H2881="T94",6,IF(H2881="T94",10,IF(H2881="T126",14,IF(H2881="T126",18,IF(H2881="T94",22,"")))))))</f>
        <v/>
      </c>
      <c r="J2881" s="1" t="s">
        <v>1808</v>
      </c>
      <c r="K2881" s="10">
        <v>4</v>
      </c>
      <c r="L2881" s="10">
        <v>1</v>
      </c>
      <c r="O2881" s="6"/>
      <c r="Q2881" s="42" t="s">
        <v>6870</v>
      </c>
      <c r="R2881" s="42"/>
      <c r="S2881" s="1"/>
    </row>
    <row r="2882" spans="1:19" ht="18.75" hidden="1" customHeight="1" x14ac:dyDescent="0.3">
      <c r="A2882" s="10">
        <v>2881</v>
      </c>
      <c r="B2882" s="10">
        <f>_xlfn.XLOOKUP(1,(VALUE(D2882)&gt;=VALUE(block!$C$3:$C$500))*(VALUE(D2882)&lt;VALUE(block!$C$3:$C$500)+VALUE(block!$D$3:$D$500)),block!$A$3:$A$500,"无匹配",0,1)</f>
        <v>76</v>
      </c>
      <c r="C2882" s="3" t="str">
        <f>B2882 &amp; "-" &amp; COUNTIF($B$2:B2882, B2882)</f>
        <v>76-21</v>
      </c>
      <c r="D2882" s="10">
        <v>21640</v>
      </c>
      <c r="E2882" s="1" t="s">
        <v>7197</v>
      </c>
      <c r="F2882" s="1" t="s">
        <v>7198</v>
      </c>
      <c r="G2882" s="1" t="s">
        <v>1840</v>
      </c>
      <c r="H2882" s="1" t="s">
        <v>1812</v>
      </c>
      <c r="I2882" s="10" t="str">
        <f>IF(H2882="T79",1,IF(H2882="T79",3,IF(H2882="T95",6,IF(H2882="T95",10,IF(H2882="T127",14,IF(H2882="T127",18,IF(H2882="T95",22,"")))))))</f>
        <v/>
      </c>
      <c r="J2882" s="1" t="s">
        <v>1808</v>
      </c>
      <c r="K2882" s="10">
        <v>2</v>
      </c>
      <c r="L2882" s="10">
        <v>1</v>
      </c>
      <c r="O2882" s="6"/>
      <c r="P2882" s="10">
        <v>6</v>
      </c>
      <c r="Q2882" s="42" t="s">
        <v>6870</v>
      </c>
      <c r="R2882" s="42"/>
      <c r="S2882" s="1"/>
    </row>
    <row r="2883" spans="1:19" ht="18.75" hidden="1" customHeight="1" x14ac:dyDescent="0.3">
      <c r="A2883" s="10">
        <v>2882</v>
      </c>
      <c r="B2883" s="10">
        <f>_xlfn.XLOOKUP(1,(VALUE(D2883)&gt;=VALUE(block!$C$3:$C$500))*(VALUE(D2883)&lt;VALUE(block!$C$3:$C$500)+VALUE(block!$D$3:$D$500)),block!$A$3:$A$500,"无匹配",0,1)</f>
        <v>76</v>
      </c>
      <c r="C2883" s="3" t="str">
        <f>B2883 &amp; "-" &amp; COUNTIF($B$2:B2883, B2883)</f>
        <v>76-22</v>
      </c>
      <c r="D2883" s="10">
        <v>21642</v>
      </c>
      <c r="E2883" s="1" t="s">
        <v>7199</v>
      </c>
      <c r="F2883" s="1" t="s">
        <v>7200</v>
      </c>
      <c r="H2883" s="3" t="s">
        <v>6767</v>
      </c>
      <c r="I2883" s="10">
        <f>IF(H2883="uint16",1,IF(H2883="int16",3,IF(H2883="uint32",6,IF(H2883="int32",10,IF(H2883="uint64",14,IF(H2883="int64",18,IF(H2883="float32",22,"")))))))</f>
        <v>14</v>
      </c>
      <c r="J2883" s="1" t="s">
        <v>1808</v>
      </c>
      <c r="K2883" s="10">
        <v>4</v>
      </c>
      <c r="L2883" s="10">
        <v>1</v>
      </c>
      <c r="O2883" s="6"/>
      <c r="Q2883" s="42" t="s">
        <v>6870</v>
      </c>
      <c r="R2883" s="42"/>
      <c r="S2883" s="1"/>
    </row>
    <row r="2884" spans="1:19" ht="18.75" hidden="1" customHeight="1" x14ac:dyDescent="0.3">
      <c r="A2884" s="10">
        <v>2883</v>
      </c>
      <c r="B2884" s="10">
        <f>_xlfn.XLOOKUP(1,(VALUE(D2884)&gt;=VALUE(block!$C$3:$C$500))*(VALUE(D2884)&lt;VALUE(block!$C$3:$C$500)+VALUE(block!$D$3:$D$500)),block!$A$3:$A$500,"无匹配",0,1)</f>
        <v>76</v>
      </c>
      <c r="C2884" s="3" t="str">
        <f>B2884 &amp; "-" &amp; COUNTIF($B$2:B2884, B2884)</f>
        <v>76-23</v>
      </c>
      <c r="D2884" s="10">
        <v>21646</v>
      </c>
      <c r="E2884" s="1" t="s">
        <v>7201</v>
      </c>
      <c r="F2884" s="1" t="s">
        <v>7202</v>
      </c>
      <c r="G2884" s="1" t="s">
        <v>1840</v>
      </c>
      <c r="H2884" s="1" t="s">
        <v>1812</v>
      </c>
      <c r="I2884" s="10" t="str">
        <f>IF(H2884="T17",1,IF(H2884="T17",3,IF(H2884="T33",6,IF(H2884="T33",10,IF(H2884="T65",14,IF(H2884="T65",18,IF(H2884="T33",22,"")))))))</f>
        <v/>
      </c>
      <c r="J2884" s="1" t="s">
        <v>1808</v>
      </c>
      <c r="K2884" s="10">
        <v>2</v>
      </c>
      <c r="L2884" s="10">
        <v>1</v>
      </c>
      <c r="O2884" s="6"/>
      <c r="P2884" s="10">
        <v>6</v>
      </c>
      <c r="Q2884" s="42" t="s">
        <v>6870</v>
      </c>
      <c r="R2884" s="42"/>
      <c r="S2884" s="1"/>
    </row>
    <row r="2885" spans="1:19" ht="18.75" hidden="1" customHeight="1" x14ac:dyDescent="0.3">
      <c r="A2885" s="10">
        <v>2884</v>
      </c>
      <c r="B2885" s="10">
        <f>_xlfn.XLOOKUP(1,(VALUE(D2885)&gt;=VALUE(block!$C$3:$C$500))*(VALUE(D2885)&lt;VALUE(block!$C$3:$C$500)+VALUE(block!$D$3:$D$500)),block!$A$3:$A$500,"无匹配",0,1)</f>
        <v>76</v>
      </c>
      <c r="C2885" s="3" t="str">
        <f>B2885 &amp; "-" &amp; COUNTIF($B$2:B2885, B2885)</f>
        <v>76-24</v>
      </c>
      <c r="D2885" s="10">
        <v>21648</v>
      </c>
      <c r="E2885" s="1" t="s">
        <v>7203</v>
      </c>
      <c r="F2885" s="1" t="s">
        <v>7204</v>
      </c>
      <c r="H2885" s="3" t="s">
        <v>6767</v>
      </c>
      <c r="I2885" s="10" t="str">
        <f>IF(H2885="T18",1,IF(H2885="T18",3,IF(H2885="T34",6,IF(H2885="T34",10,IF(H2885="T66",14,IF(H2885="T66",18,IF(H2885="T34",22,"")))))))</f>
        <v/>
      </c>
      <c r="J2885" s="1" t="s">
        <v>1808</v>
      </c>
      <c r="K2885" s="10">
        <v>4</v>
      </c>
      <c r="L2885" s="10">
        <v>1</v>
      </c>
      <c r="O2885" s="6"/>
      <c r="Q2885" s="42" t="s">
        <v>6870</v>
      </c>
      <c r="R2885" s="42"/>
      <c r="S2885" s="1"/>
    </row>
    <row r="2886" spans="1:19" ht="18.75" hidden="1" customHeight="1" x14ac:dyDescent="0.3">
      <c r="A2886" s="10">
        <v>2885</v>
      </c>
      <c r="B2886" s="10">
        <f>_xlfn.XLOOKUP(1,(VALUE(D2886)&gt;=VALUE(block!$C$3:$C$500))*(VALUE(D2886)&lt;VALUE(block!$C$3:$C$500)+VALUE(block!$D$3:$D$500)),block!$A$3:$A$500,"无匹配",0,1)</f>
        <v>76</v>
      </c>
      <c r="C2886" s="3" t="str">
        <f>B2886 &amp; "-" &amp; COUNTIF($B$2:B2886, B2886)</f>
        <v>76-25</v>
      </c>
      <c r="D2886" s="10">
        <v>21652</v>
      </c>
      <c r="E2886" s="1" t="s">
        <v>7205</v>
      </c>
      <c r="F2886" s="1" t="s">
        <v>7206</v>
      </c>
      <c r="G2886" s="1" t="s">
        <v>1830</v>
      </c>
      <c r="H2886" s="1" t="s">
        <v>1812</v>
      </c>
      <c r="I2886" s="10" t="str">
        <f>IF(H2886="T19",1,IF(H2886="T19",3,IF(H2886="T35",6,IF(H2886="T35",10,IF(H2886="T67",14,IF(H2886="T67",18,IF(H2886="T35",22,"")))))))</f>
        <v/>
      </c>
      <c r="J2886" s="1" t="s">
        <v>1808</v>
      </c>
      <c r="K2886" s="10">
        <v>2</v>
      </c>
      <c r="L2886" s="10">
        <v>1</v>
      </c>
      <c r="O2886" s="6"/>
      <c r="P2886" s="10">
        <v>6</v>
      </c>
      <c r="Q2886" s="42" t="s">
        <v>6870</v>
      </c>
      <c r="R2886" s="42"/>
      <c r="S2886" s="1"/>
    </row>
    <row r="2887" spans="1:19" ht="18.75" hidden="1" customHeight="1" x14ac:dyDescent="0.3">
      <c r="A2887" s="10">
        <v>2886</v>
      </c>
      <c r="B2887" s="10">
        <f>_xlfn.XLOOKUP(1,(VALUE(D2887)&gt;=VALUE(block!$C$3:$C$500))*(VALUE(D2887)&lt;VALUE(block!$C$3:$C$500)+VALUE(block!$D$3:$D$500)),block!$A$3:$A$500,"无匹配",0,1)</f>
        <v>76</v>
      </c>
      <c r="C2887" s="3" t="str">
        <f>B2887 &amp; "-" &amp; COUNTIF($B$2:B2887, B2887)</f>
        <v>76-26</v>
      </c>
      <c r="D2887" s="10">
        <v>21654</v>
      </c>
      <c r="E2887" s="1" t="s">
        <v>7207</v>
      </c>
      <c r="F2887" s="1" t="s">
        <v>7208</v>
      </c>
      <c r="H2887" s="3" t="s">
        <v>6767</v>
      </c>
      <c r="I2887" s="10" t="str">
        <f>IF(H2887="T20",1,IF(H2887="T20",3,IF(H2887="T36",6,IF(H2887="T36",10,IF(H2887="T68",14,IF(H2887="T68",18,IF(H2887="T36",22,"")))))))</f>
        <v/>
      </c>
      <c r="J2887" s="1" t="s">
        <v>1808</v>
      </c>
      <c r="K2887" s="10">
        <v>4</v>
      </c>
      <c r="L2887" s="10">
        <v>1</v>
      </c>
      <c r="O2887" s="6"/>
      <c r="Q2887" s="42" t="s">
        <v>6870</v>
      </c>
      <c r="R2887" s="42"/>
      <c r="S2887" s="1"/>
    </row>
    <row r="2888" spans="1:19" ht="18.75" hidden="1" customHeight="1" x14ac:dyDescent="0.3">
      <c r="A2888" s="10">
        <v>2887</v>
      </c>
      <c r="B2888" s="10">
        <f>_xlfn.XLOOKUP(1,(VALUE(D2888)&gt;=VALUE(block!$C$3:$C$500))*(VALUE(D2888)&lt;VALUE(block!$C$3:$C$500)+VALUE(block!$D$3:$D$500)),block!$A$3:$A$500,"无匹配",0,1)</f>
        <v>76</v>
      </c>
      <c r="C2888" s="3" t="str">
        <f>B2888 &amp; "-" &amp; COUNTIF($B$2:B2888, B2888)</f>
        <v>76-27</v>
      </c>
      <c r="D2888" s="10">
        <v>21658</v>
      </c>
      <c r="E2888" s="1" t="s">
        <v>7209</v>
      </c>
      <c r="F2888" s="1" t="s">
        <v>7210</v>
      </c>
      <c r="G2888" s="1" t="s">
        <v>1832</v>
      </c>
      <c r="H2888" s="1" t="s">
        <v>1812</v>
      </c>
      <c r="I2888" s="10" t="str">
        <f>IF(H2888="T21",1,IF(H2888="T21",3,IF(H2888="T37",6,IF(H2888="T37",10,IF(H2888="T69",14,IF(H2888="T69",18,IF(H2888="T37",22,"")))))))</f>
        <v/>
      </c>
      <c r="J2888" s="1" t="s">
        <v>1808</v>
      </c>
      <c r="K2888" s="10">
        <v>2</v>
      </c>
      <c r="L2888" s="10">
        <v>1</v>
      </c>
      <c r="O2888" s="6"/>
      <c r="P2888" s="10">
        <v>6</v>
      </c>
      <c r="Q2888" s="42" t="s">
        <v>6870</v>
      </c>
      <c r="R2888" s="42"/>
      <c r="S2888" s="1"/>
    </row>
    <row r="2889" spans="1:19" ht="18.75" hidden="1" customHeight="1" x14ac:dyDescent="0.3">
      <c r="A2889" s="10">
        <v>2888</v>
      </c>
      <c r="B2889" s="10">
        <f>_xlfn.XLOOKUP(1,(VALUE(D2889)&gt;=VALUE(block!$C$3:$C$500))*(VALUE(D2889)&lt;VALUE(block!$C$3:$C$500)+VALUE(block!$D$3:$D$500)),block!$A$3:$A$500,"无匹配",0,1)</f>
        <v>76</v>
      </c>
      <c r="C2889" s="3" t="str">
        <f>B2889 &amp; "-" &amp; COUNTIF($B$2:B2889, B2889)</f>
        <v>76-28</v>
      </c>
      <c r="D2889" s="10">
        <v>21660</v>
      </c>
      <c r="E2889" s="1" t="s">
        <v>7211</v>
      </c>
      <c r="F2889" s="1" t="s">
        <v>7212</v>
      </c>
      <c r="H2889" s="3" t="s">
        <v>6767</v>
      </c>
      <c r="I2889" s="10" t="str">
        <f>IF(H2889="T22",1,IF(H2889="T22",3,IF(H2889="T38",6,IF(H2889="T38",10,IF(H2889="T70",14,IF(H2889="T70",18,IF(H2889="T38",22,"")))))))</f>
        <v/>
      </c>
      <c r="J2889" s="1" t="s">
        <v>1808</v>
      </c>
      <c r="K2889" s="10">
        <v>4</v>
      </c>
      <c r="L2889" s="10">
        <v>1</v>
      </c>
      <c r="O2889" s="6"/>
      <c r="Q2889" s="42" t="s">
        <v>6870</v>
      </c>
      <c r="R2889" s="42"/>
      <c r="S2889" s="1"/>
    </row>
    <row r="2890" spans="1:19" ht="18.75" hidden="1" customHeight="1" x14ac:dyDescent="0.3">
      <c r="A2890" s="10">
        <v>2889</v>
      </c>
      <c r="B2890" s="10">
        <f>_xlfn.XLOOKUP(1,(VALUE(D2890)&gt;=VALUE(block!$C$3:$C$500))*(VALUE(D2890)&lt;VALUE(block!$C$3:$C$500)+VALUE(block!$D$3:$D$500)),block!$A$3:$A$500,"无匹配",0,1)</f>
        <v>76</v>
      </c>
      <c r="C2890" s="3" t="str">
        <f>B2890 &amp; "-" &amp; COUNTIF($B$2:B2890, B2890)</f>
        <v>76-29</v>
      </c>
      <c r="D2890" s="10">
        <v>21664</v>
      </c>
      <c r="E2890" s="1" t="s">
        <v>7213</v>
      </c>
      <c r="F2890" s="1" t="s">
        <v>7214</v>
      </c>
      <c r="G2890" s="1" t="s">
        <v>1834</v>
      </c>
      <c r="H2890" s="1" t="s">
        <v>1812</v>
      </c>
      <c r="I2890" s="10" t="str">
        <f>IF(H2890="T23",1,IF(H2890="T23",3,IF(H2890="T39",6,IF(H2890="T39",10,IF(H2890="T71",14,IF(H2890="T71",18,IF(H2890="T39",22,"")))))))</f>
        <v/>
      </c>
      <c r="J2890" s="1" t="s">
        <v>1808</v>
      </c>
      <c r="K2890" s="10">
        <v>2</v>
      </c>
      <c r="L2890" s="10">
        <v>1</v>
      </c>
      <c r="O2890" s="6"/>
      <c r="P2890" s="10">
        <v>6</v>
      </c>
      <c r="Q2890" s="42" t="s">
        <v>6870</v>
      </c>
      <c r="R2890" s="42"/>
      <c r="S2890" s="1"/>
    </row>
    <row r="2891" spans="1:19" ht="18.75" hidden="1" customHeight="1" x14ac:dyDescent="0.3">
      <c r="A2891" s="10">
        <v>2890</v>
      </c>
      <c r="B2891" s="10">
        <f>_xlfn.XLOOKUP(1,(VALUE(D2891)&gt;=VALUE(block!$C$3:$C$500))*(VALUE(D2891)&lt;VALUE(block!$C$3:$C$500)+VALUE(block!$D$3:$D$500)),block!$A$3:$A$500,"无匹配",0,1)</f>
        <v>76</v>
      </c>
      <c r="C2891" s="3" t="str">
        <f>B2891 &amp; "-" &amp; COUNTIF($B$2:B2891, B2891)</f>
        <v>76-30</v>
      </c>
      <c r="D2891" s="10">
        <v>21666</v>
      </c>
      <c r="E2891" s="1" t="s">
        <v>7215</v>
      </c>
      <c r="F2891" s="1" t="s">
        <v>7216</v>
      </c>
      <c r="H2891" s="3" t="s">
        <v>6767</v>
      </c>
      <c r="I2891" s="10" t="str">
        <f>IF(H2891="T24",1,IF(H2891="T24",3,IF(H2891="T40",6,IF(H2891="T40",10,IF(H2891="T72",14,IF(H2891="T72",18,IF(H2891="T40",22,"")))))))</f>
        <v/>
      </c>
      <c r="J2891" s="1" t="s">
        <v>1808</v>
      </c>
      <c r="K2891" s="10">
        <v>4</v>
      </c>
      <c r="L2891" s="10">
        <v>1</v>
      </c>
      <c r="O2891" s="6"/>
      <c r="Q2891" s="42" t="s">
        <v>6870</v>
      </c>
      <c r="R2891" s="42"/>
      <c r="S2891" s="1"/>
    </row>
    <row r="2892" spans="1:19" ht="18.75" hidden="1" customHeight="1" x14ac:dyDescent="0.3">
      <c r="A2892" s="10">
        <v>2891</v>
      </c>
      <c r="B2892" s="10">
        <f>_xlfn.XLOOKUP(1,(VALUE(D2892)&gt;=VALUE(block!$C$3:$C$500))*(VALUE(D2892)&lt;VALUE(block!$C$3:$C$500)+VALUE(block!$D$3:$D$500)),block!$A$3:$A$500,"无匹配",0,1)</f>
        <v>76</v>
      </c>
      <c r="C2892" s="3" t="str">
        <f>B2892 &amp; "-" &amp; COUNTIF($B$2:B2892, B2892)</f>
        <v>76-31</v>
      </c>
      <c r="D2892" s="10">
        <v>21670</v>
      </c>
      <c r="E2892" s="1" t="s">
        <v>7217</v>
      </c>
      <c r="F2892" s="1" t="s">
        <v>7218</v>
      </c>
      <c r="G2892" s="1" t="s">
        <v>1836</v>
      </c>
      <c r="H2892" s="1" t="s">
        <v>1812</v>
      </c>
      <c r="I2892" s="10" t="str">
        <f>IF(H2892="T25",1,IF(H2892="T25",3,IF(H2892="T41",6,IF(H2892="T41",10,IF(H2892="T73",14,IF(H2892="T73",18,IF(H2892="T41",22,"")))))))</f>
        <v/>
      </c>
      <c r="J2892" s="1" t="s">
        <v>1808</v>
      </c>
      <c r="K2892" s="10">
        <v>2</v>
      </c>
      <c r="L2892" s="10">
        <v>1</v>
      </c>
      <c r="O2892" s="6"/>
      <c r="P2892" s="10">
        <v>6</v>
      </c>
      <c r="Q2892" s="42" t="s">
        <v>6870</v>
      </c>
      <c r="R2892" s="42"/>
      <c r="S2892" s="1"/>
    </row>
    <row r="2893" spans="1:19" ht="18.75" hidden="1" customHeight="1" x14ac:dyDescent="0.3">
      <c r="A2893" s="10">
        <v>2892</v>
      </c>
      <c r="B2893" s="10">
        <f>_xlfn.XLOOKUP(1,(VALUE(D2893)&gt;=VALUE(block!$C$3:$C$500))*(VALUE(D2893)&lt;VALUE(block!$C$3:$C$500)+VALUE(block!$D$3:$D$500)),block!$A$3:$A$500,"无匹配",0,1)</f>
        <v>76</v>
      </c>
      <c r="C2893" s="3" t="str">
        <f>B2893 &amp; "-" &amp; COUNTIF($B$2:B2893, B2893)</f>
        <v>76-32</v>
      </c>
      <c r="D2893" s="10">
        <v>21672</v>
      </c>
      <c r="E2893" s="1" t="s">
        <v>7219</v>
      </c>
      <c r="F2893" s="1" t="s">
        <v>7220</v>
      </c>
      <c r="H2893" s="3" t="s">
        <v>6767</v>
      </c>
      <c r="I2893" s="10" t="str">
        <f>IF(H2893="T26",1,IF(H2893="T26",3,IF(H2893="T42",6,IF(H2893="T42",10,IF(H2893="T74",14,IF(H2893="T74",18,IF(H2893="T42",22,"")))))))</f>
        <v/>
      </c>
      <c r="J2893" s="1" t="s">
        <v>1808</v>
      </c>
      <c r="K2893" s="10">
        <v>4</v>
      </c>
      <c r="L2893" s="10">
        <v>1</v>
      </c>
      <c r="O2893" s="6"/>
      <c r="Q2893" s="42" t="s">
        <v>6870</v>
      </c>
      <c r="R2893" s="42"/>
      <c r="S2893" s="1"/>
    </row>
    <row r="2894" spans="1:19" ht="18.75" hidden="1" customHeight="1" x14ac:dyDescent="0.3">
      <c r="A2894" s="10">
        <v>2893</v>
      </c>
      <c r="B2894" s="10">
        <f>_xlfn.XLOOKUP(1,(VALUE(D2894)&gt;=VALUE(block!$C$3:$C$500))*(VALUE(D2894)&lt;VALUE(block!$C$3:$C$500)+VALUE(block!$D$3:$D$500)),block!$A$3:$A$500,"无匹配",0,1)</f>
        <v>76</v>
      </c>
      <c r="C2894" s="3" t="str">
        <f>B2894 &amp; "-" &amp; COUNTIF($B$2:B2894, B2894)</f>
        <v>76-33</v>
      </c>
      <c r="D2894" s="10">
        <v>21676</v>
      </c>
      <c r="E2894" s="1" t="s">
        <v>7221</v>
      </c>
      <c r="F2894" s="1" t="s">
        <v>7222</v>
      </c>
      <c r="G2894" s="1" t="s">
        <v>1840</v>
      </c>
      <c r="H2894" s="1" t="s">
        <v>1812</v>
      </c>
      <c r="I2894" s="10" t="str">
        <f>IF(H2894="T27",1,IF(H2894="T27",3,IF(H2894="T43",6,IF(H2894="T43",10,IF(H2894="T75",14,IF(H2894="T75",18,IF(H2894="T43",22,"")))))))</f>
        <v/>
      </c>
      <c r="J2894" s="1" t="s">
        <v>1808</v>
      </c>
      <c r="K2894" s="10">
        <v>2</v>
      </c>
      <c r="L2894" s="10">
        <v>1</v>
      </c>
      <c r="O2894" s="6"/>
      <c r="P2894" s="10">
        <v>6</v>
      </c>
      <c r="Q2894" s="42" t="s">
        <v>6870</v>
      </c>
      <c r="R2894" s="42"/>
      <c r="S2894" s="1"/>
    </row>
    <row r="2895" spans="1:19" ht="18.75" hidden="1" customHeight="1" x14ac:dyDescent="0.3">
      <c r="A2895" s="10">
        <v>2894</v>
      </c>
      <c r="B2895" s="10">
        <f>_xlfn.XLOOKUP(1,(VALUE(D2895)&gt;=VALUE(block!$C$3:$C$500))*(VALUE(D2895)&lt;VALUE(block!$C$3:$C$500)+VALUE(block!$D$3:$D$500)),block!$A$3:$A$500,"无匹配",0,1)</f>
        <v>76</v>
      </c>
      <c r="C2895" s="3" t="str">
        <f>B2895 &amp; "-" &amp; COUNTIF($B$2:B2895, B2895)</f>
        <v>76-34</v>
      </c>
      <c r="D2895" s="10">
        <v>21678</v>
      </c>
      <c r="E2895" s="1" t="s">
        <v>7223</v>
      </c>
      <c r="F2895" s="1" t="s">
        <v>7224</v>
      </c>
      <c r="H2895" s="3" t="s">
        <v>6767</v>
      </c>
      <c r="I2895" s="10" t="str">
        <f>IF(H2895="T28",1,IF(H2895="T28",3,IF(H2895="T44",6,IF(H2895="T44",10,IF(H2895="T76",14,IF(H2895="T76",18,IF(H2895="T44",22,"")))))))</f>
        <v/>
      </c>
      <c r="J2895" s="1" t="s">
        <v>1808</v>
      </c>
      <c r="K2895" s="10">
        <v>4</v>
      </c>
      <c r="L2895" s="10">
        <v>1</v>
      </c>
      <c r="O2895" s="6"/>
      <c r="Q2895" s="42" t="s">
        <v>6870</v>
      </c>
      <c r="R2895" s="42"/>
      <c r="S2895" s="1"/>
    </row>
    <row r="2896" spans="1:19" ht="18.75" hidden="1" customHeight="1" x14ac:dyDescent="0.3">
      <c r="A2896" s="10">
        <v>2895</v>
      </c>
      <c r="B2896" s="10">
        <f>_xlfn.XLOOKUP(1,(VALUE(D2896)&gt;=VALUE(block!$C$3:$C$500))*(VALUE(D2896)&lt;VALUE(block!$C$3:$C$500)+VALUE(block!$D$3:$D$500)),block!$A$3:$A$500,"无匹配",0,1)</f>
        <v>76</v>
      </c>
      <c r="C2896" s="3" t="str">
        <f>B2896 &amp; "-" &amp; COUNTIF($B$2:B2896, B2896)</f>
        <v>76-35</v>
      </c>
      <c r="D2896" s="10">
        <v>21682</v>
      </c>
      <c r="E2896" s="1" t="s">
        <v>7225</v>
      </c>
      <c r="F2896" s="1" t="s">
        <v>7226</v>
      </c>
      <c r="G2896" s="1" t="s">
        <v>1840</v>
      </c>
      <c r="H2896" s="1" t="s">
        <v>1812</v>
      </c>
      <c r="I2896" s="10" t="str">
        <f>IF(H2896="T29",1,IF(H2896="T29",3,IF(H2896="T45",6,IF(H2896="T45",10,IF(H2896="T77",14,IF(H2896="T77",18,IF(H2896="T45",22,"")))))))</f>
        <v/>
      </c>
      <c r="J2896" s="1" t="s">
        <v>1808</v>
      </c>
      <c r="K2896" s="10">
        <v>2</v>
      </c>
      <c r="L2896" s="10">
        <v>1</v>
      </c>
      <c r="O2896" s="6"/>
      <c r="P2896" s="10">
        <v>6</v>
      </c>
      <c r="Q2896" s="42" t="s">
        <v>6870</v>
      </c>
      <c r="R2896" s="42"/>
      <c r="S2896" s="1"/>
    </row>
    <row r="2897" spans="1:19" ht="18.75" hidden="1" customHeight="1" x14ac:dyDescent="0.3">
      <c r="A2897" s="10">
        <v>2896</v>
      </c>
      <c r="B2897" s="10">
        <f>_xlfn.XLOOKUP(1,(VALUE(D2897)&gt;=VALUE(block!$C$3:$C$500))*(VALUE(D2897)&lt;VALUE(block!$C$3:$C$500)+VALUE(block!$D$3:$D$500)),block!$A$3:$A$500,"无匹配",0,1)</f>
        <v>76</v>
      </c>
      <c r="C2897" s="3" t="str">
        <f>B2897 &amp; "-" &amp; COUNTIF($B$2:B2897, B2897)</f>
        <v>76-36</v>
      </c>
      <c r="D2897" s="10">
        <v>21684</v>
      </c>
      <c r="E2897" s="1" t="s">
        <v>7227</v>
      </c>
      <c r="F2897" s="1" t="s">
        <v>7228</v>
      </c>
      <c r="H2897" s="3" t="s">
        <v>6767</v>
      </c>
      <c r="I2897" s="10" t="str">
        <f>IF(H2897="T30",1,IF(H2897="T30",3,IF(H2897="T46",6,IF(H2897="T46",10,IF(H2897="T78",14,IF(H2897="T78",18,IF(H2897="T46",22,"")))))))</f>
        <v/>
      </c>
      <c r="J2897" s="1" t="s">
        <v>1808</v>
      </c>
      <c r="K2897" s="10">
        <v>4</v>
      </c>
      <c r="L2897" s="10">
        <v>1</v>
      </c>
      <c r="O2897" s="6"/>
      <c r="Q2897" s="42" t="s">
        <v>6870</v>
      </c>
      <c r="R2897" s="42"/>
      <c r="S2897" s="1"/>
    </row>
    <row r="2898" spans="1:19" ht="18.75" hidden="1" customHeight="1" x14ac:dyDescent="0.3">
      <c r="A2898" s="10">
        <v>2897</v>
      </c>
      <c r="B2898" s="10">
        <f>_xlfn.XLOOKUP(1,(VALUE(D2898)&gt;=VALUE(block!$C$3:$C$500))*(VALUE(D2898)&lt;VALUE(block!$C$3:$C$500)+VALUE(block!$D$3:$D$500)),block!$A$3:$A$500,"无匹配",0,1)</f>
        <v>77</v>
      </c>
      <c r="C2898" s="3" t="str">
        <f>B2898 &amp; "-" &amp; COUNTIF($B$2:B2898, B2898)</f>
        <v>77-1</v>
      </c>
      <c r="D2898" s="10">
        <v>21688</v>
      </c>
      <c r="E2898" s="1" t="s">
        <v>7229</v>
      </c>
      <c r="F2898" s="1" t="s">
        <v>7230</v>
      </c>
      <c r="G2898" s="1" t="s">
        <v>1830</v>
      </c>
      <c r="H2898" s="1" t="s">
        <v>1812</v>
      </c>
      <c r="I2898" s="10" t="str">
        <f>IF(H2898="T31",1,IF(H2898="T31",3,IF(H2898="T47",6,IF(H2898="T47",10,IF(H2898="T79",14,IF(H2898="T79",18,IF(H2898="T47",22,"")))))))</f>
        <v/>
      </c>
      <c r="J2898" s="1" t="s">
        <v>1808</v>
      </c>
      <c r="K2898" s="10">
        <v>2</v>
      </c>
      <c r="L2898" s="10">
        <v>1</v>
      </c>
      <c r="O2898" s="6"/>
      <c r="P2898" s="10">
        <v>6</v>
      </c>
      <c r="Q2898" s="42" t="s">
        <v>6870</v>
      </c>
      <c r="R2898" s="42"/>
      <c r="S2898" s="1"/>
    </row>
    <row r="2899" spans="1:19" ht="18.75" hidden="1" customHeight="1" x14ac:dyDescent="0.3">
      <c r="A2899" s="10">
        <v>2898</v>
      </c>
      <c r="B2899" s="10">
        <f>_xlfn.XLOOKUP(1,(VALUE(D2899)&gt;=VALUE(block!$C$3:$C$500))*(VALUE(D2899)&lt;VALUE(block!$C$3:$C$500)+VALUE(block!$D$3:$D$500)),block!$A$3:$A$500,"无匹配",0,1)</f>
        <v>77</v>
      </c>
      <c r="C2899" s="3" t="str">
        <f>B2899 &amp; "-" &amp; COUNTIF($B$2:B2899, B2899)</f>
        <v>77-2</v>
      </c>
      <c r="D2899" s="10">
        <v>21690</v>
      </c>
      <c r="E2899" s="1" t="s">
        <v>7231</v>
      </c>
      <c r="F2899" s="1" t="s">
        <v>7232</v>
      </c>
      <c r="H2899" s="3" t="s">
        <v>6767</v>
      </c>
      <c r="I2899" s="10" t="str">
        <f>IF(H2899="T32",1,IF(H2899="T32",3,IF(H2899="T48",6,IF(H2899="T48",10,IF(H2899="T80",14,IF(H2899="T80",18,IF(H2899="T48",22,"")))))))</f>
        <v/>
      </c>
      <c r="J2899" s="1" t="s">
        <v>1808</v>
      </c>
      <c r="K2899" s="10">
        <v>4</v>
      </c>
      <c r="L2899" s="10">
        <v>1</v>
      </c>
      <c r="O2899" s="6"/>
      <c r="Q2899" s="42" t="s">
        <v>6870</v>
      </c>
      <c r="R2899" s="42"/>
      <c r="S2899" s="1"/>
    </row>
    <row r="2900" spans="1:19" ht="18.75" hidden="1" customHeight="1" x14ac:dyDescent="0.3">
      <c r="A2900" s="10">
        <v>2899</v>
      </c>
      <c r="B2900" s="10">
        <f>_xlfn.XLOOKUP(1,(VALUE(D2900)&gt;=VALUE(block!$C$3:$C$500))*(VALUE(D2900)&lt;VALUE(block!$C$3:$C$500)+VALUE(block!$D$3:$D$500)),block!$A$3:$A$500,"无匹配",0,1)</f>
        <v>77</v>
      </c>
      <c r="C2900" s="3" t="str">
        <f>B2900 &amp; "-" &amp; COUNTIF($B$2:B2900, B2900)</f>
        <v>77-3</v>
      </c>
      <c r="D2900" s="10">
        <v>21694</v>
      </c>
      <c r="E2900" s="1" t="s">
        <v>7233</v>
      </c>
      <c r="F2900" s="1" t="s">
        <v>7234</v>
      </c>
      <c r="G2900" s="1" t="s">
        <v>1832</v>
      </c>
      <c r="H2900" s="1" t="s">
        <v>1812</v>
      </c>
      <c r="I2900" s="10" t="str">
        <f>IF(H2900="T33",1,IF(H2900="T33",3,IF(H2900="T49",6,IF(H2900="T49",10,IF(H2900="T81",14,IF(H2900="T81",18,IF(H2900="T49",22,"")))))))</f>
        <v/>
      </c>
      <c r="J2900" s="1" t="s">
        <v>1808</v>
      </c>
      <c r="K2900" s="10">
        <v>2</v>
      </c>
      <c r="L2900" s="10">
        <v>1</v>
      </c>
      <c r="O2900" s="6"/>
      <c r="P2900" s="10">
        <v>6</v>
      </c>
      <c r="Q2900" s="42" t="s">
        <v>6870</v>
      </c>
      <c r="R2900" s="42"/>
      <c r="S2900" s="1"/>
    </row>
    <row r="2901" spans="1:19" ht="18.75" hidden="1" customHeight="1" x14ac:dyDescent="0.3">
      <c r="A2901" s="10">
        <v>2900</v>
      </c>
      <c r="B2901" s="10">
        <f>_xlfn.XLOOKUP(1,(VALUE(D2901)&gt;=VALUE(block!$C$3:$C$500))*(VALUE(D2901)&lt;VALUE(block!$C$3:$C$500)+VALUE(block!$D$3:$D$500)),block!$A$3:$A$500,"无匹配",0,1)</f>
        <v>77</v>
      </c>
      <c r="C2901" s="3" t="str">
        <f>B2901 &amp; "-" &amp; COUNTIF($B$2:B2901, B2901)</f>
        <v>77-4</v>
      </c>
      <c r="D2901" s="10">
        <v>21696</v>
      </c>
      <c r="E2901" s="1" t="s">
        <v>7235</v>
      </c>
      <c r="F2901" s="1" t="s">
        <v>7236</v>
      </c>
      <c r="H2901" s="3" t="s">
        <v>6767</v>
      </c>
      <c r="I2901" s="10" t="str">
        <f>IF(H2901="T34",1,IF(H2901="T34",3,IF(H2901="T50",6,IF(H2901="T50",10,IF(H2901="T82",14,IF(H2901="T82",18,IF(H2901="T50",22,"")))))))</f>
        <v/>
      </c>
      <c r="J2901" s="1" t="s">
        <v>1808</v>
      </c>
      <c r="K2901" s="10">
        <v>4</v>
      </c>
      <c r="L2901" s="10">
        <v>1</v>
      </c>
      <c r="O2901" s="6"/>
      <c r="Q2901" s="42" t="s">
        <v>6870</v>
      </c>
      <c r="R2901" s="42"/>
      <c r="S2901" s="1"/>
    </row>
    <row r="2902" spans="1:19" ht="18.75" hidden="1" customHeight="1" x14ac:dyDescent="0.3">
      <c r="A2902" s="10">
        <v>2901</v>
      </c>
      <c r="B2902" s="10">
        <f>_xlfn.XLOOKUP(1,(VALUE(D2902)&gt;=VALUE(block!$C$3:$C$500))*(VALUE(D2902)&lt;VALUE(block!$C$3:$C$500)+VALUE(block!$D$3:$D$500)),block!$A$3:$A$500,"无匹配",0,1)</f>
        <v>77</v>
      </c>
      <c r="C2902" s="3" t="str">
        <f>B2902 &amp; "-" &amp; COUNTIF($B$2:B2902, B2902)</f>
        <v>77-5</v>
      </c>
      <c r="D2902" s="10">
        <v>21700</v>
      </c>
      <c r="E2902" s="1" t="s">
        <v>7237</v>
      </c>
      <c r="F2902" s="1" t="s">
        <v>7238</v>
      </c>
      <c r="G2902" s="1" t="s">
        <v>1834</v>
      </c>
      <c r="H2902" s="1" t="s">
        <v>1812</v>
      </c>
      <c r="I2902" s="10" t="str">
        <f>IF(H2902="T35",1,IF(H2902="T35",3,IF(H2902="T51",6,IF(H2902="T51",10,IF(H2902="T83",14,IF(H2902="T83",18,IF(H2902="T51",22,"")))))))</f>
        <v/>
      </c>
      <c r="J2902" s="1" t="s">
        <v>1808</v>
      </c>
      <c r="K2902" s="10">
        <v>2</v>
      </c>
      <c r="L2902" s="10">
        <v>1</v>
      </c>
      <c r="O2902" s="6"/>
      <c r="P2902" s="10">
        <v>6</v>
      </c>
      <c r="Q2902" s="42" t="s">
        <v>6870</v>
      </c>
      <c r="R2902" s="42"/>
      <c r="S2902" s="1"/>
    </row>
    <row r="2903" spans="1:19" ht="18.75" hidden="1" customHeight="1" x14ac:dyDescent="0.3">
      <c r="A2903" s="10">
        <v>2902</v>
      </c>
      <c r="B2903" s="10">
        <f>_xlfn.XLOOKUP(1,(VALUE(D2903)&gt;=VALUE(block!$C$3:$C$500))*(VALUE(D2903)&lt;VALUE(block!$C$3:$C$500)+VALUE(block!$D$3:$D$500)),block!$A$3:$A$500,"无匹配",0,1)</f>
        <v>77</v>
      </c>
      <c r="C2903" s="3" t="str">
        <f>B2903 &amp; "-" &amp; COUNTIF($B$2:B2903, B2903)</f>
        <v>77-6</v>
      </c>
      <c r="D2903" s="10">
        <v>21702</v>
      </c>
      <c r="E2903" s="1" t="s">
        <v>7239</v>
      </c>
      <c r="F2903" s="1" t="s">
        <v>7240</v>
      </c>
      <c r="H2903" s="3" t="s">
        <v>6767</v>
      </c>
      <c r="I2903" s="10" t="str">
        <f>IF(H2903="T36",1,IF(H2903="T36",3,IF(H2903="T52",6,IF(H2903="T52",10,IF(H2903="T84",14,IF(H2903="T84",18,IF(H2903="T52",22,"")))))))</f>
        <v/>
      </c>
      <c r="J2903" s="1" t="s">
        <v>1808</v>
      </c>
      <c r="K2903" s="10">
        <v>4</v>
      </c>
      <c r="L2903" s="10">
        <v>1</v>
      </c>
      <c r="O2903" s="6"/>
      <c r="Q2903" s="42" t="s">
        <v>6870</v>
      </c>
      <c r="R2903" s="42"/>
      <c r="S2903" s="1"/>
    </row>
    <row r="2904" spans="1:19" ht="18.75" hidden="1" customHeight="1" x14ac:dyDescent="0.3">
      <c r="A2904" s="10">
        <v>2903</v>
      </c>
      <c r="B2904" s="10">
        <f>_xlfn.XLOOKUP(1,(VALUE(D2904)&gt;=VALUE(block!$C$3:$C$500))*(VALUE(D2904)&lt;VALUE(block!$C$3:$C$500)+VALUE(block!$D$3:$D$500)),block!$A$3:$A$500,"无匹配",0,1)</f>
        <v>77</v>
      </c>
      <c r="C2904" s="3" t="str">
        <f>B2904 &amp; "-" &amp; COUNTIF($B$2:B2904, B2904)</f>
        <v>77-7</v>
      </c>
      <c r="D2904" s="10">
        <v>21706</v>
      </c>
      <c r="E2904" s="1" t="s">
        <v>7241</v>
      </c>
      <c r="F2904" s="1" t="s">
        <v>7242</v>
      </c>
      <c r="G2904" s="1" t="s">
        <v>1836</v>
      </c>
      <c r="H2904" s="1" t="s">
        <v>1812</v>
      </c>
      <c r="I2904" s="10" t="str">
        <f>IF(H2904="T37",1,IF(H2904="T37",3,IF(H2904="T53",6,IF(H2904="T53",10,IF(H2904="T85",14,IF(H2904="T85",18,IF(H2904="T53",22,"")))))))</f>
        <v/>
      </c>
      <c r="J2904" s="1" t="s">
        <v>1808</v>
      </c>
      <c r="K2904" s="10">
        <v>2</v>
      </c>
      <c r="L2904" s="10">
        <v>1</v>
      </c>
      <c r="O2904" s="6"/>
      <c r="P2904" s="10">
        <v>6</v>
      </c>
      <c r="Q2904" s="42" t="s">
        <v>6870</v>
      </c>
      <c r="R2904" s="42"/>
      <c r="S2904" s="1"/>
    </row>
    <row r="2905" spans="1:19" ht="18.75" hidden="1" customHeight="1" x14ac:dyDescent="0.3">
      <c r="A2905" s="10">
        <v>2904</v>
      </c>
      <c r="B2905" s="10">
        <f>_xlfn.XLOOKUP(1,(VALUE(D2905)&gt;=VALUE(block!$C$3:$C$500))*(VALUE(D2905)&lt;VALUE(block!$C$3:$C$500)+VALUE(block!$D$3:$D$500)),block!$A$3:$A$500,"无匹配",0,1)</f>
        <v>77</v>
      </c>
      <c r="C2905" s="3" t="str">
        <f>B2905 &amp; "-" &amp; COUNTIF($B$2:B2905, B2905)</f>
        <v>77-8</v>
      </c>
      <c r="D2905" s="10">
        <v>21708</v>
      </c>
      <c r="E2905" s="1" t="s">
        <v>7243</v>
      </c>
      <c r="F2905" s="1" t="s">
        <v>7244</v>
      </c>
      <c r="H2905" s="3" t="s">
        <v>6767</v>
      </c>
      <c r="I2905" s="10" t="str">
        <f>IF(H2905="T38",1,IF(H2905="T38",3,IF(H2905="T54",6,IF(H2905="T54",10,IF(H2905="T86",14,IF(H2905="T86",18,IF(H2905="T54",22,"")))))))</f>
        <v/>
      </c>
      <c r="J2905" s="1" t="s">
        <v>1808</v>
      </c>
      <c r="K2905" s="10">
        <v>4</v>
      </c>
      <c r="L2905" s="10">
        <v>1</v>
      </c>
      <c r="O2905" s="6"/>
      <c r="Q2905" s="42" t="s">
        <v>6870</v>
      </c>
      <c r="R2905" s="42"/>
      <c r="S2905" s="1"/>
    </row>
    <row r="2906" spans="1:19" ht="18.75" hidden="1" customHeight="1" x14ac:dyDescent="0.3">
      <c r="A2906" s="10">
        <v>2905</v>
      </c>
      <c r="B2906" s="10">
        <f>_xlfn.XLOOKUP(1,(VALUE(D2906)&gt;=VALUE(block!$C$3:$C$500))*(VALUE(D2906)&lt;VALUE(block!$C$3:$C$500)+VALUE(block!$D$3:$D$500)),block!$A$3:$A$500,"无匹配",0,1)</f>
        <v>77</v>
      </c>
      <c r="C2906" s="3" t="str">
        <f>B2906 &amp; "-" &amp; COUNTIF($B$2:B2906, B2906)</f>
        <v>77-9</v>
      </c>
      <c r="D2906" s="10">
        <v>21712</v>
      </c>
      <c r="E2906" s="1" t="s">
        <v>7245</v>
      </c>
      <c r="F2906" s="1" t="s">
        <v>7246</v>
      </c>
      <c r="G2906" s="1" t="s">
        <v>1840</v>
      </c>
      <c r="H2906" s="1" t="s">
        <v>1812</v>
      </c>
      <c r="I2906" s="10" t="str">
        <f>IF(H2906="T39",1,IF(H2906="T39",3,IF(H2906="T55",6,IF(H2906="T55",10,IF(H2906="T87",14,IF(H2906="T87",18,IF(H2906="T55",22,"")))))))</f>
        <v/>
      </c>
      <c r="J2906" s="1" t="s">
        <v>1808</v>
      </c>
      <c r="K2906" s="10">
        <v>2</v>
      </c>
      <c r="L2906" s="10">
        <v>1</v>
      </c>
      <c r="O2906" s="6"/>
      <c r="P2906" s="10">
        <v>6</v>
      </c>
      <c r="Q2906" s="42" t="s">
        <v>6870</v>
      </c>
      <c r="R2906" s="42"/>
      <c r="S2906" s="1"/>
    </row>
    <row r="2907" spans="1:19" ht="18.75" hidden="1" customHeight="1" x14ac:dyDescent="0.3">
      <c r="A2907" s="10">
        <v>2906</v>
      </c>
      <c r="B2907" s="10">
        <f>_xlfn.XLOOKUP(1,(VALUE(D2907)&gt;=VALUE(block!$C$3:$C$500))*(VALUE(D2907)&lt;VALUE(block!$C$3:$C$500)+VALUE(block!$D$3:$D$500)),block!$A$3:$A$500,"无匹配",0,1)</f>
        <v>77</v>
      </c>
      <c r="C2907" s="3" t="str">
        <f>B2907 &amp; "-" &amp; COUNTIF($B$2:B2907, B2907)</f>
        <v>77-10</v>
      </c>
      <c r="D2907" s="10">
        <v>21714</v>
      </c>
      <c r="E2907" s="1" t="s">
        <v>7247</v>
      </c>
      <c r="F2907" s="1" t="s">
        <v>7248</v>
      </c>
      <c r="H2907" s="3" t="s">
        <v>6767</v>
      </c>
      <c r="I2907" s="10" t="str">
        <f>IF(H2907="T40",1,IF(H2907="T40",3,IF(H2907="T56",6,IF(H2907="T56",10,IF(H2907="T88",14,IF(H2907="T88",18,IF(H2907="T56",22,"")))))))</f>
        <v/>
      </c>
      <c r="J2907" s="1" t="s">
        <v>1808</v>
      </c>
      <c r="K2907" s="10">
        <v>4</v>
      </c>
      <c r="L2907" s="10">
        <v>1</v>
      </c>
      <c r="O2907" s="6"/>
      <c r="Q2907" s="42" t="s">
        <v>6870</v>
      </c>
      <c r="R2907" s="42"/>
      <c r="S2907" s="1"/>
    </row>
    <row r="2908" spans="1:19" ht="18.75" hidden="1" customHeight="1" x14ac:dyDescent="0.3">
      <c r="A2908" s="10">
        <v>2907</v>
      </c>
      <c r="B2908" s="10">
        <f>_xlfn.XLOOKUP(1,(VALUE(D2908)&gt;=VALUE(block!$C$3:$C$500))*(VALUE(D2908)&lt;VALUE(block!$C$3:$C$500)+VALUE(block!$D$3:$D$500)),block!$A$3:$A$500,"无匹配",0,1)</f>
        <v>77</v>
      </c>
      <c r="C2908" s="3" t="str">
        <f>B2908 &amp; "-" &amp; COUNTIF($B$2:B2908, B2908)</f>
        <v>77-11</v>
      </c>
      <c r="D2908" s="10">
        <v>21718</v>
      </c>
      <c r="E2908" s="1" t="s">
        <v>7249</v>
      </c>
      <c r="F2908" s="1" t="s">
        <v>7250</v>
      </c>
      <c r="G2908" s="1" t="s">
        <v>1840</v>
      </c>
      <c r="H2908" s="1" t="s">
        <v>1812</v>
      </c>
      <c r="I2908" s="10" t="str">
        <f>IF(H2908="T41",1,IF(H2908="T41",3,IF(H2908="T57",6,IF(H2908="T57",10,IF(H2908="T89",14,IF(H2908="T89",18,IF(H2908="T57",22,"")))))))</f>
        <v/>
      </c>
      <c r="J2908" s="1" t="s">
        <v>1808</v>
      </c>
      <c r="K2908" s="10">
        <v>2</v>
      </c>
      <c r="L2908" s="10">
        <v>1</v>
      </c>
      <c r="O2908" s="6"/>
      <c r="P2908" s="10">
        <v>6</v>
      </c>
      <c r="Q2908" s="42" t="s">
        <v>6870</v>
      </c>
      <c r="R2908" s="42"/>
      <c r="S2908" s="1"/>
    </row>
    <row r="2909" spans="1:19" ht="18.75" hidden="1" customHeight="1" x14ac:dyDescent="0.3">
      <c r="A2909" s="10">
        <v>2908</v>
      </c>
      <c r="B2909" s="10">
        <f>_xlfn.XLOOKUP(1,(VALUE(D2909)&gt;=VALUE(block!$C$3:$C$500))*(VALUE(D2909)&lt;VALUE(block!$C$3:$C$500)+VALUE(block!$D$3:$D$500)),block!$A$3:$A$500,"无匹配",0,1)</f>
        <v>77</v>
      </c>
      <c r="C2909" s="3" t="str">
        <f>B2909 &amp; "-" &amp; COUNTIF($B$2:B2909, B2909)</f>
        <v>77-12</v>
      </c>
      <c r="D2909" s="10">
        <v>21720</v>
      </c>
      <c r="E2909" s="1" t="s">
        <v>7251</v>
      </c>
      <c r="F2909" s="1" t="s">
        <v>7252</v>
      </c>
      <c r="H2909" s="3" t="s">
        <v>6767</v>
      </c>
      <c r="I2909" s="10" t="str">
        <f>IF(H2909="T42",1,IF(H2909="T42",3,IF(H2909="T58",6,IF(H2909="T58",10,IF(H2909="T90",14,IF(H2909="T90",18,IF(H2909="T58",22,"")))))))</f>
        <v/>
      </c>
      <c r="J2909" s="1" t="s">
        <v>1808</v>
      </c>
      <c r="K2909" s="10">
        <v>4</v>
      </c>
      <c r="L2909" s="10">
        <v>1</v>
      </c>
      <c r="O2909" s="6"/>
      <c r="Q2909" s="42" t="s">
        <v>6870</v>
      </c>
      <c r="R2909" s="42"/>
      <c r="S2909" s="1"/>
    </row>
    <row r="2910" spans="1:19" ht="18.75" hidden="1" customHeight="1" x14ac:dyDescent="0.3">
      <c r="A2910" s="10">
        <v>2909</v>
      </c>
      <c r="B2910" s="10">
        <f>_xlfn.XLOOKUP(1,(VALUE(D2910)&gt;=VALUE(block!$C$3:$C$500))*(VALUE(D2910)&lt;VALUE(block!$C$3:$C$500)+VALUE(block!$D$3:$D$500)),block!$A$3:$A$500,"无匹配",0,1)</f>
        <v>77</v>
      </c>
      <c r="C2910" s="3" t="str">
        <f>B2910 &amp; "-" &amp; COUNTIF($B$2:B2910, B2910)</f>
        <v>77-13</v>
      </c>
      <c r="D2910" s="10">
        <v>21724</v>
      </c>
      <c r="E2910" s="1" t="s">
        <v>7253</v>
      </c>
      <c r="F2910" s="1" t="s">
        <v>7254</v>
      </c>
      <c r="G2910" s="1" t="s">
        <v>1830</v>
      </c>
      <c r="H2910" s="1" t="s">
        <v>1812</v>
      </c>
      <c r="I2910" s="10" t="str">
        <f>IF(H2910="T43",1,IF(H2910="T43",3,IF(H2910="T59",6,IF(H2910="T59",10,IF(H2910="T91",14,IF(H2910="T91",18,IF(H2910="T59",22,"")))))))</f>
        <v/>
      </c>
      <c r="J2910" s="1" t="s">
        <v>1808</v>
      </c>
      <c r="K2910" s="10">
        <v>2</v>
      </c>
      <c r="L2910" s="10">
        <v>1</v>
      </c>
      <c r="O2910" s="6"/>
      <c r="P2910" s="10">
        <v>6</v>
      </c>
      <c r="Q2910" s="42" t="s">
        <v>6870</v>
      </c>
      <c r="R2910" s="42"/>
      <c r="S2910" s="1"/>
    </row>
    <row r="2911" spans="1:19" ht="18.75" hidden="1" customHeight="1" x14ac:dyDescent="0.3">
      <c r="A2911" s="10">
        <v>2910</v>
      </c>
      <c r="B2911" s="10">
        <f>_xlfn.XLOOKUP(1,(VALUE(D2911)&gt;=VALUE(block!$C$3:$C$500))*(VALUE(D2911)&lt;VALUE(block!$C$3:$C$500)+VALUE(block!$D$3:$D$500)),block!$A$3:$A$500,"无匹配",0,1)</f>
        <v>77</v>
      </c>
      <c r="C2911" s="3" t="str">
        <f>B2911 &amp; "-" &amp; COUNTIF($B$2:B2911, B2911)</f>
        <v>77-14</v>
      </c>
      <c r="D2911" s="10">
        <v>21726</v>
      </c>
      <c r="E2911" s="1" t="s">
        <v>7255</v>
      </c>
      <c r="F2911" s="1" t="s">
        <v>7256</v>
      </c>
      <c r="H2911" s="3" t="s">
        <v>6767</v>
      </c>
      <c r="I2911" s="10" t="str">
        <f>IF(H2911="T44",1,IF(H2911="T44",3,IF(H2911="T60",6,IF(H2911="T60",10,IF(H2911="T92",14,IF(H2911="T92",18,IF(H2911="T60",22,"")))))))</f>
        <v/>
      </c>
      <c r="J2911" s="1" t="s">
        <v>1808</v>
      </c>
      <c r="K2911" s="10">
        <v>4</v>
      </c>
      <c r="L2911" s="10">
        <v>1</v>
      </c>
      <c r="O2911" s="6"/>
      <c r="Q2911" s="42" t="s">
        <v>6870</v>
      </c>
      <c r="R2911" s="42"/>
      <c r="S2911" s="1"/>
    </row>
    <row r="2912" spans="1:19" ht="18.75" hidden="1" customHeight="1" x14ac:dyDescent="0.3">
      <c r="A2912" s="10">
        <v>2911</v>
      </c>
      <c r="B2912" s="10">
        <f>_xlfn.XLOOKUP(1,(VALUE(D2912)&gt;=VALUE(block!$C$3:$C$500))*(VALUE(D2912)&lt;VALUE(block!$C$3:$C$500)+VALUE(block!$D$3:$D$500)),block!$A$3:$A$500,"无匹配",0,1)</f>
        <v>77</v>
      </c>
      <c r="C2912" s="3" t="str">
        <f>B2912 &amp; "-" &amp; COUNTIF($B$2:B2912, B2912)</f>
        <v>77-15</v>
      </c>
      <c r="D2912" s="10">
        <v>21730</v>
      </c>
      <c r="E2912" s="1" t="s">
        <v>7257</v>
      </c>
      <c r="F2912" s="1" t="s">
        <v>7258</v>
      </c>
      <c r="G2912" s="1" t="s">
        <v>1832</v>
      </c>
      <c r="H2912" s="1" t="s">
        <v>1812</v>
      </c>
      <c r="I2912" s="10" t="str">
        <f>IF(H2912="T45",1,IF(H2912="T45",3,IF(H2912="T61",6,IF(H2912="T61",10,IF(H2912="T93",14,IF(H2912="T93",18,IF(H2912="T61",22,"")))))))</f>
        <v/>
      </c>
      <c r="J2912" s="1" t="s">
        <v>1808</v>
      </c>
      <c r="K2912" s="10">
        <v>2</v>
      </c>
      <c r="L2912" s="10">
        <v>1</v>
      </c>
      <c r="O2912" s="6"/>
      <c r="P2912" s="10">
        <v>6</v>
      </c>
      <c r="Q2912" s="42" t="s">
        <v>6870</v>
      </c>
      <c r="R2912" s="42"/>
      <c r="S2912" s="1"/>
    </row>
    <row r="2913" spans="1:19" ht="18.75" hidden="1" customHeight="1" x14ac:dyDescent="0.3">
      <c r="A2913" s="10">
        <v>2912</v>
      </c>
      <c r="B2913" s="10">
        <f>_xlfn.XLOOKUP(1,(VALUE(D2913)&gt;=VALUE(block!$C$3:$C$500))*(VALUE(D2913)&lt;VALUE(block!$C$3:$C$500)+VALUE(block!$D$3:$D$500)),block!$A$3:$A$500,"无匹配",0,1)</f>
        <v>77</v>
      </c>
      <c r="C2913" s="3" t="str">
        <f>B2913 &amp; "-" &amp; COUNTIF($B$2:B2913, B2913)</f>
        <v>77-16</v>
      </c>
      <c r="D2913" s="10">
        <v>21732</v>
      </c>
      <c r="E2913" s="1" t="s">
        <v>7259</v>
      </c>
      <c r="F2913" s="1" t="s">
        <v>7260</v>
      </c>
      <c r="H2913" s="3" t="s">
        <v>6767</v>
      </c>
      <c r="I2913" s="10" t="str">
        <f>IF(H2913="T46",1,IF(H2913="T46",3,IF(H2913="T62",6,IF(H2913="T62",10,IF(H2913="T94",14,IF(H2913="T94",18,IF(H2913="T62",22,"")))))))</f>
        <v/>
      </c>
      <c r="J2913" s="1" t="s">
        <v>1808</v>
      </c>
      <c r="K2913" s="10">
        <v>4</v>
      </c>
      <c r="L2913" s="10">
        <v>1</v>
      </c>
      <c r="O2913" s="6"/>
      <c r="Q2913" s="42" t="s">
        <v>6870</v>
      </c>
      <c r="R2913" s="42"/>
      <c r="S2913" s="1"/>
    </row>
    <row r="2914" spans="1:19" ht="18.75" hidden="1" customHeight="1" x14ac:dyDescent="0.3">
      <c r="A2914" s="10">
        <v>2913</v>
      </c>
      <c r="B2914" s="10">
        <f>_xlfn.XLOOKUP(1,(VALUE(D2914)&gt;=VALUE(block!$C$3:$C$500))*(VALUE(D2914)&lt;VALUE(block!$C$3:$C$500)+VALUE(block!$D$3:$D$500)),block!$A$3:$A$500,"无匹配",0,1)</f>
        <v>77</v>
      </c>
      <c r="C2914" s="3" t="str">
        <f>B2914 &amp; "-" &amp; COUNTIF($B$2:B2914, B2914)</f>
        <v>77-17</v>
      </c>
      <c r="D2914" s="10">
        <v>21736</v>
      </c>
      <c r="E2914" s="1" t="s">
        <v>7261</v>
      </c>
      <c r="F2914" s="1" t="s">
        <v>7262</v>
      </c>
      <c r="G2914" s="1" t="s">
        <v>1834</v>
      </c>
      <c r="H2914" s="1" t="s">
        <v>1812</v>
      </c>
      <c r="I2914" s="10" t="str">
        <f>IF(H2914="T47",1,IF(H2914="T47",3,IF(H2914="T63",6,IF(H2914="T63",10,IF(H2914="T95",14,IF(H2914="T95",18,IF(H2914="T63",22,"")))))))</f>
        <v/>
      </c>
      <c r="J2914" s="1" t="s">
        <v>1808</v>
      </c>
      <c r="K2914" s="10">
        <v>2</v>
      </c>
      <c r="L2914" s="10">
        <v>1</v>
      </c>
      <c r="O2914" s="6"/>
      <c r="P2914" s="10">
        <v>6</v>
      </c>
      <c r="Q2914" s="42" t="s">
        <v>6870</v>
      </c>
      <c r="R2914" s="42"/>
      <c r="S2914" s="1"/>
    </row>
    <row r="2915" spans="1:19" ht="18.75" hidden="1" customHeight="1" x14ac:dyDescent="0.3">
      <c r="A2915" s="10">
        <v>2914</v>
      </c>
      <c r="B2915" s="10">
        <f>_xlfn.XLOOKUP(1,(VALUE(D2915)&gt;=VALUE(block!$C$3:$C$500))*(VALUE(D2915)&lt;VALUE(block!$C$3:$C$500)+VALUE(block!$D$3:$D$500)),block!$A$3:$A$500,"无匹配",0,1)</f>
        <v>77</v>
      </c>
      <c r="C2915" s="3" t="str">
        <f>B2915 &amp; "-" &amp; COUNTIF($B$2:B2915, B2915)</f>
        <v>77-18</v>
      </c>
      <c r="D2915" s="10">
        <v>21738</v>
      </c>
      <c r="E2915" s="1" t="s">
        <v>7263</v>
      </c>
      <c r="F2915" s="1" t="s">
        <v>7264</v>
      </c>
      <c r="H2915" s="3" t="s">
        <v>6767</v>
      </c>
      <c r="I2915" s="10" t="str">
        <f>IF(H2915="T48",1,IF(H2915="T48",3,IF(H2915="T64",6,IF(H2915="T64",10,IF(H2915="T96",14,IF(H2915="T96",18,IF(H2915="T64",22,"")))))))</f>
        <v/>
      </c>
      <c r="J2915" s="1" t="s">
        <v>1808</v>
      </c>
      <c r="K2915" s="10">
        <v>4</v>
      </c>
      <c r="L2915" s="10">
        <v>1</v>
      </c>
      <c r="O2915" s="6"/>
      <c r="Q2915" s="42" t="s">
        <v>6870</v>
      </c>
      <c r="R2915" s="42"/>
      <c r="S2915" s="1"/>
    </row>
    <row r="2916" spans="1:19" ht="18.75" hidden="1" customHeight="1" x14ac:dyDescent="0.3">
      <c r="A2916" s="10">
        <v>2915</v>
      </c>
      <c r="B2916" s="10">
        <f>_xlfn.XLOOKUP(1,(VALUE(D2916)&gt;=VALUE(block!$C$3:$C$500))*(VALUE(D2916)&lt;VALUE(block!$C$3:$C$500)+VALUE(block!$D$3:$D$500)),block!$A$3:$A$500,"无匹配",0,1)</f>
        <v>77</v>
      </c>
      <c r="C2916" s="3" t="str">
        <f>B2916 &amp; "-" &amp; COUNTIF($B$2:B2916, B2916)</f>
        <v>77-19</v>
      </c>
      <c r="D2916" s="10">
        <v>21742</v>
      </c>
      <c r="E2916" s="1" t="s">
        <v>7265</v>
      </c>
      <c r="F2916" s="1" t="s">
        <v>7266</v>
      </c>
      <c r="G2916" s="1" t="s">
        <v>1836</v>
      </c>
      <c r="H2916" s="1" t="s">
        <v>1812</v>
      </c>
      <c r="I2916" s="10" t="str">
        <f>IF(H2916="T49",1,IF(H2916="T49",3,IF(H2916="T65",6,IF(H2916="T65",10,IF(H2916="T97",14,IF(H2916="T97",18,IF(H2916="T65",22,"")))))))</f>
        <v/>
      </c>
      <c r="J2916" s="1" t="s">
        <v>1808</v>
      </c>
      <c r="K2916" s="10">
        <v>2</v>
      </c>
      <c r="L2916" s="10">
        <v>1</v>
      </c>
      <c r="O2916" s="6"/>
      <c r="P2916" s="10">
        <v>6</v>
      </c>
      <c r="Q2916" s="42" t="s">
        <v>6870</v>
      </c>
      <c r="R2916" s="42"/>
      <c r="S2916" s="1"/>
    </row>
    <row r="2917" spans="1:19" ht="18.75" hidden="1" customHeight="1" x14ac:dyDescent="0.3">
      <c r="A2917" s="10">
        <v>2916</v>
      </c>
      <c r="B2917" s="10">
        <f>_xlfn.XLOOKUP(1,(VALUE(D2917)&gt;=VALUE(block!$C$3:$C$500))*(VALUE(D2917)&lt;VALUE(block!$C$3:$C$500)+VALUE(block!$D$3:$D$500)),block!$A$3:$A$500,"无匹配",0,1)</f>
        <v>77</v>
      </c>
      <c r="C2917" s="3" t="str">
        <f>B2917 &amp; "-" &amp; COUNTIF($B$2:B2917, B2917)</f>
        <v>77-20</v>
      </c>
      <c r="D2917" s="10">
        <v>21744</v>
      </c>
      <c r="E2917" s="1" t="s">
        <v>7267</v>
      </c>
      <c r="F2917" s="1" t="s">
        <v>7268</v>
      </c>
      <c r="H2917" s="3" t="s">
        <v>6767</v>
      </c>
      <c r="I2917" s="10" t="str">
        <f>IF(H2917="T50",1,IF(H2917="T50",3,IF(H2917="T66",6,IF(H2917="T66",10,IF(H2917="T98",14,IF(H2917="T98",18,IF(H2917="T66",22,"")))))))</f>
        <v/>
      </c>
      <c r="J2917" s="1" t="s">
        <v>1808</v>
      </c>
      <c r="K2917" s="10">
        <v>4</v>
      </c>
      <c r="L2917" s="10">
        <v>1</v>
      </c>
      <c r="O2917" s="6"/>
      <c r="Q2917" s="42" t="s">
        <v>6870</v>
      </c>
      <c r="R2917" s="42"/>
      <c r="S2917" s="1"/>
    </row>
    <row r="2918" spans="1:19" ht="18.75" hidden="1" customHeight="1" x14ac:dyDescent="0.3">
      <c r="A2918" s="10">
        <v>2917</v>
      </c>
      <c r="B2918" s="10">
        <f>_xlfn.XLOOKUP(1,(VALUE(D2918)&gt;=VALUE(block!$C$3:$C$500))*(VALUE(D2918)&lt;VALUE(block!$C$3:$C$500)+VALUE(block!$D$3:$D$500)),block!$A$3:$A$500,"无匹配",0,1)</f>
        <v>77</v>
      </c>
      <c r="C2918" s="3" t="str">
        <f>B2918 &amp; "-" &amp; COUNTIF($B$2:B2918, B2918)</f>
        <v>77-21</v>
      </c>
      <c r="D2918" s="10">
        <v>21748</v>
      </c>
      <c r="E2918" s="1" t="s">
        <v>7269</v>
      </c>
      <c r="F2918" s="1" t="s">
        <v>7270</v>
      </c>
      <c r="G2918" s="1" t="s">
        <v>1840</v>
      </c>
      <c r="H2918" s="1" t="s">
        <v>1812</v>
      </c>
      <c r="I2918" s="10" t="str">
        <f>IF(H2918="T51",1,IF(H2918="T51",3,IF(H2918="T67",6,IF(H2918="T67",10,IF(H2918="T99",14,IF(H2918="T99",18,IF(H2918="T67",22,"")))))))</f>
        <v/>
      </c>
      <c r="J2918" s="1" t="s">
        <v>1808</v>
      </c>
      <c r="K2918" s="10">
        <v>2</v>
      </c>
      <c r="L2918" s="10">
        <v>1</v>
      </c>
      <c r="O2918" s="6"/>
      <c r="P2918" s="10">
        <v>6</v>
      </c>
      <c r="Q2918" s="42" t="s">
        <v>6870</v>
      </c>
      <c r="R2918" s="42"/>
      <c r="S2918" s="1"/>
    </row>
    <row r="2919" spans="1:19" ht="18.75" hidden="1" customHeight="1" x14ac:dyDescent="0.3">
      <c r="A2919" s="10">
        <v>2918</v>
      </c>
      <c r="B2919" s="10">
        <f>_xlfn.XLOOKUP(1,(VALUE(D2919)&gt;=VALUE(block!$C$3:$C$500))*(VALUE(D2919)&lt;VALUE(block!$C$3:$C$500)+VALUE(block!$D$3:$D$500)),block!$A$3:$A$500,"无匹配",0,1)</f>
        <v>77</v>
      </c>
      <c r="C2919" s="3" t="str">
        <f>B2919 &amp; "-" &amp; COUNTIF($B$2:B2919, B2919)</f>
        <v>77-22</v>
      </c>
      <c r="D2919" s="10">
        <v>21750</v>
      </c>
      <c r="E2919" s="1" t="s">
        <v>7271</v>
      </c>
      <c r="F2919" s="1" t="s">
        <v>7272</v>
      </c>
      <c r="H2919" s="3" t="s">
        <v>6767</v>
      </c>
      <c r="I2919" s="10" t="str">
        <f>IF(H2919="T52",1,IF(H2919="T52",3,IF(H2919="T68",6,IF(H2919="T68",10,IF(H2919="T100",14,IF(H2919="T100",18,IF(H2919="T68",22,"")))))))</f>
        <v/>
      </c>
      <c r="J2919" s="1" t="s">
        <v>1808</v>
      </c>
      <c r="K2919" s="10">
        <v>4</v>
      </c>
      <c r="L2919" s="10">
        <v>1</v>
      </c>
      <c r="O2919" s="6"/>
      <c r="Q2919" s="42" t="s">
        <v>6870</v>
      </c>
      <c r="R2919" s="42"/>
      <c r="S2919" s="1"/>
    </row>
    <row r="2920" spans="1:19" ht="18.75" hidden="1" customHeight="1" x14ac:dyDescent="0.3">
      <c r="A2920" s="10">
        <v>2919</v>
      </c>
      <c r="B2920" s="10">
        <f>_xlfn.XLOOKUP(1,(VALUE(D2920)&gt;=VALUE(block!$C$3:$C$500))*(VALUE(D2920)&lt;VALUE(block!$C$3:$C$500)+VALUE(block!$D$3:$D$500)),block!$A$3:$A$500,"无匹配",0,1)</f>
        <v>77</v>
      </c>
      <c r="C2920" s="3" t="str">
        <f>B2920 &amp; "-" &amp; COUNTIF($B$2:B2920, B2920)</f>
        <v>77-23</v>
      </c>
      <c r="D2920" s="10">
        <v>21754</v>
      </c>
      <c r="E2920" s="1" t="s">
        <v>7273</v>
      </c>
      <c r="F2920" s="1" t="s">
        <v>7274</v>
      </c>
      <c r="G2920" s="1" t="s">
        <v>1840</v>
      </c>
      <c r="H2920" s="1" t="s">
        <v>1812</v>
      </c>
      <c r="I2920" s="10" t="str">
        <f>IF(H2920="T53",1,IF(H2920="T53",3,IF(H2920="T69",6,IF(H2920="T69",10,IF(H2920="T101",14,IF(H2920="T101",18,IF(H2920="T69",22,"")))))))</f>
        <v/>
      </c>
      <c r="J2920" s="1" t="s">
        <v>1808</v>
      </c>
      <c r="K2920" s="10">
        <v>2</v>
      </c>
      <c r="L2920" s="10">
        <v>1</v>
      </c>
      <c r="O2920" s="6"/>
      <c r="P2920" s="10">
        <v>6</v>
      </c>
      <c r="Q2920" s="42" t="s">
        <v>6870</v>
      </c>
      <c r="R2920" s="42"/>
      <c r="S2920" s="1"/>
    </row>
    <row r="2921" spans="1:19" ht="18.75" hidden="1" customHeight="1" x14ac:dyDescent="0.3">
      <c r="A2921" s="10">
        <v>2920</v>
      </c>
      <c r="B2921" s="10">
        <f>_xlfn.XLOOKUP(1,(VALUE(D2921)&gt;=VALUE(block!$C$3:$C$500))*(VALUE(D2921)&lt;VALUE(block!$C$3:$C$500)+VALUE(block!$D$3:$D$500)),block!$A$3:$A$500,"无匹配",0,1)</f>
        <v>77</v>
      </c>
      <c r="C2921" s="3" t="str">
        <f>B2921 &amp; "-" &amp; COUNTIF($B$2:B2921, B2921)</f>
        <v>77-24</v>
      </c>
      <c r="D2921" s="10">
        <v>21756</v>
      </c>
      <c r="E2921" s="1" t="s">
        <v>7275</v>
      </c>
      <c r="F2921" s="1" t="s">
        <v>7276</v>
      </c>
      <c r="H2921" s="3" t="s">
        <v>6767</v>
      </c>
      <c r="I2921" s="10" t="str">
        <f>IF(H2921="T54",1,IF(H2921="T54",3,IF(H2921="T70",6,IF(H2921="T70",10,IF(H2921="T102",14,IF(H2921="T102",18,IF(H2921="T70",22,"")))))))</f>
        <v/>
      </c>
      <c r="J2921" s="1" t="s">
        <v>1808</v>
      </c>
      <c r="K2921" s="10">
        <v>4</v>
      </c>
      <c r="L2921" s="10">
        <v>1</v>
      </c>
      <c r="O2921" s="6"/>
      <c r="Q2921" s="42" t="s">
        <v>6870</v>
      </c>
      <c r="R2921" s="42"/>
      <c r="S2921" s="1"/>
    </row>
    <row r="2922" spans="1:19" ht="18.75" hidden="1" customHeight="1" x14ac:dyDescent="0.3">
      <c r="A2922" s="10">
        <v>2921</v>
      </c>
      <c r="B2922" s="10">
        <f>_xlfn.XLOOKUP(1,(VALUE(D2922)&gt;=VALUE(block!$C$3:$C$500))*(VALUE(D2922)&lt;VALUE(block!$C$3:$C$500)+VALUE(block!$D$3:$D$500)),block!$A$3:$A$500,"无匹配",0,1)</f>
        <v>77</v>
      </c>
      <c r="C2922" s="3" t="str">
        <f>B2922 &amp; "-" &amp; COUNTIF($B$2:B2922, B2922)</f>
        <v>77-25</v>
      </c>
      <c r="D2922" s="10">
        <v>21760</v>
      </c>
      <c r="E2922" s="1" t="s">
        <v>7277</v>
      </c>
      <c r="F2922" s="1" t="s">
        <v>7278</v>
      </c>
      <c r="G2922" s="1" t="s">
        <v>1830</v>
      </c>
      <c r="H2922" s="1" t="s">
        <v>1812</v>
      </c>
      <c r="I2922" s="10" t="str">
        <f>IF(H2922="T55",1,IF(H2922="T55",3,IF(H2922="T71",6,IF(H2922="T71",10,IF(H2922="T103",14,IF(H2922="T103",18,IF(H2922="T71",22,"")))))))</f>
        <v/>
      </c>
      <c r="J2922" s="1" t="s">
        <v>1808</v>
      </c>
      <c r="K2922" s="10">
        <v>2</v>
      </c>
      <c r="L2922" s="10">
        <v>1</v>
      </c>
      <c r="O2922" s="6"/>
      <c r="P2922" s="10">
        <v>6</v>
      </c>
      <c r="Q2922" s="42" t="s">
        <v>6870</v>
      </c>
      <c r="R2922" s="42"/>
      <c r="S2922" s="1"/>
    </row>
    <row r="2923" spans="1:19" ht="18.75" hidden="1" customHeight="1" x14ac:dyDescent="0.3">
      <c r="A2923" s="10">
        <v>2922</v>
      </c>
      <c r="B2923" s="10">
        <f>_xlfn.XLOOKUP(1,(VALUE(D2923)&gt;=VALUE(block!$C$3:$C$500))*(VALUE(D2923)&lt;VALUE(block!$C$3:$C$500)+VALUE(block!$D$3:$D$500)),block!$A$3:$A$500,"无匹配",0,1)</f>
        <v>77</v>
      </c>
      <c r="C2923" s="3" t="str">
        <f>B2923 &amp; "-" &amp; COUNTIF($B$2:B2923, B2923)</f>
        <v>77-26</v>
      </c>
      <c r="D2923" s="10">
        <v>21762</v>
      </c>
      <c r="E2923" s="1" t="s">
        <v>7279</v>
      </c>
      <c r="F2923" s="1" t="s">
        <v>7280</v>
      </c>
      <c r="H2923" s="3" t="s">
        <v>6767</v>
      </c>
      <c r="I2923" s="10" t="str">
        <f>IF(H2923="T56",1,IF(H2923="T56",3,IF(H2923="T72",6,IF(H2923="T72",10,IF(H2923="T104",14,IF(H2923="T104",18,IF(H2923="T72",22,"")))))))</f>
        <v/>
      </c>
      <c r="J2923" s="1" t="s">
        <v>1808</v>
      </c>
      <c r="K2923" s="10">
        <v>4</v>
      </c>
      <c r="L2923" s="10">
        <v>1</v>
      </c>
      <c r="O2923" s="6"/>
      <c r="Q2923" s="42" t="s">
        <v>6870</v>
      </c>
      <c r="R2923" s="42"/>
      <c r="S2923" s="1"/>
    </row>
    <row r="2924" spans="1:19" ht="18.75" hidden="1" customHeight="1" x14ac:dyDescent="0.3">
      <c r="A2924" s="10">
        <v>2923</v>
      </c>
      <c r="B2924" s="10">
        <f>_xlfn.XLOOKUP(1,(VALUE(D2924)&gt;=VALUE(block!$C$3:$C$500))*(VALUE(D2924)&lt;VALUE(block!$C$3:$C$500)+VALUE(block!$D$3:$D$500)),block!$A$3:$A$500,"无匹配",0,1)</f>
        <v>77</v>
      </c>
      <c r="C2924" s="3" t="str">
        <f>B2924 &amp; "-" &amp; COUNTIF($B$2:B2924, B2924)</f>
        <v>77-27</v>
      </c>
      <c r="D2924" s="10">
        <v>21766</v>
      </c>
      <c r="E2924" s="1" t="s">
        <v>7281</v>
      </c>
      <c r="F2924" s="1" t="s">
        <v>7282</v>
      </c>
      <c r="G2924" s="1" t="s">
        <v>1832</v>
      </c>
      <c r="H2924" s="1" t="s">
        <v>1812</v>
      </c>
      <c r="I2924" s="10" t="str">
        <f>IF(H2924="T57",1,IF(H2924="T57",3,IF(H2924="T73",6,IF(H2924="T73",10,IF(H2924="T105",14,IF(H2924="T105",18,IF(H2924="T73",22,"")))))))</f>
        <v/>
      </c>
      <c r="J2924" s="1" t="s">
        <v>1808</v>
      </c>
      <c r="K2924" s="10">
        <v>2</v>
      </c>
      <c r="L2924" s="10">
        <v>1</v>
      </c>
      <c r="O2924" s="6"/>
      <c r="P2924" s="10">
        <v>6</v>
      </c>
      <c r="Q2924" s="42" t="s">
        <v>6870</v>
      </c>
      <c r="R2924" s="42"/>
      <c r="S2924" s="1"/>
    </row>
    <row r="2925" spans="1:19" ht="18.75" hidden="1" customHeight="1" x14ac:dyDescent="0.3">
      <c r="A2925" s="10">
        <v>2924</v>
      </c>
      <c r="B2925" s="10">
        <f>_xlfn.XLOOKUP(1,(VALUE(D2925)&gt;=VALUE(block!$C$3:$C$500))*(VALUE(D2925)&lt;VALUE(block!$C$3:$C$500)+VALUE(block!$D$3:$D$500)),block!$A$3:$A$500,"无匹配",0,1)</f>
        <v>77</v>
      </c>
      <c r="C2925" s="3" t="str">
        <f>B2925 &amp; "-" &amp; COUNTIF($B$2:B2925, B2925)</f>
        <v>77-28</v>
      </c>
      <c r="D2925" s="10">
        <v>21768</v>
      </c>
      <c r="E2925" s="1" t="s">
        <v>7283</v>
      </c>
      <c r="F2925" s="1" t="s">
        <v>7284</v>
      </c>
      <c r="H2925" s="3" t="s">
        <v>6767</v>
      </c>
      <c r="I2925" s="10" t="str">
        <f>IF(H2925="T58",1,IF(H2925="T58",3,IF(H2925="T74",6,IF(H2925="T74",10,IF(H2925="T106",14,IF(H2925="T106",18,IF(H2925="T74",22,"")))))))</f>
        <v/>
      </c>
      <c r="J2925" s="1" t="s">
        <v>1808</v>
      </c>
      <c r="K2925" s="10">
        <v>4</v>
      </c>
      <c r="L2925" s="10">
        <v>1</v>
      </c>
      <c r="O2925" s="6"/>
      <c r="Q2925" s="42" t="s">
        <v>6870</v>
      </c>
      <c r="R2925" s="42"/>
      <c r="S2925" s="1"/>
    </row>
    <row r="2926" spans="1:19" ht="18.75" hidden="1" customHeight="1" x14ac:dyDescent="0.3">
      <c r="A2926" s="10">
        <v>2925</v>
      </c>
      <c r="B2926" s="10">
        <f>_xlfn.XLOOKUP(1,(VALUE(D2926)&gt;=VALUE(block!$C$3:$C$500))*(VALUE(D2926)&lt;VALUE(block!$C$3:$C$500)+VALUE(block!$D$3:$D$500)),block!$A$3:$A$500,"无匹配",0,1)</f>
        <v>77</v>
      </c>
      <c r="C2926" s="3" t="str">
        <f>B2926 &amp; "-" &amp; COUNTIF($B$2:B2926, B2926)</f>
        <v>77-29</v>
      </c>
      <c r="D2926" s="10">
        <v>21772</v>
      </c>
      <c r="E2926" s="1" t="s">
        <v>7285</v>
      </c>
      <c r="F2926" s="1" t="s">
        <v>7286</v>
      </c>
      <c r="G2926" s="1" t="s">
        <v>1834</v>
      </c>
      <c r="H2926" s="1" t="s">
        <v>1812</v>
      </c>
      <c r="I2926" s="10" t="str">
        <f>IF(H2926="T59",1,IF(H2926="T59",3,IF(H2926="T75",6,IF(H2926="T75",10,IF(H2926="T107",14,IF(H2926="T107",18,IF(H2926="T75",22,"")))))))</f>
        <v/>
      </c>
      <c r="J2926" s="1" t="s">
        <v>1808</v>
      </c>
      <c r="K2926" s="10">
        <v>2</v>
      </c>
      <c r="L2926" s="10">
        <v>1</v>
      </c>
      <c r="O2926" s="6"/>
      <c r="P2926" s="10">
        <v>6</v>
      </c>
      <c r="Q2926" s="42" t="s">
        <v>6870</v>
      </c>
      <c r="R2926" s="42"/>
      <c r="S2926" s="1"/>
    </row>
    <row r="2927" spans="1:19" ht="18.75" hidden="1" customHeight="1" x14ac:dyDescent="0.3">
      <c r="A2927" s="10">
        <v>2926</v>
      </c>
      <c r="B2927" s="10">
        <f>_xlfn.XLOOKUP(1,(VALUE(D2927)&gt;=VALUE(block!$C$3:$C$500))*(VALUE(D2927)&lt;VALUE(block!$C$3:$C$500)+VALUE(block!$D$3:$D$500)),block!$A$3:$A$500,"无匹配",0,1)</f>
        <v>77</v>
      </c>
      <c r="C2927" s="3" t="str">
        <f>B2927 &amp; "-" &amp; COUNTIF($B$2:B2927, B2927)</f>
        <v>77-30</v>
      </c>
      <c r="D2927" s="10">
        <v>21774</v>
      </c>
      <c r="E2927" s="1" t="s">
        <v>7287</v>
      </c>
      <c r="F2927" s="1" t="s">
        <v>7288</v>
      </c>
      <c r="H2927" s="3" t="s">
        <v>6767</v>
      </c>
      <c r="I2927" s="10" t="str">
        <f>IF(H2927="T60",1,IF(H2927="T60",3,IF(H2927="T76",6,IF(H2927="T76",10,IF(H2927="T108",14,IF(H2927="T108",18,IF(H2927="T76",22,"")))))))</f>
        <v/>
      </c>
      <c r="J2927" s="1" t="s">
        <v>1808</v>
      </c>
      <c r="K2927" s="10">
        <v>4</v>
      </c>
      <c r="L2927" s="10">
        <v>1</v>
      </c>
      <c r="O2927" s="6"/>
      <c r="Q2927" s="42" t="s">
        <v>6870</v>
      </c>
      <c r="R2927" s="42"/>
      <c r="S2927" s="1"/>
    </row>
    <row r="2928" spans="1:19" ht="18.75" hidden="1" customHeight="1" x14ac:dyDescent="0.3">
      <c r="A2928" s="10">
        <v>2927</v>
      </c>
      <c r="B2928" s="10">
        <f>_xlfn.XLOOKUP(1,(VALUE(D2928)&gt;=VALUE(block!$C$3:$C$500))*(VALUE(D2928)&lt;VALUE(block!$C$3:$C$500)+VALUE(block!$D$3:$D$500)),block!$A$3:$A$500,"无匹配",0,1)</f>
        <v>77</v>
      </c>
      <c r="C2928" s="3" t="str">
        <f>B2928 &amp; "-" &amp; COUNTIF($B$2:B2928, B2928)</f>
        <v>77-31</v>
      </c>
      <c r="D2928" s="10">
        <v>21778</v>
      </c>
      <c r="E2928" s="1" t="s">
        <v>7289</v>
      </c>
      <c r="F2928" s="1" t="s">
        <v>7290</v>
      </c>
      <c r="G2928" s="1" t="s">
        <v>1836</v>
      </c>
      <c r="H2928" s="1" t="s">
        <v>1812</v>
      </c>
      <c r="I2928" s="10" t="str">
        <f>IF(H2928="T61",1,IF(H2928="T61",3,IF(H2928="T77",6,IF(H2928="T77",10,IF(H2928="T109",14,IF(H2928="T109",18,IF(H2928="T77",22,"")))))))</f>
        <v/>
      </c>
      <c r="J2928" s="1" t="s">
        <v>1808</v>
      </c>
      <c r="K2928" s="10">
        <v>2</v>
      </c>
      <c r="L2928" s="10">
        <v>1</v>
      </c>
      <c r="O2928" s="6"/>
      <c r="P2928" s="10">
        <v>6</v>
      </c>
      <c r="Q2928" s="42" t="s">
        <v>6870</v>
      </c>
      <c r="R2928" s="42"/>
      <c r="S2928" s="1"/>
    </row>
    <row r="2929" spans="1:19" ht="18.75" hidden="1" customHeight="1" x14ac:dyDescent="0.3">
      <c r="A2929" s="10">
        <v>2928</v>
      </c>
      <c r="B2929" s="10">
        <f>_xlfn.XLOOKUP(1,(VALUE(D2929)&gt;=VALUE(block!$C$3:$C$500))*(VALUE(D2929)&lt;VALUE(block!$C$3:$C$500)+VALUE(block!$D$3:$D$500)),block!$A$3:$A$500,"无匹配",0,1)</f>
        <v>77</v>
      </c>
      <c r="C2929" s="3" t="str">
        <f>B2929 &amp; "-" &amp; COUNTIF($B$2:B2929, B2929)</f>
        <v>77-32</v>
      </c>
      <c r="D2929" s="10">
        <v>21780</v>
      </c>
      <c r="E2929" s="1" t="s">
        <v>7291</v>
      </c>
      <c r="F2929" s="1" t="s">
        <v>7292</v>
      </c>
      <c r="H2929" s="3" t="s">
        <v>6767</v>
      </c>
      <c r="I2929" s="10" t="str">
        <f>IF(H2929="T62",1,IF(H2929="T62",3,IF(H2929="T78",6,IF(H2929="T78",10,IF(H2929="T110",14,IF(H2929="T110",18,IF(H2929="T78",22,"")))))))</f>
        <v/>
      </c>
      <c r="J2929" s="1" t="s">
        <v>1808</v>
      </c>
      <c r="K2929" s="10">
        <v>4</v>
      </c>
      <c r="L2929" s="10">
        <v>1</v>
      </c>
      <c r="O2929" s="6"/>
      <c r="Q2929" s="42" t="s">
        <v>6870</v>
      </c>
      <c r="R2929" s="42"/>
      <c r="S2929" s="1"/>
    </row>
    <row r="2930" spans="1:19" ht="18.75" hidden="1" customHeight="1" x14ac:dyDescent="0.3">
      <c r="A2930" s="10">
        <v>2929</v>
      </c>
      <c r="B2930" s="10">
        <f>_xlfn.XLOOKUP(1,(VALUE(D2930)&gt;=VALUE(block!$C$3:$C$500))*(VALUE(D2930)&lt;VALUE(block!$C$3:$C$500)+VALUE(block!$D$3:$D$500)),block!$A$3:$A$500,"无匹配",0,1)</f>
        <v>77</v>
      </c>
      <c r="C2930" s="3" t="str">
        <f>B2930 &amp; "-" &amp; COUNTIF($B$2:B2930, B2930)</f>
        <v>77-33</v>
      </c>
      <c r="D2930" s="10">
        <v>21784</v>
      </c>
      <c r="E2930" s="1" t="s">
        <v>7293</v>
      </c>
      <c r="F2930" s="1" t="s">
        <v>7294</v>
      </c>
      <c r="G2930" s="1" t="s">
        <v>1840</v>
      </c>
      <c r="H2930" s="1" t="s">
        <v>1812</v>
      </c>
      <c r="I2930" s="10" t="str">
        <f>IF(H2930="T63",1,IF(H2930="T63",3,IF(H2930="T79",6,IF(H2930="T79",10,IF(H2930="T111",14,IF(H2930="T111",18,IF(H2930="T79",22,"")))))))</f>
        <v/>
      </c>
      <c r="J2930" s="1" t="s">
        <v>1808</v>
      </c>
      <c r="K2930" s="10">
        <v>2</v>
      </c>
      <c r="L2930" s="10">
        <v>1</v>
      </c>
      <c r="O2930" s="6"/>
      <c r="P2930" s="10">
        <v>6</v>
      </c>
      <c r="Q2930" s="42" t="s">
        <v>6870</v>
      </c>
      <c r="R2930" s="42"/>
      <c r="S2930" s="1"/>
    </row>
    <row r="2931" spans="1:19" ht="18.75" hidden="1" customHeight="1" x14ac:dyDescent="0.3">
      <c r="A2931" s="10">
        <v>2930</v>
      </c>
      <c r="B2931" s="10">
        <f>_xlfn.XLOOKUP(1,(VALUE(D2931)&gt;=VALUE(block!$C$3:$C$500))*(VALUE(D2931)&lt;VALUE(block!$C$3:$C$500)+VALUE(block!$D$3:$D$500)),block!$A$3:$A$500,"无匹配",0,1)</f>
        <v>77</v>
      </c>
      <c r="C2931" s="3" t="str">
        <f>B2931 &amp; "-" &amp; COUNTIF($B$2:B2931, B2931)</f>
        <v>77-34</v>
      </c>
      <c r="D2931" s="10">
        <v>21786</v>
      </c>
      <c r="E2931" s="1" t="s">
        <v>7295</v>
      </c>
      <c r="F2931" s="1" t="s">
        <v>7296</v>
      </c>
      <c r="H2931" s="3" t="s">
        <v>6767</v>
      </c>
      <c r="I2931" s="10" t="str">
        <f>IF(H2931="T64",1,IF(H2931="T64",3,IF(H2931="T80",6,IF(H2931="T80",10,IF(H2931="T112",14,IF(H2931="T112",18,IF(H2931="T80",22,"")))))))</f>
        <v/>
      </c>
      <c r="J2931" s="1" t="s">
        <v>1808</v>
      </c>
      <c r="K2931" s="10">
        <v>4</v>
      </c>
      <c r="L2931" s="10">
        <v>1</v>
      </c>
      <c r="O2931" s="6"/>
      <c r="Q2931" s="42" t="s">
        <v>6870</v>
      </c>
      <c r="R2931" s="42"/>
      <c r="S2931" s="1"/>
    </row>
    <row r="2932" spans="1:19" ht="18.75" hidden="1" customHeight="1" x14ac:dyDescent="0.3">
      <c r="A2932" s="10">
        <v>2931</v>
      </c>
      <c r="B2932" s="10">
        <f>_xlfn.XLOOKUP(1,(VALUE(D2932)&gt;=VALUE(block!$C$3:$C$500))*(VALUE(D2932)&lt;VALUE(block!$C$3:$C$500)+VALUE(block!$D$3:$D$500)),block!$A$3:$A$500,"无匹配",0,1)</f>
        <v>77</v>
      </c>
      <c r="C2932" s="3" t="str">
        <f>B2932 &amp; "-" &amp; COUNTIF($B$2:B2932, B2932)</f>
        <v>77-35</v>
      </c>
      <c r="D2932" s="10">
        <v>21790</v>
      </c>
      <c r="E2932" s="1" t="s">
        <v>7297</v>
      </c>
      <c r="F2932" s="1" t="s">
        <v>7298</v>
      </c>
      <c r="G2932" s="1" t="s">
        <v>1840</v>
      </c>
      <c r="H2932" s="1" t="s">
        <v>1812</v>
      </c>
      <c r="I2932" s="10" t="str">
        <f>IF(H2932="T65",1,IF(H2932="T65",3,IF(H2932="T81",6,IF(H2932="T81",10,IF(H2932="T113",14,IF(H2932="T113",18,IF(H2932="T81",22,"")))))))</f>
        <v/>
      </c>
      <c r="J2932" s="1" t="s">
        <v>1808</v>
      </c>
      <c r="K2932" s="10">
        <v>2</v>
      </c>
      <c r="L2932" s="10">
        <v>1</v>
      </c>
      <c r="O2932" s="6"/>
      <c r="P2932" s="10">
        <v>6</v>
      </c>
      <c r="Q2932" s="42" t="s">
        <v>6870</v>
      </c>
      <c r="R2932" s="42"/>
      <c r="S2932" s="1"/>
    </row>
    <row r="2933" spans="1:19" ht="18.75" hidden="1" customHeight="1" x14ac:dyDescent="0.3">
      <c r="A2933" s="10">
        <v>2932</v>
      </c>
      <c r="B2933" s="10">
        <f>_xlfn.XLOOKUP(1,(VALUE(D2933)&gt;=VALUE(block!$C$3:$C$500))*(VALUE(D2933)&lt;VALUE(block!$C$3:$C$500)+VALUE(block!$D$3:$D$500)),block!$A$3:$A$500,"无匹配",0,1)</f>
        <v>77</v>
      </c>
      <c r="C2933" s="3" t="str">
        <f>B2933 &amp; "-" &amp; COUNTIF($B$2:B2933, B2933)</f>
        <v>77-36</v>
      </c>
      <c r="D2933" s="10">
        <v>21792</v>
      </c>
      <c r="E2933" s="1" t="s">
        <v>7299</v>
      </c>
      <c r="F2933" s="1" t="s">
        <v>7300</v>
      </c>
      <c r="H2933" s="3" t="s">
        <v>6767</v>
      </c>
      <c r="I2933" s="10" t="str">
        <f>IF(H2933="T66",1,IF(H2933="T66",3,IF(H2933="T82",6,IF(H2933="T82",10,IF(H2933="T114",14,IF(H2933="T114",18,IF(H2933="T82",22,"")))))))</f>
        <v/>
      </c>
      <c r="J2933" s="1" t="s">
        <v>1808</v>
      </c>
      <c r="K2933" s="10">
        <v>4</v>
      </c>
      <c r="L2933" s="10">
        <v>1</v>
      </c>
      <c r="O2933" s="6"/>
      <c r="Q2933" s="42" t="s">
        <v>6870</v>
      </c>
      <c r="R2933" s="42"/>
      <c r="S2933" s="1"/>
    </row>
    <row r="2934" spans="1:19" ht="18.75" hidden="1" customHeight="1" x14ac:dyDescent="0.3">
      <c r="A2934" s="10">
        <v>2933</v>
      </c>
      <c r="B2934" s="10">
        <f>_xlfn.XLOOKUP(1,(VALUE(D2934)&gt;=VALUE(block!$C$3:$C$500))*(VALUE(D2934)&lt;VALUE(block!$C$3:$C$500)+VALUE(block!$D$3:$D$500)),block!$A$3:$A$500,"无匹配",0,1)</f>
        <v>78</v>
      </c>
      <c r="C2934" s="3" t="str">
        <f>B2934 &amp; "-" &amp; COUNTIF($B$2:B2934, B2934)</f>
        <v>78-1</v>
      </c>
      <c r="D2934" s="10">
        <v>21796</v>
      </c>
      <c r="E2934" s="1" t="s">
        <v>7301</v>
      </c>
      <c r="F2934" s="1" t="s">
        <v>7302</v>
      </c>
      <c r="G2934" s="1" t="s">
        <v>1830</v>
      </c>
      <c r="H2934" s="1" t="s">
        <v>1812</v>
      </c>
      <c r="I2934" s="10" t="str">
        <f>IF(H2934="T67",1,IF(H2934="T67",3,IF(H2934="T83",6,IF(H2934="T83",10,IF(H2934="T115",14,IF(H2934="T115",18,IF(H2934="T83",22,"")))))))</f>
        <v/>
      </c>
      <c r="J2934" s="1" t="s">
        <v>1808</v>
      </c>
      <c r="K2934" s="10">
        <v>2</v>
      </c>
      <c r="L2934" s="10">
        <v>1</v>
      </c>
      <c r="O2934" s="6"/>
      <c r="P2934" s="10">
        <v>6</v>
      </c>
      <c r="Q2934" s="42" t="s">
        <v>6870</v>
      </c>
      <c r="R2934" s="42"/>
      <c r="S2934" s="1"/>
    </row>
    <row r="2935" spans="1:19" ht="18.75" hidden="1" customHeight="1" x14ac:dyDescent="0.3">
      <c r="A2935" s="10">
        <v>2934</v>
      </c>
      <c r="B2935" s="10">
        <f>_xlfn.XLOOKUP(1,(VALUE(D2935)&gt;=VALUE(block!$C$3:$C$500))*(VALUE(D2935)&lt;VALUE(block!$C$3:$C$500)+VALUE(block!$D$3:$D$500)),block!$A$3:$A$500,"无匹配",0,1)</f>
        <v>78</v>
      </c>
      <c r="C2935" s="3" t="str">
        <f>B2935 &amp; "-" &amp; COUNTIF($B$2:B2935, B2935)</f>
        <v>78-2</v>
      </c>
      <c r="D2935" s="10">
        <v>21798</v>
      </c>
      <c r="E2935" s="1" t="s">
        <v>7303</v>
      </c>
      <c r="F2935" s="1" t="s">
        <v>7304</v>
      </c>
      <c r="H2935" s="3" t="s">
        <v>6767</v>
      </c>
      <c r="I2935" s="10" t="str">
        <f>IF(H2935="T68",1,IF(H2935="T68",3,IF(H2935="T84",6,IF(H2935="T84",10,IF(H2935="T116",14,IF(H2935="T116",18,IF(H2935="T84",22,"")))))))</f>
        <v/>
      </c>
      <c r="J2935" s="1" t="s">
        <v>1808</v>
      </c>
      <c r="K2935" s="10">
        <v>4</v>
      </c>
      <c r="L2935" s="10">
        <v>1</v>
      </c>
      <c r="O2935" s="6"/>
      <c r="Q2935" s="42" t="s">
        <v>6870</v>
      </c>
      <c r="R2935" s="42"/>
      <c r="S2935" s="1"/>
    </row>
    <row r="2936" spans="1:19" ht="18.75" hidden="1" customHeight="1" x14ac:dyDescent="0.3">
      <c r="A2936" s="10">
        <v>2935</v>
      </c>
      <c r="B2936" s="10">
        <f>_xlfn.XLOOKUP(1,(VALUE(D2936)&gt;=VALUE(block!$C$3:$C$500))*(VALUE(D2936)&lt;VALUE(block!$C$3:$C$500)+VALUE(block!$D$3:$D$500)),block!$A$3:$A$500,"无匹配",0,1)</f>
        <v>78</v>
      </c>
      <c r="C2936" s="3" t="str">
        <f>B2936 &amp; "-" &amp; COUNTIF($B$2:B2936, B2936)</f>
        <v>78-3</v>
      </c>
      <c r="D2936" s="10">
        <v>21802</v>
      </c>
      <c r="E2936" s="1" t="s">
        <v>7305</v>
      </c>
      <c r="F2936" s="1" t="s">
        <v>7306</v>
      </c>
      <c r="G2936" s="1" t="s">
        <v>1832</v>
      </c>
      <c r="H2936" s="1" t="s">
        <v>1812</v>
      </c>
      <c r="I2936" s="10" t="str">
        <f>IF(H2936="T69",1,IF(H2936="T69",3,IF(H2936="T85",6,IF(H2936="T85",10,IF(H2936="T117",14,IF(H2936="T117",18,IF(H2936="T85",22,"")))))))</f>
        <v/>
      </c>
      <c r="J2936" s="1" t="s">
        <v>1808</v>
      </c>
      <c r="K2936" s="10">
        <v>2</v>
      </c>
      <c r="L2936" s="10">
        <v>1</v>
      </c>
      <c r="O2936" s="6"/>
      <c r="P2936" s="10">
        <v>6</v>
      </c>
      <c r="Q2936" s="42" t="s">
        <v>6870</v>
      </c>
      <c r="R2936" s="42"/>
      <c r="S2936" s="1"/>
    </row>
    <row r="2937" spans="1:19" ht="18.75" hidden="1" customHeight="1" x14ac:dyDescent="0.3">
      <c r="A2937" s="10">
        <v>2936</v>
      </c>
      <c r="B2937" s="10">
        <f>_xlfn.XLOOKUP(1,(VALUE(D2937)&gt;=VALUE(block!$C$3:$C$500))*(VALUE(D2937)&lt;VALUE(block!$C$3:$C$500)+VALUE(block!$D$3:$D$500)),block!$A$3:$A$500,"无匹配",0,1)</f>
        <v>78</v>
      </c>
      <c r="C2937" s="3" t="str">
        <f>B2937 &amp; "-" &amp; COUNTIF($B$2:B2937, B2937)</f>
        <v>78-4</v>
      </c>
      <c r="D2937" s="10">
        <v>21804</v>
      </c>
      <c r="E2937" s="1" t="s">
        <v>7307</v>
      </c>
      <c r="F2937" s="1" t="s">
        <v>7308</v>
      </c>
      <c r="H2937" s="3" t="s">
        <v>6767</v>
      </c>
      <c r="I2937" s="10" t="str">
        <f>IF(H2937="T70",1,IF(H2937="T70",3,IF(H2937="T86",6,IF(H2937="T86",10,IF(H2937="T118",14,IF(H2937="T118",18,IF(H2937="T86",22,"")))))))</f>
        <v/>
      </c>
      <c r="J2937" s="1" t="s">
        <v>1808</v>
      </c>
      <c r="K2937" s="10">
        <v>4</v>
      </c>
      <c r="L2937" s="10">
        <v>1</v>
      </c>
      <c r="O2937" s="6"/>
      <c r="Q2937" s="42" t="s">
        <v>6870</v>
      </c>
      <c r="R2937" s="42"/>
      <c r="S2937" s="1"/>
    </row>
    <row r="2938" spans="1:19" ht="18.75" hidden="1" customHeight="1" x14ac:dyDescent="0.3">
      <c r="A2938" s="10">
        <v>2937</v>
      </c>
      <c r="B2938" s="10">
        <f>_xlfn.XLOOKUP(1,(VALUE(D2938)&gt;=VALUE(block!$C$3:$C$500))*(VALUE(D2938)&lt;VALUE(block!$C$3:$C$500)+VALUE(block!$D$3:$D$500)),block!$A$3:$A$500,"无匹配",0,1)</f>
        <v>78</v>
      </c>
      <c r="C2938" s="3" t="str">
        <f>B2938 &amp; "-" &amp; COUNTIF($B$2:B2938, B2938)</f>
        <v>78-5</v>
      </c>
      <c r="D2938" s="10">
        <v>21808</v>
      </c>
      <c r="E2938" s="1" t="s">
        <v>7309</v>
      </c>
      <c r="F2938" s="1" t="s">
        <v>7310</v>
      </c>
      <c r="G2938" s="1" t="s">
        <v>1834</v>
      </c>
      <c r="H2938" s="1" t="s">
        <v>1812</v>
      </c>
      <c r="I2938" s="10" t="str">
        <f>IF(H2938="T71",1,IF(H2938="T71",3,IF(H2938="T87",6,IF(H2938="T87",10,IF(H2938="T119",14,IF(H2938="T119",18,IF(H2938="T87",22,"")))))))</f>
        <v/>
      </c>
      <c r="J2938" s="1" t="s">
        <v>1808</v>
      </c>
      <c r="K2938" s="10">
        <v>2</v>
      </c>
      <c r="L2938" s="10">
        <v>1</v>
      </c>
      <c r="O2938" s="6"/>
      <c r="P2938" s="10">
        <v>6</v>
      </c>
      <c r="Q2938" s="42" t="s">
        <v>6870</v>
      </c>
      <c r="R2938" s="42"/>
      <c r="S2938" s="1"/>
    </row>
    <row r="2939" spans="1:19" ht="18.75" hidden="1" customHeight="1" x14ac:dyDescent="0.3">
      <c r="A2939" s="10">
        <v>2938</v>
      </c>
      <c r="B2939" s="10">
        <f>_xlfn.XLOOKUP(1,(VALUE(D2939)&gt;=VALUE(block!$C$3:$C$500))*(VALUE(D2939)&lt;VALUE(block!$C$3:$C$500)+VALUE(block!$D$3:$D$500)),block!$A$3:$A$500,"无匹配",0,1)</f>
        <v>78</v>
      </c>
      <c r="C2939" s="3" t="str">
        <f>B2939 &amp; "-" &amp; COUNTIF($B$2:B2939, B2939)</f>
        <v>78-6</v>
      </c>
      <c r="D2939" s="10">
        <v>21810</v>
      </c>
      <c r="E2939" s="1" t="s">
        <v>7311</v>
      </c>
      <c r="F2939" s="1" t="s">
        <v>7312</v>
      </c>
      <c r="H2939" s="3" t="s">
        <v>6767</v>
      </c>
      <c r="I2939" s="10" t="str">
        <f>IF(H2939="T72",1,IF(H2939="T72",3,IF(H2939="T88",6,IF(H2939="T88",10,IF(H2939="T120",14,IF(H2939="T120",18,IF(H2939="T88",22,"")))))))</f>
        <v/>
      </c>
      <c r="J2939" s="1" t="s">
        <v>1808</v>
      </c>
      <c r="K2939" s="10">
        <v>4</v>
      </c>
      <c r="L2939" s="10">
        <v>1</v>
      </c>
      <c r="O2939" s="6"/>
      <c r="Q2939" s="42" t="s">
        <v>6870</v>
      </c>
      <c r="R2939" s="42"/>
      <c r="S2939" s="1"/>
    </row>
    <row r="2940" spans="1:19" ht="18.75" hidden="1" customHeight="1" x14ac:dyDescent="0.3">
      <c r="A2940" s="10">
        <v>2939</v>
      </c>
      <c r="B2940" s="10">
        <f>_xlfn.XLOOKUP(1,(VALUE(D2940)&gt;=VALUE(block!$C$3:$C$500))*(VALUE(D2940)&lt;VALUE(block!$C$3:$C$500)+VALUE(block!$D$3:$D$500)),block!$A$3:$A$500,"无匹配",0,1)</f>
        <v>78</v>
      </c>
      <c r="C2940" s="3" t="str">
        <f>B2940 &amp; "-" &amp; COUNTIF($B$2:B2940, B2940)</f>
        <v>78-7</v>
      </c>
      <c r="D2940" s="10">
        <v>21814</v>
      </c>
      <c r="E2940" s="1" t="s">
        <v>7313</v>
      </c>
      <c r="F2940" s="1" t="s">
        <v>7314</v>
      </c>
      <c r="G2940" s="1" t="s">
        <v>1836</v>
      </c>
      <c r="H2940" s="1" t="s">
        <v>1812</v>
      </c>
      <c r="I2940" s="10" t="str">
        <f>IF(H2940="T73",1,IF(H2940="T73",3,IF(H2940="T89",6,IF(H2940="T89",10,IF(H2940="T121",14,IF(H2940="T121",18,IF(H2940="T89",22,"")))))))</f>
        <v/>
      </c>
      <c r="J2940" s="1" t="s">
        <v>1808</v>
      </c>
      <c r="K2940" s="10">
        <v>2</v>
      </c>
      <c r="L2940" s="10">
        <v>1</v>
      </c>
      <c r="O2940" s="6"/>
      <c r="P2940" s="10">
        <v>6</v>
      </c>
      <c r="Q2940" s="42" t="s">
        <v>6870</v>
      </c>
      <c r="R2940" s="42"/>
      <c r="S2940" s="1"/>
    </row>
    <row r="2941" spans="1:19" ht="18.75" hidden="1" customHeight="1" x14ac:dyDescent="0.3">
      <c r="A2941" s="10">
        <v>2940</v>
      </c>
      <c r="B2941" s="10">
        <f>_xlfn.XLOOKUP(1,(VALUE(D2941)&gt;=VALUE(block!$C$3:$C$500))*(VALUE(D2941)&lt;VALUE(block!$C$3:$C$500)+VALUE(block!$D$3:$D$500)),block!$A$3:$A$500,"无匹配",0,1)</f>
        <v>78</v>
      </c>
      <c r="C2941" s="3" t="str">
        <f>B2941 &amp; "-" &amp; COUNTIF($B$2:B2941, B2941)</f>
        <v>78-8</v>
      </c>
      <c r="D2941" s="10">
        <v>21816</v>
      </c>
      <c r="E2941" s="1" t="s">
        <v>7315</v>
      </c>
      <c r="F2941" s="1" t="s">
        <v>7316</v>
      </c>
      <c r="H2941" s="3" t="s">
        <v>6767</v>
      </c>
      <c r="I2941" s="10" t="str">
        <f>IF(H2941="T74",1,IF(H2941="T74",3,IF(H2941="T90",6,IF(H2941="T90",10,IF(H2941="T122",14,IF(H2941="T122",18,IF(H2941="T90",22,"")))))))</f>
        <v/>
      </c>
      <c r="J2941" s="1" t="s">
        <v>1808</v>
      </c>
      <c r="K2941" s="10">
        <v>4</v>
      </c>
      <c r="L2941" s="10">
        <v>1</v>
      </c>
      <c r="O2941" s="6"/>
      <c r="Q2941" s="42" t="s">
        <v>6870</v>
      </c>
      <c r="R2941" s="42"/>
      <c r="S2941" s="1"/>
    </row>
    <row r="2942" spans="1:19" ht="18.75" hidden="1" customHeight="1" x14ac:dyDescent="0.3">
      <c r="A2942" s="10">
        <v>2941</v>
      </c>
      <c r="B2942" s="10">
        <f>_xlfn.XLOOKUP(1,(VALUE(D2942)&gt;=VALUE(block!$C$3:$C$500))*(VALUE(D2942)&lt;VALUE(block!$C$3:$C$500)+VALUE(block!$D$3:$D$500)),block!$A$3:$A$500,"无匹配",0,1)</f>
        <v>78</v>
      </c>
      <c r="C2942" s="3" t="str">
        <f>B2942 &amp; "-" &amp; COUNTIF($B$2:B2942, B2942)</f>
        <v>78-9</v>
      </c>
      <c r="D2942" s="10">
        <v>21820</v>
      </c>
      <c r="E2942" s="1" t="s">
        <v>7317</v>
      </c>
      <c r="F2942" s="1" t="s">
        <v>7318</v>
      </c>
      <c r="G2942" s="1" t="s">
        <v>1840</v>
      </c>
      <c r="H2942" s="1" t="s">
        <v>1812</v>
      </c>
      <c r="I2942" s="10" t="str">
        <f>IF(H2942="T75",1,IF(H2942="T75",3,IF(H2942="T91",6,IF(H2942="T91",10,IF(H2942="T123",14,IF(H2942="T123",18,IF(H2942="T91",22,"")))))))</f>
        <v/>
      </c>
      <c r="J2942" s="1" t="s">
        <v>1808</v>
      </c>
      <c r="K2942" s="10">
        <v>2</v>
      </c>
      <c r="L2942" s="10">
        <v>1</v>
      </c>
      <c r="O2942" s="6"/>
      <c r="P2942" s="10">
        <v>6</v>
      </c>
      <c r="Q2942" s="42" t="s">
        <v>6870</v>
      </c>
      <c r="R2942" s="42"/>
      <c r="S2942" s="1"/>
    </row>
    <row r="2943" spans="1:19" ht="18.75" hidden="1" customHeight="1" x14ac:dyDescent="0.3">
      <c r="A2943" s="10">
        <v>2942</v>
      </c>
      <c r="B2943" s="10">
        <f>_xlfn.XLOOKUP(1,(VALUE(D2943)&gt;=VALUE(block!$C$3:$C$500))*(VALUE(D2943)&lt;VALUE(block!$C$3:$C$500)+VALUE(block!$D$3:$D$500)),block!$A$3:$A$500,"无匹配",0,1)</f>
        <v>78</v>
      </c>
      <c r="C2943" s="3" t="str">
        <f>B2943 &amp; "-" &amp; COUNTIF($B$2:B2943, B2943)</f>
        <v>78-10</v>
      </c>
      <c r="D2943" s="10">
        <v>21822</v>
      </c>
      <c r="E2943" s="1" t="s">
        <v>7319</v>
      </c>
      <c r="F2943" s="1" t="s">
        <v>7320</v>
      </c>
      <c r="H2943" s="3" t="s">
        <v>6767</v>
      </c>
      <c r="I2943" s="10" t="str">
        <f>IF(H2943="T76",1,IF(H2943="T76",3,IF(H2943="T92",6,IF(H2943="T92",10,IF(H2943="T124",14,IF(H2943="T124",18,IF(H2943="T92",22,"")))))))</f>
        <v/>
      </c>
      <c r="J2943" s="1" t="s">
        <v>1808</v>
      </c>
      <c r="K2943" s="10">
        <v>4</v>
      </c>
      <c r="L2943" s="10">
        <v>1</v>
      </c>
      <c r="O2943" s="6"/>
      <c r="Q2943" s="42" t="s">
        <v>6870</v>
      </c>
      <c r="R2943" s="42"/>
      <c r="S2943" s="1"/>
    </row>
    <row r="2944" spans="1:19" ht="18.75" hidden="1" customHeight="1" x14ac:dyDescent="0.3">
      <c r="A2944" s="10">
        <v>2943</v>
      </c>
      <c r="B2944" s="10">
        <f>_xlfn.XLOOKUP(1,(VALUE(D2944)&gt;=VALUE(block!$C$3:$C$500))*(VALUE(D2944)&lt;VALUE(block!$C$3:$C$500)+VALUE(block!$D$3:$D$500)),block!$A$3:$A$500,"无匹配",0,1)</f>
        <v>78</v>
      </c>
      <c r="C2944" s="3" t="str">
        <f>B2944 &amp; "-" &amp; COUNTIF($B$2:B2944, B2944)</f>
        <v>78-11</v>
      </c>
      <c r="D2944" s="10">
        <v>21826</v>
      </c>
      <c r="E2944" s="1" t="s">
        <v>7321</v>
      </c>
      <c r="F2944" s="1" t="s">
        <v>7322</v>
      </c>
      <c r="G2944" s="1" t="s">
        <v>1840</v>
      </c>
      <c r="H2944" s="1" t="s">
        <v>1812</v>
      </c>
      <c r="I2944" s="10" t="str">
        <f>IF(H2944="T77",1,IF(H2944="T77",3,IF(H2944="T93",6,IF(H2944="T93",10,IF(H2944="T125",14,IF(H2944="T125",18,IF(H2944="T93",22,"")))))))</f>
        <v/>
      </c>
      <c r="J2944" s="1" t="s">
        <v>1808</v>
      </c>
      <c r="K2944" s="10">
        <v>2</v>
      </c>
      <c r="L2944" s="10">
        <v>1</v>
      </c>
      <c r="O2944" s="6"/>
      <c r="P2944" s="10">
        <v>6</v>
      </c>
      <c r="Q2944" s="42" t="s">
        <v>6870</v>
      </c>
      <c r="R2944" s="42"/>
      <c r="S2944" s="1"/>
    </row>
    <row r="2945" spans="1:19" ht="18.75" hidden="1" customHeight="1" x14ac:dyDescent="0.3">
      <c r="A2945" s="10">
        <v>2944</v>
      </c>
      <c r="B2945" s="10">
        <f>_xlfn.XLOOKUP(1,(VALUE(D2945)&gt;=VALUE(block!$C$3:$C$500))*(VALUE(D2945)&lt;VALUE(block!$C$3:$C$500)+VALUE(block!$D$3:$D$500)),block!$A$3:$A$500,"无匹配",0,1)</f>
        <v>78</v>
      </c>
      <c r="C2945" s="3" t="str">
        <f>B2945 &amp; "-" &amp; COUNTIF($B$2:B2945, B2945)</f>
        <v>78-12</v>
      </c>
      <c r="D2945" s="10">
        <v>21828</v>
      </c>
      <c r="E2945" s="1" t="s">
        <v>7323</v>
      </c>
      <c r="F2945" s="1" t="s">
        <v>7324</v>
      </c>
      <c r="H2945" s="3" t="s">
        <v>6767</v>
      </c>
      <c r="I2945" s="10" t="str">
        <f>IF(H2945="T78",1,IF(H2945="T78",3,IF(H2945="T94",6,IF(H2945="T94",10,IF(H2945="T126",14,IF(H2945="T126",18,IF(H2945="T94",22,"")))))))</f>
        <v/>
      </c>
      <c r="J2945" s="1" t="s">
        <v>1808</v>
      </c>
      <c r="K2945" s="10">
        <v>4</v>
      </c>
      <c r="L2945" s="10">
        <v>1</v>
      </c>
      <c r="O2945" s="6"/>
      <c r="Q2945" s="42" t="s">
        <v>6870</v>
      </c>
      <c r="R2945" s="42"/>
      <c r="S2945" s="1"/>
    </row>
    <row r="2946" spans="1:19" ht="18.75" hidden="1" customHeight="1" x14ac:dyDescent="0.3">
      <c r="A2946" s="10">
        <v>2945</v>
      </c>
      <c r="B2946" s="10">
        <f>_xlfn.XLOOKUP(1,(VALUE(D2946)&gt;=VALUE(block!$C$3:$C$500))*(VALUE(D2946)&lt;VALUE(block!$C$3:$C$500)+VALUE(block!$D$3:$D$500)),block!$A$3:$A$500,"无匹配",0,1)</f>
        <v>78</v>
      </c>
      <c r="C2946" s="3" t="str">
        <f>B2946 &amp; "-" &amp; COUNTIF($B$2:B2946, B2946)</f>
        <v>78-13</v>
      </c>
      <c r="D2946" s="10">
        <v>21832</v>
      </c>
      <c r="E2946" s="1" t="s">
        <v>7325</v>
      </c>
      <c r="F2946" s="1" t="s">
        <v>7326</v>
      </c>
      <c r="G2946" s="1" t="s">
        <v>1830</v>
      </c>
      <c r="H2946" s="1" t="s">
        <v>1812</v>
      </c>
      <c r="I2946" s="10" t="str">
        <f>IF(H2946="T79",1,IF(H2946="T79",3,IF(H2946="T95",6,IF(H2946="T95",10,IF(H2946="T127",14,IF(H2946="T127",18,IF(H2946="T95",22,"")))))))</f>
        <v/>
      </c>
      <c r="J2946" s="1" t="s">
        <v>1808</v>
      </c>
      <c r="K2946" s="10">
        <v>2</v>
      </c>
      <c r="L2946" s="10">
        <v>1</v>
      </c>
      <c r="O2946" s="6"/>
      <c r="P2946" s="10">
        <v>6</v>
      </c>
      <c r="Q2946" s="42" t="s">
        <v>6870</v>
      </c>
      <c r="R2946" s="42"/>
      <c r="S2946" s="1"/>
    </row>
    <row r="2947" spans="1:19" ht="18.75" hidden="1" customHeight="1" x14ac:dyDescent="0.3">
      <c r="A2947" s="10">
        <v>2946</v>
      </c>
      <c r="B2947" s="10">
        <f>_xlfn.XLOOKUP(1,(VALUE(D2947)&gt;=VALUE(block!$C$3:$C$500))*(VALUE(D2947)&lt;VALUE(block!$C$3:$C$500)+VALUE(block!$D$3:$D$500)),block!$A$3:$A$500,"无匹配",0,1)</f>
        <v>78</v>
      </c>
      <c r="C2947" s="3" t="str">
        <f>B2947 &amp; "-" &amp; COUNTIF($B$2:B2947, B2947)</f>
        <v>78-14</v>
      </c>
      <c r="D2947" s="10">
        <v>21834</v>
      </c>
      <c r="E2947" s="1" t="s">
        <v>7327</v>
      </c>
      <c r="F2947" s="1" t="s">
        <v>7328</v>
      </c>
      <c r="H2947" s="3" t="s">
        <v>6767</v>
      </c>
      <c r="I2947" s="10">
        <f>IF(H2947="uint16",1,IF(H2947="int16",3,IF(H2947="uint32",6,IF(H2947="int32",10,IF(H2947="uint64",14,IF(H2947="int64",18,IF(H2947="float32",22,"")))))))</f>
        <v>14</v>
      </c>
      <c r="J2947" s="1" t="s">
        <v>1808</v>
      </c>
      <c r="K2947" s="10">
        <v>4</v>
      </c>
      <c r="L2947" s="10">
        <v>1</v>
      </c>
      <c r="O2947" s="6"/>
      <c r="Q2947" s="42" t="s">
        <v>6870</v>
      </c>
      <c r="R2947" s="42"/>
      <c r="S2947" s="1"/>
    </row>
    <row r="2948" spans="1:19" ht="18.75" hidden="1" customHeight="1" x14ac:dyDescent="0.3">
      <c r="A2948" s="10">
        <v>2947</v>
      </c>
      <c r="B2948" s="10">
        <f>_xlfn.XLOOKUP(1,(VALUE(D2948)&gt;=VALUE(block!$C$3:$C$500))*(VALUE(D2948)&lt;VALUE(block!$C$3:$C$500)+VALUE(block!$D$3:$D$500)),block!$A$3:$A$500,"无匹配",0,1)</f>
        <v>78</v>
      </c>
      <c r="C2948" s="3" t="str">
        <f>B2948 &amp; "-" &amp; COUNTIF($B$2:B2948, B2948)</f>
        <v>78-15</v>
      </c>
      <c r="D2948" s="10">
        <v>21838</v>
      </c>
      <c r="E2948" s="1" t="s">
        <v>7329</v>
      </c>
      <c r="F2948" s="1" t="s">
        <v>7330</v>
      </c>
      <c r="G2948" s="1" t="s">
        <v>1832</v>
      </c>
      <c r="H2948" s="1" t="s">
        <v>1812</v>
      </c>
      <c r="I2948" s="10" t="str">
        <f>IF(H2948="T17",1,IF(H2948="T17",3,IF(H2948="T33",6,IF(H2948="T33",10,IF(H2948="T65",14,IF(H2948="T65",18,IF(H2948="T33",22,"")))))))</f>
        <v/>
      </c>
      <c r="J2948" s="1" t="s">
        <v>1808</v>
      </c>
      <c r="K2948" s="10">
        <v>2</v>
      </c>
      <c r="L2948" s="10">
        <v>1</v>
      </c>
      <c r="O2948" s="6"/>
      <c r="P2948" s="10">
        <v>6</v>
      </c>
      <c r="Q2948" s="42" t="s">
        <v>6870</v>
      </c>
      <c r="R2948" s="42"/>
      <c r="S2948" s="1"/>
    </row>
    <row r="2949" spans="1:19" ht="18.75" hidden="1" customHeight="1" x14ac:dyDescent="0.3">
      <c r="A2949" s="10">
        <v>2948</v>
      </c>
      <c r="B2949" s="10">
        <f>_xlfn.XLOOKUP(1,(VALUE(D2949)&gt;=VALUE(block!$C$3:$C$500))*(VALUE(D2949)&lt;VALUE(block!$C$3:$C$500)+VALUE(block!$D$3:$D$500)),block!$A$3:$A$500,"无匹配",0,1)</f>
        <v>78</v>
      </c>
      <c r="C2949" s="3" t="str">
        <f>B2949 &amp; "-" &amp; COUNTIF($B$2:B2949, B2949)</f>
        <v>78-16</v>
      </c>
      <c r="D2949" s="10">
        <v>21840</v>
      </c>
      <c r="E2949" s="1" t="s">
        <v>7331</v>
      </c>
      <c r="F2949" s="1" t="s">
        <v>7332</v>
      </c>
      <c r="H2949" s="3" t="s">
        <v>6767</v>
      </c>
      <c r="I2949" s="10" t="str">
        <f>IF(H2949="T18",1,IF(H2949="T18",3,IF(H2949="T34",6,IF(H2949="T34",10,IF(H2949="T66",14,IF(H2949="T66",18,IF(H2949="T34",22,"")))))))</f>
        <v/>
      </c>
      <c r="J2949" s="1" t="s">
        <v>1808</v>
      </c>
      <c r="K2949" s="10">
        <v>4</v>
      </c>
      <c r="L2949" s="10">
        <v>1</v>
      </c>
      <c r="O2949" s="6"/>
      <c r="Q2949" s="42" t="s">
        <v>6870</v>
      </c>
      <c r="R2949" s="42"/>
      <c r="S2949" s="1"/>
    </row>
    <row r="2950" spans="1:19" ht="18.75" hidden="1" customHeight="1" x14ac:dyDescent="0.3">
      <c r="A2950" s="10">
        <v>2949</v>
      </c>
      <c r="B2950" s="10">
        <f>_xlfn.XLOOKUP(1,(VALUE(D2950)&gt;=VALUE(block!$C$3:$C$500))*(VALUE(D2950)&lt;VALUE(block!$C$3:$C$500)+VALUE(block!$D$3:$D$500)),block!$A$3:$A$500,"无匹配",0,1)</f>
        <v>78</v>
      </c>
      <c r="C2950" s="3" t="str">
        <f>B2950 &amp; "-" &amp; COUNTIF($B$2:B2950, B2950)</f>
        <v>78-17</v>
      </c>
      <c r="D2950" s="10">
        <v>21844</v>
      </c>
      <c r="E2950" s="1" t="s">
        <v>7333</v>
      </c>
      <c r="F2950" s="1" t="s">
        <v>7334</v>
      </c>
      <c r="G2950" s="1" t="s">
        <v>1834</v>
      </c>
      <c r="H2950" s="1" t="s">
        <v>1812</v>
      </c>
      <c r="I2950" s="10" t="str">
        <f>IF(H2950="T19",1,IF(H2950="T19",3,IF(H2950="T35",6,IF(H2950="T35",10,IF(H2950="T67",14,IF(H2950="T67",18,IF(H2950="T35",22,"")))))))</f>
        <v/>
      </c>
      <c r="J2950" s="1" t="s">
        <v>1808</v>
      </c>
      <c r="K2950" s="10">
        <v>2</v>
      </c>
      <c r="L2950" s="10">
        <v>1</v>
      </c>
      <c r="O2950" s="6"/>
      <c r="P2950" s="10">
        <v>6</v>
      </c>
      <c r="Q2950" s="42" t="s">
        <v>6870</v>
      </c>
      <c r="R2950" s="42"/>
      <c r="S2950" s="1"/>
    </row>
    <row r="2951" spans="1:19" ht="18.75" hidden="1" customHeight="1" x14ac:dyDescent="0.3">
      <c r="A2951" s="10">
        <v>2950</v>
      </c>
      <c r="B2951" s="10">
        <f>_xlfn.XLOOKUP(1,(VALUE(D2951)&gt;=VALUE(block!$C$3:$C$500))*(VALUE(D2951)&lt;VALUE(block!$C$3:$C$500)+VALUE(block!$D$3:$D$500)),block!$A$3:$A$500,"无匹配",0,1)</f>
        <v>78</v>
      </c>
      <c r="C2951" s="3" t="str">
        <f>B2951 &amp; "-" &amp; COUNTIF($B$2:B2951, B2951)</f>
        <v>78-18</v>
      </c>
      <c r="D2951" s="10">
        <v>21846</v>
      </c>
      <c r="E2951" s="1" t="s">
        <v>7335</v>
      </c>
      <c r="F2951" s="1" t="s">
        <v>7336</v>
      </c>
      <c r="H2951" s="3" t="s">
        <v>6767</v>
      </c>
      <c r="I2951" s="10" t="str">
        <f>IF(H2951="T20",1,IF(H2951="T20",3,IF(H2951="T36",6,IF(H2951="T36",10,IF(H2951="T68",14,IF(H2951="T68",18,IF(H2951="T36",22,"")))))))</f>
        <v/>
      </c>
      <c r="J2951" s="1" t="s">
        <v>1808</v>
      </c>
      <c r="K2951" s="10">
        <v>4</v>
      </c>
      <c r="L2951" s="10">
        <v>1</v>
      </c>
      <c r="O2951" s="6"/>
      <c r="Q2951" s="42" t="s">
        <v>6870</v>
      </c>
      <c r="R2951" s="42"/>
      <c r="S2951" s="1"/>
    </row>
    <row r="2952" spans="1:19" ht="18.75" hidden="1" customHeight="1" x14ac:dyDescent="0.3">
      <c r="A2952" s="10">
        <v>2951</v>
      </c>
      <c r="B2952" s="10">
        <f>_xlfn.XLOOKUP(1,(VALUE(D2952)&gt;=VALUE(block!$C$3:$C$500))*(VALUE(D2952)&lt;VALUE(block!$C$3:$C$500)+VALUE(block!$D$3:$D$500)),block!$A$3:$A$500,"无匹配",0,1)</f>
        <v>78</v>
      </c>
      <c r="C2952" s="3" t="str">
        <f>B2952 &amp; "-" &amp; COUNTIF($B$2:B2952, B2952)</f>
        <v>78-19</v>
      </c>
      <c r="D2952" s="10">
        <v>21850</v>
      </c>
      <c r="E2952" s="1" t="s">
        <v>7337</v>
      </c>
      <c r="F2952" s="1" t="s">
        <v>7338</v>
      </c>
      <c r="G2952" s="1" t="s">
        <v>1836</v>
      </c>
      <c r="H2952" s="1" t="s">
        <v>1812</v>
      </c>
      <c r="I2952" s="10" t="str">
        <f>IF(H2952="T21",1,IF(H2952="T21",3,IF(H2952="T37",6,IF(H2952="T37",10,IF(H2952="T69",14,IF(H2952="T69",18,IF(H2952="T37",22,"")))))))</f>
        <v/>
      </c>
      <c r="J2952" s="1" t="s">
        <v>1808</v>
      </c>
      <c r="K2952" s="10">
        <v>2</v>
      </c>
      <c r="L2952" s="10">
        <v>1</v>
      </c>
      <c r="O2952" s="6"/>
      <c r="P2952" s="10">
        <v>6</v>
      </c>
      <c r="Q2952" s="42" t="s">
        <v>6870</v>
      </c>
      <c r="R2952" s="42"/>
      <c r="S2952" s="1"/>
    </row>
    <row r="2953" spans="1:19" ht="18.75" hidden="1" customHeight="1" x14ac:dyDescent="0.3">
      <c r="A2953" s="10">
        <v>2952</v>
      </c>
      <c r="B2953" s="10">
        <f>_xlfn.XLOOKUP(1,(VALUE(D2953)&gt;=VALUE(block!$C$3:$C$500))*(VALUE(D2953)&lt;VALUE(block!$C$3:$C$500)+VALUE(block!$D$3:$D$500)),block!$A$3:$A$500,"无匹配",0,1)</f>
        <v>78</v>
      </c>
      <c r="C2953" s="3" t="str">
        <f>B2953 &amp; "-" &amp; COUNTIF($B$2:B2953, B2953)</f>
        <v>78-20</v>
      </c>
      <c r="D2953" s="10">
        <v>21852</v>
      </c>
      <c r="E2953" s="1" t="s">
        <v>7339</v>
      </c>
      <c r="F2953" s="1" t="s">
        <v>7340</v>
      </c>
      <c r="H2953" s="3" t="s">
        <v>6767</v>
      </c>
      <c r="I2953" s="10" t="str">
        <f>IF(H2953="T22",1,IF(H2953="T22",3,IF(H2953="T38",6,IF(H2953="T38",10,IF(H2953="T70",14,IF(H2953="T70",18,IF(H2953="T38",22,"")))))))</f>
        <v/>
      </c>
      <c r="J2953" s="1" t="s">
        <v>1808</v>
      </c>
      <c r="K2953" s="10">
        <v>4</v>
      </c>
      <c r="L2953" s="10">
        <v>1</v>
      </c>
      <c r="O2953" s="6"/>
      <c r="Q2953" s="42" t="s">
        <v>6870</v>
      </c>
      <c r="R2953" s="42"/>
      <c r="S2953" s="1"/>
    </row>
    <row r="2954" spans="1:19" ht="18.75" hidden="1" customHeight="1" x14ac:dyDescent="0.3">
      <c r="A2954" s="10">
        <v>2953</v>
      </c>
      <c r="B2954" s="10">
        <f>_xlfn.XLOOKUP(1,(VALUE(D2954)&gt;=VALUE(block!$C$3:$C$500))*(VALUE(D2954)&lt;VALUE(block!$C$3:$C$500)+VALUE(block!$D$3:$D$500)),block!$A$3:$A$500,"无匹配",0,1)</f>
        <v>78</v>
      </c>
      <c r="C2954" s="3" t="str">
        <f>B2954 &amp; "-" &amp; COUNTIF($B$2:B2954, B2954)</f>
        <v>78-21</v>
      </c>
      <c r="D2954" s="10">
        <v>21856</v>
      </c>
      <c r="E2954" s="1" t="s">
        <v>7341</v>
      </c>
      <c r="F2954" s="1" t="s">
        <v>7342</v>
      </c>
      <c r="G2954" s="1" t="s">
        <v>1840</v>
      </c>
      <c r="H2954" s="1" t="s">
        <v>1812</v>
      </c>
      <c r="I2954" s="10" t="str">
        <f>IF(H2954="T23",1,IF(H2954="T23",3,IF(H2954="T39",6,IF(H2954="T39",10,IF(H2954="T71",14,IF(H2954="T71",18,IF(H2954="T39",22,"")))))))</f>
        <v/>
      </c>
      <c r="J2954" s="1" t="s">
        <v>1808</v>
      </c>
      <c r="K2954" s="10">
        <v>2</v>
      </c>
      <c r="L2954" s="10">
        <v>1</v>
      </c>
      <c r="O2954" s="6"/>
      <c r="P2954" s="10">
        <v>6</v>
      </c>
      <c r="Q2954" s="42" t="s">
        <v>6870</v>
      </c>
      <c r="R2954" s="42"/>
      <c r="S2954" s="1"/>
    </row>
    <row r="2955" spans="1:19" ht="18.75" hidden="1" customHeight="1" x14ac:dyDescent="0.3">
      <c r="A2955" s="10">
        <v>2954</v>
      </c>
      <c r="B2955" s="10">
        <f>_xlfn.XLOOKUP(1,(VALUE(D2955)&gt;=VALUE(block!$C$3:$C$500))*(VALUE(D2955)&lt;VALUE(block!$C$3:$C$500)+VALUE(block!$D$3:$D$500)),block!$A$3:$A$500,"无匹配",0,1)</f>
        <v>78</v>
      </c>
      <c r="C2955" s="3" t="str">
        <f>B2955 &amp; "-" &amp; COUNTIF($B$2:B2955, B2955)</f>
        <v>78-22</v>
      </c>
      <c r="D2955" s="10">
        <v>21858</v>
      </c>
      <c r="E2955" s="1" t="s">
        <v>7343</v>
      </c>
      <c r="F2955" s="1" t="s">
        <v>7344</v>
      </c>
      <c r="H2955" s="3" t="s">
        <v>6767</v>
      </c>
      <c r="I2955" s="10" t="str">
        <f>IF(H2955="T24",1,IF(H2955="T24",3,IF(H2955="T40",6,IF(H2955="T40",10,IF(H2955="T72",14,IF(H2955="T72",18,IF(H2955="T40",22,"")))))))</f>
        <v/>
      </c>
      <c r="J2955" s="1" t="s">
        <v>1808</v>
      </c>
      <c r="K2955" s="10">
        <v>4</v>
      </c>
      <c r="L2955" s="10">
        <v>1</v>
      </c>
      <c r="O2955" s="6"/>
      <c r="Q2955" s="42" t="s">
        <v>6870</v>
      </c>
      <c r="R2955" s="42"/>
      <c r="S2955" s="1"/>
    </row>
    <row r="2956" spans="1:19" ht="18.75" hidden="1" customHeight="1" x14ac:dyDescent="0.3">
      <c r="A2956" s="10">
        <v>2955</v>
      </c>
      <c r="B2956" s="10">
        <f>_xlfn.XLOOKUP(1,(VALUE(D2956)&gt;=VALUE(block!$C$3:$C$500))*(VALUE(D2956)&lt;VALUE(block!$C$3:$C$500)+VALUE(block!$D$3:$D$500)),block!$A$3:$A$500,"无匹配",0,1)</f>
        <v>78</v>
      </c>
      <c r="C2956" s="3" t="str">
        <f>B2956 &amp; "-" &amp; COUNTIF($B$2:B2956, B2956)</f>
        <v>78-23</v>
      </c>
      <c r="D2956" s="10">
        <v>21862</v>
      </c>
      <c r="E2956" s="1" t="s">
        <v>7345</v>
      </c>
      <c r="F2956" s="1" t="s">
        <v>7346</v>
      </c>
      <c r="G2956" s="1" t="s">
        <v>1840</v>
      </c>
      <c r="H2956" s="1" t="s">
        <v>1812</v>
      </c>
      <c r="I2956" s="10" t="str">
        <f>IF(H2956="T25",1,IF(H2956="T25",3,IF(H2956="T41",6,IF(H2956="T41",10,IF(H2956="T73",14,IF(H2956="T73",18,IF(H2956="T41",22,"")))))))</f>
        <v/>
      </c>
      <c r="J2956" s="1" t="s">
        <v>1808</v>
      </c>
      <c r="K2956" s="10">
        <v>2</v>
      </c>
      <c r="L2956" s="10">
        <v>1</v>
      </c>
      <c r="O2956" s="6"/>
      <c r="P2956" s="10">
        <v>6</v>
      </c>
      <c r="Q2956" s="42" t="s">
        <v>6870</v>
      </c>
      <c r="R2956" s="42"/>
      <c r="S2956" s="1"/>
    </row>
    <row r="2957" spans="1:19" ht="18.75" hidden="1" customHeight="1" x14ac:dyDescent="0.3">
      <c r="A2957" s="10">
        <v>2956</v>
      </c>
      <c r="B2957" s="10">
        <f>_xlfn.XLOOKUP(1,(VALUE(D2957)&gt;=VALUE(block!$C$3:$C$500))*(VALUE(D2957)&lt;VALUE(block!$C$3:$C$500)+VALUE(block!$D$3:$D$500)),block!$A$3:$A$500,"无匹配",0,1)</f>
        <v>78</v>
      </c>
      <c r="C2957" s="3" t="str">
        <f>B2957 &amp; "-" &amp; COUNTIF($B$2:B2957, B2957)</f>
        <v>78-24</v>
      </c>
      <c r="D2957" s="10">
        <v>21864</v>
      </c>
      <c r="E2957" s="1" t="s">
        <v>7347</v>
      </c>
      <c r="F2957" s="1" t="s">
        <v>7348</v>
      </c>
      <c r="H2957" s="3" t="s">
        <v>6767</v>
      </c>
      <c r="I2957" s="10" t="str">
        <f>IF(H2957="T26",1,IF(H2957="T26",3,IF(H2957="T42",6,IF(H2957="T42",10,IF(H2957="T74",14,IF(H2957="T74",18,IF(H2957="T42",22,"")))))))</f>
        <v/>
      </c>
      <c r="J2957" s="1" t="s">
        <v>1808</v>
      </c>
      <c r="K2957" s="10">
        <v>4</v>
      </c>
      <c r="L2957" s="10">
        <v>1</v>
      </c>
      <c r="O2957" s="6"/>
      <c r="Q2957" s="42" t="s">
        <v>6870</v>
      </c>
      <c r="R2957" s="42"/>
      <c r="S2957" s="1"/>
    </row>
    <row r="2958" spans="1:19" ht="18.75" hidden="1" customHeight="1" x14ac:dyDescent="0.3">
      <c r="A2958" s="10">
        <v>2957</v>
      </c>
      <c r="B2958" s="10">
        <f>_xlfn.XLOOKUP(1,(VALUE(D2958)&gt;=VALUE(block!$C$3:$C$500))*(VALUE(D2958)&lt;VALUE(block!$C$3:$C$500)+VALUE(block!$D$3:$D$500)),block!$A$3:$A$500,"无匹配",0,1)</f>
        <v>78</v>
      </c>
      <c r="C2958" s="3" t="str">
        <f>B2958 &amp; "-" &amp; COUNTIF($B$2:B2958, B2958)</f>
        <v>78-25</v>
      </c>
      <c r="D2958" s="10">
        <v>21868</v>
      </c>
      <c r="E2958" s="1" t="s">
        <v>7349</v>
      </c>
      <c r="F2958" s="1" t="s">
        <v>7350</v>
      </c>
      <c r="G2958" s="1" t="s">
        <v>1830</v>
      </c>
      <c r="H2958" s="1" t="s">
        <v>1812</v>
      </c>
      <c r="I2958" s="10" t="str">
        <f>IF(H2958="T27",1,IF(H2958="T27",3,IF(H2958="T43",6,IF(H2958="T43",10,IF(H2958="T75",14,IF(H2958="T75",18,IF(H2958="T43",22,"")))))))</f>
        <v/>
      </c>
      <c r="J2958" s="1" t="s">
        <v>1808</v>
      </c>
      <c r="K2958" s="10">
        <v>2</v>
      </c>
      <c r="L2958" s="10">
        <v>1</v>
      </c>
      <c r="O2958" s="6"/>
      <c r="P2958" s="10">
        <v>6</v>
      </c>
      <c r="Q2958" s="42" t="s">
        <v>6870</v>
      </c>
      <c r="R2958" s="42"/>
      <c r="S2958" s="1"/>
    </row>
    <row r="2959" spans="1:19" ht="18.75" hidden="1" customHeight="1" x14ac:dyDescent="0.3">
      <c r="A2959" s="10">
        <v>2958</v>
      </c>
      <c r="B2959" s="10">
        <f>_xlfn.XLOOKUP(1,(VALUE(D2959)&gt;=VALUE(block!$C$3:$C$500))*(VALUE(D2959)&lt;VALUE(block!$C$3:$C$500)+VALUE(block!$D$3:$D$500)),block!$A$3:$A$500,"无匹配",0,1)</f>
        <v>78</v>
      </c>
      <c r="C2959" s="3" t="str">
        <f>B2959 &amp; "-" &amp; COUNTIF($B$2:B2959, B2959)</f>
        <v>78-26</v>
      </c>
      <c r="D2959" s="10">
        <v>21870</v>
      </c>
      <c r="E2959" s="1" t="s">
        <v>7351</v>
      </c>
      <c r="F2959" s="1" t="s">
        <v>7352</v>
      </c>
      <c r="H2959" s="3" t="s">
        <v>6767</v>
      </c>
      <c r="I2959" s="10" t="str">
        <f>IF(H2959="T28",1,IF(H2959="T28",3,IF(H2959="T44",6,IF(H2959="T44",10,IF(H2959="T76",14,IF(H2959="T76",18,IF(H2959="T44",22,"")))))))</f>
        <v/>
      </c>
      <c r="J2959" s="1" t="s">
        <v>1808</v>
      </c>
      <c r="K2959" s="10">
        <v>4</v>
      </c>
      <c r="L2959" s="10">
        <v>1</v>
      </c>
      <c r="O2959" s="6"/>
      <c r="Q2959" s="42" t="s">
        <v>6870</v>
      </c>
      <c r="R2959" s="42"/>
      <c r="S2959" s="1"/>
    </row>
    <row r="2960" spans="1:19" ht="18.75" hidden="1" customHeight="1" x14ac:dyDescent="0.3">
      <c r="A2960" s="10">
        <v>2959</v>
      </c>
      <c r="B2960" s="10">
        <f>_xlfn.XLOOKUP(1,(VALUE(D2960)&gt;=VALUE(block!$C$3:$C$500))*(VALUE(D2960)&lt;VALUE(block!$C$3:$C$500)+VALUE(block!$D$3:$D$500)),block!$A$3:$A$500,"无匹配",0,1)</f>
        <v>78</v>
      </c>
      <c r="C2960" s="3" t="str">
        <f>B2960 &amp; "-" &amp; COUNTIF($B$2:B2960, B2960)</f>
        <v>78-27</v>
      </c>
      <c r="D2960" s="10">
        <v>21874</v>
      </c>
      <c r="E2960" s="1" t="s">
        <v>7353</v>
      </c>
      <c r="F2960" s="1" t="s">
        <v>7354</v>
      </c>
      <c r="G2960" s="1" t="s">
        <v>1832</v>
      </c>
      <c r="H2960" s="1" t="s">
        <v>1812</v>
      </c>
      <c r="I2960" s="10" t="str">
        <f>IF(H2960="T29",1,IF(H2960="T29",3,IF(H2960="T45",6,IF(H2960="T45",10,IF(H2960="T77",14,IF(H2960="T77",18,IF(H2960="T45",22,"")))))))</f>
        <v/>
      </c>
      <c r="J2960" s="1" t="s">
        <v>1808</v>
      </c>
      <c r="K2960" s="10">
        <v>2</v>
      </c>
      <c r="L2960" s="10">
        <v>1</v>
      </c>
      <c r="O2960" s="6"/>
      <c r="P2960" s="10">
        <v>6</v>
      </c>
      <c r="Q2960" s="42" t="s">
        <v>6870</v>
      </c>
      <c r="R2960" s="42"/>
      <c r="S2960" s="1"/>
    </row>
    <row r="2961" spans="1:19" ht="18.75" hidden="1" customHeight="1" x14ac:dyDescent="0.3">
      <c r="A2961" s="10">
        <v>2960</v>
      </c>
      <c r="B2961" s="10">
        <f>_xlfn.XLOOKUP(1,(VALUE(D2961)&gt;=VALUE(block!$C$3:$C$500))*(VALUE(D2961)&lt;VALUE(block!$C$3:$C$500)+VALUE(block!$D$3:$D$500)),block!$A$3:$A$500,"无匹配",0,1)</f>
        <v>78</v>
      </c>
      <c r="C2961" s="3" t="str">
        <f>B2961 &amp; "-" &amp; COUNTIF($B$2:B2961, B2961)</f>
        <v>78-28</v>
      </c>
      <c r="D2961" s="10">
        <v>21876</v>
      </c>
      <c r="E2961" s="1" t="s">
        <v>7355</v>
      </c>
      <c r="F2961" s="1" t="s">
        <v>7356</v>
      </c>
      <c r="H2961" s="3" t="s">
        <v>6767</v>
      </c>
      <c r="I2961" s="10" t="str">
        <f>IF(H2961="T30",1,IF(H2961="T30",3,IF(H2961="T46",6,IF(H2961="T46",10,IF(H2961="T78",14,IF(H2961="T78",18,IF(H2961="T46",22,"")))))))</f>
        <v/>
      </c>
      <c r="J2961" s="1" t="s">
        <v>1808</v>
      </c>
      <c r="K2961" s="10">
        <v>4</v>
      </c>
      <c r="L2961" s="10">
        <v>1</v>
      </c>
      <c r="O2961" s="6"/>
      <c r="Q2961" s="42" t="s">
        <v>6870</v>
      </c>
      <c r="R2961" s="42"/>
      <c r="S2961" s="1"/>
    </row>
    <row r="2962" spans="1:19" ht="18.75" hidden="1" customHeight="1" x14ac:dyDescent="0.3">
      <c r="A2962" s="10">
        <v>2961</v>
      </c>
      <c r="B2962" s="10">
        <f>_xlfn.XLOOKUP(1,(VALUE(D2962)&gt;=VALUE(block!$C$3:$C$500))*(VALUE(D2962)&lt;VALUE(block!$C$3:$C$500)+VALUE(block!$D$3:$D$500)),block!$A$3:$A$500,"无匹配",0,1)</f>
        <v>78</v>
      </c>
      <c r="C2962" s="3" t="str">
        <f>B2962 &amp; "-" &amp; COUNTIF($B$2:B2962, B2962)</f>
        <v>78-29</v>
      </c>
      <c r="D2962" s="10">
        <v>21880</v>
      </c>
      <c r="E2962" s="1" t="s">
        <v>7357</v>
      </c>
      <c r="F2962" s="1" t="s">
        <v>7358</v>
      </c>
      <c r="G2962" s="1" t="s">
        <v>1834</v>
      </c>
      <c r="H2962" s="1" t="s">
        <v>1812</v>
      </c>
      <c r="I2962" s="10" t="str">
        <f>IF(H2962="T31",1,IF(H2962="T31",3,IF(H2962="T47",6,IF(H2962="T47",10,IF(H2962="T79",14,IF(H2962="T79",18,IF(H2962="T47",22,"")))))))</f>
        <v/>
      </c>
      <c r="J2962" s="1" t="s">
        <v>1808</v>
      </c>
      <c r="K2962" s="10">
        <v>2</v>
      </c>
      <c r="L2962" s="10">
        <v>1</v>
      </c>
      <c r="O2962" s="6"/>
      <c r="P2962" s="10">
        <v>6</v>
      </c>
      <c r="Q2962" s="42" t="s">
        <v>6870</v>
      </c>
      <c r="R2962" s="42"/>
      <c r="S2962" s="1"/>
    </row>
    <row r="2963" spans="1:19" ht="18.75" hidden="1" customHeight="1" x14ac:dyDescent="0.3">
      <c r="A2963" s="10">
        <v>2962</v>
      </c>
      <c r="B2963" s="10">
        <f>_xlfn.XLOOKUP(1,(VALUE(D2963)&gt;=VALUE(block!$C$3:$C$500))*(VALUE(D2963)&lt;VALUE(block!$C$3:$C$500)+VALUE(block!$D$3:$D$500)),block!$A$3:$A$500,"无匹配",0,1)</f>
        <v>78</v>
      </c>
      <c r="C2963" s="3" t="str">
        <f>B2963 &amp; "-" &amp; COUNTIF($B$2:B2963, B2963)</f>
        <v>78-30</v>
      </c>
      <c r="D2963" s="10">
        <v>21882</v>
      </c>
      <c r="E2963" s="1" t="s">
        <v>7359</v>
      </c>
      <c r="F2963" s="1" t="s">
        <v>7360</v>
      </c>
      <c r="H2963" s="3" t="s">
        <v>6767</v>
      </c>
      <c r="I2963" s="10" t="str">
        <f>IF(H2963="T32",1,IF(H2963="T32",3,IF(H2963="T48",6,IF(H2963="T48",10,IF(H2963="T80",14,IF(H2963="T80",18,IF(H2963="T48",22,"")))))))</f>
        <v/>
      </c>
      <c r="J2963" s="1" t="s">
        <v>1808</v>
      </c>
      <c r="K2963" s="10">
        <v>4</v>
      </c>
      <c r="L2963" s="10">
        <v>1</v>
      </c>
      <c r="O2963" s="6"/>
      <c r="Q2963" s="42" t="s">
        <v>6870</v>
      </c>
      <c r="R2963" s="42"/>
      <c r="S2963" s="1"/>
    </row>
    <row r="2964" spans="1:19" ht="18.75" hidden="1" customHeight="1" x14ac:dyDescent="0.3">
      <c r="A2964" s="10">
        <v>2963</v>
      </c>
      <c r="B2964" s="10">
        <f>_xlfn.XLOOKUP(1,(VALUE(D2964)&gt;=VALUE(block!$C$3:$C$500))*(VALUE(D2964)&lt;VALUE(block!$C$3:$C$500)+VALUE(block!$D$3:$D$500)),block!$A$3:$A$500,"无匹配",0,1)</f>
        <v>78</v>
      </c>
      <c r="C2964" s="3" t="str">
        <f>B2964 &amp; "-" &amp; COUNTIF($B$2:B2964, B2964)</f>
        <v>78-31</v>
      </c>
      <c r="D2964" s="10">
        <v>21886</v>
      </c>
      <c r="E2964" s="1" t="s">
        <v>7361</v>
      </c>
      <c r="F2964" s="1" t="s">
        <v>7362</v>
      </c>
      <c r="G2964" s="1" t="s">
        <v>1836</v>
      </c>
      <c r="H2964" s="1" t="s">
        <v>1812</v>
      </c>
      <c r="I2964" s="10" t="str">
        <f>IF(H2964="T33",1,IF(H2964="T33",3,IF(H2964="T49",6,IF(H2964="T49",10,IF(H2964="T81",14,IF(H2964="T81",18,IF(H2964="T49",22,"")))))))</f>
        <v/>
      </c>
      <c r="J2964" s="1" t="s">
        <v>1808</v>
      </c>
      <c r="K2964" s="10">
        <v>2</v>
      </c>
      <c r="L2964" s="10">
        <v>1</v>
      </c>
      <c r="O2964" s="6"/>
      <c r="P2964" s="10">
        <v>6</v>
      </c>
      <c r="Q2964" s="42" t="s">
        <v>6870</v>
      </c>
      <c r="R2964" s="42"/>
      <c r="S2964" s="1"/>
    </row>
    <row r="2965" spans="1:19" ht="18.75" hidden="1" customHeight="1" x14ac:dyDescent="0.3">
      <c r="A2965" s="10">
        <v>2964</v>
      </c>
      <c r="B2965" s="10">
        <f>_xlfn.XLOOKUP(1,(VALUE(D2965)&gt;=VALUE(block!$C$3:$C$500))*(VALUE(D2965)&lt;VALUE(block!$C$3:$C$500)+VALUE(block!$D$3:$D$500)),block!$A$3:$A$500,"无匹配",0,1)</f>
        <v>78</v>
      </c>
      <c r="C2965" s="3" t="str">
        <f>B2965 &amp; "-" &amp; COUNTIF($B$2:B2965, B2965)</f>
        <v>78-32</v>
      </c>
      <c r="D2965" s="10">
        <v>21888</v>
      </c>
      <c r="E2965" s="1" t="s">
        <v>7363</v>
      </c>
      <c r="F2965" s="1" t="s">
        <v>7364</v>
      </c>
      <c r="H2965" s="3" t="s">
        <v>6767</v>
      </c>
      <c r="I2965" s="10" t="str">
        <f>IF(H2965="T34",1,IF(H2965="T34",3,IF(H2965="T50",6,IF(H2965="T50",10,IF(H2965="T82",14,IF(H2965="T82",18,IF(H2965="T50",22,"")))))))</f>
        <v/>
      </c>
      <c r="J2965" s="1" t="s">
        <v>1808</v>
      </c>
      <c r="K2965" s="10">
        <v>4</v>
      </c>
      <c r="L2965" s="10">
        <v>1</v>
      </c>
      <c r="O2965" s="6"/>
      <c r="Q2965" s="42" t="s">
        <v>6870</v>
      </c>
      <c r="R2965" s="42"/>
      <c r="S2965" s="1"/>
    </row>
    <row r="2966" spans="1:19" ht="18.75" hidden="1" customHeight="1" x14ac:dyDescent="0.3">
      <c r="A2966" s="10">
        <v>2965</v>
      </c>
      <c r="B2966" s="10">
        <f>_xlfn.XLOOKUP(1,(VALUE(D2966)&gt;=VALUE(block!$C$3:$C$500))*(VALUE(D2966)&lt;VALUE(block!$C$3:$C$500)+VALUE(block!$D$3:$D$500)),block!$A$3:$A$500,"无匹配",0,1)</f>
        <v>78</v>
      </c>
      <c r="C2966" s="3" t="str">
        <f>B2966 &amp; "-" &amp; COUNTIF($B$2:B2966, B2966)</f>
        <v>78-33</v>
      </c>
      <c r="D2966" s="10">
        <v>21892</v>
      </c>
      <c r="E2966" s="1" t="s">
        <v>7365</v>
      </c>
      <c r="F2966" s="1" t="s">
        <v>7366</v>
      </c>
      <c r="G2966" s="1" t="s">
        <v>1840</v>
      </c>
      <c r="H2966" s="1" t="s">
        <v>1812</v>
      </c>
      <c r="I2966" s="10" t="str">
        <f>IF(H2966="T35",1,IF(H2966="T35",3,IF(H2966="T51",6,IF(H2966="T51",10,IF(H2966="T83",14,IF(H2966="T83",18,IF(H2966="T51",22,"")))))))</f>
        <v/>
      </c>
      <c r="J2966" s="1" t="s">
        <v>1808</v>
      </c>
      <c r="K2966" s="10">
        <v>2</v>
      </c>
      <c r="L2966" s="10">
        <v>1</v>
      </c>
      <c r="O2966" s="6"/>
      <c r="P2966" s="10">
        <v>6</v>
      </c>
      <c r="Q2966" s="42" t="s">
        <v>6870</v>
      </c>
      <c r="R2966" s="42"/>
      <c r="S2966" s="1"/>
    </row>
    <row r="2967" spans="1:19" ht="18.75" hidden="1" customHeight="1" x14ac:dyDescent="0.3">
      <c r="A2967" s="10">
        <v>2966</v>
      </c>
      <c r="B2967" s="10">
        <f>_xlfn.XLOOKUP(1,(VALUE(D2967)&gt;=VALUE(block!$C$3:$C$500))*(VALUE(D2967)&lt;VALUE(block!$C$3:$C$500)+VALUE(block!$D$3:$D$500)),block!$A$3:$A$500,"无匹配",0,1)</f>
        <v>78</v>
      </c>
      <c r="C2967" s="3" t="str">
        <f>B2967 &amp; "-" &amp; COUNTIF($B$2:B2967, B2967)</f>
        <v>78-34</v>
      </c>
      <c r="D2967" s="10">
        <v>21894</v>
      </c>
      <c r="E2967" s="1" t="s">
        <v>7367</v>
      </c>
      <c r="F2967" s="1" t="s">
        <v>7368</v>
      </c>
      <c r="H2967" s="3" t="s">
        <v>6767</v>
      </c>
      <c r="I2967" s="10" t="str">
        <f>IF(H2967="T36",1,IF(H2967="T36",3,IF(H2967="T52",6,IF(H2967="T52",10,IF(H2967="T84",14,IF(H2967="T84",18,IF(H2967="T52",22,"")))))))</f>
        <v/>
      </c>
      <c r="J2967" s="1" t="s">
        <v>1808</v>
      </c>
      <c r="K2967" s="10">
        <v>4</v>
      </c>
      <c r="L2967" s="10">
        <v>1</v>
      </c>
      <c r="O2967" s="6"/>
      <c r="Q2967" s="42" t="s">
        <v>6870</v>
      </c>
      <c r="R2967" s="42"/>
      <c r="S2967" s="1"/>
    </row>
    <row r="2968" spans="1:19" ht="18.75" hidden="1" customHeight="1" x14ac:dyDescent="0.3">
      <c r="A2968" s="10">
        <v>2967</v>
      </c>
      <c r="B2968" s="10">
        <f>_xlfn.XLOOKUP(1,(VALUE(D2968)&gt;=VALUE(block!$C$3:$C$500))*(VALUE(D2968)&lt;VALUE(block!$C$3:$C$500)+VALUE(block!$D$3:$D$500)),block!$A$3:$A$500,"无匹配",0,1)</f>
        <v>78</v>
      </c>
      <c r="C2968" s="3" t="str">
        <f>B2968 &amp; "-" &amp; COUNTIF($B$2:B2968, B2968)</f>
        <v>78-35</v>
      </c>
      <c r="D2968" s="10">
        <v>21898</v>
      </c>
      <c r="E2968" s="1" t="s">
        <v>7369</v>
      </c>
      <c r="F2968" s="1" t="s">
        <v>7370</v>
      </c>
      <c r="G2968" s="1" t="s">
        <v>1840</v>
      </c>
      <c r="H2968" s="1" t="s">
        <v>1812</v>
      </c>
      <c r="I2968" s="10" t="str">
        <f>IF(H2968="T37",1,IF(H2968="T37",3,IF(H2968="T53",6,IF(H2968="T53",10,IF(H2968="T85",14,IF(H2968="T85",18,IF(H2968="T53",22,"")))))))</f>
        <v/>
      </c>
      <c r="J2968" s="1" t="s">
        <v>1808</v>
      </c>
      <c r="K2968" s="10">
        <v>2</v>
      </c>
      <c r="L2968" s="10">
        <v>1</v>
      </c>
      <c r="O2968" s="6"/>
      <c r="P2968" s="10">
        <v>6</v>
      </c>
      <c r="Q2968" s="42" t="s">
        <v>6870</v>
      </c>
      <c r="R2968" s="42"/>
      <c r="S2968" s="1"/>
    </row>
    <row r="2969" spans="1:19" ht="18.75" hidden="1" customHeight="1" x14ac:dyDescent="0.3">
      <c r="A2969" s="10">
        <v>2968</v>
      </c>
      <c r="B2969" s="10">
        <f>_xlfn.XLOOKUP(1,(VALUE(D2969)&gt;=VALUE(block!$C$3:$C$500))*(VALUE(D2969)&lt;VALUE(block!$C$3:$C$500)+VALUE(block!$D$3:$D$500)),block!$A$3:$A$500,"无匹配",0,1)</f>
        <v>78</v>
      </c>
      <c r="C2969" s="3" t="str">
        <f>B2969 &amp; "-" &amp; COUNTIF($B$2:B2969, B2969)</f>
        <v>78-36</v>
      </c>
      <c r="D2969" s="10">
        <v>21900</v>
      </c>
      <c r="E2969" s="1" t="s">
        <v>7371</v>
      </c>
      <c r="F2969" s="1" t="s">
        <v>7372</v>
      </c>
      <c r="H2969" s="3" t="s">
        <v>6767</v>
      </c>
      <c r="I2969" s="10" t="str">
        <f>IF(H2969="T38",1,IF(H2969="T38",3,IF(H2969="T54",6,IF(H2969="T54",10,IF(H2969="T86",14,IF(H2969="T86",18,IF(H2969="T54",22,"")))))))</f>
        <v/>
      </c>
      <c r="J2969" s="1" t="s">
        <v>1808</v>
      </c>
      <c r="K2969" s="10">
        <v>4</v>
      </c>
      <c r="L2969" s="10">
        <v>1</v>
      </c>
      <c r="O2969" s="6"/>
      <c r="Q2969" s="42" t="s">
        <v>6870</v>
      </c>
      <c r="R2969" s="42"/>
      <c r="S2969" s="1"/>
    </row>
    <row r="2970" spans="1:19" ht="18.75" hidden="1" customHeight="1" x14ac:dyDescent="0.3">
      <c r="A2970" s="10">
        <v>2969</v>
      </c>
      <c r="B2970" s="10">
        <f>_xlfn.XLOOKUP(1,(VALUE(D2970)&gt;=VALUE(block!$C$3:$C$500))*(VALUE(D2970)&lt;VALUE(block!$C$3:$C$500)+VALUE(block!$D$3:$D$500)),block!$A$3:$A$500,"无匹配",0,1)</f>
        <v>79</v>
      </c>
      <c r="C2970" s="3" t="str">
        <f>B2970 &amp; "-" &amp; COUNTIF($B$2:B2970, B2970)</f>
        <v>79-1</v>
      </c>
      <c r="D2970" s="10">
        <v>21904</v>
      </c>
      <c r="E2970" s="1" t="s">
        <v>7373</v>
      </c>
      <c r="F2970" s="1" t="s">
        <v>7374</v>
      </c>
      <c r="G2970" s="1" t="s">
        <v>1830</v>
      </c>
      <c r="H2970" s="1" t="s">
        <v>1812</v>
      </c>
      <c r="I2970" s="10" t="str">
        <f>IF(H2970="T39",1,IF(H2970="T39",3,IF(H2970="T55",6,IF(H2970="T55",10,IF(H2970="T87",14,IF(H2970="T87",18,IF(H2970="T55",22,"")))))))</f>
        <v/>
      </c>
      <c r="J2970" s="1" t="s">
        <v>1808</v>
      </c>
      <c r="K2970" s="10">
        <v>2</v>
      </c>
      <c r="L2970" s="10">
        <v>1</v>
      </c>
      <c r="O2970" s="6"/>
      <c r="P2970" s="10">
        <v>6</v>
      </c>
      <c r="Q2970" s="42" t="s">
        <v>6870</v>
      </c>
      <c r="R2970" s="42"/>
      <c r="S2970" s="1"/>
    </row>
    <row r="2971" spans="1:19" ht="18.75" hidden="1" customHeight="1" x14ac:dyDescent="0.3">
      <c r="A2971" s="10">
        <v>2970</v>
      </c>
      <c r="B2971" s="10">
        <f>_xlfn.XLOOKUP(1,(VALUE(D2971)&gt;=VALUE(block!$C$3:$C$500))*(VALUE(D2971)&lt;VALUE(block!$C$3:$C$500)+VALUE(block!$D$3:$D$500)),block!$A$3:$A$500,"无匹配",0,1)</f>
        <v>79</v>
      </c>
      <c r="C2971" s="3" t="str">
        <f>B2971 &amp; "-" &amp; COUNTIF($B$2:B2971, B2971)</f>
        <v>79-2</v>
      </c>
      <c r="D2971" s="10">
        <v>21906</v>
      </c>
      <c r="E2971" s="1" t="s">
        <v>7375</v>
      </c>
      <c r="F2971" s="1" t="s">
        <v>7376</v>
      </c>
      <c r="H2971" s="3" t="s">
        <v>6767</v>
      </c>
      <c r="I2971" s="10" t="str">
        <f>IF(H2971="T40",1,IF(H2971="T40",3,IF(H2971="T56",6,IF(H2971="T56",10,IF(H2971="T88",14,IF(H2971="T88",18,IF(H2971="T56",22,"")))))))</f>
        <v/>
      </c>
      <c r="J2971" s="1" t="s">
        <v>1808</v>
      </c>
      <c r="K2971" s="10">
        <v>4</v>
      </c>
      <c r="L2971" s="10">
        <v>1</v>
      </c>
      <c r="O2971" s="6"/>
      <c r="Q2971" s="42" t="s">
        <v>6870</v>
      </c>
      <c r="R2971" s="42"/>
      <c r="S2971" s="1"/>
    </row>
    <row r="2972" spans="1:19" ht="18.75" hidden="1" customHeight="1" x14ac:dyDescent="0.3">
      <c r="A2972" s="10">
        <v>2971</v>
      </c>
      <c r="B2972" s="10">
        <f>_xlfn.XLOOKUP(1,(VALUE(D2972)&gt;=VALUE(block!$C$3:$C$500))*(VALUE(D2972)&lt;VALUE(block!$C$3:$C$500)+VALUE(block!$D$3:$D$500)),block!$A$3:$A$500,"无匹配",0,1)</f>
        <v>79</v>
      </c>
      <c r="C2972" s="3" t="str">
        <f>B2972 &amp; "-" &amp; COUNTIF($B$2:B2972, B2972)</f>
        <v>79-3</v>
      </c>
      <c r="D2972" s="10">
        <v>21910</v>
      </c>
      <c r="E2972" s="1" t="s">
        <v>7377</v>
      </c>
      <c r="F2972" s="1" t="s">
        <v>7378</v>
      </c>
      <c r="G2972" s="1" t="s">
        <v>1832</v>
      </c>
      <c r="H2972" s="1" t="s">
        <v>1812</v>
      </c>
      <c r="I2972" s="10" t="str">
        <f>IF(H2972="T41",1,IF(H2972="T41",3,IF(H2972="T57",6,IF(H2972="T57",10,IF(H2972="T89",14,IF(H2972="T89",18,IF(H2972="T57",22,"")))))))</f>
        <v/>
      </c>
      <c r="J2972" s="1" t="s">
        <v>1808</v>
      </c>
      <c r="K2972" s="10">
        <v>2</v>
      </c>
      <c r="L2972" s="10">
        <v>1</v>
      </c>
      <c r="O2972" s="6"/>
      <c r="P2972" s="10">
        <v>6</v>
      </c>
      <c r="Q2972" s="42" t="s">
        <v>6870</v>
      </c>
      <c r="R2972" s="42"/>
      <c r="S2972" s="1"/>
    </row>
    <row r="2973" spans="1:19" ht="18.75" hidden="1" customHeight="1" x14ac:dyDescent="0.3">
      <c r="A2973" s="10">
        <v>2972</v>
      </c>
      <c r="B2973" s="10">
        <f>_xlfn.XLOOKUP(1,(VALUE(D2973)&gt;=VALUE(block!$C$3:$C$500))*(VALUE(D2973)&lt;VALUE(block!$C$3:$C$500)+VALUE(block!$D$3:$D$500)),block!$A$3:$A$500,"无匹配",0,1)</f>
        <v>79</v>
      </c>
      <c r="C2973" s="3" t="str">
        <f>B2973 &amp; "-" &amp; COUNTIF($B$2:B2973, B2973)</f>
        <v>79-4</v>
      </c>
      <c r="D2973" s="10">
        <v>21912</v>
      </c>
      <c r="E2973" s="1" t="s">
        <v>7379</v>
      </c>
      <c r="F2973" s="1" t="s">
        <v>7380</v>
      </c>
      <c r="H2973" s="3" t="s">
        <v>6767</v>
      </c>
      <c r="I2973" s="10" t="str">
        <f>IF(H2973="T42",1,IF(H2973="T42",3,IF(H2973="T58",6,IF(H2973="T58",10,IF(H2973="T90",14,IF(H2973="T90",18,IF(H2973="T58",22,"")))))))</f>
        <v/>
      </c>
      <c r="J2973" s="1" t="s">
        <v>1808</v>
      </c>
      <c r="K2973" s="10">
        <v>4</v>
      </c>
      <c r="L2973" s="10">
        <v>1</v>
      </c>
      <c r="O2973" s="6"/>
      <c r="Q2973" s="42" t="s">
        <v>6870</v>
      </c>
      <c r="R2973" s="42"/>
      <c r="S2973" s="1"/>
    </row>
    <row r="2974" spans="1:19" ht="18.75" hidden="1" customHeight="1" x14ac:dyDescent="0.3">
      <c r="A2974" s="10">
        <v>2973</v>
      </c>
      <c r="B2974" s="10">
        <f>_xlfn.XLOOKUP(1,(VALUE(D2974)&gt;=VALUE(block!$C$3:$C$500))*(VALUE(D2974)&lt;VALUE(block!$C$3:$C$500)+VALUE(block!$D$3:$D$500)),block!$A$3:$A$500,"无匹配",0,1)</f>
        <v>79</v>
      </c>
      <c r="C2974" s="3" t="str">
        <f>B2974 &amp; "-" &amp; COUNTIF($B$2:B2974, B2974)</f>
        <v>79-5</v>
      </c>
      <c r="D2974" s="10">
        <v>21916</v>
      </c>
      <c r="E2974" s="1" t="s">
        <v>7381</v>
      </c>
      <c r="F2974" s="1" t="s">
        <v>7382</v>
      </c>
      <c r="G2974" s="1" t="s">
        <v>1834</v>
      </c>
      <c r="H2974" s="1" t="s">
        <v>1812</v>
      </c>
      <c r="I2974" s="10" t="str">
        <f>IF(H2974="T43",1,IF(H2974="T43",3,IF(H2974="T59",6,IF(H2974="T59",10,IF(H2974="T91",14,IF(H2974="T91",18,IF(H2974="T59",22,"")))))))</f>
        <v/>
      </c>
      <c r="J2974" s="1" t="s">
        <v>1808</v>
      </c>
      <c r="K2974" s="10">
        <v>2</v>
      </c>
      <c r="L2974" s="10">
        <v>1</v>
      </c>
      <c r="O2974" s="6"/>
      <c r="P2974" s="10">
        <v>6</v>
      </c>
      <c r="Q2974" s="42" t="s">
        <v>6870</v>
      </c>
      <c r="R2974" s="42"/>
      <c r="S2974" s="1"/>
    </row>
    <row r="2975" spans="1:19" ht="18.75" hidden="1" customHeight="1" x14ac:dyDescent="0.3">
      <c r="A2975" s="10">
        <v>2974</v>
      </c>
      <c r="B2975" s="10">
        <f>_xlfn.XLOOKUP(1,(VALUE(D2975)&gt;=VALUE(block!$C$3:$C$500))*(VALUE(D2975)&lt;VALUE(block!$C$3:$C$500)+VALUE(block!$D$3:$D$500)),block!$A$3:$A$500,"无匹配",0,1)</f>
        <v>79</v>
      </c>
      <c r="C2975" s="3" t="str">
        <f>B2975 &amp; "-" &amp; COUNTIF($B$2:B2975, B2975)</f>
        <v>79-6</v>
      </c>
      <c r="D2975" s="10">
        <v>21918</v>
      </c>
      <c r="E2975" s="1" t="s">
        <v>7383</v>
      </c>
      <c r="F2975" s="1" t="s">
        <v>7384</v>
      </c>
      <c r="H2975" s="3" t="s">
        <v>6767</v>
      </c>
      <c r="I2975" s="10" t="str">
        <f>IF(H2975="T44",1,IF(H2975="T44",3,IF(H2975="T60",6,IF(H2975="T60",10,IF(H2975="T92",14,IF(H2975="T92",18,IF(H2975="T60",22,"")))))))</f>
        <v/>
      </c>
      <c r="J2975" s="1" t="s">
        <v>1808</v>
      </c>
      <c r="K2975" s="10">
        <v>4</v>
      </c>
      <c r="L2975" s="10">
        <v>1</v>
      </c>
      <c r="O2975" s="6"/>
      <c r="Q2975" s="42" t="s">
        <v>6870</v>
      </c>
      <c r="R2975" s="42"/>
      <c r="S2975" s="1"/>
    </row>
    <row r="2976" spans="1:19" ht="18.75" hidden="1" customHeight="1" x14ac:dyDescent="0.3">
      <c r="A2976" s="10">
        <v>2975</v>
      </c>
      <c r="B2976" s="10">
        <f>_xlfn.XLOOKUP(1,(VALUE(D2976)&gt;=VALUE(block!$C$3:$C$500))*(VALUE(D2976)&lt;VALUE(block!$C$3:$C$500)+VALUE(block!$D$3:$D$500)),block!$A$3:$A$500,"无匹配",0,1)</f>
        <v>79</v>
      </c>
      <c r="C2976" s="3" t="str">
        <f>B2976 &amp; "-" &amp; COUNTIF($B$2:B2976, B2976)</f>
        <v>79-7</v>
      </c>
      <c r="D2976" s="10">
        <v>21922</v>
      </c>
      <c r="E2976" s="1" t="s">
        <v>7385</v>
      </c>
      <c r="F2976" s="1" t="s">
        <v>7386</v>
      </c>
      <c r="G2976" s="1" t="s">
        <v>1836</v>
      </c>
      <c r="H2976" s="1" t="s">
        <v>1812</v>
      </c>
      <c r="I2976" s="10" t="str">
        <f>IF(H2976="T45",1,IF(H2976="T45",3,IF(H2976="T61",6,IF(H2976="T61",10,IF(H2976="T93",14,IF(H2976="T93",18,IF(H2976="T61",22,"")))))))</f>
        <v/>
      </c>
      <c r="J2976" s="1" t="s">
        <v>1808</v>
      </c>
      <c r="K2976" s="10">
        <v>2</v>
      </c>
      <c r="L2976" s="10">
        <v>1</v>
      </c>
      <c r="O2976" s="6"/>
      <c r="P2976" s="10">
        <v>6</v>
      </c>
      <c r="Q2976" s="42" t="s">
        <v>6870</v>
      </c>
      <c r="R2976" s="42"/>
      <c r="S2976" s="1"/>
    </row>
    <row r="2977" spans="1:19" ht="18.75" hidden="1" customHeight="1" x14ac:dyDescent="0.3">
      <c r="A2977" s="10">
        <v>2976</v>
      </c>
      <c r="B2977" s="10">
        <f>_xlfn.XLOOKUP(1,(VALUE(D2977)&gt;=VALUE(block!$C$3:$C$500))*(VALUE(D2977)&lt;VALUE(block!$C$3:$C$500)+VALUE(block!$D$3:$D$500)),block!$A$3:$A$500,"无匹配",0,1)</f>
        <v>79</v>
      </c>
      <c r="C2977" s="3" t="str">
        <f>B2977 &amp; "-" &amp; COUNTIF($B$2:B2977, B2977)</f>
        <v>79-8</v>
      </c>
      <c r="D2977" s="10">
        <v>21924</v>
      </c>
      <c r="E2977" s="1" t="s">
        <v>7387</v>
      </c>
      <c r="F2977" s="1" t="s">
        <v>7388</v>
      </c>
      <c r="H2977" s="3" t="s">
        <v>6767</v>
      </c>
      <c r="I2977" s="10" t="str">
        <f>IF(H2977="T46",1,IF(H2977="T46",3,IF(H2977="T62",6,IF(H2977="T62",10,IF(H2977="T94",14,IF(H2977="T94",18,IF(H2977="T62",22,"")))))))</f>
        <v/>
      </c>
      <c r="J2977" s="1" t="s">
        <v>1808</v>
      </c>
      <c r="K2977" s="10">
        <v>4</v>
      </c>
      <c r="L2977" s="10">
        <v>1</v>
      </c>
      <c r="O2977" s="6"/>
      <c r="Q2977" s="42" t="s">
        <v>6870</v>
      </c>
      <c r="R2977" s="42"/>
      <c r="S2977" s="1"/>
    </row>
    <row r="2978" spans="1:19" ht="18.75" hidden="1" customHeight="1" x14ac:dyDescent="0.3">
      <c r="A2978" s="10">
        <v>2977</v>
      </c>
      <c r="B2978" s="10">
        <f>_xlfn.XLOOKUP(1,(VALUE(D2978)&gt;=VALUE(block!$C$3:$C$500))*(VALUE(D2978)&lt;VALUE(block!$C$3:$C$500)+VALUE(block!$D$3:$D$500)),block!$A$3:$A$500,"无匹配",0,1)</f>
        <v>79</v>
      </c>
      <c r="C2978" s="3" t="str">
        <f>B2978 &amp; "-" &amp; COUNTIF($B$2:B2978, B2978)</f>
        <v>79-9</v>
      </c>
      <c r="D2978" s="10">
        <v>21928</v>
      </c>
      <c r="E2978" s="1" t="s">
        <v>7389</v>
      </c>
      <c r="F2978" s="1" t="s">
        <v>7390</v>
      </c>
      <c r="G2978" s="1" t="s">
        <v>1840</v>
      </c>
      <c r="H2978" s="1" t="s">
        <v>1812</v>
      </c>
      <c r="I2978" s="10" t="str">
        <f>IF(H2978="T47",1,IF(H2978="T47",3,IF(H2978="T63",6,IF(H2978="T63",10,IF(H2978="T95",14,IF(H2978="T95",18,IF(H2978="T63",22,"")))))))</f>
        <v/>
      </c>
      <c r="J2978" s="1" t="s">
        <v>1808</v>
      </c>
      <c r="K2978" s="10">
        <v>2</v>
      </c>
      <c r="L2978" s="10">
        <v>1</v>
      </c>
      <c r="O2978" s="6"/>
      <c r="P2978" s="10">
        <v>6</v>
      </c>
      <c r="Q2978" s="42" t="s">
        <v>6870</v>
      </c>
      <c r="R2978" s="42"/>
      <c r="S2978" s="1"/>
    </row>
    <row r="2979" spans="1:19" ht="18.75" hidden="1" customHeight="1" x14ac:dyDescent="0.3">
      <c r="A2979" s="10">
        <v>2978</v>
      </c>
      <c r="B2979" s="10">
        <f>_xlfn.XLOOKUP(1,(VALUE(D2979)&gt;=VALUE(block!$C$3:$C$500))*(VALUE(D2979)&lt;VALUE(block!$C$3:$C$500)+VALUE(block!$D$3:$D$500)),block!$A$3:$A$500,"无匹配",0,1)</f>
        <v>79</v>
      </c>
      <c r="C2979" s="3" t="str">
        <f>B2979 &amp; "-" &amp; COUNTIF($B$2:B2979, B2979)</f>
        <v>79-10</v>
      </c>
      <c r="D2979" s="10">
        <v>21930</v>
      </c>
      <c r="E2979" s="1" t="s">
        <v>7391</v>
      </c>
      <c r="F2979" s="1" t="s">
        <v>7392</v>
      </c>
      <c r="H2979" s="3" t="s">
        <v>6767</v>
      </c>
      <c r="I2979" s="10" t="str">
        <f>IF(H2979="T48",1,IF(H2979="T48",3,IF(H2979="T64",6,IF(H2979="T64",10,IF(H2979="T96",14,IF(H2979="T96",18,IF(H2979="T64",22,"")))))))</f>
        <v/>
      </c>
      <c r="J2979" s="1" t="s">
        <v>1808</v>
      </c>
      <c r="K2979" s="10">
        <v>4</v>
      </c>
      <c r="L2979" s="10">
        <v>1</v>
      </c>
      <c r="O2979" s="6"/>
      <c r="Q2979" s="42" t="s">
        <v>6870</v>
      </c>
      <c r="R2979" s="42"/>
      <c r="S2979" s="1"/>
    </row>
    <row r="2980" spans="1:19" ht="18.75" hidden="1" customHeight="1" x14ac:dyDescent="0.3">
      <c r="A2980" s="10">
        <v>2979</v>
      </c>
      <c r="B2980" s="10">
        <f>_xlfn.XLOOKUP(1,(VALUE(D2980)&gt;=VALUE(block!$C$3:$C$500))*(VALUE(D2980)&lt;VALUE(block!$C$3:$C$500)+VALUE(block!$D$3:$D$500)),block!$A$3:$A$500,"无匹配",0,1)</f>
        <v>79</v>
      </c>
      <c r="C2980" s="3" t="str">
        <f>B2980 &amp; "-" &amp; COUNTIF($B$2:B2980, B2980)</f>
        <v>79-11</v>
      </c>
      <c r="D2980" s="10">
        <v>21934</v>
      </c>
      <c r="E2980" s="1" t="s">
        <v>7393</v>
      </c>
      <c r="F2980" s="1" t="s">
        <v>7394</v>
      </c>
      <c r="G2980" s="1" t="s">
        <v>1840</v>
      </c>
      <c r="H2980" s="1" t="s">
        <v>1812</v>
      </c>
      <c r="I2980" s="10" t="str">
        <f>IF(H2980="T49",1,IF(H2980="T49",3,IF(H2980="T65",6,IF(H2980="T65",10,IF(H2980="T97",14,IF(H2980="T97",18,IF(H2980="T65",22,"")))))))</f>
        <v/>
      </c>
      <c r="J2980" s="1" t="s">
        <v>1808</v>
      </c>
      <c r="K2980" s="10">
        <v>2</v>
      </c>
      <c r="L2980" s="10">
        <v>1</v>
      </c>
      <c r="O2980" s="6"/>
      <c r="P2980" s="10">
        <v>6</v>
      </c>
      <c r="Q2980" s="42" t="s">
        <v>6870</v>
      </c>
      <c r="R2980" s="42"/>
      <c r="S2980" s="1"/>
    </row>
    <row r="2981" spans="1:19" ht="18.75" hidden="1" customHeight="1" x14ac:dyDescent="0.3">
      <c r="A2981" s="10">
        <v>2980</v>
      </c>
      <c r="B2981" s="10">
        <f>_xlfn.XLOOKUP(1,(VALUE(D2981)&gt;=VALUE(block!$C$3:$C$500))*(VALUE(D2981)&lt;VALUE(block!$C$3:$C$500)+VALUE(block!$D$3:$D$500)),block!$A$3:$A$500,"无匹配",0,1)</f>
        <v>79</v>
      </c>
      <c r="C2981" s="3" t="str">
        <f>B2981 &amp; "-" &amp; COUNTIF($B$2:B2981, B2981)</f>
        <v>79-12</v>
      </c>
      <c r="D2981" s="10">
        <v>21936</v>
      </c>
      <c r="E2981" s="1" t="s">
        <v>7395</v>
      </c>
      <c r="F2981" s="1" t="s">
        <v>7396</v>
      </c>
      <c r="H2981" s="3" t="s">
        <v>6767</v>
      </c>
      <c r="I2981" s="10" t="str">
        <f>IF(H2981="T50",1,IF(H2981="T50",3,IF(H2981="T66",6,IF(H2981="T66",10,IF(H2981="T98",14,IF(H2981="T98",18,IF(H2981="T66",22,"")))))))</f>
        <v/>
      </c>
      <c r="J2981" s="1" t="s">
        <v>1808</v>
      </c>
      <c r="K2981" s="10">
        <v>4</v>
      </c>
      <c r="L2981" s="10">
        <v>1</v>
      </c>
      <c r="O2981" s="6"/>
      <c r="Q2981" s="42" t="s">
        <v>6870</v>
      </c>
      <c r="R2981" s="42"/>
      <c r="S2981" s="1"/>
    </row>
    <row r="2982" spans="1:19" ht="18.75" hidden="1" customHeight="1" x14ac:dyDescent="0.3">
      <c r="A2982" s="10">
        <v>2981</v>
      </c>
      <c r="B2982" s="10">
        <f>_xlfn.XLOOKUP(1,(VALUE(D2982)&gt;=VALUE(block!$C$3:$C$500))*(VALUE(D2982)&lt;VALUE(block!$C$3:$C$500)+VALUE(block!$D$3:$D$500)),block!$A$3:$A$500,"无匹配",0,1)</f>
        <v>79</v>
      </c>
      <c r="C2982" s="3" t="str">
        <f>B2982 &amp; "-" &amp; COUNTIF($B$2:B2982, B2982)</f>
        <v>79-13</v>
      </c>
      <c r="D2982" s="10">
        <v>21940</v>
      </c>
      <c r="E2982" s="1" t="s">
        <v>7397</v>
      </c>
      <c r="F2982" s="1" t="s">
        <v>7398</v>
      </c>
      <c r="G2982" s="1" t="s">
        <v>1830</v>
      </c>
      <c r="H2982" s="1" t="s">
        <v>1812</v>
      </c>
      <c r="I2982" s="10" t="str">
        <f>IF(H2982="T51",1,IF(H2982="T51",3,IF(H2982="T67",6,IF(H2982="T67",10,IF(H2982="T99",14,IF(H2982="T99",18,IF(H2982="T67",22,"")))))))</f>
        <v/>
      </c>
      <c r="J2982" s="1" t="s">
        <v>1808</v>
      </c>
      <c r="K2982" s="10">
        <v>2</v>
      </c>
      <c r="L2982" s="10">
        <v>1</v>
      </c>
      <c r="O2982" s="6"/>
      <c r="P2982" s="10">
        <v>6</v>
      </c>
      <c r="Q2982" s="42" t="s">
        <v>6870</v>
      </c>
      <c r="R2982" s="42"/>
      <c r="S2982" s="1"/>
    </row>
    <row r="2983" spans="1:19" ht="18.75" hidden="1" customHeight="1" x14ac:dyDescent="0.3">
      <c r="A2983" s="10">
        <v>2982</v>
      </c>
      <c r="B2983" s="10">
        <f>_xlfn.XLOOKUP(1,(VALUE(D2983)&gt;=VALUE(block!$C$3:$C$500))*(VALUE(D2983)&lt;VALUE(block!$C$3:$C$500)+VALUE(block!$D$3:$D$500)),block!$A$3:$A$500,"无匹配",0,1)</f>
        <v>79</v>
      </c>
      <c r="C2983" s="3" t="str">
        <f>B2983 &amp; "-" &amp; COUNTIF($B$2:B2983, B2983)</f>
        <v>79-14</v>
      </c>
      <c r="D2983" s="10">
        <v>21942</v>
      </c>
      <c r="E2983" s="1" t="s">
        <v>7399</v>
      </c>
      <c r="F2983" s="1" t="s">
        <v>7400</v>
      </c>
      <c r="H2983" s="3" t="s">
        <v>6767</v>
      </c>
      <c r="I2983" s="10" t="str">
        <f>IF(H2983="T52",1,IF(H2983="T52",3,IF(H2983="T68",6,IF(H2983="T68",10,IF(H2983="T100",14,IF(H2983="T100",18,IF(H2983="T68",22,"")))))))</f>
        <v/>
      </c>
      <c r="J2983" s="1" t="s">
        <v>1808</v>
      </c>
      <c r="K2983" s="10">
        <v>4</v>
      </c>
      <c r="L2983" s="10">
        <v>1</v>
      </c>
      <c r="O2983" s="6"/>
      <c r="Q2983" s="42" t="s">
        <v>6870</v>
      </c>
      <c r="R2983" s="42"/>
      <c r="S2983" s="1"/>
    </row>
    <row r="2984" spans="1:19" ht="18.75" hidden="1" customHeight="1" x14ac:dyDescent="0.3">
      <c r="A2984" s="10">
        <v>2983</v>
      </c>
      <c r="B2984" s="10">
        <f>_xlfn.XLOOKUP(1,(VALUE(D2984)&gt;=VALUE(block!$C$3:$C$500))*(VALUE(D2984)&lt;VALUE(block!$C$3:$C$500)+VALUE(block!$D$3:$D$500)),block!$A$3:$A$500,"无匹配",0,1)</f>
        <v>79</v>
      </c>
      <c r="C2984" s="3" t="str">
        <f>B2984 &amp; "-" &amp; COUNTIF($B$2:B2984, B2984)</f>
        <v>79-15</v>
      </c>
      <c r="D2984" s="10">
        <v>21946</v>
      </c>
      <c r="E2984" s="1" t="s">
        <v>7401</v>
      </c>
      <c r="F2984" s="1" t="s">
        <v>7402</v>
      </c>
      <c r="G2984" s="1" t="s">
        <v>1832</v>
      </c>
      <c r="H2984" s="1" t="s">
        <v>1812</v>
      </c>
      <c r="I2984" s="10" t="str">
        <f>IF(H2984="T53",1,IF(H2984="T53",3,IF(H2984="T69",6,IF(H2984="T69",10,IF(H2984="T101",14,IF(H2984="T101",18,IF(H2984="T69",22,"")))))))</f>
        <v/>
      </c>
      <c r="J2984" s="1" t="s">
        <v>1808</v>
      </c>
      <c r="K2984" s="10">
        <v>2</v>
      </c>
      <c r="L2984" s="10">
        <v>1</v>
      </c>
      <c r="O2984" s="6"/>
      <c r="P2984" s="10">
        <v>6</v>
      </c>
      <c r="Q2984" s="42" t="s">
        <v>6870</v>
      </c>
      <c r="R2984" s="42"/>
      <c r="S2984" s="1"/>
    </row>
    <row r="2985" spans="1:19" ht="18.75" hidden="1" customHeight="1" x14ac:dyDescent="0.3">
      <c r="A2985" s="10">
        <v>2984</v>
      </c>
      <c r="B2985" s="10">
        <f>_xlfn.XLOOKUP(1,(VALUE(D2985)&gt;=VALUE(block!$C$3:$C$500))*(VALUE(D2985)&lt;VALUE(block!$C$3:$C$500)+VALUE(block!$D$3:$D$500)),block!$A$3:$A$500,"无匹配",0,1)</f>
        <v>79</v>
      </c>
      <c r="C2985" s="3" t="str">
        <f>B2985 &amp; "-" &amp; COUNTIF($B$2:B2985, B2985)</f>
        <v>79-16</v>
      </c>
      <c r="D2985" s="10">
        <v>21948</v>
      </c>
      <c r="E2985" s="1" t="s">
        <v>7403</v>
      </c>
      <c r="F2985" s="1" t="s">
        <v>7404</v>
      </c>
      <c r="H2985" s="3" t="s">
        <v>6767</v>
      </c>
      <c r="I2985" s="10" t="str">
        <f>IF(H2985="T54",1,IF(H2985="T54",3,IF(H2985="T70",6,IF(H2985="T70",10,IF(H2985="T102",14,IF(H2985="T102",18,IF(H2985="T70",22,"")))))))</f>
        <v/>
      </c>
      <c r="J2985" s="1" t="s">
        <v>1808</v>
      </c>
      <c r="K2985" s="10">
        <v>4</v>
      </c>
      <c r="L2985" s="10">
        <v>1</v>
      </c>
      <c r="O2985" s="6"/>
      <c r="Q2985" s="42" t="s">
        <v>6870</v>
      </c>
      <c r="R2985" s="42"/>
      <c r="S2985" s="1"/>
    </row>
    <row r="2986" spans="1:19" ht="18.75" hidden="1" customHeight="1" x14ac:dyDescent="0.3">
      <c r="A2986" s="10">
        <v>2985</v>
      </c>
      <c r="B2986" s="10">
        <f>_xlfn.XLOOKUP(1,(VALUE(D2986)&gt;=VALUE(block!$C$3:$C$500))*(VALUE(D2986)&lt;VALUE(block!$C$3:$C$500)+VALUE(block!$D$3:$D$500)),block!$A$3:$A$500,"无匹配",0,1)</f>
        <v>79</v>
      </c>
      <c r="C2986" s="3" t="str">
        <f>B2986 &amp; "-" &amp; COUNTIF($B$2:B2986, B2986)</f>
        <v>79-17</v>
      </c>
      <c r="D2986" s="10">
        <v>21952</v>
      </c>
      <c r="E2986" s="1" t="s">
        <v>7405</v>
      </c>
      <c r="F2986" s="1" t="s">
        <v>7406</v>
      </c>
      <c r="G2986" s="1" t="s">
        <v>1834</v>
      </c>
      <c r="H2986" s="1" t="s">
        <v>1812</v>
      </c>
      <c r="I2986" s="10" t="str">
        <f>IF(H2986="T55",1,IF(H2986="T55",3,IF(H2986="T71",6,IF(H2986="T71",10,IF(H2986="T103",14,IF(H2986="T103",18,IF(H2986="T71",22,"")))))))</f>
        <v/>
      </c>
      <c r="J2986" s="1" t="s">
        <v>1808</v>
      </c>
      <c r="K2986" s="10">
        <v>2</v>
      </c>
      <c r="L2986" s="10">
        <v>1</v>
      </c>
      <c r="O2986" s="6"/>
      <c r="P2986" s="10">
        <v>6</v>
      </c>
      <c r="Q2986" s="42" t="s">
        <v>6870</v>
      </c>
      <c r="R2986" s="42"/>
      <c r="S2986" s="1"/>
    </row>
    <row r="2987" spans="1:19" ht="18.75" hidden="1" customHeight="1" x14ac:dyDescent="0.3">
      <c r="A2987" s="10">
        <v>2986</v>
      </c>
      <c r="B2987" s="10">
        <f>_xlfn.XLOOKUP(1,(VALUE(D2987)&gt;=VALUE(block!$C$3:$C$500))*(VALUE(D2987)&lt;VALUE(block!$C$3:$C$500)+VALUE(block!$D$3:$D$500)),block!$A$3:$A$500,"无匹配",0,1)</f>
        <v>79</v>
      </c>
      <c r="C2987" s="3" t="str">
        <f>B2987 &amp; "-" &amp; COUNTIF($B$2:B2987, B2987)</f>
        <v>79-18</v>
      </c>
      <c r="D2987" s="10">
        <v>21954</v>
      </c>
      <c r="E2987" s="1" t="s">
        <v>7407</v>
      </c>
      <c r="F2987" s="1" t="s">
        <v>7408</v>
      </c>
      <c r="H2987" s="3" t="s">
        <v>6767</v>
      </c>
      <c r="I2987" s="10" t="str">
        <f>IF(H2987="T56",1,IF(H2987="T56",3,IF(H2987="T72",6,IF(H2987="T72",10,IF(H2987="T104",14,IF(H2987="T104",18,IF(H2987="T72",22,"")))))))</f>
        <v/>
      </c>
      <c r="J2987" s="1" t="s">
        <v>1808</v>
      </c>
      <c r="K2987" s="10">
        <v>4</v>
      </c>
      <c r="L2987" s="10">
        <v>1</v>
      </c>
      <c r="O2987" s="6"/>
      <c r="Q2987" s="42" t="s">
        <v>6870</v>
      </c>
      <c r="R2987" s="42"/>
      <c r="S2987" s="1"/>
    </row>
    <row r="2988" spans="1:19" ht="18.75" hidden="1" customHeight="1" x14ac:dyDescent="0.3">
      <c r="A2988" s="10">
        <v>2987</v>
      </c>
      <c r="B2988" s="10">
        <f>_xlfn.XLOOKUP(1,(VALUE(D2988)&gt;=VALUE(block!$C$3:$C$500))*(VALUE(D2988)&lt;VALUE(block!$C$3:$C$500)+VALUE(block!$D$3:$D$500)),block!$A$3:$A$500,"无匹配",0,1)</f>
        <v>79</v>
      </c>
      <c r="C2988" s="3" t="str">
        <f>B2988 &amp; "-" &amp; COUNTIF($B$2:B2988, B2988)</f>
        <v>79-19</v>
      </c>
      <c r="D2988" s="10">
        <v>21958</v>
      </c>
      <c r="E2988" s="1" t="s">
        <v>7409</v>
      </c>
      <c r="F2988" s="1" t="s">
        <v>7410</v>
      </c>
      <c r="G2988" s="1" t="s">
        <v>1836</v>
      </c>
      <c r="H2988" s="1" t="s">
        <v>1812</v>
      </c>
      <c r="I2988" s="10" t="str">
        <f>IF(H2988="T57",1,IF(H2988="T57",3,IF(H2988="T73",6,IF(H2988="T73",10,IF(H2988="T105",14,IF(H2988="T105",18,IF(H2988="T73",22,"")))))))</f>
        <v/>
      </c>
      <c r="J2988" s="1" t="s">
        <v>1808</v>
      </c>
      <c r="K2988" s="10">
        <v>2</v>
      </c>
      <c r="L2988" s="10">
        <v>1</v>
      </c>
      <c r="O2988" s="6"/>
      <c r="P2988" s="10">
        <v>6</v>
      </c>
      <c r="Q2988" s="42" t="s">
        <v>6870</v>
      </c>
      <c r="R2988" s="42"/>
      <c r="S2988" s="1"/>
    </row>
    <row r="2989" spans="1:19" ht="18.75" hidden="1" customHeight="1" x14ac:dyDescent="0.3">
      <c r="A2989" s="10">
        <v>2988</v>
      </c>
      <c r="B2989" s="10">
        <f>_xlfn.XLOOKUP(1,(VALUE(D2989)&gt;=VALUE(block!$C$3:$C$500))*(VALUE(D2989)&lt;VALUE(block!$C$3:$C$500)+VALUE(block!$D$3:$D$500)),block!$A$3:$A$500,"无匹配",0,1)</f>
        <v>79</v>
      </c>
      <c r="C2989" s="3" t="str">
        <f>B2989 &amp; "-" &amp; COUNTIF($B$2:B2989, B2989)</f>
        <v>79-20</v>
      </c>
      <c r="D2989" s="10">
        <v>21960</v>
      </c>
      <c r="E2989" s="1" t="s">
        <v>7411</v>
      </c>
      <c r="F2989" s="1" t="s">
        <v>7412</v>
      </c>
      <c r="H2989" s="3" t="s">
        <v>6767</v>
      </c>
      <c r="I2989" s="10" t="str">
        <f>IF(H2989="T58",1,IF(H2989="T58",3,IF(H2989="T74",6,IF(H2989="T74",10,IF(H2989="T106",14,IF(H2989="T106",18,IF(H2989="T74",22,"")))))))</f>
        <v/>
      </c>
      <c r="J2989" s="1" t="s">
        <v>1808</v>
      </c>
      <c r="K2989" s="10">
        <v>4</v>
      </c>
      <c r="L2989" s="10">
        <v>1</v>
      </c>
      <c r="O2989" s="6"/>
      <c r="Q2989" s="42" t="s">
        <v>6870</v>
      </c>
      <c r="R2989" s="42"/>
      <c r="S2989" s="1"/>
    </row>
    <row r="2990" spans="1:19" ht="18.75" hidden="1" customHeight="1" x14ac:dyDescent="0.3">
      <c r="A2990" s="10">
        <v>2989</v>
      </c>
      <c r="B2990" s="10">
        <f>_xlfn.XLOOKUP(1,(VALUE(D2990)&gt;=VALUE(block!$C$3:$C$500))*(VALUE(D2990)&lt;VALUE(block!$C$3:$C$500)+VALUE(block!$D$3:$D$500)),block!$A$3:$A$500,"无匹配",0,1)</f>
        <v>79</v>
      </c>
      <c r="C2990" s="3" t="str">
        <f>B2990 &amp; "-" &amp; COUNTIF($B$2:B2990, B2990)</f>
        <v>79-21</v>
      </c>
      <c r="D2990" s="10">
        <v>21964</v>
      </c>
      <c r="E2990" s="1" t="s">
        <v>7413</v>
      </c>
      <c r="F2990" s="1" t="s">
        <v>7414</v>
      </c>
      <c r="G2990" s="1" t="s">
        <v>1840</v>
      </c>
      <c r="H2990" s="1" t="s">
        <v>1812</v>
      </c>
      <c r="I2990" s="10" t="str">
        <f>IF(H2990="T59",1,IF(H2990="T59",3,IF(H2990="T75",6,IF(H2990="T75",10,IF(H2990="T107",14,IF(H2990="T107",18,IF(H2990="T75",22,"")))))))</f>
        <v/>
      </c>
      <c r="J2990" s="1" t="s">
        <v>1808</v>
      </c>
      <c r="K2990" s="10">
        <v>2</v>
      </c>
      <c r="L2990" s="10">
        <v>1</v>
      </c>
      <c r="O2990" s="6"/>
      <c r="P2990" s="10">
        <v>6</v>
      </c>
      <c r="Q2990" s="42" t="s">
        <v>6870</v>
      </c>
      <c r="R2990" s="42"/>
      <c r="S2990" s="1"/>
    </row>
    <row r="2991" spans="1:19" ht="18.75" hidden="1" customHeight="1" x14ac:dyDescent="0.3">
      <c r="A2991" s="10">
        <v>2990</v>
      </c>
      <c r="B2991" s="10">
        <f>_xlfn.XLOOKUP(1,(VALUE(D2991)&gt;=VALUE(block!$C$3:$C$500))*(VALUE(D2991)&lt;VALUE(block!$C$3:$C$500)+VALUE(block!$D$3:$D$500)),block!$A$3:$A$500,"无匹配",0,1)</f>
        <v>79</v>
      </c>
      <c r="C2991" s="3" t="str">
        <f>B2991 &amp; "-" &amp; COUNTIF($B$2:B2991, B2991)</f>
        <v>79-22</v>
      </c>
      <c r="D2991" s="10">
        <v>21966</v>
      </c>
      <c r="E2991" s="1" t="s">
        <v>7415</v>
      </c>
      <c r="F2991" s="1" t="s">
        <v>7416</v>
      </c>
      <c r="H2991" s="3" t="s">
        <v>6767</v>
      </c>
      <c r="I2991" s="10" t="str">
        <f>IF(H2991="T60",1,IF(H2991="T60",3,IF(H2991="T76",6,IF(H2991="T76",10,IF(H2991="T108",14,IF(H2991="T108",18,IF(H2991="T76",22,"")))))))</f>
        <v/>
      </c>
      <c r="J2991" s="1" t="s">
        <v>1808</v>
      </c>
      <c r="K2991" s="10">
        <v>4</v>
      </c>
      <c r="L2991" s="10">
        <v>1</v>
      </c>
      <c r="O2991" s="6"/>
      <c r="Q2991" s="42" t="s">
        <v>6870</v>
      </c>
      <c r="R2991" s="42"/>
      <c r="S2991" s="1"/>
    </row>
    <row r="2992" spans="1:19" ht="18.75" hidden="1" customHeight="1" x14ac:dyDescent="0.3">
      <c r="A2992" s="10">
        <v>2991</v>
      </c>
      <c r="B2992" s="10">
        <f>_xlfn.XLOOKUP(1,(VALUE(D2992)&gt;=VALUE(block!$C$3:$C$500))*(VALUE(D2992)&lt;VALUE(block!$C$3:$C$500)+VALUE(block!$D$3:$D$500)),block!$A$3:$A$500,"无匹配",0,1)</f>
        <v>79</v>
      </c>
      <c r="C2992" s="3" t="str">
        <f>B2992 &amp; "-" &amp; COUNTIF($B$2:B2992, B2992)</f>
        <v>79-23</v>
      </c>
      <c r="D2992" s="10">
        <v>21970</v>
      </c>
      <c r="E2992" s="1" t="s">
        <v>7417</v>
      </c>
      <c r="F2992" s="1" t="s">
        <v>7418</v>
      </c>
      <c r="G2992" s="1" t="s">
        <v>1840</v>
      </c>
      <c r="H2992" s="1" t="s">
        <v>1812</v>
      </c>
      <c r="I2992" s="10" t="str">
        <f>IF(H2992="T61",1,IF(H2992="T61",3,IF(H2992="T77",6,IF(H2992="T77",10,IF(H2992="T109",14,IF(H2992="T109",18,IF(H2992="T77",22,"")))))))</f>
        <v/>
      </c>
      <c r="J2992" s="1" t="s">
        <v>1808</v>
      </c>
      <c r="K2992" s="10">
        <v>2</v>
      </c>
      <c r="L2992" s="10">
        <v>1</v>
      </c>
      <c r="O2992" s="6"/>
      <c r="P2992" s="10">
        <v>6</v>
      </c>
      <c r="Q2992" s="42" t="s">
        <v>6870</v>
      </c>
      <c r="R2992" s="42"/>
      <c r="S2992" s="1"/>
    </row>
    <row r="2993" spans="1:19" ht="18.75" hidden="1" customHeight="1" x14ac:dyDescent="0.3">
      <c r="A2993" s="10">
        <v>2992</v>
      </c>
      <c r="B2993" s="10">
        <f>_xlfn.XLOOKUP(1,(VALUE(D2993)&gt;=VALUE(block!$C$3:$C$500))*(VALUE(D2993)&lt;VALUE(block!$C$3:$C$500)+VALUE(block!$D$3:$D$500)),block!$A$3:$A$500,"无匹配",0,1)</f>
        <v>79</v>
      </c>
      <c r="C2993" s="3" t="str">
        <f>B2993 &amp; "-" &amp; COUNTIF($B$2:B2993, B2993)</f>
        <v>79-24</v>
      </c>
      <c r="D2993" s="10">
        <v>21972</v>
      </c>
      <c r="E2993" s="1" t="s">
        <v>7419</v>
      </c>
      <c r="F2993" s="1" t="s">
        <v>7420</v>
      </c>
      <c r="H2993" s="3" t="s">
        <v>6767</v>
      </c>
      <c r="I2993" s="10" t="str">
        <f>IF(H2993="T62",1,IF(H2993="T62",3,IF(H2993="T78",6,IF(H2993="T78",10,IF(H2993="T110",14,IF(H2993="T110",18,IF(H2993="T78",22,"")))))))</f>
        <v/>
      </c>
      <c r="J2993" s="1" t="s">
        <v>1808</v>
      </c>
      <c r="K2993" s="10">
        <v>4</v>
      </c>
      <c r="L2993" s="10">
        <v>1</v>
      </c>
      <c r="O2993" s="6"/>
      <c r="Q2993" s="42" t="s">
        <v>6870</v>
      </c>
      <c r="R2993" s="42"/>
      <c r="S2993" s="1"/>
    </row>
    <row r="2994" spans="1:19" ht="18.75" hidden="1" customHeight="1" x14ac:dyDescent="0.3">
      <c r="A2994" s="10">
        <v>2993</v>
      </c>
      <c r="B2994" s="10">
        <f>_xlfn.XLOOKUP(1,(VALUE(D2994)&gt;=VALUE(block!$C$3:$C$500))*(VALUE(D2994)&lt;VALUE(block!$C$3:$C$500)+VALUE(block!$D$3:$D$500)),block!$A$3:$A$500,"无匹配",0,1)</f>
        <v>79</v>
      </c>
      <c r="C2994" s="3" t="str">
        <f>B2994 &amp; "-" &amp; COUNTIF($B$2:B2994, B2994)</f>
        <v>79-25</v>
      </c>
      <c r="D2994" s="10">
        <v>21976</v>
      </c>
      <c r="E2994" s="1" t="s">
        <v>7421</v>
      </c>
      <c r="F2994" s="1" t="s">
        <v>7422</v>
      </c>
      <c r="G2994" s="1" t="s">
        <v>1830</v>
      </c>
      <c r="H2994" s="1" t="s">
        <v>1812</v>
      </c>
      <c r="I2994" s="10" t="str">
        <f>IF(H2994="T63",1,IF(H2994="T63",3,IF(H2994="T79",6,IF(H2994="T79",10,IF(H2994="T111",14,IF(H2994="T111",18,IF(H2994="T79",22,"")))))))</f>
        <v/>
      </c>
      <c r="J2994" s="1" t="s">
        <v>1808</v>
      </c>
      <c r="K2994" s="10">
        <v>2</v>
      </c>
      <c r="L2994" s="10">
        <v>1</v>
      </c>
      <c r="O2994" s="6"/>
      <c r="P2994" s="10">
        <v>6</v>
      </c>
      <c r="Q2994" s="42" t="s">
        <v>6870</v>
      </c>
      <c r="R2994" s="42"/>
      <c r="S2994" s="1"/>
    </row>
    <row r="2995" spans="1:19" ht="18.75" hidden="1" customHeight="1" x14ac:dyDescent="0.3">
      <c r="A2995" s="10">
        <v>2994</v>
      </c>
      <c r="B2995" s="10">
        <f>_xlfn.XLOOKUP(1,(VALUE(D2995)&gt;=VALUE(block!$C$3:$C$500))*(VALUE(D2995)&lt;VALUE(block!$C$3:$C$500)+VALUE(block!$D$3:$D$500)),block!$A$3:$A$500,"无匹配",0,1)</f>
        <v>79</v>
      </c>
      <c r="C2995" s="3" t="str">
        <f>B2995 &amp; "-" &amp; COUNTIF($B$2:B2995, B2995)</f>
        <v>79-26</v>
      </c>
      <c r="D2995" s="10">
        <v>21978</v>
      </c>
      <c r="E2995" s="1" t="s">
        <v>7423</v>
      </c>
      <c r="F2995" s="1" t="s">
        <v>7424</v>
      </c>
      <c r="H2995" s="3" t="s">
        <v>6767</v>
      </c>
      <c r="I2995" s="10" t="str">
        <f>IF(H2995="T64",1,IF(H2995="T64",3,IF(H2995="T80",6,IF(H2995="T80",10,IF(H2995="T112",14,IF(H2995="T112",18,IF(H2995="T80",22,"")))))))</f>
        <v/>
      </c>
      <c r="J2995" s="1" t="s">
        <v>1808</v>
      </c>
      <c r="K2995" s="10">
        <v>4</v>
      </c>
      <c r="L2995" s="10">
        <v>1</v>
      </c>
      <c r="O2995" s="6"/>
      <c r="Q2995" s="42" t="s">
        <v>6870</v>
      </c>
      <c r="R2995" s="42"/>
      <c r="S2995" s="1"/>
    </row>
    <row r="2996" spans="1:19" ht="18.75" hidden="1" customHeight="1" x14ac:dyDescent="0.3">
      <c r="A2996" s="10">
        <v>2995</v>
      </c>
      <c r="B2996" s="10">
        <f>_xlfn.XLOOKUP(1,(VALUE(D2996)&gt;=VALUE(block!$C$3:$C$500))*(VALUE(D2996)&lt;VALUE(block!$C$3:$C$500)+VALUE(block!$D$3:$D$500)),block!$A$3:$A$500,"无匹配",0,1)</f>
        <v>79</v>
      </c>
      <c r="C2996" s="3" t="str">
        <f>B2996 &amp; "-" &amp; COUNTIF($B$2:B2996, B2996)</f>
        <v>79-27</v>
      </c>
      <c r="D2996" s="10">
        <v>21982</v>
      </c>
      <c r="E2996" s="1" t="s">
        <v>7425</v>
      </c>
      <c r="F2996" s="1" t="s">
        <v>7426</v>
      </c>
      <c r="G2996" s="1" t="s">
        <v>1832</v>
      </c>
      <c r="H2996" s="1" t="s">
        <v>1812</v>
      </c>
      <c r="I2996" s="10" t="str">
        <f>IF(H2996="T65",1,IF(H2996="T65",3,IF(H2996="T81",6,IF(H2996="T81",10,IF(H2996="T113",14,IF(H2996="T113",18,IF(H2996="T81",22,"")))))))</f>
        <v/>
      </c>
      <c r="J2996" s="1" t="s">
        <v>1808</v>
      </c>
      <c r="K2996" s="10">
        <v>2</v>
      </c>
      <c r="L2996" s="10">
        <v>1</v>
      </c>
      <c r="O2996" s="6"/>
      <c r="P2996" s="10">
        <v>6</v>
      </c>
      <c r="Q2996" s="42" t="s">
        <v>6870</v>
      </c>
      <c r="R2996" s="42"/>
      <c r="S2996" s="1"/>
    </row>
    <row r="2997" spans="1:19" ht="18.75" hidden="1" customHeight="1" x14ac:dyDescent="0.3">
      <c r="A2997" s="10">
        <v>2996</v>
      </c>
      <c r="B2997" s="10">
        <f>_xlfn.XLOOKUP(1,(VALUE(D2997)&gt;=VALUE(block!$C$3:$C$500))*(VALUE(D2997)&lt;VALUE(block!$C$3:$C$500)+VALUE(block!$D$3:$D$500)),block!$A$3:$A$500,"无匹配",0,1)</f>
        <v>79</v>
      </c>
      <c r="C2997" s="3" t="str">
        <f>B2997 &amp; "-" &amp; COUNTIF($B$2:B2997, B2997)</f>
        <v>79-28</v>
      </c>
      <c r="D2997" s="10">
        <v>21984</v>
      </c>
      <c r="E2997" s="1" t="s">
        <v>7427</v>
      </c>
      <c r="F2997" s="1" t="s">
        <v>7428</v>
      </c>
      <c r="H2997" s="3" t="s">
        <v>6767</v>
      </c>
      <c r="I2997" s="10" t="str">
        <f>IF(H2997="T66",1,IF(H2997="T66",3,IF(H2997="T82",6,IF(H2997="T82",10,IF(H2997="T114",14,IF(H2997="T114",18,IF(H2997="T82",22,"")))))))</f>
        <v/>
      </c>
      <c r="J2997" s="1" t="s">
        <v>1808</v>
      </c>
      <c r="K2997" s="10">
        <v>4</v>
      </c>
      <c r="L2997" s="10">
        <v>1</v>
      </c>
      <c r="O2997" s="6"/>
      <c r="Q2997" s="42" t="s">
        <v>6870</v>
      </c>
      <c r="R2997" s="42"/>
      <c r="S2997" s="1"/>
    </row>
    <row r="2998" spans="1:19" ht="18.75" hidden="1" customHeight="1" x14ac:dyDescent="0.3">
      <c r="A2998" s="10">
        <v>2997</v>
      </c>
      <c r="B2998" s="10">
        <f>_xlfn.XLOOKUP(1,(VALUE(D2998)&gt;=VALUE(block!$C$3:$C$500))*(VALUE(D2998)&lt;VALUE(block!$C$3:$C$500)+VALUE(block!$D$3:$D$500)),block!$A$3:$A$500,"无匹配",0,1)</f>
        <v>79</v>
      </c>
      <c r="C2998" s="3" t="str">
        <f>B2998 &amp; "-" &amp; COUNTIF($B$2:B2998, B2998)</f>
        <v>79-29</v>
      </c>
      <c r="D2998" s="10">
        <v>21988</v>
      </c>
      <c r="E2998" s="1" t="s">
        <v>7429</v>
      </c>
      <c r="F2998" s="1" t="s">
        <v>7430</v>
      </c>
      <c r="G2998" s="1" t="s">
        <v>1834</v>
      </c>
      <c r="H2998" s="1" t="s">
        <v>1812</v>
      </c>
      <c r="I2998" s="10" t="str">
        <f>IF(H2998="T67",1,IF(H2998="T67",3,IF(H2998="T83",6,IF(H2998="T83",10,IF(H2998="T115",14,IF(H2998="T115",18,IF(H2998="T83",22,"")))))))</f>
        <v/>
      </c>
      <c r="J2998" s="1" t="s">
        <v>1808</v>
      </c>
      <c r="K2998" s="10">
        <v>2</v>
      </c>
      <c r="L2998" s="10">
        <v>1</v>
      </c>
      <c r="O2998" s="6"/>
      <c r="P2998" s="10">
        <v>6</v>
      </c>
      <c r="Q2998" s="42" t="s">
        <v>6870</v>
      </c>
      <c r="R2998" s="42"/>
      <c r="S2998" s="1"/>
    </row>
    <row r="2999" spans="1:19" ht="18.75" hidden="1" customHeight="1" x14ac:dyDescent="0.3">
      <c r="A2999" s="10">
        <v>2998</v>
      </c>
      <c r="B2999" s="10">
        <f>_xlfn.XLOOKUP(1,(VALUE(D2999)&gt;=VALUE(block!$C$3:$C$500))*(VALUE(D2999)&lt;VALUE(block!$C$3:$C$500)+VALUE(block!$D$3:$D$500)),block!$A$3:$A$500,"无匹配",0,1)</f>
        <v>79</v>
      </c>
      <c r="C2999" s="3" t="str">
        <f>B2999 &amp; "-" &amp; COUNTIF($B$2:B2999, B2999)</f>
        <v>79-30</v>
      </c>
      <c r="D2999" s="10">
        <v>21990</v>
      </c>
      <c r="E2999" s="1" t="s">
        <v>7431</v>
      </c>
      <c r="F2999" s="1" t="s">
        <v>7432</v>
      </c>
      <c r="H2999" s="3" t="s">
        <v>6767</v>
      </c>
      <c r="I2999" s="10" t="str">
        <f>IF(H2999="T68",1,IF(H2999="T68",3,IF(H2999="T84",6,IF(H2999="T84",10,IF(H2999="T116",14,IF(H2999="T116",18,IF(H2999="T84",22,"")))))))</f>
        <v/>
      </c>
      <c r="J2999" s="1" t="s">
        <v>1808</v>
      </c>
      <c r="K2999" s="10">
        <v>4</v>
      </c>
      <c r="L2999" s="10">
        <v>1</v>
      </c>
      <c r="O2999" s="6"/>
      <c r="Q2999" s="42" t="s">
        <v>6870</v>
      </c>
      <c r="R2999" s="42"/>
      <c r="S2999" s="1"/>
    </row>
    <row r="3000" spans="1:19" ht="18.75" hidden="1" customHeight="1" x14ac:dyDescent="0.3">
      <c r="A3000" s="10">
        <v>2999</v>
      </c>
      <c r="B3000" s="10">
        <f>_xlfn.XLOOKUP(1,(VALUE(D3000)&gt;=VALUE(block!$C$3:$C$500))*(VALUE(D3000)&lt;VALUE(block!$C$3:$C$500)+VALUE(block!$D$3:$D$500)),block!$A$3:$A$500,"无匹配",0,1)</f>
        <v>79</v>
      </c>
      <c r="C3000" s="3" t="str">
        <f>B3000 &amp; "-" &amp; COUNTIF($B$2:B3000, B3000)</f>
        <v>79-31</v>
      </c>
      <c r="D3000" s="10">
        <v>21994</v>
      </c>
      <c r="E3000" s="1" t="s">
        <v>7433</v>
      </c>
      <c r="F3000" s="1" t="s">
        <v>7434</v>
      </c>
      <c r="G3000" s="1" t="s">
        <v>1836</v>
      </c>
      <c r="H3000" s="1" t="s">
        <v>1812</v>
      </c>
      <c r="I3000" s="10" t="str">
        <f>IF(H3000="T69",1,IF(H3000="T69",3,IF(H3000="T85",6,IF(H3000="T85",10,IF(H3000="T117",14,IF(H3000="T117",18,IF(H3000="T85",22,"")))))))</f>
        <v/>
      </c>
      <c r="J3000" s="1" t="s">
        <v>1808</v>
      </c>
      <c r="K3000" s="10">
        <v>2</v>
      </c>
      <c r="L3000" s="10">
        <v>1</v>
      </c>
      <c r="O3000" s="6"/>
      <c r="P3000" s="10">
        <v>6</v>
      </c>
      <c r="Q3000" s="42" t="s">
        <v>6870</v>
      </c>
      <c r="R3000" s="42"/>
      <c r="S3000" s="1"/>
    </row>
    <row r="3001" spans="1:19" ht="18.75" hidden="1" customHeight="1" x14ac:dyDescent="0.3">
      <c r="A3001" s="10">
        <v>3000</v>
      </c>
      <c r="B3001" s="10">
        <f>_xlfn.XLOOKUP(1,(VALUE(D3001)&gt;=VALUE(block!$C$3:$C$500))*(VALUE(D3001)&lt;VALUE(block!$C$3:$C$500)+VALUE(block!$D$3:$D$500)),block!$A$3:$A$500,"无匹配",0,1)</f>
        <v>79</v>
      </c>
      <c r="C3001" s="3" t="str">
        <f>B3001 &amp; "-" &amp; COUNTIF($B$2:B3001, B3001)</f>
        <v>79-32</v>
      </c>
      <c r="D3001" s="10">
        <v>21996</v>
      </c>
      <c r="E3001" s="1" t="s">
        <v>7435</v>
      </c>
      <c r="F3001" s="1" t="s">
        <v>7436</v>
      </c>
      <c r="H3001" s="3" t="s">
        <v>6767</v>
      </c>
      <c r="I3001" s="10" t="str">
        <f>IF(H3001="T70",1,IF(H3001="T70",3,IF(H3001="T86",6,IF(H3001="T86",10,IF(H3001="T118",14,IF(H3001="T118",18,IF(H3001="T86",22,"")))))))</f>
        <v/>
      </c>
      <c r="J3001" s="1" t="s">
        <v>1808</v>
      </c>
      <c r="K3001" s="10">
        <v>4</v>
      </c>
      <c r="L3001" s="10">
        <v>1</v>
      </c>
      <c r="O3001" s="6"/>
      <c r="Q3001" s="42" t="s">
        <v>6870</v>
      </c>
      <c r="R3001" s="42"/>
      <c r="S3001" s="1"/>
    </row>
    <row r="3002" spans="1:19" ht="18.75" hidden="1" customHeight="1" x14ac:dyDescent="0.3">
      <c r="A3002" s="10">
        <v>3001</v>
      </c>
      <c r="B3002" s="10">
        <f>_xlfn.XLOOKUP(1,(VALUE(D3002)&gt;=VALUE(block!$C$3:$C$500))*(VALUE(D3002)&lt;VALUE(block!$C$3:$C$500)+VALUE(block!$D$3:$D$500)),block!$A$3:$A$500,"无匹配",0,1)</f>
        <v>79</v>
      </c>
      <c r="C3002" s="3" t="str">
        <f>B3002 &amp; "-" &amp; COUNTIF($B$2:B3002, B3002)</f>
        <v>79-33</v>
      </c>
      <c r="D3002" s="10">
        <v>22000</v>
      </c>
      <c r="E3002" s="1" t="s">
        <v>7437</v>
      </c>
      <c r="F3002" s="1" t="s">
        <v>7438</v>
      </c>
      <c r="G3002" s="1" t="s">
        <v>1840</v>
      </c>
      <c r="H3002" s="1" t="s">
        <v>1812</v>
      </c>
      <c r="I3002" s="10" t="str">
        <f>IF(H3002="T71",1,IF(H3002="T71",3,IF(H3002="T87",6,IF(H3002="T87",10,IF(H3002="T119",14,IF(H3002="T119",18,IF(H3002="T87",22,"")))))))</f>
        <v/>
      </c>
      <c r="J3002" s="1" t="s">
        <v>1808</v>
      </c>
      <c r="K3002" s="10">
        <v>2</v>
      </c>
      <c r="L3002" s="10">
        <v>1</v>
      </c>
      <c r="O3002" s="6"/>
      <c r="P3002" s="10">
        <v>6</v>
      </c>
      <c r="Q3002" s="42" t="s">
        <v>6870</v>
      </c>
      <c r="R3002" s="42"/>
      <c r="S3002" s="1"/>
    </row>
    <row r="3003" spans="1:19" ht="18.75" hidden="1" customHeight="1" x14ac:dyDescent="0.3">
      <c r="A3003" s="10">
        <v>3002</v>
      </c>
      <c r="B3003" s="10">
        <f>_xlfn.XLOOKUP(1,(VALUE(D3003)&gt;=VALUE(block!$C$3:$C$500))*(VALUE(D3003)&lt;VALUE(block!$C$3:$C$500)+VALUE(block!$D$3:$D$500)),block!$A$3:$A$500,"无匹配",0,1)</f>
        <v>79</v>
      </c>
      <c r="C3003" s="3" t="str">
        <f>B3003 &amp; "-" &amp; COUNTIF($B$2:B3003, B3003)</f>
        <v>79-34</v>
      </c>
      <c r="D3003" s="10">
        <v>22002</v>
      </c>
      <c r="E3003" s="1" t="s">
        <v>7439</v>
      </c>
      <c r="F3003" s="1" t="s">
        <v>7440</v>
      </c>
      <c r="H3003" s="3" t="s">
        <v>6767</v>
      </c>
      <c r="I3003" s="10" t="str">
        <f>IF(H3003="T72",1,IF(H3003="T72",3,IF(H3003="T88",6,IF(H3003="T88",10,IF(H3003="T120",14,IF(H3003="T120",18,IF(H3003="T88",22,"")))))))</f>
        <v/>
      </c>
      <c r="J3003" s="1" t="s">
        <v>1808</v>
      </c>
      <c r="K3003" s="10">
        <v>4</v>
      </c>
      <c r="L3003" s="10">
        <v>1</v>
      </c>
      <c r="O3003" s="6"/>
      <c r="Q3003" s="42" t="s">
        <v>6870</v>
      </c>
      <c r="R3003" s="42"/>
      <c r="S3003" s="1"/>
    </row>
    <row r="3004" spans="1:19" ht="18.75" hidden="1" customHeight="1" x14ac:dyDescent="0.3">
      <c r="A3004" s="10">
        <v>3003</v>
      </c>
      <c r="B3004" s="10">
        <f>_xlfn.XLOOKUP(1,(VALUE(D3004)&gt;=VALUE(block!$C$3:$C$500))*(VALUE(D3004)&lt;VALUE(block!$C$3:$C$500)+VALUE(block!$D$3:$D$500)),block!$A$3:$A$500,"无匹配",0,1)</f>
        <v>79</v>
      </c>
      <c r="C3004" s="3" t="str">
        <f>B3004 &amp; "-" &amp; COUNTIF($B$2:B3004, B3004)</f>
        <v>79-35</v>
      </c>
      <c r="D3004" s="10">
        <v>22006</v>
      </c>
      <c r="E3004" s="1" t="s">
        <v>7441</v>
      </c>
      <c r="F3004" s="1" t="s">
        <v>7442</v>
      </c>
      <c r="G3004" s="1" t="s">
        <v>1840</v>
      </c>
      <c r="H3004" s="1" t="s">
        <v>1812</v>
      </c>
      <c r="I3004" s="10" t="str">
        <f>IF(H3004="T73",1,IF(H3004="T73",3,IF(H3004="T89",6,IF(H3004="T89",10,IF(H3004="T121",14,IF(H3004="T121",18,IF(H3004="T89",22,"")))))))</f>
        <v/>
      </c>
      <c r="J3004" s="1" t="s">
        <v>1808</v>
      </c>
      <c r="K3004" s="10">
        <v>2</v>
      </c>
      <c r="L3004" s="10">
        <v>1</v>
      </c>
      <c r="O3004" s="6"/>
      <c r="P3004" s="10">
        <v>6</v>
      </c>
      <c r="Q3004" s="42" t="s">
        <v>6870</v>
      </c>
      <c r="R3004" s="42"/>
      <c r="S3004" s="1"/>
    </row>
    <row r="3005" spans="1:19" ht="18.75" hidden="1" customHeight="1" x14ac:dyDescent="0.3">
      <c r="A3005" s="10">
        <v>3004</v>
      </c>
      <c r="B3005" s="10">
        <f>_xlfn.XLOOKUP(1,(VALUE(D3005)&gt;=VALUE(block!$C$3:$C$500))*(VALUE(D3005)&lt;VALUE(block!$C$3:$C$500)+VALUE(block!$D$3:$D$500)),block!$A$3:$A$500,"无匹配",0,1)</f>
        <v>79</v>
      </c>
      <c r="C3005" s="3" t="str">
        <f>B3005 &amp; "-" &amp; COUNTIF($B$2:B3005, B3005)</f>
        <v>79-36</v>
      </c>
      <c r="D3005" s="10">
        <v>22008</v>
      </c>
      <c r="E3005" s="1" t="s">
        <v>7443</v>
      </c>
      <c r="F3005" s="1" t="s">
        <v>7444</v>
      </c>
      <c r="H3005" s="3" t="s">
        <v>6767</v>
      </c>
      <c r="I3005" s="10" t="str">
        <f>IF(H3005="T74",1,IF(H3005="T74",3,IF(H3005="T90",6,IF(H3005="T90",10,IF(H3005="T122",14,IF(H3005="T122",18,IF(H3005="T90",22,"")))))))</f>
        <v/>
      </c>
      <c r="J3005" s="1" t="s">
        <v>1808</v>
      </c>
      <c r="K3005" s="10">
        <v>4</v>
      </c>
      <c r="L3005" s="10">
        <v>1</v>
      </c>
      <c r="O3005" s="6"/>
      <c r="Q3005" s="42" t="s">
        <v>6870</v>
      </c>
      <c r="R3005" s="42"/>
      <c r="S3005" s="1"/>
    </row>
    <row r="3006" spans="1:19" ht="18.75" hidden="1" customHeight="1" x14ac:dyDescent="0.3">
      <c r="A3006" s="10">
        <v>3005</v>
      </c>
      <c r="B3006" s="10">
        <f>_xlfn.XLOOKUP(1,(VALUE(D3006)&gt;=VALUE(block!$C$3:$C$500))*(VALUE(D3006)&lt;VALUE(block!$C$3:$C$500)+VALUE(block!$D$3:$D$500)),block!$A$3:$A$500,"无匹配",0,1)</f>
        <v>80</v>
      </c>
      <c r="C3006" s="3" t="str">
        <f>B3006 &amp; "-" &amp; COUNTIF($B$2:B3006, B3006)</f>
        <v>80-1</v>
      </c>
      <c r="D3006" s="10">
        <v>22012</v>
      </c>
      <c r="E3006" s="1" t="s">
        <v>7445</v>
      </c>
      <c r="F3006" s="1" t="s">
        <v>7446</v>
      </c>
      <c r="G3006" s="1" t="s">
        <v>1830</v>
      </c>
      <c r="H3006" s="1" t="s">
        <v>1812</v>
      </c>
      <c r="I3006" s="10" t="str">
        <f>IF(H3006="T75",1,IF(H3006="T75",3,IF(H3006="T91",6,IF(H3006="T91",10,IF(H3006="T123",14,IF(H3006="T123",18,IF(H3006="T91",22,"")))))))</f>
        <v/>
      </c>
      <c r="J3006" s="1" t="s">
        <v>1808</v>
      </c>
      <c r="K3006" s="10">
        <v>2</v>
      </c>
      <c r="L3006" s="10">
        <v>1</v>
      </c>
      <c r="O3006" s="6"/>
      <c r="P3006" s="10">
        <v>6</v>
      </c>
      <c r="Q3006" s="42" t="s">
        <v>6870</v>
      </c>
      <c r="R3006" s="42"/>
      <c r="S3006" s="1"/>
    </row>
    <row r="3007" spans="1:19" ht="18.75" hidden="1" customHeight="1" x14ac:dyDescent="0.3">
      <c r="A3007" s="10">
        <v>3006</v>
      </c>
      <c r="B3007" s="10">
        <f>_xlfn.XLOOKUP(1,(VALUE(D3007)&gt;=VALUE(block!$C$3:$C$500))*(VALUE(D3007)&lt;VALUE(block!$C$3:$C$500)+VALUE(block!$D$3:$D$500)),block!$A$3:$A$500,"无匹配",0,1)</f>
        <v>80</v>
      </c>
      <c r="C3007" s="3" t="str">
        <f>B3007 &amp; "-" &amp; COUNTIF($B$2:B3007, B3007)</f>
        <v>80-2</v>
      </c>
      <c r="D3007" s="10">
        <v>22014</v>
      </c>
      <c r="E3007" s="1" t="s">
        <v>7447</v>
      </c>
      <c r="F3007" s="1" t="s">
        <v>7448</v>
      </c>
      <c r="H3007" s="3" t="s">
        <v>6767</v>
      </c>
      <c r="I3007" s="10" t="str">
        <f>IF(H3007="T76",1,IF(H3007="T76",3,IF(H3007="T92",6,IF(H3007="T92",10,IF(H3007="T124",14,IF(H3007="T124",18,IF(H3007="T92",22,"")))))))</f>
        <v/>
      </c>
      <c r="J3007" s="1" t="s">
        <v>1808</v>
      </c>
      <c r="K3007" s="10">
        <v>4</v>
      </c>
      <c r="L3007" s="10">
        <v>1</v>
      </c>
      <c r="O3007" s="6"/>
      <c r="Q3007" s="42" t="s">
        <v>6870</v>
      </c>
      <c r="R3007" s="42"/>
      <c r="S3007" s="1"/>
    </row>
    <row r="3008" spans="1:19" ht="18.75" hidden="1" customHeight="1" x14ac:dyDescent="0.3">
      <c r="A3008" s="10">
        <v>3007</v>
      </c>
      <c r="B3008" s="10">
        <f>_xlfn.XLOOKUP(1,(VALUE(D3008)&gt;=VALUE(block!$C$3:$C$500))*(VALUE(D3008)&lt;VALUE(block!$C$3:$C$500)+VALUE(block!$D$3:$D$500)),block!$A$3:$A$500,"无匹配",0,1)</f>
        <v>80</v>
      </c>
      <c r="C3008" s="3" t="str">
        <f>B3008 &amp; "-" &amp; COUNTIF($B$2:B3008, B3008)</f>
        <v>80-3</v>
      </c>
      <c r="D3008" s="10">
        <v>22018</v>
      </c>
      <c r="E3008" s="1" t="s">
        <v>7449</v>
      </c>
      <c r="F3008" s="1" t="s">
        <v>7450</v>
      </c>
      <c r="G3008" s="1" t="s">
        <v>1832</v>
      </c>
      <c r="H3008" s="1" t="s">
        <v>1812</v>
      </c>
      <c r="I3008" s="10" t="str">
        <f>IF(H3008="T77",1,IF(H3008="T77",3,IF(H3008="T93",6,IF(H3008="T93",10,IF(H3008="T125",14,IF(H3008="T125",18,IF(H3008="T93",22,"")))))))</f>
        <v/>
      </c>
      <c r="J3008" s="1" t="s">
        <v>1808</v>
      </c>
      <c r="K3008" s="10">
        <v>2</v>
      </c>
      <c r="L3008" s="10">
        <v>1</v>
      </c>
      <c r="O3008" s="6"/>
      <c r="P3008" s="10">
        <v>6</v>
      </c>
      <c r="Q3008" s="42" t="s">
        <v>6870</v>
      </c>
      <c r="R3008" s="42"/>
      <c r="S3008" s="1"/>
    </row>
    <row r="3009" spans="1:19" ht="18.75" hidden="1" customHeight="1" x14ac:dyDescent="0.3">
      <c r="A3009" s="10">
        <v>3008</v>
      </c>
      <c r="B3009" s="10">
        <f>_xlfn.XLOOKUP(1,(VALUE(D3009)&gt;=VALUE(block!$C$3:$C$500))*(VALUE(D3009)&lt;VALUE(block!$C$3:$C$500)+VALUE(block!$D$3:$D$500)),block!$A$3:$A$500,"无匹配",0,1)</f>
        <v>80</v>
      </c>
      <c r="C3009" s="3" t="str">
        <f>B3009 &amp; "-" &amp; COUNTIF($B$2:B3009, B3009)</f>
        <v>80-4</v>
      </c>
      <c r="D3009" s="10">
        <v>22020</v>
      </c>
      <c r="E3009" s="1" t="s">
        <v>7451</v>
      </c>
      <c r="F3009" s="1" t="s">
        <v>7452</v>
      </c>
      <c r="H3009" s="3" t="s">
        <v>6767</v>
      </c>
      <c r="I3009" s="10" t="str">
        <f>IF(H3009="T78",1,IF(H3009="T78",3,IF(H3009="T94",6,IF(H3009="T94",10,IF(H3009="T126",14,IF(H3009="T126",18,IF(H3009="T94",22,"")))))))</f>
        <v/>
      </c>
      <c r="J3009" s="1" t="s">
        <v>1808</v>
      </c>
      <c r="K3009" s="10">
        <v>4</v>
      </c>
      <c r="L3009" s="10">
        <v>1</v>
      </c>
      <c r="O3009" s="6"/>
      <c r="Q3009" s="42" t="s">
        <v>6870</v>
      </c>
      <c r="R3009" s="42"/>
      <c r="S3009" s="1"/>
    </row>
    <row r="3010" spans="1:19" ht="18.75" hidden="1" customHeight="1" x14ac:dyDescent="0.3">
      <c r="A3010" s="10">
        <v>3009</v>
      </c>
      <c r="B3010" s="10">
        <f>_xlfn.XLOOKUP(1,(VALUE(D3010)&gt;=VALUE(block!$C$3:$C$500))*(VALUE(D3010)&lt;VALUE(block!$C$3:$C$500)+VALUE(block!$D$3:$D$500)),block!$A$3:$A$500,"无匹配",0,1)</f>
        <v>80</v>
      </c>
      <c r="C3010" s="3" t="str">
        <f>B3010 &amp; "-" &amp; COUNTIF($B$2:B3010, B3010)</f>
        <v>80-5</v>
      </c>
      <c r="D3010" s="10">
        <v>22024</v>
      </c>
      <c r="E3010" s="1" t="s">
        <v>7453</v>
      </c>
      <c r="F3010" s="1" t="s">
        <v>7454</v>
      </c>
      <c r="G3010" s="1" t="s">
        <v>1834</v>
      </c>
      <c r="H3010" s="1" t="s">
        <v>1812</v>
      </c>
      <c r="I3010" s="10" t="str">
        <f>IF(H3010="T79",1,IF(H3010="T79",3,IF(H3010="T95",6,IF(H3010="T95",10,IF(H3010="T127",14,IF(H3010="T127",18,IF(H3010="T95",22,"")))))))</f>
        <v/>
      </c>
      <c r="J3010" s="1" t="s">
        <v>1808</v>
      </c>
      <c r="K3010" s="10">
        <v>2</v>
      </c>
      <c r="L3010" s="10">
        <v>1</v>
      </c>
      <c r="O3010" s="6"/>
      <c r="P3010" s="10">
        <v>6</v>
      </c>
      <c r="Q3010" s="42" t="s">
        <v>6870</v>
      </c>
      <c r="R3010" s="42"/>
      <c r="S3010" s="1"/>
    </row>
    <row r="3011" spans="1:19" ht="18.75" hidden="1" customHeight="1" x14ac:dyDescent="0.3">
      <c r="A3011" s="10">
        <v>3010</v>
      </c>
      <c r="B3011" s="10">
        <f>_xlfn.XLOOKUP(1,(VALUE(D3011)&gt;=VALUE(block!$C$3:$C$500))*(VALUE(D3011)&lt;VALUE(block!$C$3:$C$500)+VALUE(block!$D$3:$D$500)),block!$A$3:$A$500,"无匹配",0,1)</f>
        <v>80</v>
      </c>
      <c r="C3011" s="3" t="str">
        <f>B3011 &amp; "-" &amp; COUNTIF($B$2:B3011, B3011)</f>
        <v>80-6</v>
      </c>
      <c r="D3011" s="10">
        <v>22026</v>
      </c>
      <c r="E3011" s="1" t="s">
        <v>7455</v>
      </c>
      <c r="F3011" s="1" t="s">
        <v>7456</v>
      </c>
      <c r="H3011" s="3" t="s">
        <v>6767</v>
      </c>
      <c r="I3011" s="10">
        <f>IF(H3011="uint16",1,IF(H3011="int16",3,IF(H3011="uint32",6,IF(H3011="int32",10,IF(H3011="uint64",14,IF(H3011="int64",18,IF(H3011="float32",22,"")))))))</f>
        <v>14</v>
      </c>
      <c r="J3011" s="1" t="s">
        <v>1808</v>
      </c>
      <c r="K3011" s="10">
        <v>4</v>
      </c>
      <c r="L3011" s="10">
        <v>1</v>
      </c>
      <c r="O3011" s="6"/>
      <c r="Q3011" s="42" t="s">
        <v>6870</v>
      </c>
      <c r="R3011" s="42"/>
      <c r="S3011" s="1"/>
    </row>
    <row r="3012" spans="1:19" ht="18.75" hidden="1" customHeight="1" x14ac:dyDescent="0.3">
      <c r="A3012" s="10">
        <v>3011</v>
      </c>
      <c r="B3012" s="10">
        <f>_xlfn.XLOOKUP(1,(VALUE(D3012)&gt;=VALUE(block!$C$3:$C$500))*(VALUE(D3012)&lt;VALUE(block!$C$3:$C$500)+VALUE(block!$D$3:$D$500)),block!$A$3:$A$500,"无匹配",0,1)</f>
        <v>80</v>
      </c>
      <c r="C3012" s="3" t="str">
        <f>B3012 &amp; "-" &amp; COUNTIF($B$2:B3012, B3012)</f>
        <v>80-7</v>
      </c>
      <c r="D3012" s="10">
        <v>22030</v>
      </c>
      <c r="E3012" s="1" t="s">
        <v>7457</v>
      </c>
      <c r="F3012" s="1" t="s">
        <v>7458</v>
      </c>
      <c r="G3012" s="1" t="s">
        <v>1836</v>
      </c>
      <c r="H3012" s="1" t="s">
        <v>1812</v>
      </c>
      <c r="I3012" s="10" t="str">
        <f>IF(H3012="T17",1,IF(H3012="T17",3,IF(H3012="T33",6,IF(H3012="T33",10,IF(H3012="T65",14,IF(H3012="T65",18,IF(H3012="T33",22,"")))))))</f>
        <v/>
      </c>
      <c r="J3012" s="1" t="s">
        <v>1808</v>
      </c>
      <c r="K3012" s="10">
        <v>2</v>
      </c>
      <c r="L3012" s="10">
        <v>1</v>
      </c>
      <c r="O3012" s="6"/>
      <c r="P3012" s="10">
        <v>6</v>
      </c>
      <c r="Q3012" s="42" t="s">
        <v>6870</v>
      </c>
      <c r="R3012" s="42"/>
      <c r="S3012" s="1"/>
    </row>
    <row r="3013" spans="1:19" ht="18.75" hidden="1" customHeight="1" x14ac:dyDescent="0.3">
      <c r="A3013" s="10">
        <v>3012</v>
      </c>
      <c r="B3013" s="10">
        <f>_xlfn.XLOOKUP(1,(VALUE(D3013)&gt;=VALUE(block!$C$3:$C$500))*(VALUE(D3013)&lt;VALUE(block!$C$3:$C$500)+VALUE(block!$D$3:$D$500)),block!$A$3:$A$500,"无匹配",0,1)</f>
        <v>80</v>
      </c>
      <c r="C3013" s="3" t="str">
        <f>B3013 &amp; "-" &amp; COUNTIF($B$2:B3013, B3013)</f>
        <v>80-8</v>
      </c>
      <c r="D3013" s="10">
        <v>22032</v>
      </c>
      <c r="E3013" s="1" t="s">
        <v>7459</v>
      </c>
      <c r="F3013" s="1" t="s">
        <v>7460</v>
      </c>
      <c r="H3013" s="3" t="s">
        <v>6767</v>
      </c>
      <c r="I3013" s="10" t="str">
        <f>IF(H3013="T18",1,IF(H3013="T18",3,IF(H3013="T34",6,IF(H3013="T34",10,IF(H3013="T66",14,IF(H3013="T66",18,IF(H3013="T34",22,"")))))))</f>
        <v/>
      </c>
      <c r="J3013" s="1" t="s">
        <v>1808</v>
      </c>
      <c r="K3013" s="10">
        <v>4</v>
      </c>
      <c r="L3013" s="10">
        <v>1</v>
      </c>
      <c r="O3013" s="6"/>
      <c r="Q3013" s="42" t="s">
        <v>6870</v>
      </c>
      <c r="R3013" s="42"/>
      <c r="S3013" s="1"/>
    </row>
    <row r="3014" spans="1:19" ht="18.75" hidden="1" customHeight="1" x14ac:dyDescent="0.3">
      <c r="A3014" s="10">
        <v>3013</v>
      </c>
      <c r="B3014" s="10">
        <f>_xlfn.XLOOKUP(1,(VALUE(D3014)&gt;=VALUE(block!$C$3:$C$500))*(VALUE(D3014)&lt;VALUE(block!$C$3:$C$500)+VALUE(block!$D$3:$D$500)),block!$A$3:$A$500,"无匹配",0,1)</f>
        <v>80</v>
      </c>
      <c r="C3014" s="3" t="str">
        <f>B3014 &amp; "-" &amp; COUNTIF($B$2:B3014, B3014)</f>
        <v>80-9</v>
      </c>
      <c r="D3014" s="10">
        <v>22036</v>
      </c>
      <c r="E3014" s="3" t="s">
        <v>7461</v>
      </c>
      <c r="F3014" s="1" t="s">
        <v>7462</v>
      </c>
      <c r="G3014" s="1" t="s">
        <v>1840</v>
      </c>
      <c r="H3014" s="1" t="s">
        <v>1812</v>
      </c>
      <c r="I3014" s="10" t="str">
        <f>IF(H3014="T19",1,IF(H3014="T19",3,IF(H3014="T35",6,IF(H3014="T35",10,IF(H3014="T67",14,IF(H3014="T67",18,IF(H3014="T35",22,"")))))))</f>
        <v/>
      </c>
      <c r="J3014" s="1" t="s">
        <v>1808</v>
      </c>
      <c r="K3014" s="10">
        <v>2</v>
      </c>
      <c r="L3014" s="10">
        <v>1</v>
      </c>
      <c r="O3014" s="6"/>
      <c r="P3014" s="10">
        <v>6</v>
      </c>
      <c r="Q3014" s="42" t="s">
        <v>6870</v>
      </c>
      <c r="R3014" s="42"/>
      <c r="S3014" s="1"/>
    </row>
    <row r="3015" spans="1:19" ht="18.75" hidden="1" customHeight="1" x14ac:dyDescent="0.3">
      <c r="A3015" s="10">
        <v>3014</v>
      </c>
      <c r="B3015" s="10">
        <f>_xlfn.XLOOKUP(1,(VALUE(D3015)&gt;=VALUE(block!$C$3:$C$500))*(VALUE(D3015)&lt;VALUE(block!$C$3:$C$500)+VALUE(block!$D$3:$D$500)),block!$A$3:$A$500,"无匹配",0,1)</f>
        <v>80</v>
      </c>
      <c r="C3015" s="3" t="str">
        <f>B3015 &amp; "-" &amp; COUNTIF($B$2:B3015, B3015)</f>
        <v>80-10</v>
      </c>
      <c r="D3015" s="10">
        <v>22038</v>
      </c>
      <c r="E3015" s="3" t="s">
        <v>7463</v>
      </c>
      <c r="F3015" s="1" t="s">
        <v>7464</v>
      </c>
      <c r="H3015" s="3" t="s">
        <v>6767</v>
      </c>
      <c r="I3015" s="10" t="str">
        <f>IF(H3015="T20",1,IF(H3015="T20",3,IF(H3015="T36",6,IF(H3015="T36",10,IF(H3015="T68",14,IF(H3015="T68",18,IF(H3015="T36",22,"")))))))</f>
        <v/>
      </c>
      <c r="J3015" s="1" t="s">
        <v>1808</v>
      </c>
      <c r="K3015" s="10">
        <v>4</v>
      </c>
      <c r="L3015" s="10">
        <v>1</v>
      </c>
      <c r="O3015" s="6"/>
      <c r="Q3015" s="42" t="s">
        <v>6870</v>
      </c>
      <c r="R3015" s="42"/>
      <c r="S3015" s="1"/>
    </row>
    <row r="3016" spans="1:19" ht="18.75" hidden="1" customHeight="1" x14ac:dyDescent="0.3">
      <c r="A3016" s="10">
        <v>3015</v>
      </c>
      <c r="B3016" s="10">
        <f>_xlfn.XLOOKUP(1,(VALUE(D3016)&gt;=VALUE(block!$C$3:$C$500))*(VALUE(D3016)&lt;VALUE(block!$C$3:$C$500)+VALUE(block!$D$3:$D$500)),block!$A$3:$A$500,"无匹配",0,1)</f>
        <v>80</v>
      </c>
      <c r="C3016" s="3" t="str">
        <f>B3016 &amp; "-" &amp; COUNTIF($B$2:B3016, B3016)</f>
        <v>80-11</v>
      </c>
      <c r="D3016" s="10">
        <v>22042</v>
      </c>
      <c r="E3016" s="1" t="s">
        <v>7465</v>
      </c>
      <c r="F3016" s="1" t="s">
        <v>7466</v>
      </c>
      <c r="G3016" s="1" t="s">
        <v>1830</v>
      </c>
      <c r="H3016" s="1" t="s">
        <v>1812</v>
      </c>
      <c r="I3016" s="10" t="str">
        <f>IF(H3016="T21",1,IF(H3016="T21",3,IF(H3016="T37",6,IF(H3016="T37",10,IF(H3016="T69",14,IF(H3016="T69",18,IF(H3016="T37",22,"")))))))</f>
        <v/>
      </c>
      <c r="J3016" s="1" t="s">
        <v>1808</v>
      </c>
      <c r="K3016" s="10">
        <v>2</v>
      </c>
      <c r="L3016" s="10">
        <v>1</v>
      </c>
      <c r="O3016" s="6"/>
      <c r="P3016" s="10">
        <v>6</v>
      </c>
      <c r="Q3016" s="42" t="s">
        <v>6870</v>
      </c>
      <c r="R3016" s="42"/>
      <c r="S3016" s="1"/>
    </row>
    <row r="3017" spans="1:19" ht="18.75" hidden="1" customHeight="1" x14ac:dyDescent="0.3">
      <c r="A3017" s="10">
        <v>3016</v>
      </c>
      <c r="B3017" s="10">
        <f>_xlfn.XLOOKUP(1,(VALUE(D3017)&gt;=VALUE(block!$C$3:$C$500))*(VALUE(D3017)&lt;VALUE(block!$C$3:$C$500)+VALUE(block!$D$3:$D$500)),block!$A$3:$A$500,"无匹配",0,1)</f>
        <v>80</v>
      </c>
      <c r="C3017" s="3" t="str">
        <f>B3017 &amp; "-" &amp; COUNTIF($B$2:B3017, B3017)</f>
        <v>80-12</v>
      </c>
      <c r="D3017" s="10">
        <v>22044</v>
      </c>
      <c r="E3017" s="1" t="s">
        <v>7467</v>
      </c>
      <c r="F3017" s="1" t="s">
        <v>7468</v>
      </c>
      <c r="H3017" s="3" t="s">
        <v>6767</v>
      </c>
      <c r="I3017" s="10" t="str">
        <f>IF(H3017="T22",1,IF(H3017="T22",3,IF(H3017="T38",6,IF(H3017="T38",10,IF(H3017="T70",14,IF(H3017="T70",18,IF(H3017="T38",22,"")))))))</f>
        <v/>
      </c>
      <c r="J3017" s="1" t="s">
        <v>1808</v>
      </c>
      <c r="K3017" s="10">
        <v>4</v>
      </c>
      <c r="L3017" s="10">
        <v>1</v>
      </c>
      <c r="O3017" s="6"/>
      <c r="Q3017" s="42" t="s">
        <v>6870</v>
      </c>
      <c r="R3017" s="42"/>
      <c r="S3017" s="1"/>
    </row>
    <row r="3018" spans="1:19" ht="18.75" hidden="1" customHeight="1" x14ac:dyDescent="0.3">
      <c r="A3018" s="10">
        <v>3017</v>
      </c>
      <c r="B3018" s="10">
        <f>_xlfn.XLOOKUP(1,(VALUE(D3018)&gt;=VALUE(block!$C$3:$C$500))*(VALUE(D3018)&lt;VALUE(block!$C$3:$C$500)+VALUE(block!$D$3:$D$500)),block!$A$3:$A$500,"无匹配",0,1)</f>
        <v>80</v>
      </c>
      <c r="C3018" s="3" t="str">
        <f>B3018 &amp; "-" &amp; COUNTIF($B$2:B3018, B3018)</f>
        <v>80-13</v>
      </c>
      <c r="D3018" s="10">
        <v>22048</v>
      </c>
      <c r="E3018" s="1" t="s">
        <v>7469</v>
      </c>
      <c r="F3018" s="1" t="s">
        <v>7470</v>
      </c>
      <c r="G3018" s="1" t="s">
        <v>1832</v>
      </c>
      <c r="H3018" s="1" t="s">
        <v>1812</v>
      </c>
      <c r="I3018" s="10" t="str">
        <f>IF(H3018="T23",1,IF(H3018="T23",3,IF(H3018="T39",6,IF(H3018="T39",10,IF(H3018="T71",14,IF(H3018="T71",18,IF(H3018="T39",22,"")))))))</f>
        <v/>
      </c>
      <c r="J3018" s="1" t="s">
        <v>1808</v>
      </c>
      <c r="K3018" s="10">
        <v>2</v>
      </c>
      <c r="L3018" s="10">
        <v>1</v>
      </c>
      <c r="O3018" s="6"/>
      <c r="P3018" s="10">
        <v>6</v>
      </c>
      <c r="Q3018" s="42" t="s">
        <v>6870</v>
      </c>
      <c r="R3018" s="42"/>
      <c r="S3018" s="1"/>
    </row>
    <row r="3019" spans="1:19" ht="18.75" hidden="1" customHeight="1" x14ac:dyDescent="0.3">
      <c r="A3019" s="10">
        <v>3018</v>
      </c>
      <c r="B3019" s="10">
        <f>_xlfn.XLOOKUP(1,(VALUE(D3019)&gt;=VALUE(block!$C$3:$C$500))*(VALUE(D3019)&lt;VALUE(block!$C$3:$C$500)+VALUE(block!$D$3:$D$500)),block!$A$3:$A$500,"无匹配",0,1)</f>
        <v>80</v>
      </c>
      <c r="C3019" s="3" t="str">
        <f>B3019 &amp; "-" &amp; COUNTIF($B$2:B3019, B3019)</f>
        <v>80-14</v>
      </c>
      <c r="D3019" s="10">
        <v>22050</v>
      </c>
      <c r="E3019" s="1" t="s">
        <v>7471</v>
      </c>
      <c r="F3019" s="1" t="s">
        <v>7472</v>
      </c>
      <c r="H3019" s="3" t="s">
        <v>6767</v>
      </c>
      <c r="I3019" s="10" t="str">
        <f>IF(H3019="T24",1,IF(H3019="T24",3,IF(H3019="T40",6,IF(H3019="T40",10,IF(H3019="T72",14,IF(H3019="T72",18,IF(H3019="T40",22,"")))))))</f>
        <v/>
      </c>
      <c r="J3019" s="1" t="s">
        <v>1808</v>
      </c>
      <c r="K3019" s="10">
        <v>4</v>
      </c>
      <c r="L3019" s="10">
        <v>1</v>
      </c>
      <c r="O3019" s="6"/>
      <c r="Q3019" s="42" t="s">
        <v>6870</v>
      </c>
      <c r="R3019" s="42"/>
      <c r="S3019" s="1"/>
    </row>
    <row r="3020" spans="1:19" ht="18.75" hidden="1" customHeight="1" x14ac:dyDescent="0.3">
      <c r="A3020" s="10">
        <v>3019</v>
      </c>
      <c r="B3020" s="10">
        <f>_xlfn.XLOOKUP(1,(VALUE(D3020)&gt;=VALUE(block!$C$3:$C$500))*(VALUE(D3020)&lt;VALUE(block!$C$3:$C$500)+VALUE(block!$D$3:$D$500)),block!$A$3:$A$500,"无匹配",0,1)</f>
        <v>80</v>
      </c>
      <c r="C3020" s="3" t="str">
        <f>B3020 &amp; "-" &amp; COUNTIF($B$2:B3020, B3020)</f>
        <v>80-15</v>
      </c>
      <c r="D3020" s="10">
        <v>22054</v>
      </c>
      <c r="E3020" s="1" t="s">
        <v>7473</v>
      </c>
      <c r="F3020" s="1" t="s">
        <v>7474</v>
      </c>
      <c r="G3020" s="1" t="s">
        <v>1834</v>
      </c>
      <c r="H3020" s="1" t="s">
        <v>1812</v>
      </c>
      <c r="I3020" s="10" t="str">
        <f>IF(H3020="T25",1,IF(H3020="T25",3,IF(H3020="T41",6,IF(H3020="T41",10,IF(H3020="T73",14,IF(H3020="T73",18,IF(H3020="T41",22,"")))))))</f>
        <v/>
      </c>
      <c r="J3020" s="1" t="s">
        <v>1808</v>
      </c>
      <c r="K3020" s="10">
        <v>2</v>
      </c>
      <c r="L3020" s="10">
        <v>1</v>
      </c>
      <c r="O3020" s="6"/>
      <c r="P3020" s="10">
        <v>6</v>
      </c>
      <c r="Q3020" s="42" t="s">
        <v>6870</v>
      </c>
      <c r="R3020" s="42"/>
      <c r="S3020" s="1"/>
    </row>
    <row r="3021" spans="1:19" ht="18.75" hidden="1" customHeight="1" x14ac:dyDescent="0.3">
      <c r="A3021" s="10">
        <v>3020</v>
      </c>
      <c r="B3021" s="10">
        <f>_xlfn.XLOOKUP(1,(VALUE(D3021)&gt;=VALUE(block!$C$3:$C$500))*(VALUE(D3021)&lt;VALUE(block!$C$3:$C$500)+VALUE(block!$D$3:$D$500)),block!$A$3:$A$500,"无匹配",0,1)</f>
        <v>80</v>
      </c>
      <c r="C3021" s="3" t="str">
        <f>B3021 &amp; "-" &amp; COUNTIF($B$2:B3021, B3021)</f>
        <v>80-16</v>
      </c>
      <c r="D3021" s="10">
        <v>22056</v>
      </c>
      <c r="E3021" s="1" t="s">
        <v>7475</v>
      </c>
      <c r="F3021" s="1" t="s">
        <v>7476</v>
      </c>
      <c r="H3021" s="3" t="s">
        <v>6767</v>
      </c>
      <c r="I3021" s="10" t="str">
        <f>IF(H3021="T26",1,IF(H3021="T26",3,IF(H3021="T42",6,IF(H3021="T42",10,IF(H3021="T74",14,IF(H3021="T74",18,IF(H3021="T42",22,"")))))))</f>
        <v/>
      </c>
      <c r="J3021" s="1" t="s">
        <v>1808</v>
      </c>
      <c r="K3021" s="10">
        <v>4</v>
      </c>
      <c r="L3021" s="10">
        <v>1</v>
      </c>
      <c r="O3021" s="6"/>
      <c r="Q3021" s="42" t="s">
        <v>6870</v>
      </c>
      <c r="R3021" s="42"/>
      <c r="S3021" s="1"/>
    </row>
    <row r="3022" spans="1:19" ht="18.75" hidden="1" customHeight="1" x14ac:dyDescent="0.3">
      <c r="A3022" s="10">
        <v>3021</v>
      </c>
      <c r="B3022" s="10">
        <f>_xlfn.XLOOKUP(1,(VALUE(D3022)&gt;=VALUE(block!$C$3:$C$500))*(VALUE(D3022)&lt;VALUE(block!$C$3:$C$500)+VALUE(block!$D$3:$D$500)),block!$A$3:$A$500,"无匹配",0,1)</f>
        <v>80</v>
      </c>
      <c r="C3022" s="3" t="str">
        <f>B3022 &amp; "-" &amp; COUNTIF($B$2:B3022, B3022)</f>
        <v>80-17</v>
      </c>
      <c r="D3022" s="10">
        <v>22060</v>
      </c>
      <c r="E3022" s="1" t="s">
        <v>7477</v>
      </c>
      <c r="F3022" s="1" t="s">
        <v>7478</v>
      </c>
      <c r="G3022" s="1" t="s">
        <v>1836</v>
      </c>
      <c r="H3022" s="1" t="s">
        <v>1812</v>
      </c>
      <c r="I3022" s="10" t="str">
        <f>IF(H3022="T27",1,IF(H3022="T27",3,IF(H3022="T43",6,IF(H3022="T43",10,IF(H3022="T75",14,IF(H3022="T75",18,IF(H3022="T43",22,"")))))))</f>
        <v/>
      </c>
      <c r="J3022" s="1" t="s">
        <v>1808</v>
      </c>
      <c r="K3022" s="10">
        <v>2</v>
      </c>
      <c r="L3022" s="10">
        <v>1</v>
      </c>
      <c r="O3022" s="6"/>
      <c r="P3022" s="10">
        <v>6</v>
      </c>
      <c r="Q3022" s="42" t="s">
        <v>6870</v>
      </c>
      <c r="R3022" s="42"/>
      <c r="S3022" s="1"/>
    </row>
    <row r="3023" spans="1:19" ht="18.75" hidden="1" customHeight="1" x14ac:dyDescent="0.3">
      <c r="A3023" s="10">
        <v>3022</v>
      </c>
      <c r="B3023" s="10">
        <f>_xlfn.XLOOKUP(1,(VALUE(D3023)&gt;=VALUE(block!$C$3:$C$500))*(VALUE(D3023)&lt;VALUE(block!$C$3:$C$500)+VALUE(block!$D$3:$D$500)),block!$A$3:$A$500,"无匹配",0,1)</f>
        <v>80</v>
      </c>
      <c r="C3023" s="3" t="str">
        <f>B3023 &amp; "-" &amp; COUNTIF($B$2:B3023, B3023)</f>
        <v>80-18</v>
      </c>
      <c r="D3023" s="10">
        <v>22062</v>
      </c>
      <c r="E3023" s="1" t="s">
        <v>7479</v>
      </c>
      <c r="F3023" s="1" t="s">
        <v>7480</v>
      </c>
      <c r="H3023" s="3" t="s">
        <v>6767</v>
      </c>
      <c r="I3023" s="10" t="str">
        <f>IF(H3023="T28",1,IF(H3023="T28",3,IF(H3023="T44",6,IF(H3023="T44",10,IF(H3023="T76",14,IF(H3023="T76",18,IF(H3023="T44",22,"")))))))</f>
        <v/>
      </c>
      <c r="J3023" s="1" t="s">
        <v>1808</v>
      </c>
      <c r="K3023" s="10">
        <v>4</v>
      </c>
      <c r="L3023" s="10">
        <v>1</v>
      </c>
      <c r="O3023" s="6"/>
      <c r="Q3023" s="42" t="s">
        <v>6870</v>
      </c>
      <c r="R3023" s="42"/>
      <c r="S3023" s="1"/>
    </row>
    <row r="3024" spans="1:19" ht="18.75" hidden="1" customHeight="1" x14ac:dyDescent="0.3">
      <c r="A3024" s="10">
        <v>3023</v>
      </c>
      <c r="B3024" s="10">
        <f>_xlfn.XLOOKUP(1,(VALUE(D3024)&gt;=VALUE(block!$C$3:$C$500))*(VALUE(D3024)&lt;VALUE(block!$C$3:$C$500)+VALUE(block!$D$3:$D$500)),block!$A$3:$A$500,"无匹配",0,1)</f>
        <v>80</v>
      </c>
      <c r="C3024" s="3" t="str">
        <f>B3024 &amp; "-" &amp; COUNTIF($B$2:B3024, B3024)</f>
        <v>80-19</v>
      </c>
      <c r="D3024" s="10">
        <v>22066</v>
      </c>
      <c r="E3024" s="3" t="s">
        <v>7481</v>
      </c>
      <c r="F3024" s="1" t="s">
        <v>7482</v>
      </c>
      <c r="G3024" s="1" t="s">
        <v>1840</v>
      </c>
      <c r="H3024" s="1" t="s">
        <v>1812</v>
      </c>
      <c r="I3024" s="10" t="str">
        <f>IF(H3024="T29",1,IF(H3024="T29",3,IF(H3024="T45",6,IF(H3024="T45",10,IF(H3024="T77",14,IF(H3024="T77",18,IF(H3024="T45",22,"")))))))</f>
        <v/>
      </c>
      <c r="J3024" s="1" t="s">
        <v>1808</v>
      </c>
      <c r="K3024" s="10">
        <v>2</v>
      </c>
      <c r="L3024" s="10">
        <v>1</v>
      </c>
      <c r="O3024" s="6"/>
      <c r="P3024" s="10">
        <v>6</v>
      </c>
      <c r="Q3024" s="42" t="s">
        <v>6870</v>
      </c>
      <c r="R3024" s="42"/>
      <c r="S3024" s="1"/>
    </row>
    <row r="3025" spans="1:19" ht="18.75" hidden="1" customHeight="1" x14ac:dyDescent="0.3">
      <c r="A3025" s="10">
        <v>3024</v>
      </c>
      <c r="B3025" s="10">
        <f>_xlfn.XLOOKUP(1,(VALUE(D3025)&gt;=VALUE(block!$C$3:$C$500))*(VALUE(D3025)&lt;VALUE(block!$C$3:$C$500)+VALUE(block!$D$3:$D$500)),block!$A$3:$A$500,"无匹配",0,1)</f>
        <v>80</v>
      </c>
      <c r="C3025" s="3" t="str">
        <f>B3025 &amp; "-" &amp; COUNTIF($B$2:B3025, B3025)</f>
        <v>80-20</v>
      </c>
      <c r="D3025" s="10">
        <v>22068</v>
      </c>
      <c r="E3025" s="3" t="s">
        <v>7483</v>
      </c>
      <c r="F3025" s="1" t="s">
        <v>7484</v>
      </c>
      <c r="H3025" s="3" t="s">
        <v>6767</v>
      </c>
      <c r="I3025" s="10" t="str">
        <f>IF(H3025="T30",1,IF(H3025="T30",3,IF(H3025="T46",6,IF(H3025="T46",10,IF(H3025="T78",14,IF(H3025="T78",18,IF(H3025="T46",22,"")))))))</f>
        <v/>
      </c>
      <c r="J3025" s="1" t="s">
        <v>1808</v>
      </c>
      <c r="K3025" s="10">
        <v>4</v>
      </c>
      <c r="L3025" s="10">
        <v>1</v>
      </c>
      <c r="O3025" s="6"/>
      <c r="Q3025" s="42" t="s">
        <v>6870</v>
      </c>
      <c r="R3025" s="42"/>
      <c r="S3025" s="1"/>
    </row>
    <row r="3026" spans="1:19" ht="18.75" hidden="1" customHeight="1" x14ac:dyDescent="0.3">
      <c r="A3026" s="10">
        <v>3025</v>
      </c>
      <c r="B3026" s="10">
        <f>_xlfn.XLOOKUP(1,(VALUE(D3026)&gt;=VALUE(block!$C$3:$C$500))*(VALUE(D3026)&lt;VALUE(block!$C$3:$C$500)+VALUE(block!$D$3:$D$500)),block!$A$3:$A$500,"无匹配",0,1)</f>
        <v>80</v>
      </c>
      <c r="C3026" s="3" t="str">
        <f>B3026 &amp; "-" &amp; COUNTIF($B$2:B3026, B3026)</f>
        <v>80-21</v>
      </c>
      <c r="D3026" s="10">
        <v>22072</v>
      </c>
      <c r="E3026" s="1" t="s">
        <v>7485</v>
      </c>
      <c r="F3026" s="1" t="s">
        <v>7486</v>
      </c>
      <c r="G3026" s="1" t="s">
        <v>1830</v>
      </c>
      <c r="H3026" s="1" t="s">
        <v>1812</v>
      </c>
      <c r="I3026" s="10" t="str">
        <f>IF(H3026="T31",1,IF(H3026="T31",3,IF(H3026="T47",6,IF(H3026="T47",10,IF(H3026="T79",14,IF(H3026="T79",18,IF(H3026="T47",22,"")))))))</f>
        <v/>
      </c>
      <c r="J3026" s="1" t="s">
        <v>1808</v>
      </c>
      <c r="K3026" s="10">
        <v>2</v>
      </c>
      <c r="L3026" s="10">
        <v>1</v>
      </c>
      <c r="O3026" s="6"/>
      <c r="P3026" s="10">
        <v>6</v>
      </c>
      <c r="Q3026" s="42" t="s">
        <v>6870</v>
      </c>
      <c r="R3026" s="42"/>
      <c r="S3026" s="1"/>
    </row>
    <row r="3027" spans="1:19" ht="18.75" hidden="1" customHeight="1" x14ac:dyDescent="0.3">
      <c r="A3027" s="10">
        <v>3026</v>
      </c>
      <c r="B3027" s="10">
        <f>_xlfn.XLOOKUP(1,(VALUE(D3027)&gt;=VALUE(block!$C$3:$C$500))*(VALUE(D3027)&lt;VALUE(block!$C$3:$C$500)+VALUE(block!$D$3:$D$500)),block!$A$3:$A$500,"无匹配",0,1)</f>
        <v>80</v>
      </c>
      <c r="C3027" s="3" t="str">
        <f>B3027 &amp; "-" &amp; COUNTIF($B$2:B3027, B3027)</f>
        <v>80-22</v>
      </c>
      <c r="D3027" s="10">
        <v>22074</v>
      </c>
      <c r="E3027" s="1" t="s">
        <v>7487</v>
      </c>
      <c r="F3027" s="1" t="s">
        <v>7488</v>
      </c>
      <c r="H3027" s="3" t="s">
        <v>6767</v>
      </c>
      <c r="I3027" s="10" t="str">
        <f>IF(H3027="T32",1,IF(H3027="T32",3,IF(H3027="T48",6,IF(H3027="T48",10,IF(H3027="T80",14,IF(H3027="T80",18,IF(H3027="T48",22,"")))))))</f>
        <v/>
      </c>
      <c r="J3027" s="1" t="s">
        <v>1808</v>
      </c>
      <c r="K3027" s="10">
        <v>4</v>
      </c>
      <c r="L3027" s="10">
        <v>1</v>
      </c>
      <c r="O3027" s="6"/>
      <c r="Q3027" s="42" t="s">
        <v>6870</v>
      </c>
      <c r="R3027" s="42"/>
      <c r="S3027" s="1"/>
    </row>
    <row r="3028" spans="1:19" ht="18.75" hidden="1" customHeight="1" x14ac:dyDescent="0.3">
      <c r="A3028" s="10">
        <v>3027</v>
      </c>
      <c r="B3028" s="10">
        <f>_xlfn.XLOOKUP(1,(VALUE(D3028)&gt;=VALUE(block!$C$3:$C$500))*(VALUE(D3028)&lt;VALUE(block!$C$3:$C$500)+VALUE(block!$D$3:$D$500)),block!$A$3:$A$500,"无匹配",0,1)</f>
        <v>80</v>
      </c>
      <c r="C3028" s="3" t="str">
        <f>B3028 &amp; "-" &amp; COUNTIF($B$2:B3028, B3028)</f>
        <v>80-23</v>
      </c>
      <c r="D3028" s="10">
        <v>22078</v>
      </c>
      <c r="E3028" s="1" t="s">
        <v>7489</v>
      </c>
      <c r="F3028" s="1" t="s">
        <v>7490</v>
      </c>
      <c r="G3028" s="1" t="s">
        <v>1832</v>
      </c>
      <c r="H3028" s="1" t="s">
        <v>1812</v>
      </c>
      <c r="I3028" s="10" t="str">
        <f>IF(H3028="T33",1,IF(H3028="T33",3,IF(H3028="T49",6,IF(H3028="T49",10,IF(H3028="T81",14,IF(H3028="T81",18,IF(H3028="T49",22,"")))))))</f>
        <v/>
      </c>
      <c r="J3028" s="1" t="s">
        <v>1808</v>
      </c>
      <c r="K3028" s="10">
        <v>2</v>
      </c>
      <c r="L3028" s="10">
        <v>1</v>
      </c>
      <c r="O3028" s="6"/>
      <c r="P3028" s="10">
        <v>6</v>
      </c>
      <c r="Q3028" s="42" t="s">
        <v>6870</v>
      </c>
      <c r="R3028" s="42"/>
      <c r="S3028" s="1"/>
    </row>
    <row r="3029" spans="1:19" ht="18.75" hidden="1" customHeight="1" x14ac:dyDescent="0.3">
      <c r="A3029" s="10">
        <v>3028</v>
      </c>
      <c r="B3029" s="10">
        <f>_xlfn.XLOOKUP(1,(VALUE(D3029)&gt;=VALUE(block!$C$3:$C$500))*(VALUE(D3029)&lt;VALUE(block!$C$3:$C$500)+VALUE(block!$D$3:$D$500)),block!$A$3:$A$500,"无匹配",0,1)</f>
        <v>80</v>
      </c>
      <c r="C3029" s="3" t="str">
        <f>B3029 &amp; "-" &amp; COUNTIF($B$2:B3029, B3029)</f>
        <v>80-24</v>
      </c>
      <c r="D3029" s="10">
        <v>22080</v>
      </c>
      <c r="E3029" s="1" t="s">
        <v>7491</v>
      </c>
      <c r="F3029" s="1" t="s">
        <v>7492</v>
      </c>
      <c r="H3029" s="3" t="s">
        <v>6767</v>
      </c>
      <c r="I3029" s="10" t="str">
        <f>IF(H3029="T34",1,IF(H3029="T34",3,IF(H3029="T50",6,IF(H3029="T50",10,IF(H3029="T82",14,IF(H3029="T82",18,IF(H3029="T50",22,"")))))))</f>
        <v/>
      </c>
      <c r="J3029" s="1" t="s">
        <v>1808</v>
      </c>
      <c r="K3029" s="10">
        <v>4</v>
      </c>
      <c r="L3029" s="10">
        <v>1</v>
      </c>
      <c r="O3029" s="6"/>
      <c r="Q3029" s="42" t="s">
        <v>6870</v>
      </c>
      <c r="R3029" s="42"/>
      <c r="S3029" s="1"/>
    </row>
    <row r="3030" spans="1:19" ht="18.75" hidden="1" customHeight="1" x14ac:dyDescent="0.3">
      <c r="A3030" s="10">
        <v>3029</v>
      </c>
      <c r="B3030" s="10">
        <f>_xlfn.XLOOKUP(1,(VALUE(D3030)&gt;=VALUE(block!$C$3:$C$500))*(VALUE(D3030)&lt;VALUE(block!$C$3:$C$500)+VALUE(block!$D$3:$D$500)),block!$A$3:$A$500,"无匹配",0,1)</f>
        <v>80</v>
      </c>
      <c r="C3030" s="3" t="str">
        <f>B3030 &amp; "-" &amp; COUNTIF($B$2:B3030, B3030)</f>
        <v>80-25</v>
      </c>
      <c r="D3030" s="10">
        <v>22084</v>
      </c>
      <c r="E3030" s="1" t="s">
        <v>7493</v>
      </c>
      <c r="F3030" s="1" t="s">
        <v>7494</v>
      </c>
      <c r="G3030" s="1" t="s">
        <v>1834</v>
      </c>
      <c r="H3030" s="1" t="s">
        <v>1812</v>
      </c>
      <c r="I3030" s="10" t="str">
        <f>IF(H3030="T35",1,IF(H3030="T35",3,IF(H3030="T51",6,IF(H3030="T51",10,IF(H3030="T83",14,IF(H3030="T83",18,IF(H3030="T51",22,"")))))))</f>
        <v/>
      </c>
      <c r="J3030" s="1" t="s">
        <v>1808</v>
      </c>
      <c r="K3030" s="10">
        <v>2</v>
      </c>
      <c r="L3030" s="10">
        <v>1</v>
      </c>
      <c r="O3030" s="6"/>
      <c r="P3030" s="10">
        <v>6</v>
      </c>
      <c r="Q3030" s="42" t="s">
        <v>6870</v>
      </c>
      <c r="R3030" s="42"/>
      <c r="S3030" s="1"/>
    </row>
    <row r="3031" spans="1:19" ht="18.75" hidden="1" customHeight="1" x14ac:dyDescent="0.3">
      <c r="A3031" s="10">
        <v>3030</v>
      </c>
      <c r="B3031" s="10">
        <f>_xlfn.XLOOKUP(1,(VALUE(D3031)&gt;=VALUE(block!$C$3:$C$500))*(VALUE(D3031)&lt;VALUE(block!$C$3:$C$500)+VALUE(block!$D$3:$D$500)),block!$A$3:$A$500,"无匹配",0,1)</f>
        <v>80</v>
      </c>
      <c r="C3031" s="3" t="str">
        <f>B3031 &amp; "-" &amp; COUNTIF($B$2:B3031, B3031)</f>
        <v>80-26</v>
      </c>
      <c r="D3031" s="10">
        <v>22086</v>
      </c>
      <c r="E3031" s="1" t="s">
        <v>7495</v>
      </c>
      <c r="F3031" s="1" t="s">
        <v>7496</v>
      </c>
      <c r="H3031" s="3" t="s">
        <v>6767</v>
      </c>
      <c r="I3031" s="10" t="str">
        <f>IF(H3031="T36",1,IF(H3031="T36",3,IF(H3031="T52",6,IF(H3031="T52",10,IF(H3031="T84",14,IF(H3031="T84",18,IF(H3031="T52",22,"")))))))</f>
        <v/>
      </c>
      <c r="J3031" s="1" t="s">
        <v>1808</v>
      </c>
      <c r="K3031" s="10">
        <v>4</v>
      </c>
      <c r="L3031" s="10">
        <v>1</v>
      </c>
      <c r="O3031" s="6"/>
      <c r="Q3031" s="42" t="s">
        <v>6870</v>
      </c>
      <c r="R3031" s="42"/>
      <c r="S3031" s="1"/>
    </row>
    <row r="3032" spans="1:19" ht="18.75" hidden="1" customHeight="1" x14ac:dyDescent="0.3">
      <c r="A3032" s="10">
        <v>3031</v>
      </c>
      <c r="B3032" s="10">
        <f>_xlfn.XLOOKUP(1,(VALUE(D3032)&gt;=VALUE(block!$C$3:$C$500))*(VALUE(D3032)&lt;VALUE(block!$C$3:$C$500)+VALUE(block!$D$3:$D$500)),block!$A$3:$A$500,"无匹配",0,1)</f>
        <v>80</v>
      </c>
      <c r="C3032" s="3" t="str">
        <f>B3032 &amp; "-" &amp; COUNTIF($B$2:B3032, B3032)</f>
        <v>80-27</v>
      </c>
      <c r="D3032" s="10">
        <v>22090</v>
      </c>
      <c r="E3032" s="1" t="s">
        <v>7497</v>
      </c>
      <c r="F3032" s="1" t="s">
        <v>7498</v>
      </c>
      <c r="G3032" s="1" t="s">
        <v>1836</v>
      </c>
      <c r="H3032" s="1" t="s">
        <v>1812</v>
      </c>
      <c r="I3032" s="10" t="str">
        <f>IF(H3032="T37",1,IF(H3032="T37",3,IF(H3032="T53",6,IF(H3032="T53",10,IF(H3032="T85",14,IF(H3032="T85",18,IF(H3032="T53",22,"")))))))</f>
        <v/>
      </c>
      <c r="J3032" s="1" t="s">
        <v>1808</v>
      </c>
      <c r="K3032" s="10">
        <v>2</v>
      </c>
      <c r="L3032" s="10">
        <v>1</v>
      </c>
      <c r="O3032" s="6"/>
      <c r="P3032" s="10">
        <v>6</v>
      </c>
      <c r="Q3032" s="42" t="s">
        <v>6870</v>
      </c>
      <c r="R3032" s="42"/>
      <c r="S3032" s="1"/>
    </row>
    <row r="3033" spans="1:19" ht="18.75" hidden="1" customHeight="1" x14ac:dyDescent="0.3">
      <c r="A3033" s="10">
        <v>3032</v>
      </c>
      <c r="B3033" s="10">
        <f>_xlfn.XLOOKUP(1,(VALUE(D3033)&gt;=VALUE(block!$C$3:$C$500))*(VALUE(D3033)&lt;VALUE(block!$C$3:$C$500)+VALUE(block!$D$3:$D$500)),block!$A$3:$A$500,"无匹配",0,1)</f>
        <v>80</v>
      </c>
      <c r="C3033" s="3" t="str">
        <f>B3033 &amp; "-" &amp; COUNTIF($B$2:B3033, B3033)</f>
        <v>80-28</v>
      </c>
      <c r="D3033" s="10">
        <v>22092</v>
      </c>
      <c r="E3033" s="1" t="s">
        <v>7499</v>
      </c>
      <c r="F3033" s="1" t="s">
        <v>7500</v>
      </c>
      <c r="H3033" s="3" t="s">
        <v>6767</v>
      </c>
      <c r="I3033" s="10" t="str">
        <f>IF(H3033="T38",1,IF(H3033="T38",3,IF(H3033="T54",6,IF(H3033="T54",10,IF(H3033="T86",14,IF(H3033="T86",18,IF(H3033="T54",22,"")))))))</f>
        <v/>
      </c>
      <c r="J3033" s="1" t="s">
        <v>1808</v>
      </c>
      <c r="K3033" s="10">
        <v>4</v>
      </c>
      <c r="L3033" s="10">
        <v>1</v>
      </c>
      <c r="O3033" s="6"/>
      <c r="Q3033" s="42" t="s">
        <v>6870</v>
      </c>
      <c r="R3033" s="42"/>
      <c r="S3033" s="1"/>
    </row>
    <row r="3034" spans="1:19" ht="18.75" hidden="1" customHeight="1" x14ac:dyDescent="0.3">
      <c r="A3034" s="10">
        <v>3033</v>
      </c>
      <c r="B3034" s="10">
        <f>_xlfn.XLOOKUP(1,(VALUE(D3034)&gt;=VALUE(block!$C$3:$C$500))*(VALUE(D3034)&lt;VALUE(block!$C$3:$C$500)+VALUE(block!$D$3:$D$500)),block!$A$3:$A$500,"无匹配",0,1)</f>
        <v>80</v>
      </c>
      <c r="C3034" s="3" t="str">
        <f>B3034 &amp; "-" &amp; COUNTIF($B$2:B3034, B3034)</f>
        <v>80-29</v>
      </c>
      <c r="D3034" s="10">
        <v>22096</v>
      </c>
      <c r="E3034" s="3" t="s">
        <v>7501</v>
      </c>
      <c r="F3034" s="1" t="s">
        <v>7502</v>
      </c>
      <c r="G3034" s="1" t="s">
        <v>1840</v>
      </c>
      <c r="H3034" s="1" t="s">
        <v>1812</v>
      </c>
      <c r="I3034" s="10" t="str">
        <f>IF(H3034="T39",1,IF(H3034="T39",3,IF(H3034="T55",6,IF(H3034="T55",10,IF(H3034="T87",14,IF(H3034="T87",18,IF(H3034="T55",22,"")))))))</f>
        <v/>
      </c>
      <c r="J3034" s="1" t="s">
        <v>1808</v>
      </c>
      <c r="K3034" s="10">
        <v>2</v>
      </c>
      <c r="L3034" s="10">
        <v>1</v>
      </c>
      <c r="O3034" s="6"/>
      <c r="P3034" s="10">
        <v>6</v>
      </c>
      <c r="Q3034" s="42" t="s">
        <v>6870</v>
      </c>
      <c r="R3034" s="42"/>
      <c r="S3034" s="1"/>
    </row>
    <row r="3035" spans="1:19" ht="18.75" hidden="1" customHeight="1" x14ac:dyDescent="0.3">
      <c r="A3035" s="10">
        <v>3034</v>
      </c>
      <c r="B3035" s="10">
        <f>_xlfn.XLOOKUP(1,(VALUE(D3035)&gt;=VALUE(block!$C$3:$C$500))*(VALUE(D3035)&lt;VALUE(block!$C$3:$C$500)+VALUE(block!$D$3:$D$500)),block!$A$3:$A$500,"无匹配",0,1)</f>
        <v>80</v>
      </c>
      <c r="C3035" s="3" t="str">
        <f>B3035 &amp; "-" &amp; COUNTIF($B$2:B3035, B3035)</f>
        <v>80-30</v>
      </c>
      <c r="D3035" s="10">
        <v>22098</v>
      </c>
      <c r="E3035" s="3" t="s">
        <v>7503</v>
      </c>
      <c r="F3035" s="1" t="s">
        <v>7504</v>
      </c>
      <c r="H3035" s="3" t="s">
        <v>6767</v>
      </c>
      <c r="I3035" s="10" t="str">
        <f>IF(H3035="T40",1,IF(H3035="T40",3,IF(H3035="T56",6,IF(H3035="T56",10,IF(H3035="T88",14,IF(H3035="T88",18,IF(H3035="T56",22,"")))))))</f>
        <v/>
      </c>
      <c r="J3035" s="1" t="s">
        <v>1808</v>
      </c>
      <c r="K3035" s="10">
        <v>4</v>
      </c>
      <c r="L3035" s="10">
        <v>1</v>
      </c>
      <c r="O3035" s="6"/>
      <c r="Q3035" s="42" t="s">
        <v>6870</v>
      </c>
      <c r="R3035" s="42"/>
      <c r="S3035" s="1"/>
    </row>
    <row r="3036" spans="1:19" ht="18.75" hidden="1" customHeight="1" x14ac:dyDescent="0.3">
      <c r="A3036" s="10">
        <v>3035</v>
      </c>
      <c r="B3036" s="10">
        <f>_xlfn.XLOOKUP(1,(VALUE(D3036)&gt;=VALUE(block!$C$3:$C$500))*(VALUE(D3036)&lt;VALUE(block!$C$3:$C$500)+VALUE(block!$D$3:$D$500)),block!$A$3:$A$500,"无匹配",0,1)</f>
        <v>80</v>
      </c>
      <c r="C3036" s="3" t="str">
        <f>B3036 &amp; "-" &amp; COUNTIF($B$2:B3036, B3036)</f>
        <v>80-31</v>
      </c>
      <c r="D3036" s="10">
        <v>22102</v>
      </c>
      <c r="E3036" s="1" t="s">
        <v>7505</v>
      </c>
      <c r="F3036" s="1" t="s">
        <v>7506</v>
      </c>
      <c r="G3036" s="1" t="s">
        <v>1830</v>
      </c>
      <c r="H3036" s="1" t="s">
        <v>1812</v>
      </c>
      <c r="I3036" s="10" t="str">
        <f>IF(H3036="T41",1,IF(H3036="T41",3,IF(H3036="T57",6,IF(H3036="T57",10,IF(H3036="T89",14,IF(H3036="T89",18,IF(H3036="T57",22,"")))))))</f>
        <v/>
      </c>
      <c r="J3036" s="1" t="s">
        <v>1808</v>
      </c>
      <c r="K3036" s="10">
        <v>2</v>
      </c>
      <c r="L3036" s="10">
        <v>1</v>
      </c>
      <c r="O3036" s="6"/>
      <c r="P3036" s="10">
        <v>6</v>
      </c>
      <c r="Q3036" s="42" t="s">
        <v>6870</v>
      </c>
      <c r="R3036" s="42"/>
      <c r="S3036" s="1"/>
    </row>
    <row r="3037" spans="1:19" ht="18.75" hidden="1" customHeight="1" x14ac:dyDescent="0.3">
      <c r="A3037" s="10">
        <v>3036</v>
      </c>
      <c r="B3037" s="10">
        <f>_xlfn.XLOOKUP(1,(VALUE(D3037)&gt;=VALUE(block!$C$3:$C$500))*(VALUE(D3037)&lt;VALUE(block!$C$3:$C$500)+VALUE(block!$D$3:$D$500)),block!$A$3:$A$500,"无匹配",0,1)</f>
        <v>80</v>
      </c>
      <c r="C3037" s="3" t="str">
        <f>B3037 &amp; "-" &amp; COUNTIF($B$2:B3037, B3037)</f>
        <v>80-32</v>
      </c>
      <c r="D3037" s="10">
        <v>22104</v>
      </c>
      <c r="E3037" s="1" t="s">
        <v>7507</v>
      </c>
      <c r="F3037" s="1" t="s">
        <v>7508</v>
      </c>
      <c r="H3037" s="3" t="s">
        <v>6767</v>
      </c>
      <c r="I3037" s="10" t="str">
        <f>IF(H3037="T42",1,IF(H3037="T42",3,IF(H3037="T58",6,IF(H3037="T58",10,IF(H3037="T90",14,IF(H3037="T90",18,IF(H3037="T58",22,"")))))))</f>
        <v/>
      </c>
      <c r="J3037" s="1" t="s">
        <v>1808</v>
      </c>
      <c r="K3037" s="10">
        <v>4</v>
      </c>
      <c r="L3037" s="10">
        <v>1</v>
      </c>
      <c r="O3037" s="6"/>
      <c r="Q3037" s="42" t="s">
        <v>6870</v>
      </c>
      <c r="R3037" s="42"/>
      <c r="S3037" s="1"/>
    </row>
    <row r="3038" spans="1:19" ht="18.75" hidden="1" customHeight="1" x14ac:dyDescent="0.3">
      <c r="A3038" s="10">
        <v>3037</v>
      </c>
      <c r="B3038" s="10">
        <f>_xlfn.XLOOKUP(1,(VALUE(D3038)&gt;=VALUE(block!$C$3:$C$500))*(VALUE(D3038)&lt;VALUE(block!$C$3:$C$500)+VALUE(block!$D$3:$D$500)),block!$A$3:$A$500,"无匹配",0,1)</f>
        <v>80</v>
      </c>
      <c r="C3038" s="3" t="str">
        <f>B3038 &amp; "-" &amp; COUNTIF($B$2:B3038, B3038)</f>
        <v>80-33</v>
      </c>
      <c r="D3038" s="10">
        <v>22108</v>
      </c>
      <c r="E3038" s="1" t="s">
        <v>7509</v>
      </c>
      <c r="F3038" s="1" t="s">
        <v>7510</v>
      </c>
      <c r="G3038" s="1" t="s">
        <v>1832</v>
      </c>
      <c r="H3038" s="1" t="s">
        <v>1812</v>
      </c>
      <c r="I3038" s="10" t="str">
        <f>IF(H3038="T43",1,IF(H3038="T43",3,IF(H3038="T59",6,IF(H3038="T59",10,IF(H3038="T91",14,IF(H3038="T91",18,IF(H3038="T59",22,"")))))))</f>
        <v/>
      </c>
      <c r="J3038" s="1" t="s">
        <v>1808</v>
      </c>
      <c r="K3038" s="10">
        <v>2</v>
      </c>
      <c r="L3038" s="10">
        <v>1</v>
      </c>
      <c r="O3038" s="6"/>
      <c r="P3038" s="10">
        <v>6</v>
      </c>
      <c r="Q3038" s="42" t="s">
        <v>6870</v>
      </c>
      <c r="R3038" s="42"/>
      <c r="S3038" s="1"/>
    </row>
    <row r="3039" spans="1:19" ht="18.75" hidden="1" customHeight="1" x14ac:dyDescent="0.3">
      <c r="A3039" s="10">
        <v>3038</v>
      </c>
      <c r="B3039" s="10">
        <f>_xlfn.XLOOKUP(1,(VALUE(D3039)&gt;=VALUE(block!$C$3:$C$500))*(VALUE(D3039)&lt;VALUE(block!$C$3:$C$500)+VALUE(block!$D$3:$D$500)),block!$A$3:$A$500,"无匹配",0,1)</f>
        <v>80</v>
      </c>
      <c r="C3039" s="3" t="str">
        <f>B3039 &amp; "-" &amp; COUNTIF($B$2:B3039, B3039)</f>
        <v>80-34</v>
      </c>
      <c r="D3039" s="10">
        <v>22110</v>
      </c>
      <c r="E3039" s="1" t="s">
        <v>7511</v>
      </c>
      <c r="F3039" s="1" t="s">
        <v>7512</v>
      </c>
      <c r="H3039" s="3" t="s">
        <v>6767</v>
      </c>
      <c r="I3039" s="10" t="str">
        <f>IF(H3039="T44",1,IF(H3039="T44",3,IF(H3039="T60",6,IF(H3039="T60",10,IF(H3039="T92",14,IF(H3039="T92",18,IF(H3039="T60",22,"")))))))</f>
        <v/>
      </c>
      <c r="J3039" s="1" t="s">
        <v>1808</v>
      </c>
      <c r="K3039" s="10">
        <v>4</v>
      </c>
      <c r="L3039" s="10">
        <v>1</v>
      </c>
      <c r="O3039" s="6"/>
      <c r="Q3039" s="42" t="s">
        <v>6870</v>
      </c>
      <c r="R3039" s="42"/>
      <c r="S3039" s="1"/>
    </row>
    <row r="3040" spans="1:19" ht="18.75" hidden="1" customHeight="1" x14ac:dyDescent="0.3">
      <c r="A3040" s="10">
        <v>3039</v>
      </c>
      <c r="B3040" s="10">
        <f>_xlfn.XLOOKUP(1,(VALUE(D3040)&gt;=VALUE(block!$C$3:$C$500))*(VALUE(D3040)&lt;VALUE(block!$C$3:$C$500)+VALUE(block!$D$3:$D$500)),block!$A$3:$A$500,"无匹配",0,1)</f>
        <v>80</v>
      </c>
      <c r="C3040" s="3" t="str">
        <f>B3040 &amp; "-" &amp; COUNTIF($B$2:B3040, B3040)</f>
        <v>80-35</v>
      </c>
      <c r="D3040" s="10">
        <v>22114</v>
      </c>
      <c r="E3040" s="1" t="s">
        <v>7513</v>
      </c>
      <c r="F3040" s="1" t="s">
        <v>7514</v>
      </c>
      <c r="G3040" s="1" t="s">
        <v>1834</v>
      </c>
      <c r="H3040" s="1" t="s">
        <v>1812</v>
      </c>
      <c r="I3040" s="10" t="str">
        <f>IF(H3040="T45",1,IF(H3040="T45",3,IF(H3040="T61",6,IF(H3040="T61",10,IF(H3040="T93",14,IF(H3040="T93",18,IF(H3040="T61",22,"")))))))</f>
        <v/>
      </c>
      <c r="J3040" s="1" t="s">
        <v>1808</v>
      </c>
      <c r="K3040" s="10">
        <v>2</v>
      </c>
      <c r="L3040" s="10">
        <v>1</v>
      </c>
      <c r="O3040" s="6"/>
      <c r="P3040" s="10">
        <v>6</v>
      </c>
      <c r="Q3040" s="42" t="s">
        <v>6870</v>
      </c>
      <c r="R3040" s="42"/>
      <c r="S3040" s="1"/>
    </row>
    <row r="3041" spans="1:19" ht="18.75" hidden="1" customHeight="1" x14ac:dyDescent="0.3">
      <c r="A3041" s="10">
        <v>3040</v>
      </c>
      <c r="B3041" s="10">
        <f>_xlfn.XLOOKUP(1,(VALUE(D3041)&gt;=VALUE(block!$C$3:$C$500))*(VALUE(D3041)&lt;VALUE(block!$C$3:$C$500)+VALUE(block!$D$3:$D$500)),block!$A$3:$A$500,"无匹配",0,1)</f>
        <v>80</v>
      </c>
      <c r="C3041" s="3" t="str">
        <f>B3041 &amp; "-" &amp; COUNTIF($B$2:B3041, B3041)</f>
        <v>80-36</v>
      </c>
      <c r="D3041" s="10">
        <v>22116</v>
      </c>
      <c r="E3041" s="1" t="s">
        <v>7515</v>
      </c>
      <c r="F3041" s="1" t="s">
        <v>7516</v>
      </c>
      <c r="H3041" s="3" t="s">
        <v>6767</v>
      </c>
      <c r="I3041" s="10" t="str">
        <f>IF(H3041="T46",1,IF(H3041="T46",3,IF(H3041="T62",6,IF(H3041="T62",10,IF(H3041="T94",14,IF(H3041="T94",18,IF(H3041="T62",22,"")))))))</f>
        <v/>
      </c>
      <c r="J3041" s="1" t="s">
        <v>1808</v>
      </c>
      <c r="K3041" s="10">
        <v>4</v>
      </c>
      <c r="L3041" s="10">
        <v>1</v>
      </c>
      <c r="O3041" s="6"/>
      <c r="Q3041" s="42" t="s">
        <v>6870</v>
      </c>
      <c r="R3041" s="42"/>
      <c r="S3041" s="1"/>
    </row>
    <row r="3042" spans="1:19" ht="18.75" hidden="1" customHeight="1" x14ac:dyDescent="0.3">
      <c r="A3042" s="10">
        <v>3041</v>
      </c>
      <c r="B3042" s="10">
        <f>_xlfn.XLOOKUP(1,(VALUE(D3042)&gt;=VALUE(block!$C$3:$C$500))*(VALUE(D3042)&lt;VALUE(block!$C$3:$C$500)+VALUE(block!$D$3:$D$500)),block!$A$3:$A$500,"无匹配",0,1)</f>
        <v>80</v>
      </c>
      <c r="C3042" s="3" t="str">
        <f>B3042 &amp; "-" &amp; COUNTIF($B$2:B3042, B3042)</f>
        <v>80-37</v>
      </c>
      <c r="D3042" s="10">
        <v>22120</v>
      </c>
      <c r="E3042" s="1" t="s">
        <v>7517</v>
      </c>
      <c r="F3042" s="1" t="s">
        <v>7518</v>
      </c>
      <c r="G3042" s="1" t="s">
        <v>1836</v>
      </c>
      <c r="H3042" s="1" t="s">
        <v>1812</v>
      </c>
      <c r="I3042" s="10" t="str">
        <f>IF(H3042="T47",1,IF(H3042="T47",3,IF(H3042="T63",6,IF(H3042="T63",10,IF(H3042="T95",14,IF(H3042="T95",18,IF(H3042="T63",22,"")))))))</f>
        <v/>
      </c>
      <c r="J3042" s="1" t="s">
        <v>1808</v>
      </c>
      <c r="K3042" s="10">
        <v>2</v>
      </c>
      <c r="L3042" s="10">
        <v>1</v>
      </c>
      <c r="O3042" s="6"/>
      <c r="P3042" s="10">
        <v>6</v>
      </c>
      <c r="Q3042" s="42" t="s">
        <v>6870</v>
      </c>
      <c r="R3042" s="42"/>
      <c r="S3042" s="1"/>
    </row>
    <row r="3043" spans="1:19" ht="18.75" hidden="1" customHeight="1" x14ac:dyDescent="0.3">
      <c r="A3043" s="10">
        <v>3042</v>
      </c>
      <c r="B3043" s="10">
        <f>_xlfn.XLOOKUP(1,(VALUE(D3043)&gt;=VALUE(block!$C$3:$C$500))*(VALUE(D3043)&lt;VALUE(block!$C$3:$C$500)+VALUE(block!$D$3:$D$500)),block!$A$3:$A$500,"无匹配",0,1)</f>
        <v>80</v>
      </c>
      <c r="C3043" s="3" t="str">
        <f>B3043 &amp; "-" &amp; COUNTIF($B$2:B3043, B3043)</f>
        <v>80-38</v>
      </c>
      <c r="D3043" s="10">
        <v>22122</v>
      </c>
      <c r="E3043" s="1" t="s">
        <v>7519</v>
      </c>
      <c r="F3043" s="1" t="s">
        <v>7520</v>
      </c>
      <c r="H3043" s="3" t="s">
        <v>6767</v>
      </c>
      <c r="I3043" s="10" t="str">
        <f>IF(H3043="T48",1,IF(H3043="T48",3,IF(H3043="T64",6,IF(H3043="T64",10,IF(H3043="T96",14,IF(H3043="T96",18,IF(H3043="T64",22,"")))))))</f>
        <v/>
      </c>
      <c r="J3043" s="1" t="s">
        <v>1808</v>
      </c>
      <c r="K3043" s="10">
        <v>4</v>
      </c>
      <c r="L3043" s="10">
        <v>1</v>
      </c>
      <c r="O3043" s="6"/>
      <c r="Q3043" s="42" t="s">
        <v>6870</v>
      </c>
      <c r="R3043" s="42"/>
      <c r="S3043" s="1"/>
    </row>
    <row r="3044" spans="1:19" ht="18.75" hidden="1" customHeight="1" x14ac:dyDescent="0.3">
      <c r="A3044" s="10">
        <v>3043</v>
      </c>
      <c r="B3044" s="10">
        <f>_xlfn.XLOOKUP(1,(VALUE(D3044)&gt;=VALUE(block!$C$3:$C$500))*(VALUE(D3044)&lt;VALUE(block!$C$3:$C$500)+VALUE(block!$D$3:$D$500)),block!$A$3:$A$500,"无匹配",0,1)</f>
        <v>80</v>
      </c>
      <c r="C3044" s="3" t="str">
        <f>B3044 &amp; "-" &amp; COUNTIF($B$2:B3044, B3044)</f>
        <v>80-39</v>
      </c>
      <c r="D3044" s="10">
        <v>22126</v>
      </c>
      <c r="E3044" s="3" t="s">
        <v>7521</v>
      </c>
      <c r="F3044" s="1" t="s">
        <v>7522</v>
      </c>
      <c r="G3044" s="1" t="s">
        <v>1840</v>
      </c>
      <c r="H3044" s="1" t="s">
        <v>1812</v>
      </c>
      <c r="I3044" s="10" t="str">
        <f>IF(H3044="T49",1,IF(H3044="T49",3,IF(H3044="T65",6,IF(H3044="T65",10,IF(H3044="T97",14,IF(H3044="T97",18,IF(H3044="T65",22,"")))))))</f>
        <v/>
      </c>
      <c r="J3044" s="1" t="s">
        <v>1808</v>
      </c>
      <c r="K3044" s="10">
        <v>2</v>
      </c>
      <c r="L3044" s="10">
        <v>1</v>
      </c>
      <c r="O3044" s="6"/>
      <c r="P3044" s="10">
        <v>6</v>
      </c>
      <c r="Q3044" s="42" t="s">
        <v>6870</v>
      </c>
      <c r="R3044" s="42"/>
      <c r="S3044" s="1"/>
    </row>
    <row r="3045" spans="1:19" ht="18.75" hidden="1" customHeight="1" x14ac:dyDescent="0.3">
      <c r="A3045" s="10">
        <v>3044</v>
      </c>
      <c r="B3045" s="10">
        <f>_xlfn.XLOOKUP(1,(VALUE(D3045)&gt;=VALUE(block!$C$3:$C$500))*(VALUE(D3045)&lt;VALUE(block!$C$3:$C$500)+VALUE(block!$D$3:$D$500)),block!$A$3:$A$500,"无匹配",0,1)</f>
        <v>80</v>
      </c>
      <c r="C3045" s="3" t="str">
        <f>B3045 &amp; "-" &amp; COUNTIF($B$2:B3045, B3045)</f>
        <v>80-40</v>
      </c>
      <c r="D3045" s="10">
        <v>22128</v>
      </c>
      <c r="E3045" s="3" t="s">
        <v>7523</v>
      </c>
      <c r="F3045" s="1" t="s">
        <v>7524</v>
      </c>
      <c r="H3045" s="3" t="s">
        <v>6767</v>
      </c>
      <c r="I3045" s="10" t="str">
        <f>IF(H3045="T50",1,IF(H3045="T50",3,IF(H3045="T66",6,IF(H3045="T66",10,IF(H3045="T98",14,IF(H3045="T98",18,IF(H3045="T66",22,"")))))))</f>
        <v/>
      </c>
      <c r="J3045" s="1" t="s">
        <v>1808</v>
      </c>
      <c r="K3045" s="10">
        <v>4</v>
      </c>
      <c r="L3045" s="10">
        <v>1</v>
      </c>
      <c r="O3045" s="6"/>
      <c r="Q3045" s="42" t="s">
        <v>6870</v>
      </c>
      <c r="R3045" s="42"/>
      <c r="S3045" s="1"/>
    </row>
    <row r="3046" spans="1:19" ht="18.75" hidden="1" customHeight="1" x14ac:dyDescent="0.3">
      <c r="A3046" s="10">
        <v>3045</v>
      </c>
      <c r="B3046" s="10">
        <f>_xlfn.XLOOKUP(1,(VALUE(D3046)&gt;=VALUE(block!$C$3:$C$500))*(VALUE(D3046)&lt;VALUE(block!$C$3:$C$500)+VALUE(block!$D$3:$D$500)),block!$A$3:$A$500,"无匹配",0,1)</f>
        <v>81</v>
      </c>
      <c r="C3046" s="3" t="str">
        <f>B3046 &amp; "-" &amp; COUNTIF($B$2:B3046, B3046)</f>
        <v>81-1</v>
      </c>
      <c r="D3046" s="10">
        <v>22132</v>
      </c>
      <c r="E3046" s="1" t="s">
        <v>7525</v>
      </c>
      <c r="F3046" s="1" t="s">
        <v>7526</v>
      </c>
      <c r="G3046" s="1" t="s">
        <v>1830</v>
      </c>
      <c r="H3046" s="1" t="s">
        <v>1812</v>
      </c>
      <c r="I3046" s="10" t="str">
        <f>IF(H3046="T51",1,IF(H3046="T51",3,IF(H3046="T67",6,IF(H3046="T67",10,IF(H3046="T99",14,IF(H3046="T99",18,IF(H3046="T67",22,"")))))))</f>
        <v/>
      </c>
      <c r="J3046" s="1" t="s">
        <v>1808</v>
      </c>
      <c r="K3046" s="10">
        <v>2</v>
      </c>
      <c r="L3046" s="10">
        <v>1</v>
      </c>
      <c r="O3046" s="6"/>
      <c r="P3046" s="10">
        <v>6</v>
      </c>
      <c r="Q3046" s="42" t="s">
        <v>6870</v>
      </c>
      <c r="R3046" s="42"/>
      <c r="S3046" s="1"/>
    </row>
    <row r="3047" spans="1:19" ht="18.75" hidden="1" customHeight="1" x14ac:dyDescent="0.3">
      <c r="A3047" s="10">
        <v>3046</v>
      </c>
      <c r="B3047" s="10">
        <f>_xlfn.XLOOKUP(1,(VALUE(D3047)&gt;=VALUE(block!$C$3:$C$500))*(VALUE(D3047)&lt;VALUE(block!$C$3:$C$500)+VALUE(block!$D$3:$D$500)),block!$A$3:$A$500,"无匹配",0,1)</f>
        <v>81</v>
      </c>
      <c r="C3047" s="3" t="str">
        <f>B3047 &amp; "-" &amp; COUNTIF($B$2:B3047, B3047)</f>
        <v>81-2</v>
      </c>
      <c r="D3047" s="10">
        <v>22134</v>
      </c>
      <c r="E3047" s="1" t="s">
        <v>7527</v>
      </c>
      <c r="F3047" s="1" t="s">
        <v>7528</v>
      </c>
      <c r="H3047" s="3" t="s">
        <v>6767</v>
      </c>
      <c r="I3047" s="10" t="str">
        <f>IF(H3047="T52",1,IF(H3047="T52",3,IF(H3047="T68",6,IF(H3047="T68",10,IF(H3047="T100",14,IF(H3047="T100",18,IF(H3047="T68",22,"")))))))</f>
        <v/>
      </c>
      <c r="J3047" s="1" t="s">
        <v>1808</v>
      </c>
      <c r="K3047" s="10">
        <v>4</v>
      </c>
      <c r="L3047" s="10">
        <v>1</v>
      </c>
      <c r="O3047" s="6"/>
      <c r="Q3047" s="42" t="s">
        <v>6870</v>
      </c>
      <c r="R3047" s="42"/>
      <c r="S3047" s="1"/>
    </row>
    <row r="3048" spans="1:19" ht="18.75" hidden="1" customHeight="1" x14ac:dyDescent="0.3">
      <c r="A3048" s="10">
        <v>3047</v>
      </c>
      <c r="B3048" s="10">
        <f>_xlfn.XLOOKUP(1,(VALUE(D3048)&gt;=VALUE(block!$C$3:$C$500))*(VALUE(D3048)&lt;VALUE(block!$C$3:$C$500)+VALUE(block!$D$3:$D$500)),block!$A$3:$A$500,"无匹配",0,1)</f>
        <v>81</v>
      </c>
      <c r="C3048" s="3" t="str">
        <f>B3048 &amp; "-" &amp; COUNTIF($B$2:B3048, B3048)</f>
        <v>81-3</v>
      </c>
      <c r="D3048" s="10">
        <v>22138</v>
      </c>
      <c r="E3048" s="1" t="s">
        <v>7529</v>
      </c>
      <c r="F3048" s="1" t="s">
        <v>7530</v>
      </c>
      <c r="G3048" s="1" t="s">
        <v>1832</v>
      </c>
      <c r="H3048" s="1" t="s">
        <v>1812</v>
      </c>
      <c r="I3048" s="10" t="str">
        <f>IF(H3048="T53",1,IF(H3048="T53",3,IF(H3048="T69",6,IF(H3048="T69",10,IF(H3048="T101",14,IF(H3048="T101",18,IF(H3048="T69",22,"")))))))</f>
        <v/>
      </c>
      <c r="J3048" s="1" t="s">
        <v>1808</v>
      </c>
      <c r="K3048" s="10">
        <v>2</v>
      </c>
      <c r="L3048" s="10">
        <v>1</v>
      </c>
      <c r="O3048" s="6"/>
      <c r="P3048" s="10">
        <v>6</v>
      </c>
      <c r="Q3048" s="42" t="s">
        <v>6870</v>
      </c>
      <c r="R3048" s="42"/>
      <c r="S3048" s="1"/>
    </row>
    <row r="3049" spans="1:19" ht="18.75" hidden="1" customHeight="1" x14ac:dyDescent="0.3">
      <c r="A3049" s="10">
        <v>3048</v>
      </c>
      <c r="B3049" s="10">
        <f>_xlfn.XLOOKUP(1,(VALUE(D3049)&gt;=VALUE(block!$C$3:$C$500))*(VALUE(D3049)&lt;VALUE(block!$C$3:$C$500)+VALUE(block!$D$3:$D$500)),block!$A$3:$A$500,"无匹配",0,1)</f>
        <v>81</v>
      </c>
      <c r="C3049" s="3" t="str">
        <f>B3049 &amp; "-" &amp; COUNTIF($B$2:B3049, B3049)</f>
        <v>81-4</v>
      </c>
      <c r="D3049" s="10">
        <v>22140</v>
      </c>
      <c r="E3049" s="1" t="s">
        <v>7531</v>
      </c>
      <c r="F3049" s="1" t="s">
        <v>7532</v>
      </c>
      <c r="H3049" s="3" t="s">
        <v>6767</v>
      </c>
      <c r="I3049" s="10" t="str">
        <f>IF(H3049="T54",1,IF(H3049="T54",3,IF(H3049="T70",6,IF(H3049="T70",10,IF(H3049="T102",14,IF(H3049="T102",18,IF(H3049="T70",22,"")))))))</f>
        <v/>
      </c>
      <c r="J3049" s="1" t="s">
        <v>1808</v>
      </c>
      <c r="K3049" s="10">
        <v>4</v>
      </c>
      <c r="L3049" s="10">
        <v>1</v>
      </c>
      <c r="O3049" s="6"/>
      <c r="Q3049" s="42" t="s">
        <v>6870</v>
      </c>
      <c r="R3049" s="42"/>
      <c r="S3049" s="1"/>
    </row>
    <row r="3050" spans="1:19" ht="18.75" hidden="1" customHeight="1" x14ac:dyDescent="0.3">
      <c r="A3050" s="10">
        <v>3049</v>
      </c>
      <c r="B3050" s="10">
        <f>_xlfn.XLOOKUP(1,(VALUE(D3050)&gt;=VALUE(block!$C$3:$C$500))*(VALUE(D3050)&lt;VALUE(block!$C$3:$C$500)+VALUE(block!$D$3:$D$500)),block!$A$3:$A$500,"无匹配",0,1)</f>
        <v>81</v>
      </c>
      <c r="C3050" s="3" t="str">
        <f>B3050 &amp; "-" &amp; COUNTIF($B$2:B3050, B3050)</f>
        <v>81-5</v>
      </c>
      <c r="D3050" s="10">
        <v>22144</v>
      </c>
      <c r="E3050" s="1" t="s">
        <v>7533</v>
      </c>
      <c r="F3050" s="1" t="s">
        <v>7534</v>
      </c>
      <c r="G3050" s="1" t="s">
        <v>1834</v>
      </c>
      <c r="H3050" s="1" t="s">
        <v>1812</v>
      </c>
      <c r="I3050" s="10" t="str">
        <f>IF(H3050="T55",1,IF(H3050="T55",3,IF(H3050="T71",6,IF(H3050="T71",10,IF(H3050="T103",14,IF(H3050="T103",18,IF(H3050="T71",22,"")))))))</f>
        <v/>
      </c>
      <c r="J3050" s="1" t="s">
        <v>1808</v>
      </c>
      <c r="K3050" s="10">
        <v>2</v>
      </c>
      <c r="L3050" s="10">
        <v>1</v>
      </c>
      <c r="O3050" s="6"/>
      <c r="P3050" s="10">
        <v>6</v>
      </c>
      <c r="Q3050" s="42" t="s">
        <v>6870</v>
      </c>
      <c r="R3050" s="42"/>
      <c r="S3050" s="1"/>
    </row>
    <row r="3051" spans="1:19" ht="18.75" hidden="1" customHeight="1" x14ac:dyDescent="0.3">
      <c r="A3051" s="10">
        <v>3050</v>
      </c>
      <c r="B3051" s="10">
        <f>_xlfn.XLOOKUP(1,(VALUE(D3051)&gt;=VALUE(block!$C$3:$C$500))*(VALUE(D3051)&lt;VALUE(block!$C$3:$C$500)+VALUE(block!$D$3:$D$500)),block!$A$3:$A$500,"无匹配",0,1)</f>
        <v>81</v>
      </c>
      <c r="C3051" s="3" t="str">
        <f>B3051 &amp; "-" &amp; COUNTIF($B$2:B3051, B3051)</f>
        <v>81-6</v>
      </c>
      <c r="D3051" s="10">
        <v>22146</v>
      </c>
      <c r="E3051" s="1" t="s">
        <v>7535</v>
      </c>
      <c r="F3051" s="1" t="s">
        <v>7536</v>
      </c>
      <c r="H3051" s="3" t="s">
        <v>6767</v>
      </c>
      <c r="I3051" s="10" t="str">
        <f>IF(H3051="T56",1,IF(H3051="T56",3,IF(H3051="T72",6,IF(H3051="T72",10,IF(H3051="T104",14,IF(H3051="T104",18,IF(H3051="T72",22,"")))))))</f>
        <v/>
      </c>
      <c r="J3051" s="1" t="s">
        <v>1808</v>
      </c>
      <c r="K3051" s="10">
        <v>4</v>
      </c>
      <c r="L3051" s="10">
        <v>1</v>
      </c>
      <c r="O3051" s="6"/>
      <c r="Q3051" s="42" t="s">
        <v>6870</v>
      </c>
      <c r="R3051" s="42"/>
      <c r="S3051" s="1"/>
    </row>
    <row r="3052" spans="1:19" ht="18.75" hidden="1" customHeight="1" x14ac:dyDescent="0.3">
      <c r="A3052" s="10">
        <v>3051</v>
      </c>
      <c r="B3052" s="10">
        <f>_xlfn.XLOOKUP(1,(VALUE(D3052)&gt;=VALUE(block!$C$3:$C$500))*(VALUE(D3052)&lt;VALUE(block!$C$3:$C$500)+VALUE(block!$D$3:$D$500)),block!$A$3:$A$500,"无匹配",0,1)</f>
        <v>81</v>
      </c>
      <c r="C3052" s="3" t="str">
        <f>B3052 &amp; "-" &amp; COUNTIF($B$2:B3052, B3052)</f>
        <v>81-7</v>
      </c>
      <c r="D3052" s="10">
        <v>22150</v>
      </c>
      <c r="E3052" s="1" t="s">
        <v>7537</v>
      </c>
      <c r="F3052" s="1" t="s">
        <v>7538</v>
      </c>
      <c r="G3052" s="1" t="s">
        <v>1836</v>
      </c>
      <c r="H3052" s="1" t="s">
        <v>1812</v>
      </c>
      <c r="I3052" s="10" t="str">
        <f>IF(H3052="T57",1,IF(H3052="T57",3,IF(H3052="T73",6,IF(H3052="T73",10,IF(H3052="T105",14,IF(H3052="T105",18,IF(H3052="T73",22,"")))))))</f>
        <v/>
      </c>
      <c r="J3052" s="1" t="s">
        <v>1808</v>
      </c>
      <c r="K3052" s="10">
        <v>2</v>
      </c>
      <c r="L3052" s="10">
        <v>1</v>
      </c>
      <c r="O3052" s="6"/>
      <c r="P3052" s="10">
        <v>6</v>
      </c>
      <c r="Q3052" s="42" t="s">
        <v>6870</v>
      </c>
      <c r="R3052" s="42"/>
      <c r="S3052" s="1"/>
    </row>
    <row r="3053" spans="1:19" ht="18.75" hidden="1" customHeight="1" x14ac:dyDescent="0.3">
      <c r="A3053" s="10">
        <v>3052</v>
      </c>
      <c r="B3053" s="10">
        <f>_xlfn.XLOOKUP(1,(VALUE(D3053)&gt;=VALUE(block!$C$3:$C$500))*(VALUE(D3053)&lt;VALUE(block!$C$3:$C$500)+VALUE(block!$D$3:$D$500)),block!$A$3:$A$500,"无匹配",0,1)</f>
        <v>81</v>
      </c>
      <c r="C3053" s="3" t="str">
        <f>B3053 &amp; "-" &amp; COUNTIF($B$2:B3053, B3053)</f>
        <v>81-8</v>
      </c>
      <c r="D3053" s="10">
        <v>22152</v>
      </c>
      <c r="E3053" s="1" t="s">
        <v>7539</v>
      </c>
      <c r="F3053" s="1" t="s">
        <v>7540</v>
      </c>
      <c r="H3053" s="3" t="s">
        <v>6767</v>
      </c>
      <c r="I3053" s="10" t="str">
        <f>IF(H3053="T58",1,IF(H3053="T58",3,IF(H3053="T74",6,IF(H3053="T74",10,IF(H3053="T106",14,IF(H3053="T106",18,IF(H3053="T74",22,"")))))))</f>
        <v/>
      </c>
      <c r="J3053" s="1" t="s">
        <v>1808</v>
      </c>
      <c r="K3053" s="10">
        <v>4</v>
      </c>
      <c r="L3053" s="10">
        <v>1</v>
      </c>
      <c r="O3053" s="6"/>
      <c r="Q3053" s="42" t="s">
        <v>6870</v>
      </c>
      <c r="R3053" s="42"/>
      <c r="S3053" s="1"/>
    </row>
    <row r="3054" spans="1:19" ht="18.75" hidden="1" customHeight="1" x14ac:dyDescent="0.3">
      <c r="A3054" s="10">
        <v>3053</v>
      </c>
      <c r="B3054" s="10">
        <f>_xlfn.XLOOKUP(1,(VALUE(D3054)&gt;=VALUE(block!$C$3:$C$500))*(VALUE(D3054)&lt;VALUE(block!$C$3:$C$500)+VALUE(block!$D$3:$D$500)),block!$A$3:$A$500,"无匹配",0,1)</f>
        <v>81</v>
      </c>
      <c r="C3054" s="3" t="str">
        <f>B3054 &amp; "-" &amp; COUNTIF($B$2:B3054, B3054)</f>
        <v>81-9</v>
      </c>
      <c r="D3054" s="10">
        <v>22156</v>
      </c>
      <c r="E3054" s="3" t="s">
        <v>7541</v>
      </c>
      <c r="F3054" s="1" t="s">
        <v>7542</v>
      </c>
      <c r="G3054" s="1" t="s">
        <v>1840</v>
      </c>
      <c r="H3054" s="1" t="s">
        <v>1812</v>
      </c>
      <c r="I3054" s="10" t="str">
        <f>IF(H3054="T59",1,IF(H3054="T59",3,IF(H3054="T75",6,IF(H3054="T75",10,IF(H3054="T107",14,IF(H3054="T107",18,IF(H3054="T75",22,"")))))))</f>
        <v/>
      </c>
      <c r="J3054" s="1" t="s">
        <v>1808</v>
      </c>
      <c r="K3054" s="10">
        <v>2</v>
      </c>
      <c r="L3054" s="10">
        <v>1</v>
      </c>
      <c r="O3054" s="6"/>
      <c r="P3054" s="10">
        <v>6</v>
      </c>
      <c r="Q3054" s="42" t="s">
        <v>6870</v>
      </c>
      <c r="R3054" s="42"/>
      <c r="S3054" s="1"/>
    </row>
    <row r="3055" spans="1:19" ht="18.75" hidden="1" customHeight="1" x14ac:dyDescent="0.3">
      <c r="A3055" s="10">
        <v>3054</v>
      </c>
      <c r="B3055" s="10">
        <f>_xlfn.XLOOKUP(1,(VALUE(D3055)&gt;=VALUE(block!$C$3:$C$500))*(VALUE(D3055)&lt;VALUE(block!$C$3:$C$500)+VALUE(block!$D$3:$D$500)),block!$A$3:$A$500,"无匹配",0,1)</f>
        <v>81</v>
      </c>
      <c r="C3055" s="3" t="str">
        <f>B3055 &amp; "-" &amp; COUNTIF($B$2:B3055, B3055)</f>
        <v>81-10</v>
      </c>
      <c r="D3055" s="10">
        <v>22158</v>
      </c>
      <c r="E3055" s="3" t="s">
        <v>7543</v>
      </c>
      <c r="F3055" s="1" t="s">
        <v>7544</v>
      </c>
      <c r="H3055" s="3" t="s">
        <v>6767</v>
      </c>
      <c r="I3055" s="10" t="str">
        <f>IF(H3055="T60",1,IF(H3055="T60",3,IF(H3055="T76",6,IF(H3055="T76",10,IF(H3055="T108",14,IF(H3055="T108",18,IF(H3055="T76",22,"")))))))</f>
        <v/>
      </c>
      <c r="J3055" s="1" t="s">
        <v>1808</v>
      </c>
      <c r="K3055" s="10">
        <v>4</v>
      </c>
      <c r="L3055" s="10">
        <v>1</v>
      </c>
      <c r="O3055" s="6"/>
      <c r="Q3055" s="42" t="s">
        <v>6870</v>
      </c>
      <c r="R3055" s="42"/>
      <c r="S3055" s="1"/>
    </row>
    <row r="3056" spans="1:19" ht="18.75" hidden="1" customHeight="1" x14ac:dyDescent="0.3">
      <c r="A3056" s="10">
        <v>3055</v>
      </c>
      <c r="B3056" s="10">
        <f>_xlfn.XLOOKUP(1,(VALUE(D3056)&gt;=VALUE(block!$C$3:$C$500))*(VALUE(D3056)&lt;VALUE(block!$C$3:$C$500)+VALUE(block!$D$3:$D$500)),block!$A$3:$A$500,"无匹配",0,1)</f>
        <v>81</v>
      </c>
      <c r="C3056" s="3" t="str">
        <f>B3056 &amp; "-" &amp; COUNTIF($B$2:B3056, B3056)</f>
        <v>81-11</v>
      </c>
      <c r="D3056" s="10">
        <v>22162</v>
      </c>
      <c r="E3056" s="1" t="s">
        <v>7545</v>
      </c>
      <c r="F3056" s="1" t="s">
        <v>7546</v>
      </c>
      <c r="G3056" s="1" t="s">
        <v>1830</v>
      </c>
      <c r="H3056" s="1" t="s">
        <v>1812</v>
      </c>
      <c r="I3056" s="10" t="str">
        <f>IF(H3056="T61",1,IF(H3056="T61",3,IF(H3056="T77",6,IF(H3056="T77",10,IF(H3056="T109",14,IF(H3056="T109",18,IF(H3056="T77",22,"")))))))</f>
        <v/>
      </c>
      <c r="J3056" s="1" t="s">
        <v>1808</v>
      </c>
      <c r="K3056" s="10">
        <v>2</v>
      </c>
      <c r="L3056" s="10">
        <v>1</v>
      </c>
      <c r="O3056" s="6"/>
      <c r="P3056" s="10">
        <v>6</v>
      </c>
      <c r="Q3056" s="42" t="s">
        <v>6870</v>
      </c>
      <c r="R3056" s="42"/>
      <c r="S3056" s="1"/>
    </row>
    <row r="3057" spans="1:19" ht="18.75" hidden="1" customHeight="1" x14ac:dyDescent="0.3">
      <c r="A3057" s="10">
        <v>3056</v>
      </c>
      <c r="B3057" s="10">
        <f>_xlfn.XLOOKUP(1,(VALUE(D3057)&gt;=VALUE(block!$C$3:$C$500))*(VALUE(D3057)&lt;VALUE(block!$C$3:$C$500)+VALUE(block!$D$3:$D$500)),block!$A$3:$A$500,"无匹配",0,1)</f>
        <v>81</v>
      </c>
      <c r="C3057" s="3" t="str">
        <f>B3057 &amp; "-" &amp; COUNTIF($B$2:B3057, B3057)</f>
        <v>81-12</v>
      </c>
      <c r="D3057" s="10">
        <v>22164</v>
      </c>
      <c r="E3057" s="1" t="s">
        <v>7547</v>
      </c>
      <c r="F3057" s="1" t="s">
        <v>7548</v>
      </c>
      <c r="H3057" s="3" t="s">
        <v>6767</v>
      </c>
      <c r="I3057" s="10" t="str">
        <f>IF(H3057="T62",1,IF(H3057="T62",3,IF(H3057="T78",6,IF(H3057="T78",10,IF(H3057="T110",14,IF(H3057="T110",18,IF(H3057="T78",22,"")))))))</f>
        <v/>
      </c>
      <c r="J3057" s="1" t="s">
        <v>1808</v>
      </c>
      <c r="K3057" s="10">
        <v>4</v>
      </c>
      <c r="L3057" s="10">
        <v>1</v>
      </c>
      <c r="O3057" s="6"/>
      <c r="Q3057" s="42" t="s">
        <v>6870</v>
      </c>
      <c r="R3057" s="42"/>
      <c r="S3057" s="1"/>
    </row>
    <row r="3058" spans="1:19" ht="18.75" hidden="1" customHeight="1" x14ac:dyDescent="0.3">
      <c r="A3058" s="10">
        <v>3057</v>
      </c>
      <c r="B3058" s="10">
        <f>_xlfn.XLOOKUP(1,(VALUE(D3058)&gt;=VALUE(block!$C$3:$C$500))*(VALUE(D3058)&lt;VALUE(block!$C$3:$C$500)+VALUE(block!$D$3:$D$500)),block!$A$3:$A$500,"无匹配",0,1)</f>
        <v>81</v>
      </c>
      <c r="C3058" s="3" t="str">
        <f>B3058 &amp; "-" &amp; COUNTIF($B$2:B3058, B3058)</f>
        <v>81-13</v>
      </c>
      <c r="D3058" s="10">
        <v>22168</v>
      </c>
      <c r="E3058" s="1" t="s">
        <v>7549</v>
      </c>
      <c r="F3058" s="1" t="s">
        <v>7550</v>
      </c>
      <c r="G3058" s="1" t="s">
        <v>1832</v>
      </c>
      <c r="H3058" s="1" t="s">
        <v>1812</v>
      </c>
      <c r="I3058" s="10" t="str">
        <f>IF(H3058="T63",1,IF(H3058="T63",3,IF(H3058="T79",6,IF(H3058="T79",10,IF(H3058="T111",14,IF(H3058="T111",18,IF(H3058="T79",22,"")))))))</f>
        <v/>
      </c>
      <c r="J3058" s="1" t="s">
        <v>1808</v>
      </c>
      <c r="K3058" s="10">
        <v>2</v>
      </c>
      <c r="L3058" s="10">
        <v>1</v>
      </c>
      <c r="O3058" s="6"/>
      <c r="P3058" s="10">
        <v>6</v>
      </c>
      <c r="Q3058" s="42" t="s">
        <v>6870</v>
      </c>
      <c r="R3058" s="42"/>
      <c r="S3058" s="1"/>
    </row>
    <row r="3059" spans="1:19" ht="18.75" hidden="1" customHeight="1" x14ac:dyDescent="0.3">
      <c r="A3059" s="10">
        <v>3058</v>
      </c>
      <c r="B3059" s="10">
        <f>_xlfn.XLOOKUP(1,(VALUE(D3059)&gt;=VALUE(block!$C$3:$C$500))*(VALUE(D3059)&lt;VALUE(block!$C$3:$C$500)+VALUE(block!$D$3:$D$500)),block!$A$3:$A$500,"无匹配",0,1)</f>
        <v>81</v>
      </c>
      <c r="C3059" s="3" t="str">
        <f>B3059 &amp; "-" &amp; COUNTIF($B$2:B3059, B3059)</f>
        <v>81-14</v>
      </c>
      <c r="D3059" s="10">
        <v>22170</v>
      </c>
      <c r="E3059" s="1" t="s">
        <v>7551</v>
      </c>
      <c r="F3059" s="1" t="s">
        <v>7552</v>
      </c>
      <c r="H3059" s="3" t="s">
        <v>6767</v>
      </c>
      <c r="I3059" s="10" t="str">
        <f>IF(H3059="T64",1,IF(H3059="T64",3,IF(H3059="T80",6,IF(H3059="T80",10,IF(H3059="T112",14,IF(H3059="T112",18,IF(H3059="T80",22,"")))))))</f>
        <v/>
      </c>
      <c r="J3059" s="1" t="s">
        <v>1808</v>
      </c>
      <c r="K3059" s="10">
        <v>4</v>
      </c>
      <c r="L3059" s="10">
        <v>1</v>
      </c>
      <c r="O3059" s="6"/>
      <c r="Q3059" s="42" t="s">
        <v>6870</v>
      </c>
      <c r="R3059" s="42"/>
      <c r="S3059" s="1"/>
    </row>
    <row r="3060" spans="1:19" ht="18.75" hidden="1" customHeight="1" x14ac:dyDescent="0.3">
      <c r="A3060" s="10">
        <v>3059</v>
      </c>
      <c r="B3060" s="10">
        <f>_xlfn.XLOOKUP(1,(VALUE(D3060)&gt;=VALUE(block!$C$3:$C$500))*(VALUE(D3060)&lt;VALUE(block!$C$3:$C$500)+VALUE(block!$D$3:$D$500)),block!$A$3:$A$500,"无匹配",0,1)</f>
        <v>81</v>
      </c>
      <c r="C3060" s="3" t="str">
        <f>B3060 &amp; "-" &amp; COUNTIF($B$2:B3060, B3060)</f>
        <v>81-15</v>
      </c>
      <c r="D3060" s="10">
        <v>22174</v>
      </c>
      <c r="E3060" s="1" t="s">
        <v>7553</v>
      </c>
      <c r="F3060" s="1" t="s">
        <v>7554</v>
      </c>
      <c r="G3060" s="1" t="s">
        <v>1834</v>
      </c>
      <c r="H3060" s="1" t="s">
        <v>1812</v>
      </c>
      <c r="I3060" s="10" t="str">
        <f>IF(H3060="T65",1,IF(H3060="T65",3,IF(H3060="T81",6,IF(H3060="T81",10,IF(H3060="T113",14,IF(H3060="T113",18,IF(H3060="T81",22,"")))))))</f>
        <v/>
      </c>
      <c r="J3060" s="1" t="s">
        <v>1808</v>
      </c>
      <c r="K3060" s="10">
        <v>2</v>
      </c>
      <c r="L3060" s="10">
        <v>1</v>
      </c>
      <c r="O3060" s="6"/>
      <c r="P3060" s="10">
        <v>6</v>
      </c>
      <c r="Q3060" s="42" t="s">
        <v>6870</v>
      </c>
      <c r="R3060" s="42"/>
      <c r="S3060" s="1"/>
    </row>
    <row r="3061" spans="1:19" ht="18.75" hidden="1" customHeight="1" x14ac:dyDescent="0.3">
      <c r="A3061" s="10">
        <v>3060</v>
      </c>
      <c r="B3061" s="10">
        <f>_xlfn.XLOOKUP(1,(VALUE(D3061)&gt;=VALUE(block!$C$3:$C$500))*(VALUE(D3061)&lt;VALUE(block!$C$3:$C$500)+VALUE(block!$D$3:$D$500)),block!$A$3:$A$500,"无匹配",0,1)</f>
        <v>81</v>
      </c>
      <c r="C3061" s="3" t="str">
        <f>B3061 &amp; "-" &amp; COUNTIF($B$2:B3061, B3061)</f>
        <v>81-16</v>
      </c>
      <c r="D3061" s="10">
        <v>22176</v>
      </c>
      <c r="E3061" s="1" t="s">
        <v>7555</v>
      </c>
      <c r="F3061" s="1" t="s">
        <v>7556</v>
      </c>
      <c r="H3061" s="3" t="s">
        <v>6767</v>
      </c>
      <c r="I3061" s="10" t="str">
        <f>IF(H3061="T66",1,IF(H3061="T66",3,IF(H3061="T82",6,IF(H3061="T82",10,IF(H3061="T114",14,IF(H3061="T114",18,IF(H3061="T82",22,"")))))))</f>
        <v/>
      </c>
      <c r="J3061" s="1" t="s">
        <v>1808</v>
      </c>
      <c r="K3061" s="10">
        <v>4</v>
      </c>
      <c r="L3061" s="10">
        <v>1</v>
      </c>
      <c r="O3061" s="6"/>
      <c r="Q3061" s="42" t="s">
        <v>6870</v>
      </c>
      <c r="R3061" s="42"/>
      <c r="S3061" s="1"/>
    </row>
    <row r="3062" spans="1:19" ht="18.75" hidden="1" customHeight="1" x14ac:dyDescent="0.3">
      <c r="A3062" s="10">
        <v>3061</v>
      </c>
      <c r="B3062" s="10">
        <f>_xlfn.XLOOKUP(1,(VALUE(D3062)&gt;=VALUE(block!$C$3:$C$500))*(VALUE(D3062)&lt;VALUE(block!$C$3:$C$500)+VALUE(block!$D$3:$D$500)),block!$A$3:$A$500,"无匹配",0,1)</f>
        <v>81</v>
      </c>
      <c r="C3062" s="3" t="str">
        <f>B3062 &amp; "-" &amp; COUNTIF($B$2:B3062, B3062)</f>
        <v>81-17</v>
      </c>
      <c r="D3062" s="10">
        <v>22180</v>
      </c>
      <c r="E3062" s="1" t="s">
        <v>7557</v>
      </c>
      <c r="F3062" s="1" t="s">
        <v>7558</v>
      </c>
      <c r="G3062" s="1" t="s">
        <v>1836</v>
      </c>
      <c r="H3062" s="1" t="s">
        <v>1812</v>
      </c>
      <c r="I3062" s="10" t="str">
        <f>IF(H3062="T67",1,IF(H3062="T67",3,IF(H3062="T83",6,IF(H3062="T83",10,IF(H3062="T115",14,IF(H3062="T115",18,IF(H3062="T83",22,"")))))))</f>
        <v/>
      </c>
      <c r="J3062" s="1" t="s">
        <v>1808</v>
      </c>
      <c r="K3062" s="10">
        <v>2</v>
      </c>
      <c r="L3062" s="10">
        <v>1</v>
      </c>
      <c r="O3062" s="6"/>
      <c r="P3062" s="10">
        <v>6</v>
      </c>
      <c r="Q3062" s="42" t="s">
        <v>6870</v>
      </c>
      <c r="R3062" s="42"/>
      <c r="S3062" s="1"/>
    </row>
    <row r="3063" spans="1:19" ht="18.75" hidden="1" customHeight="1" x14ac:dyDescent="0.3">
      <c r="A3063" s="10">
        <v>3062</v>
      </c>
      <c r="B3063" s="10">
        <f>_xlfn.XLOOKUP(1,(VALUE(D3063)&gt;=VALUE(block!$C$3:$C$500))*(VALUE(D3063)&lt;VALUE(block!$C$3:$C$500)+VALUE(block!$D$3:$D$500)),block!$A$3:$A$500,"无匹配",0,1)</f>
        <v>81</v>
      </c>
      <c r="C3063" s="3" t="str">
        <f>B3063 &amp; "-" &amp; COUNTIF($B$2:B3063, B3063)</f>
        <v>81-18</v>
      </c>
      <c r="D3063" s="10">
        <v>22182</v>
      </c>
      <c r="E3063" s="1" t="s">
        <v>7559</v>
      </c>
      <c r="F3063" s="1" t="s">
        <v>7560</v>
      </c>
      <c r="H3063" s="3" t="s">
        <v>6767</v>
      </c>
      <c r="I3063" s="10" t="str">
        <f>IF(H3063="T68",1,IF(H3063="T68",3,IF(H3063="T84",6,IF(H3063="T84",10,IF(H3063="T116",14,IF(H3063="T116",18,IF(H3063="T84",22,"")))))))</f>
        <v/>
      </c>
      <c r="J3063" s="1" t="s">
        <v>1808</v>
      </c>
      <c r="K3063" s="10">
        <v>4</v>
      </c>
      <c r="L3063" s="10">
        <v>1</v>
      </c>
      <c r="O3063" s="6"/>
      <c r="Q3063" s="42" t="s">
        <v>6870</v>
      </c>
      <c r="R3063" s="42"/>
      <c r="S3063" s="1"/>
    </row>
    <row r="3064" spans="1:19" ht="18.75" hidden="1" customHeight="1" x14ac:dyDescent="0.3">
      <c r="A3064" s="10">
        <v>3063</v>
      </c>
      <c r="B3064" s="10">
        <f>_xlfn.XLOOKUP(1,(VALUE(D3064)&gt;=VALUE(block!$C$3:$C$500))*(VALUE(D3064)&lt;VALUE(block!$C$3:$C$500)+VALUE(block!$D$3:$D$500)),block!$A$3:$A$500,"无匹配",0,1)</f>
        <v>81</v>
      </c>
      <c r="C3064" s="3" t="str">
        <f>B3064 &amp; "-" &amp; COUNTIF($B$2:B3064, B3064)</f>
        <v>81-19</v>
      </c>
      <c r="D3064" s="10">
        <v>22186</v>
      </c>
      <c r="E3064" s="3" t="s">
        <v>7561</v>
      </c>
      <c r="F3064" s="1" t="s">
        <v>7562</v>
      </c>
      <c r="G3064" s="1" t="s">
        <v>1840</v>
      </c>
      <c r="H3064" s="1" t="s">
        <v>1812</v>
      </c>
      <c r="I3064" s="10" t="str">
        <f>IF(H3064="T69",1,IF(H3064="T69",3,IF(H3064="T85",6,IF(H3064="T85",10,IF(H3064="T117",14,IF(H3064="T117",18,IF(H3064="T85",22,"")))))))</f>
        <v/>
      </c>
      <c r="J3064" s="1" t="s">
        <v>1808</v>
      </c>
      <c r="K3064" s="10">
        <v>2</v>
      </c>
      <c r="L3064" s="10">
        <v>1</v>
      </c>
      <c r="O3064" s="6"/>
      <c r="P3064" s="10">
        <v>6</v>
      </c>
      <c r="Q3064" s="42" t="s">
        <v>6870</v>
      </c>
      <c r="R3064" s="42"/>
      <c r="S3064" s="1"/>
    </row>
    <row r="3065" spans="1:19" ht="18.75" hidden="1" customHeight="1" x14ac:dyDescent="0.3">
      <c r="A3065" s="10">
        <v>3064</v>
      </c>
      <c r="B3065" s="10">
        <f>_xlfn.XLOOKUP(1,(VALUE(D3065)&gt;=VALUE(block!$C$3:$C$500))*(VALUE(D3065)&lt;VALUE(block!$C$3:$C$500)+VALUE(block!$D$3:$D$500)),block!$A$3:$A$500,"无匹配",0,1)</f>
        <v>81</v>
      </c>
      <c r="C3065" s="3" t="str">
        <f>B3065 &amp; "-" &amp; COUNTIF($B$2:B3065, B3065)</f>
        <v>81-20</v>
      </c>
      <c r="D3065" s="10">
        <v>22188</v>
      </c>
      <c r="E3065" s="3" t="s">
        <v>7563</v>
      </c>
      <c r="F3065" s="1" t="s">
        <v>7564</v>
      </c>
      <c r="H3065" s="3" t="s">
        <v>6767</v>
      </c>
      <c r="I3065" s="10" t="str">
        <f>IF(H3065="T70",1,IF(H3065="T70",3,IF(H3065="T86",6,IF(H3065="T86",10,IF(H3065="T118",14,IF(H3065="T118",18,IF(H3065="T86",22,"")))))))</f>
        <v/>
      </c>
      <c r="J3065" s="1" t="s">
        <v>1808</v>
      </c>
      <c r="K3065" s="10">
        <v>4</v>
      </c>
      <c r="L3065" s="10">
        <v>1</v>
      </c>
      <c r="O3065" s="6"/>
      <c r="Q3065" s="42" t="s">
        <v>6870</v>
      </c>
      <c r="R3065" s="42"/>
      <c r="S3065" s="1"/>
    </row>
    <row r="3066" spans="1:19" ht="18.75" hidden="1" customHeight="1" x14ac:dyDescent="0.3">
      <c r="A3066" s="10">
        <v>3065</v>
      </c>
      <c r="B3066" s="10">
        <f>_xlfn.XLOOKUP(1,(VALUE(D3066)&gt;=VALUE(block!$C$3:$C$500))*(VALUE(D3066)&lt;VALUE(block!$C$3:$C$500)+VALUE(block!$D$3:$D$500)),block!$A$3:$A$500,"无匹配",0,1)</f>
        <v>81</v>
      </c>
      <c r="C3066" s="3" t="str">
        <f>B3066 &amp; "-" &amp; COUNTIF($B$2:B3066, B3066)</f>
        <v>81-21</v>
      </c>
      <c r="D3066" s="10">
        <v>22192</v>
      </c>
      <c r="E3066" s="1" t="s">
        <v>7565</v>
      </c>
      <c r="F3066" s="1" t="s">
        <v>7566</v>
      </c>
      <c r="G3066" s="1" t="s">
        <v>1830</v>
      </c>
      <c r="H3066" s="1" t="s">
        <v>1812</v>
      </c>
      <c r="I3066" s="10" t="str">
        <f>IF(H3066="T71",1,IF(H3066="T71",3,IF(H3066="T87",6,IF(H3066="T87",10,IF(H3066="T119",14,IF(H3066="T119",18,IF(H3066="T87",22,"")))))))</f>
        <v/>
      </c>
      <c r="J3066" s="1" t="s">
        <v>1808</v>
      </c>
      <c r="K3066" s="10">
        <v>2</v>
      </c>
      <c r="L3066" s="10">
        <v>1</v>
      </c>
      <c r="O3066" s="6"/>
      <c r="P3066" s="10">
        <v>6</v>
      </c>
      <c r="Q3066" s="42" t="s">
        <v>6870</v>
      </c>
      <c r="R3066" s="42"/>
      <c r="S3066" s="1"/>
    </row>
    <row r="3067" spans="1:19" ht="18.75" hidden="1" customHeight="1" x14ac:dyDescent="0.3">
      <c r="A3067" s="10">
        <v>3066</v>
      </c>
      <c r="B3067" s="10">
        <f>_xlfn.XLOOKUP(1,(VALUE(D3067)&gt;=VALUE(block!$C$3:$C$500))*(VALUE(D3067)&lt;VALUE(block!$C$3:$C$500)+VALUE(block!$D$3:$D$500)),block!$A$3:$A$500,"无匹配",0,1)</f>
        <v>81</v>
      </c>
      <c r="C3067" s="3" t="str">
        <f>B3067 &amp; "-" &amp; COUNTIF($B$2:B3067, B3067)</f>
        <v>81-22</v>
      </c>
      <c r="D3067" s="10">
        <v>22194</v>
      </c>
      <c r="E3067" s="1" t="s">
        <v>7567</v>
      </c>
      <c r="F3067" s="1" t="s">
        <v>7568</v>
      </c>
      <c r="H3067" s="3" t="s">
        <v>6767</v>
      </c>
      <c r="I3067" s="10" t="str">
        <f>IF(H3067="T72",1,IF(H3067="T72",3,IF(H3067="T88",6,IF(H3067="T88",10,IF(H3067="T120",14,IF(H3067="T120",18,IF(H3067="T88",22,"")))))))</f>
        <v/>
      </c>
      <c r="J3067" s="1" t="s">
        <v>1808</v>
      </c>
      <c r="K3067" s="10">
        <v>4</v>
      </c>
      <c r="L3067" s="10">
        <v>1</v>
      </c>
      <c r="O3067" s="6"/>
      <c r="Q3067" s="42" t="s">
        <v>6870</v>
      </c>
      <c r="R3067" s="42"/>
      <c r="S3067" s="1"/>
    </row>
    <row r="3068" spans="1:19" ht="18.75" hidden="1" customHeight="1" x14ac:dyDescent="0.3">
      <c r="A3068" s="10">
        <v>3067</v>
      </c>
      <c r="B3068" s="10">
        <f>_xlfn.XLOOKUP(1,(VALUE(D3068)&gt;=VALUE(block!$C$3:$C$500))*(VALUE(D3068)&lt;VALUE(block!$C$3:$C$500)+VALUE(block!$D$3:$D$500)),block!$A$3:$A$500,"无匹配",0,1)</f>
        <v>81</v>
      </c>
      <c r="C3068" s="3" t="str">
        <f>B3068 &amp; "-" &amp; COUNTIF($B$2:B3068, B3068)</f>
        <v>81-23</v>
      </c>
      <c r="D3068" s="10">
        <v>22198</v>
      </c>
      <c r="E3068" s="1" t="s">
        <v>7569</v>
      </c>
      <c r="F3068" s="1" t="s">
        <v>7570</v>
      </c>
      <c r="G3068" s="1" t="s">
        <v>1832</v>
      </c>
      <c r="H3068" s="1" t="s">
        <v>1812</v>
      </c>
      <c r="I3068" s="10" t="str">
        <f>IF(H3068="T73",1,IF(H3068="T73",3,IF(H3068="T89",6,IF(H3068="T89",10,IF(H3068="T121",14,IF(H3068="T121",18,IF(H3068="T89",22,"")))))))</f>
        <v/>
      </c>
      <c r="J3068" s="1" t="s">
        <v>1808</v>
      </c>
      <c r="K3068" s="10">
        <v>2</v>
      </c>
      <c r="L3068" s="10">
        <v>1</v>
      </c>
      <c r="O3068" s="6"/>
      <c r="P3068" s="10">
        <v>6</v>
      </c>
      <c r="Q3068" s="42" t="s">
        <v>6870</v>
      </c>
      <c r="R3068" s="42"/>
      <c r="S3068" s="1"/>
    </row>
    <row r="3069" spans="1:19" ht="18.75" hidden="1" customHeight="1" x14ac:dyDescent="0.3">
      <c r="A3069" s="10">
        <v>3068</v>
      </c>
      <c r="B3069" s="10">
        <f>_xlfn.XLOOKUP(1,(VALUE(D3069)&gt;=VALUE(block!$C$3:$C$500))*(VALUE(D3069)&lt;VALUE(block!$C$3:$C$500)+VALUE(block!$D$3:$D$500)),block!$A$3:$A$500,"无匹配",0,1)</f>
        <v>81</v>
      </c>
      <c r="C3069" s="3" t="str">
        <f>B3069 &amp; "-" &amp; COUNTIF($B$2:B3069, B3069)</f>
        <v>81-24</v>
      </c>
      <c r="D3069" s="10">
        <v>22200</v>
      </c>
      <c r="E3069" s="1" t="s">
        <v>7571</v>
      </c>
      <c r="F3069" s="1" t="s">
        <v>7572</v>
      </c>
      <c r="H3069" s="3" t="s">
        <v>6767</v>
      </c>
      <c r="I3069" s="10" t="str">
        <f>IF(H3069="T74",1,IF(H3069="T74",3,IF(H3069="T90",6,IF(H3069="T90",10,IF(H3069="T122",14,IF(H3069="T122",18,IF(H3069="T90",22,"")))))))</f>
        <v/>
      </c>
      <c r="J3069" s="1" t="s">
        <v>1808</v>
      </c>
      <c r="K3069" s="10">
        <v>4</v>
      </c>
      <c r="L3069" s="10">
        <v>1</v>
      </c>
      <c r="O3069" s="6"/>
      <c r="Q3069" s="42" t="s">
        <v>6870</v>
      </c>
      <c r="R3069" s="42"/>
      <c r="S3069" s="1"/>
    </row>
    <row r="3070" spans="1:19" ht="18.75" hidden="1" customHeight="1" x14ac:dyDescent="0.3">
      <c r="A3070" s="10">
        <v>3069</v>
      </c>
      <c r="B3070" s="10">
        <f>_xlfn.XLOOKUP(1,(VALUE(D3070)&gt;=VALUE(block!$C$3:$C$500))*(VALUE(D3070)&lt;VALUE(block!$C$3:$C$500)+VALUE(block!$D$3:$D$500)),block!$A$3:$A$500,"无匹配",0,1)</f>
        <v>81</v>
      </c>
      <c r="C3070" s="3" t="str">
        <f>B3070 &amp; "-" &amp; COUNTIF($B$2:B3070, B3070)</f>
        <v>81-25</v>
      </c>
      <c r="D3070" s="10">
        <v>22204</v>
      </c>
      <c r="E3070" s="1" t="s">
        <v>7573</v>
      </c>
      <c r="F3070" s="1" t="s">
        <v>7574</v>
      </c>
      <c r="G3070" s="1" t="s">
        <v>1834</v>
      </c>
      <c r="H3070" s="1" t="s">
        <v>1812</v>
      </c>
      <c r="I3070" s="10" t="str">
        <f>IF(H3070="T75",1,IF(H3070="T75",3,IF(H3070="T91",6,IF(H3070="T91",10,IF(H3070="T123",14,IF(H3070="T123",18,IF(H3070="T91",22,"")))))))</f>
        <v/>
      </c>
      <c r="J3070" s="1" t="s">
        <v>1808</v>
      </c>
      <c r="K3070" s="10">
        <v>2</v>
      </c>
      <c r="L3070" s="10">
        <v>1</v>
      </c>
      <c r="O3070" s="6"/>
      <c r="P3070" s="10">
        <v>6</v>
      </c>
      <c r="Q3070" s="42" t="s">
        <v>6870</v>
      </c>
      <c r="R3070" s="42"/>
      <c r="S3070" s="1"/>
    </row>
    <row r="3071" spans="1:19" ht="18.75" hidden="1" customHeight="1" x14ac:dyDescent="0.3">
      <c r="A3071" s="10">
        <v>3070</v>
      </c>
      <c r="B3071" s="10">
        <f>_xlfn.XLOOKUP(1,(VALUE(D3071)&gt;=VALUE(block!$C$3:$C$500))*(VALUE(D3071)&lt;VALUE(block!$C$3:$C$500)+VALUE(block!$D$3:$D$500)),block!$A$3:$A$500,"无匹配",0,1)</f>
        <v>81</v>
      </c>
      <c r="C3071" s="3" t="str">
        <f>B3071 &amp; "-" &amp; COUNTIF($B$2:B3071, B3071)</f>
        <v>81-26</v>
      </c>
      <c r="D3071" s="10">
        <v>22206</v>
      </c>
      <c r="E3071" s="1" t="s">
        <v>7575</v>
      </c>
      <c r="F3071" s="1" t="s">
        <v>7576</v>
      </c>
      <c r="H3071" s="3" t="s">
        <v>6767</v>
      </c>
      <c r="I3071" s="10" t="str">
        <f>IF(H3071="T76",1,IF(H3071="T76",3,IF(H3071="T92",6,IF(H3071="T92",10,IF(H3071="T124",14,IF(H3071="T124",18,IF(H3071="T92",22,"")))))))</f>
        <v/>
      </c>
      <c r="J3071" s="1" t="s">
        <v>1808</v>
      </c>
      <c r="K3071" s="10">
        <v>4</v>
      </c>
      <c r="L3071" s="10">
        <v>1</v>
      </c>
      <c r="O3071" s="6"/>
      <c r="Q3071" s="42" t="s">
        <v>6870</v>
      </c>
      <c r="R3071" s="42"/>
      <c r="S3071" s="1"/>
    </row>
    <row r="3072" spans="1:19" ht="18.75" hidden="1" customHeight="1" x14ac:dyDescent="0.3">
      <c r="A3072" s="10">
        <v>3071</v>
      </c>
      <c r="B3072" s="10">
        <f>_xlfn.XLOOKUP(1,(VALUE(D3072)&gt;=VALUE(block!$C$3:$C$500))*(VALUE(D3072)&lt;VALUE(block!$C$3:$C$500)+VALUE(block!$D$3:$D$500)),block!$A$3:$A$500,"无匹配",0,1)</f>
        <v>81</v>
      </c>
      <c r="C3072" s="3" t="str">
        <f>B3072 &amp; "-" &amp; COUNTIF($B$2:B3072, B3072)</f>
        <v>81-27</v>
      </c>
      <c r="D3072" s="10">
        <v>22210</v>
      </c>
      <c r="E3072" s="1" t="s">
        <v>7577</v>
      </c>
      <c r="F3072" s="1" t="s">
        <v>7578</v>
      </c>
      <c r="G3072" s="1" t="s">
        <v>1836</v>
      </c>
      <c r="H3072" s="1" t="s">
        <v>1812</v>
      </c>
      <c r="I3072" s="10" t="str">
        <f>IF(H3072="T77",1,IF(H3072="T77",3,IF(H3072="T93",6,IF(H3072="T93",10,IF(H3072="T125",14,IF(H3072="T125",18,IF(H3072="T93",22,"")))))))</f>
        <v/>
      </c>
      <c r="J3072" s="1" t="s">
        <v>1808</v>
      </c>
      <c r="K3072" s="10">
        <v>2</v>
      </c>
      <c r="L3072" s="10">
        <v>1</v>
      </c>
      <c r="O3072" s="6"/>
      <c r="P3072" s="10">
        <v>6</v>
      </c>
      <c r="Q3072" s="42" t="s">
        <v>6870</v>
      </c>
      <c r="R3072" s="42"/>
      <c r="S3072" s="1"/>
    </row>
    <row r="3073" spans="1:19" ht="18.75" hidden="1" customHeight="1" x14ac:dyDescent="0.3">
      <c r="A3073" s="10">
        <v>3072</v>
      </c>
      <c r="B3073" s="10">
        <f>_xlfn.XLOOKUP(1,(VALUE(D3073)&gt;=VALUE(block!$C$3:$C$500))*(VALUE(D3073)&lt;VALUE(block!$C$3:$C$500)+VALUE(block!$D$3:$D$500)),block!$A$3:$A$500,"无匹配",0,1)</f>
        <v>81</v>
      </c>
      <c r="C3073" s="3" t="str">
        <f>B3073 &amp; "-" &amp; COUNTIF($B$2:B3073, B3073)</f>
        <v>81-28</v>
      </c>
      <c r="D3073" s="10">
        <v>22212</v>
      </c>
      <c r="E3073" s="1" t="s">
        <v>7579</v>
      </c>
      <c r="F3073" s="1" t="s">
        <v>7580</v>
      </c>
      <c r="H3073" s="3" t="s">
        <v>6767</v>
      </c>
      <c r="I3073" s="10" t="str">
        <f>IF(H3073="T78",1,IF(H3073="T78",3,IF(H3073="T94",6,IF(H3073="T94",10,IF(H3073="T126",14,IF(H3073="T126",18,IF(H3073="T94",22,"")))))))</f>
        <v/>
      </c>
      <c r="J3073" s="1" t="s">
        <v>1808</v>
      </c>
      <c r="K3073" s="10">
        <v>4</v>
      </c>
      <c r="L3073" s="10">
        <v>1</v>
      </c>
      <c r="O3073" s="6"/>
      <c r="Q3073" s="42" t="s">
        <v>6870</v>
      </c>
      <c r="R3073" s="42"/>
      <c r="S3073" s="1"/>
    </row>
    <row r="3074" spans="1:19" ht="18.75" hidden="1" customHeight="1" x14ac:dyDescent="0.3">
      <c r="A3074" s="10">
        <v>3073</v>
      </c>
      <c r="B3074" s="10">
        <f>_xlfn.XLOOKUP(1,(VALUE(D3074)&gt;=VALUE(block!$C$3:$C$500))*(VALUE(D3074)&lt;VALUE(block!$C$3:$C$500)+VALUE(block!$D$3:$D$500)),block!$A$3:$A$500,"无匹配",0,1)</f>
        <v>81</v>
      </c>
      <c r="C3074" s="3" t="str">
        <f>B3074 &amp; "-" &amp; COUNTIF($B$2:B3074, B3074)</f>
        <v>81-29</v>
      </c>
      <c r="D3074" s="10">
        <v>22216</v>
      </c>
      <c r="E3074" s="3" t="s">
        <v>7581</v>
      </c>
      <c r="F3074" s="1" t="s">
        <v>7582</v>
      </c>
      <c r="G3074" s="1" t="s">
        <v>1840</v>
      </c>
      <c r="H3074" s="1" t="s">
        <v>1812</v>
      </c>
      <c r="I3074" s="10" t="str">
        <f>IF(H3074="T79",1,IF(H3074="T79",3,IF(H3074="T95",6,IF(H3074="T95",10,IF(H3074="T127",14,IF(H3074="T127",18,IF(H3074="T95",22,"")))))))</f>
        <v/>
      </c>
      <c r="J3074" s="1" t="s">
        <v>1808</v>
      </c>
      <c r="K3074" s="10">
        <v>2</v>
      </c>
      <c r="L3074" s="10">
        <v>1</v>
      </c>
      <c r="O3074" s="6"/>
      <c r="P3074" s="10">
        <v>6</v>
      </c>
      <c r="Q3074" s="42" t="s">
        <v>6870</v>
      </c>
      <c r="R3074" s="42"/>
      <c r="S3074" s="1"/>
    </row>
    <row r="3075" spans="1:19" ht="18.75" hidden="1" customHeight="1" x14ac:dyDescent="0.3">
      <c r="A3075" s="10">
        <v>3074</v>
      </c>
      <c r="B3075" s="10">
        <f>_xlfn.XLOOKUP(1,(VALUE(D3075)&gt;=VALUE(block!$C$3:$C$500))*(VALUE(D3075)&lt;VALUE(block!$C$3:$C$500)+VALUE(block!$D$3:$D$500)),block!$A$3:$A$500,"无匹配",0,1)</f>
        <v>81</v>
      </c>
      <c r="C3075" s="3" t="str">
        <f>B3075 &amp; "-" &amp; COUNTIF($B$2:B3075, B3075)</f>
        <v>81-30</v>
      </c>
      <c r="D3075" s="10">
        <v>22218</v>
      </c>
      <c r="E3075" s="3" t="s">
        <v>7583</v>
      </c>
      <c r="F3075" s="1" t="s">
        <v>7584</v>
      </c>
      <c r="H3075" s="3" t="s">
        <v>6767</v>
      </c>
      <c r="I3075" s="10">
        <f>IF(H3075="uint16",1,IF(H3075="int16",3,IF(H3075="uint32",6,IF(H3075="int32",10,IF(H3075="uint64",14,IF(H3075="int64",18,IF(H3075="float32",22,"")))))))</f>
        <v>14</v>
      </c>
      <c r="J3075" s="1" t="s">
        <v>1808</v>
      </c>
      <c r="K3075" s="10">
        <v>4</v>
      </c>
      <c r="L3075" s="10">
        <v>1</v>
      </c>
      <c r="O3075" s="6"/>
      <c r="Q3075" s="42" t="s">
        <v>6870</v>
      </c>
      <c r="R3075" s="42"/>
      <c r="S3075" s="1"/>
    </row>
    <row r="3076" spans="1:19" ht="18.75" hidden="1" customHeight="1" x14ac:dyDescent="0.3">
      <c r="A3076" s="10">
        <v>3075</v>
      </c>
      <c r="B3076" s="10">
        <f>_xlfn.XLOOKUP(1,(VALUE(D3076)&gt;=VALUE(block!$C$3:$C$500))*(VALUE(D3076)&lt;VALUE(block!$C$3:$C$500)+VALUE(block!$D$3:$D$500)),block!$A$3:$A$500,"无匹配",0,1)</f>
        <v>81</v>
      </c>
      <c r="C3076" s="3" t="str">
        <f>B3076 &amp; "-" &amp; COUNTIF($B$2:B3076, B3076)</f>
        <v>81-31</v>
      </c>
      <c r="D3076" s="10">
        <v>22222</v>
      </c>
      <c r="E3076" s="1" t="s">
        <v>7585</v>
      </c>
      <c r="F3076" s="1" t="s">
        <v>7586</v>
      </c>
      <c r="G3076" s="1" t="s">
        <v>1830</v>
      </c>
      <c r="H3076" s="1" t="s">
        <v>1812</v>
      </c>
      <c r="I3076" s="10" t="str">
        <f>IF(H3076="T17",1,IF(H3076="T17",3,IF(H3076="T33",6,IF(H3076="T33",10,IF(H3076="T65",14,IF(H3076="T65",18,IF(H3076="T33",22,"")))))))</f>
        <v/>
      </c>
      <c r="J3076" s="1" t="s">
        <v>1808</v>
      </c>
      <c r="K3076" s="10">
        <v>2</v>
      </c>
      <c r="L3076" s="10">
        <v>1</v>
      </c>
      <c r="O3076" s="6"/>
      <c r="P3076" s="10">
        <v>6</v>
      </c>
      <c r="Q3076" s="42" t="s">
        <v>6870</v>
      </c>
      <c r="R3076" s="42"/>
      <c r="S3076" s="1"/>
    </row>
    <row r="3077" spans="1:19" ht="18.75" hidden="1" customHeight="1" x14ac:dyDescent="0.3">
      <c r="A3077" s="10">
        <v>3076</v>
      </c>
      <c r="B3077" s="10">
        <f>_xlfn.XLOOKUP(1,(VALUE(D3077)&gt;=VALUE(block!$C$3:$C$500))*(VALUE(D3077)&lt;VALUE(block!$C$3:$C$500)+VALUE(block!$D$3:$D$500)),block!$A$3:$A$500,"无匹配",0,1)</f>
        <v>81</v>
      </c>
      <c r="C3077" s="3" t="str">
        <f>B3077 &amp; "-" &amp; COUNTIF($B$2:B3077, B3077)</f>
        <v>81-32</v>
      </c>
      <c r="D3077" s="10">
        <v>22224</v>
      </c>
      <c r="E3077" s="1" t="s">
        <v>7587</v>
      </c>
      <c r="F3077" s="1" t="s">
        <v>7588</v>
      </c>
      <c r="H3077" s="3" t="s">
        <v>6767</v>
      </c>
      <c r="I3077" s="10" t="str">
        <f>IF(H3077="T18",1,IF(H3077="T18",3,IF(H3077="T34",6,IF(H3077="T34",10,IF(H3077="T66",14,IF(H3077="T66",18,IF(H3077="T34",22,"")))))))</f>
        <v/>
      </c>
      <c r="J3077" s="1" t="s">
        <v>1808</v>
      </c>
      <c r="K3077" s="10">
        <v>4</v>
      </c>
      <c r="L3077" s="10">
        <v>1</v>
      </c>
      <c r="O3077" s="6"/>
      <c r="Q3077" s="42" t="s">
        <v>6870</v>
      </c>
      <c r="R3077" s="42"/>
      <c r="S3077" s="1"/>
    </row>
    <row r="3078" spans="1:19" ht="18.75" hidden="1" customHeight="1" x14ac:dyDescent="0.3">
      <c r="A3078" s="10">
        <v>3077</v>
      </c>
      <c r="B3078" s="10">
        <f>_xlfn.XLOOKUP(1,(VALUE(D3078)&gt;=VALUE(block!$C$3:$C$500))*(VALUE(D3078)&lt;VALUE(block!$C$3:$C$500)+VALUE(block!$D$3:$D$500)),block!$A$3:$A$500,"无匹配",0,1)</f>
        <v>81</v>
      </c>
      <c r="C3078" s="3" t="str">
        <f>B3078 &amp; "-" &amp; COUNTIF($B$2:B3078, B3078)</f>
        <v>81-33</v>
      </c>
      <c r="D3078" s="10">
        <v>22228</v>
      </c>
      <c r="E3078" s="1" t="s">
        <v>7589</v>
      </c>
      <c r="F3078" s="1" t="s">
        <v>7590</v>
      </c>
      <c r="G3078" s="1" t="s">
        <v>1832</v>
      </c>
      <c r="H3078" s="1" t="s">
        <v>1812</v>
      </c>
      <c r="I3078" s="10" t="str">
        <f>IF(H3078="T19",1,IF(H3078="T19",3,IF(H3078="T35",6,IF(H3078="T35",10,IF(H3078="T67",14,IF(H3078="T67",18,IF(H3078="T35",22,"")))))))</f>
        <v/>
      </c>
      <c r="J3078" s="1" t="s">
        <v>1808</v>
      </c>
      <c r="K3078" s="10">
        <v>2</v>
      </c>
      <c r="L3078" s="10">
        <v>1</v>
      </c>
      <c r="O3078" s="6"/>
      <c r="P3078" s="10">
        <v>6</v>
      </c>
      <c r="Q3078" s="42" t="s">
        <v>6870</v>
      </c>
      <c r="R3078" s="42"/>
      <c r="S3078" s="1"/>
    </row>
    <row r="3079" spans="1:19" ht="18.75" hidden="1" customHeight="1" x14ac:dyDescent="0.3">
      <c r="A3079" s="10">
        <v>3078</v>
      </c>
      <c r="B3079" s="10">
        <f>_xlfn.XLOOKUP(1,(VALUE(D3079)&gt;=VALUE(block!$C$3:$C$500))*(VALUE(D3079)&lt;VALUE(block!$C$3:$C$500)+VALUE(block!$D$3:$D$500)),block!$A$3:$A$500,"无匹配",0,1)</f>
        <v>81</v>
      </c>
      <c r="C3079" s="3" t="str">
        <f>B3079 &amp; "-" &amp; COUNTIF($B$2:B3079, B3079)</f>
        <v>81-34</v>
      </c>
      <c r="D3079" s="10">
        <v>22230</v>
      </c>
      <c r="E3079" s="1" t="s">
        <v>7591</v>
      </c>
      <c r="F3079" s="1" t="s">
        <v>7592</v>
      </c>
      <c r="H3079" s="3" t="s">
        <v>6767</v>
      </c>
      <c r="I3079" s="10" t="str">
        <f>IF(H3079="T20",1,IF(H3079="T20",3,IF(H3079="T36",6,IF(H3079="T36",10,IF(H3079="T68",14,IF(H3079="T68",18,IF(H3079="T36",22,"")))))))</f>
        <v/>
      </c>
      <c r="J3079" s="1" t="s">
        <v>1808</v>
      </c>
      <c r="K3079" s="10">
        <v>4</v>
      </c>
      <c r="L3079" s="10">
        <v>1</v>
      </c>
      <c r="O3079" s="6"/>
      <c r="Q3079" s="42" t="s">
        <v>6870</v>
      </c>
      <c r="R3079" s="42"/>
      <c r="S3079" s="1"/>
    </row>
    <row r="3080" spans="1:19" ht="18.75" hidden="1" customHeight="1" x14ac:dyDescent="0.3">
      <c r="A3080" s="10">
        <v>3079</v>
      </c>
      <c r="B3080" s="10">
        <f>_xlfn.XLOOKUP(1,(VALUE(D3080)&gt;=VALUE(block!$C$3:$C$500))*(VALUE(D3080)&lt;VALUE(block!$C$3:$C$500)+VALUE(block!$D$3:$D$500)),block!$A$3:$A$500,"无匹配",0,1)</f>
        <v>81</v>
      </c>
      <c r="C3080" s="3" t="str">
        <f>B3080 &amp; "-" &amp; COUNTIF($B$2:B3080, B3080)</f>
        <v>81-35</v>
      </c>
      <c r="D3080" s="10">
        <v>22234</v>
      </c>
      <c r="E3080" s="1" t="s">
        <v>7593</v>
      </c>
      <c r="F3080" s="1" t="s">
        <v>7594</v>
      </c>
      <c r="G3080" s="1" t="s">
        <v>1834</v>
      </c>
      <c r="H3080" s="1" t="s">
        <v>1812</v>
      </c>
      <c r="I3080" s="10" t="str">
        <f>IF(H3080="T21",1,IF(H3080="T21",3,IF(H3080="T37",6,IF(H3080="T37",10,IF(H3080="T69",14,IF(H3080="T69",18,IF(H3080="T37",22,"")))))))</f>
        <v/>
      </c>
      <c r="J3080" s="1" t="s">
        <v>1808</v>
      </c>
      <c r="K3080" s="10">
        <v>2</v>
      </c>
      <c r="L3080" s="10">
        <v>1</v>
      </c>
      <c r="O3080" s="6"/>
      <c r="P3080" s="10">
        <v>6</v>
      </c>
      <c r="Q3080" s="42" t="s">
        <v>6870</v>
      </c>
      <c r="R3080" s="42"/>
      <c r="S3080" s="1"/>
    </row>
    <row r="3081" spans="1:19" ht="18.75" hidden="1" customHeight="1" x14ac:dyDescent="0.3">
      <c r="A3081" s="10">
        <v>3080</v>
      </c>
      <c r="B3081" s="10">
        <f>_xlfn.XLOOKUP(1,(VALUE(D3081)&gt;=VALUE(block!$C$3:$C$500))*(VALUE(D3081)&lt;VALUE(block!$C$3:$C$500)+VALUE(block!$D$3:$D$500)),block!$A$3:$A$500,"无匹配",0,1)</f>
        <v>81</v>
      </c>
      <c r="C3081" s="3" t="str">
        <f>B3081 &amp; "-" &amp; COUNTIF($B$2:B3081, B3081)</f>
        <v>81-36</v>
      </c>
      <c r="D3081" s="10">
        <v>22236</v>
      </c>
      <c r="E3081" s="1" t="s">
        <v>7595</v>
      </c>
      <c r="F3081" s="1" t="s">
        <v>7596</v>
      </c>
      <c r="H3081" s="3" t="s">
        <v>6767</v>
      </c>
      <c r="I3081" s="10" t="str">
        <f>IF(H3081="T22",1,IF(H3081="T22",3,IF(H3081="T38",6,IF(H3081="T38",10,IF(H3081="T70",14,IF(H3081="T70",18,IF(H3081="T38",22,"")))))))</f>
        <v/>
      </c>
      <c r="J3081" s="1" t="s">
        <v>1808</v>
      </c>
      <c r="K3081" s="10">
        <v>4</v>
      </c>
      <c r="L3081" s="10">
        <v>1</v>
      </c>
      <c r="O3081" s="6"/>
      <c r="Q3081" s="42" t="s">
        <v>6870</v>
      </c>
      <c r="R3081" s="42"/>
      <c r="S3081" s="1"/>
    </row>
    <row r="3082" spans="1:19" ht="18.75" hidden="1" customHeight="1" x14ac:dyDescent="0.3">
      <c r="A3082" s="10">
        <v>3081</v>
      </c>
      <c r="B3082" s="10">
        <f>_xlfn.XLOOKUP(1,(VALUE(D3082)&gt;=VALUE(block!$C$3:$C$500))*(VALUE(D3082)&lt;VALUE(block!$C$3:$C$500)+VALUE(block!$D$3:$D$500)),block!$A$3:$A$500,"无匹配",0,1)</f>
        <v>81</v>
      </c>
      <c r="C3082" s="3" t="str">
        <f>B3082 &amp; "-" &amp; COUNTIF($B$2:B3082, B3082)</f>
        <v>81-37</v>
      </c>
      <c r="D3082" s="10">
        <v>22240</v>
      </c>
      <c r="E3082" s="1" t="s">
        <v>7597</v>
      </c>
      <c r="F3082" s="1" t="s">
        <v>7598</v>
      </c>
      <c r="G3082" s="1" t="s">
        <v>1836</v>
      </c>
      <c r="H3082" s="1" t="s">
        <v>1812</v>
      </c>
      <c r="I3082" s="10" t="str">
        <f>IF(H3082="T23",1,IF(H3082="T23",3,IF(H3082="T39",6,IF(H3082="T39",10,IF(H3082="T71",14,IF(H3082="T71",18,IF(H3082="T39",22,"")))))))</f>
        <v/>
      </c>
      <c r="J3082" s="1" t="s">
        <v>1808</v>
      </c>
      <c r="K3082" s="10">
        <v>2</v>
      </c>
      <c r="L3082" s="10">
        <v>1</v>
      </c>
      <c r="O3082" s="6"/>
      <c r="P3082" s="10">
        <v>6</v>
      </c>
      <c r="Q3082" s="42" t="s">
        <v>6870</v>
      </c>
      <c r="R3082" s="42"/>
      <c r="S3082" s="1"/>
    </row>
    <row r="3083" spans="1:19" ht="18.75" hidden="1" customHeight="1" x14ac:dyDescent="0.3">
      <c r="A3083" s="10">
        <v>3082</v>
      </c>
      <c r="B3083" s="10">
        <f>_xlfn.XLOOKUP(1,(VALUE(D3083)&gt;=VALUE(block!$C$3:$C$500))*(VALUE(D3083)&lt;VALUE(block!$C$3:$C$500)+VALUE(block!$D$3:$D$500)),block!$A$3:$A$500,"无匹配",0,1)</f>
        <v>81</v>
      </c>
      <c r="C3083" s="3" t="str">
        <f>B3083 &amp; "-" &amp; COUNTIF($B$2:B3083, B3083)</f>
        <v>81-38</v>
      </c>
      <c r="D3083" s="10">
        <v>22242</v>
      </c>
      <c r="E3083" s="1" t="s">
        <v>7599</v>
      </c>
      <c r="F3083" s="1" t="s">
        <v>7600</v>
      </c>
      <c r="H3083" s="3" t="s">
        <v>6767</v>
      </c>
      <c r="I3083" s="10" t="str">
        <f>IF(H3083="T24",1,IF(H3083="T24",3,IF(H3083="T40",6,IF(H3083="T40",10,IF(H3083="T72",14,IF(H3083="T72",18,IF(H3083="T40",22,"")))))))</f>
        <v/>
      </c>
      <c r="J3083" s="1" t="s">
        <v>1808</v>
      </c>
      <c r="K3083" s="10">
        <v>4</v>
      </c>
      <c r="L3083" s="10">
        <v>1</v>
      </c>
      <c r="O3083" s="6"/>
      <c r="Q3083" s="42" t="s">
        <v>6870</v>
      </c>
      <c r="R3083" s="42"/>
      <c r="S3083" s="1"/>
    </row>
    <row r="3084" spans="1:19" ht="18.75" hidden="1" customHeight="1" x14ac:dyDescent="0.3">
      <c r="A3084" s="10">
        <v>3083</v>
      </c>
      <c r="B3084" s="10">
        <f>_xlfn.XLOOKUP(1,(VALUE(D3084)&gt;=VALUE(block!$C$3:$C$500))*(VALUE(D3084)&lt;VALUE(block!$C$3:$C$500)+VALUE(block!$D$3:$D$500)),block!$A$3:$A$500,"无匹配",0,1)</f>
        <v>81</v>
      </c>
      <c r="C3084" s="3" t="str">
        <f>B3084 &amp; "-" &amp; COUNTIF($B$2:B3084, B3084)</f>
        <v>81-39</v>
      </c>
      <c r="D3084" s="10">
        <v>22246</v>
      </c>
      <c r="E3084" s="3" t="s">
        <v>7601</v>
      </c>
      <c r="F3084" s="1" t="s">
        <v>7602</v>
      </c>
      <c r="G3084" s="1" t="s">
        <v>1840</v>
      </c>
      <c r="H3084" s="1" t="s">
        <v>1812</v>
      </c>
      <c r="I3084" s="10" t="str">
        <f>IF(H3084="T25",1,IF(H3084="T25",3,IF(H3084="T41",6,IF(H3084="T41",10,IF(H3084="T73",14,IF(H3084="T73",18,IF(H3084="T41",22,"")))))))</f>
        <v/>
      </c>
      <c r="J3084" s="1" t="s">
        <v>1808</v>
      </c>
      <c r="K3084" s="10">
        <v>2</v>
      </c>
      <c r="L3084" s="10">
        <v>1</v>
      </c>
      <c r="O3084" s="6"/>
      <c r="P3084" s="10">
        <v>6</v>
      </c>
      <c r="Q3084" s="42" t="s">
        <v>6870</v>
      </c>
      <c r="R3084" s="42"/>
      <c r="S3084" s="1"/>
    </row>
    <row r="3085" spans="1:19" ht="18.75" hidden="1" customHeight="1" x14ac:dyDescent="0.3">
      <c r="A3085" s="10">
        <v>3084</v>
      </c>
      <c r="B3085" s="10">
        <f>_xlfn.XLOOKUP(1,(VALUE(D3085)&gt;=VALUE(block!$C$3:$C$500))*(VALUE(D3085)&lt;VALUE(block!$C$3:$C$500)+VALUE(block!$D$3:$D$500)),block!$A$3:$A$500,"无匹配",0,1)</f>
        <v>81</v>
      </c>
      <c r="C3085" s="3" t="str">
        <f>B3085 &amp; "-" &amp; COUNTIF($B$2:B3085, B3085)</f>
        <v>81-40</v>
      </c>
      <c r="D3085" s="10">
        <v>22248</v>
      </c>
      <c r="E3085" s="3" t="s">
        <v>7603</v>
      </c>
      <c r="F3085" s="1" t="s">
        <v>7604</v>
      </c>
      <c r="H3085" s="3" t="s">
        <v>6767</v>
      </c>
      <c r="I3085" s="10" t="str">
        <f>IF(H3085="T26",1,IF(H3085="T26",3,IF(H3085="T42",6,IF(H3085="T42",10,IF(H3085="T74",14,IF(H3085="T74",18,IF(H3085="T42",22,"")))))))</f>
        <v/>
      </c>
      <c r="J3085" s="1" t="s">
        <v>1808</v>
      </c>
      <c r="K3085" s="10">
        <v>4</v>
      </c>
      <c r="L3085" s="10">
        <v>1</v>
      </c>
      <c r="O3085" s="6"/>
      <c r="Q3085" s="42" t="s">
        <v>6870</v>
      </c>
      <c r="R3085" s="42"/>
      <c r="S3085" s="1"/>
    </row>
    <row r="3086" spans="1:19" ht="18.75" hidden="1" customHeight="1" x14ac:dyDescent="0.3">
      <c r="A3086" s="10">
        <v>3085</v>
      </c>
      <c r="B3086" s="10">
        <f>_xlfn.XLOOKUP(1,(VALUE(D3086)&gt;=VALUE(block!$C$3:$C$500))*(VALUE(D3086)&lt;VALUE(block!$C$3:$C$500)+VALUE(block!$D$3:$D$500)),block!$A$3:$A$500,"无匹配",0,1)</f>
        <v>82</v>
      </c>
      <c r="C3086" s="3" t="str">
        <f>B3086 &amp; "-" &amp; COUNTIF($B$2:B3086, B3086)</f>
        <v>82-1</v>
      </c>
      <c r="D3086" s="10">
        <v>22252</v>
      </c>
      <c r="E3086" s="1" t="s">
        <v>7605</v>
      </c>
      <c r="F3086" s="1" t="s">
        <v>7606</v>
      </c>
      <c r="G3086" s="1" t="s">
        <v>1830</v>
      </c>
      <c r="H3086" s="1" t="s">
        <v>1812</v>
      </c>
      <c r="I3086" s="10" t="str">
        <f>IF(H3086="T27",1,IF(H3086="T27",3,IF(H3086="T43",6,IF(H3086="T43",10,IF(H3086="T75",14,IF(H3086="T75",18,IF(H3086="T43",22,"")))))))</f>
        <v/>
      </c>
      <c r="J3086" s="1" t="s">
        <v>1808</v>
      </c>
      <c r="K3086" s="10">
        <v>2</v>
      </c>
      <c r="L3086" s="10">
        <v>1</v>
      </c>
      <c r="O3086" s="6"/>
      <c r="P3086" s="10">
        <v>6</v>
      </c>
      <c r="Q3086" s="42" t="s">
        <v>6870</v>
      </c>
      <c r="R3086" s="42"/>
      <c r="S3086" s="1"/>
    </row>
    <row r="3087" spans="1:19" ht="18.75" hidden="1" customHeight="1" x14ac:dyDescent="0.3">
      <c r="A3087" s="10">
        <v>3086</v>
      </c>
      <c r="B3087" s="10">
        <f>_xlfn.XLOOKUP(1,(VALUE(D3087)&gt;=VALUE(block!$C$3:$C$500))*(VALUE(D3087)&lt;VALUE(block!$C$3:$C$500)+VALUE(block!$D$3:$D$500)),block!$A$3:$A$500,"无匹配",0,1)</f>
        <v>82</v>
      </c>
      <c r="C3087" s="3" t="str">
        <f>B3087 &amp; "-" &amp; COUNTIF($B$2:B3087, B3087)</f>
        <v>82-2</v>
      </c>
      <c r="D3087" s="10">
        <v>22254</v>
      </c>
      <c r="E3087" s="1" t="s">
        <v>7607</v>
      </c>
      <c r="F3087" s="1" t="s">
        <v>7608</v>
      </c>
      <c r="H3087" s="3" t="s">
        <v>6767</v>
      </c>
      <c r="I3087" s="10" t="str">
        <f>IF(H3087="T28",1,IF(H3087="T28",3,IF(H3087="T44",6,IF(H3087="T44",10,IF(H3087="T76",14,IF(H3087="T76",18,IF(H3087="T44",22,"")))))))</f>
        <v/>
      </c>
      <c r="J3087" s="1" t="s">
        <v>1808</v>
      </c>
      <c r="K3087" s="10">
        <v>4</v>
      </c>
      <c r="L3087" s="10">
        <v>1</v>
      </c>
      <c r="O3087" s="6"/>
      <c r="Q3087" s="42" t="s">
        <v>6870</v>
      </c>
      <c r="R3087" s="42"/>
      <c r="S3087" s="1"/>
    </row>
    <row r="3088" spans="1:19" ht="18.75" hidden="1" customHeight="1" x14ac:dyDescent="0.3">
      <c r="A3088" s="10">
        <v>3087</v>
      </c>
      <c r="B3088" s="10">
        <f>_xlfn.XLOOKUP(1,(VALUE(D3088)&gt;=VALUE(block!$C$3:$C$500))*(VALUE(D3088)&lt;VALUE(block!$C$3:$C$500)+VALUE(block!$D$3:$D$500)),block!$A$3:$A$500,"无匹配",0,1)</f>
        <v>82</v>
      </c>
      <c r="C3088" s="3" t="str">
        <f>B3088 &amp; "-" &amp; COUNTIF($B$2:B3088, B3088)</f>
        <v>82-3</v>
      </c>
      <c r="D3088" s="10">
        <v>22258</v>
      </c>
      <c r="E3088" s="1" t="s">
        <v>7609</v>
      </c>
      <c r="F3088" s="1" t="s">
        <v>7610</v>
      </c>
      <c r="G3088" s="1" t="s">
        <v>1832</v>
      </c>
      <c r="H3088" s="1" t="s">
        <v>1812</v>
      </c>
      <c r="I3088" s="10" t="str">
        <f>IF(H3088="T29",1,IF(H3088="T29",3,IF(H3088="T45",6,IF(H3088="T45",10,IF(H3088="T77",14,IF(H3088="T77",18,IF(H3088="T45",22,"")))))))</f>
        <v/>
      </c>
      <c r="J3088" s="1" t="s">
        <v>1808</v>
      </c>
      <c r="K3088" s="10">
        <v>2</v>
      </c>
      <c r="L3088" s="10">
        <v>1</v>
      </c>
      <c r="O3088" s="6"/>
      <c r="P3088" s="10">
        <v>6</v>
      </c>
      <c r="Q3088" s="42" t="s">
        <v>6870</v>
      </c>
      <c r="R3088" s="42"/>
      <c r="S3088" s="1"/>
    </row>
    <row r="3089" spans="1:19" ht="18.75" hidden="1" customHeight="1" x14ac:dyDescent="0.3">
      <c r="A3089" s="10">
        <v>3088</v>
      </c>
      <c r="B3089" s="10">
        <f>_xlfn.XLOOKUP(1,(VALUE(D3089)&gt;=VALUE(block!$C$3:$C$500))*(VALUE(D3089)&lt;VALUE(block!$C$3:$C$500)+VALUE(block!$D$3:$D$500)),block!$A$3:$A$500,"无匹配",0,1)</f>
        <v>82</v>
      </c>
      <c r="C3089" s="3" t="str">
        <f>B3089 &amp; "-" &amp; COUNTIF($B$2:B3089, B3089)</f>
        <v>82-4</v>
      </c>
      <c r="D3089" s="10">
        <v>22260</v>
      </c>
      <c r="E3089" s="1" t="s">
        <v>7611</v>
      </c>
      <c r="F3089" s="1" t="s">
        <v>7612</v>
      </c>
      <c r="H3089" s="3" t="s">
        <v>6767</v>
      </c>
      <c r="I3089" s="10" t="str">
        <f>IF(H3089="T30",1,IF(H3089="T30",3,IF(H3089="T46",6,IF(H3089="T46",10,IF(H3089="T78",14,IF(H3089="T78",18,IF(H3089="T46",22,"")))))))</f>
        <v/>
      </c>
      <c r="J3089" s="1" t="s">
        <v>1808</v>
      </c>
      <c r="K3089" s="10">
        <v>4</v>
      </c>
      <c r="L3089" s="10">
        <v>1</v>
      </c>
      <c r="O3089" s="6"/>
      <c r="Q3089" s="42" t="s">
        <v>6870</v>
      </c>
      <c r="R3089" s="42"/>
      <c r="S3089" s="1"/>
    </row>
    <row r="3090" spans="1:19" ht="18.75" hidden="1" customHeight="1" x14ac:dyDescent="0.3">
      <c r="A3090" s="10">
        <v>3089</v>
      </c>
      <c r="B3090" s="10">
        <f>_xlfn.XLOOKUP(1,(VALUE(D3090)&gt;=VALUE(block!$C$3:$C$500))*(VALUE(D3090)&lt;VALUE(block!$C$3:$C$500)+VALUE(block!$D$3:$D$500)),block!$A$3:$A$500,"无匹配",0,1)</f>
        <v>82</v>
      </c>
      <c r="C3090" s="3" t="str">
        <f>B3090 &amp; "-" &amp; COUNTIF($B$2:B3090, B3090)</f>
        <v>82-5</v>
      </c>
      <c r="D3090" s="10">
        <v>22264</v>
      </c>
      <c r="E3090" s="1" t="s">
        <v>7613</v>
      </c>
      <c r="F3090" s="1" t="s">
        <v>7614</v>
      </c>
      <c r="G3090" s="1" t="s">
        <v>1834</v>
      </c>
      <c r="H3090" s="1" t="s">
        <v>1812</v>
      </c>
      <c r="I3090" s="10" t="str">
        <f>IF(H3090="T31",1,IF(H3090="T31",3,IF(H3090="T47",6,IF(H3090="T47",10,IF(H3090="T79",14,IF(H3090="T79",18,IF(H3090="T47",22,"")))))))</f>
        <v/>
      </c>
      <c r="J3090" s="1" t="s">
        <v>1808</v>
      </c>
      <c r="K3090" s="10">
        <v>2</v>
      </c>
      <c r="L3090" s="10">
        <v>1</v>
      </c>
      <c r="O3090" s="6"/>
      <c r="P3090" s="10">
        <v>6</v>
      </c>
      <c r="Q3090" s="42" t="s">
        <v>6870</v>
      </c>
      <c r="R3090" s="42"/>
      <c r="S3090" s="1"/>
    </row>
    <row r="3091" spans="1:19" ht="18.75" hidden="1" customHeight="1" x14ac:dyDescent="0.3">
      <c r="A3091" s="10">
        <v>3090</v>
      </c>
      <c r="B3091" s="10">
        <f>_xlfn.XLOOKUP(1,(VALUE(D3091)&gt;=VALUE(block!$C$3:$C$500))*(VALUE(D3091)&lt;VALUE(block!$C$3:$C$500)+VALUE(block!$D$3:$D$500)),block!$A$3:$A$500,"无匹配",0,1)</f>
        <v>82</v>
      </c>
      <c r="C3091" s="3" t="str">
        <f>B3091 &amp; "-" &amp; COUNTIF($B$2:B3091, B3091)</f>
        <v>82-6</v>
      </c>
      <c r="D3091" s="10">
        <v>22266</v>
      </c>
      <c r="E3091" s="1" t="s">
        <v>7615</v>
      </c>
      <c r="F3091" s="1" t="s">
        <v>7616</v>
      </c>
      <c r="H3091" s="3" t="s">
        <v>6767</v>
      </c>
      <c r="I3091" s="10" t="str">
        <f>IF(H3091="T32",1,IF(H3091="T32",3,IF(H3091="T48",6,IF(H3091="T48",10,IF(H3091="T80",14,IF(H3091="T80",18,IF(H3091="T48",22,"")))))))</f>
        <v/>
      </c>
      <c r="J3091" s="1" t="s">
        <v>1808</v>
      </c>
      <c r="K3091" s="10">
        <v>4</v>
      </c>
      <c r="L3091" s="10">
        <v>1</v>
      </c>
      <c r="O3091" s="6"/>
      <c r="Q3091" s="42" t="s">
        <v>6870</v>
      </c>
      <c r="R3091" s="42"/>
      <c r="S3091" s="1"/>
    </row>
    <row r="3092" spans="1:19" ht="18.75" hidden="1" customHeight="1" x14ac:dyDescent="0.3">
      <c r="A3092" s="10">
        <v>3091</v>
      </c>
      <c r="B3092" s="10">
        <f>_xlfn.XLOOKUP(1,(VALUE(D3092)&gt;=VALUE(block!$C$3:$C$500))*(VALUE(D3092)&lt;VALUE(block!$C$3:$C$500)+VALUE(block!$D$3:$D$500)),block!$A$3:$A$500,"无匹配",0,1)</f>
        <v>82</v>
      </c>
      <c r="C3092" s="3" t="str">
        <f>B3092 &amp; "-" &amp; COUNTIF($B$2:B3092, B3092)</f>
        <v>82-7</v>
      </c>
      <c r="D3092" s="10">
        <v>22270</v>
      </c>
      <c r="E3092" s="1" t="s">
        <v>7617</v>
      </c>
      <c r="F3092" s="1" t="s">
        <v>7618</v>
      </c>
      <c r="G3092" s="1" t="s">
        <v>1836</v>
      </c>
      <c r="H3092" s="1" t="s">
        <v>1812</v>
      </c>
      <c r="I3092" s="10" t="str">
        <f>IF(H3092="T33",1,IF(H3092="T33",3,IF(H3092="T49",6,IF(H3092="T49",10,IF(H3092="T81",14,IF(H3092="T81",18,IF(H3092="T49",22,"")))))))</f>
        <v/>
      </c>
      <c r="J3092" s="1" t="s">
        <v>1808</v>
      </c>
      <c r="K3092" s="10">
        <v>2</v>
      </c>
      <c r="L3092" s="10">
        <v>1</v>
      </c>
      <c r="O3092" s="6"/>
      <c r="P3092" s="10">
        <v>6</v>
      </c>
      <c r="Q3092" s="42" t="s">
        <v>6870</v>
      </c>
      <c r="R3092" s="42"/>
      <c r="S3092" s="1"/>
    </row>
    <row r="3093" spans="1:19" ht="18.75" hidden="1" customHeight="1" x14ac:dyDescent="0.3">
      <c r="A3093" s="10">
        <v>3092</v>
      </c>
      <c r="B3093" s="10">
        <f>_xlfn.XLOOKUP(1,(VALUE(D3093)&gt;=VALUE(block!$C$3:$C$500))*(VALUE(D3093)&lt;VALUE(block!$C$3:$C$500)+VALUE(block!$D$3:$D$500)),block!$A$3:$A$500,"无匹配",0,1)</f>
        <v>82</v>
      </c>
      <c r="C3093" s="3" t="str">
        <f>B3093 &amp; "-" &amp; COUNTIF($B$2:B3093, B3093)</f>
        <v>82-8</v>
      </c>
      <c r="D3093" s="10">
        <v>22272</v>
      </c>
      <c r="E3093" s="1" t="s">
        <v>7619</v>
      </c>
      <c r="F3093" s="1" t="s">
        <v>7620</v>
      </c>
      <c r="H3093" s="3" t="s">
        <v>6767</v>
      </c>
      <c r="I3093" s="10" t="str">
        <f>IF(H3093="T34",1,IF(H3093="T34",3,IF(H3093="T50",6,IF(H3093="T50",10,IF(H3093="T82",14,IF(H3093="T82",18,IF(H3093="T50",22,"")))))))</f>
        <v/>
      </c>
      <c r="J3093" s="1" t="s">
        <v>1808</v>
      </c>
      <c r="K3093" s="10">
        <v>4</v>
      </c>
      <c r="L3093" s="10">
        <v>1</v>
      </c>
      <c r="O3093" s="6"/>
      <c r="Q3093" s="42" t="s">
        <v>6870</v>
      </c>
      <c r="R3093" s="42"/>
      <c r="S3093" s="1"/>
    </row>
    <row r="3094" spans="1:19" ht="18.75" hidden="1" customHeight="1" x14ac:dyDescent="0.3">
      <c r="A3094" s="10">
        <v>3093</v>
      </c>
      <c r="B3094" s="10">
        <f>_xlfn.XLOOKUP(1,(VALUE(D3094)&gt;=VALUE(block!$C$3:$C$500))*(VALUE(D3094)&lt;VALUE(block!$C$3:$C$500)+VALUE(block!$D$3:$D$500)),block!$A$3:$A$500,"无匹配",0,1)</f>
        <v>82</v>
      </c>
      <c r="C3094" s="3" t="str">
        <f>B3094 &amp; "-" &amp; COUNTIF($B$2:B3094, B3094)</f>
        <v>82-9</v>
      </c>
      <c r="D3094" s="10">
        <v>22276</v>
      </c>
      <c r="E3094" s="3" t="s">
        <v>7621</v>
      </c>
      <c r="F3094" s="1" t="s">
        <v>7622</v>
      </c>
      <c r="G3094" s="1" t="s">
        <v>1840</v>
      </c>
      <c r="H3094" s="1" t="s">
        <v>1812</v>
      </c>
      <c r="I3094" s="10" t="str">
        <f>IF(H3094="T35",1,IF(H3094="T35",3,IF(H3094="T51",6,IF(H3094="T51",10,IF(H3094="T83",14,IF(H3094="T83",18,IF(H3094="T51",22,"")))))))</f>
        <v/>
      </c>
      <c r="J3094" s="1" t="s">
        <v>1808</v>
      </c>
      <c r="K3094" s="10">
        <v>2</v>
      </c>
      <c r="L3094" s="10">
        <v>1</v>
      </c>
      <c r="O3094" s="6"/>
      <c r="P3094" s="10">
        <v>6</v>
      </c>
      <c r="Q3094" s="42" t="s">
        <v>6870</v>
      </c>
      <c r="R3094" s="42"/>
      <c r="S3094" s="1"/>
    </row>
    <row r="3095" spans="1:19" ht="18.75" hidden="1" customHeight="1" x14ac:dyDescent="0.3">
      <c r="A3095" s="10">
        <v>3094</v>
      </c>
      <c r="B3095" s="10">
        <f>_xlfn.XLOOKUP(1,(VALUE(D3095)&gt;=VALUE(block!$C$3:$C$500))*(VALUE(D3095)&lt;VALUE(block!$C$3:$C$500)+VALUE(block!$D$3:$D$500)),block!$A$3:$A$500,"无匹配",0,1)</f>
        <v>82</v>
      </c>
      <c r="C3095" s="3" t="str">
        <f>B3095 &amp; "-" &amp; COUNTIF($B$2:B3095, B3095)</f>
        <v>82-10</v>
      </c>
      <c r="D3095" s="10">
        <v>22278</v>
      </c>
      <c r="E3095" s="3" t="s">
        <v>7623</v>
      </c>
      <c r="F3095" s="1" t="s">
        <v>7624</v>
      </c>
      <c r="H3095" s="3" t="s">
        <v>6767</v>
      </c>
      <c r="I3095" s="10" t="str">
        <f>IF(H3095="T36",1,IF(H3095="T36",3,IF(H3095="T52",6,IF(H3095="T52",10,IF(H3095="T84",14,IF(H3095="T84",18,IF(H3095="T52",22,"")))))))</f>
        <v/>
      </c>
      <c r="J3095" s="1" t="s">
        <v>1808</v>
      </c>
      <c r="K3095" s="10">
        <v>4</v>
      </c>
      <c r="L3095" s="10">
        <v>1</v>
      </c>
      <c r="O3095" s="6"/>
      <c r="Q3095" s="42" t="s">
        <v>6870</v>
      </c>
      <c r="R3095" s="42"/>
      <c r="S3095" s="1"/>
    </row>
    <row r="3096" spans="1:19" ht="18.75" hidden="1" customHeight="1" x14ac:dyDescent="0.3">
      <c r="A3096" s="10">
        <v>3095</v>
      </c>
      <c r="B3096" s="10">
        <f>_xlfn.XLOOKUP(1,(VALUE(D3096)&gt;=VALUE(block!$C$3:$C$500))*(VALUE(D3096)&lt;VALUE(block!$C$3:$C$500)+VALUE(block!$D$3:$D$500)),block!$A$3:$A$500,"无匹配",0,1)</f>
        <v>82</v>
      </c>
      <c r="C3096" s="3" t="str">
        <f>B3096 &amp; "-" &amp; COUNTIF($B$2:B3096, B3096)</f>
        <v>82-11</v>
      </c>
      <c r="D3096" s="10">
        <v>22282</v>
      </c>
      <c r="E3096" s="1" t="s">
        <v>7625</v>
      </c>
      <c r="F3096" s="1" t="s">
        <v>7626</v>
      </c>
      <c r="G3096" s="1" t="s">
        <v>1830</v>
      </c>
      <c r="H3096" s="1" t="s">
        <v>1812</v>
      </c>
      <c r="I3096" s="10" t="str">
        <f>IF(H3096="T37",1,IF(H3096="T37",3,IF(H3096="T53",6,IF(H3096="T53",10,IF(H3096="T85",14,IF(H3096="T85",18,IF(H3096="T53",22,"")))))))</f>
        <v/>
      </c>
      <c r="J3096" s="1" t="s">
        <v>1808</v>
      </c>
      <c r="K3096" s="10">
        <v>2</v>
      </c>
      <c r="L3096" s="10">
        <v>1</v>
      </c>
      <c r="O3096" s="6"/>
      <c r="P3096" s="10">
        <v>6</v>
      </c>
      <c r="Q3096" s="42" t="s">
        <v>6870</v>
      </c>
      <c r="R3096" s="42"/>
      <c r="S3096" s="1"/>
    </row>
    <row r="3097" spans="1:19" ht="18.75" hidden="1" customHeight="1" x14ac:dyDescent="0.3">
      <c r="A3097" s="10">
        <v>3096</v>
      </c>
      <c r="B3097" s="10">
        <f>_xlfn.XLOOKUP(1,(VALUE(D3097)&gt;=VALUE(block!$C$3:$C$500))*(VALUE(D3097)&lt;VALUE(block!$C$3:$C$500)+VALUE(block!$D$3:$D$500)),block!$A$3:$A$500,"无匹配",0,1)</f>
        <v>82</v>
      </c>
      <c r="C3097" s="3" t="str">
        <f>B3097 &amp; "-" &amp; COUNTIF($B$2:B3097, B3097)</f>
        <v>82-12</v>
      </c>
      <c r="D3097" s="10">
        <v>22284</v>
      </c>
      <c r="E3097" s="1" t="s">
        <v>7627</v>
      </c>
      <c r="F3097" s="1" t="s">
        <v>7628</v>
      </c>
      <c r="H3097" s="3" t="s">
        <v>6767</v>
      </c>
      <c r="I3097" s="10" t="str">
        <f>IF(H3097="T38",1,IF(H3097="T38",3,IF(H3097="T54",6,IF(H3097="T54",10,IF(H3097="T86",14,IF(H3097="T86",18,IF(H3097="T54",22,"")))))))</f>
        <v/>
      </c>
      <c r="J3097" s="1" t="s">
        <v>1808</v>
      </c>
      <c r="K3097" s="10">
        <v>4</v>
      </c>
      <c r="L3097" s="10">
        <v>1</v>
      </c>
      <c r="O3097" s="6"/>
      <c r="Q3097" s="42" t="s">
        <v>6870</v>
      </c>
      <c r="R3097" s="42"/>
      <c r="S3097" s="1"/>
    </row>
    <row r="3098" spans="1:19" ht="18.75" hidden="1" customHeight="1" x14ac:dyDescent="0.3">
      <c r="A3098" s="10">
        <v>3097</v>
      </c>
      <c r="B3098" s="10">
        <f>_xlfn.XLOOKUP(1,(VALUE(D3098)&gt;=VALUE(block!$C$3:$C$500))*(VALUE(D3098)&lt;VALUE(block!$C$3:$C$500)+VALUE(block!$D$3:$D$500)),block!$A$3:$A$500,"无匹配",0,1)</f>
        <v>82</v>
      </c>
      <c r="C3098" s="3" t="str">
        <f>B3098 &amp; "-" &amp; COUNTIF($B$2:B3098, B3098)</f>
        <v>82-13</v>
      </c>
      <c r="D3098" s="10">
        <v>22288</v>
      </c>
      <c r="E3098" s="1" t="s">
        <v>7629</v>
      </c>
      <c r="F3098" s="1" t="s">
        <v>7630</v>
      </c>
      <c r="G3098" s="1" t="s">
        <v>1832</v>
      </c>
      <c r="H3098" s="1" t="s">
        <v>1812</v>
      </c>
      <c r="I3098" s="10" t="str">
        <f>IF(H3098="T39",1,IF(H3098="T39",3,IF(H3098="T55",6,IF(H3098="T55",10,IF(H3098="T87",14,IF(H3098="T87",18,IF(H3098="T55",22,"")))))))</f>
        <v/>
      </c>
      <c r="J3098" s="1" t="s">
        <v>1808</v>
      </c>
      <c r="K3098" s="10">
        <v>2</v>
      </c>
      <c r="L3098" s="10">
        <v>1</v>
      </c>
      <c r="O3098" s="6"/>
      <c r="P3098" s="10">
        <v>6</v>
      </c>
      <c r="Q3098" s="42" t="s">
        <v>6870</v>
      </c>
      <c r="R3098" s="42"/>
      <c r="S3098" s="1"/>
    </row>
    <row r="3099" spans="1:19" ht="18.75" hidden="1" customHeight="1" x14ac:dyDescent="0.3">
      <c r="A3099" s="10">
        <v>3098</v>
      </c>
      <c r="B3099" s="10">
        <f>_xlfn.XLOOKUP(1,(VALUE(D3099)&gt;=VALUE(block!$C$3:$C$500))*(VALUE(D3099)&lt;VALUE(block!$C$3:$C$500)+VALUE(block!$D$3:$D$500)),block!$A$3:$A$500,"无匹配",0,1)</f>
        <v>82</v>
      </c>
      <c r="C3099" s="3" t="str">
        <f>B3099 &amp; "-" &amp; COUNTIF($B$2:B3099, B3099)</f>
        <v>82-14</v>
      </c>
      <c r="D3099" s="10">
        <v>22290</v>
      </c>
      <c r="E3099" s="1" t="s">
        <v>7631</v>
      </c>
      <c r="F3099" s="1" t="s">
        <v>7632</v>
      </c>
      <c r="H3099" s="3" t="s">
        <v>6767</v>
      </c>
      <c r="I3099" s="10" t="str">
        <f>IF(H3099="T40",1,IF(H3099="T40",3,IF(H3099="T56",6,IF(H3099="T56",10,IF(H3099="T88",14,IF(H3099="T88",18,IF(H3099="T56",22,"")))))))</f>
        <v/>
      </c>
      <c r="J3099" s="1" t="s">
        <v>1808</v>
      </c>
      <c r="K3099" s="10">
        <v>4</v>
      </c>
      <c r="L3099" s="10">
        <v>1</v>
      </c>
      <c r="O3099" s="6"/>
      <c r="Q3099" s="42" t="s">
        <v>6870</v>
      </c>
      <c r="R3099" s="42"/>
      <c r="S3099" s="1"/>
    </row>
    <row r="3100" spans="1:19" ht="18.75" hidden="1" customHeight="1" x14ac:dyDescent="0.3">
      <c r="A3100" s="10">
        <v>3099</v>
      </c>
      <c r="B3100" s="10">
        <f>_xlfn.XLOOKUP(1,(VALUE(D3100)&gt;=VALUE(block!$C$3:$C$500))*(VALUE(D3100)&lt;VALUE(block!$C$3:$C$500)+VALUE(block!$D$3:$D$500)),block!$A$3:$A$500,"无匹配",0,1)</f>
        <v>82</v>
      </c>
      <c r="C3100" s="3" t="str">
        <f>B3100 &amp; "-" &amp; COUNTIF($B$2:B3100, B3100)</f>
        <v>82-15</v>
      </c>
      <c r="D3100" s="10">
        <v>22294</v>
      </c>
      <c r="E3100" s="1" t="s">
        <v>7633</v>
      </c>
      <c r="F3100" s="1" t="s">
        <v>7634</v>
      </c>
      <c r="G3100" s="1" t="s">
        <v>1834</v>
      </c>
      <c r="H3100" s="1" t="s">
        <v>1812</v>
      </c>
      <c r="I3100" s="10" t="str">
        <f>IF(H3100="T41",1,IF(H3100="T41",3,IF(H3100="T57",6,IF(H3100="T57",10,IF(H3100="T89",14,IF(H3100="T89",18,IF(H3100="T57",22,"")))))))</f>
        <v/>
      </c>
      <c r="J3100" s="1" t="s">
        <v>1808</v>
      </c>
      <c r="K3100" s="10">
        <v>2</v>
      </c>
      <c r="L3100" s="10">
        <v>1</v>
      </c>
      <c r="O3100" s="6"/>
      <c r="P3100" s="10">
        <v>6</v>
      </c>
      <c r="Q3100" s="42" t="s">
        <v>6870</v>
      </c>
      <c r="R3100" s="42"/>
      <c r="S3100" s="1"/>
    </row>
    <row r="3101" spans="1:19" ht="18.75" hidden="1" customHeight="1" x14ac:dyDescent="0.3">
      <c r="A3101" s="10">
        <v>3100</v>
      </c>
      <c r="B3101" s="10">
        <f>_xlfn.XLOOKUP(1,(VALUE(D3101)&gt;=VALUE(block!$C$3:$C$500))*(VALUE(D3101)&lt;VALUE(block!$C$3:$C$500)+VALUE(block!$D$3:$D$500)),block!$A$3:$A$500,"无匹配",0,1)</f>
        <v>82</v>
      </c>
      <c r="C3101" s="3" t="str">
        <f>B3101 &amp; "-" &amp; COUNTIF($B$2:B3101, B3101)</f>
        <v>82-16</v>
      </c>
      <c r="D3101" s="10">
        <v>22296</v>
      </c>
      <c r="E3101" s="1" t="s">
        <v>7635</v>
      </c>
      <c r="F3101" s="1" t="s">
        <v>7636</v>
      </c>
      <c r="H3101" s="3" t="s">
        <v>6767</v>
      </c>
      <c r="I3101" s="10" t="str">
        <f>IF(H3101="T42",1,IF(H3101="T42",3,IF(H3101="T58",6,IF(H3101="T58",10,IF(H3101="T90",14,IF(H3101="T90",18,IF(H3101="T58",22,"")))))))</f>
        <v/>
      </c>
      <c r="J3101" s="1" t="s">
        <v>1808</v>
      </c>
      <c r="K3101" s="10">
        <v>4</v>
      </c>
      <c r="L3101" s="10">
        <v>1</v>
      </c>
      <c r="O3101" s="6"/>
      <c r="Q3101" s="42" t="s">
        <v>6870</v>
      </c>
      <c r="R3101" s="42"/>
      <c r="S3101" s="1"/>
    </row>
    <row r="3102" spans="1:19" ht="18.75" hidden="1" customHeight="1" x14ac:dyDescent="0.3">
      <c r="A3102" s="10">
        <v>3101</v>
      </c>
      <c r="B3102" s="10">
        <f>_xlfn.XLOOKUP(1,(VALUE(D3102)&gt;=VALUE(block!$C$3:$C$500))*(VALUE(D3102)&lt;VALUE(block!$C$3:$C$500)+VALUE(block!$D$3:$D$500)),block!$A$3:$A$500,"无匹配",0,1)</f>
        <v>82</v>
      </c>
      <c r="C3102" s="3" t="str">
        <f>B3102 &amp; "-" &amp; COUNTIF($B$2:B3102, B3102)</f>
        <v>82-17</v>
      </c>
      <c r="D3102" s="10">
        <v>22300</v>
      </c>
      <c r="E3102" s="1" t="s">
        <v>7637</v>
      </c>
      <c r="F3102" s="1" t="s">
        <v>7638</v>
      </c>
      <c r="G3102" s="1" t="s">
        <v>1836</v>
      </c>
      <c r="H3102" s="1" t="s">
        <v>1812</v>
      </c>
      <c r="I3102" s="10" t="str">
        <f>IF(H3102="T43",1,IF(H3102="T43",3,IF(H3102="T59",6,IF(H3102="T59",10,IF(H3102="T91",14,IF(H3102="T91",18,IF(H3102="T59",22,"")))))))</f>
        <v/>
      </c>
      <c r="J3102" s="1" t="s">
        <v>1808</v>
      </c>
      <c r="K3102" s="10">
        <v>2</v>
      </c>
      <c r="L3102" s="10">
        <v>1</v>
      </c>
      <c r="O3102" s="6"/>
      <c r="P3102" s="10">
        <v>6</v>
      </c>
      <c r="Q3102" s="42" t="s">
        <v>6870</v>
      </c>
      <c r="R3102" s="42"/>
      <c r="S3102" s="1"/>
    </row>
    <row r="3103" spans="1:19" ht="18.75" hidden="1" customHeight="1" x14ac:dyDescent="0.3">
      <c r="A3103" s="10">
        <v>3102</v>
      </c>
      <c r="B3103" s="10">
        <f>_xlfn.XLOOKUP(1,(VALUE(D3103)&gt;=VALUE(block!$C$3:$C$500))*(VALUE(D3103)&lt;VALUE(block!$C$3:$C$500)+VALUE(block!$D$3:$D$500)),block!$A$3:$A$500,"无匹配",0,1)</f>
        <v>82</v>
      </c>
      <c r="C3103" s="3" t="str">
        <f>B3103 &amp; "-" &amp; COUNTIF($B$2:B3103, B3103)</f>
        <v>82-18</v>
      </c>
      <c r="D3103" s="10">
        <v>22302</v>
      </c>
      <c r="E3103" s="1" t="s">
        <v>7639</v>
      </c>
      <c r="F3103" s="1" t="s">
        <v>7640</v>
      </c>
      <c r="H3103" s="3" t="s">
        <v>6767</v>
      </c>
      <c r="I3103" s="10" t="str">
        <f>IF(H3103="T44",1,IF(H3103="T44",3,IF(H3103="T60",6,IF(H3103="T60",10,IF(H3103="T92",14,IF(H3103="T92",18,IF(H3103="T60",22,"")))))))</f>
        <v/>
      </c>
      <c r="J3103" s="1" t="s">
        <v>1808</v>
      </c>
      <c r="K3103" s="10">
        <v>4</v>
      </c>
      <c r="L3103" s="10">
        <v>1</v>
      </c>
      <c r="O3103" s="6"/>
      <c r="Q3103" s="42" t="s">
        <v>6870</v>
      </c>
      <c r="R3103" s="42"/>
      <c r="S3103" s="1"/>
    </row>
    <row r="3104" spans="1:19" ht="18.75" hidden="1" customHeight="1" x14ac:dyDescent="0.3">
      <c r="A3104" s="10">
        <v>3103</v>
      </c>
      <c r="B3104" s="10">
        <f>_xlfn.XLOOKUP(1,(VALUE(D3104)&gt;=VALUE(block!$C$3:$C$500))*(VALUE(D3104)&lt;VALUE(block!$C$3:$C$500)+VALUE(block!$D$3:$D$500)),block!$A$3:$A$500,"无匹配",0,1)</f>
        <v>82</v>
      </c>
      <c r="C3104" s="3" t="str">
        <f>B3104 &amp; "-" &amp; COUNTIF($B$2:B3104, B3104)</f>
        <v>82-19</v>
      </c>
      <c r="D3104" s="10">
        <v>22306</v>
      </c>
      <c r="E3104" s="3" t="s">
        <v>7641</v>
      </c>
      <c r="F3104" s="1" t="s">
        <v>7642</v>
      </c>
      <c r="G3104" s="1" t="s">
        <v>1840</v>
      </c>
      <c r="H3104" s="1" t="s">
        <v>1812</v>
      </c>
      <c r="I3104" s="10" t="str">
        <f>IF(H3104="T45",1,IF(H3104="T45",3,IF(H3104="T61",6,IF(H3104="T61",10,IF(H3104="T93",14,IF(H3104="T93",18,IF(H3104="T61",22,"")))))))</f>
        <v/>
      </c>
      <c r="J3104" s="1" t="s">
        <v>1808</v>
      </c>
      <c r="K3104" s="10">
        <v>2</v>
      </c>
      <c r="L3104" s="10">
        <v>1</v>
      </c>
      <c r="O3104" s="6"/>
      <c r="P3104" s="10">
        <v>6</v>
      </c>
      <c r="Q3104" s="42" t="s">
        <v>6870</v>
      </c>
      <c r="R3104" s="42"/>
      <c r="S3104" s="1"/>
    </row>
    <row r="3105" spans="1:19" ht="18.75" hidden="1" customHeight="1" x14ac:dyDescent="0.3">
      <c r="A3105" s="10">
        <v>3104</v>
      </c>
      <c r="B3105" s="10">
        <f>_xlfn.XLOOKUP(1,(VALUE(D3105)&gt;=VALUE(block!$C$3:$C$500))*(VALUE(D3105)&lt;VALUE(block!$C$3:$C$500)+VALUE(block!$D$3:$D$500)),block!$A$3:$A$500,"无匹配",0,1)</f>
        <v>82</v>
      </c>
      <c r="C3105" s="3" t="str">
        <f>B3105 &amp; "-" &amp; COUNTIF($B$2:B3105, B3105)</f>
        <v>82-20</v>
      </c>
      <c r="D3105" s="10">
        <v>22308</v>
      </c>
      <c r="E3105" s="3" t="s">
        <v>7643</v>
      </c>
      <c r="F3105" s="1" t="s">
        <v>7644</v>
      </c>
      <c r="H3105" s="3" t="s">
        <v>6767</v>
      </c>
      <c r="I3105" s="10" t="str">
        <f>IF(H3105="T46",1,IF(H3105="T46",3,IF(H3105="T62",6,IF(H3105="T62",10,IF(H3105="T94",14,IF(H3105="T94",18,IF(H3105="T62",22,"")))))))</f>
        <v/>
      </c>
      <c r="J3105" s="1" t="s">
        <v>1808</v>
      </c>
      <c r="K3105" s="10">
        <v>4</v>
      </c>
      <c r="L3105" s="10">
        <v>1</v>
      </c>
      <c r="O3105" s="6"/>
      <c r="Q3105" s="42" t="s">
        <v>6870</v>
      </c>
      <c r="R3105" s="42"/>
      <c r="S3105" s="1"/>
    </row>
    <row r="3106" spans="1:19" ht="18.75" hidden="1" customHeight="1" x14ac:dyDescent="0.3">
      <c r="A3106" s="10">
        <v>3105</v>
      </c>
      <c r="B3106" s="10">
        <f>_xlfn.XLOOKUP(1,(VALUE(D3106)&gt;=VALUE(block!$C$3:$C$500))*(VALUE(D3106)&lt;VALUE(block!$C$3:$C$500)+VALUE(block!$D$3:$D$500)),block!$A$3:$A$500,"无匹配",0,1)</f>
        <v>82</v>
      </c>
      <c r="C3106" s="3" t="str">
        <f>B3106 &amp; "-" &amp; COUNTIF($B$2:B3106, B3106)</f>
        <v>82-21</v>
      </c>
      <c r="D3106" s="10">
        <v>22312</v>
      </c>
      <c r="E3106" s="1" t="s">
        <v>7645</v>
      </c>
      <c r="F3106" s="1" t="s">
        <v>7646</v>
      </c>
      <c r="G3106" s="1" t="s">
        <v>1830</v>
      </c>
      <c r="H3106" s="1" t="s">
        <v>1812</v>
      </c>
      <c r="I3106" s="10" t="str">
        <f>IF(H3106="T47",1,IF(H3106="T47",3,IF(H3106="T63",6,IF(H3106="T63",10,IF(H3106="T95",14,IF(H3106="T95",18,IF(H3106="T63",22,"")))))))</f>
        <v/>
      </c>
      <c r="J3106" s="1" t="s">
        <v>1808</v>
      </c>
      <c r="K3106" s="10">
        <v>2</v>
      </c>
      <c r="L3106" s="10">
        <v>1</v>
      </c>
      <c r="O3106" s="6"/>
      <c r="P3106" s="10">
        <v>6</v>
      </c>
      <c r="Q3106" s="42" t="s">
        <v>6870</v>
      </c>
      <c r="R3106" s="42"/>
      <c r="S3106" s="1"/>
    </row>
    <row r="3107" spans="1:19" ht="18.75" hidden="1" customHeight="1" x14ac:dyDescent="0.3">
      <c r="A3107" s="10">
        <v>3106</v>
      </c>
      <c r="B3107" s="10">
        <f>_xlfn.XLOOKUP(1,(VALUE(D3107)&gt;=VALUE(block!$C$3:$C$500))*(VALUE(D3107)&lt;VALUE(block!$C$3:$C$500)+VALUE(block!$D$3:$D$500)),block!$A$3:$A$500,"无匹配",0,1)</f>
        <v>82</v>
      </c>
      <c r="C3107" s="3" t="str">
        <f>B3107 &amp; "-" &amp; COUNTIF($B$2:B3107, B3107)</f>
        <v>82-22</v>
      </c>
      <c r="D3107" s="10">
        <v>22314</v>
      </c>
      <c r="E3107" s="1" t="s">
        <v>7647</v>
      </c>
      <c r="F3107" s="1" t="s">
        <v>7648</v>
      </c>
      <c r="H3107" s="3" t="s">
        <v>6767</v>
      </c>
      <c r="I3107" s="10" t="str">
        <f>IF(H3107="T48",1,IF(H3107="T48",3,IF(H3107="T64",6,IF(H3107="T64",10,IF(H3107="T96",14,IF(H3107="T96",18,IF(H3107="T64",22,"")))))))</f>
        <v/>
      </c>
      <c r="J3107" s="1" t="s">
        <v>1808</v>
      </c>
      <c r="K3107" s="10">
        <v>4</v>
      </c>
      <c r="L3107" s="10">
        <v>1</v>
      </c>
      <c r="O3107" s="6"/>
      <c r="Q3107" s="42" t="s">
        <v>6870</v>
      </c>
      <c r="R3107" s="42"/>
      <c r="S3107" s="1"/>
    </row>
    <row r="3108" spans="1:19" ht="18.75" hidden="1" customHeight="1" x14ac:dyDescent="0.3">
      <c r="A3108" s="10">
        <v>3107</v>
      </c>
      <c r="B3108" s="10">
        <f>_xlfn.XLOOKUP(1,(VALUE(D3108)&gt;=VALUE(block!$C$3:$C$500))*(VALUE(D3108)&lt;VALUE(block!$C$3:$C$500)+VALUE(block!$D$3:$D$500)),block!$A$3:$A$500,"无匹配",0,1)</f>
        <v>82</v>
      </c>
      <c r="C3108" s="3" t="str">
        <f>B3108 &amp; "-" &amp; COUNTIF($B$2:B3108, B3108)</f>
        <v>82-23</v>
      </c>
      <c r="D3108" s="10">
        <v>22318</v>
      </c>
      <c r="E3108" s="1" t="s">
        <v>7649</v>
      </c>
      <c r="F3108" s="1" t="s">
        <v>7650</v>
      </c>
      <c r="G3108" s="1" t="s">
        <v>1832</v>
      </c>
      <c r="H3108" s="1" t="s">
        <v>1812</v>
      </c>
      <c r="I3108" s="10" t="str">
        <f>IF(H3108="T49",1,IF(H3108="T49",3,IF(H3108="T65",6,IF(H3108="T65",10,IF(H3108="T97",14,IF(H3108="T97",18,IF(H3108="T65",22,"")))))))</f>
        <v/>
      </c>
      <c r="J3108" s="1" t="s">
        <v>1808</v>
      </c>
      <c r="K3108" s="10">
        <v>2</v>
      </c>
      <c r="L3108" s="10">
        <v>1</v>
      </c>
      <c r="O3108" s="6"/>
      <c r="P3108" s="10">
        <v>6</v>
      </c>
      <c r="Q3108" s="42" t="s">
        <v>6870</v>
      </c>
      <c r="R3108" s="42"/>
      <c r="S3108" s="1"/>
    </row>
    <row r="3109" spans="1:19" ht="18.75" hidden="1" customHeight="1" x14ac:dyDescent="0.3">
      <c r="A3109" s="10">
        <v>3108</v>
      </c>
      <c r="B3109" s="10">
        <f>_xlfn.XLOOKUP(1,(VALUE(D3109)&gt;=VALUE(block!$C$3:$C$500))*(VALUE(D3109)&lt;VALUE(block!$C$3:$C$500)+VALUE(block!$D$3:$D$500)),block!$A$3:$A$500,"无匹配",0,1)</f>
        <v>82</v>
      </c>
      <c r="C3109" s="3" t="str">
        <f>B3109 &amp; "-" &amp; COUNTIF($B$2:B3109, B3109)</f>
        <v>82-24</v>
      </c>
      <c r="D3109" s="10">
        <v>22320</v>
      </c>
      <c r="E3109" s="1" t="s">
        <v>7651</v>
      </c>
      <c r="F3109" s="1" t="s">
        <v>7652</v>
      </c>
      <c r="H3109" s="3" t="s">
        <v>6767</v>
      </c>
      <c r="I3109" s="10" t="str">
        <f>IF(H3109="T50",1,IF(H3109="T50",3,IF(H3109="T66",6,IF(H3109="T66",10,IF(H3109="T98",14,IF(H3109="T98",18,IF(H3109="T66",22,"")))))))</f>
        <v/>
      </c>
      <c r="J3109" s="1" t="s">
        <v>1808</v>
      </c>
      <c r="K3109" s="10">
        <v>4</v>
      </c>
      <c r="L3109" s="10">
        <v>1</v>
      </c>
      <c r="O3109" s="6"/>
      <c r="Q3109" s="42" t="s">
        <v>6870</v>
      </c>
      <c r="R3109" s="42"/>
      <c r="S3109" s="1"/>
    </row>
    <row r="3110" spans="1:19" ht="18.75" hidden="1" customHeight="1" x14ac:dyDescent="0.3">
      <c r="A3110" s="10">
        <v>3109</v>
      </c>
      <c r="B3110" s="10">
        <f>_xlfn.XLOOKUP(1,(VALUE(D3110)&gt;=VALUE(block!$C$3:$C$500))*(VALUE(D3110)&lt;VALUE(block!$C$3:$C$500)+VALUE(block!$D$3:$D$500)),block!$A$3:$A$500,"无匹配",0,1)</f>
        <v>82</v>
      </c>
      <c r="C3110" s="3" t="str">
        <f>B3110 &amp; "-" &amp; COUNTIF($B$2:B3110, B3110)</f>
        <v>82-25</v>
      </c>
      <c r="D3110" s="10">
        <v>22324</v>
      </c>
      <c r="E3110" s="1" t="s">
        <v>7653</v>
      </c>
      <c r="F3110" s="1" t="s">
        <v>7654</v>
      </c>
      <c r="G3110" s="1" t="s">
        <v>1834</v>
      </c>
      <c r="H3110" s="1" t="s">
        <v>1812</v>
      </c>
      <c r="I3110" s="10" t="str">
        <f>IF(H3110="T51",1,IF(H3110="T51",3,IF(H3110="T67",6,IF(H3110="T67",10,IF(H3110="T99",14,IF(H3110="T99",18,IF(H3110="T67",22,"")))))))</f>
        <v/>
      </c>
      <c r="J3110" s="1" t="s">
        <v>1808</v>
      </c>
      <c r="K3110" s="10">
        <v>2</v>
      </c>
      <c r="L3110" s="10">
        <v>1</v>
      </c>
      <c r="O3110" s="6"/>
      <c r="P3110" s="10">
        <v>6</v>
      </c>
      <c r="Q3110" s="42" t="s">
        <v>6870</v>
      </c>
      <c r="R3110" s="42"/>
      <c r="S3110" s="1"/>
    </row>
    <row r="3111" spans="1:19" ht="18.75" hidden="1" customHeight="1" x14ac:dyDescent="0.3">
      <c r="A3111" s="10">
        <v>3110</v>
      </c>
      <c r="B3111" s="10">
        <f>_xlfn.XLOOKUP(1,(VALUE(D3111)&gt;=VALUE(block!$C$3:$C$500))*(VALUE(D3111)&lt;VALUE(block!$C$3:$C$500)+VALUE(block!$D$3:$D$500)),block!$A$3:$A$500,"无匹配",0,1)</f>
        <v>82</v>
      </c>
      <c r="C3111" s="3" t="str">
        <f>B3111 &amp; "-" &amp; COUNTIF($B$2:B3111, B3111)</f>
        <v>82-26</v>
      </c>
      <c r="D3111" s="10">
        <v>22326</v>
      </c>
      <c r="E3111" s="1" t="s">
        <v>7655</v>
      </c>
      <c r="F3111" s="1" t="s">
        <v>7656</v>
      </c>
      <c r="H3111" s="3" t="s">
        <v>6767</v>
      </c>
      <c r="I3111" s="10" t="str">
        <f>IF(H3111="T52",1,IF(H3111="T52",3,IF(H3111="T68",6,IF(H3111="T68",10,IF(H3111="T100",14,IF(H3111="T100",18,IF(H3111="T68",22,"")))))))</f>
        <v/>
      </c>
      <c r="J3111" s="1" t="s">
        <v>1808</v>
      </c>
      <c r="K3111" s="10">
        <v>4</v>
      </c>
      <c r="L3111" s="10">
        <v>1</v>
      </c>
      <c r="O3111" s="6"/>
      <c r="Q3111" s="42" t="s">
        <v>6870</v>
      </c>
      <c r="R3111" s="42"/>
      <c r="S3111" s="1"/>
    </row>
    <row r="3112" spans="1:19" ht="18.75" hidden="1" customHeight="1" x14ac:dyDescent="0.3">
      <c r="A3112" s="10">
        <v>3111</v>
      </c>
      <c r="B3112" s="10">
        <f>_xlfn.XLOOKUP(1,(VALUE(D3112)&gt;=VALUE(block!$C$3:$C$500))*(VALUE(D3112)&lt;VALUE(block!$C$3:$C$500)+VALUE(block!$D$3:$D$500)),block!$A$3:$A$500,"无匹配",0,1)</f>
        <v>82</v>
      </c>
      <c r="C3112" s="3" t="str">
        <f>B3112 &amp; "-" &amp; COUNTIF($B$2:B3112, B3112)</f>
        <v>82-27</v>
      </c>
      <c r="D3112" s="10">
        <v>22330</v>
      </c>
      <c r="E3112" s="1" t="s">
        <v>7657</v>
      </c>
      <c r="F3112" s="1" t="s">
        <v>7658</v>
      </c>
      <c r="G3112" s="1" t="s">
        <v>1836</v>
      </c>
      <c r="H3112" s="1" t="s">
        <v>1812</v>
      </c>
      <c r="I3112" s="10" t="str">
        <f>IF(H3112="T53",1,IF(H3112="T53",3,IF(H3112="T69",6,IF(H3112="T69",10,IF(H3112="T101",14,IF(H3112="T101",18,IF(H3112="T69",22,"")))))))</f>
        <v/>
      </c>
      <c r="J3112" s="1" t="s">
        <v>1808</v>
      </c>
      <c r="K3112" s="10">
        <v>2</v>
      </c>
      <c r="L3112" s="10">
        <v>1</v>
      </c>
      <c r="O3112" s="6"/>
      <c r="P3112" s="10">
        <v>6</v>
      </c>
      <c r="Q3112" s="42" t="s">
        <v>6870</v>
      </c>
      <c r="R3112" s="42"/>
      <c r="S3112" s="1"/>
    </row>
    <row r="3113" spans="1:19" ht="18.75" hidden="1" customHeight="1" x14ac:dyDescent="0.3">
      <c r="A3113" s="10">
        <v>3112</v>
      </c>
      <c r="B3113" s="10">
        <f>_xlfn.XLOOKUP(1,(VALUE(D3113)&gt;=VALUE(block!$C$3:$C$500))*(VALUE(D3113)&lt;VALUE(block!$C$3:$C$500)+VALUE(block!$D$3:$D$500)),block!$A$3:$A$500,"无匹配",0,1)</f>
        <v>82</v>
      </c>
      <c r="C3113" s="3" t="str">
        <f>B3113 &amp; "-" &amp; COUNTIF($B$2:B3113, B3113)</f>
        <v>82-28</v>
      </c>
      <c r="D3113" s="10">
        <v>22332</v>
      </c>
      <c r="E3113" s="1" t="s">
        <v>7659</v>
      </c>
      <c r="F3113" s="1" t="s">
        <v>7660</v>
      </c>
      <c r="H3113" s="3" t="s">
        <v>6767</v>
      </c>
      <c r="I3113" s="10" t="str">
        <f>IF(H3113="T54",1,IF(H3113="T54",3,IF(H3113="T70",6,IF(H3113="T70",10,IF(H3113="T102",14,IF(H3113="T102",18,IF(H3113="T70",22,"")))))))</f>
        <v/>
      </c>
      <c r="J3113" s="1" t="s">
        <v>1808</v>
      </c>
      <c r="K3113" s="10">
        <v>4</v>
      </c>
      <c r="L3113" s="10">
        <v>1</v>
      </c>
      <c r="O3113" s="6"/>
      <c r="Q3113" s="42" t="s">
        <v>6870</v>
      </c>
      <c r="R3113" s="42"/>
      <c r="S3113" s="1"/>
    </row>
    <row r="3114" spans="1:19" ht="18.75" hidden="1" customHeight="1" x14ac:dyDescent="0.3">
      <c r="A3114" s="10">
        <v>3113</v>
      </c>
      <c r="B3114" s="10">
        <f>_xlfn.XLOOKUP(1,(VALUE(D3114)&gt;=VALUE(block!$C$3:$C$500))*(VALUE(D3114)&lt;VALUE(block!$C$3:$C$500)+VALUE(block!$D$3:$D$500)),block!$A$3:$A$500,"无匹配",0,1)</f>
        <v>82</v>
      </c>
      <c r="C3114" s="3" t="str">
        <f>B3114 &amp; "-" &amp; COUNTIF($B$2:B3114, B3114)</f>
        <v>82-29</v>
      </c>
      <c r="D3114" s="10">
        <v>22336</v>
      </c>
      <c r="E3114" s="3" t="s">
        <v>7661</v>
      </c>
      <c r="F3114" s="1" t="s">
        <v>7662</v>
      </c>
      <c r="G3114" s="1" t="s">
        <v>1840</v>
      </c>
      <c r="H3114" s="1" t="s">
        <v>1812</v>
      </c>
      <c r="I3114" s="10" t="str">
        <f>IF(H3114="T55",1,IF(H3114="T55",3,IF(H3114="T71",6,IF(H3114="T71",10,IF(H3114="T103",14,IF(H3114="T103",18,IF(H3114="T71",22,"")))))))</f>
        <v/>
      </c>
      <c r="J3114" s="1" t="s">
        <v>1808</v>
      </c>
      <c r="K3114" s="10">
        <v>2</v>
      </c>
      <c r="L3114" s="10">
        <v>1</v>
      </c>
      <c r="O3114" s="6"/>
      <c r="P3114" s="10">
        <v>6</v>
      </c>
      <c r="Q3114" s="42" t="s">
        <v>6870</v>
      </c>
      <c r="R3114" s="42"/>
      <c r="S3114" s="1"/>
    </row>
    <row r="3115" spans="1:19" ht="18.75" hidden="1" customHeight="1" x14ac:dyDescent="0.3">
      <c r="A3115" s="10">
        <v>3114</v>
      </c>
      <c r="B3115" s="10">
        <f>_xlfn.XLOOKUP(1,(VALUE(D3115)&gt;=VALUE(block!$C$3:$C$500))*(VALUE(D3115)&lt;VALUE(block!$C$3:$C$500)+VALUE(block!$D$3:$D$500)),block!$A$3:$A$500,"无匹配",0,1)</f>
        <v>82</v>
      </c>
      <c r="C3115" s="3" t="str">
        <f>B3115 &amp; "-" &amp; COUNTIF($B$2:B3115, B3115)</f>
        <v>82-30</v>
      </c>
      <c r="D3115" s="10">
        <v>22338</v>
      </c>
      <c r="E3115" s="3" t="s">
        <v>7663</v>
      </c>
      <c r="F3115" s="1" t="s">
        <v>7664</v>
      </c>
      <c r="H3115" s="3" t="s">
        <v>6767</v>
      </c>
      <c r="I3115" s="10" t="str">
        <f>IF(H3115="T56",1,IF(H3115="T56",3,IF(H3115="T72",6,IF(H3115="T72",10,IF(H3115="T104",14,IF(H3115="T104",18,IF(H3115="T72",22,"")))))))</f>
        <v/>
      </c>
      <c r="J3115" s="1" t="s">
        <v>1808</v>
      </c>
      <c r="K3115" s="10">
        <v>4</v>
      </c>
      <c r="L3115" s="10">
        <v>1</v>
      </c>
      <c r="O3115" s="6"/>
      <c r="Q3115" s="42" t="s">
        <v>6870</v>
      </c>
      <c r="R3115" s="42"/>
      <c r="S3115" s="1"/>
    </row>
    <row r="3116" spans="1:19" ht="18.75" hidden="1" customHeight="1" x14ac:dyDescent="0.3">
      <c r="A3116" s="10">
        <v>3115</v>
      </c>
      <c r="B3116" s="10">
        <f>_xlfn.XLOOKUP(1,(VALUE(D3116)&gt;=VALUE(block!$C$3:$C$500))*(VALUE(D3116)&lt;VALUE(block!$C$3:$C$500)+VALUE(block!$D$3:$D$500)),block!$A$3:$A$500,"无匹配",0,1)</f>
        <v>82</v>
      </c>
      <c r="C3116" s="3" t="str">
        <f>B3116 &amp; "-" &amp; COUNTIF($B$2:B3116, B3116)</f>
        <v>82-31</v>
      </c>
      <c r="D3116" s="10">
        <v>22342</v>
      </c>
      <c r="E3116" s="1" t="s">
        <v>7665</v>
      </c>
      <c r="F3116" s="1" t="s">
        <v>7666</v>
      </c>
      <c r="G3116" s="1" t="s">
        <v>1830</v>
      </c>
      <c r="H3116" s="1" t="s">
        <v>1812</v>
      </c>
      <c r="I3116" s="10" t="str">
        <f>IF(H3116="T57",1,IF(H3116="T57",3,IF(H3116="T73",6,IF(H3116="T73",10,IF(H3116="T105",14,IF(H3116="T105",18,IF(H3116="T73",22,"")))))))</f>
        <v/>
      </c>
      <c r="J3116" s="1" t="s">
        <v>1808</v>
      </c>
      <c r="K3116" s="10">
        <v>2</v>
      </c>
      <c r="L3116" s="10">
        <v>1</v>
      </c>
      <c r="O3116" s="6"/>
      <c r="P3116" s="10">
        <v>6</v>
      </c>
      <c r="Q3116" s="42" t="s">
        <v>6870</v>
      </c>
      <c r="R3116" s="42"/>
      <c r="S3116" s="1"/>
    </row>
    <row r="3117" spans="1:19" ht="18.75" hidden="1" customHeight="1" x14ac:dyDescent="0.3">
      <c r="A3117" s="10">
        <v>3116</v>
      </c>
      <c r="B3117" s="10">
        <f>_xlfn.XLOOKUP(1,(VALUE(D3117)&gt;=VALUE(block!$C$3:$C$500))*(VALUE(D3117)&lt;VALUE(block!$C$3:$C$500)+VALUE(block!$D$3:$D$500)),block!$A$3:$A$500,"无匹配",0,1)</f>
        <v>82</v>
      </c>
      <c r="C3117" s="3" t="str">
        <f>B3117 &amp; "-" &amp; COUNTIF($B$2:B3117, B3117)</f>
        <v>82-32</v>
      </c>
      <c r="D3117" s="10">
        <v>22344</v>
      </c>
      <c r="E3117" s="1" t="s">
        <v>7667</v>
      </c>
      <c r="F3117" s="1" t="s">
        <v>7668</v>
      </c>
      <c r="H3117" s="3" t="s">
        <v>6767</v>
      </c>
      <c r="I3117" s="10" t="str">
        <f>IF(H3117="T58",1,IF(H3117="T58",3,IF(H3117="T74",6,IF(H3117="T74",10,IF(H3117="T106",14,IF(H3117="T106",18,IF(H3117="T74",22,"")))))))</f>
        <v/>
      </c>
      <c r="J3117" s="1" t="s">
        <v>1808</v>
      </c>
      <c r="K3117" s="10">
        <v>4</v>
      </c>
      <c r="L3117" s="10">
        <v>1</v>
      </c>
      <c r="O3117" s="6"/>
      <c r="Q3117" s="42" t="s">
        <v>6870</v>
      </c>
      <c r="R3117" s="42"/>
      <c r="S3117" s="1"/>
    </row>
    <row r="3118" spans="1:19" ht="18.75" hidden="1" customHeight="1" x14ac:dyDescent="0.3">
      <c r="A3118" s="10">
        <v>3117</v>
      </c>
      <c r="B3118" s="10">
        <f>_xlfn.XLOOKUP(1,(VALUE(D3118)&gt;=VALUE(block!$C$3:$C$500))*(VALUE(D3118)&lt;VALUE(block!$C$3:$C$500)+VALUE(block!$D$3:$D$500)),block!$A$3:$A$500,"无匹配",0,1)</f>
        <v>82</v>
      </c>
      <c r="C3118" s="3" t="str">
        <f>B3118 &amp; "-" &amp; COUNTIF($B$2:B3118, B3118)</f>
        <v>82-33</v>
      </c>
      <c r="D3118" s="10">
        <v>22348</v>
      </c>
      <c r="E3118" s="1" t="s">
        <v>7669</v>
      </c>
      <c r="F3118" s="1" t="s">
        <v>7670</v>
      </c>
      <c r="G3118" s="1" t="s">
        <v>1832</v>
      </c>
      <c r="H3118" s="1" t="s">
        <v>1812</v>
      </c>
      <c r="I3118" s="10" t="str">
        <f>IF(H3118="T59",1,IF(H3118="T59",3,IF(H3118="T75",6,IF(H3118="T75",10,IF(H3118="T107",14,IF(H3118="T107",18,IF(H3118="T75",22,"")))))))</f>
        <v/>
      </c>
      <c r="J3118" s="1" t="s">
        <v>1808</v>
      </c>
      <c r="K3118" s="10">
        <v>2</v>
      </c>
      <c r="L3118" s="10">
        <v>1</v>
      </c>
      <c r="O3118" s="6"/>
      <c r="P3118" s="10">
        <v>6</v>
      </c>
      <c r="Q3118" s="42" t="s">
        <v>6870</v>
      </c>
      <c r="R3118" s="42"/>
      <c r="S3118" s="1"/>
    </row>
    <row r="3119" spans="1:19" ht="18.75" hidden="1" customHeight="1" x14ac:dyDescent="0.3">
      <c r="A3119" s="10">
        <v>3118</v>
      </c>
      <c r="B3119" s="10">
        <f>_xlfn.XLOOKUP(1,(VALUE(D3119)&gt;=VALUE(block!$C$3:$C$500))*(VALUE(D3119)&lt;VALUE(block!$C$3:$C$500)+VALUE(block!$D$3:$D$500)),block!$A$3:$A$500,"无匹配",0,1)</f>
        <v>82</v>
      </c>
      <c r="C3119" s="3" t="str">
        <f>B3119 &amp; "-" &amp; COUNTIF($B$2:B3119, B3119)</f>
        <v>82-34</v>
      </c>
      <c r="D3119" s="10">
        <v>22350</v>
      </c>
      <c r="E3119" s="1" t="s">
        <v>7671</v>
      </c>
      <c r="F3119" s="1" t="s">
        <v>7672</v>
      </c>
      <c r="H3119" s="3" t="s">
        <v>6767</v>
      </c>
      <c r="I3119" s="10" t="str">
        <f>IF(H3119="T60",1,IF(H3119="T60",3,IF(H3119="T76",6,IF(H3119="T76",10,IF(H3119="T108",14,IF(H3119="T108",18,IF(H3119="T76",22,"")))))))</f>
        <v/>
      </c>
      <c r="J3119" s="1" t="s">
        <v>1808</v>
      </c>
      <c r="K3119" s="10">
        <v>4</v>
      </c>
      <c r="L3119" s="10">
        <v>1</v>
      </c>
      <c r="O3119" s="6"/>
      <c r="Q3119" s="42" t="s">
        <v>6870</v>
      </c>
      <c r="R3119" s="42"/>
      <c r="S3119" s="1"/>
    </row>
    <row r="3120" spans="1:19" ht="18.75" hidden="1" customHeight="1" x14ac:dyDescent="0.3">
      <c r="A3120" s="10">
        <v>3119</v>
      </c>
      <c r="B3120" s="10">
        <f>_xlfn.XLOOKUP(1,(VALUE(D3120)&gt;=VALUE(block!$C$3:$C$500))*(VALUE(D3120)&lt;VALUE(block!$C$3:$C$500)+VALUE(block!$D$3:$D$500)),block!$A$3:$A$500,"无匹配",0,1)</f>
        <v>82</v>
      </c>
      <c r="C3120" s="3" t="str">
        <f>B3120 &amp; "-" &amp; COUNTIF($B$2:B3120, B3120)</f>
        <v>82-35</v>
      </c>
      <c r="D3120" s="10">
        <v>22354</v>
      </c>
      <c r="E3120" s="1" t="s">
        <v>7673</v>
      </c>
      <c r="F3120" s="1" t="s">
        <v>7674</v>
      </c>
      <c r="G3120" s="1" t="s">
        <v>1834</v>
      </c>
      <c r="H3120" s="1" t="s">
        <v>1812</v>
      </c>
      <c r="I3120" s="10" t="str">
        <f>IF(H3120="T61",1,IF(H3120="T61",3,IF(H3120="T77",6,IF(H3120="T77",10,IF(H3120="T109",14,IF(H3120="T109",18,IF(H3120="T77",22,"")))))))</f>
        <v/>
      </c>
      <c r="J3120" s="1" t="s">
        <v>1808</v>
      </c>
      <c r="K3120" s="10">
        <v>2</v>
      </c>
      <c r="L3120" s="10">
        <v>1</v>
      </c>
      <c r="O3120" s="6"/>
      <c r="P3120" s="10">
        <v>6</v>
      </c>
      <c r="Q3120" s="42" t="s">
        <v>6870</v>
      </c>
      <c r="R3120" s="42"/>
      <c r="S3120" s="1"/>
    </row>
    <row r="3121" spans="1:19" ht="13.5" hidden="1" customHeight="1" x14ac:dyDescent="0.3">
      <c r="A3121" s="10">
        <v>3120</v>
      </c>
      <c r="B3121" s="10">
        <f>_xlfn.XLOOKUP(1,(VALUE(D3121)&gt;=VALUE(block!$C$3:$C$500))*(VALUE(D3121)&lt;VALUE(block!$C$3:$C$500)+VALUE(block!$D$3:$D$500)),block!$A$3:$A$500,"无匹配",0,1)</f>
        <v>82</v>
      </c>
      <c r="C3121" s="3" t="str">
        <f>B3121 &amp; "-" &amp; COUNTIF($B$2:B3121, B3121)</f>
        <v>82-36</v>
      </c>
      <c r="D3121" s="10">
        <v>22356</v>
      </c>
      <c r="E3121" s="1" t="s">
        <v>7675</v>
      </c>
      <c r="F3121" s="1" t="s">
        <v>7676</v>
      </c>
      <c r="H3121" s="3" t="s">
        <v>6767</v>
      </c>
      <c r="I3121" s="10" t="str">
        <f>IF(H3121="T62",1,IF(H3121="T62",3,IF(H3121="T78",6,IF(H3121="T78",10,IF(H3121="T110",14,IF(H3121="T110",18,IF(H3121="T78",22,"")))))))</f>
        <v/>
      </c>
      <c r="J3121" s="1" t="s">
        <v>1808</v>
      </c>
      <c r="K3121" s="10">
        <v>4</v>
      </c>
      <c r="L3121" s="10">
        <v>1</v>
      </c>
      <c r="O3121" s="6"/>
      <c r="Q3121" s="42" t="s">
        <v>6870</v>
      </c>
      <c r="R3121" s="42"/>
      <c r="S3121" s="1"/>
    </row>
    <row r="3122" spans="1:19" ht="18.75" hidden="1" customHeight="1" x14ac:dyDescent="0.3">
      <c r="A3122" s="10">
        <v>3121</v>
      </c>
      <c r="B3122" s="10">
        <f>_xlfn.XLOOKUP(1,(VALUE(D3122)&gt;=VALUE(block!$C$3:$C$500))*(VALUE(D3122)&lt;VALUE(block!$C$3:$C$500)+VALUE(block!$D$3:$D$500)),block!$A$3:$A$500,"无匹配",0,1)</f>
        <v>82</v>
      </c>
      <c r="C3122" s="3" t="str">
        <f>B3122 &amp; "-" &amp; COUNTIF($B$2:B3122, B3122)</f>
        <v>82-37</v>
      </c>
      <c r="D3122" s="10">
        <v>22360</v>
      </c>
      <c r="E3122" s="1" t="s">
        <v>7677</v>
      </c>
      <c r="F3122" s="1" t="s">
        <v>7678</v>
      </c>
      <c r="G3122" s="1" t="s">
        <v>1836</v>
      </c>
      <c r="H3122" s="1" t="s">
        <v>1812</v>
      </c>
      <c r="I3122" s="10" t="str">
        <f>IF(H3122="T63",1,IF(H3122="T63",3,IF(H3122="T79",6,IF(H3122="T79",10,IF(H3122="T111",14,IF(H3122="T111",18,IF(H3122="T79",22,"")))))))</f>
        <v/>
      </c>
      <c r="J3122" s="1" t="s">
        <v>1808</v>
      </c>
      <c r="K3122" s="10">
        <v>2</v>
      </c>
      <c r="L3122" s="10">
        <v>1</v>
      </c>
      <c r="O3122" s="6"/>
      <c r="P3122" s="10">
        <v>6</v>
      </c>
      <c r="Q3122" s="42" t="s">
        <v>6870</v>
      </c>
      <c r="R3122" s="42"/>
      <c r="S3122" s="1"/>
    </row>
    <row r="3123" spans="1:19" ht="18.75" hidden="1" customHeight="1" x14ac:dyDescent="0.3">
      <c r="A3123" s="10">
        <v>3122</v>
      </c>
      <c r="B3123" s="10">
        <f>_xlfn.XLOOKUP(1,(VALUE(D3123)&gt;=VALUE(block!$C$3:$C$500))*(VALUE(D3123)&lt;VALUE(block!$C$3:$C$500)+VALUE(block!$D$3:$D$500)),block!$A$3:$A$500,"无匹配",0,1)</f>
        <v>82</v>
      </c>
      <c r="C3123" s="3" t="str">
        <f>B3123 &amp; "-" &amp; COUNTIF($B$2:B3123, B3123)</f>
        <v>82-38</v>
      </c>
      <c r="D3123" s="10">
        <v>22362</v>
      </c>
      <c r="E3123" s="1" t="s">
        <v>7679</v>
      </c>
      <c r="F3123" s="1" t="s">
        <v>7680</v>
      </c>
      <c r="H3123" s="3" t="s">
        <v>6767</v>
      </c>
      <c r="I3123" s="10" t="str">
        <f>IF(H3123="T64",1,IF(H3123="T64",3,IF(H3123="T80",6,IF(H3123="T80",10,IF(H3123="T112",14,IF(H3123="T112",18,IF(H3123="T80",22,"")))))))</f>
        <v/>
      </c>
      <c r="J3123" s="1" t="s">
        <v>1808</v>
      </c>
      <c r="K3123" s="10">
        <v>4</v>
      </c>
      <c r="L3123" s="10">
        <v>1</v>
      </c>
      <c r="O3123" s="6"/>
      <c r="Q3123" s="42" t="s">
        <v>6870</v>
      </c>
      <c r="R3123" s="42"/>
      <c r="S3123" s="1"/>
    </row>
    <row r="3124" spans="1:19" ht="18.75" hidden="1" customHeight="1" x14ac:dyDescent="0.3">
      <c r="A3124" s="10">
        <v>3123</v>
      </c>
      <c r="B3124" s="10">
        <f>_xlfn.XLOOKUP(1,(VALUE(D3124)&gt;=VALUE(block!$C$3:$C$500))*(VALUE(D3124)&lt;VALUE(block!$C$3:$C$500)+VALUE(block!$D$3:$D$500)),block!$A$3:$A$500,"无匹配",0,1)</f>
        <v>82</v>
      </c>
      <c r="C3124" s="3" t="str">
        <f>B3124 &amp; "-" &amp; COUNTIF($B$2:B3124, B3124)</f>
        <v>82-39</v>
      </c>
      <c r="D3124" s="10">
        <v>22366</v>
      </c>
      <c r="E3124" s="3" t="s">
        <v>7681</v>
      </c>
      <c r="F3124" s="1" t="s">
        <v>7682</v>
      </c>
      <c r="G3124" s="1" t="s">
        <v>1840</v>
      </c>
      <c r="H3124" s="1" t="s">
        <v>1812</v>
      </c>
      <c r="I3124" s="10" t="str">
        <f>IF(H3124="T65",1,IF(H3124="T65",3,IF(H3124="T81",6,IF(H3124="T81",10,IF(H3124="T113",14,IF(H3124="T113",18,IF(H3124="T81",22,"")))))))</f>
        <v/>
      </c>
      <c r="J3124" s="1" t="s">
        <v>1808</v>
      </c>
      <c r="K3124" s="10">
        <v>2</v>
      </c>
      <c r="L3124" s="10">
        <v>1</v>
      </c>
      <c r="O3124" s="6"/>
      <c r="P3124" s="10">
        <v>6</v>
      </c>
      <c r="Q3124" s="42" t="s">
        <v>6870</v>
      </c>
      <c r="R3124" s="42"/>
      <c r="S3124" s="1"/>
    </row>
    <row r="3125" spans="1:19" ht="18.75" hidden="1" customHeight="1" x14ac:dyDescent="0.3">
      <c r="A3125" s="10">
        <v>3124</v>
      </c>
      <c r="B3125" s="10">
        <f>_xlfn.XLOOKUP(1,(VALUE(D3125)&gt;=VALUE(block!$C$3:$C$500))*(VALUE(D3125)&lt;VALUE(block!$C$3:$C$500)+VALUE(block!$D$3:$D$500)),block!$A$3:$A$500,"无匹配",0,1)</f>
        <v>82</v>
      </c>
      <c r="C3125" s="3" t="str">
        <f>B3125 &amp; "-" &amp; COUNTIF($B$2:B3125, B3125)</f>
        <v>82-40</v>
      </c>
      <c r="D3125" s="10">
        <v>22368</v>
      </c>
      <c r="E3125" s="3" t="s">
        <v>7683</v>
      </c>
      <c r="F3125" s="1" t="s">
        <v>7684</v>
      </c>
      <c r="H3125" s="3" t="s">
        <v>6767</v>
      </c>
      <c r="I3125" s="10" t="str">
        <f>IF(H3125="T66",1,IF(H3125="T66",3,IF(H3125="T82",6,IF(H3125="T82",10,IF(H3125="T114",14,IF(H3125="T114",18,IF(H3125="T82",22,"")))))))</f>
        <v/>
      </c>
      <c r="J3125" s="1" t="s">
        <v>1808</v>
      </c>
      <c r="K3125" s="10">
        <v>4</v>
      </c>
      <c r="L3125" s="10">
        <v>1</v>
      </c>
      <c r="O3125" s="6"/>
      <c r="Q3125" s="42" t="s">
        <v>6870</v>
      </c>
      <c r="R3125" s="42"/>
      <c r="S3125" s="1"/>
    </row>
    <row r="3126" spans="1:19" ht="18.75" hidden="1" customHeight="1" x14ac:dyDescent="0.3">
      <c r="A3126" s="10">
        <v>3125</v>
      </c>
      <c r="B3126" s="10">
        <f>_xlfn.XLOOKUP(1,(VALUE(D3126)&gt;=VALUE(block!$C$3:$C$500))*(VALUE(D3126)&lt;VALUE(block!$C$3:$C$500)+VALUE(block!$D$3:$D$500)),block!$A$3:$A$500,"无匹配",0,1)</f>
        <v>83</v>
      </c>
      <c r="C3126" s="3" t="str">
        <f>B3126 &amp; "-" &amp; COUNTIF($B$2:B3126, B3126)</f>
        <v>83-1</v>
      </c>
      <c r="D3126" s="10">
        <v>22528</v>
      </c>
      <c r="E3126" s="1" t="s">
        <v>7685</v>
      </c>
      <c r="F3126" s="1" t="s">
        <v>7686</v>
      </c>
      <c r="G3126" s="1" t="s">
        <v>1811</v>
      </c>
      <c r="H3126" s="1" t="s">
        <v>1812</v>
      </c>
      <c r="I3126" s="10" t="str">
        <f>IF(H3126="T67",1,IF(H3126="T67",3,IF(H3126="T83",6,IF(H3126="T83",10,IF(H3126="T115",14,IF(H3126="T115",18,IF(H3126="T83",22,"")))))))</f>
        <v/>
      </c>
      <c r="J3126" s="1" t="s">
        <v>1808</v>
      </c>
      <c r="K3126" s="10">
        <v>2</v>
      </c>
      <c r="L3126" s="10">
        <v>1</v>
      </c>
      <c r="O3126" s="6"/>
      <c r="P3126" s="10">
        <v>6</v>
      </c>
      <c r="Q3126" s="42" t="s">
        <v>6764</v>
      </c>
      <c r="R3126" s="42"/>
      <c r="S3126" s="1"/>
    </row>
    <row r="3127" spans="1:19" ht="18.75" hidden="1" customHeight="1" x14ac:dyDescent="0.3">
      <c r="A3127" s="10">
        <v>3126</v>
      </c>
      <c r="B3127" s="10">
        <f>_xlfn.XLOOKUP(1,(VALUE(D3127)&gt;=VALUE(block!$C$3:$C$500))*(VALUE(D3127)&lt;VALUE(block!$C$3:$C$500)+VALUE(block!$D$3:$D$500)),block!$A$3:$A$500,"无匹配",0,1)</f>
        <v>83</v>
      </c>
      <c r="C3127" s="3" t="str">
        <f>B3127 &amp; "-" &amp; COUNTIF($B$2:B3127, B3127)</f>
        <v>83-2</v>
      </c>
      <c r="D3127" s="10">
        <v>22530</v>
      </c>
      <c r="E3127" s="1" t="s">
        <v>7687</v>
      </c>
      <c r="F3127" s="1" t="s">
        <v>7688</v>
      </c>
      <c r="H3127" s="3" t="s">
        <v>6767</v>
      </c>
      <c r="I3127" s="10" t="str">
        <f>IF(H3127="T68",1,IF(H3127="T68",3,IF(H3127="T84",6,IF(H3127="T84",10,IF(H3127="T116",14,IF(H3127="T116",18,IF(H3127="T84",22,"")))))))</f>
        <v/>
      </c>
      <c r="J3127" s="1" t="s">
        <v>1808</v>
      </c>
      <c r="K3127" s="10">
        <v>4</v>
      </c>
      <c r="L3127" s="10">
        <v>1</v>
      </c>
      <c r="O3127" s="6"/>
      <c r="Q3127" s="42" t="s">
        <v>6764</v>
      </c>
      <c r="R3127" s="42"/>
      <c r="S3127" s="1"/>
    </row>
    <row r="3128" spans="1:19" ht="18.75" hidden="1" customHeight="1" x14ac:dyDescent="0.3">
      <c r="A3128" s="10">
        <v>3127</v>
      </c>
      <c r="B3128" s="10">
        <f>_xlfn.XLOOKUP(1,(VALUE(D3128)&gt;=VALUE(block!$C$3:$C$500))*(VALUE(D3128)&lt;VALUE(block!$C$3:$C$500)+VALUE(block!$D$3:$D$500)),block!$A$3:$A$500,"无匹配",0,1)</f>
        <v>83</v>
      </c>
      <c r="C3128" s="3" t="str">
        <f>B3128 &amp; "-" &amp; COUNTIF($B$2:B3128, B3128)</f>
        <v>83-3</v>
      </c>
      <c r="D3128" s="10">
        <v>22534</v>
      </c>
      <c r="E3128" s="1" t="s">
        <v>7689</v>
      </c>
      <c r="F3128" s="1" t="s">
        <v>7690</v>
      </c>
      <c r="G3128" s="1" t="s">
        <v>1816</v>
      </c>
      <c r="H3128" s="1" t="s">
        <v>1812</v>
      </c>
      <c r="I3128" s="10" t="str">
        <f>IF(H3128="T69",1,IF(H3128="T69",3,IF(H3128="T85",6,IF(H3128="T85",10,IF(H3128="T117",14,IF(H3128="T117",18,IF(H3128="T85",22,"")))))))</f>
        <v/>
      </c>
      <c r="J3128" s="1" t="s">
        <v>1808</v>
      </c>
      <c r="K3128" s="10">
        <v>2</v>
      </c>
      <c r="L3128" s="10">
        <v>1</v>
      </c>
      <c r="O3128" s="6"/>
      <c r="P3128" s="10">
        <v>6</v>
      </c>
      <c r="Q3128" s="42" t="s">
        <v>6764</v>
      </c>
      <c r="R3128" s="42"/>
      <c r="S3128" s="1"/>
    </row>
    <row r="3129" spans="1:19" ht="18.75" hidden="1" customHeight="1" x14ac:dyDescent="0.3">
      <c r="A3129" s="10">
        <v>3128</v>
      </c>
      <c r="B3129" s="10">
        <f>_xlfn.XLOOKUP(1,(VALUE(D3129)&gt;=VALUE(block!$C$3:$C$500))*(VALUE(D3129)&lt;VALUE(block!$C$3:$C$500)+VALUE(block!$D$3:$D$500)),block!$A$3:$A$500,"无匹配",0,1)</f>
        <v>83</v>
      </c>
      <c r="C3129" s="3" t="str">
        <f>B3129 &amp; "-" &amp; COUNTIF($B$2:B3129, B3129)</f>
        <v>83-4</v>
      </c>
      <c r="D3129" s="10">
        <v>22536</v>
      </c>
      <c r="E3129" s="1" t="s">
        <v>7691</v>
      </c>
      <c r="F3129" s="1" t="s">
        <v>7692</v>
      </c>
      <c r="H3129" s="3" t="s">
        <v>6767</v>
      </c>
      <c r="I3129" s="10" t="str">
        <f>IF(H3129="T70",1,IF(H3129="T70",3,IF(H3129="T86",6,IF(H3129="T86",10,IF(H3129="T118",14,IF(H3129="T118",18,IF(H3129="T86",22,"")))))))</f>
        <v/>
      </c>
      <c r="J3129" s="1" t="s">
        <v>1808</v>
      </c>
      <c r="K3129" s="10">
        <v>4</v>
      </c>
      <c r="L3129" s="10">
        <v>1</v>
      </c>
      <c r="O3129" s="6"/>
      <c r="Q3129" s="42" t="s">
        <v>6764</v>
      </c>
      <c r="R3129" s="42"/>
      <c r="S3129" s="1"/>
    </row>
    <row r="3130" spans="1:19" ht="18.75" hidden="1" customHeight="1" x14ac:dyDescent="0.3">
      <c r="A3130" s="10">
        <v>3129</v>
      </c>
      <c r="B3130" s="10">
        <f>_xlfn.XLOOKUP(1,(VALUE(D3130)&gt;=VALUE(block!$C$3:$C$500))*(VALUE(D3130)&lt;VALUE(block!$C$3:$C$500)+VALUE(block!$D$3:$D$500)),block!$A$3:$A$500,"无匹配",0,1)</f>
        <v>83</v>
      </c>
      <c r="C3130" s="3" t="str">
        <f>B3130 &amp; "-" &amp; COUNTIF($B$2:B3130, B3130)</f>
        <v>83-5</v>
      </c>
      <c r="D3130" s="10">
        <v>22540</v>
      </c>
      <c r="E3130" s="1" t="s">
        <v>7693</v>
      </c>
      <c r="F3130" s="1" t="s">
        <v>7694</v>
      </c>
      <c r="G3130" s="1" t="s">
        <v>1816</v>
      </c>
      <c r="H3130" s="1" t="s">
        <v>1812</v>
      </c>
      <c r="I3130" s="10" t="str">
        <f>IF(H3130="T71",1,IF(H3130="T71",3,IF(H3130="T87",6,IF(H3130="T87",10,IF(H3130="T119",14,IF(H3130="T119",18,IF(H3130="T87",22,"")))))))</f>
        <v/>
      </c>
      <c r="J3130" s="1" t="s">
        <v>1808</v>
      </c>
      <c r="K3130" s="10">
        <v>2</v>
      </c>
      <c r="L3130" s="10">
        <v>1</v>
      </c>
      <c r="O3130" s="6"/>
      <c r="P3130" s="10">
        <v>6</v>
      </c>
      <c r="Q3130" s="42" t="s">
        <v>6764</v>
      </c>
      <c r="R3130" s="42"/>
      <c r="S3130" s="1"/>
    </row>
    <row r="3131" spans="1:19" ht="18.75" hidden="1" customHeight="1" x14ac:dyDescent="0.3">
      <c r="A3131" s="10">
        <v>3130</v>
      </c>
      <c r="B3131" s="10">
        <f>_xlfn.XLOOKUP(1,(VALUE(D3131)&gt;=VALUE(block!$C$3:$C$500))*(VALUE(D3131)&lt;VALUE(block!$C$3:$C$500)+VALUE(block!$D$3:$D$500)),block!$A$3:$A$500,"无匹配",0,1)</f>
        <v>83</v>
      </c>
      <c r="C3131" s="3" t="str">
        <f>B3131 &amp; "-" &amp; COUNTIF($B$2:B3131, B3131)</f>
        <v>83-6</v>
      </c>
      <c r="D3131" s="10">
        <v>22542</v>
      </c>
      <c r="E3131" s="1" t="s">
        <v>7695</v>
      </c>
      <c r="F3131" s="1" t="s">
        <v>7696</v>
      </c>
      <c r="H3131" s="3" t="s">
        <v>6767</v>
      </c>
      <c r="I3131" s="10" t="str">
        <f>IF(H3131="T72",1,IF(H3131="T72",3,IF(H3131="T88",6,IF(H3131="T88",10,IF(H3131="T120",14,IF(H3131="T120",18,IF(H3131="T88",22,"")))))))</f>
        <v/>
      </c>
      <c r="J3131" s="1" t="s">
        <v>1808</v>
      </c>
      <c r="K3131" s="10">
        <v>4</v>
      </c>
      <c r="L3131" s="10">
        <v>1</v>
      </c>
      <c r="O3131" s="6"/>
      <c r="Q3131" s="42" t="s">
        <v>6764</v>
      </c>
      <c r="R3131" s="42"/>
      <c r="S3131" s="1"/>
    </row>
    <row r="3132" spans="1:19" ht="18.75" hidden="1" customHeight="1" x14ac:dyDescent="0.3">
      <c r="A3132" s="10">
        <v>3131</v>
      </c>
      <c r="B3132" s="10">
        <f>_xlfn.XLOOKUP(1,(VALUE(D3132)&gt;=VALUE(block!$C$3:$C$500))*(VALUE(D3132)&lt;VALUE(block!$C$3:$C$500)+VALUE(block!$D$3:$D$500)),block!$A$3:$A$500,"无匹配",0,1)</f>
        <v>83</v>
      </c>
      <c r="C3132" s="3" t="str">
        <f>B3132 &amp; "-" &amp; COUNTIF($B$2:B3132, B3132)</f>
        <v>83-7</v>
      </c>
      <c r="D3132" s="10">
        <v>22546</v>
      </c>
      <c r="E3132" s="1" t="s">
        <v>7697</v>
      </c>
      <c r="F3132" s="1" t="s">
        <v>7698</v>
      </c>
      <c r="G3132" s="1" t="s">
        <v>1816</v>
      </c>
      <c r="H3132" s="1" t="s">
        <v>1812</v>
      </c>
      <c r="I3132" s="10" t="str">
        <f>IF(H3132="T73",1,IF(H3132="T73",3,IF(H3132="T89",6,IF(H3132="T89",10,IF(H3132="T121",14,IF(H3132="T121",18,IF(H3132="T89",22,"")))))))</f>
        <v/>
      </c>
      <c r="J3132" s="1" t="s">
        <v>1808</v>
      </c>
      <c r="K3132" s="10">
        <v>2</v>
      </c>
      <c r="L3132" s="10">
        <v>1</v>
      </c>
      <c r="O3132" s="6"/>
      <c r="P3132" s="10">
        <v>6</v>
      </c>
      <c r="Q3132" s="42" t="s">
        <v>6764</v>
      </c>
      <c r="R3132" s="42"/>
      <c r="S3132" s="1"/>
    </row>
    <row r="3133" spans="1:19" ht="18.75" hidden="1" customHeight="1" x14ac:dyDescent="0.3">
      <c r="A3133" s="10">
        <v>3132</v>
      </c>
      <c r="B3133" s="10">
        <f>_xlfn.XLOOKUP(1,(VALUE(D3133)&gt;=VALUE(block!$C$3:$C$500))*(VALUE(D3133)&lt;VALUE(block!$C$3:$C$500)+VALUE(block!$D$3:$D$500)),block!$A$3:$A$500,"无匹配",0,1)</f>
        <v>83</v>
      </c>
      <c r="C3133" s="3" t="str">
        <f>B3133 &amp; "-" &amp; COUNTIF($B$2:B3133, B3133)</f>
        <v>83-8</v>
      </c>
      <c r="D3133" s="10">
        <v>22548</v>
      </c>
      <c r="E3133" s="1" t="s">
        <v>7699</v>
      </c>
      <c r="F3133" s="1" t="s">
        <v>7700</v>
      </c>
      <c r="H3133" s="3" t="s">
        <v>6767</v>
      </c>
      <c r="I3133" s="10" t="str">
        <f>IF(H3133="T74",1,IF(H3133="T74",3,IF(H3133="T90",6,IF(H3133="T90",10,IF(H3133="T122",14,IF(H3133="T122",18,IF(H3133="T90",22,"")))))))</f>
        <v/>
      </c>
      <c r="J3133" s="1" t="s">
        <v>1808</v>
      </c>
      <c r="K3133" s="10">
        <v>4</v>
      </c>
      <c r="L3133" s="10">
        <v>1</v>
      </c>
      <c r="O3133" s="6"/>
      <c r="Q3133" s="42" t="s">
        <v>6764</v>
      </c>
      <c r="R3133" s="42"/>
      <c r="S3133" s="1"/>
    </row>
    <row r="3134" spans="1:19" ht="18.75" hidden="1" customHeight="1" x14ac:dyDescent="0.3">
      <c r="A3134" s="10">
        <v>3133</v>
      </c>
      <c r="B3134" s="10">
        <f>_xlfn.XLOOKUP(1,(VALUE(D3134)&gt;=VALUE(block!$C$3:$C$500))*(VALUE(D3134)&lt;VALUE(block!$C$3:$C$500)+VALUE(block!$D$3:$D$500)),block!$A$3:$A$500,"无匹配",0,1)</f>
        <v>83</v>
      </c>
      <c r="C3134" s="3" t="str">
        <f>B3134 &amp; "-" &amp; COUNTIF($B$2:B3134, B3134)</f>
        <v>83-9</v>
      </c>
      <c r="D3134" s="10">
        <v>22552</v>
      </c>
      <c r="E3134" s="1" t="s">
        <v>7701</v>
      </c>
      <c r="F3134" s="1" t="s">
        <v>7702</v>
      </c>
      <c r="G3134" s="1" t="s">
        <v>1816</v>
      </c>
      <c r="H3134" s="1" t="s">
        <v>1812</v>
      </c>
      <c r="I3134" s="10" t="str">
        <f>IF(H3134="T75",1,IF(H3134="T75",3,IF(H3134="T91",6,IF(H3134="T91",10,IF(H3134="T123",14,IF(H3134="T123",18,IF(H3134="T91",22,"")))))))</f>
        <v/>
      </c>
      <c r="J3134" s="1" t="s">
        <v>1808</v>
      </c>
      <c r="K3134" s="10">
        <v>2</v>
      </c>
      <c r="L3134" s="10">
        <v>1</v>
      </c>
      <c r="O3134" s="6"/>
      <c r="P3134" s="10">
        <v>6</v>
      </c>
      <c r="Q3134" s="42" t="s">
        <v>6764</v>
      </c>
      <c r="R3134" s="42"/>
      <c r="S3134" s="1"/>
    </row>
    <row r="3135" spans="1:19" ht="18.75" hidden="1" customHeight="1" x14ac:dyDescent="0.3">
      <c r="A3135" s="10">
        <v>3134</v>
      </c>
      <c r="B3135" s="10">
        <f>_xlfn.XLOOKUP(1,(VALUE(D3135)&gt;=VALUE(block!$C$3:$C$500))*(VALUE(D3135)&lt;VALUE(block!$C$3:$C$500)+VALUE(block!$D$3:$D$500)),block!$A$3:$A$500,"无匹配",0,1)</f>
        <v>83</v>
      </c>
      <c r="C3135" s="3" t="str">
        <f>B3135 &amp; "-" &amp; COUNTIF($B$2:B3135, B3135)</f>
        <v>83-10</v>
      </c>
      <c r="D3135" s="10">
        <v>22554</v>
      </c>
      <c r="E3135" s="1" t="s">
        <v>7703</v>
      </c>
      <c r="F3135" s="1" t="s">
        <v>7704</v>
      </c>
      <c r="H3135" s="3" t="s">
        <v>6767</v>
      </c>
      <c r="I3135" s="10" t="str">
        <f>IF(H3135="T76",1,IF(H3135="T76",3,IF(H3135="T92",6,IF(H3135="T92",10,IF(H3135="T124",14,IF(H3135="T124",18,IF(H3135="T92",22,"")))))))</f>
        <v/>
      </c>
      <c r="J3135" s="1" t="s">
        <v>1808</v>
      </c>
      <c r="K3135" s="10">
        <v>4</v>
      </c>
      <c r="L3135" s="10">
        <v>1</v>
      </c>
      <c r="O3135" s="6"/>
      <c r="Q3135" s="42" t="s">
        <v>6764</v>
      </c>
      <c r="R3135" s="42"/>
      <c r="S3135" s="1"/>
    </row>
    <row r="3136" spans="1:19" ht="18.75" hidden="1" customHeight="1" x14ac:dyDescent="0.3">
      <c r="A3136" s="10">
        <v>3135</v>
      </c>
      <c r="B3136" s="10">
        <f>_xlfn.XLOOKUP(1,(VALUE(D3136)&gt;=VALUE(block!$C$3:$C$500))*(VALUE(D3136)&lt;VALUE(block!$C$3:$C$500)+VALUE(block!$D$3:$D$500)),block!$A$3:$A$500,"无匹配",0,1)</f>
        <v>83</v>
      </c>
      <c r="C3136" s="3" t="str">
        <f>B3136 &amp; "-" &amp; COUNTIF($B$2:B3136, B3136)</f>
        <v>83-11</v>
      </c>
      <c r="D3136" s="10">
        <v>22558</v>
      </c>
      <c r="E3136" s="1" t="s">
        <v>7705</v>
      </c>
      <c r="F3136" s="1" t="s">
        <v>7706</v>
      </c>
      <c r="G3136" s="1" t="s">
        <v>1816</v>
      </c>
      <c r="H3136" s="1" t="s">
        <v>1812</v>
      </c>
      <c r="I3136" s="10" t="str">
        <f>IF(H3136="T77",1,IF(H3136="T77",3,IF(H3136="T93",6,IF(H3136="T93",10,IF(H3136="T125",14,IF(H3136="T125",18,IF(H3136="T93",22,"")))))))</f>
        <v/>
      </c>
      <c r="J3136" s="1" t="s">
        <v>1808</v>
      </c>
      <c r="K3136" s="10">
        <v>2</v>
      </c>
      <c r="L3136" s="10">
        <v>1</v>
      </c>
      <c r="O3136" s="6"/>
      <c r="P3136" s="10">
        <v>6</v>
      </c>
      <c r="Q3136" s="42" t="s">
        <v>6764</v>
      </c>
      <c r="R3136" s="42"/>
      <c r="S3136" s="1"/>
    </row>
    <row r="3137" spans="1:19" ht="18.75" hidden="1" customHeight="1" x14ac:dyDescent="0.3">
      <c r="A3137" s="10">
        <v>3136</v>
      </c>
      <c r="B3137" s="10">
        <f>_xlfn.XLOOKUP(1,(VALUE(D3137)&gt;=VALUE(block!$C$3:$C$500))*(VALUE(D3137)&lt;VALUE(block!$C$3:$C$500)+VALUE(block!$D$3:$D$500)),block!$A$3:$A$500,"无匹配",0,1)</f>
        <v>83</v>
      </c>
      <c r="C3137" s="3" t="str">
        <f>B3137 &amp; "-" &amp; COUNTIF($B$2:B3137, B3137)</f>
        <v>83-12</v>
      </c>
      <c r="D3137" s="10">
        <v>22560</v>
      </c>
      <c r="E3137" s="1" t="s">
        <v>7707</v>
      </c>
      <c r="F3137" s="1" t="s">
        <v>7708</v>
      </c>
      <c r="H3137" s="3" t="s">
        <v>6767</v>
      </c>
      <c r="I3137" s="10" t="str">
        <f>IF(H3137="T78",1,IF(H3137="T78",3,IF(H3137="T94",6,IF(H3137="T94",10,IF(H3137="T126",14,IF(H3137="T126",18,IF(H3137="T94",22,"")))))))</f>
        <v/>
      </c>
      <c r="J3137" s="1" t="s">
        <v>1808</v>
      </c>
      <c r="K3137" s="10">
        <v>4</v>
      </c>
      <c r="L3137" s="10">
        <v>1</v>
      </c>
      <c r="O3137" s="6"/>
      <c r="Q3137" s="42" t="s">
        <v>6764</v>
      </c>
      <c r="R3137" s="42"/>
      <c r="S3137" s="1"/>
    </row>
    <row r="3138" spans="1:19" ht="18.75" hidden="1" customHeight="1" x14ac:dyDescent="0.3">
      <c r="A3138" s="10">
        <v>3137</v>
      </c>
      <c r="B3138" s="10">
        <f>_xlfn.XLOOKUP(1,(VALUE(D3138)&gt;=VALUE(block!$C$3:$C$500))*(VALUE(D3138)&lt;VALUE(block!$C$3:$C$500)+VALUE(block!$D$3:$D$500)),block!$A$3:$A$500,"无匹配",0,1)</f>
        <v>83</v>
      </c>
      <c r="C3138" s="3" t="str">
        <f>B3138 &amp; "-" &amp; COUNTIF($B$2:B3138, B3138)</f>
        <v>83-13</v>
      </c>
      <c r="D3138" s="10">
        <v>22564</v>
      </c>
      <c r="E3138" s="1" t="s">
        <v>7709</v>
      </c>
      <c r="F3138" s="1" t="s">
        <v>7710</v>
      </c>
      <c r="G3138" s="1" t="s">
        <v>1816</v>
      </c>
      <c r="H3138" s="1" t="s">
        <v>1812</v>
      </c>
      <c r="I3138" s="10" t="str">
        <f>IF(H3138="T79",1,IF(H3138="T79",3,IF(H3138="T95",6,IF(H3138="T95",10,IF(H3138="T127",14,IF(H3138="T127",18,IF(H3138="T95",22,"")))))))</f>
        <v/>
      </c>
      <c r="J3138" s="1" t="s">
        <v>1808</v>
      </c>
      <c r="K3138" s="10">
        <v>2</v>
      </c>
      <c r="L3138" s="10">
        <v>1</v>
      </c>
      <c r="O3138" s="6"/>
      <c r="P3138" s="10">
        <v>6</v>
      </c>
      <c r="Q3138" s="42" t="s">
        <v>6764</v>
      </c>
      <c r="R3138" s="42"/>
      <c r="S3138" s="1"/>
    </row>
    <row r="3139" spans="1:19" ht="18.75" hidden="1" customHeight="1" x14ac:dyDescent="0.3">
      <c r="A3139" s="10">
        <v>3138</v>
      </c>
      <c r="B3139" s="10">
        <f>_xlfn.XLOOKUP(1,(VALUE(D3139)&gt;=VALUE(block!$C$3:$C$500))*(VALUE(D3139)&lt;VALUE(block!$C$3:$C$500)+VALUE(block!$D$3:$D$500)),block!$A$3:$A$500,"无匹配",0,1)</f>
        <v>83</v>
      </c>
      <c r="C3139" s="3" t="str">
        <f>B3139 &amp; "-" &amp; COUNTIF($B$2:B3139, B3139)</f>
        <v>83-14</v>
      </c>
      <c r="D3139" s="10">
        <v>22566</v>
      </c>
      <c r="E3139" s="1" t="s">
        <v>7711</v>
      </c>
      <c r="F3139" s="1" t="s">
        <v>7712</v>
      </c>
      <c r="H3139" s="3" t="s">
        <v>6767</v>
      </c>
      <c r="I3139" s="10">
        <f>IF(H3139="uint16",1,IF(H3139="int16",3,IF(H3139="uint32",6,IF(H3139="int32",10,IF(H3139="uint64",14,IF(H3139="int64",18,IF(H3139="float32",22,"")))))))</f>
        <v>14</v>
      </c>
      <c r="J3139" s="1" t="s">
        <v>1808</v>
      </c>
      <c r="K3139" s="10">
        <v>4</v>
      </c>
      <c r="L3139" s="10">
        <v>1</v>
      </c>
      <c r="O3139" s="6"/>
      <c r="Q3139" s="42" t="s">
        <v>6764</v>
      </c>
      <c r="R3139" s="42"/>
      <c r="S3139" s="1"/>
    </row>
    <row r="3140" spans="1:19" ht="18.75" hidden="1" customHeight="1" x14ac:dyDescent="0.3">
      <c r="A3140" s="10">
        <v>3139</v>
      </c>
      <c r="B3140" s="10">
        <f>_xlfn.XLOOKUP(1,(VALUE(D3140)&gt;=VALUE(block!$C$3:$C$500))*(VALUE(D3140)&lt;VALUE(block!$C$3:$C$500)+VALUE(block!$D$3:$D$500)),block!$A$3:$A$500,"无匹配",0,1)</f>
        <v>84</v>
      </c>
      <c r="C3140" s="3" t="str">
        <f>B3140 &amp; "-" &amp; COUNTIF($B$2:B3140, B3140)</f>
        <v>84-1</v>
      </c>
      <c r="D3140" s="10">
        <v>22570</v>
      </c>
      <c r="E3140" s="1" t="s">
        <v>7713</v>
      </c>
      <c r="F3140" s="1" t="s">
        <v>7714</v>
      </c>
      <c r="G3140" s="1" t="s">
        <v>1830</v>
      </c>
      <c r="H3140" s="1" t="s">
        <v>1812</v>
      </c>
      <c r="I3140" s="10" t="str">
        <f>IF(H3140="T17",1,IF(H3140="T17",3,IF(H3140="T33",6,IF(H3140="T33",10,IF(H3140="T65",14,IF(H3140="T65",18,IF(H3140="T33",22,"")))))))</f>
        <v/>
      </c>
      <c r="J3140" s="1" t="s">
        <v>1808</v>
      </c>
      <c r="K3140" s="10">
        <v>2</v>
      </c>
      <c r="L3140" s="10">
        <v>1</v>
      </c>
      <c r="O3140" s="6"/>
      <c r="P3140" s="10">
        <v>6</v>
      </c>
      <c r="Q3140" s="42" t="s">
        <v>6764</v>
      </c>
      <c r="R3140" s="42"/>
      <c r="S3140" s="1"/>
    </row>
    <row r="3141" spans="1:19" ht="18.75" hidden="1" customHeight="1" x14ac:dyDescent="0.3">
      <c r="A3141" s="10">
        <v>3140</v>
      </c>
      <c r="B3141" s="10">
        <f>_xlfn.XLOOKUP(1,(VALUE(D3141)&gt;=VALUE(block!$C$3:$C$500))*(VALUE(D3141)&lt;VALUE(block!$C$3:$C$500)+VALUE(block!$D$3:$D$500)),block!$A$3:$A$500,"无匹配",0,1)</f>
        <v>84</v>
      </c>
      <c r="C3141" s="3" t="str">
        <f>B3141 &amp; "-" &amp; COUNTIF($B$2:B3141, B3141)</f>
        <v>84-2</v>
      </c>
      <c r="D3141" s="10">
        <v>22572</v>
      </c>
      <c r="E3141" s="1" t="s">
        <v>7715</v>
      </c>
      <c r="F3141" s="1" t="s">
        <v>7716</v>
      </c>
      <c r="H3141" s="3" t="s">
        <v>6767</v>
      </c>
      <c r="I3141" s="10" t="str">
        <f>IF(H3141="T18",1,IF(H3141="T18",3,IF(H3141="T34",6,IF(H3141="T34",10,IF(H3141="T66",14,IF(H3141="T66",18,IF(H3141="T34",22,"")))))))</f>
        <v/>
      </c>
      <c r="J3141" s="1" t="s">
        <v>1808</v>
      </c>
      <c r="K3141" s="10">
        <v>4</v>
      </c>
      <c r="L3141" s="10">
        <v>1</v>
      </c>
      <c r="O3141" s="6"/>
      <c r="Q3141" s="42" t="s">
        <v>6764</v>
      </c>
      <c r="R3141" s="42"/>
      <c r="S3141" s="1"/>
    </row>
    <row r="3142" spans="1:19" ht="18.75" hidden="1" customHeight="1" x14ac:dyDescent="0.3">
      <c r="A3142" s="10">
        <v>3141</v>
      </c>
      <c r="B3142" s="10">
        <f>_xlfn.XLOOKUP(1,(VALUE(D3142)&gt;=VALUE(block!$C$3:$C$500))*(VALUE(D3142)&lt;VALUE(block!$C$3:$C$500)+VALUE(block!$D$3:$D$500)),block!$A$3:$A$500,"无匹配",0,1)</f>
        <v>84</v>
      </c>
      <c r="C3142" s="3" t="str">
        <f>B3142 &amp; "-" &amp; COUNTIF($B$2:B3142, B3142)</f>
        <v>84-3</v>
      </c>
      <c r="D3142" s="10">
        <v>22576</v>
      </c>
      <c r="E3142" s="1" t="s">
        <v>7717</v>
      </c>
      <c r="F3142" s="1" t="s">
        <v>7718</v>
      </c>
      <c r="G3142" s="1" t="s">
        <v>1832</v>
      </c>
      <c r="H3142" s="1" t="s">
        <v>1812</v>
      </c>
      <c r="I3142" s="10" t="str">
        <f>IF(H3142="T19",1,IF(H3142="T19",3,IF(H3142="T35",6,IF(H3142="T35",10,IF(H3142="T67",14,IF(H3142="T67",18,IF(H3142="T35",22,"")))))))</f>
        <v/>
      </c>
      <c r="J3142" s="1" t="s">
        <v>1808</v>
      </c>
      <c r="K3142" s="10">
        <v>2</v>
      </c>
      <c r="L3142" s="10">
        <v>1</v>
      </c>
      <c r="O3142" s="6"/>
      <c r="P3142" s="10">
        <v>6</v>
      </c>
      <c r="Q3142" s="42" t="s">
        <v>6764</v>
      </c>
      <c r="R3142" s="42"/>
      <c r="S3142" s="1"/>
    </row>
    <row r="3143" spans="1:19" ht="18.75" hidden="1" customHeight="1" x14ac:dyDescent="0.3">
      <c r="A3143" s="10">
        <v>3142</v>
      </c>
      <c r="B3143" s="10">
        <f>_xlfn.XLOOKUP(1,(VALUE(D3143)&gt;=VALUE(block!$C$3:$C$500))*(VALUE(D3143)&lt;VALUE(block!$C$3:$C$500)+VALUE(block!$D$3:$D$500)),block!$A$3:$A$500,"无匹配",0,1)</f>
        <v>84</v>
      </c>
      <c r="C3143" s="3" t="str">
        <f>B3143 &amp; "-" &amp; COUNTIF($B$2:B3143, B3143)</f>
        <v>84-4</v>
      </c>
      <c r="D3143" s="10">
        <v>22578</v>
      </c>
      <c r="E3143" s="1" t="s">
        <v>7719</v>
      </c>
      <c r="F3143" s="1" t="s">
        <v>7720</v>
      </c>
      <c r="H3143" s="3" t="s">
        <v>6767</v>
      </c>
      <c r="I3143" s="10" t="str">
        <f>IF(H3143="T20",1,IF(H3143="T20",3,IF(H3143="T36",6,IF(H3143="T36",10,IF(H3143="T68",14,IF(H3143="T68",18,IF(H3143="T36",22,"")))))))</f>
        <v/>
      </c>
      <c r="J3143" s="1" t="s">
        <v>1808</v>
      </c>
      <c r="K3143" s="10">
        <v>4</v>
      </c>
      <c r="L3143" s="10">
        <v>1</v>
      </c>
      <c r="O3143" s="6"/>
      <c r="Q3143" s="42" t="s">
        <v>6764</v>
      </c>
      <c r="R3143" s="42"/>
      <c r="S3143" s="1"/>
    </row>
    <row r="3144" spans="1:19" ht="18.75" hidden="1" customHeight="1" x14ac:dyDescent="0.3">
      <c r="A3144" s="10">
        <v>3143</v>
      </c>
      <c r="B3144" s="10">
        <f>_xlfn.XLOOKUP(1,(VALUE(D3144)&gt;=VALUE(block!$C$3:$C$500))*(VALUE(D3144)&lt;VALUE(block!$C$3:$C$500)+VALUE(block!$D$3:$D$500)),block!$A$3:$A$500,"无匹配",0,1)</f>
        <v>84</v>
      </c>
      <c r="C3144" s="3" t="str">
        <f>B3144 &amp; "-" &amp; COUNTIF($B$2:B3144, B3144)</f>
        <v>84-5</v>
      </c>
      <c r="D3144" s="10">
        <v>22582</v>
      </c>
      <c r="E3144" s="1" t="s">
        <v>7721</v>
      </c>
      <c r="F3144" s="1" t="s">
        <v>7722</v>
      </c>
      <c r="G3144" s="1" t="s">
        <v>1834</v>
      </c>
      <c r="H3144" s="1" t="s">
        <v>1812</v>
      </c>
      <c r="I3144" s="10" t="str">
        <f>IF(H3144="T21",1,IF(H3144="T21",3,IF(H3144="T37",6,IF(H3144="T37",10,IF(H3144="T69",14,IF(H3144="T69",18,IF(H3144="T37",22,"")))))))</f>
        <v/>
      </c>
      <c r="J3144" s="1" t="s">
        <v>1808</v>
      </c>
      <c r="K3144" s="10">
        <v>2</v>
      </c>
      <c r="L3144" s="10">
        <v>1</v>
      </c>
      <c r="O3144" s="6"/>
      <c r="P3144" s="10">
        <v>6</v>
      </c>
      <c r="Q3144" s="42" t="s">
        <v>6764</v>
      </c>
      <c r="R3144" s="42"/>
      <c r="S3144" s="1"/>
    </row>
    <row r="3145" spans="1:19" ht="18.75" hidden="1" customHeight="1" x14ac:dyDescent="0.3">
      <c r="A3145" s="10">
        <v>3144</v>
      </c>
      <c r="B3145" s="10">
        <f>_xlfn.XLOOKUP(1,(VALUE(D3145)&gt;=VALUE(block!$C$3:$C$500))*(VALUE(D3145)&lt;VALUE(block!$C$3:$C$500)+VALUE(block!$D$3:$D$500)),block!$A$3:$A$500,"无匹配",0,1)</f>
        <v>84</v>
      </c>
      <c r="C3145" s="3" t="str">
        <f>B3145 &amp; "-" &amp; COUNTIF($B$2:B3145, B3145)</f>
        <v>84-6</v>
      </c>
      <c r="D3145" s="10">
        <v>22584</v>
      </c>
      <c r="E3145" s="1" t="s">
        <v>7723</v>
      </c>
      <c r="F3145" s="1" t="s">
        <v>7724</v>
      </c>
      <c r="H3145" s="3" t="s">
        <v>6767</v>
      </c>
      <c r="I3145" s="10" t="str">
        <f>IF(H3145="T22",1,IF(H3145="T22",3,IF(H3145="T38",6,IF(H3145="T38",10,IF(H3145="T70",14,IF(H3145="T70",18,IF(H3145="T38",22,"")))))))</f>
        <v/>
      </c>
      <c r="J3145" s="1" t="s">
        <v>1808</v>
      </c>
      <c r="K3145" s="10">
        <v>4</v>
      </c>
      <c r="L3145" s="10">
        <v>1</v>
      </c>
      <c r="O3145" s="6"/>
      <c r="Q3145" s="42" t="s">
        <v>6764</v>
      </c>
      <c r="R3145" s="42"/>
      <c r="S3145" s="1"/>
    </row>
    <row r="3146" spans="1:19" ht="18.75" hidden="1" customHeight="1" x14ac:dyDescent="0.3">
      <c r="A3146" s="10">
        <v>3145</v>
      </c>
      <c r="B3146" s="10">
        <f>_xlfn.XLOOKUP(1,(VALUE(D3146)&gt;=VALUE(block!$C$3:$C$500))*(VALUE(D3146)&lt;VALUE(block!$C$3:$C$500)+VALUE(block!$D$3:$D$500)),block!$A$3:$A$500,"无匹配",0,1)</f>
        <v>84</v>
      </c>
      <c r="C3146" s="3" t="str">
        <f>B3146 &amp; "-" &amp; COUNTIF($B$2:B3146, B3146)</f>
        <v>84-7</v>
      </c>
      <c r="D3146" s="10">
        <v>22588</v>
      </c>
      <c r="E3146" s="1" t="s">
        <v>7725</v>
      </c>
      <c r="F3146" s="1" t="s">
        <v>7726</v>
      </c>
      <c r="G3146" s="1" t="s">
        <v>1836</v>
      </c>
      <c r="H3146" s="1" t="s">
        <v>1812</v>
      </c>
      <c r="I3146" s="10" t="str">
        <f>IF(H3146="T23",1,IF(H3146="T23",3,IF(H3146="T39",6,IF(H3146="T39",10,IF(H3146="T71",14,IF(H3146="T71",18,IF(H3146="T39",22,"")))))))</f>
        <v/>
      </c>
      <c r="J3146" s="1" t="s">
        <v>1808</v>
      </c>
      <c r="K3146" s="10">
        <v>2</v>
      </c>
      <c r="L3146" s="10">
        <v>1</v>
      </c>
      <c r="O3146" s="6"/>
      <c r="P3146" s="10">
        <v>6</v>
      </c>
      <c r="Q3146" s="42" t="s">
        <v>6764</v>
      </c>
      <c r="R3146" s="42"/>
      <c r="S3146" s="1"/>
    </row>
    <row r="3147" spans="1:19" ht="18.75" hidden="1" customHeight="1" x14ac:dyDescent="0.3">
      <c r="A3147" s="10">
        <v>3146</v>
      </c>
      <c r="B3147" s="10">
        <f>_xlfn.XLOOKUP(1,(VALUE(D3147)&gt;=VALUE(block!$C$3:$C$500))*(VALUE(D3147)&lt;VALUE(block!$C$3:$C$500)+VALUE(block!$D$3:$D$500)),block!$A$3:$A$500,"无匹配",0,1)</f>
        <v>84</v>
      </c>
      <c r="C3147" s="3" t="str">
        <f>B3147 &amp; "-" &amp; COUNTIF($B$2:B3147, B3147)</f>
        <v>84-8</v>
      </c>
      <c r="D3147" s="10">
        <v>22590</v>
      </c>
      <c r="E3147" s="1" t="s">
        <v>7727</v>
      </c>
      <c r="F3147" s="1" t="s">
        <v>7728</v>
      </c>
      <c r="H3147" s="3" t="s">
        <v>6767</v>
      </c>
      <c r="I3147" s="10" t="str">
        <f>IF(H3147="T24",1,IF(H3147="T24",3,IF(H3147="T40",6,IF(H3147="T40",10,IF(H3147="T72",14,IF(H3147="T72",18,IF(H3147="T40",22,"")))))))</f>
        <v/>
      </c>
      <c r="J3147" s="1" t="s">
        <v>1808</v>
      </c>
      <c r="K3147" s="10">
        <v>4</v>
      </c>
      <c r="L3147" s="10">
        <v>1</v>
      </c>
      <c r="O3147" s="6"/>
      <c r="Q3147" s="42" t="s">
        <v>6764</v>
      </c>
      <c r="R3147" s="42"/>
      <c r="S3147" s="1"/>
    </row>
    <row r="3148" spans="1:19" ht="18.75" hidden="1" customHeight="1" x14ac:dyDescent="0.3">
      <c r="A3148" s="10">
        <v>3147</v>
      </c>
      <c r="B3148" s="10">
        <f>_xlfn.XLOOKUP(1,(VALUE(D3148)&gt;=VALUE(block!$C$3:$C$500))*(VALUE(D3148)&lt;VALUE(block!$C$3:$C$500)+VALUE(block!$D$3:$D$500)),block!$A$3:$A$500,"无匹配",0,1)</f>
        <v>84</v>
      </c>
      <c r="C3148" s="3" t="str">
        <f>B3148 &amp; "-" &amp; COUNTIF($B$2:B3148, B3148)</f>
        <v>84-9</v>
      </c>
      <c r="D3148" s="10">
        <v>22594</v>
      </c>
      <c r="E3148" s="1" t="s">
        <v>7729</v>
      </c>
      <c r="F3148" s="1" t="s">
        <v>7730</v>
      </c>
      <c r="G3148" s="1" t="s">
        <v>1840</v>
      </c>
      <c r="H3148" s="1" t="s">
        <v>1812</v>
      </c>
      <c r="I3148" s="10" t="str">
        <f>IF(H3148="T25",1,IF(H3148="T25",3,IF(H3148="T41",6,IF(H3148="T41",10,IF(H3148="T73",14,IF(H3148="T73",18,IF(H3148="T41",22,"")))))))</f>
        <v/>
      </c>
      <c r="J3148" s="1" t="s">
        <v>1808</v>
      </c>
      <c r="K3148" s="10">
        <v>2</v>
      </c>
      <c r="L3148" s="10">
        <v>1</v>
      </c>
      <c r="O3148" s="6"/>
      <c r="P3148" s="10">
        <v>6</v>
      </c>
      <c r="Q3148" s="42" t="s">
        <v>6764</v>
      </c>
      <c r="R3148" s="42"/>
      <c r="S3148" s="1"/>
    </row>
    <row r="3149" spans="1:19" ht="18.75" hidden="1" customHeight="1" x14ac:dyDescent="0.3">
      <c r="A3149" s="10">
        <v>3148</v>
      </c>
      <c r="B3149" s="10">
        <f>_xlfn.XLOOKUP(1,(VALUE(D3149)&gt;=VALUE(block!$C$3:$C$500))*(VALUE(D3149)&lt;VALUE(block!$C$3:$C$500)+VALUE(block!$D$3:$D$500)),block!$A$3:$A$500,"无匹配",0,1)</f>
        <v>84</v>
      </c>
      <c r="C3149" s="3" t="str">
        <f>B3149 &amp; "-" &amp; COUNTIF($B$2:B3149, B3149)</f>
        <v>84-10</v>
      </c>
      <c r="D3149" s="10">
        <v>22596</v>
      </c>
      <c r="E3149" s="1" t="s">
        <v>7731</v>
      </c>
      <c r="F3149" s="1" t="s">
        <v>7732</v>
      </c>
      <c r="H3149" s="3" t="s">
        <v>6767</v>
      </c>
      <c r="I3149" s="10" t="str">
        <f>IF(H3149="T26",1,IF(H3149="T26",3,IF(H3149="T42",6,IF(H3149="T42",10,IF(H3149="T74",14,IF(H3149="T74",18,IF(H3149="T42",22,"")))))))</f>
        <v/>
      </c>
      <c r="J3149" s="1" t="s">
        <v>1808</v>
      </c>
      <c r="K3149" s="10">
        <v>4</v>
      </c>
      <c r="L3149" s="10">
        <v>1</v>
      </c>
      <c r="O3149" s="6"/>
      <c r="Q3149" s="42" t="s">
        <v>6764</v>
      </c>
      <c r="R3149" s="42"/>
      <c r="S3149" s="1"/>
    </row>
    <row r="3150" spans="1:19" ht="18.75" hidden="1" customHeight="1" x14ac:dyDescent="0.3">
      <c r="A3150" s="10">
        <v>3149</v>
      </c>
      <c r="B3150" s="10">
        <f>_xlfn.XLOOKUP(1,(VALUE(D3150)&gt;=VALUE(block!$C$3:$C$500))*(VALUE(D3150)&lt;VALUE(block!$C$3:$C$500)+VALUE(block!$D$3:$D$500)),block!$A$3:$A$500,"无匹配",0,1)</f>
        <v>84</v>
      </c>
      <c r="C3150" s="3" t="str">
        <f>B3150 &amp; "-" &amp; COUNTIF($B$2:B3150, B3150)</f>
        <v>84-11</v>
      </c>
      <c r="D3150" s="10">
        <v>22600</v>
      </c>
      <c r="E3150" s="1" t="s">
        <v>7733</v>
      </c>
      <c r="F3150" s="1" t="s">
        <v>7734</v>
      </c>
      <c r="G3150" s="1" t="s">
        <v>1840</v>
      </c>
      <c r="H3150" s="1" t="s">
        <v>1812</v>
      </c>
      <c r="I3150" s="10" t="str">
        <f>IF(H3150="T27",1,IF(H3150="T27",3,IF(H3150="T43",6,IF(H3150="T43",10,IF(H3150="T75",14,IF(H3150="T75",18,IF(H3150="T43",22,"")))))))</f>
        <v/>
      </c>
      <c r="J3150" s="1" t="s">
        <v>1808</v>
      </c>
      <c r="K3150" s="10">
        <v>2</v>
      </c>
      <c r="L3150" s="10">
        <v>1</v>
      </c>
      <c r="O3150" s="6"/>
      <c r="P3150" s="10">
        <v>6</v>
      </c>
      <c r="Q3150" s="42" t="s">
        <v>6764</v>
      </c>
      <c r="R3150" s="42"/>
      <c r="S3150" s="1"/>
    </row>
    <row r="3151" spans="1:19" ht="18.75" hidden="1" customHeight="1" x14ac:dyDescent="0.3">
      <c r="A3151" s="10">
        <v>3150</v>
      </c>
      <c r="B3151" s="10">
        <f>_xlfn.XLOOKUP(1,(VALUE(D3151)&gt;=VALUE(block!$C$3:$C$500))*(VALUE(D3151)&lt;VALUE(block!$C$3:$C$500)+VALUE(block!$D$3:$D$500)),block!$A$3:$A$500,"无匹配",0,1)</f>
        <v>84</v>
      </c>
      <c r="C3151" s="3" t="str">
        <f>B3151 &amp; "-" &amp; COUNTIF($B$2:B3151, B3151)</f>
        <v>84-12</v>
      </c>
      <c r="D3151" s="10">
        <v>22602</v>
      </c>
      <c r="E3151" s="1" t="s">
        <v>7735</v>
      </c>
      <c r="F3151" s="1" t="s">
        <v>7736</v>
      </c>
      <c r="H3151" s="3" t="s">
        <v>6767</v>
      </c>
      <c r="I3151" s="10" t="str">
        <f>IF(H3151="T28",1,IF(H3151="T28",3,IF(H3151="T44",6,IF(H3151="T44",10,IF(H3151="T76",14,IF(H3151="T76",18,IF(H3151="T44",22,"")))))))</f>
        <v/>
      </c>
      <c r="J3151" s="1" t="s">
        <v>1808</v>
      </c>
      <c r="K3151" s="10">
        <v>4</v>
      </c>
      <c r="L3151" s="10">
        <v>1</v>
      </c>
      <c r="O3151" s="6"/>
      <c r="Q3151" s="42" t="s">
        <v>6764</v>
      </c>
      <c r="R3151" s="42"/>
      <c r="S3151" s="1"/>
    </row>
    <row r="3152" spans="1:19" ht="18.75" hidden="1" customHeight="1" x14ac:dyDescent="0.3">
      <c r="A3152" s="10">
        <v>3151</v>
      </c>
      <c r="B3152" s="10">
        <f>_xlfn.XLOOKUP(1,(VALUE(D3152)&gt;=VALUE(block!$C$3:$C$500))*(VALUE(D3152)&lt;VALUE(block!$C$3:$C$500)+VALUE(block!$D$3:$D$500)),block!$A$3:$A$500,"无匹配",0,1)</f>
        <v>84</v>
      </c>
      <c r="C3152" s="3" t="str">
        <f>B3152 &amp; "-" &amp; COUNTIF($B$2:B3152, B3152)</f>
        <v>84-13</v>
      </c>
      <c r="D3152" s="10">
        <v>22606</v>
      </c>
      <c r="E3152" s="1" t="s">
        <v>7737</v>
      </c>
      <c r="F3152" s="1" t="s">
        <v>7738</v>
      </c>
      <c r="G3152" s="1" t="s">
        <v>1830</v>
      </c>
      <c r="H3152" s="1" t="s">
        <v>1812</v>
      </c>
      <c r="I3152" s="10" t="str">
        <f>IF(H3152="T29",1,IF(H3152="T29",3,IF(H3152="T45",6,IF(H3152="T45",10,IF(H3152="T77",14,IF(H3152="T77",18,IF(H3152="T45",22,"")))))))</f>
        <v/>
      </c>
      <c r="J3152" s="1" t="s">
        <v>1808</v>
      </c>
      <c r="K3152" s="10">
        <v>2</v>
      </c>
      <c r="L3152" s="10">
        <v>1</v>
      </c>
      <c r="O3152" s="6"/>
      <c r="P3152" s="10">
        <v>6</v>
      </c>
      <c r="Q3152" s="42" t="s">
        <v>6764</v>
      </c>
      <c r="R3152" s="42"/>
      <c r="S3152" s="1"/>
    </row>
    <row r="3153" spans="1:19" ht="18.75" hidden="1" customHeight="1" x14ac:dyDescent="0.3">
      <c r="A3153" s="10">
        <v>3152</v>
      </c>
      <c r="B3153" s="10">
        <f>_xlfn.XLOOKUP(1,(VALUE(D3153)&gt;=VALUE(block!$C$3:$C$500))*(VALUE(D3153)&lt;VALUE(block!$C$3:$C$500)+VALUE(block!$D$3:$D$500)),block!$A$3:$A$500,"无匹配",0,1)</f>
        <v>84</v>
      </c>
      <c r="C3153" s="3" t="str">
        <f>B3153 &amp; "-" &amp; COUNTIF($B$2:B3153, B3153)</f>
        <v>84-14</v>
      </c>
      <c r="D3153" s="10">
        <v>22608</v>
      </c>
      <c r="E3153" s="1" t="s">
        <v>7739</v>
      </c>
      <c r="F3153" s="1" t="s">
        <v>7740</v>
      </c>
      <c r="H3153" s="3" t="s">
        <v>6767</v>
      </c>
      <c r="I3153" s="10" t="str">
        <f>IF(H3153="T30",1,IF(H3153="T30",3,IF(H3153="T46",6,IF(H3153="T46",10,IF(H3153="T78",14,IF(H3153="T78",18,IF(H3153="T46",22,"")))))))</f>
        <v/>
      </c>
      <c r="J3153" s="1" t="s">
        <v>1808</v>
      </c>
      <c r="K3153" s="10">
        <v>4</v>
      </c>
      <c r="L3153" s="10">
        <v>1</v>
      </c>
      <c r="O3153" s="6"/>
      <c r="Q3153" s="42" t="s">
        <v>6764</v>
      </c>
      <c r="R3153" s="42"/>
      <c r="S3153" s="1"/>
    </row>
    <row r="3154" spans="1:19" ht="18.75" hidden="1" customHeight="1" x14ac:dyDescent="0.3">
      <c r="A3154" s="10">
        <v>3153</v>
      </c>
      <c r="B3154" s="10">
        <f>_xlfn.XLOOKUP(1,(VALUE(D3154)&gt;=VALUE(block!$C$3:$C$500))*(VALUE(D3154)&lt;VALUE(block!$C$3:$C$500)+VALUE(block!$D$3:$D$500)),block!$A$3:$A$500,"无匹配",0,1)</f>
        <v>84</v>
      </c>
      <c r="C3154" s="3" t="str">
        <f>B3154 &amp; "-" &amp; COUNTIF($B$2:B3154, B3154)</f>
        <v>84-15</v>
      </c>
      <c r="D3154" s="10">
        <v>22612</v>
      </c>
      <c r="E3154" s="1" t="s">
        <v>7741</v>
      </c>
      <c r="F3154" s="1" t="s">
        <v>7742</v>
      </c>
      <c r="G3154" s="1" t="s">
        <v>1832</v>
      </c>
      <c r="H3154" s="1" t="s">
        <v>1812</v>
      </c>
      <c r="I3154" s="10" t="str">
        <f>IF(H3154="T31",1,IF(H3154="T31",3,IF(H3154="T47",6,IF(H3154="T47",10,IF(H3154="T79",14,IF(H3154="T79",18,IF(H3154="T47",22,"")))))))</f>
        <v/>
      </c>
      <c r="J3154" s="1" t="s">
        <v>1808</v>
      </c>
      <c r="K3154" s="10">
        <v>2</v>
      </c>
      <c r="L3154" s="10">
        <v>1</v>
      </c>
      <c r="O3154" s="6"/>
      <c r="P3154" s="10">
        <v>6</v>
      </c>
      <c r="Q3154" s="42" t="s">
        <v>6764</v>
      </c>
      <c r="R3154" s="42"/>
      <c r="S3154" s="1"/>
    </row>
    <row r="3155" spans="1:19" ht="18.75" hidden="1" customHeight="1" x14ac:dyDescent="0.3">
      <c r="A3155" s="10">
        <v>3154</v>
      </c>
      <c r="B3155" s="10">
        <f>_xlfn.XLOOKUP(1,(VALUE(D3155)&gt;=VALUE(block!$C$3:$C$500))*(VALUE(D3155)&lt;VALUE(block!$C$3:$C$500)+VALUE(block!$D$3:$D$500)),block!$A$3:$A$500,"无匹配",0,1)</f>
        <v>84</v>
      </c>
      <c r="C3155" s="3" t="str">
        <f>B3155 &amp; "-" &amp; COUNTIF($B$2:B3155, B3155)</f>
        <v>84-16</v>
      </c>
      <c r="D3155" s="10">
        <v>22614</v>
      </c>
      <c r="E3155" s="1" t="s">
        <v>7743</v>
      </c>
      <c r="F3155" s="1" t="s">
        <v>7744</v>
      </c>
      <c r="H3155" s="3" t="s">
        <v>6767</v>
      </c>
      <c r="I3155" s="10" t="str">
        <f>IF(H3155="T32",1,IF(H3155="T32",3,IF(H3155="T48",6,IF(H3155="T48",10,IF(H3155="T80",14,IF(H3155="T80",18,IF(H3155="T48",22,"")))))))</f>
        <v/>
      </c>
      <c r="J3155" s="1" t="s">
        <v>1808</v>
      </c>
      <c r="K3155" s="10">
        <v>4</v>
      </c>
      <c r="L3155" s="10">
        <v>1</v>
      </c>
      <c r="O3155" s="6"/>
      <c r="Q3155" s="42" t="s">
        <v>6764</v>
      </c>
      <c r="R3155" s="42"/>
      <c r="S3155" s="1"/>
    </row>
    <row r="3156" spans="1:19" ht="18.75" hidden="1" customHeight="1" x14ac:dyDescent="0.3">
      <c r="A3156" s="10">
        <v>3155</v>
      </c>
      <c r="B3156" s="10">
        <f>_xlfn.XLOOKUP(1,(VALUE(D3156)&gt;=VALUE(block!$C$3:$C$500))*(VALUE(D3156)&lt;VALUE(block!$C$3:$C$500)+VALUE(block!$D$3:$D$500)),block!$A$3:$A$500,"无匹配",0,1)</f>
        <v>84</v>
      </c>
      <c r="C3156" s="3" t="str">
        <f>B3156 &amp; "-" &amp; COUNTIF($B$2:B3156, B3156)</f>
        <v>84-17</v>
      </c>
      <c r="D3156" s="10">
        <v>22618</v>
      </c>
      <c r="E3156" s="1" t="s">
        <v>7745</v>
      </c>
      <c r="F3156" s="1" t="s">
        <v>7746</v>
      </c>
      <c r="G3156" s="1" t="s">
        <v>1834</v>
      </c>
      <c r="H3156" s="1" t="s">
        <v>1812</v>
      </c>
      <c r="I3156" s="10" t="str">
        <f>IF(H3156="T33",1,IF(H3156="T33",3,IF(H3156="T49",6,IF(H3156="T49",10,IF(H3156="T81",14,IF(H3156="T81",18,IF(H3156="T49",22,"")))))))</f>
        <v/>
      </c>
      <c r="J3156" s="1" t="s">
        <v>1808</v>
      </c>
      <c r="K3156" s="10">
        <v>2</v>
      </c>
      <c r="L3156" s="10">
        <v>1</v>
      </c>
      <c r="O3156" s="6"/>
      <c r="P3156" s="10">
        <v>6</v>
      </c>
      <c r="Q3156" s="42" t="s">
        <v>6764</v>
      </c>
      <c r="R3156" s="42"/>
      <c r="S3156" s="1"/>
    </row>
    <row r="3157" spans="1:19" ht="18.75" hidden="1" customHeight="1" x14ac:dyDescent="0.3">
      <c r="A3157" s="10">
        <v>3156</v>
      </c>
      <c r="B3157" s="10">
        <f>_xlfn.XLOOKUP(1,(VALUE(D3157)&gt;=VALUE(block!$C$3:$C$500))*(VALUE(D3157)&lt;VALUE(block!$C$3:$C$500)+VALUE(block!$D$3:$D$500)),block!$A$3:$A$500,"无匹配",0,1)</f>
        <v>84</v>
      </c>
      <c r="C3157" s="3" t="str">
        <f>B3157 &amp; "-" &amp; COUNTIF($B$2:B3157, B3157)</f>
        <v>84-18</v>
      </c>
      <c r="D3157" s="10">
        <v>22620</v>
      </c>
      <c r="E3157" s="1" t="s">
        <v>7747</v>
      </c>
      <c r="F3157" s="1" t="s">
        <v>7748</v>
      </c>
      <c r="H3157" s="3" t="s">
        <v>6767</v>
      </c>
      <c r="I3157" s="10" t="str">
        <f>IF(H3157="T34",1,IF(H3157="T34",3,IF(H3157="T50",6,IF(H3157="T50",10,IF(H3157="T82",14,IF(H3157="T82",18,IF(H3157="T50",22,"")))))))</f>
        <v/>
      </c>
      <c r="J3157" s="1" t="s">
        <v>1808</v>
      </c>
      <c r="K3157" s="10">
        <v>4</v>
      </c>
      <c r="L3157" s="10">
        <v>1</v>
      </c>
      <c r="O3157" s="6"/>
      <c r="Q3157" s="42" t="s">
        <v>6764</v>
      </c>
      <c r="R3157" s="42"/>
      <c r="S3157" s="1"/>
    </row>
    <row r="3158" spans="1:19" ht="18.75" hidden="1" customHeight="1" x14ac:dyDescent="0.3">
      <c r="A3158" s="10">
        <v>3157</v>
      </c>
      <c r="B3158" s="10">
        <f>_xlfn.XLOOKUP(1,(VALUE(D3158)&gt;=VALUE(block!$C$3:$C$500))*(VALUE(D3158)&lt;VALUE(block!$C$3:$C$500)+VALUE(block!$D$3:$D$500)),block!$A$3:$A$500,"无匹配",0,1)</f>
        <v>84</v>
      </c>
      <c r="C3158" s="3" t="str">
        <f>B3158 &amp; "-" &amp; COUNTIF($B$2:B3158, B3158)</f>
        <v>84-19</v>
      </c>
      <c r="D3158" s="10">
        <v>22624</v>
      </c>
      <c r="E3158" s="1" t="s">
        <v>7749</v>
      </c>
      <c r="F3158" s="1" t="s">
        <v>7750</v>
      </c>
      <c r="G3158" s="1" t="s">
        <v>1836</v>
      </c>
      <c r="H3158" s="1" t="s">
        <v>1812</v>
      </c>
      <c r="I3158" s="10" t="str">
        <f>IF(H3158="T35",1,IF(H3158="T35",3,IF(H3158="T51",6,IF(H3158="T51",10,IF(H3158="T83",14,IF(H3158="T83",18,IF(H3158="T51",22,"")))))))</f>
        <v/>
      </c>
      <c r="J3158" s="1" t="s">
        <v>1808</v>
      </c>
      <c r="K3158" s="10">
        <v>2</v>
      </c>
      <c r="L3158" s="10">
        <v>1</v>
      </c>
      <c r="O3158" s="6"/>
      <c r="P3158" s="10">
        <v>6</v>
      </c>
      <c r="Q3158" s="42" t="s">
        <v>6764</v>
      </c>
      <c r="R3158" s="42"/>
      <c r="S3158" s="1"/>
    </row>
    <row r="3159" spans="1:19" ht="18.75" hidden="1" customHeight="1" x14ac:dyDescent="0.3">
      <c r="A3159" s="10">
        <v>3158</v>
      </c>
      <c r="B3159" s="10">
        <f>_xlfn.XLOOKUP(1,(VALUE(D3159)&gt;=VALUE(block!$C$3:$C$500))*(VALUE(D3159)&lt;VALUE(block!$C$3:$C$500)+VALUE(block!$D$3:$D$500)),block!$A$3:$A$500,"无匹配",0,1)</f>
        <v>84</v>
      </c>
      <c r="C3159" s="3" t="str">
        <f>B3159 &amp; "-" &amp; COUNTIF($B$2:B3159, B3159)</f>
        <v>84-20</v>
      </c>
      <c r="D3159" s="10">
        <v>22626</v>
      </c>
      <c r="E3159" s="1" t="s">
        <v>7751</v>
      </c>
      <c r="F3159" s="1" t="s">
        <v>7752</v>
      </c>
      <c r="H3159" s="3" t="s">
        <v>6767</v>
      </c>
      <c r="I3159" s="10" t="str">
        <f>IF(H3159="T36",1,IF(H3159="T36",3,IF(H3159="T52",6,IF(H3159="T52",10,IF(H3159="T84",14,IF(H3159="T84",18,IF(H3159="T52",22,"")))))))</f>
        <v/>
      </c>
      <c r="J3159" s="1" t="s">
        <v>1808</v>
      </c>
      <c r="K3159" s="10">
        <v>4</v>
      </c>
      <c r="L3159" s="10">
        <v>1</v>
      </c>
      <c r="O3159" s="6"/>
      <c r="Q3159" s="42" t="s">
        <v>6764</v>
      </c>
      <c r="R3159" s="42"/>
      <c r="S3159" s="1"/>
    </row>
    <row r="3160" spans="1:19" ht="18.75" hidden="1" customHeight="1" x14ac:dyDescent="0.3">
      <c r="A3160" s="10">
        <v>3159</v>
      </c>
      <c r="B3160" s="10">
        <f>_xlfn.XLOOKUP(1,(VALUE(D3160)&gt;=VALUE(block!$C$3:$C$500))*(VALUE(D3160)&lt;VALUE(block!$C$3:$C$500)+VALUE(block!$D$3:$D$500)),block!$A$3:$A$500,"无匹配",0,1)</f>
        <v>84</v>
      </c>
      <c r="C3160" s="3" t="str">
        <f>B3160 &amp; "-" &amp; COUNTIF($B$2:B3160, B3160)</f>
        <v>84-21</v>
      </c>
      <c r="D3160" s="10">
        <v>22630</v>
      </c>
      <c r="E3160" s="1" t="s">
        <v>7753</v>
      </c>
      <c r="F3160" s="1" t="s">
        <v>7754</v>
      </c>
      <c r="G3160" s="1" t="s">
        <v>1840</v>
      </c>
      <c r="H3160" s="1" t="s">
        <v>1812</v>
      </c>
      <c r="I3160" s="10" t="str">
        <f>IF(H3160="T37",1,IF(H3160="T37",3,IF(H3160="T53",6,IF(H3160="T53",10,IF(H3160="T85",14,IF(H3160="T85",18,IF(H3160="T53",22,"")))))))</f>
        <v/>
      </c>
      <c r="J3160" s="1" t="s">
        <v>1808</v>
      </c>
      <c r="K3160" s="10">
        <v>2</v>
      </c>
      <c r="L3160" s="10">
        <v>1</v>
      </c>
      <c r="O3160" s="6"/>
      <c r="P3160" s="10">
        <v>6</v>
      </c>
      <c r="Q3160" s="42" t="s">
        <v>6764</v>
      </c>
      <c r="R3160" s="42"/>
      <c r="S3160" s="1"/>
    </row>
    <row r="3161" spans="1:19" ht="18.75" hidden="1" customHeight="1" x14ac:dyDescent="0.3">
      <c r="A3161" s="10">
        <v>3160</v>
      </c>
      <c r="B3161" s="10">
        <f>_xlfn.XLOOKUP(1,(VALUE(D3161)&gt;=VALUE(block!$C$3:$C$500))*(VALUE(D3161)&lt;VALUE(block!$C$3:$C$500)+VALUE(block!$D$3:$D$500)),block!$A$3:$A$500,"无匹配",0,1)</f>
        <v>84</v>
      </c>
      <c r="C3161" s="3" t="str">
        <f>B3161 &amp; "-" &amp; COUNTIF($B$2:B3161, B3161)</f>
        <v>84-22</v>
      </c>
      <c r="D3161" s="10">
        <v>22632</v>
      </c>
      <c r="E3161" s="1" t="s">
        <v>7755</v>
      </c>
      <c r="F3161" s="1" t="s">
        <v>7756</v>
      </c>
      <c r="H3161" s="3" t="s">
        <v>6767</v>
      </c>
      <c r="I3161" s="10" t="str">
        <f>IF(H3161="T38",1,IF(H3161="T38",3,IF(H3161="T54",6,IF(H3161="T54",10,IF(H3161="T86",14,IF(H3161="T86",18,IF(H3161="T54",22,"")))))))</f>
        <v/>
      </c>
      <c r="J3161" s="1" t="s">
        <v>1808</v>
      </c>
      <c r="K3161" s="10">
        <v>4</v>
      </c>
      <c r="L3161" s="10">
        <v>1</v>
      </c>
      <c r="O3161" s="6"/>
      <c r="Q3161" s="42" t="s">
        <v>6764</v>
      </c>
      <c r="R3161" s="42"/>
      <c r="S3161" s="1"/>
    </row>
    <row r="3162" spans="1:19" ht="18.75" hidden="1" customHeight="1" x14ac:dyDescent="0.3">
      <c r="A3162" s="10">
        <v>3161</v>
      </c>
      <c r="B3162" s="10">
        <f>_xlfn.XLOOKUP(1,(VALUE(D3162)&gt;=VALUE(block!$C$3:$C$500))*(VALUE(D3162)&lt;VALUE(block!$C$3:$C$500)+VALUE(block!$D$3:$D$500)),block!$A$3:$A$500,"无匹配",0,1)</f>
        <v>84</v>
      </c>
      <c r="C3162" s="3" t="str">
        <f>B3162 &amp; "-" &amp; COUNTIF($B$2:B3162, B3162)</f>
        <v>84-23</v>
      </c>
      <c r="D3162" s="10">
        <v>22636</v>
      </c>
      <c r="E3162" s="1" t="s">
        <v>7757</v>
      </c>
      <c r="F3162" s="1" t="s">
        <v>7758</v>
      </c>
      <c r="G3162" s="1" t="s">
        <v>1840</v>
      </c>
      <c r="H3162" s="1" t="s">
        <v>1812</v>
      </c>
      <c r="I3162" s="10" t="str">
        <f>IF(H3162="T39",1,IF(H3162="T39",3,IF(H3162="T55",6,IF(H3162="T55",10,IF(H3162="T87",14,IF(H3162="T87",18,IF(H3162="T55",22,"")))))))</f>
        <v/>
      </c>
      <c r="J3162" s="1" t="s">
        <v>1808</v>
      </c>
      <c r="K3162" s="10">
        <v>2</v>
      </c>
      <c r="L3162" s="10">
        <v>1</v>
      </c>
      <c r="O3162" s="6"/>
      <c r="P3162" s="10">
        <v>6</v>
      </c>
      <c r="Q3162" s="42" t="s">
        <v>6764</v>
      </c>
      <c r="R3162" s="42"/>
      <c r="S3162" s="1"/>
    </row>
    <row r="3163" spans="1:19" ht="18.75" hidden="1" customHeight="1" x14ac:dyDescent="0.3">
      <c r="A3163" s="10">
        <v>3162</v>
      </c>
      <c r="B3163" s="10">
        <f>_xlfn.XLOOKUP(1,(VALUE(D3163)&gt;=VALUE(block!$C$3:$C$500))*(VALUE(D3163)&lt;VALUE(block!$C$3:$C$500)+VALUE(block!$D$3:$D$500)),block!$A$3:$A$500,"无匹配",0,1)</f>
        <v>84</v>
      </c>
      <c r="C3163" s="3" t="str">
        <f>B3163 &amp; "-" &amp; COUNTIF($B$2:B3163, B3163)</f>
        <v>84-24</v>
      </c>
      <c r="D3163" s="10">
        <v>22638</v>
      </c>
      <c r="E3163" s="1" t="s">
        <v>7759</v>
      </c>
      <c r="F3163" s="1" t="s">
        <v>7760</v>
      </c>
      <c r="H3163" s="3" t="s">
        <v>6767</v>
      </c>
      <c r="I3163" s="10" t="str">
        <f>IF(H3163="T40",1,IF(H3163="T40",3,IF(H3163="T56",6,IF(H3163="T56",10,IF(H3163="T88",14,IF(H3163="T88",18,IF(H3163="T56",22,"")))))))</f>
        <v/>
      </c>
      <c r="J3163" s="1" t="s">
        <v>1808</v>
      </c>
      <c r="K3163" s="10">
        <v>4</v>
      </c>
      <c r="L3163" s="10">
        <v>1</v>
      </c>
      <c r="O3163" s="6"/>
      <c r="Q3163" s="42" t="s">
        <v>6764</v>
      </c>
      <c r="R3163" s="42"/>
      <c r="S3163" s="1"/>
    </row>
    <row r="3164" spans="1:19" ht="18.75" hidden="1" customHeight="1" x14ac:dyDescent="0.3">
      <c r="A3164" s="10">
        <v>3163</v>
      </c>
      <c r="B3164" s="10">
        <f>_xlfn.XLOOKUP(1,(VALUE(D3164)&gt;=VALUE(block!$C$3:$C$500))*(VALUE(D3164)&lt;VALUE(block!$C$3:$C$500)+VALUE(block!$D$3:$D$500)),block!$A$3:$A$500,"无匹配",0,1)</f>
        <v>84</v>
      </c>
      <c r="C3164" s="3" t="str">
        <f>B3164 &amp; "-" &amp; COUNTIF($B$2:B3164, B3164)</f>
        <v>84-25</v>
      </c>
      <c r="D3164" s="10">
        <v>22642</v>
      </c>
      <c r="E3164" s="1" t="s">
        <v>7761</v>
      </c>
      <c r="F3164" s="1" t="s">
        <v>7762</v>
      </c>
      <c r="G3164" s="1" t="s">
        <v>1830</v>
      </c>
      <c r="H3164" s="1" t="s">
        <v>1812</v>
      </c>
      <c r="I3164" s="10" t="str">
        <f>IF(H3164="T41",1,IF(H3164="T41",3,IF(H3164="T57",6,IF(H3164="T57",10,IF(H3164="T89",14,IF(H3164="T89",18,IF(H3164="T57",22,"")))))))</f>
        <v/>
      </c>
      <c r="J3164" s="1" t="s">
        <v>1808</v>
      </c>
      <c r="K3164" s="10">
        <v>2</v>
      </c>
      <c r="L3164" s="10">
        <v>1</v>
      </c>
      <c r="O3164" s="6"/>
      <c r="P3164" s="10">
        <v>6</v>
      </c>
      <c r="Q3164" s="42" t="s">
        <v>6764</v>
      </c>
      <c r="R3164" s="42"/>
      <c r="S3164" s="1"/>
    </row>
    <row r="3165" spans="1:19" ht="18.75" hidden="1" customHeight="1" x14ac:dyDescent="0.3">
      <c r="A3165" s="10">
        <v>3164</v>
      </c>
      <c r="B3165" s="10">
        <f>_xlfn.XLOOKUP(1,(VALUE(D3165)&gt;=VALUE(block!$C$3:$C$500))*(VALUE(D3165)&lt;VALUE(block!$C$3:$C$500)+VALUE(block!$D$3:$D$500)),block!$A$3:$A$500,"无匹配",0,1)</f>
        <v>84</v>
      </c>
      <c r="C3165" s="3" t="str">
        <f>B3165 &amp; "-" &amp; COUNTIF($B$2:B3165, B3165)</f>
        <v>84-26</v>
      </c>
      <c r="D3165" s="10">
        <v>22644</v>
      </c>
      <c r="E3165" s="1" t="s">
        <v>7763</v>
      </c>
      <c r="F3165" s="1" t="s">
        <v>7764</v>
      </c>
      <c r="H3165" s="3" t="s">
        <v>6767</v>
      </c>
      <c r="I3165" s="10" t="str">
        <f>IF(H3165="T42",1,IF(H3165="T42",3,IF(H3165="T58",6,IF(H3165="T58",10,IF(H3165="T90",14,IF(H3165="T90",18,IF(H3165="T58",22,"")))))))</f>
        <v/>
      </c>
      <c r="J3165" s="1" t="s">
        <v>1808</v>
      </c>
      <c r="K3165" s="10">
        <v>4</v>
      </c>
      <c r="L3165" s="10">
        <v>1</v>
      </c>
      <c r="O3165" s="6"/>
      <c r="Q3165" s="42" t="s">
        <v>6764</v>
      </c>
      <c r="R3165" s="42"/>
      <c r="S3165" s="1"/>
    </row>
    <row r="3166" spans="1:19" ht="18.75" hidden="1" customHeight="1" x14ac:dyDescent="0.3">
      <c r="A3166" s="10">
        <v>3165</v>
      </c>
      <c r="B3166" s="10">
        <f>_xlfn.XLOOKUP(1,(VALUE(D3166)&gt;=VALUE(block!$C$3:$C$500))*(VALUE(D3166)&lt;VALUE(block!$C$3:$C$500)+VALUE(block!$D$3:$D$500)),block!$A$3:$A$500,"无匹配",0,1)</f>
        <v>84</v>
      </c>
      <c r="C3166" s="3" t="str">
        <f>B3166 &amp; "-" &amp; COUNTIF($B$2:B3166, B3166)</f>
        <v>84-27</v>
      </c>
      <c r="D3166" s="10">
        <v>22648</v>
      </c>
      <c r="E3166" s="1" t="s">
        <v>7765</v>
      </c>
      <c r="F3166" s="1" t="s">
        <v>7766</v>
      </c>
      <c r="G3166" s="1" t="s">
        <v>1832</v>
      </c>
      <c r="H3166" s="1" t="s">
        <v>1812</v>
      </c>
      <c r="I3166" s="10" t="str">
        <f>IF(H3166="T43",1,IF(H3166="T43",3,IF(H3166="T59",6,IF(H3166="T59",10,IF(H3166="T91",14,IF(H3166="T91",18,IF(H3166="T59",22,"")))))))</f>
        <v/>
      </c>
      <c r="J3166" s="1" t="s">
        <v>1808</v>
      </c>
      <c r="K3166" s="10">
        <v>2</v>
      </c>
      <c r="L3166" s="10">
        <v>1</v>
      </c>
      <c r="O3166" s="6"/>
      <c r="P3166" s="10">
        <v>6</v>
      </c>
      <c r="Q3166" s="42" t="s">
        <v>6764</v>
      </c>
      <c r="R3166" s="42"/>
      <c r="S3166" s="1"/>
    </row>
    <row r="3167" spans="1:19" ht="18.75" hidden="1" customHeight="1" x14ac:dyDescent="0.3">
      <c r="A3167" s="10">
        <v>3166</v>
      </c>
      <c r="B3167" s="10">
        <f>_xlfn.XLOOKUP(1,(VALUE(D3167)&gt;=VALUE(block!$C$3:$C$500))*(VALUE(D3167)&lt;VALUE(block!$C$3:$C$500)+VALUE(block!$D$3:$D$500)),block!$A$3:$A$500,"无匹配",0,1)</f>
        <v>84</v>
      </c>
      <c r="C3167" s="3" t="str">
        <f>B3167 &amp; "-" &amp; COUNTIF($B$2:B3167, B3167)</f>
        <v>84-28</v>
      </c>
      <c r="D3167" s="10">
        <v>22650</v>
      </c>
      <c r="E3167" s="1" t="s">
        <v>7767</v>
      </c>
      <c r="F3167" s="1" t="s">
        <v>7768</v>
      </c>
      <c r="H3167" s="3" t="s">
        <v>6767</v>
      </c>
      <c r="I3167" s="10" t="str">
        <f>IF(H3167="T44",1,IF(H3167="T44",3,IF(H3167="T60",6,IF(H3167="T60",10,IF(H3167="T92",14,IF(H3167="T92",18,IF(H3167="T60",22,"")))))))</f>
        <v/>
      </c>
      <c r="J3167" s="1" t="s">
        <v>1808</v>
      </c>
      <c r="K3167" s="10">
        <v>4</v>
      </c>
      <c r="L3167" s="10">
        <v>1</v>
      </c>
      <c r="O3167" s="6"/>
      <c r="Q3167" s="42" t="s">
        <v>6764</v>
      </c>
      <c r="R3167" s="42"/>
      <c r="S3167" s="1"/>
    </row>
    <row r="3168" spans="1:19" ht="18.75" hidden="1" customHeight="1" x14ac:dyDescent="0.3">
      <c r="A3168" s="10">
        <v>3167</v>
      </c>
      <c r="B3168" s="10">
        <f>_xlfn.XLOOKUP(1,(VALUE(D3168)&gt;=VALUE(block!$C$3:$C$500))*(VALUE(D3168)&lt;VALUE(block!$C$3:$C$500)+VALUE(block!$D$3:$D$500)),block!$A$3:$A$500,"无匹配",0,1)</f>
        <v>84</v>
      </c>
      <c r="C3168" s="3" t="str">
        <f>B3168 &amp; "-" &amp; COUNTIF($B$2:B3168, B3168)</f>
        <v>84-29</v>
      </c>
      <c r="D3168" s="10">
        <v>22654</v>
      </c>
      <c r="E3168" s="1" t="s">
        <v>7769</v>
      </c>
      <c r="F3168" s="1" t="s">
        <v>7770</v>
      </c>
      <c r="G3168" s="1" t="s">
        <v>1834</v>
      </c>
      <c r="H3168" s="1" t="s">
        <v>1812</v>
      </c>
      <c r="I3168" s="10" t="str">
        <f>IF(H3168="T45",1,IF(H3168="T45",3,IF(H3168="T61",6,IF(H3168="T61",10,IF(H3168="T93",14,IF(H3168="T93",18,IF(H3168="T61",22,"")))))))</f>
        <v/>
      </c>
      <c r="J3168" s="1" t="s">
        <v>1808</v>
      </c>
      <c r="K3168" s="10">
        <v>2</v>
      </c>
      <c r="L3168" s="10">
        <v>1</v>
      </c>
      <c r="O3168" s="6"/>
      <c r="P3168" s="10">
        <v>6</v>
      </c>
      <c r="Q3168" s="42" t="s">
        <v>6764</v>
      </c>
      <c r="R3168" s="42"/>
      <c r="S3168" s="1"/>
    </row>
    <row r="3169" spans="1:19" ht="18.75" hidden="1" customHeight="1" x14ac:dyDescent="0.3">
      <c r="A3169" s="10">
        <v>3168</v>
      </c>
      <c r="B3169" s="10">
        <f>_xlfn.XLOOKUP(1,(VALUE(D3169)&gt;=VALUE(block!$C$3:$C$500))*(VALUE(D3169)&lt;VALUE(block!$C$3:$C$500)+VALUE(block!$D$3:$D$500)),block!$A$3:$A$500,"无匹配",0,1)</f>
        <v>84</v>
      </c>
      <c r="C3169" s="3" t="str">
        <f>B3169 &amp; "-" &amp; COUNTIF($B$2:B3169, B3169)</f>
        <v>84-30</v>
      </c>
      <c r="D3169" s="10">
        <v>22656</v>
      </c>
      <c r="E3169" s="1" t="s">
        <v>7771</v>
      </c>
      <c r="F3169" s="1" t="s">
        <v>7772</v>
      </c>
      <c r="H3169" s="3" t="s">
        <v>6767</v>
      </c>
      <c r="I3169" s="10" t="str">
        <f>IF(H3169="T46",1,IF(H3169="T46",3,IF(H3169="T62",6,IF(H3169="T62",10,IF(H3169="T94",14,IF(H3169="T94",18,IF(H3169="T62",22,"")))))))</f>
        <v/>
      </c>
      <c r="J3169" s="1" t="s">
        <v>1808</v>
      </c>
      <c r="K3169" s="10">
        <v>4</v>
      </c>
      <c r="L3169" s="10">
        <v>1</v>
      </c>
      <c r="O3169" s="6"/>
      <c r="Q3169" s="42" t="s">
        <v>6764</v>
      </c>
      <c r="R3169" s="42"/>
      <c r="S3169" s="1"/>
    </row>
    <row r="3170" spans="1:19" ht="18.75" hidden="1" customHeight="1" x14ac:dyDescent="0.3">
      <c r="A3170" s="10">
        <v>3169</v>
      </c>
      <c r="B3170" s="10">
        <f>_xlfn.XLOOKUP(1,(VALUE(D3170)&gt;=VALUE(block!$C$3:$C$500))*(VALUE(D3170)&lt;VALUE(block!$C$3:$C$500)+VALUE(block!$D$3:$D$500)),block!$A$3:$A$500,"无匹配",0,1)</f>
        <v>84</v>
      </c>
      <c r="C3170" s="3" t="str">
        <f>B3170 &amp; "-" &amp; COUNTIF($B$2:B3170, B3170)</f>
        <v>84-31</v>
      </c>
      <c r="D3170" s="10">
        <v>22660</v>
      </c>
      <c r="E3170" s="1" t="s">
        <v>7773</v>
      </c>
      <c r="F3170" s="1" t="s">
        <v>7774</v>
      </c>
      <c r="G3170" s="1" t="s">
        <v>1836</v>
      </c>
      <c r="H3170" s="1" t="s">
        <v>1812</v>
      </c>
      <c r="I3170" s="10" t="str">
        <f>IF(H3170="T47",1,IF(H3170="T47",3,IF(H3170="T63",6,IF(H3170="T63",10,IF(H3170="T95",14,IF(H3170="T95",18,IF(H3170="T63",22,"")))))))</f>
        <v/>
      </c>
      <c r="J3170" s="1" t="s">
        <v>1808</v>
      </c>
      <c r="K3170" s="10">
        <v>2</v>
      </c>
      <c r="L3170" s="10">
        <v>1</v>
      </c>
      <c r="O3170" s="6"/>
      <c r="P3170" s="10">
        <v>6</v>
      </c>
      <c r="Q3170" s="42" t="s">
        <v>6764</v>
      </c>
      <c r="R3170" s="42"/>
      <c r="S3170" s="1"/>
    </row>
    <row r="3171" spans="1:19" ht="18.75" hidden="1" customHeight="1" x14ac:dyDescent="0.3">
      <c r="A3171" s="10">
        <v>3170</v>
      </c>
      <c r="B3171" s="10">
        <f>_xlfn.XLOOKUP(1,(VALUE(D3171)&gt;=VALUE(block!$C$3:$C$500))*(VALUE(D3171)&lt;VALUE(block!$C$3:$C$500)+VALUE(block!$D$3:$D$500)),block!$A$3:$A$500,"无匹配",0,1)</f>
        <v>84</v>
      </c>
      <c r="C3171" s="3" t="str">
        <f>B3171 &amp; "-" &amp; COUNTIF($B$2:B3171, B3171)</f>
        <v>84-32</v>
      </c>
      <c r="D3171" s="10">
        <v>22662</v>
      </c>
      <c r="E3171" s="1" t="s">
        <v>7775</v>
      </c>
      <c r="F3171" s="1" t="s">
        <v>7776</v>
      </c>
      <c r="H3171" s="3" t="s">
        <v>6767</v>
      </c>
      <c r="I3171" s="10" t="str">
        <f>IF(H3171="T48",1,IF(H3171="T48",3,IF(H3171="T64",6,IF(H3171="T64",10,IF(H3171="T96",14,IF(H3171="T96",18,IF(H3171="T64",22,"")))))))</f>
        <v/>
      </c>
      <c r="J3171" s="1" t="s">
        <v>1808</v>
      </c>
      <c r="K3171" s="10">
        <v>4</v>
      </c>
      <c r="L3171" s="10">
        <v>1</v>
      </c>
      <c r="O3171" s="6"/>
      <c r="Q3171" s="42" t="s">
        <v>6764</v>
      </c>
      <c r="R3171" s="42"/>
      <c r="S3171" s="1"/>
    </row>
    <row r="3172" spans="1:19" ht="18.75" hidden="1" customHeight="1" x14ac:dyDescent="0.3">
      <c r="A3172" s="10">
        <v>3171</v>
      </c>
      <c r="B3172" s="10">
        <f>_xlfn.XLOOKUP(1,(VALUE(D3172)&gt;=VALUE(block!$C$3:$C$500))*(VALUE(D3172)&lt;VALUE(block!$C$3:$C$500)+VALUE(block!$D$3:$D$500)),block!$A$3:$A$500,"无匹配",0,1)</f>
        <v>84</v>
      </c>
      <c r="C3172" s="3" t="str">
        <f>B3172 &amp; "-" &amp; COUNTIF($B$2:B3172, B3172)</f>
        <v>84-33</v>
      </c>
      <c r="D3172" s="10">
        <v>22666</v>
      </c>
      <c r="E3172" s="1" t="s">
        <v>7777</v>
      </c>
      <c r="F3172" s="1" t="s">
        <v>7778</v>
      </c>
      <c r="G3172" s="1" t="s">
        <v>1840</v>
      </c>
      <c r="H3172" s="1" t="s">
        <v>1812</v>
      </c>
      <c r="I3172" s="10" t="str">
        <f>IF(H3172="T49",1,IF(H3172="T49",3,IF(H3172="T65",6,IF(H3172="T65",10,IF(H3172="T97",14,IF(H3172="T97",18,IF(H3172="T65",22,"")))))))</f>
        <v/>
      </c>
      <c r="J3172" s="1" t="s">
        <v>1808</v>
      </c>
      <c r="K3172" s="10">
        <v>2</v>
      </c>
      <c r="L3172" s="10">
        <v>1</v>
      </c>
      <c r="O3172" s="6"/>
      <c r="P3172" s="10">
        <v>6</v>
      </c>
      <c r="Q3172" s="42" t="s">
        <v>6764</v>
      </c>
      <c r="R3172" s="42"/>
      <c r="S3172" s="1"/>
    </row>
    <row r="3173" spans="1:19" ht="18.75" hidden="1" customHeight="1" x14ac:dyDescent="0.3">
      <c r="A3173" s="10">
        <v>3172</v>
      </c>
      <c r="B3173" s="10">
        <f>_xlfn.XLOOKUP(1,(VALUE(D3173)&gt;=VALUE(block!$C$3:$C$500))*(VALUE(D3173)&lt;VALUE(block!$C$3:$C$500)+VALUE(block!$D$3:$D$500)),block!$A$3:$A$500,"无匹配",0,1)</f>
        <v>84</v>
      </c>
      <c r="C3173" s="3" t="str">
        <f>B3173 &amp; "-" &amp; COUNTIF($B$2:B3173, B3173)</f>
        <v>84-34</v>
      </c>
      <c r="D3173" s="10">
        <v>22668</v>
      </c>
      <c r="E3173" s="1" t="s">
        <v>7779</v>
      </c>
      <c r="F3173" s="1" t="s">
        <v>7780</v>
      </c>
      <c r="H3173" s="3" t="s">
        <v>6767</v>
      </c>
      <c r="I3173" s="10" t="str">
        <f>IF(H3173="T50",1,IF(H3173="T50",3,IF(H3173="T66",6,IF(H3173="T66",10,IF(H3173="T98",14,IF(H3173="T98",18,IF(H3173="T66",22,"")))))))</f>
        <v/>
      </c>
      <c r="J3173" s="1" t="s">
        <v>1808</v>
      </c>
      <c r="K3173" s="10">
        <v>4</v>
      </c>
      <c r="L3173" s="10">
        <v>1</v>
      </c>
      <c r="O3173" s="6"/>
      <c r="Q3173" s="42" t="s">
        <v>6764</v>
      </c>
      <c r="R3173" s="42"/>
      <c r="S3173" s="1"/>
    </row>
    <row r="3174" spans="1:19" ht="18.75" hidden="1" customHeight="1" x14ac:dyDescent="0.3">
      <c r="A3174" s="10">
        <v>3173</v>
      </c>
      <c r="B3174" s="10">
        <f>_xlfn.XLOOKUP(1,(VALUE(D3174)&gt;=VALUE(block!$C$3:$C$500))*(VALUE(D3174)&lt;VALUE(block!$C$3:$C$500)+VALUE(block!$D$3:$D$500)),block!$A$3:$A$500,"无匹配",0,1)</f>
        <v>84</v>
      </c>
      <c r="C3174" s="3" t="str">
        <f>B3174 &amp; "-" &amp; COUNTIF($B$2:B3174, B3174)</f>
        <v>84-35</v>
      </c>
      <c r="D3174" s="10">
        <v>22672</v>
      </c>
      <c r="E3174" s="1" t="s">
        <v>7781</v>
      </c>
      <c r="F3174" s="1" t="s">
        <v>7782</v>
      </c>
      <c r="G3174" s="1" t="s">
        <v>1840</v>
      </c>
      <c r="H3174" s="1" t="s">
        <v>1812</v>
      </c>
      <c r="I3174" s="10" t="str">
        <f>IF(H3174="T51",1,IF(H3174="T51",3,IF(H3174="T67",6,IF(H3174="T67",10,IF(H3174="T99",14,IF(H3174="T99",18,IF(H3174="T67",22,"")))))))</f>
        <v/>
      </c>
      <c r="J3174" s="1" t="s">
        <v>1808</v>
      </c>
      <c r="K3174" s="10">
        <v>2</v>
      </c>
      <c r="L3174" s="10">
        <v>1</v>
      </c>
      <c r="O3174" s="6"/>
      <c r="P3174" s="10">
        <v>6</v>
      </c>
      <c r="Q3174" s="42" t="s">
        <v>6764</v>
      </c>
      <c r="R3174" s="42"/>
      <c r="S3174" s="1"/>
    </row>
    <row r="3175" spans="1:19" ht="18.75" hidden="1" customHeight="1" x14ac:dyDescent="0.3">
      <c r="A3175" s="10">
        <v>3174</v>
      </c>
      <c r="B3175" s="10">
        <f>_xlfn.XLOOKUP(1,(VALUE(D3175)&gt;=VALUE(block!$C$3:$C$500))*(VALUE(D3175)&lt;VALUE(block!$C$3:$C$500)+VALUE(block!$D$3:$D$500)),block!$A$3:$A$500,"无匹配",0,1)</f>
        <v>84</v>
      </c>
      <c r="C3175" s="3" t="str">
        <f>B3175 &amp; "-" &amp; COUNTIF($B$2:B3175, B3175)</f>
        <v>84-36</v>
      </c>
      <c r="D3175" s="10">
        <v>22674</v>
      </c>
      <c r="E3175" s="1" t="s">
        <v>7783</v>
      </c>
      <c r="F3175" s="1" t="s">
        <v>7784</v>
      </c>
      <c r="H3175" s="3" t="s">
        <v>6767</v>
      </c>
      <c r="I3175" s="10" t="str">
        <f>IF(H3175="T52",1,IF(H3175="T52",3,IF(H3175="T68",6,IF(H3175="T68",10,IF(H3175="T100",14,IF(H3175="T100",18,IF(H3175="T68",22,"")))))))</f>
        <v/>
      </c>
      <c r="J3175" s="1" t="s">
        <v>1808</v>
      </c>
      <c r="K3175" s="10">
        <v>4</v>
      </c>
      <c r="L3175" s="10">
        <v>1</v>
      </c>
      <c r="O3175" s="6"/>
      <c r="Q3175" s="42" t="s">
        <v>6764</v>
      </c>
      <c r="R3175" s="42"/>
      <c r="S3175" s="1"/>
    </row>
    <row r="3176" spans="1:19" ht="18.75" hidden="1" customHeight="1" x14ac:dyDescent="0.3">
      <c r="A3176" s="10">
        <v>3175</v>
      </c>
      <c r="B3176" s="10">
        <f>_xlfn.XLOOKUP(1,(VALUE(D3176)&gt;=VALUE(block!$C$3:$C$500))*(VALUE(D3176)&lt;VALUE(block!$C$3:$C$500)+VALUE(block!$D$3:$D$500)),block!$A$3:$A$500,"无匹配",0,1)</f>
        <v>84</v>
      </c>
      <c r="C3176" s="3" t="str">
        <f>B3176 &amp; "-" &amp; COUNTIF($B$2:B3176, B3176)</f>
        <v>84-37</v>
      </c>
      <c r="D3176" s="10">
        <v>22678</v>
      </c>
      <c r="E3176" s="1" t="s">
        <v>7785</v>
      </c>
      <c r="F3176" s="1" t="s">
        <v>7786</v>
      </c>
      <c r="G3176" s="1" t="s">
        <v>1840</v>
      </c>
      <c r="H3176" s="1" t="s">
        <v>1812</v>
      </c>
      <c r="I3176" s="10" t="str">
        <f>IF(H3176="T53",1,IF(H3176="T53",3,IF(H3176="T69",6,IF(H3176="T69",10,IF(H3176="T101",14,IF(H3176="T101",18,IF(H3176="T69",22,"")))))))</f>
        <v/>
      </c>
      <c r="J3176" s="1" t="s">
        <v>1808</v>
      </c>
      <c r="K3176" s="10">
        <v>2</v>
      </c>
      <c r="L3176" s="10">
        <v>1</v>
      </c>
      <c r="O3176" s="6"/>
      <c r="P3176" s="10">
        <v>6</v>
      </c>
      <c r="Q3176" s="42" t="s">
        <v>6764</v>
      </c>
      <c r="R3176" s="42"/>
      <c r="S3176" s="1"/>
    </row>
    <row r="3177" spans="1:19" ht="18.75" hidden="1" customHeight="1" x14ac:dyDescent="0.3">
      <c r="A3177" s="10">
        <v>3176</v>
      </c>
      <c r="B3177" s="10">
        <f>_xlfn.XLOOKUP(1,(VALUE(D3177)&gt;=VALUE(block!$C$3:$C$500))*(VALUE(D3177)&lt;VALUE(block!$C$3:$C$500)+VALUE(block!$D$3:$D$500)),block!$A$3:$A$500,"无匹配",0,1)</f>
        <v>84</v>
      </c>
      <c r="C3177" s="3" t="str">
        <f>B3177 &amp; "-" &amp; COUNTIF($B$2:B3177, B3177)</f>
        <v>84-38</v>
      </c>
      <c r="D3177" s="10">
        <v>22680</v>
      </c>
      <c r="E3177" s="1" t="s">
        <v>7787</v>
      </c>
      <c r="F3177" s="1" t="s">
        <v>7788</v>
      </c>
      <c r="H3177" s="3" t="s">
        <v>6767</v>
      </c>
      <c r="I3177" s="10" t="str">
        <f>IF(H3177="T54",1,IF(H3177="T54",3,IF(H3177="T70",6,IF(H3177="T70",10,IF(H3177="T102",14,IF(H3177="T102",18,IF(H3177="T70",22,"")))))))</f>
        <v/>
      </c>
      <c r="J3177" s="1" t="s">
        <v>1808</v>
      </c>
      <c r="K3177" s="10">
        <v>4</v>
      </c>
      <c r="L3177" s="10">
        <v>1</v>
      </c>
      <c r="O3177" s="6"/>
      <c r="Q3177" s="42" t="s">
        <v>6764</v>
      </c>
      <c r="R3177" s="42"/>
      <c r="S3177" s="1"/>
    </row>
    <row r="3178" spans="1:19" ht="18.75" hidden="1" customHeight="1" x14ac:dyDescent="0.3">
      <c r="A3178" s="10">
        <v>3177</v>
      </c>
      <c r="B3178" s="10">
        <f>_xlfn.XLOOKUP(1,(VALUE(D3178)&gt;=VALUE(block!$C$3:$C$500))*(VALUE(D3178)&lt;VALUE(block!$C$3:$C$500)+VALUE(block!$D$3:$D$500)),block!$A$3:$A$500,"无匹配",0,1)</f>
        <v>85</v>
      </c>
      <c r="C3178" s="3" t="str">
        <f>B3178 &amp; "-" &amp; COUNTIF($B$2:B3178, B3178)</f>
        <v>85-1</v>
      </c>
      <c r="D3178" s="10">
        <v>22684</v>
      </c>
      <c r="E3178" s="1" t="s">
        <v>7789</v>
      </c>
      <c r="F3178" s="1" t="s">
        <v>7790</v>
      </c>
      <c r="G3178" s="1" t="s">
        <v>1830</v>
      </c>
      <c r="H3178" s="1" t="s">
        <v>1812</v>
      </c>
      <c r="I3178" s="10" t="str">
        <f>IF(H3178="T55",1,IF(H3178="T55",3,IF(H3178="T71",6,IF(H3178="T71",10,IF(H3178="T103",14,IF(H3178="T103",18,IF(H3178="T71",22,"")))))))</f>
        <v/>
      </c>
      <c r="J3178" s="1" t="s">
        <v>1808</v>
      </c>
      <c r="K3178" s="10">
        <v>2</v>
      </c>
      <c r="L3178" s="10">
        <v>1</v>
      </c>
      <c r="O3178" s="6"/>
      <c r="P3178" s="10">
        <v>6</v>
      </c>
      <c r="Q3178" s="42" t="s">
        <v>6870</v>
      </c>
      <c r="R3178" s="42"/>
      <c r="S3178" s="1"/>
    </row>
    <row r="3179" spans="1:19" ht="18.75" hidden="1" customHeight="1" x14ac:dyDescent="0.3">
      <c r="A3179" s="10">
        <v>3178</v>
      </c>
      <c r="B3179" s="10">
        <f>_xlfn.XLOOKUP(1,(VALUE(D3179)&gt;=VALUE(block!$C$3:$C$500))*(VALUE(D3179)&lt;VALUE(block!$C$3:$C$500)+VALUE(block!$D$3:$D$500)),block!$A$3:$A$500,"无匹配",0,1)</f>
        <v>85</v>
      </c>
      <c r="C3179" s="3" t="str">
        <f>B3179 &amp; "-" &amp; COUNTIF($B$2:B3179, B3179)</f>
        <v>85-2</v>
      </c>
      <c r="D3179" s="10">
        <v>22686</v>
      </c>
      <c r="E3179" s="1" t="s">
        <v>7791</v>
      </c>
      <c r="F3179" s="1" t="s">
        <v>7792</v>
      </c>
      <c r="H3179" s="3" t="s">
        <v>6767</v>
      </c>
      <c r="I3179" s="10" t="str">
        <f>IF(H3179="T56",1,IF(H3179="T56",3,IF(H3179="T72",6,IF(H3179="T72",10,IF(H3179="T104",14,IF(H3179="T104",18,IF(H3179="T72",22,"")))))))</f>
        <v/>
      </c>
      <c r="J3179" s="1" t="s">
        <v>1808</v>
      </c>
      <c r="K3179" s="10">
        <v>4</v>
      </c>
      <c r="L3179" s="10">
        <v>1</v>
      </c>
      <c r="O3179" s="6"/>
      <c r="Q3179" s="42" t="s">
        <v>6870</v>
      </c>
      <c r="R3179" s="42"/>
      <c r="S3179" s="1"/>
    </row>
    <row r="3180" spans="1:19" ht="18.75" hidden="1" customHeight="1" x14ac:dyDescent="0.3">
      <c r="A3180" s="10">
        <v>3179</v>
      </c>
      <c r="B3180" s="10">
        <f>_xlfn.XLOOKUP(1,(VALUE(D3180)&gt;=VALUE(block!$C$3:$C$500))*(VALUE(D3180)&lt;VALUE(block!$C$3:$C$500)+VALUE(block!$D$3:$D$500)),block!$A$3:$A$500,"无匹配",0,1)</f>
        <v>85</v>
      </c>
      <c r="C3180" s="3" t="str">
        <f>B3180 &amp; "-" &amp; COUNTIF($B$2:B3180, B3180)</f>
        <v>85-3</v>
      </c>
      <c r="D3180" s="10">
        <v>22690</v>
      </c>
      <c r="E3180" s="1" t="s">
        <v>7793</v>
      </c>
      <c r="F3180" s="1" t="s">
        <v>7794</v>
      </c>
      <c r="G3180" s="1" t="s">
        <v>1832</v>
      </c>
      <c r="H3180" s="1" t="s">
        <v>1812</v>
      </c>
      <c r="I3180" s="10" t="str">
        <f>IF(H3180="T57",1,IF(H3180="T57",3,IF(H3180="T73",6,IF(H3180="T73",10,IF(H3180="T105",14,IF(H3180="T105",18,IF(H3180="T73",22,"")))))))</f>
        <v/>
      </c>
      <c r="J3180" s="1" t="s">
        <v>1808</v>
      </c>
      <c r="K3180" s="10">
        <v>2</v>
      </c>
      <c r="L3180" s="10">
        <v>1</v>
      </c>
      <c r="O3180" s="6"/>
      <c r="P3180" s="10">
        <v>6</v>
      </c>
      <c r="Q3180" s="42" t="s">
        <v>6870</v>
      </c>
      <c r="R3180" s="42"/>
      <c r="S3180" s="1"/>
    </row>
    <row r="3181" spans="1:19" ht="18.75" hidden="1" customHeight="1" x14ac:dyDescent="0.3">
      <c r="A3181" s="10">
        <v>3180</v>
      </c>
      <c r="B3181" s="10">
        <f>_xlfn.XLOOKUP(1,(VALUE(D3181)&gt;=VALUE(block!$C$3:$C$500))*(VALUE(D3181)&lt;VALUE(block!$C$3:$C$500)+VALUE(block!$D$3:$D$500)),block!$A$3:$A$500,"无匹配",0,1)</f>
        <v>85</v>
      </c>
      <c r="C3181" s="3" t="str">
        <f>B3181 &amp; "-" &amp; COUNTIF($B$2:B3181, B3181)</f>
        <v>85-4</v>
      </c>
      <c r="D3181" s="10">
        <v>22692</v>
      </c>
      <c r="E3181" s="1" t="s">
        <v>7795</v>
      </c>
      <c r="F3181" s="1" t="s">
        <v>7796</v>
      </c>
      <c r="H3181" s="3" t="s">
        <v>6767</v>
      </c>
      <c r="I3181" s="10" t="str">
        <f>IF(H3181="T58",1,IF(H3181="T58",3,IF(H3181="T74",6,IF(H3181="T74",10,IF(H3181="T106",14,IF(H3181="T106",18,IF(H3181="T74",22,"")))))))</f>
        <v/>
      </c>
      <c r="J3181" s="1" t="s">
        <v>1808</v>
      </c>
      <c r="K3181" s="10">
        <v>4</v>
      </c>
      <c r="L3181" s="10">
        <v>1</v>
      </c>
      <c r="O3181" s="6"/>
      <c r="Q3181" s="42" t="s">
        <v>6870</v>
      </c>
      <c r="R3181" s="42"/>
      <c r="S3181" s="1"/>
    </row>
    <row r="3182" spans="1:19" ht="18.75" hidden="1" customHeight="1" x14ac:dyDescent="0.3">
      <c r="A3182" s="10">
        <v>3181</v>
      </c>
      <c r="B3182" s="10">
        <f>_xlfn.XLOOKUP(1,(VALUE(D3182)&gt;=VALUE(block!$C$3:$C$500))*(VALUE(D3182)&lt;VALUE(block!$C$3:$C$500)+VALUE(block!$D$3:$D$500)),block!$A$3:$A$500,"无匹配",0,1)</f>
        <v>85</v>
      </c>
      <c r="C3182" s="3" t="str">
        <f>B3182 &amp; "-" &amp; COUNTIF($B$2:B3182, B3182)</f>
        <v>85-5</v>
      </c>
      <c r="D3182" s="10">
        <v>22696</v>
      </c>
      <c r="E3182" s="1" t="s">
        <v>7797</v>
      </c>
      <c r="F3182" s="1" t="s">
        <v>7798</v>
      </c>
      <c r="G3182" s="1" t="s">
        <v>1834</v>
      </c>
      <c r="H3182" s="1" t="s">
        <v>1812</v>
      </c>
      <c r="I3182" s="10" t="str">
        <f>IF(H3182="T59",1,IF(H3182="T59",3,IF(H3182="T75",6,IF(H3182="T75",10,IF(H3182="T107",14,IF(H3182="T107",18,IF(H3182="T75",22,"")))))))</f>
        <v/>
      </c>
      <c r="J3182" s="1" t="s">
        <v>1808</v>
      </c>
      <c r="K3182" s="10">
        <v>2</v>
      </c>
      <c r="L3182" s="10">
        <v>1</v>
      </c>
      <c r="O3182" s="6"/>
      <c r="P3182" s="10">
        <v>6</v>
      </c>
      <c r="Q3182" s="42" t="s">
        <v>6870</v>
      </c>
      <c r="R3182" s="42"/>
      <c r="S3182" s="1"/>
    </row>
    <row r="3183" spans="1:19" ht="18.75" hidden="1" customHeight="1" x14ac:dyDescent="0.3">
      <c r="A3183" s="10">
        <v>3182</v>
      </c>
      <c r="B3183" s="10">
        <f>_xlfn.XLOOKUP(1,(VALUE(D3183)&gt;=VALUE(block!$C$3:$C$500))*(VALUE(D3183)&lt;VALUE(block!$C$3:$C$500)+VALUE(block!$D$3:$D$500)),block!$A$3:$A$500,"无匹配",0,1)</f>
        <v>85</v>
      </c>
      <c r="C3183" s="3" t="str">
        <f>B3183 &amp; "-" &amp; COUNTIF($B$2:B3183, B3183)</f>
        <v>85-6</v>
      </c>
      <c r="D3183" s="10">
        <v>22698</v>
      </c>
      <c r="E3183" s="1" t="s">
        <v>7799</v>
      </c>
      <c r="F3183" s="1" t="s">
        <v>7800</v>
      </c>
      <c r="H3183" s="3" t="s">
        <v>6767</v>
      </c>
      <c r="I3183" s="10" t="str">
        <f>IF(H3183="T60",1,IF(H3183="T60",3,IF(H3183="T76",6,IF(H3183="T76",10,IF(H3183="T108",14,IF(H3183="T108",18,IF(H3183="T76",22,"")))))))</f>
        <v/>
      </c>
      <c r="J3183" s="1" t="s">
        <v>1808</v>
      </c>
      <c r="K3183" s="10">
        <v>4</v>
      </c>
      <c r="L3183" s="10">
        <v>1</v>
      </c>
      <c r="O3183" s="6"/>
      <c r="Q3183" s="42" t="s">
        <v>6870</v>
      </c>
      <c r="R3183" s="42"/>
      <c r="S3183" s="1"/>
    </row>
    <row r="3184" spans="1:19" ht="18.75" hidden="1" customHeight="1" x14ac:dyDescent="0.3">
      <c r="A3184" s="10">
        <v>3183</v>
      </c>
      <c r="B3184" s="10">
        <f>_xlfn.XLOOKUP(1,(VALUE(D3184)&gt;=VALUE(block!$C$3:$C$500))*(VALUE(D3184)&lt;VALUE(block!$C$3:$C$500)+VALUE(block!$D$3:$D$500)),block!$A$3:$A$500,"无匹配",0,1)</f>
        <v>85</v>
      </c>
      <c r="C3184" s="3" t="str">
        <f>B3184 &amp; "-" &amp; COUNTIF($B$2:B3184, B3184)</f>
        <v>85-7</v>
      </c>
      <c r="D3184" s="10">
        <v>22702</v>
      </c>
      <c r="E3184" s="1" t="s">
        <v>7801</v>
      </c>
      <c r="F3184" s="1" t="s">
        <v>7802</v>
      </c>
      <c r="G3184" s="1" t="s">
        <v>1836</v>
      </c>
      <c r="H3184" s="1" t="s">
        <v>1812</v>
      </c>
      <c r="I3184" s="10" t="str">
        <f>IF(H3184="T61",1,IF(H3184="T61",3,IF(H3184="T77",6,IF(H3184="T77",10,IF(H3184="T109",14,IF(H3184="T109",18,IF(H3184="T77",22,"")))))))</f>
        <v/>
      </c>
      <c r="J3184" s="1" t="s">
        <v>1808</v>
      </c>
      <c r="K3184" s="10">
        <v>2</v>
      </c>
      <c r="L3184" s="10">
        <v>1</v>
      </c>
      <c r="O3184" s="6"/>
      <c r="P3184" s="10">
        <v>6</v>
      </c>
      <c r="Q3184" s="42" t="s">
        <v>6870</v>
      </c>
      <c r="R3184" s="42"/>
      <c r="S3184" s="1"/>
    </row>
    <row r="3185" spans="1:19" ht="18.75" hidden="1" customHeight="1" x14ac:dyDescent="0.3">
      <c r="A3185" s="10">
        <v>3184</v>
      </c>
      <c r="B3185" s="10">
        <f>_xlfn.XLOOKUP(1,(VALUE(D3185)&gt;=VALUE(block!$C$3:$C$500))*(VALUE(D3185)&lt;VALUE(block!$C$3:$C$500)+VALUE(block!$D$3:$D$500)),block!$A$3:$A$500,"无匹配",0,1)</f>
        <v>85</v>
      </c>
      <c r="C3185" s="3" t="str">
        <f>B3185 &amp; "-" &amp; COUNTIF($B$2:B3185, B3185)</f>
        <v>85-8</v>
      </c>
      <c r="D3185" s="10">
        <v>22704</v>
      </c>
      <c r="E3185" s="1" t="s">
        <v>7803</v>
      </c>
      <c r="F3185" s="1" t="s">
        <v>7804</v>
      </c>
      <c r="H3185" s="3" t="s">
        <v>6767</v>
      </c>
      <c r="I3185" s="10" t="str">
        <f>IF(H3185="T62",1,IF(H3185="T62",3,IF(H3185="T78",6,IF(H3185="T78",10,IF(H3185="T110",14,IF(H3185="T110",18,IF(H3185="T78",22,"")))))))</f>
        <v/>
      </c>
      <c r="J3185" s="1" t="s">
        <v>1808</v>
      </c>
      <c r="K3185" s="10">
        <v>4</v>
      </c>
      <c r="L3185" s="10">
        <v>1</v>
      </c>
      <c r="O3185" s="6"/>
      <c r="Q3185" s="42" t="s">
        <v>6870</v>
      </c>
      <c r="R3185" s="42"/>
      <c r="S3185" s="1"/>
    </row>
    <row r="3186" spans="1:19" ht="18.75" hidden="1" customHeight="1" x14ac:dyDescent="0.3">
      <c r="A3186" s="10">
        <v>3185</v>
      </c>
      <c r="B3186" s="10">
        <f>_xlfn.XLOOKUP(1,(VALUE(D3186)&gt;=VALUE(block!$C$3:$C$500))*(VALUE(D3186)&lt;VALUE(block!$C$3:$C$500)+VALUE(block!$D$3:$D$500)),block!$A$3:$A$500,"无匹配",0,1)</f>
        <v>85</v>
      </c>
      <c r="C3186" s="3" t="str">
        <f>B3186 &amp; "-" &amp; COUNTIF($B$2:B3186, B3186)</f>
        <v>85-9</v>
      </c>
      <c r="D3186" s="10">
        <v>22708</v>
      </c>
      <c r="E3186" s="1" t="s">
        <v>7805</v>
      </c>
      <c r="F3186" s="1" t="s">
        <v>7806</v>
      </c>
      <c r="G3186" s="1" t="s">
        <v>1840</v>
      </c>
      <c r="H3186" s="1" t="s">
        <v>1812</v>
      </c>
      <c r="I3186" s="10" t="str">
        <f>IF(H3186="T63",1,IF(H3186="T63",3,IF(H3186="T79",6,IF(H3186="T79",10,IF(H3186="T111",14,IF(H3186="T111",18,IF(H3186="T79",22,"")))))))</f>
        <v/>
      </c>
      <c r="J3186" s="1" t="s">
        <v>1808</v>
      </c>
      <c r="K3186" s="10">
        <v>2</v>
      </c>
      <c r="L3186" s="10">
        <v>1</v>
      </c>
      <c r="O3186" s="6"/>
      <c r="P3186" s="10">
        <v>6</v>
      </c>
      <c r="Q3186" s="42" t="s">
        <v>6870</v>
      </c>
      <c r="R3186" s="42"/>
      <c r="S3186" s="1"/>
    </row>
    <row r="3187" spans="1:19" ht="18.75" hidden="1" customHeight="1" x14ac:dyDescent="0.3">
      <c r="A3187" s="10">
        <v>3186</v>
      </c>
      <c r="B3187" s="10">
        <f>_xlfn.XLOOKUP(1,(VALUE(D3187)&gt;=VALUE(block!$C$3:$C$500))*(VALUE(D3187)&lt;VALUE(block!$C$3:$C$500)+VALUE(block!$D$3:$D$500)),block!$A$3:$A$500,"无匹配",0,1)</f>
        <v>85</v>
      </c>
      <c r="C3187" s="3" t="str">
        <f>B3187 &amp; "-" &amp; COUNTIF($B$2:B3187, B3187)</f>
        <v>85-10</v>
      </c>
      <c r="D3187" s="10">
        <v>22710</v>
      </c>
      <c r="E3187" s="1" t="s">
        <v>7807</v>
      </c>
      <c r="F3187" s="1" t="s">
        <v>7808</v>
      </c>
      <c r="H3187" s="3" t="s">
        <v>6767</v>
      </c>
      <c r="I3187" s="10" t="str">
        <f>IF(H3187="T64",1,IF(H3187="T64",3,IF(H3187="T80",6,IF(H3187="T80",10,IF(H3187="T112",14,IF(H3187="T112",18,IF(H3187="T80",22,"")))))))</f>
        <v/>
      </c>
      <c r="J3187" s="1" t="s">
        <v>1808</v>
      </c>
      <c r="K3187" s="10">
        <v>4</v>
      </c>
      <c r="L3187" s="10">
        <v>1</v>
      </c>
      <c r="O3187" s="6"/>
      <c r="Q3187" s="42" t="s">
        <v>6870</v>
      </c>
      <c r="R3187" s="42"/>
      <c r="S3187" s="1"/>
    </row>
    <row r="3188" spans="1:19" ht="18.75" hidden="1" customHeight="1" x14ac:dyDescent="0.3">
      <c r="A3188" s="10">
        <v>3187</v>
      </c>
      <c r="B3188" s="10">
        <f>_xlfn.XLOOKUP(1,(VALUE(D3188)&gt;=VALUE(block!$C$3:$C$500))*(VALUE(D3188)&lt;VALUE(block!$C$3:$C$500)+VALUE(block!$D$3:$D$500)),block!$A$3:$A$500,"无匹配",0,1)</f>
        <v>85</v>
      </c>
      <c r="C3188" s="3" t="str">
        <f>B3188 &amp; "-" &amp; COUNTIF($B$2:B3188, B3188)</f>
        <v>85-11</v>
      </c>
      <c r="D3188" s="10">
        <v>22714</v>
      </c>
      <c r="E3188" s="1" t="s">
        <v>7809</v>
      </c>
      <c r="F3188" s="1" t="s">
        <v>7810</v>
      </c>
      <c r="G3188" s="1" t="s">
        <v>1840</v>
      </c>
      <c r="H3188" s="1" t="s">
        <v>1812</v>
      </c>
      <c r="I3188" s="10" t="str">
        <f>IF(H3188="T65",1,IF(H3188="T65",3,IF(H3188="T81",6,IF(H3188="T81",10,IF(H3188="T113",14,IF(H3188="T113",18,IF(H3188="T81",22,"")))))))</f>
        <v/>
      </c>
      <c r="J3188" s="1" t="s">
        <v>1808</v>
      </c>
      <c r="K3188" s="10">
        <v>2</v>
      </c>
      <c r="L3188" s="10">
        <v>1</v>
      </c>
      <c r="O3188" s="6"/>
      <c r="P3188" s="10">
        <v>6</v>
      </c>
      <c r="Q3188" s="42" t="s">
        <v>6870</v>
      </c>
      <c r="R3188" s="42"/>
      <c r="S3188" s="1"/>
    </row>
    <row r="3189" spans="1:19" ht="18.75" hidden="1" customHeight="1" x14ac:dyDescent="0.3">
      <c r="A3189" s="10">
        <v>3188</v>
      </c>
      <c r="B3189" s="10">
        <f>_xlfn.XLOOKUP(1,(VALUE(D3189)&gt;=VALUE(block!$C$3:$C$500))*(VALUE(D3189)&lt;VALUE(block!$C$3:$C$500)+VALUE(block!$D$3:$D$500)),block!$A$3:$A$500,"无匹配",0,1)</f>
        <v>85</v>
      </c>
      <c r="C3189" s="3" t="str">
        <f>B3189 &amp; "-" &amp; COUNTIF($B$2:B3189, B3189)</f>
        <v>85-12</v>
      </c>
      <c r="D3189" s="10">
        <v>22716</v>
      </c>
      <c r="E3189" s="1" t="s">
        <v>7811</v>
      </c>
      <c r="F3189" s="1" t="s">
        <v>7812</v>
      </c>
      <c r="H3189" s="3" t="s">
        <v>6767</v>
      </c>
      <c r="I3189" s="10" t="str">
        <f>IF(H3189="T66",1,IF(H3189="T66",3,IF(H3189="T82",6,IF(H3189="T82",10,IF(H3189="T114",14,IF(H3189="T114",18,IF(H3189="T82",22,"")))))))</f>
        <v/>
      </c>
      <c r="J3189" s="1" t="s">
        <v>1808</v>
      </c>
      <c r="K3189" s="10">
        <v>4</v>
      </c>
      <c r="L3189" s="10">
        <v>1</v>
      </c>
      <c r="O3189" s="6"/>
      <c r="Q3189" s="42" t="s">
        <v>6870</v>
      </c>
      <c r="R3189" s="42"/>
      <c r="S3189" s="1"/>
    </row>
    <row r="3190" spans="1:19" ht="18.75" hidden="1" customHeight="1" x14ac:dyDescent="0.3">
      <c r="A3190" s="10">
        <v>3189</v>
      </c>
      <c r="B3190" s="10">
        <f>_xlfn.XLOOKUP(1,(VALUE(D3190)&gt;=VALUE(block!$C$3:$C$500))*(VALUE(D3190)&lt;VALUE(block!$C$3:$C$500)+VALUE(block!$D$3:$D$500)),block!$A$3:$A$500,"无匹配",0,1)</f>
        <v>85</v>
      </c>
      <c r="C3190" s="3" t="str">
        <f>B3190 &amp; "-" &amp; COUNTIF($B$2:B3190, B3190)</f>
        <v>85-13</v>
      </c>
      <c r="D3190" s="10">
        <v>22720</v>
      </c>
      <c r="E3190" s="1" t="s">
        <v>7813</v>
      </c>
      <c r="F3190" s="1" t="s">
        <v>7814</v>
      </c>
      <c r="G3190" s="1" t="s">
        <v>1830</v>
      </c>
      <c r="H3190" s="1" t="s">
        <v>1812</v>
      </c>
      <c r="I3190" s="10" t="str">
        <f>IF(H3190="T67",1,IF(H3190="T67",3,IF(H3190="T83",6,IF(H3190="T83",10,IF(H3190="T115",14,IF(H3190="T115",18,IF(H3190="T83",22,"")))))))</f>
        <v/>
      </c>
      <c r="J3190" s="1" t="s">
        <v>1808</v>
      </c>
      <c r="K3190" s="10">
        <v>2</v>
      </c>
      <c r="L3190" s="10">
        <v>1</v>
      </c>
      <c r="O3190" s="6"/>
      <c r="P3190" s="10">
        <v>6</v>
      </c>
      <c r="Q3190" s="42" t="s">
        <v>6870</v>
      </c>
      <c r="R3190" s="42"/>
      <c r="S3190" s="1"/>
    </row>
    <row r="3191" spans="1:19" ht="18.75" hidden="1" customHeight="1" x14ac:dyDescent="0.3">
      <c r="A3191" s="10">
        <v>3190</v>
      </c>
      <c r="B3191" s="10">
        <f>_xlfn.XLOOKUP(1,(VALUE(D3191)&gt;=VALUE(block!$C$3:$C$500))*(VALUE(D3191)&lt;VALUE(block!$C$3:$C$500)+VALUE(block!$D$3:$D$500)),block!$A$3:$A$500,"无匹配",0,1)</f>
        <v>85</v>
      </c>
      <c r="C3191" s="3" t="str">
        <f>B3191 &amp; "-" &amp; COUNTIF($B$2:B3191, B3191)</f>
        <v>85-14</v>
      </c>
      <c r="D3191" s="10">
        <v>22722</v>
      </c>
      <c r="E3191" s="1" t="s">
        <v>7815</v>
      </c>
      <c r="F3191" s="1" t="s">
        <v>7816</v>
      </c>
      <c r="H3191" s="3" t="s">
        <v>6767</v>
      </c>
      <c r="I3191" s="10" t="str">
        <f>IF(H3191="T68",1,IF(H3191="T68",3,IF(H3191="T84",6,IF(H3191="T84",10,IF(H3191="T116",14,IF(H3191="T116",18,IF(H3191="T84",22,"")))))))</f>
        <v/>
      </c>
      <c r="J3191" s="1" t="s">
        <v>1808</v>
      </c>
      <c r="K3191" s="10">
        <v>4</v>
      </c>
      <c r="L3191" s="10">
        <v>1</v>
      </c>
      <c r="O3191" s="6"/>
      <c r="Q3191" s="42" t="s">
        <v>6870</v>
      </c>
      <c r="R3191" s="42"/>
      <c r="S3191" s="1"/>
    </row>
    <row r="3192" spans="1:19" ht="18.75" hidden="1" customHeight="1" x14ac:dyDescent="0.3">
      <c r="A3192" s="10">
        <v>3191</v>
      </c>
      <c r="B3192" s="10">
        <f>_xlfn.XLOOKUP(1,(VALUE(D3192)&gt;=VALUE(block!$C$3:$C$500))*(VALUE(D3192)&lt;VALUE(block!$C$3:$C$500)+VALUE(block!$D$3:$D$500)),block!$A$3:$A$500,"无匹配",0,1)</f>
        <v>85</v>
      </c>
      <c r="C3192" s="3" t="str">
        <f>B3192 &amp; "-" &amp; COUNTIF($B$2:B3192, B3192)</f>
        <v>85-15</v>
      </c>
      <c r="D3192" s="10">
        <v>22726</v>
      </c>
      <c r="E3192" s="1" t="s">
        <v>7817</v>
      </c>
      <c r="F3192" s="1" t="s">
        <v>7818</v>
      </c>
      <c r="G3192" s="1" t="s">
        <v>1832</v>
      </c>
      <c r="H3192" s="1" t="s">
        <v>1812</v>
      </c>
      <c r="I3192" s="10" t="str">
        <f>IF(H3192="T69",1,IF(H3192="T69",3,IF(H3192="T85",6,IF(H3192="T85",10,IF(H3192="T117",14,IF(H3192="T117",18,IF(H3192="T85",22,"")))))))</f>
        <v/>
      </c>
      <c r="J3192" s="1" t="s">
        <v>1808</v>
      </c>
      <c r="K3192" s="10">
        <v>2</v>
      </c>
      <c r="L3192" s="10">
        <v>1</v>
      </c>
      <c r="O3192" s="6"/>
      <c r="P3192" s="10">
        <v>6</v>
      </c>
      <c r="Q3192" s="42" t="s">
        <v>6870</v>
      </c>
      <c r="R3192" s="42"/>
      <c r="S3192" s="1"/>
    </row>
    <row r="3193" spans="1:19" ht="18.75" hidden="1" customHeight="1" x14ac:dyDescent="0.3">
      <c r="A3193" s="10">
        <v>3192</v>
      </c>
      <c r="B3193" s="10">
        <f>_xlfn.XLOOKUP(1,(VALUE(D3193)&gt;=VALUE(block!$C$3:$C$500))*(VALUE(D3193)&lt;VALUE(block!$C$3:$C$500)+VALUE(block!$D$3:$D$500)),block!$A$3:$A$500,"无匹配",0,1)</f>
        <v>85</v>
      </c>
      <c r="C3193" s="3" t="str">
        <f>B3193 &amp; "-" &amp; COUNTIF($B$2:B3193, B3193)</f>
        <v>85-16</v>
      </c>
      <c r="D3193" s="10">
        <v>22728</v>
      </c>
      <c r="E3193" s="1" t="s">
        <v>7819</v>
      </c>
      <c r="F3193" s="1" t="s">
        <v>7820</v>
      </c>
      <c r="H3193" s="3" t="s">
        <v>6767</v>
      </c>
      <c r="I3193" s="10" t="str">
        <f>IF(H3193="T70",1,IF(H3193="T70",3,IF(H3193="T86",6,IF(H3193="T86",10,IF(H3193="T118",14,IF(H3193="T118",18,IF(H3193="T86",22,"")))))))</f>
        <v/>
      </c>
      <c r="J3193" s="1" t="s">
        <v>1808</v>
      </c>
      <c r="K3193" s="10">
        <v>4</v>
      </c>
      <c r="L3193" s="10">
        <v>1</v>
      </c>
      <c r="O3193" s="6"/>
      <c r="Q3193" s="42" t="s">
        <v>6870</v>
      </c>
      <c r="R3193" s="42"/>
      <c r="S3193" s="1"/>
    </row>
    <row r="3194" spans="1:19" ht="18.75" hidden="1" customHeight="1" x14ac:dyDescent="0.3">
      <c r="A3194" s="10">
        <v>3193</v>
      </c>
      <c r="B3194" s="10">
        <f>_xlfn.XLOOKUP(1,(VALUE(D3194)&gt;=VALUE(block!$C$3:$C$500))*(VALUE(D3194)&lt;VALUE(block!$C$3:$C$500)+VALUE(block!$D$3:$D$500)),block!$A$3:$A$500,"无匹配",0,1)</f>
        <v>85</v>
      </c>
      <c r="C3194" s="3" t="str">
        <f>B3194 &amp; "-" &amp; COUNTIF($B$2:B3194, B3194)</f>
        <v>85-17</v>
      </c>
      <c r="D3194" s="10">
        <v>22732</v>
      </c>
      <c r="E3194" s="1" t="s">
        <v>7821</v>
      </c>
      <c r="F3194" s="1" t="s">
        <v>7822</v>
      </c>
      <c r="G3194" s="1" t="s">
        <v>1834</v>
      </c>
      <c r="H3194" s="1" t="s">
        <v>1812</v>
      </c>
      <c r="I3194" s="10" t="str">
        <f>IF(H3194="T71",1,IF(H3194="T71",3,IF(H3194="T87",6,IF(H3194="T87",10,IF(H3194="T119",14,IF(H3194="T119",18,IF(H3194="T87",22,"")))))))</f>
        <v/>
      </c>
      <c r="J3194" s="1" t="s">
        <v>1808</v>
      </c>
      <c r="K3194" s="10">
        <v>2</v>
      </c>
      <c r="L3194" s="10">
        <v>1</v>
      </c>
      <c r="O3194" s="6"/>
      <c r="P3194" s="10">
        <v>6</v>
      </c>
      <c r="Q3194" s="42" t="s">
        <v>6870</v>
      </c>
      <c r="R3194" s="42"/>
      <c r="S3194" s="1"/>
    </row>
    <row r="3195" spans="1:19" ht="18.75" hidden="1" customHeight="1" x14ac:dyDescent="0.3">
      <c r="A3195" s="10">
        <v>3194</v>
      </c>
      <c r="B3195" s="10">
        <f>_xlfn.XLOOKUP(1,(VALUE(D3195)&gt;=VALUE(block!$C$3:$C$500))*(VALUE(D3195)&lt;VALUE(block!$C$3:$C$500)+VALUE(block!$D$3:$D$500)),block!$A$3:$A$500,"无匹配",0,1)</f>
        <v>85</v>
      </c>
      <c r="C3195" s="3" t="str">
        <f>B3195 &amp; "-" &amp; COUNTIF($B$2:B3195, B3195)</f>
        <v>85-18</v>
      </c>
      <c r="D3195" s="10">
        <v>22734</v>
      </c>
      <c r="E3195" s="1" t="s">
        <v>7823</v>
      </c>
      <c r="F3195" s="1" t="s">
        <v>7824</v>
      </c>
      <c r="H3195" s="3" t="s">
        <v>6767</v>
      </c>
      <c r="I3195" s="10" t="str">
        <f>IF(H3195="T72",1,IF(H3195="T72",3,IF(H3195="T88",6,IF(H3195="T88",10,IF(H3195="T120",14,IF(H3195="T120",18,IF(H3195="T88",22,"")))))))</f>
        <v/>
      </c>
      <c r="J3195" s="1" t="s">
        <v>1808</v>
      </c>
      <c r="K3195" s="10">
        <v>4</v>
      </c>
      <c r="L3195" s="10">
        <v>1</v>
      </c>
      <c r="O3195" s="6"/>
      <c r="Q3195" s="42" t="s">
        <v>6870</v>
      </c>
      <c r="R3195" s="42"/>
      <c r="S3195" s="1"/>
    </row>
    <row r="3196" spans="1:19" ht="18.75" hidden="1" customHeight="1" x14ac:dyDescent="0.3">
      <c r="A3196" s="10">
        <v>3195</v>
      </c>
      <c r="B3196" s="10">
        <f>_xlfn.XLOOKUP(1,(VALUE(D3196)&gt;=VALUE(block!$C$3:$C$500))*(VALUE(D3196)&lt;VALUE(block!$C$3:$C$500)+VALUE(block!$D$3:$D$500)),block!$A$3:$A$500,"无匹配",0,1)</f>
        <v>85</v>
      </c>
      <c r="C3196" s="3" t="str">
        <f>B3196 &amp; "-" &amp; COUNTIF($B$2:B3196, B3196)</f>
        <v>85-19</v>
      </c>
      <c r="D3196" s="10">
        <v>22738</v>
      </c>
      <c r="E3196" s="1" t="s">
        <v>7825</v>
      </c>
      <c r="F3196" s="1" t="s">
        <v>7826</v>
      </c>
      <c r="G3196" s="1" t="s">
        <v>1836</v>
      </c>
      <c r="H3196" s="1" t="s">
        <v>1812</v>
      </c>
      <c r="I3196" s="10" t="str">
        <f>IF(H3196="T73",1,IF(H3196="T73",3,IF(H3196="T89",6,IF(H3196="T89",10,IF(H3196="T121",14,IF(H3196="T121",18,IF(H3196="T89",22,"")))))))</f>
        <v/>
      </c>
      <c r="J3196" s="1" t="s">
        <v>1808</v>
      </c>
      <c r="K3196" s="10">
        <v>2</v>
      </c>
      <c r="L3196" s="10">
        <v>1</v>
      </c>
      <c r="O3196" s="6"/>
      <c r="P3196" s="10">
        <v>6</v>
      </c>
      <c r="Q3196" s="42" t="s">
        <v>6870</v>
      </c>
      <c r="R3196" s="42"/>
      <c r="S3196" s="1"/>
    </row>
    <row r="3197" spans="1:19" ht="18.75" hidden="1" customHeight="1" x14ac:dyDescent="0.3">
      <c r="A3197" s="10">
        <v>3196</v>
      </c>
      <c r="B3197" s="10">
        <f>_xlfn.XLOOKUP(1,(VALUE(D3197)&gt;=VALUE(block!$C$3:$C$500))*(VALUE(D3197)&lt;VALUE(block!$C$3:$C$500)+VALUE(block!$D$3:$D$500)),block!$A$3:$A$500,"无匹配",0,1)</f>
        <v>85</v>
      </c>
      <c r="C3197" s="3" t="str">
        <f>B3197 &amp; "-" &amp; COUNTIF($B$2:B3197, B3197)</f>
        <v>85-20</v>
      </c>
      <c r="D3197" s="10">
        <v>22740</v>
      </c>
      <c r="E3197" s="1" t="s">
        <v>7827</v>
      </c>
      <c r="F3197" s="1" t="s">
        <v>7828</v>
      </c>
      <c r="H3197" s="3" t="s">
        <v>6767</v>
      </c>
      <c r="I3197" s="10" t="str">
        <f>IF(H3197="T74",1,IF(H3197="T74",3,IF(H3197="T90",6,IF(H3197="T90",10,IF(H3197="T122",14,IF(H3197="T122",18,IF(H3197="T90",22,"")))))))</f>
        <v/>
      </c>
      <c r="J3197" s="1" t="s">
        <v>1808</v>
      </c>
      <c r="K3197" s="10">
        <v>4</v>
      </c>
      <c r="L3197" s="10">
        <v>1</v>
      </c>
      <c r="O3197" s="6"/>
      <c r="Q3197" s="42" t="s">
        <v>6870</v>
      </c>
      <c r="R3197" s="42"/>
      <c r="S3197" s="1"/>
    </row>
    <row r="3198" spans="1:19" ht="18.75" hidden="1" customHeight="1" x14ac:dyDescent="0.3">
      <c r="A3198" s="10">
        <v>3197</v>
      </c>
      <c r="B3198" s="10">
        <f>_xlfn.XLOOKUP(1,(VALUE(D3198)&gt;=VALUE(block!$C$3:$C$500))*(VALUE(D3198)&lt;VALUE(block!$C$3:$C$500)+VALUE(block!$D$3:$D$500)),block!$A$3:$A$500,"无匹配",0,1)</f>
        <v>85</v>
      </c>
      <c r="C3198" s="3" t="str">
        <f>B3198 &amp; "-" &amp; COUNTIF($B$2:B3198, B3198)</f>
        <v>85-21</v>
      </c>
      <c r="D3198" s="10">
        <v>22744</v>
      </c>
      <c r="E3198" s="1" t="s">
        <v>7829</v>
      </c>
      <c r="F3198" s="1" t="s">
        <v>7830</v>
      </c>
      <c r="G3198" s="1" t="s">
        <v>1840</v>
      </c>
      <c r="H3198" s="1" t="s">
        <v>1812</v>
      </c>
      <c r="I3198" s="10" t="str">
        <f>IF(H3198="T75",1,IF(H3198="T75",3,IF(H3198="T91",6,IF(H3198="T91",10,IF(H3198="T123",14,IF(H3198="T123",18,IF(H3198="T91",22,"")))))))</f>
        <v/>
      </c>
      <c r="J3198" s="1" t="s">
        <v>1808</v>
      </c>
      <c r="K3198" s="10">
        <v>2</v>
      </c>
      <c r="L3198" s="10">
        <v>1</v>
      </c>
      <c r="O3198" s="6"/>
      <c r="P3198" s="10">
        <v>6</v>
      </c>
      <c r="Q3198" s="42" t="s">
        <v>6870</v>
      </c>
      <c r="R3198" s="42"/>
      <c r="S3198" s="1"/>
    </row>
    <row r="3199" spans="1:19" ht="18.75" hidden="1" customHeight="1" x14ac:dyDescent="0.3">
      <c r="A3199" s="10">
        <v>3198</v>
      </c>
      <c r="B3199" s="10">
        <f>_xlfn.XLOOKUP(1,(VALUE(D3199)&gt;=VALUE(block!$C$3:$C$500))*(VALUE(D3199)&lt;VALUE(block!$C$3:$C$500)+VALUE(block!$D$3:$D$500)),block!$A$3:$A$500,"无匹配",0,1)</f>
        <v>85</v>
      </c>
      <c r="C3199" s="3" t="str">
        <f>B3199 &amp; "-" &amp; COUNTIF($B$2:B3199, B3199)</f>
        <v>85-22</v>
      </c>
      <c r="D3199" s="10">
        <v>22746</v>
      </c>
      <c r="E3199" s="1" t="s">
        <v>7831</v>
      </c>
      <c r="F3199" s="1" t="s">
        <v>7832</v>
      </c>
      <c r="H3199" s="3" t="s">
        <v>6767</v>
      </c>
      <c r="I3199" s="10" t="str">
        <f>IF(H3199="T76",1,IF(H3199="T76",3,IF(H3199="T92",6,IF(H3199="T92",10,IF(H3199="T124",14,IF(H3199="T124",18,IF(H3199="T92",22,"")))))))</f>
        <v/>
      </c>
      <c r="J3199" s="1" t="s">
        <v>1808</v>
      </c>
      <c r="K3199" s="10">
        <v>4</v>
      </c>
      <c r="L3199" s="10">
        <v>1</v>
      </c>
      <c r="O3199" s="6"/>
      <c r="Q3199" s="42" t="s">
        <v>6870</v>
      </c>
      <c r="R3199" s="42"/>
      <c r="S3199" s="1"/>
    </row>
    <row r="3200" spans="1:19" ht="18.75" hidden="1" customHeight="1" x14ac:dyDescent="0.3">
      <c r="A3200" s="10">
        <v>3199</v>
      </c>
      <c r="B3200" s="10">
        <f>_xlfn.XLOOKUP(1,(VALUE(D3200)&gt;=VALUE(block!$C$3:$C$500))*(VALUE(D3200)&lt;VALUE(block!$C$3:$C$500)+VALUE(block!$D$3:$D$500)),block!$A$3:$A$500,"无匹配",0,1)</f>
        <v>85</v>
      </c>
      <c r="C3200" s="3" t="str">
        <f>B3200 &amp; "-" &amp; COUNTIF($B$2:B3200, B3200)</f>
        <v>85-23</v>
      </c>
      <c r="D3200" s="10">
        <v>22750</v>
      </c>
      <c r="E3200" s="1" t="s">
        <v>7833</v>
      </c>
      <c r="F3200" s="1" t="s">
        <v>7834</v>
      </c>
      <c r="G3200" s="1" t="s">
        <v>1840</v>
      </c>
      <c r="H3200" s="1" t="s">
        <v>1812</v>
      </c>
      <c r="I3200" s="10" t="str">
        <f>IF(H3200="T77",1,IF(H3200="T77",3,IF(H3200="T93",6,IF(H3200="T93",10,IF(H3200="T125",14,IF(H3200="T125",18,IF(H3200="T93",22,"")))))))</f>
        <v/>
      </c>
      <c r="J3200" s="1" t="s">
        <v>1808</v>
      </c>
      <c r="K3200" s="10">
        <v>2</v>
      </c>
      <c r="L3200" s="10">
        <v>1</v>
      </c>
      <c r="O3200" s="6"/>
      <c r="P3200" s="10">
        <v>6</v>
      </c>
      <c r="Q3200" s="42" t="s">
        <v>6870</v>
      </c>
      <c r="R3200" s="42"/>
      <c r="S3200" s="1"/>
    </row>
    <row r="3201" spans="1:19" ht="18.75" hidden="1" customHeight="1" x14ac:dyDescent="0.3">
      <c r="A3201" s="10">
        <v>3200</v>
      </c>
      <c r="B3201" s="10">
        <f>_xlfn.XLOOKUP(1,(VALUE(D3201)&gt;=VALUE(block!$C$3:$C$500))*(VALUE(D3201)&lt;VALUE(block!$C$3:$C$500)+VALUE(block!$D$3:$D$500)),block!$A$3:$A$500,"无匹配",0,1)</f>
        <v>85</v>
      </c>
      <c r="C3201" s="3" t="str">
        <f>B3201 &amp; "-" &amp; COUNTIF($B$2:B3201, B3201)</f>
        <v>85-24</v>
      </c>
      <c r="D3201" s="10">
        <v>22752</v>
      </c>
      <c r="E3201" s="1" t="s">
        <v>7835</v>
      </c>
      <c r="F3201" s="1" t="s">
        <v>7836</v>
      </c>
      <c r="H3201" s="3" t="s">
        <v>6767</v>
      </c>
      <c r="I3201" s="10" t="str">
        <f>IF(H3201="T78",1,IF(H3201="T78",3,IF(H3201="T94",6,IF(H3201="T94",10,IF(H3201="T126",14,IF(H3201="T126",18,IF(H3201="T94",22,"")))))))</f>
        <v/>
      </c>
      <c r="J3201" s="1" t="s">
        <v>1808</v>
      </c>
      <c r="K3201" s="10">
        <v>4</v>
      </c>
      <c r="L3201" s="10">
        <v>1</v>
      </c>
      <c r="O3201" s="6"/>
      <c r="Q3201" s="42" t="s">
        <v>6870</v>
      </c>
      <c r="R3201" s="42"/>
      <c r="S3201" s="1"/>
    </row>
    <row r="3202" spans="1:19" ht="18.75" hidden="1" customHeight="1" x14ac:dyDescent="0.3">
      <c r="A3202" s="10">
        <v>3201</v>
      </c>
      <c r="B3202" s="10">
        <f>_xlfn.XLOOKUP(1,(VALUE(D3202)&gt;=VALUE(block!$C$3:$C$500))*(VALUE(D3202)&lt;VALUE(block!$C$3:$C$500)+VALUE(block!$D$3:$D$500)),block!$A$3:$A$500,"无匹配",0,1)</f>
        <v>85</v>
      </c>
      <c r="C3202" s="3" t="str">
        <f>B3202 &amp; "-" &amp; COUNTIF($B$2:B3202, B3202)</f>
        <v>85-25</v>
      </c>
      <c r="D3202" s="10">
        <v>22756</v>
      </c>
      <c r="E3202" s="1" t="s">
        <v>7837</v>
      </c>
      <c r="F3202" s="1" t="s">
        <v>7838</v>
      </c>
      <c r="G3202" s="1" t="s">
        <v>1830</v>
      </c>
      <c r="H3202" s="1" t="s">
        <v>1812</v>
      </c>
      <c r="I3202" s="10" t="str">
        <f>IF(H3202="T79",1,IF(H3202="T79",3,IF(H3202="T95",6,IF(H3202="T95",10,IF(H3202="T127",14,IF(H3202="T127",18,IF(H3202="T95",22,"")))))))</f>
        <v/>
      </c>
      <c r="J3202" s="1" t="s">
        <v>1808</v>
      </c>
      <c r="K3202" s="10">
        <v>2</v>
      </c>
      <c r="L3202" s="10">
        <v>1</v>
      </c>
      <c r="O3202" s="6"/>
      <c r="P3202" s="10">
        <v>6</v>
      </c>
      <c r="Q3202" s="42" t="s">
        <v>6870</v>
      </c>
      <c r="R3202" s="42"/>
      <c r="S3202" s="1"/>
    </row>
    <row r="3203" spans="1:19" ht="18.75" hidden="1" customHeight="1" x14ac:dyDescent="0.3">
      <c r="A3203" s="10">
        <v>3202</v>
      </c>
      <c r="B3203" s="10">
        <f>_xlfn.XLOOKUP(1,(VALUE(D3203)&gt;=VALUE(block!$C$3:$C$500))*(VALUE(D3203)&lt;VALUE(block!$C$3:$C$500)+VALUE(block!$D$3:$D$500)),block!$A$3:$A$500,"无匹配",0,1)</f>
        <v>85</v>
      </c>
      <c r="C3203" s="3" t="str">
        <f>B3203 &amp; "-" &amp; COUNTIF($B$2:B3203, B3203)</f>
        <v>85-26</v>
      </c>
      <c r="D3203" s="10">
        <v>22758</v>
      </c>
      <c r="E3203" s="1" t="s">
        <v>7839</v>
      </c>
      <c r="F3203" s="1" t="s">
        <v>7840</v>
      </c>
      <c r="H3203" s="3" t="s">
        <v>6767</v>
      </c>
      <c r="I3203" s="10">
        <f>IF(H3203="uint16",1,IF(H3203="int16",3,IF(H3203="uint32",6,IF(H3203="int32",10,IF(H3203="uint64",14,IF(H3203="int64",18,IF(H3203="float32",22,"")))))))</f>
        <v>14</v>
      </c>
      <c r="J3203" s="1" t="s">
        <v>1808</v>
      </c>
      <c r="K3203" s="10">
        <v>4</v>
      </c>
      <c r="L3203" s="10">
        <v>1</v>
      </c>
      <c r="O3203" s="6"/>
      <c r="Q3203" s="42" t="s">
        <v>6870</v>
      </c>
      <c r="R3203" s="42"/>
      <c r="S3203" s="1"/>
    </row>
    <row r="3204" spans="1:19" ht="18.75" hidden="1" customHeight="1" x14ac:dyDescent="0.3">
      <c r="A3204" s="10">
        <v>3203</v>
      </c>
      <c r="B3204" s="10">
        <f>_xlfn.XLOOKUP(1,(VALUE(D3204)&gt;=VALUE(block!$C$3:$C$500))*(VALUE(D3204)&lt;VALUE(block!$C$3:$C$500)+VALUE(block!$D$3:$D$500)),block!$A$3:$A$500,"无匹配",0,1)</f>
        <v>85</v>
      </c>
      <c r="C3204" s="3" t="str">
        <f>B3204 &amp; "-" &amp; COUNTIF($B$2:B3204, B3204)</f>
        <v>85-27</v>
      </c>
      <c r="D3204" s="10">
        <v>22762</v>
      </c>
      <c r="E3204" s="1" t="s">
        <v>7841</v>
      </c>
      <c r="F3204" s="1" t="s">
        <v>7842</v>
      </c>
      <c r="G3204" s="1" t="s">
        <v>1832</v>
      </c>
      <c r="H3204" s="1" t="s">
        <v>1812</v>
      </c>
      <c r="I3204" s="10" t="str">
        <f>IF(H3204="T17",1,IF(H3204="T17",3,IF(H3204="T33",6,IF(H3204="T33",10,IF(H3204="T65",14,IF(H3204="T65",18,IF(H3204="T33",22,"")))))))</f>
        <v/>
      </c>
      <c r="J3204" s="1" t="s">
        <v>1808</v>
      </c>
      <c r="K3204" s="10">
        <v>2</v>
      </c>
      <c r="L3204" s="10">
        <v>1</v>
      </c>
      <c r="O3204" s="6"/>
      <c r="P3204" s="10">
        <v>6</v>
      </c>
      <c r="Q3204" s="42" t="s">
        <v>6870</v>
      </c>
      <c r="R3204" s="42"/>
      <c r="S3204" s="1"/>
    </row>
    <row r="3205" spans="1:19" ht="18.75" hidden="1" customHeight="1" x14ac:dyDescent="0.3">
      <c r="A3205" s="10">
        <v>3204</v>
      </c>
      <c r="B3205" s="10">
        <f>_xlfn.XLOOKUP(1,(VALUE(D3205)&gt;=VALUE(block!$C$3:$C$500))*(VALUE(D3205)&lt;VALUE(block!$C$3:$C$500)+VALUE(block!$D$3:$D$500)),block!$A$3:$A$500,"无匹配",0,1)</f>
        <v>85</v>
      </c>
      <c r="C3205" s="3" t="str">
        <f>B3205 &amp; "-" &amp; COUNTIF($B$2:B3205, B3205)</f>
        <v>85-28</v>
      </c>
      <c r="D3205" s="10">
        <v>22764</v>
      </c>
      <c r="E3205" s="1" t="s">
        <v>7843</v>
      </c>
      <c r="F3205" s="1" t="s">
        <v>7844</v>
      </c>
      <c r="H3205" s="3" t="s">
        <v>6767</v>
      </c>
      <c r="I3205" s="10" t="str">
        <f>IF(H3205="T18",1,IF(H3205="T18",3,IF(H3205="T34",6,IF(H3205="T34",10,IF(H3205="T66",14,IF(H3205="T66",18,IF(H3205="T34",22,"")))))))</f>
        <v/>
      </c>
      <c r="J3205" s="1" t="s">
        <v>1808</v>
      </c>
      <c r="K3205" s="10">
        <v>4</v>
      </c>
      <c r="L3205" s="10">
        <v>1</v>
      </c>
      <c r="O3205" s="6"/>
      <c r="Q3205" s="42" t="s">
        <v>6870</v>
      </c>
      <c r="R3205" s="42"/>
      <c r="S3205" s="1"/>
    </row>
    <row r="3206" spans="1:19" ht="18.75" hidden="1" customHeight="1" x14ac:dyDescent="0.3">
      <c r="A3206" s="10">
        <v>3205</v>
      </c>
      <c r="B3206" s="10">
        <f>_xlfn.XLOOKUP(1,(VALUE(D3206)&gt;=VALUE(block!$C$3:$C$500))*(VALUE(D3206)&lt;VALUE(block!$C$3:$C$500)+VALUE(block!$D$3:$D$500)),block!$A$3:$A$500,"无匹配",0,1)</f>
        <v>85</v>
      </c>
      <c r="C3206" s="3" t="str">
        <f>B3206 &amp; "-" &amp; COUNTIF($B$2:B3206, B3206)</f>
        <v>85-29</v>
      </c>
      <c r="D3206" s="10">
        <v>22768</v>
      </c>
      <c r="E3206" s="1" t="s">
        <v>7845</v>
      </c>
      <c r="F3206" s="1" t="s">
        <v>7846</v>
      </c>
      <c r="G3206" s="1" t="s">
        <v>1834</v>
      </c>
      <c r="H3206" s="1" t="s">
        <v>1812</v>
      </c>
      <c r="I3206" s="10" t="str">
        <f>IF(H3206="T19",1,IF(H3206="T19",3,IF(H3206="T35",6,IF(H3206="T35",10,IF(H3206="T67",14,IF(H3206="T67",18,IF(H3206="T35",22,"")))))))</f>
        <v/>
      </c>
      <c r="J3206" s="1" t="s">
        <v>1808</v>
      </c>
      <c r="K3206" s="10">
        <v>2</v>
      </c>
      <c r="L3206" s="10">
        <v>1</v>
      </c>
      <c r="O3206" s="6"/>
      <c r="P3206" s="10">
        <v>6</v>
      </c>
      <c r="Q3206" s="42" t="s">
        <v>6870</v>
      </c>
      <c r="R3206" s="42"/>
      <c r="S3206" s="1"/>
    </row>
    <row r="3207" spans="1:19" ht="18.75" hidden="1" customHeight="1" x14ac:dyDescent="0.3">
      <c r="A3207" s="10">
        <v>3206</v>
      </c>
      <c r="B3207" s="10">
        <f>_xlfn.XLOOKUP(1,(VALUE(D3207)&gt;=VALUE(block!$C$3:$C$500))*(VALUE(D3207)&lt;VALUE(block!$C$3:$C$500)+VALUE(block!$D$3:$D$500)),block!$A$3:$A$500,"无匹配",0,1)</f>
        <v>85</v>
      </c>
      <c r="C3207" s="3" t="str">
        <f>B3207 &amp; "-" &amp; COUNTIF($B$2:B3207, B3207)</f>
        <v>85-30</v>
      </c>
      <c r="D3207" s="10">
        <v>22770</v>
      </c>
      <c r="E3207" s="1" t="s">
        <v>7847</v>
      </c>
      <c r="F3207" s="1" t="s">
        <v>7848</v>
      </c>
      <c r="H3207" s="3" t="s">
        <v>6767</v>
      </c>
      <c r="I3207" s="10" t="str">
        <f>IF(H3207="T20",1,IF(H3207="T20",3,IF(H3207="T36",6,IF(H3207="T36",10,IF(H3207="T68",14,IF(H3207="T68",18,IF(H3207="T36",22,"")))))))</f>
        <v/>
      </c>
      <c r="J3207" s="1" t="s">
        <v>1808</v>
      </c>
      <c r="K3207" s="10">
        <v>4</v>
      </c>
      <c r="L3207" s="10">
        <v>1</v>
      </c>
      <c r="O3207" s="6"/>
      <c r="Q3207" s="42" t="s">
        <v>6870</v>
      </c>
      <c r="R3207" s="42"/>
      <c r="S3207" s="1"/>
    </row>
    <row r="3208" spans="1:19" ht="18.75" hidden="1" customHeight="1" x14ac:dyDescent="0.3">
      <c r="A3208" s="10">
        <v>3207</v>
      </c>
      <c r="B3208" s="10">
        <f>_xlfn.XLOOKUP(1,(VALUE(D3208)&gt;=VALUE(block!$C$3:$C$500))*(VALUE(D3208)&lt;VALUE(block!$C$3:$C$500)+VALUE(block!$D$3:$D$500)),block!$A$3:$A$500,"无匹配",0,1)</f>
        <v>85</v>
      </c>
      <c r="C3208" s="3" t="str">
        <f>B3208 &amp; "-" &amp; COUNTIF($B$2:B3208, B3208)</f>
        <v>85-31</v>
      </c>
      <c r="D3208" s="10">
        <v>22774</v>
      </c>
      <c r="E3208" s="1" t="s">
        <v>7849</v>
      </c>
      <c r="F3208" s="1" t="s">
        <v>7850</v>
      </c>
      <c r="G3208" s="1" t="s">
        <v>1836</v>
      </c>
      <c r="H3208" s="1" t="s">
        <v>1812</v>
      </c>
      <c r="I3208" s="10" t="str">
        <f>IF(H3208="T21",1,IF(H3208="T21",3,IF(H3208="T37",6,IF(H3208="T37",10,IF(H3208="T69",14,IF(H3208="T69",18,IF(H3208="T37",22,"")))))))</f>
        <v/>
      </c>
      <c r="J3208" s="1" t="s">
        <v>1808</v>
      </c>
      <c r="K3208" s="10">
        <v>2</v>
      </c>
      <c r="L3208" s="10">
        <v>1</v>
      </c>
      <c r="O3208" s="6"/>
      <c r="P3208" s="10">
        <v>6</v>
      </c>
      <c r="Q3208" s="42" t="s">
        <v>6870</v>
      </c>
      <c r="R3208" s="42"/>
      <c r="S3208" s="1"/>
    </row>
    <row r="3209" spans="1:19" ht="18.75" hidden="1" customHeight="1" x14ac:dyDescent="0.3">
      <c r="A3209" s="10">
        <v>3208</v>
      </c>
      <c r="B3209" s="10">
        <f>_xlfn.XLOOKUP(1,(VALUE(D3209)&gt;=VALUE(block!$C$3:$C$500))*(VALUE(D3209)&lt;VALUE(block!$C$3:$C$500)+VALUE(block!$D$3:$D$500)),block!$A$3:$A$500,"无匹配",0,1)</f>
        <v>85</v>
      </c>
      <c r="C3209" s="3" t="str">
        <f>B3209 &amp; "-" &amp; COUNTIF($B$2:B3209, B3209)</f>
        <v>85-32</v>
      </c>
      <c r="D3209" s="10">
        <v>22776</v>
      </c>
      <c r="E3209" s="1" t="s">
        <v>7851</v>
      </c>
      <c r="F3209" s="1" t="s">
        <v>7852</v>
      </c>
      <c r="H3209" s="3" t="s">
        <v>6767</v>
      </c>
      <c r="I3209" s="10" t="str">
        <f>IF(H3209="T22",1,IF(H3209="T22",3,IF(H3209="T38",6,IF(H3209="T38",10,IF(H3209="T70",14,IF(H3209="T70",18,IF(H3209="T38",22,"")))))))</f>
        <v/>
      </c>
      <c r="J3209" s="1" t="s">
        <v>1808</v>
      </c>
      <c r="K3209" s="10">
        <v>4</v>
      </c>
      <c r="L3209" s="10">
        <v>1</v>
      </c>
      <c r="O3209" s="6"/>
      <c r="Q3209" s="42" t="s">
        <v>6870</v>
      </c>
      <c r="R3209" s="42"/>
      <c r="S3209" s="1"/>
    </row>
    <row r="3210" spans="1:19" ht="18.75" hidden="1" customHeight="1" x14ac:dyDescent="0.3">
      <c r="A3210" s="10">
        <v>3209</v>
      </c>
      <c r="B3210" s="10">
        <f>_xlfn.XLOOKUP(1,(VALUE(D3210)&gt;=VALUE(block!$C$3:$C$500))*(VALUE(D3210)&lt;VALUE(block!$C$3:$C$500)+VALUE(block!$D$3:$D$500)),block!$A$3:$A$500,"无匹配",0,1)</f>
        <v>85</v>
      </c>
      <c r="C3210" s="3" t="str">
        <f>B3210 &amp; "-" &amp; COUNTIF($B$2:B3210, B3210)</f>
        <v>85-33</v>
      </c>
      <c r="D3210" s="10">
        <v>22780</v>
      </c>
      <c r="E3210" s="1" t="s">
        <v>7853</v>
      </c>
      <c r="F3210" s="1" t="s">
        <v>7854</v>
      </c>
      <c r="G3210" s="1" t="s">
        <v>1840</v>
      </c>
      <c r="H3210" s="1" t="s">
        <v>1812</v>
      </c>
      <c r="I3210" s="10" t="str">
        <f>IF(H3210="T23",1,IF(H3210="T23",3,IF(H3210="T39",6,IF(H3210="T39",10,IF(H3210="T71",14,IF(H3210="T71",18,IF(H3210="T39",22,"")))))))</f>
        <v/>
      </c>
      <c r="J3210" s="1" t="s">
        <v>1808</v>
      </c>
      <c r="K3210" s="10">
        <v>2</v>
      </c>
      <c r="L3210" s="10">
        <v>1</v>
      </c>
      <c r="O3210" s="6"/>
      <c r="P3210" s="10">
        <v>6</v>
      </c>
      <c r="Q3210" s="42" t="s">
        <v>6870</v>
      </c>
      <c r="R3210" s="42"/>
      <c r="S3210" s="1"/>
    </row>
    <row r="3211" spans="1:19" ht="18.75" hidden="1" customHeight="1" x14ac:dyDescent="0.3">
      <c r="A3211" s="10">
        <v>3210</v>
      </c>
      <c r="B3211" s="10">
        <f>_xlfn.XLOOKUP(1,(VALUE(D3211)&gt;=VALUE(block!$C$3:$C$500))*(VALUE(D3211)&lt;VALUE(block!$C$3:$C$500)+VALUE(block!$D$3:$D$500)),block!$A$3:$A$500,"无匹配",0,1)</f>
        <v>85</v>
      </c>
      <c r="C3211" s="3" t="str">
        <f>B3211 &amp; "-" &amp; COUNTIF($B$2:B3211, B3211)</f>
        <v>85-34</v>
      </c>
      <c r="D3211" s="10">
        <v>22782</v>
      </c>
      <c r="E3211" s="1" t="s">
        <v>7855</v>
      </c>
      <c r="F3211" s="1" t="s">
        <v>7856</v>
      </c>
      <c r="H3211" s="3" t="s">
        <v>6767</v>
      </c>
      <c r="I3211" s="10" t="str">
        <f>IF(H3211="T24",1,IF(H3211="T24",3,IF(H3211="T40",6,IF(H3211="T40",10,IF(H3211="T72",14,IF(H3211="T72",18,IF(H3211="T40",22,"")))))))</f>
        <v/>
      </c>
      <c r="J3211" s="1" t="s">
        <v>1808</v>
      </c>
      <c r="K3211" s="10">
        <v>4</v>
      </c>
      <c r="L3211" s="10">
        <v>1</v>
      </c>
      <c r="O3211" s="6"/>
      <c r="Q3211" s="42" t="s">
        <v>6870</v>
      </c>
      <c r="R3211" s="42"/>
      <c r="S3211" s="1"/>
    </row>
    <row r="3212" spans="1:19" ht="18.75" hidden="1" customHeight="1" x14ac:dyDescent="0.3">
      <c r="A3212" s="10">
        <v>3211</v>
      </c>
      <c r="B3212" s="10">
        <f>_xlfn.XLOOKUP(1,(VALUE(D3212)&gt;=VALUE(block!$C$3:$C$500))*(VALUE(D3212)&lt;VALUE(block!$C$3:$C$500)+VALUE(block!$D$3:$D$500)),block!$A$3:$A$500,"无匹配",0,1)</f>
        <v>85</v>
      </c>
      <c r="C3212" s="3" t="str">
        <f>B3212 &amp; "-" &amp; COUNTIF($B$2:B3212, B3212)</f>
        <v>85-35</v>
      </c>
      <c r="D3212" s="10">
        <v>22786</v>
      </c>
      <c r="E3212" s="1" t="s">
        <v>7857</v>
      </c>
      <c r="F3212" s="1" t="s">
        <v>7858</v>
      </c>
      <c r="G3212" s="1" t="s">
        <v>1840</v>
      </c>
      <c r="H3212" s="1" t="s">
        <v>1812</v>
      </c>
      <c r="I3212" s="10" t="str">
        <f>IF(H3212="T25",1,IF(H3212="T25",3,IF(H3212="T41",6,IF(H3212="T41",10,IF(H3212="T73",14,IF(H3212="T73",18,IF(H3212="T41",22,"")))))))</f>
        <v/>
      </c>
      <c r="J3212" s="1" t="s">
        <v>1808</v>
      </c>
      <c r="K3212" s="10">
        <v>2</v>
      </c>
      <c r="L3212" s="10">
        <v>1</v>
      </c>
      <c r="O3212" s="6"/>
      <c r="P3212" s="10">
        <v>6</v>
      </c>
      <c r="Q3212" s="42" t="s">
        <v>6870</v>
      </c>
      <c r="R3212" s="42"/>
      <c r="S3212" s="1"/>
    </row>
    <row r="3213" spans="1:19" ht="18.75" hidden="1" customHeight="1" x14ac:dyDescent="0.3">
      <c r="A3213" s="10">
        <v>3212</v>
      </c>
      <c r="B3213" s="10">
        <f>_xlfn.XLOOKUP(1,(VALUE(D3213)&gt;=VALUE(block!$C$3:$C$500))*(VALUE(D3213)&lt;VALUE(block!$C$3:$C$500)+VALUE(block!$D$3:$D$500)),block!$A$3:$A$500,"无匹配",0,1)</f>
        <v>85</v>
      </c>
      <c r="C3213" s="3" t="str">
        <f>B3213 &amp; "-" &amp; COUNTIF($B$2:B3213, B3213)</f>
        <v>85-36</v>
      </c>
      <c r="D3213" s="10">
        <v>22788</v>
      </c>
      <c r="E3213" s="1" t="s">
        <v>7859</v>
      </c>
      <c r="F3213" s="1" t="s">
        <v>7860</v>
      </c>
      <c r="H3213" s="3" t="s">
        <v>6767</v>
      </c>
      <c r="I3213" s="10" t="str">
        <f>IF(H3213="T26",1,IF(H3213="T26",3,IF(H3213="T42",6,IF(H3213="T42",10,IF(H3213="T74",14,IF(H3213="T74",18,IF(H3213="T42",22,"")))))))</f>
        <v/>
      </c>
      <c r="J3213" s="1" t="s">
        <v>1808</v>
      </c>
      <c r="K3213" s="10">
        <v>4</v>
      </c>
      <c r="L3213" s="10">
        <v>1</v>
      </c>
      <c r="O3213" s="6"/>
      <c r="Q3213" s="42" t="s">
        <v>6870</v>
      </c>
      <c r="R3213" s="42"/>
      <c r="S3213" s="1"/>
    </row>
    <row r="3214" spans="1:19" ht="18.75" hidden="1" customHeight="1" x14ac:dyDescent="0.3">
      <c r="A3214" s="10">
        <v>3213</v>
      </c>
      <c r="B3214" s="10">
        <f>_xlfn.XLOOKUP(1,(VALUE(D3214)&gt;=VALUE(block!$C$3:$C$500))*(VALUE(D3214)&lt;VALUE(block!$C$3:$C$500)+VALUE(block!$D$3:$D$500)),block!$A$3:$A$500,"无匹配",0,1)</f>
        <v>86</v>
      </c>
      <c r="C3214" s="3" t="str">
        <f>B3214 &amp; "-" &amp; COUNTIF($B$2:B3214, B3214)</f>
        <v>86-1</v>
      </c>
      <c r="D3214" s="10">
        <v>22792</v>
      </c>
      <c r="E3214" s="1" t="s">
        <v>7861</v>
      </c>
      <c r="F3214" s="1" t="s">
        <v>7862</v>
      </c>
      <c r="G3214" s="1" t="s">
        <v>1830</v>
      </c>
      <c r="H3214" s="1" t="s">
        <v>1812</v>
      </c>
      <c r="I3214" s="10" t="str">
        <f>IF(H3214="T27",1,IF(H3214="T27",3,IF(H3214="T43",6,IF(H3214="T43",10,IF(H3214="T75",14,IF(H3214="T75",18,IF(H3214="T43",22,"")))))))</f>
        <v/>
      </c>
      <c r="J3214" s="1" t="s">
        <v>1808</v>
      </c>
      <c r="K3214" s="10">
        <v>2</v>
      </c>
      <c r="L3214" s="10">
        <v>1</v>
      </c>
      <c r="O3214" s="6"/>
      <c r="P3214" s="10">
        <v>6</v>
      </c>
      <c r="Q3214" s="42" t="s">
        <v>6870</v>
      </c>
      <c r="R3214" s="42"/>
      <c r="S3214" s="1"/>
    </row>
    <row r="3215" spans="1:19" ht="18.75" hidden="1" customHeight="1" x14ac:dyDescent="0.3">
      <c r="A3215" s="10">
        <v>3214</v>
      </c>
      <c r="B3215" s="10">
        <f>_xlfn.XLOOKUP(1,(VALUE(D3215)&gt;=VALUE(block!$C$3:$C$500))*(VALUE(D3215)&lt;VALUE(block!$C$3:$C$500)+VALUE(block!$D$3:$D$500)),block!$A$3:$A$500,"无匹配",0,1)</f>
        <v>86</v>
      </c>
      <c r="C3215" s="3" t="str">
        <f>B3215 &amp; "-" &amp; COUNTIF($B$2:B3215, B3215)</f>
        <v>86-2</v>
      </c>
      <c r="D3215" s="10">
        <v>22794</v>
      </c>
      <c r="E3215" s="1" t="s">
        <v>7863</v>
      </c>
      <c r="F3215" s="1" t="s">
        <v>7864</v>
      </c>
      <c r="H3215" s="3" t="s">
        <v>6767</v>
      </c>
      <c r="I3215" s="10" t="str">
        <f>IF(H3215="T28",1,IF(H3215="T28",3,IF(H3215="T44",6,IF(H3215="T44",10,IF(H3215="T76",14,IF(H3215="T76",18,IF(H3215="T44",22,"")))))))</f>
        <v/>
      </c>
      <c r="J3215" s="1" t="s">
        <v>1808</v>
      </c>
      <c r="K3215" s="10">
        <v>4</v>
      </c>
      <c r="L3215" s="10">
        <v>1</v>
      </c>
      <c r="O3215" s="6"/>
      <c r="Q3215" s="42" t="s">
        <v>6870</v>
      </c>
      <c r="R3215" s="42"/>
      <c r="S3215" s="1"/>
    </row>
    <row r="3216" spans="1:19" ht="18.75" hidden="1" customHeight="1" x14ac:dyDescent="0.3">
      <c r="A3216" s="10">
        <v>3215</v>
      </c>
      <c r="B3216" s="10">
        <f>_xlfn.XLOOKUP(1,(VALUE(D3216)&gt;=VALUE(block!$C$3:$C$500))*(VALUE(D3216)&lt;VALUE(block!$C$3:$C$500)+VALUE(block!$D$3:$D$500)),block!$A$3:$A$500,"无匹配",0,1)</f>
        <v>86</v>
      </c>
      <c r="C3216" s="3" t="str">
        <f>B3216 &amp; "-" &amp; COUNTIF($B$2:B3216, B3216)</f>
        <v>86-3</v>
      </c>
      <c r="D3216" s="10">
        <v>22798</v>
      </c>
      <c r="E3216" s="1" t="s">
        <v>7865</v>
      </c>
      <c r="F3216" s="1" t="s">
        <v>7866</v>
      </c>
      <c r="G3216" s="1" t="s">
        <v>1832</v>
      </c>
      <c r="H3216" s="1" t="s">
        <v>1812</v>
      </c>
      <c r="I3216" s="10" t="str">
        <f>IF(H3216="T29",1,IF(H3216="T29",3,IF(H3216="T45",6,IF(H3216="T45",10,IF(H3216="T77",14,IF(H3216="T77",18,IF(H3216="T45",22,"")))))))</f>
        <v/>
      </c>
      <c r="J3216" s="1" t="s">
        <v>1808</v>
      </c>
      <c r="K3216" s="10">
        <v>2</v>
      </c>
      <c r="L3216" s="10">
        <v>1</v>
      </c>
      <c r="O3216" s="6"/>
      <c r="P3216" s="10">
        <v>6</v>
      </c>
      <c r="Q3216" s="42" t="s">
        <v>6870</v>
      </c>
      <c r="R3216" s="42"/>
      <c r="S3216" s="1"/>
    </row>
    <row r="3217" spans="1:19" ht="18.75" hidden="1" customHeight="1" x14ac:dyDescent="0.3">
      <c r="A3217" s="10">
        <v>3216</v>
      </c>
      <c r="B3217" s="10">
        <f>_xlfn.XLOOKUP(1,(VALUE(D3217)&gt;=VALUE(block!$C$3:$C$500))*(VALUE(D3217)&lt;VALUE(block!$C$3:$C$500)+VALUE(block!$D$3:$D$500)),block!$A$3:$A$500,"无匹配",0,1)</f>
        <v>86</v>
      </c>
      <c r="C3217" s="3" t="str">
        <f>B3217 &amp; "-" &amp; COUNTIF($B$2:B3217, B3217)</f>
        <v>86-4</v>
      </c>
      <c r="D3217" s="10">
        <v>22800</v>
      </c>
      <c r="E3217" s="1" t="s">
        <v>7867</v>
      </c>
      <c r="F3217" s="1" t="s">
        <v>7868</v>
      </c>
      <c r="H3217" s="3" t="s">
        <v>6767</v>
      </c>
      <c r="I3217" s="10" t="str">
        <f>IF(H3217="T30",1,IF(H3217="T30",3,IF(H3217="T46",6,IF(H3217="T46",10,IF(H3217="T78",14,IF(H3217="T78",18,IF(H3217="T46",22,"")))))))</f>
        <v/>
      </c>
      <c r="J3217" s="1" t="s">
        <v>1808</v>
      </c>
      <c r="K3217" s="10">
        <v>4</v>
      </c>
      <c r="L3217" s="10">
        <v>1</v>
      </c>
      <c r="O3217" s="6"/>
      <c r="Q3217" s="42" t="s">
        <v>6870</v>
      </c>
      <c r="R3217" s="42"/>
      <c r="S3217" s="1"/>
    </row>
    <row r="3218" spans="1:19" ht="18.75" hidden="1" customHeight="1" x14ac:dyDescent="0.3">
      <c r="A3218" s="10">
        <v>3217</v>
      </c>
      <c r="B3218" s="10">
        <f>_xlfn.XLOOKUP(1,(VALUE(D3218)&gt;=VALUE(block!$C$3:$C$500))*(VALUE(D3218)&lt;VALUE(block!$C$3:$C$500)+VALUE(block!$D$3:$D$500)),block!$A$3:$A$500,"无匹配",0,1)</f>
        <v>86</v>
      </c>
      <c r="C3218" s="3" t="str">
        <f>B3218 &amp; "-" &amp; COUNTIF($B$2:B3218, B3218)</f>
        <v>86-5</v>
      </c>
      <c r="D3218" s="10">
        <v>22804</v>
      </c>
      <c r="E3218" s="1" t="s">
        <v>7869</v>
      </c>
      <c r="F3218" s="1" t="s">
        <v>7870</v>
      </c>
      <c r="G3218" s="1" t="s">
        <v>1834</v>
      </c>
      <c r="H3218" s="1" t="s">
        <v>1812</v>
      </c>
      <c r="I3218" s="10" t="str">
        <f>IF(H3218="T31",1,IF(H3218="T31",3,IF(H3218="T47",6,IF(H3218="T47",10,IF(H3218="T79",14,IF(H3218="T79",18,IF(H3218="T47",22,"")))))))</f>
        <v/>
      </c>
      <c r="J3218" s="1" t="s">
        <v>1808</v>
      </c>
      <c r="K3218" s="10">
        <v>2</v>
      </c>
      <c r="L3218" s="10">
        <v>1</v>
      </c>
      <c r="O3218" s="6"/>
      <c r="P3218" s="10">
        <v>6</v>
      </c>
      <c r="Q3218" s="42" t="s">
        <v>6870</v>
      </c>
      <c r="R3218" s="42"/>
      <c r="S3218" s="1"/>
    </row>
    <row r="3219" spans="1:19" ht="18.75" hidden="1" customHeight="1" x14ac:dyDescent="0.3">
      <c r="A3219" s="10">
        <v>3218</v>
      </c>
      <c r="B3219" s="10">
        <f>_xlfn.XLOOKUP(1,(VALUE(D3219)&gt;=VALUE(block!$C$3:$C$500))*(VALUE(D3219)&lt;VALUE(block!$C$3:$C$500)+VALUE(block!$D$3:$D$500)),block!$A$3:$A$500,"无匹配",0,1)</f>
        <v>86</v>
      </c>
      <c r="C3219" s="3" t="str">
        <f>B3219 &amp; "-" &amp; COUNTIF($B$2:B3219, B3219)</f>
        <v>86-6</v>
      </c>
      <c r="D3219" s="10">
        <v>22806</v>
      </c>
      <c r="E3219" s="1" t="s">
        <v>7871</v>
      </c>
      <c r="F3219" s="1" t="s">
        <v>7872</v>
      </c>
      <c r="H3219" s="3" t="s">
        <v>6767</v>
      </c>
      <c r="I3219" s="10" t="str">
        <f>IF(H3219="T32",1,IF(H3219="T32",3,IF(H3219="T48",6,IF(H3219="T48",10,IF(H3219="T80",14,IF(H3219="T80",18,IF(H3219="T48",22,"")))))))</f>
        <v/>
      </c>
      <c r="J3219" s="1" t="s">
        <v>1808</v>
      </c>
      <c r="K3219" s="10">
        <v>4</v>
      </c>
      <c r="L3219" s="10">
        <v>1</v>
      </c>
      <c r="O3219" s="6"/>
      <c r="Q3219" s="42" t="s">
        <v>6870</v>
      </c>
      <c r="R3219" s="42"/>
      <c r="S3219" s="1"/>
    </row>
    <row r="3220" spans="1:19" ht="18.75" hidden="1" customHeight="1" x14ac:dyDescent="0.3">
      <c r="A3220" s="10">
        <v>3219</v>
      </c>
      <c r="B3220" s="10">
        <f>_xlfn.XLOOKUP(1,(VALUE(D3220)&gt;=VALUE(block!$C$3:$C$500))*(VALUE(D3220)&lt;VALUE(block!$C$3:$C$500)+VALUE(block!$D$3:$D$500)),block!$A$3:$A$500,"无匹配",0,1)</f>
        <v>86</v>
      </c>
      <c r="C3220" s="3" t="str">
        <f>B3220 &amp; "-" &amp; COUNTIF($B$2:B3220, B3220)</f>
        <v>86-7</v>
      </c>
      <c r="D3220" s="10">
        <v>22810</v>
      </c>
      <c r="E3220" s="1" t="s">
        <v>7873</v>
      </c>
      <c r="F3220" s="1" t="s">
        <v>7874</v>
      </c>
      <c r="G3220" s="1" t="s">
        <v>1836</v>
      </c>
      <c r="H3220" s="1" t="s">
        <v>1812</v>
      </c>
      <c r="I3220" s="10" t="str">
        <f>IF(H3220="T33",1,IF(H3220="T33",3,IF(H3220="T49",6,IF(H3220="T49",10,IF(H3220="T81",14,IF(H3220="T81",18,IF(H3220="T49",22,"")))))))</f>
        <v/>
      </c>
      <c r="J3220" s="1" t="s">
        <v>1808</v>
      </c>
      <c r="K3220" s="10">
        <v>2</v>
      </c>
      <c r="L3220" s="10">
        <v>1</v>
      </c>
      <c r="O3220" s="6"/>
      <c r="P3220" s="10">
        <v>6</v>
      </c>
      <c r="Q3220" s="42" t="s">
        <v>6870</v>
      </c>
      <c r="R3220" s="42"/>
      <c r="S3220" s="1"/>
    </row>
    <row r="3221" spans="1:19" ht="18.75" hidden="1" customHeight="1" x14ac:dyDescent="0.3">
      <c r="A3221" s="10">
        <v>3220</v>
      </c>
      <c r="B3221" s="10">
        <f>_xlfn.XLOOKUP(1,(VALUE(D3221)&gt;=VALUE(block!$C$3:$C$500))*(VALUE(D3221)&lt;VALUE(block!$C$3:$C$500)+VALUE(block!$D$3:$D$500)),block!$A$3:$A$500,"无匹配",0,1)</f>
        <v>86</v>
      </c>
      <c r="C3221" s="3" t="str">
        <f>B3221 &amp; "-" &amp; COUNTIF($B$2:B3221, B3221)</f>
        <v>86-8</v>
      </c>
      <c r="D3221" s="10">
        <v>22812</v>
      </c>
      <c r="E3221" s="1" t="s">
        <v>7875</v>
      </c>
      <c r="F3221" s="1" t="s">
        <v>7876</v>
      </c>
      <c r="H3221" s="3" t="s">
        <v>6767</v>
      </c>
      <c r="I3221" s="10" t="str">
        <f>IF(H3221="T34",1,IF(H3221="T34",3,IF(H3221="T50",6,IF(H3221="T50",10,IF(H3221="T82",14,IF(H3221="T82",18,IF(H3221="T50",22,"")))))))</f>
        <v/>
      </c>
      <c r="J3221" s="1" t="s">
        <v>1808</v>
      </c>
      <c r="K3221" s="10">
        <v>4</v>
      </c>
      <c r="L3221" s="10">
        <v>1</v>
      </c>
      <c r="O3221" s="6"/>
      <c r="Q3221" s="42" t="s">
        <v>6870</v>
      </c>
      <c r="R3221" s="42"/>
      <c r="S3221" s="1"/>
    </row>
    <row r="3222" spans="1:19" ht="18.75" hidden="1" customHeight="1" x14ac:dyDescent="0.3">
      <c r="A3222" s="10">
        <v>3221</v>
      </c>
      <c r="B3222" s="10">
        <f>_xlfn.XLOOKUP(1,(VALUE(D3222)&gt;=VALUE(block!$C$3:$C$500))*(VALUE(D3222)&lt;VALUE(block!$C$3:$C$500)+VALUE(block!$D$3:$D$500)),block!$A$3:$A$500,"无匹配",0,1)</f>
        <v>86</v>
      </c>
      <c r="C3222" s="3" t="str">
        <f>B3222 &amp; "-" &amp; COUNTIF($B$2:B3222, B3222)</f>
        <v>86-9</v>
      </c>
      <c r="D3222" s="10">
        <v>22816</v>
      </c>
      <c r="E3222" s="1" t="s">
        <v>7877</v>
      </c>
      <c r="F3222" s="1" t="s">
        <v>7878</v>
      </c>
      <c r="G3222" s="1" t="s">
        <v>1840</v>
      </c>
      <c r="H3222" s="1" t="s">
        <v>1812</v>
      </c>
      <c r="I3222" s="10" t="str">
        <f>IF(H3222="T35",1,IF(H3222="T35",3,IF(H3222="T51",6,IF(H3222="T51",10,IF(H3222="T83",14,IF(H3222="T83",18,IF(H3222="T51",22,"")))))))</f>
        <v/>
      </c>
      <c r="J3222" s="1" t="s">
        <v>1808</v>
      </c>
      <c r="K3222" s="10">
        <v>2</v>
      </c>
      <c r="L3222" s="10">
        <v>1</v>
      </c>
      <c r="O3222" s="6"/>
      <c r="P3222" s="10">
        <v>6</v>
      </c>
      <c r="Q3222" s="42" t="s">
        <v>6870</v>
      </c>
      <c r="R3222" s="42"/>
      <c r="S3222" s="1"/>
    </row>
    <row r="3223" spans="1:19" ht="18.75" hidden="1" customHeight="1" x14ac:dyDescent="0.3">
      <c r="A3223" s="10">
        <v>3222</v>
      </c>
      <c r="B3223" s="10">
        <f>_xlfn.XLOOKUP(1,(VALUE(D3223)&gt;=VALUE(block!$C$3:$C$500))*(VALUE(D3223)&lt;VALUE(block!$C$3:$C$500)+VALUE(block!$D$3:$D$500)),block!$A$3:$A$500,"无匹配",0,1)</f>
        <v>86</v>
      </c>
      <c r="C3223" s="3" t="str">
        <f>B3223 &amp; "-" &amp; COUNTIF($B$2:B3223, B3223)</f>
        <v>86-10</v>
      </c>
      <c r="D3223" s="10">
        <v>22818</v>
      </c>
      <c r="E3223" s="1" t="s">
        <v>7879</v>
      </c>
      <c r="F3223" s="1" t="s">
        <v>7880</v>
      </c>
      <c r="H3223" s="3" t="s">
        <v>6767</v>
      </c>
      <c r="I3223" s="10" t="str">
        <f>IF(H3223="T36",1,IF(H3223="T36",3,IF(H3223="T52",6,IF(H3223="T52",10,IF(H3223="T84",14,IF(H3223="T84",18,IF(H3223="T52",22,"")))))))</f>
        <v/>
      </c>
      <c r="J3223" s="1" t="s">
        <v>1808</v>
      </c>
      <c r="K3223" s="10">
        <v>4</v>
      </c>
      <c r="L3223" s="10">
        <v>1</v>
      </c>
      <c r="O3223" s="6"/>
      <c r="Q3223" s="42" t="s">
        <v>6870</v>
      </c>
      <c r="R3223" s="42"/>
      <c r="S3223" s="1"/>
    </row>
    <row r="3224" spans="1:19" ht="18.75" hidden="1" customHeight="1" x14ac:dyDescent="0.3">
      <c r="A3224" s="10">
        <v>3223</v>
      </c>
      <c r="B3224" s="10">
        <f>_xlfn.XLOOKUP(1,(VALUE(D3224)&gt;=VALUE(block!$C$3:$C$500))*(VALUE(D3224)&lt;VALUE(block!$C$3:$C$500)+VALUE(block!$D$3:$D$500)),block!$A$3:$A$500,"无匹配",0,1)</f>
        <v>86</v>
      </c>
      <c r="C3224" s="3" t="str">
        <f>B3224 &amp; "-" &amp; COUNTIF($B$2:B3224, B3224)</f>
        <v>86-11</v>
      </c>
      <c r="D3224" s="10">
        <v>22822</v>
      </c>
      <c r="E3224" s="1" t="s">
        <v>7881</v>
      </c>
      <c r="F3224" s="1" t="s">
        <v>7882</v>
      </c>
      <c r="G3224" s="1" t="s">
        <v>1840</v>
      </c>
      <c r="H3224" s="1" t="s">
        <v>1812</v>
      </c>
      <c r="I3224" s="10" t="str">
        <f>IF(H3224="T37",1,IF(H3224="T37",3,IF(H3224="T53",6,IF(H3224="T53",10,IF(H3224="T85",14,IF(H3224="T85",18,IF(H3224="T53",22,"")))))))</f>
        <v/>
      </c>
      <c r="J3224" s="1" t="s">
        <v>1808</v>
      </c>
      <c r="K3224" s="10">
        <v>2</v>
      </c>
      <c r="L3224" s="10">
        <v>1</v>
      </c>
      <c r="O3224" s="6"/>
      <c r="P3224" s="10">
        <v>6</v>
      </c>
      <c r="Q3224" s="42" t="s">
        <v>6870</v>
      </c>
      <c r="R3224" s="42"/>
      <c r="S3224" s="1"/>
    </row>
    <row r="3225" spans="1:19" ht="18.75" hidden="1" customHeight="1" x14ac:dyDescent="0.3">
      <c r="A3225" s="10">
        <v>3224</v>
      </c>
      <c r="B3225" s="10">
        <f>_xlfn.XLOOKUP(1,(VALUE(D3225)&gt;=VALUE(block!$C$3:$C$500))*(VALUE(D3225)&lt;VALUE(block!$C$3:$C$500)+VALUE(block!$D$3:$D$500)),block!$A$3:$A$500,"无匹配",0,1)</f>
        <v>86</v>
      </c>
      <c r="C3225" s="3" t="str">
        <f>B3225 &amp; "-" &amp; COUNTIF($B$2:B3225, B3225)</f>
        <v>86-12</v>
      </c>
      <c r="D3225" s="10">
        <v>22824</v>
      </c>
      <c r="E3225" s="1" t="s">
        <v>7883</v>
      </c>
      <c r="F3225" s="1" t="s">
        <v>7884</v>
      </c>
      <c r="H3225" s="3" t="s">
        <v>6767</v>
      </c>
      <c r="I3225" s="10" t="str">
        <f>IF(H3225="T38",1,IF(H3225="T38",3,IF(H3225="T54",6,IF(H3225="T54",10,IF(H3225="T86",14,IF(H3225="T86",18,IF(H3225="T54",22,"")))))))</f>
        <v/>
      </c>
      <c r="J3225" s="1" t="s">
        <v>1808</v>
      </c>
      <c r="K3225" s="10">
        <v>4</v>
      </c>
      <c r="L3225" s="10">
        <v>1</v>
      </c>
      <c r="O3225" s="6"/>
      <c r="Q3225" s="42" t="s">
        <v>6870</v>
      </c>
      <c r="R3225" s="42"/>
      <c r="S3225" s="1"/>
    </row>
    <row r="3226" spans="1:19" ht="18.75" hidden="1" customHeight="1" x14ac:dyDescent="0.3">
      <c r="A3226" s="10">
        <v>3225</v>
      </c>
      <c r="B3226" s="10">
        <f>_xlfn.XLOOKUP(1,(VALUE(D3226)&gt;=VALUE(block!$C$3:$C$500))*(VALUE(D3226)&lt;VALUE(block!$C$3:$C$500)+VALUE(block!$D$3:$D$500)),block!$A$3:$A$500,"无匹配",0,1)</f>
        <v>86</v>
      </c>
      <c r="C3226" s="3" t="str">
        <f>B3226 &amp; "-" &amp; COUNTIF($B$2:B3226, B3226)</f>
        <v>86-13</v>
      </c>
      <c r="D3226" s="10">
        <v>22828</v>
      </c>
      <c r="E3226" s="1" t="s">
        <v>7885</v>
      </c>
      <c r="F3226" s="1" t="s">
        <v>7886</v>
      </c>
      <c r="G3226" s="1" t="s">
        <v>1830</v>
      </c>
      <c r="H3226" s="1" t="s">
        <v>1812</v>
      </c>
      <c r="I3226" s="10" t="str">
        <f>IF(H3226="T39",1,IF(H3226="T39",3,IF(H3226="T55",6,IF(H3226="T55",10,IF(H3226="T87",14,IF(H3226="T87",18,IF(H3226="T55",22,"")))))))</f>
        <v/>
      </c>
      <c r="J3226" s="1" t="s">
        <v>1808</v>
      </c>
      <c r="K3226" s="10">
        <v>2</v>
      </c>
      <c r="L3226" s="10">
        <v>1</v>
      </c>
      <c r="O3226" s="6"/>
      <c r="P3226" s="10">
        <v>6</v>
      </c>
      <c r="Q3226" s="42" t="s">
        <v>6870</v>
      </c>
      <c r="R3226" s="42"/>
      <c r="S3226" s="1"/>
    </row>
    <row r="3227" spans="1:19" ht="18.75" hidden="1" customHeight="1" x14ac:dyDescent="0.3">
      <c r="A3227" s="10">
        <v>3226</v>
      </c>
      <c r="B3227" s="10">
        <f>_xlfn.XLOOKUP(1,(VALUE(D3227)&gt;=VALUE(block!$C$3:$C$500))*(VALUE(D3227)&lt;VALUE(block!$C$3:$C$500)+VALUE(block!$D$3:$D$500)),block!$A$3:$A$500,"无匹配",0,1)</f>
        <v>86</v>
      </c>
      <c r="C3227" s="3" t="str">
        <f>B3227 &amp; "-" &amp; COUNTIF($B$2:B3227, B3227)</f>
        <v>86-14</v>
      </c>
      <c r="D3227" s="10">
        <v>22830</v>
      </c>
      <c r="E3227" s="1" t="s">
        <v>7887</v>
      </c>
      <c r="F3227" s="1" t="s">
        <v>7888</v>
      </c>
      <c r="H3227" s="3" t="s">
        <v>6767</v>
      </c>
      <c r="I3227" s="10" t="str">
        <f>IF(H3227="T40",1,IF(H3227="T40",3,IF(H3227="T56",6,IF(H3227="T56",10,IF(H3227="T88",14,IF(H3227="T88",18,IF(H3227="T56",22,"")))))))</f>
        <v/>
      </c>
      <c r="J3227" s="1" t="s">
        <v>1808</v>
      </c>
      <c r="K3227" s="10">
        <v>4</v>
      </c>
      <c r="L3227" s="10">
        <v>1</v>
      </c>
      <c r="O3227" s="6"/>
      <c r="Q3227" s="42" t="s">
        <v>6870</v>
      </c>
      <c r="R3227" s="42"/>
      <c r="S3227" s="1"/>
    </row>
    <row r="3228" spans="1:19" ht="18.75" hidden="1" customHeight="1" x14ac:dyDescent="0.3">
      <c r="A3228" s="10">
        <v>3227</v>
      </c>
      <c r="B3228" s="10">
        <f>_xlfn.XLOOKUP(1,(VALUE(D3228)&gt;=VALUE(block!$C$3:$C$500))*(VALUE(D3228)&lt;VALUE(block!$C$3:$C$500)+VALUE(block!$D$3:$D$500)),block!$A$3:$A$500,"无匹配",0,1)</f>
        <v>86</v>
      </c>
      <c r="C3228" s="3" t="str">
        <f>B3228 &amp; "-" &amp; COUNTIF($B$2:B3228, B3228)</f>
        <v>86-15</v>
      </c>
      <c r="D3228" s="10">
        <v>22834</v>
      </c>
      <c r="E3228" s="1" t="s">
        <v>7889</v>
      </c>
      <c r="F3228" s="1" t="s">
        <v>7890</v>
      </c>
      <c r="G3228" s="1" t="s">
        <v>1832</v>
      </c>
      <c r="H3228" s="1" t="s">
        <v>1812</v>
      </c>
      <c r="I3228" s="10" t="str">
        <f>IF(H3228="T41",1,IF(H3228="T41",3,IF(H3228="T57",6,IF(H3228="T57",10,IF(H3228="T89",14,IF(H3228="T89",18,IF(H3228="T57",22,"")))))))</f>
        <v/>
      </c>
      <c r="J3228" s="1" t="s">
        <v>1808</v>
      </c>
      <c r="K3228" s="10">
        <v>2</v>
      </c>
      <c r="L3228" s="10">
        <v>1</v>
      </c>
      <c r="O3228" s="6"/>
      <c r="P3228" s="10">
        <v>6</v>
      </c>
      <c r="Q3228" s="42" t="s">
        <v>6870</v>
      </c>
      <c r="R3228" s="42"/>
      <c r="S3228" s="1"/>
    </row>
    <row r="3229" spans="1:19" ht="18.75" hidden="1" customHeight="1" x14ac:dyDescent="0.3">
      <c r="A3229" s="10">
        <v>3228</v>
      </c>
      <c r="B3229" s="10">
        <f>_xlfn.XLOOKUP(1,(VALUE(D3229)&gt;=VALUE(block!$C$3:$C$500))*(VALUE(D3229)&lt;VALUE(block!$C$3:$C$500)+VALUE(block!$D$3:$D$500)),block!$A$3:$A$500,"无匹配",0,1)</f>
        <v>86</v>
      </c>
      <c r="C3229" s="3" t="str">
        <f>B3229 &amp; "-" &amp; COUNTIF($B$2:B3229, B3229)</f>
        <v>86-16</v>
      </c>
      <c r="D3229" s="10">
        <v>22836</v>
      </c>
      <c r="E3229" s="1" t="s">
        <v>7891</v>
      </c>
      <c r="F3229" s="1" t="s">
        <v>7892</v>
      </c>
      <c r="H3229" s="3" t="s">
        <v>6767</v>
      </c>
      <c r="I3229" s="10" t="str">
        <f>IF(H3229="T42",1,IF(H3229="T42",3,IF(H3229="T58",6,IF(H3229="T58",10,IF(H3229="T90",14,IF(H3229="T90",18,IF(H3229="T58",22,"")))))))</f>
        <v/>
      </c>
      <c r="J3229" s="1" t="s">
        <v>1808</v>
      </c>
      <c r="K3229" s="10">
        <v>4</v>
      </c>
      <c r="L3229" s="10">
        <v>1</v>
      </c>
      <c r="O3229" s="6"/>
      <c r="Q3229" s="42" t="s">
        <v>6870</v>
      </c>
      <c r="R3229" s="42"/>
      <c r="S3229" s="1"/>
    </row>
    <row r="3230" spans="1:19" ht="18.75" hidden="1" customHeight="1" x14ac:dyDescent="0.3">
      <c r="A3230" s="10">
        <v>3229</v>
      </c>
      <c r="B3230" s="10">
        <f>_xlfn.XLOOKUP(1,(VALUE(D3230)&gt;=VALUE(block!$C$3:$C$500))*(VALUE(D3230)&lt;VALUE(block!$C$3:$C$500)+VALUE(block!$D$3:$D$500)),block!$A$3:$A$500,"无匹配",0,1)</f>
        <v>86</v>
      </c>
      <c r="C3230" s="3" t="str">
        <f>B3230 &amp; "-" &amp; COUNTIF($B$2:B3230, B3230)</f>
        <v>86-17</v>
      </c>
      <c r="D3230" s="10">
        <v>22840</v>
      </c>
      <c r="E3230" s="1" t="s">
        <v>7893</v>
      </c>
      <c r="F3230" s="1" t="s">
        <v>7894</v>
      </c>
      <c r="G3230" s="1" t="s">
        <v>1834</v>
      </c>
      <c r="H3230" s="1" t="s">
        <v>1812</v>
      </c>
      <c r="I3230" s="10" t="str">
        <f>IF(H3230="T43",1,IF(H3230="T43",3,IF(H3230="T59",6,IF(H3230="T59",10,IF(H3230="T91",14,IF(H3230="T91",18,IF(H3230="T59",22,"")))))))</f>
        <v/>
      </c>
      <c r="J3230" s="1" t="s">
        <v>1808</v>
      </c>
      <c r="K3230" s="10">
        <v>2</v>
      </c>
      <c r="L3230" s="10">
        <v>1</v>
      </c>
      <c r="O3230" s="6"/>
      <c r="P3230" s="10">
        <v>6</v>
      </c>
      <c r="Q3230" s="42" t="s">
        <v>6870</v>
      </c>
      <c r="R3230" s="42"/>
      <c r="S3230" s="1"/>
    </row>
    <row r="3231" spans="1:19" ht="18.75" hidden="1" customHeight="1" x14ac:dyDescent="0.3">
      <c r="A3231" s="10">
        <v>3230</v>
      </c>
      <c r="B3231" s="10">
        <f>_xlfn.XLOOKUP(1,(VALUE(D3231)&gt;=VALUE(block!$C$3:$C$500))*(VALUE(D3231)&lt;VALUE(block!$C$3:$C$500)+VALUE(block!$D$3:$D$500)),block!$A$3:$A$500,"无匹配",0,1)</f>
        <v>86</v>
      </c>
      <c r="C3231" s="3" t="str">
        <f>B3231 &amp; "-" &amp; COUNTIF($B$2:B3231, B3231)</f>
        <v>86-18</v>
      </c>
      <c r="D3231" s="10">
        <v>22842</v>
      </c>
      <c r="E3231" s="1" t="s">
        <v>7895</v>
      </c>
      <c r="F3231" s="1" t="s">
        <v>7896</v>
      </c>
      <c r="H3231" s="3" t="s">
        <v>6767</v>
      </c>
      <c r="I3231" s="10" t="str">
        <f>IF(H3231="T44",1,IF(H3231="T44",3,IF(H3231="T60",6,IF(H3231="T60",10,IF(H3231="T92",14,IF(H3231="T92",18,IF(H3231="T60",22,"")))))))</f>
        <v/>
      </c>
      <c r="J3231" s="1" t="s">
        <v>1808</v>
      </c>
      <c r="K3231" s="10">
        <v>4</v>
      </c>
      <c r="L3231" s="10">
        <v>1</v>
      </c>
      <c r="O3231" s="6"/>
      <c r="Q3231" s="42" t="s">
        <v>6870</v>
      </c>
      <c r="R3231" s="42"/>
      <c r="S3231" s="1"/>
    </row>
    <row r="3232" spans="1:19" ht="18.75" hidden="1" customHeight="1" x14ac:dyDescent="0.3">
      <c r="A3232" s="10">
        <v>3231</v>
      </c>
      <c r="B3232" s="10">
        <f>_xlfn.XLOOKUP(1,(VALUE(D3232)&gt;=VALUE(block!$C$3:$C$500))*(VALUE(D3232)&lt;VALUE(block!$C$3:$C$500)+VALUE(block!$D$3:$D$500)),block!$A$3:$A$500,"无匹配",0,1)</f>
        <v>86</v>
      </c>
      <c r="C3232" s="3" t="str">
        <f>B3232 &amp; "-" &amp; COUNTIF($B$2:B3232, B3232)</f>
        <v>86-19</v>
      </c>
      <c r="D3232" s="10">
        <v>22846</v>
      </c>
      <c r="E3232" s="1" t="s">
        <v>7897</v>
      </c>
      <c r="F3232" s="1" t="s">
        <v>7898</v>
      </c>
      <c r="G3232" s="1" t="s">
        <v>1836</v>
      </c>
      <c r="H3232" s="1" t="s">
        <v>1812</v>
      </c>
      <c r="I3232" s="10" t="str">
        <f>IF(H3232="T45",1,IF(H3232="T45",3,IF(H3232="T61",6,IF(H3232="T61",10,IF(H3232="T93",14,IF(H3232="T93",18,IF(H3232="T61",22,"")))))))</f>
        <v/>
      </c>
      <c r="J3232" s="1" t="s">
        <v>1808</v>
      </c>
      <c r="K3232" s="10">
        <v>2</v>
      </c>
      <c r="L3232" s="10">
        <v>1</v>
      </c>
      <c r="O3232" s="6"/>
      <c r="P3232" s="10">
        <v>6</v>
      </c>
      <c r="Q3232" s="42" t="s">
        <v>6870</v>
      </c>
      <c r="R3232" s="42"/>
      <c r="S3232" s="1"/>
    </row>
    <row r="3233" spans="1:19" ht="18.75" hidden="1" customHeight="1" x14ac:dyDescent="0.3">
      <c r="A3233" s="10">
        <v>3232</v>
      </c>
      <c r="B3233" s="10">
        <f>_xlfn.XLOOKUP(1,(VALUE(D3233)&gt;=VALUE(block!$C$3:$C$500))*(VALUE(D3233)&lt;VALUE(block!$C$3:$C$500)+VALUE(block!$D$3:$D$500)),block!$A$3:$A$500,"无匹配",0,1)</f>
        <v>86</v>
      </c>
      <c r="C3233" s="3" t="str">
        <f>B3233 &amp; "-" &amp; COUNTIF($B$2:B3233, B3233)</f>
        <v>86-20</v>
      </c>
      <c r="D3233" s="10">
        <v>22848</v>
      </c>
      <c r="E3233" s="1" t="s">
        <v>7899</v>
      </c>
      <c r="F3233" s="1" t="s">
        <v>7900</v>
      </c>
      <c r="H3233" s="3" t="s">
        <v>6767</v>
      </c>
      <c r="I3233" s="10" t="str">
        <f>IF(H3233="T46",1,IF(H3233="T46",3,IF(H3233="T62",6,IF(H3233="T62",10,IF(H3233="T94",14,IF(H3233="T94",18,IF(H3233="T62",22,"")))))))</f>
        <v/>
      </c>
      <c r="J3233" s="1" t="s">
        <v>1808</v>
      </c>
      <c r="K3233" s="10">
        <v>4</v>
      </c>
      <c r="L3233" s="10">
        <v>1</v>
      </c>
      <c r="O3233" s="6"/>
      <c r="Q3233" s="42" t="s">
        <v>6870</v>
      </c>
      <c r="R3233" s="42"/>
      <c r="S3233" s="1"/>
    </row>
    <row r="3234" spans="1:19" ht="18.75" hidden="1" customHeight="1" x14ac:dyDescent="0.3">
      <c r="A3234" s="10">
        <v>3233</v>
      </c>
      <c r="B3234" s="10">
        <f>_xlfn.XLOOKUP(1,(VALUE(D3234)&gt;=VALUE(block!$C$3:$C$500))*(VALUE(D3234)&lt;VALUE(block!$C$3:$C$500)+VALUE(block!$D$3:$D$500)),block!$A$3:$A$500,"无匹配",0,1)</f>
        <v>86</v>
      </c>
      <c r="C3234" s="3" t="str">
        <f>B3234 &amp; "-" &amp; COUNTIF($B$2:B3234, B3234)</f>
        <v>86-21</v>
      </c>
      <c r="D3234" s="10">
        <v>22852</v>
      </c>
      <c r="E3234" s="1" t="s">
        <v>7901</v>
      </c>
      <c r="F3234" s="1" t="s">
        <v>7902</v>
      </c>
      <c r="G3234" s="1" t="s">
        <v>1840</v>
      </c>
      <c r="H3234" s="1" t="s">
        <v>1812</v>
      </c>
      <c r="I3234" s="10" t="str">
        <f>IF(H3234="T47",1,IF(H3234="T47",3,IF(H3234="T63",6,IF(H3234="T63",10,IF(H3234="T95",14,IF(H3234="T95",18,IF(H3234="T63",22,"")))))))</f>
        <v/>
      </c>
      <c r="J3234" s="1" t="s">
        <v>1808</v>
      </c>
      <c r="K3234" s="10">
        <v>2</v>
      </c>
      <c r="L3234" s="10">
        <v>1</v>
      </c>
      <c r="O3234" s="6"/>
      <c r="P3234" s="10">
        <v>6</v>
      </c>
      <c r="Q3234" s="42" t="s">
        <v>6870</v>
      </c>
      <c r="R3234" s="42"/>
      <c r="S3234" s="1"/>
    </row>
    <row r="3235" spans="1:19" ht="18.75" hidden="1" customHeight="1" x14ac:dyDescent="0.3">
      <c r="A3235" s="10">
        <v>3234</v>
      </c>
      <c r="B3235" s="10">
        <f>_xlfn.XLOOKUP(1,(VALUE(D3235)&gt;=VALUE(block!$C$3:$C$500))*(VALUE(D3235)&lt;VALUE(block!$C$3:$C$500)+VALUE(block!$D$3:$D$500)),block!$A$3:$A$500,"无匹配",0,1)</f>
        <v>86</v>
      </c>
      <c r="C3235" s="3" t="str">
        <f>B3235 &amp; "-" &amp; COUNTIF($B$2:B3235, B3235)</f>
        <v>86-22</v>
      </c>
      <c r="D3235" s="10">
        <v>22854</v>
      </c>
      <c r="E3235" s="1" t="s">
        <v>7903</v>
      </c>
      <c r="F3235" s="1" t="s">
        <v>7904</v>
      </c>
      <c r="H3235" s="3" t="s">
        <v>6767</v>
      </c>
      <c r="I3235" s="10" t="str">
        <f>IF(H3235="T48",1,IF(H3235="T48",3,IF(H3235="T64",6,IF(H3235="T64",10,IF(H3235="T96",14,IF(H3235="T96",18,IF(H3235="T64",22,"")))))))</f>
        <v/>
      </c>
      <c r="J3235" s="1" t="s">
        <v>1808</v>
      </c>
      <c r="K3235" s="10">
        <v>4</v>
      </c>
      <c r="L3235" s="10">
        <v>1</v>
      </c>
      <c r="O3235" s="6"/>
      <c r="Q3235" s="42" t="s">
        <v>6870</v>
      </c>
      <c r="R3235" s="42"/>
      <c r="S3235" s="1"/>
    </row>
    <row r="3236" spans="1:19" ht="18.75" hidden="1" customHeight="1" x14ac:dyDescent="0.3">
      <c r="A3236" s="10">
        <v>3235</v>
      </c>
      <c r="B3236" s="10">
        <f>_xlfn.XLOOKUP(1,(VALUE(D3236)&gt;=VALUE(block!$C$3:$C$500))*(VALUE(D3236)&lt;VALUE(block!$C$3:$C$500)+VALUE(block!$D$3:$D$500)),block!$A$3:$A$500,"无匹配",0,1)</f>
        <v>86</v>
      </c>
      <c r="C3236" s="3" t="str">
        <f>B3236 &amp; "-" &amp; COUNTIF($B$2:B3236, B3236)</f>
        <v>86-23</v>
      </c>
      <c r="D3236" s="10">
        <v>22858</v>
      </c>
      <c r="E3236" s="1" t="s">
        <v>7905</v>
      </c>
      <c r="F3236" s="1" t="s">
        <v>7906</v>
      </c>
      <c r="G3236" s="1" t="s">
        <v>1840</v>
      </c>
      <c r="H3236" s="1" t="s">
        <v>1812</v>
      </c>
      <c r="I3236" s="10" t="str">
        <f>IF(H3236="T49",1,IF(H3236="T49",3,IF(H3236="T65",6,IF(H3236="T65",10,IF(H3236="T97",14,IF(H3236="T97",18,IF(H3236="T65",22,"")))))))</f>
        <v/>
      </c>
      <c r="J3236" s="1" t="s">
        <v>1808</v>
      </c>
      <c r="K3236" s="10">
        <v>2</v>
      </c>
      <c r="L3236" s="10">
        <v>1</v>
      </c>
      <c r="O3236" s="6"/>
      <c r="P3236" s="10">
        <v>6</v>
      </c>
      <c r="Q3236" s="42" t="s">
        <v>6870</v>
      </c>
      <c r="R3236" s="42"/>
      <c r="S3236" s="1"/>
    </row>
    <row r="3237" spans="1:19" ht="18.75" hidden="1" customHeight="1" x14ac:dyDescent="0.3">
      <c r="A3237" s="10">
        <v>3236</v>
      </c>
      <c r="B3237" s="10">
        <f>_xlfn.XLOOKUP(1,(VALUE(D3237)&gt;=VALUE(block!$C$3:$C$500))*(VALUE(D3237)&lt;VALUE(block!$C$3:$C$500)+VALUE(block!$D$3:$D$500)),block!$A$3:$A$500,"无匹配",0,1)</f>
        <v>86</v>
      </c>
      <c r="C3237" s="3" t="str">
        <f>B3237 &amp; "-" &amp; COUNTIF($B$2:B3237, B3237)</f>
        <v>86-24</v>
      </c>
      <c r="D3237" s="10">
        <v>22860</v>
      </c>
      <c r="E3237" s="1" t="s">
        <v>7907</v>
      </c>
      <c r="F3237" s="1" t="s">
        <v>7908</v>
      </c>
      <c r="H3237" s="3" t="s">
        <v>6767</v>
      </c>
      <c r="I3237" s="10" t="str">
        <f>IF(H3237="T50",1,IF(H3237="T50",3,IF(H3237="T66",6,IF(H3237="T66",10,IF(H3237="T98",14,IF(H3237="T98",18,IF(H3237="T66",22,"")))))))</f>
        <v/>
      </c>
      <c r="J3237" s="1" t="s">
        <v>1808</v>
      </c>
      <c r="K3237" s="10">
        <v>4</v>
      </c>
      <c r="L3237" s="10">
        <v>1</v>
      </c>
      <c r="O3237" s="6"/>
      <c r="Q3237" s="42" t="s">
        <v>6870</v>
      </c>
      <c r="R3237" s="42"/>
      <c r="S3237" s="1"/>
    </row>
    <row r="3238" spans="1:19" ht="18.75" hidden="1" customHeight="1" x14ac:dyDescent="0.3">
      <c r="A3238" s="10">
        <v>3237</v>
      </c>
      <c r="B3238" s="10">
        <f>_xlfn.XLOOKUP(1,(VALUE(D3238)&gt;=VALUE(block!$C$3:$C$500))*(VALUE(D3238)&lt;VALUE(block!$C$3:$C$500)+VALUE(block!$D$3:$D$500)),block!$A$3:$A$500,"无匹配",0,1)</f>
        <v>86</v>
      </c>
      <c r="C3238" s="3" t="str">
        <f>B3238 &amp; "-" &amp; COUNTIF($B$2:B3238, B3238)</f>
        <v>86-25</v>
      </c>
      <c r="D3238" s="10">
        <v>22864</v>
      </c>
      <c r="E3238" s="1" t="s">
        <v>7909</v>
      </c>
      <c r="F3238" s="1" t="s">
        <v>7910</v>
      </c>
      <c r="G3238" s="1" t="s">
        <v>1830</v>
      </c>
      <c r="H3238" s="1" t="s">
        <v>1812</v>
      </c>
      <c r="I3238" s="10" t="str">
        <f>IF(H3238="T51",1,IF(H3238="T51",3,IF(H3238="T67",6,IF(H3238="T67",10,IF(H3238="T99",14,IF(H3238="T99",18,IF(H3238="T67",22,"")))))))</f>
        <v/>
      </c>
      <c r="J3238" s="1" t="s">
        <v>1808</v>
      </c>
      <c r="K3238" s="10">
        <v>2</v>
      </c>
      <c r="L3238" s="10">
        <v>1</v>
      </c>
      <c r="O3238" s="6"/>
      <c r="P3238" s="10">
        <v>6</v>
      </c>
      <c r="Q3238" s="42" t="s">
        <v>6870</v>
      </c>
      <c r="R3238" s="42"/>
      <c r="S3238" s="1"/>
    </row>
    <row r="3239" spans="1:19" ht="18.75" hidden="1" customHeight="1" x14ac:dyDescent="0.3">
      <c r="A3239" s="10">
        <v>3238</v>
      </c>
      <c r="B3239" s="10">
        <f>_xlfn.XLOOKUP(1,(VALUE(D3239)&gt;=VALUE(block!$C$3:$C$500))*(VALUE(D3239)&lt;VALUE(block!$C$3:$C$500)+VALUE(block!$D$3:$D$500)),block!$A$3:$A$500,"无匹配",0,1)</f>
        <v>86</v>
      </c>
      <c r="C3239" s="3" t="str">
        <f>B3239 &amp; "-" &amp; COUNTIF($B$2:B3239, B3239)</f>
        <v>86-26</v>
      </c>
      <c r="D3239" s="10">
        <v>22866</v>
      </c>
      <c r="E3239" s="1" t="s">
        <v>7911</v>
      </c>
      <c r="F3239" s="1" t="s">
        <v>7912</v>
      </c>
      <c r="H3239" s="3" t="s">
        <v>6767</v>
      </c>
      <c r="I3239" s="10" t="str">
        <f>IF(H3239="T52",1,IF(H3239="T52",3,IF(H3239="T68",6,IF(H3239="T68",10,IF(H3239="T100",14,IF(H3239="T100",18,IF(H3239="T68",22,"")))))))</f>
        <v/>
      </c>
      <c r="J3239" s="1" t="s">
        <v>1808</v>
      </c>
      <c r="K3239" s="10">
        <v>4</v>
      </c>
      <c r="L3239" s="10">
        <v>1</v>
      </c>
      <c r="O3239" s="6"/>
      <c r="Q3239" s="42" t="s">
        <v>6870</v>
      </c>
      <c r="R3239" s="42"/>
      <c r="S3239" s="1"/>
    </row>
    <row r="3240" spans="1:19" ht="18.75" hidden="1" customHeight="1" x14ac:dyDescent="0.3">
      <c r="A3240" s="10">
        <v>3239</v>
      </c>
      <c r="B3240" s="10">
        <f>_xlfn.XLOOKUP(1,(VALUE(D3240)&gt;=VALUE(block!$C$3:$C$500))*(VALUE(D3240)&lt;VALUE(block!$C$3:$C$500)+VALUE(block!$D$3:$D$500)),block!$A$3:$A$500,"无匹配",0,1)</f>
        <v>86</v>
      </c>
      <c r="C3240" s="3" t="str">
        <f>B3240 &amp; "-" &amp; COUNTIF($B$2:B3240, B3240)</f>
        <v>86-27</v>
      </c>
      <c r="D3240" s="10">
        <v>22870</v>
      </c>
      <c r="E3240" s="1" t="s">
        <v>7913</v>
      </c>
      <c r="F3240" s="1" t="s">
        <v>7914</v>
      </c>
      <c r="G3240" s="1" t="s">
        <v>1832</v>
      </c>
      <c r="H3240" s="1" t="s">
        <v>1812</v>
      </c>
      <c r="I3240" s="10" t="str">
        <f>IF(H3240="T53",1,IF(H3240="T53",3,IF(H3240="T69",6,IF(H3240="T69",10,IF(H3240="T101",14,IF(H3240="T101",18,IF(H3240="T69",22,"")))))))</f>
        <v/>
      </c>
      <c r="J3240" s="1" t="s">
        <v>1808</v>
      </c>
      <c r="K3240" s="10">
        <v>2</v>
      </c>
      <c r="L3240" s="10">
        <v>1</v>
      </c>
      <c r="O3240" s="6"/>
      <c r="P3240" s="10">
        <v>6</v>
      </c>
      <c r="Q3240" s="42" t="s">
        <v>6870</v>
      </c>
      <c r="R3240" s="42"/>
      <c r="S3240" s="1"/>
    </row>
    <row r="3241" spans="1:19" ht="18.75" hidden="1" customHeight="1" x14ac:dyDescent="0.3">
      <c r="A3241" s="10">
        <v>3240</v>
      </c>
      <c r="B3241" s="10">
        <f>_xlfn.XLOOKUP(1,(VALUE(D3241)&gt;=VALUE(block!$C$3:$C$500))*(VALUE(D3241)&lt;VALUE(block!$C$3:$C$500)+VALUE(block!$D$3:$D$500)),block!$A$3:$A$500,"无匹配",0,1)</f>
        <v>86</v>
      </c>
      <c r="C3241" s="3" t="str">
        <f>B3241 &amp; "-" &amp; COUNTIF($B$2:B3241, B3241)</f>
        <v>86-28</v>
      </c>
      <c r="D3241" s="10">
        <v>22872</v>
      </c>
      <c r="E3241" s="1" t="s">
        <v>7915</v>
      </c>
      <c r="F3241" s="1" t="s">
        <v>7916</v>
      </c>
      <c r="H3241" s="3" t="s">
        <v>6767</v>
      </c>
      <c r="I3241" s="10" t="str">
        <f>IF(H3241="T54",1,IF(H3241="T54",3,IF(H3241="T70",6,IF(H3241="T70",10,IF(H3241="T102",14,IF(H3241="T102",18,IF(H3241="T70",22,"")))))))</f>
        <v/>
      </c>
      <c r="J3241" s="1" t="s">
        <v>1808</v>
      </c>
      <c r="K3241" s="10">
        <v>4</v>
      </c>
      <c r="L3241" s="10">
        <v>1</v>
      </c>
      <c r="O3241" s="6"/>
      <c r="Q3241" s="42" t="s">
        <v>6870</v>
      </c>
      <c r="R3241" s="42"/>
      <c r="S3241" s="1"/>
    </row>
    <row r="3242" spans="1:19" ht="18.75" hidden="1" customHeight="1" x14ac:dyDescent="0.3">
      <c r="A3242" s="10">
        <v>3241</v>
      </c>
      <c r="B3242" s="10">
        <f>_xlfn.XLOOKUP(1,(VALUE(D3242)&gt;=VALUE(block!$C$3:$C$500))*(VALUE(D3242)&lt;VALUE(block!$C$3:$C$500)+VALUE(block!$D$3:$D$500)),block!$A$3:$A$500,"无匹配",0,1)</f>
        <v>86</v>
      </c>
      <c r="C3242" s="3" t="str">
        <f>B3242 &amp; "-" &amp; COUNTIF($B$2:B3242, B3242)</f>
        <v>86-29</v>
      </c>
      <c r="D3242" s="10">
        <v>22876</v>
      </c>
      <c r="E3242" s="1" t="s">
        <v>7917</v>
      </c>
      <c r="F3242" s="1" t="s">
        <v>7918</v>
      </c>
      <c r="G3242" s="1" t="s">
        <v>1834</v>
      </c>
      <c r="H3242" s="1" t="s">
        <v>1812</v>
      </c>
      <c r="I3242" s="10" t="str">
        <f>IF(H3242="T55",1,IF(H3242="T55",3,IF(H3242="T71",6,IF(H3242="T71",10,IF(H3242="T103",14,IF(H3242="T103",18,IF(H3242="T71",22,"")))))))</f>
        <v/>
      </c>
      <c r="J3242" s="1" t="s">
        <v>1808</v>
      </c>
      <c r="K3242" s="10">
        <v>2</v>
      </c>
      <c r="L3242" s="10">
        <v>1</v>
      </c>
      <c r="O3242" s="6"/>
      <c r="P3242" s="10">
        <v>6</v>
      </c>
      <c r="Q3242" s="42" t="s">
        <v>6870</v>
      </c>
      <c r="R3242" s="42"/>
      <c r="S3242" s="1"/>
    </row>
    <row r="3243" spans="1:19" ht="18.75" hidden="1" customHeight="1" x14ac:dyDescent="0.3">
      <c r="A3243" s="10">
        <v>3242</v>
      </c>
      <c r="B3243" s="10">
        <f>_xlfn.XLOOKUP(1,(VALUE(D3243)&gt;=VALUE(block!$C$3:$C$500))*(VALUE(D3243)&lt;VALUE(block!$C$3:$C$500)+VALUE(block!$D$3:$D$500)),block!$A$3:$A$500,"无匹配",0,1)</f>
        <v>86</v>
      </c>
      <c r="C3243" s="3" t="str">
        <f>B3243 &amp; "-" &amp; COUNTIF($B$2:B3243, B3243)</f>
        <v>86-30</v>
      </c>
      <c r="D3243" s="10">
        <v>22878</v>
      </c>
      <c r="E3243" s="1" t="s">
        <v>7919</v>
      </c>
      <c r="F3243" s="1" t="s">
        <v>7920</v>
      </c>
      <c r="H3243" s="3" t="s">
        <v>6767</v>
      </c>
      <c r="I3243" s="10" t="str">
        <f>IF(H3243="T56",1,IF(H3243="T56",3,IF(H3243="T72",6,IF(H3243="T72",10,IF(H3243="T104",14,IF(H3243="T104",18,IF(H3243="T72",22,"")))))))</f>
        <v/>
      </c>
      <c r="J3243" s="1" t="s">
        <v>1808</v>
      </c>
      <c r="K3243" s="10">
        <v>4</v>
      </c>
      <c r="L3243" s="10">
        <v>1</v>
      </c>
      <c r="O3243" s="6"/>
      <c r="Q3243" s="42" t="s">
        <v>6870</v>
      </c>
      <c r="R3243" s="42"/>
      <c r="S3243" s="1"/>
    </row>
    <row r="3244" spans="1:19" ht="18.75" hidden="1" customHeight="1" x14ac:dyDescent="0.3">
      <c r="A3244" s="10">
        <v>3243</v>
      </c>
      <c r="B3244" s="10">
        <f>_xlfn.XLOOKUP(1,(VALUE(D3244)&gt;=VALUE(block!$C$3:$C$500))*(VALUE(D3244)&lt;VALUE(block!$C$3:$C$500)+VALUE(block!$D$3:$D$500)),block!$A$3:$A$500,"无匹配",0,1)</f>
        <v>86</v>
      </c>
      <c r="C3244" s="3" t="str">
        <f>B3244 &amp; "-" &amp; COUNTIF($B$2:B3244, B3244)</f>
        <v>86-31</v>
      </c>
      <c r="D3244" s="10">
        <v>22882</v>
      </c>
      <c r="E3244" s="1" t="s">
        <v>7921</v>
      </c>
      <c r="F3244" s="1" t="s">
        <v>7922</v>
      </c>
      <c r="G3244" s="1" t="s">
        <v>1836</v>
      </c>
      <c r="H3244" s="1" t="s">
        <v>1812</v>
      </c>
      <c r="I3244" s="10" t="str">
        <f>IF(H3244="T57",1,IF(H3244="T57",3,IF(H3244="T73",6,IF(H3244="T73",10,IF(H3244="T105",14,IF(H3244="T105",18,IF(H3244="T73",22,"")))))))</f>
        <v/>
      </c>
      <c r="J3244" s="1" t="s">
        <v>1808</v>
      </c>
      <c r="K3244" s="10">
        <v>2</v>
      </c>
      <c r="L3244" s="10">
        <v>1</v>
      </c>
      <c r="O3244" s="6"/>
      <c r="P3244" s="10">
        <v>6</v>
      </c>
      <c r="Q3244" s="42" t="s">
        <v>6870</v>
      </c>
      <c r="R3244" s="42"/>
      <c r="S3244" s="1"/>
    </row>
    <row r="3245" spans="1:19" ht="18.75" hidden="1" customHeight="1" x14ac:dyDescent="0.3">
      <c r="A3245" s="10">
        <v>3244</v>
      </c>
      <c r="B3245" s="10">
        <f>_xlfn.XLOOKUP(1,(VALUE(D3245)&gt;=VALUE(block!$C$3:$C$500))*(VALUE(D3245)&lt;VALUE(block!$C$3:$C$500)+VALUE(block!$D$3:$D$500)),block!$A$3:$A$500,"无匹配",0,1)</f>
        <v>86</v>
      </c>
      <c r="C3245" s="3" t="str">
        <f>B3245 &amp; "-" &amp; COUNTIF($B$2:B3245, B3245)</f>
        <v>86-32</v>
      </c>
      <c r="D3245" s="10">
        <v>22884</v>
      </c>
      <c r="E3245" s="1" t="s">
        <v>7923</v>
      </c>
      <c r="F3245" s="1" t="s">
        <v>7924</v>
      </c>
      <c r="H3245" s="3" t="s">
        <v>6767</v>
      </c>
      <c r="I3245" s="10" t="str">
        <f>IF(H3245="T58",1,IF(H3245="T58",3,IF(H3245="T74",6,IF(H3245="T74",10,IF(H3245="T106",14,IF(H3245="T106",18,IF(H3245="T74",22,"")))))))</f>
        <v/>
      </c>
      <c r="J3245" s="1" t="s">
        <v>1808</v>
      </c>
      <c r="K3245" s="10">
        <v>4</v>
      </c>
      <c r="L3245" s="10">
        <v>1</v>
      </c>
      <c r="O3245" s="6"/>
      <c r="Q3245" s="42" t="s">
        <v>6870</v>
      </c>
      <c r="R3245" s="42"/>
      <c r="S3245" s="1"/>
    </row>
    <row r="3246" spans="1:19" ht="18.75" hidden="1" customHeight="1" x14ac:dyDescent="0.3">
      <c r="A3246" s="10">
        <v>3245</v>
      </c>
      <c r="B3246" s="10">
        <f>_xlfn.XLOOKUP(1,(VALUE(D3246)&gt;=VALUE(block!$C$3:$C$500))*(VALUE(D3246)&lt;VALUE(block!$C$3:$C$500)+VALUE(block!$D$3:$D$500)),block!$A$3:$A$500,"无匹配",0,1)</f>
        <v>86</v>
      </c>
      <c r="C3246" s="3" t="str">
        <f>B3246 &amp; "-" &amp; COUNTIF($B$2:B3246, B3246)</f>
        <v>86-33</v>
      </c>
      <c r="D3246" s="10">
        <v>22888</v>
      </c>
      <c r="E3246" s="1" t="s">
        <v>7925</v>
      </c>
      <c r="F3246" s="1" t="s">
        <v>7926</v>
      </c>
      <c r="G3246" s="1" t="s">
        <v>1840</v>
      </c>
      <c r="H3246" s="1" t="s">
        <v>1812</v>
      </c>
      <c r="I3246" s="10" t="str">
        <f>IF(H3246="T59",1,IF(H3246="T59",3,IF(H3246="T75",6,IF(H3246="T75",10,IF(H3246="T107",14,IF(H3246="T107",18,IF(H3246="T75",22,"")))))))</f>
        <v/>
      </c>
      <c r="J3246" s="1" t="s">
        <v>1808</v>
      </c>
      <c r="K3246" s="10">
        <v>2</v>
      </c>
      <c r="L3246" s="10">
        <v>1</v>
      </c>
      <c r="O3246" s="6"/>
      <c r="P3246" s="10">
        <v>6</v>
      </c>
      <c r="Q3246" s="42" t="s">
        <v>6870</v>
      </c>
      <c r="R3246" s="42"/>
      <c r="S3246" s="1"/>
    </row>
    <row r="3247" spans="1:19" ht="18.75" hidden="1" customHeight="1" x14ac:dyDescent="0.3">
      <c r="A3247" s="10">
        <v>3246</v>
      </c>
      <c r="B3247" s="10">
        <f>_xlfn.XLOOKUP(1,(VALUE(D3247)&gt;=VALUE(block!$C$3:$C$500))*(VALUE(D3247)&lt;VALUE(block!$C$3:$C$500)+VALUE(block!$D$3:$D$500)),block!$A$3:$A$500,"无匹配",0,1)</f>
        <v>86</v>
      </c>
      <c r="C3247" s="3" t="str">
        <f>B3247 &amp; "-" &amp; COUNTIF($B$2:B3247, B3247)</f>
        <v>86-34</v>
      </c>
      <c r="D3247" s="10">
        <v>22890</v>
      </c>
      <c r="E3247" s="1" t="s">
        <v>7927</v>
      </c>
      <c r="F3247" s="1" t="s">
        <v>7928</v>
      </c>
      <c r="H3247" s="3" t="s">
        <v>6767</v>
      </c>
      <c r="I3247" s="10" t="str">
        <f>IF(H3247="T60",1,IF(H3247="T60",3,IF(H3247="T76",6,IF(H3247="T76",10,IF(H3247="T108",14,IF(H3247="T108",18,IF(H3247="T76",22,"")))))))</f>
        <v/>
      </c>
      <c r="J3247" s="1" t="s">
        <v>1808</v>
      </c>
      <c r="K3247" s="10">
        <v>4</v>
      </c>
      <c r="L3247" s="10">
        <v>1</v>
      </c>
      <c r="O3247" s="6"/>
      <c r="Q3247" s="42" t="s">
        <v>6870</v>
      </c>
      <c r="R3247" s="42"/>
      <c r="S3247" s="1"/>
    </row>
    <row r="3248" spans="1:19" ht="18.75" hidden="1" customHeight="1" x14ac:dyDescent="0.3">
      <c r="A3248" s="10">
        <v>3247</v>
      </c>
      <c r="B3248" s="10">
        <f>_xlfn.XLOOKUP(1,(VALUE(D3248)&gt;=VALUE(block!$C$3:$C$500))*(VALUE(D3248)&lt;VALUE(block!$C$3:$C$500)+VALUE(block!$D$3:$D$500)),block!$A$3:$A$500,"无匹配",0,1)</f>
        <v>86</v>
      </c>
      <c r="C3248" s="3" t="str">
        <f>B3248 &amp; "-" &amp; COUNTIF($B$2:B3248, B3248)</f>
        <v>86-35</v>
      </c>
      <c r="D3248" s="10">
        <v>22894</v>
      </c>
      <c r="E3248" s="1" t="s">
        <v>7929</v>
      </c>
      <c r="F3248" s="1" t="s">
        <v>7930</v>
      </c>
      <c r="G3248" s="1" t="s">
        <v>1840</v>
      </c>
      <c r="H3248" s="1" t="s">
        <v>1812</v>
      </c>
      <c r="I3248" s="10" t="str">
        <f>IF(H3248="T61",1,IF(H3248="T61",3,IF(H3248="T77",6,IF(H3248="T77",10,IF(H3248="T109",14,IF(H3248="T109",18,IF(H3248="T77",22,"")))))))</f>
        <v/>
      </c>
      <c r="J3248" s="1" t="s">
        <v>1808</v>
      </c>
      <c r="K3248" s="10">
        <v>2</v>
      </c>
      <c r="L3248" s="10">
        <v>1</v>
      </c>
      <c r="O3248" s="6"/>
      <c r="P3248" s="10">
        <v>6</v>
      </c>
      <c r="Q3248" s="42" t="s">
        <v>6870</v>
      </c>
      <c r="R3248" s="42"/>
      <c r="S3248" s="1"/>
    </row>
    <row r="3249" spans="1:19" ht="18.75" hidden="1" customHeight="1" x14ac:dyDescent="0.3">
      <c r="A3249" s="10">
        <v>3248</v>
      </c>
      <c r="B3249" s="10">
        <f>_xlfn.XLOOKUP(1,(VALUE(D3249)&gt;=VALUE(block!$C$3:$C$500))*(VALUE(D3249)&lt;VALUE(block!$C$3:$C$500)+VALUE(block!$D$3:$D$500)),block!$A$3:$A$500,"无匹配",0,1)</f>
        <v>86</v>
      </c>
      <c r="C3249" s="3" t="str">
        <f>B3249 &amp; "-" &amp; COUNTIF($B$2:B3249, B3249)</f>
        <v>86-36</v>
      </c>
      <c r="D3249" s="10">
        <v>22896</v>
      </c>
      <c r="E3249" s="1" t="s">
        <v>7931</v>
      </c>
      <c r="F3249" s="1" t="s">
        <v>7932</v>
      </c>
      <c r="H3249" s="3" t="s">
        <v>6767</v>
      </c>
      <c r="I3249" s="10" t="str">
        <f>IF(H3249="T62",1,IF(H3249="T62",3,IF(H3249="T78",6,IF(H3249="T78",10,IF(H3249="T110",14,IF(H3249="T110",18,IF(H3249="T78",22,"")))))))</f>
        <v/>
      </c>
      <c r="J3249" s="1" t="s">
        <v>1808</v>
      </c>
      <c r="K3249" s="10">
        <v>4</v>
      </c>
      <c r="L3249" s="10">
        <v>1</v>
      </c>
      <c r="O3249" s="6"/>
      <c r="Q3249" s="42" t="s">
        <v>6870</v>
      </c>
      <c r="R3249" s="42"/>
      <c r="S3249" s="1"/>
    </row>
    <row r="3250" spans="1:19" ht="18.75" hidden="1" customHeight="1" x14ac:dyDescent="0.3">
      <c r="A3250" s="10">
        <v>3249</v>
      </c>
      <c r="B3250" s="10">
        <f>_xlfn.XLOOKUP(1,(VALUE(D3250)&gt;=VALUE(block!$C$3:$C$500))*(VALUE(D3250)&lt;VALUE(block!$C$3:$C$500)+VALUE(block!$D$3:$D$500)),block!$A$3:$A$500,"无匹配",0,1)</f>
        <v>87</v>
      </c>
      <c r="C3250" s="3" t="str">
        <f>B3250 &amp; "-" &amp; COUNTIF($B$2:B3250, B3250)</f>
        <v>87-1</v>
      </c>
      <c r="D3250" s="10">
        <v>22900</v>
      </c>
      <c r="E3250" s="1" t="s">
        <v>7933</v>
      </c>
      <c r="F3250" s="1" t="s">
        <v>7934</v>
      </c>
      <c r="G3250" s="1" t="s">
        <v>1830</v>
      </c>
      <c r="H3250" s="1" t="s">
        <v>1812</v>
      </c>
      <c r="I3250" s="10" t="str">
        <f>IF(H3250="T63",1,IF(H3250="T63",3,IF(H3250="T79",6,IF(H3250="T79",10,IF(H3250="T111",14,IF(H3250="T111",18,IF(H3250="T79",22,"")))))))</f>
        <v/>
      </c>
      <c r="J3250" s="1" t="s">
        <v>1808</v>
      </c>
      <c r="K3250" s="10">
        <v>2</v>
      </c>
      <c r="L3250" s="10">
        <v>1</v>
      </c>
      <c r="O3250" s="6"/>
      <c r="P3250" s="10">
        <v>6</v>
      </c>
      <c r="Q3250" s="42" t="s">
        <v>6870</v>
      </c>
      <c r="R3250" s="42"/>
      <c r="S3250" s="1"/>
    </row>
    <row r="3251" spans="1:19" ht="18.75" hidden="1" customHeight="1" x14ac:dyDescent="0.3">
      <c r="A3251" s="10">
        <v>3250</v>
      </c>
      <c r="B3251" s="10">
        <f>_xlfn.XLOOKUP(1,(VALUE(D3251)&gt;=VALUE(block!$C$3:$C$500))*(VALUE(D3251)&lt;VALUE(block!$C$3:$C$500)+VALUE(block!$D$3:$D$500)),block!$A$3:$A$500,"无匹配",0,1)</f>
        <v>87</v>
      </c>
      <c r="C3251" s="3" t="str">
        <f>B3251 &amp; "-" &amp; COUNTIF($B$2:B3251, B3251)</f>
        <v>87-2</v>
      </c>
      <c r="D3251" s="10">
        <v>22902</v>
      </c>
      <c r="E3251" s="1" t="s">
        <v>7935</v>
      </c>
      <c r="F3251" s="1" t="s">
        <v>7936</v>
      </c>
      <c r="H3251" s="3" t="s">
        <v>6767</v>
      </c>
      <c r="I3251" s="10" t="str">
        <f>IF(H3251="T64",1,IF(H3251="T64",3,IF(H3251="T80",6,IF(H3251="T80",10,IF(H3251="T112",14,IF(H3251="T112",18,IF(H3251="T80",22,"")))))))</f>
        <v/>
      </c>
      <c r="J3251" s="1" t="s">
        <v>1808</v>
      </c>
      <c r="K3251" s="10">
        <v>4</v>
      </c>
      <c r="L3251" s="10">
        <v>1</v>
      </c>
      <c r="O3251" s="6"/>
      <c r="Q3251" s="42" t="s">
        <v>6870</v>
      </c>
      <c r="R3251" s="42"/>
      <c r="S3251" s="1"/>
    </row>
    <row r="3252" spans="1:19" ht="18.75" hidden="1" customHeight="1" x14ac:dyDescent="0.3">
      <c r="A3252" s="10">
        <v>3251</v>
      </c>
      <c r="B3252" s="10">
        <f>_xlfn.XLOOKUP(1,(VALUE(D3252)&gt;=VALUE(block!$C$3:$C$500))*(VALUE(D3252)&lt;VALUE(block!$C$3:$C$500)+VALUE(block!$D$3:$D$500)),block!$A$3:$A$500,"无匹配",0,1)</f>
        <v>87</v>
      </c>
      <c r="C3252" s="3" t="str">
        <f>B3252 &amp; "-" &amp; COUNTIF($B$2:B3252, B3252)</f>
        <v>87-3</v>
      </c>
      <c r="D3252" s="10">
        <v>22906</v>
      </c>
      <c r="E3252" s="1" t="s">
        <v>7937</v>
      </c>
      <c r="F3252" s="1" t="s">
        <v>7938</v>
      </c>
      <c r="G3252" s="1" t="s">
        <v>1832</v>
      </c>
      <c r="H3252" s="1" t="s">
        <v>1812</v>
      </c>
      <c r="I3252" s="10" t="str">
        <f>IF(H3252="T65",1,IF(H3252="T65",3,IF(H3252="T81",6,IF(H3252="T81",10,IF(H3252="T113",14,IF(H3252="T113",18,IF(H3252="T81",22,"")))))))</f>
        <v/>
      </c>
      <c r="J3252" s="1" t="s">
        <v>1808</v>
      </c>
      <c r="K3252" s="10">
        <v>2</v>
      </c>
      <c r="L3252" s="10">
        <v>1</v>
      </c>
      <c r="O3252" s="6"/>
      <c r="P3252" s="10">
        <v>6</v>
      </c>
      <c r="Q3252" s="42" t="s">
        <v>6870</v>
      </c>
      <c r="R3252" s="42"/>
      <c r="S3252" s="1"/>
    </row>
    <row r="3253" spans="1:19" ht="18.75" hidden="1" customHeight="1" x14ac:dyDescent="0.3">
      <c r="A3253" s="10">
        <v>3252</v>
      </c>
      <c r="B3253" s="10">
        <f>_xlfn.XLOOKUP(1,(VALUE(D3253)&gt;=VALUE(block!$C$3:$C$500))*(VALUE(D3253)&lt;VALUE(block!$C$3:$C$500)+VALUE(block!$D$3:$D$500)),block!$A$3:$A$500,"无匹配",0,1)</f>
        <v>87</v>
      </c>
      <c r="C3253" s="3" t="str">
        <f>B3253 &amp; "-" &amp; COUNTIF($B$2:B3253, B3253)</f>
        <v>87-4</v>
      </c>
      <c r="D3253" s="10">
        <v>22908</v>
      </c>
      <c r="E3253" s="1" t="s">
        <v>7939</v>
      </c>
      <c r="F3253" s="1" t="s">
        <v>7940</v>
      </c>
      <c r="H3253" s="3" t="s">
        <v>6767</v>
      </c>
      <c r="I3253" s="10" t="str">
        <f>IF(H3253="T66",1,IF(H3253="T66",3,IF(H3253="T82",6,IF(H3253="T82",10,IF(H3253="T114",14,IF(H3253="T114",18,IF(H3253="T82",22,"")))))))</f>
        <v/>
      </c>
      <c r="J3253" s="1" t="s">
        <v>1808</v>
      </c>
      <c r="K3253" s="10">
        <v>4</v>
      </c>
      <c r="L3253" s="10">
        <v>1</v>
      </c>
      <c r="O3253" s="6"/>
      <c r="Q3253" s="42" t="s">
        <v>6870</v>
      </c>
      <c r="R3253" s="42"/>
      <c r="S3253" s="1"/>
    </row>
    <row r="3254" spans="1:19" ht="18.75" hidden="1" customHeight="1" x14ac:dyDescent="0.3">
      <c r="A3254" s="10">
        <v>3253</v>
      </c>
      <c r="B3254" s="10">
        <f>_xlfn.XLOOKUP(1,(VALUE(D3254)&gt;=VALUE(block!$C$3:$C$500))*(VALUE(D3254)&lt;VALUE(block!$C$3:$C$500)+VALUE(block!$D$3:$D$500)),block!$A$3:$A$500,"无匹配",0,1)</f>
        <v>87</v>
      </c>
      <c r="C3254" s="3" t="str">
        <f>B3254 &amp; "-" &amp; COUNTIF($B$2:B3254, B3254)</f>
        <v>87-5</v>
      </c>
      <c r="D3254" s="10">
        <v>22912</v>
      </c>
      <c r="E3254" s="1" t="s">
        <v>7941</v>
      </c>
      <c r="F3254" s="1" t="s">
        <v>7942</v>
      </c>
      <c r="G3254" s="1" t="s">
        <v>1834</v>
      </c>
      <c r="H3254" s="1" t="s">
        <v>1812</v>
      </c>
      <c r="I3254" s="10" t="str">
        <f>IF(H3254="T67",1,IF(H3254="T67",3,IF(H3254="T83",6,IF(H3254="T83",10,IF(H3254="T115",14,IF(H3254="T115",18,IF(H3254="T83",22,"")))))))</f>
        <v/>
      </c>
      <c r="J3254" s="1" t="s">
        <v>1808</v>
      </c>
      <c r="K3254" s="10">
        <v>2</v>
      </c>
      <c r="L3254" s="10">
        <v>1</v>
      </c>
      <c r="O3254" s="6"/>
      <c r="P3254" s="10">
        <v>6</v>
      </c>
      <c r="Q3254" s="42" t="s">
        <v>6870</v>
      </c>
      <c r="R3254" s="42"/>
      <c r="S3254" s="1"/>
    </row>
    <row r="3255" spans="1:19" ht="18.75" hidden="1" customHeight="1" x14ac:dyDescent="0.3">
      <c r="A3255" s="10">
        <v>3254</v>
      </c>
      <c r="B3255" s="10">
        <f>_xlfn.XLOOKUP(1,(VALUE(D3255)&gt;=VALUE(block!$C$3:$C$500))*(VALUE(D3255)&lt;VALUE(block!$C$3:$C$500)+VALUE(block!$D$3:$D$500)),block!$A$3:$A$500,"无匹配",0,1)</f>
        <v>87</v>
      </c>
      <c r="C3255" s="3" t="str">
        <f>B3255 &amp; "-" &amp; COUNTIF($B$2:B3255, B3255)</f>
        <v>87-6</v>
      </c>
      <c r="D3255" s="10">
        <v>22914</v>
      </c>
      <c r="E3255" s="1" t="s">
        <v>7943</v>
      </c>
      <c r="F3255" s="1" t="s">
        <v>7944</v>
      </c>
      <c r="H3255" s="3" t="s">
        <v>6767</v>
      </c>
      <c r="I3255" s="10" t="str">
        <f>IF(H3255="T68",1,IF(H3255="T68",3,IF(H3255="T84",6,IF(H3255="T84",10,IF(H3255="T116",14,IF(H3255="T116",18,IF(H3255="T84",22,"")))))))</f>
        <v/>
      </c>
      <c r="J3255" s="1" t="s">
        <v>1808</v>
      </c>
      <c r="K3255" s="10">
        <v>4</v>
      </c>
      <c r="L3255" s="10">
        <v>1</v>
      </c>
      <c r="O3255" s="6"/>
      <c r="Q3255" s="42" t="s">
        <v>6870</v>
      </c>
      <c r="R3255" s="42"/>
      <c r="S3255" s="1"/>
    </row>
    <row r="3256" spans="1:19" ht="18.75" hidden="1" customHeight="1" x14ac:dyDescent="0.3">
      <c r="A3256" s="10">
        <v>3255</v>
      </c>
      <c r="B3256" s="10">
        <f>_xlfn.XLOOKUP(1,(VALUE(D3256)&gt;=VALUE(block!$C$3:$C$500))*(VALUE(D3256)&lt;VALUE(block!$C$3:$C$500)+VALUE(block!$D$3:$D$500)),block!$A$3:$A$500,"无匹配",0,1)</f>
        <v>87</v>
      </c>
      <c r="C3256" s="3" t="str">
        <f>B3256 &amp; "-" &amp; COUNTIF($B$2:B3256, B3256)</f>
        <v>87-7</v>
      </c>
      <c r="D3256" s="10">
        <v>22918</v>
      </c>
      <c r="E3256" s="1" t="s">
        <v>7945</v>
      </c>
      <c r="F3256" s="1" t="s">
        <v>7946</v>
      </c>
      <c r="G3256" s="1" t="s">
        <v>1836</v>
      </c>
      <c r="H3256" s="1" t="s">
        <v>1812</v>
      </c>
      <c r="I3256" s="10" t="str">
        <f>IF(H3256="T69",1,IF(H3256="T69",3,IF(H3256="T85",6,IF(H3256="T85",10,IF(H3256="T117",14,IF(H3256="T117",18,IF(H3256="T85",22,"")))))))</f>
        <v/>
      </c>
      <c r="J3256" s="1" t="s">
        <v>1808</v>
      </c>
      <c r="K3256" s="10">
        <v>2</v>
      </c>
      <c r="L3256" s="10">
        <v>1</v>
      </c>
      <c r="O3256" s="6"/>
      <c r="P3256" s="10">
        <v>6</v>
      </c>
      <c r="Q3256" s="42" t="s">
        <v>6870</v>
      </c>
      <c r="R3256" s="42"/>
      <c r="S3256" s="1"/>
    </row>
    <row r="3257" spans="1:19" ht="18.75" hidden="1" customHeight="1" x14ac:dyDescent="0.3">
      <c r="A3257" s="10">
        <v>3256</v>
      </c>
      <c r="B3257" s="10">
        <f>_xlfn.XLOOKUP(1,(VALUE(D3257)&gt;=VALUE(block!$C$3:$C$500))*(VALUE(D3257)&lt;VALUE(block!$C$3:$C$500)+VALUE(block!$D$3:$D$500)),block!$A$3:$A$500,"无匹配",0,1)</f>
        <v>87</v>
      </c>
      <c r="C3257" s="3" t="str">
        <f>B3257 &amp; "-" &amp; COUNTIF($B$2:B3257, B3257)</f>
        <v>87-8</v>
      </c>
      <c r="D3257" s="10">
        <v>22920</v>
      </c>
      <c r="E3257" s="1" t="s">
        <v>7947</v>
      </c>
      <c r="F3257" s="1" t="s">
        <v>7948</v>
      </c>
      <c r="H3257" s="3" t="s">
        <v>6767</v>
      </c>
      <c r="I3257" s="10" t="str">
        <f>IF(H3257="T70",1,IF(H3257="T70",3,IF(H3257="T86",6,IF(H3257="T86",10,IF(H3257="T118",14,IF(H3257="T118",18,IF(H3257="T86",22,"")))))))</f>
        <v/>
      </c>
      <c r="J3257" s="1" t="s">
        <v>1808</v>
      </c>
      <c r="K3257" s="10">
        <v>4</v>
      </c>
      <c r="L3257" s="10">
        <v>1</v>
      </c>
      <c r="O3257" s="6"/>
      <c r="Q3257" s="42" t="s">
        <v>6870</v>
      </c>
      <c r="R3257" s="42"/>
      <c r="S3257" s="1"/>
    </row>
    <row r="3258" spans="1:19" ht="18.75" hidden="1" customHeight="1" x14ac:dyDescent="0.3">
      <c r="A3258" s="10">
        <v>3257</v>
      </c>
      <c r="B3258" s="10">
        <f>_xlfn.XLOOKUP(1,(VALUE(D3258)&gt;=VALUE(block!$C$3:$C$500))*(VALUE(D3258)&lt;VALUE(block!$C$3:$C$500)+VALUE(block!$D$3:$D$500)),block!$A$3:$A$500,"无匹配",0,1)</f>
        <v>87</v>
      </c>
      <c r="C3258" s="3" t="str">
        <f>B3258 &amp; "-" &amp; COUNTIF($B$2:B3258, B3258)</f>
        <v>87-9</v>
      </c>
      <c r="D3258" s="10">
        <v>22924</v>
      </c>
      <c r="E3258" s="1" t="s">
        <v>7949</v>
      </c>
      <c r="F3258" s="1" t="s">
        <v>7950</v>
      </c>
      <c r="G3258" s="1" t="s">
        <v>1840</v>
      </c>
      <c r="H3258" s="1" t="s">
        <v>1812</v>
      </c>
      <c r="I3258" s="10" t="str">
        <f>IF(H3258="T71",1,IF(H3258="T71",3,IF(H3258="T87",6,IF(H3258="T87",10,IF(H3258="T119",14,IF(H3258="T119",18,IF(H3258="T87",22,"")))))))</f>
        <v/>
      </c>
      <c r="J3258" s="1" t="s">
        <v>1808</v>
      </c>
      <c r="K3258" s="10">
        <v>2</v>
      </c>
      <c r="L3258" s="10">
        <v>1</v>
      </c>
      <c r="O3258" s="6"/>
      <c r="P3258" s="10">
        <v>6</v>
      </c>
      <c r="Q3258" s="42" t="s">
        <v>6870</v>
      </c>
      <c r="R3258" s="42"/>
      <c r="S3258" s="1"/>
    </row>
    <row r="3259" spans="1:19" ht="18.75" hidden="1" customHeight="1" x14ac:dyDescent="0.3">
      <c r="A3259" s="10">
        <v>3258</v>
      </c>
      <c r="B3259" s="10">
        <f>_xlfn.XLOOKUP(1,(VALUE(D3259)&gt;=VALUE(block!$C$3:$C$500))*(VALUE(D3259)&lt;VALUE(block!$C$3:$C$500)+VALUE(block!$D$3:$D$500)),block!$A$3:$A$500,"无匹配",0,1)</f>
        <v>87</v>
      </c>
      <c r="C3259" s="3" t="str">
        <f>B3259 &amp; "-" &amp; COUNTIF($B$2:B3259, B3259)</f>
        <v>87-10</v>
      </c>
      <c r="D3259" s="10">
        <v>22926</v>
      </c>
      <c r="E3259" s="1" t="s">
        <v>7951</v>
      </c>
      <c r="F3259" s="1" t="s">
        <v>7952</v>
      </c>
      <c r="H3259" s="3" t="s">
        <v>6767</v>
      </c>
      <c r="I3259" s="10" t="str">
        <f>IF(H3259="T72",1,IF(H3259="T72",3,IF(H3259="T88",6,IF(H3259="T88",10,IF(H3259="T120",14,IF(H3259="T120",18,IF(H3259="T88",22,"")))))))</f>
        <v/>
      </c>
      <c r="J3259" s="1" t="s">
        <v>1808</v>
      </c>
      <c r="K3259" s="10">
        <v>4</v>
      </c>
      <c r="L3259" s="10">
        <v>1</v>
      </c>
      <c r="O3259" s="6"/>
      <c r="Q3259" s="42" t="s">
        <v>6870</v>
      </c>
      <c r="R3259" s="42"/>
      <c r="S3259" s="1"/>
    </row>
    <row r="3260" spans="1:19" ht="18.75" hidden="1" customHeight="1" x14ac:dyDescent="0.3">
      <c r="A3260" s="10">
        <v>3259</v>
      </c>
      <c r="B3260" s="10">
        <f>_xlfn.XLOOKUP(1,(VALUE(D3260)&gt;=VALUE(block!$C$3:$C$500))*(VALUE(D3260)&lt;VALUE(block!$C$3:$C$500)+VALUE(block!$D$3:$D$500)),block!$A$3:$A$500,"无匹配",0,1)</f>
        <v>87</v>
      </c>
      <c r="C3260" s="3" t="str">
        <f>B3260 &amp; "-" &amp; COUNTIF($B$2:B3260, B3260)</f>
        <v>87-11</v>
      </c>
      <c r="D3260" s="10">
        <v>22930</v>
      </c>
      <c r="E3260" s="1" t="s">
        <v>7953</v>
      </c>
      <c r="F3260" s="1" t="s">
        <v>7954</v>
      </c>
      <c r="G3260" s="1" t="s">
        <v>1840</v>
      </c>
      <c r="H3260" s="1" t="s">
        <v>1812</v>
      </c>
      <c r="I3260" s="10" t="str">
        <f>IF(H3260="T73",1,IF(H3260="T73",3,IF(H3260="T89",6,IF(H3260="T89",10,IF(H3260="T121",14,IF(H3260="T121",18,IF(H3260="T89",22,"")))))))</f>
        <v/>
      </c>
      <c r="J3260" s="1" t="s">
        <v>1808</v>
      </c>
      <c r="K3260" s="10">
        <v>2</v>
      </c>
      <c r="L3260" s="10">
        <v>1</v>
      </c>
      <c r="O3260" s="6"/>
      <c r="P3260" s="10">
        <v>6</v>
      </c>
      <c r="Q3260" s="42" t="s">
        <v>6870</v>
      </c>
      <c r="R3260" s="42"/>
      <c r="S3260" s="1"/>
    </row>
    <row r="3261" spans="1:19" ht="18.75" hidden="1" customHeight="1" x14ac:dyDescent="0.3">
      <c r="A3261" s="10">
        <v>3260</v>
      </c>
      <c r="B3261" s="10">
        <f>_xlfn.XLOOKUP(1,(VALUE(D3261)&gt;=VALUE(block!$C$3:$C$500))*(VALUE(D3261)&lt;VALUE(block!$C$3:$C$500)+VALUE(block!$D$3:$D$500)),block!$A$3:$A$500,"无匹配",0,1)</f>
        <v>87</v>
      </c>
      <c r="C3261" s="3" t="str">
        <f>B3261 &amp; "-" &amp; COUNTIF($B$2:B3261, B3261)</f>
        <v>87-12</v>
      </c>
      <c r="D3261" s="10">
        <v>22932</v>
      </c>
      <c r="E3261" s="1" t="s">
        <v>7955</v>
      </c>
      <c r="F3261" s="1" t="s">
        <v>7956</v>
      </c>
      <c r="H3261" s="3" t="s">
        <v>6767</v>
      </c>
      <c r="I3261" s="10" t="str">
        <f>IF(H3261="T74",1,IF(H3261="T74",3,IF(H3261="T90",6,IF(H3261="T90",10,IF(H3261="T122",14,IF(H3261="T122",18,IF(H3261="T90",22,"")))))))</f>
        <v/>
      </c>
      <c r="J3261" s="1" t="s">
        <v>1808</v>
      </c>
      <c r="K3261" s="10">
        <v>4</v>
      </c>
      <c r="L3261" s="10">
        <v>1</v>
      </c>
      <c r="O3261" s="6"/>
      <c r="Q3261" s="42" t="s">
        <v>6870</v>
      </c>
      <c r="R3261" s="42"/>
      <c r="S3261" s="1"/>
    </row>
    <row r="3262" spans="1:19" ht="18.75" hidden="1" customHeight="1" x14ac:dyDescent="0.3">
      <c r="A3262" s="10">
        <v>3261</v>
      </c>
      <c r="B3262" s="10">
        <f>_xlfn.XLOOKUP(1,(VALUE(D3262)&gt;=VALUE(block!$C$3:$C$500))*(VALUE(D3262)&lt;VALUE(block!$C$3:$C$500)+VALUE(block!$D$3:$D$500)),block!$A$3:$A$500,"无匹配",0,1)</f>
        <v>87</v>
      </c>
      <c r="C3262" s="3" t="str">
        <f>B3262 &amp; "-" &amp; COUNTIF($B$2:B3262, B3262)</f>
        <v>87-13</v>
      </c>
      <c r="D3262" s="10">
        <v>22936</v>
      </c>
      <c r="E3262" s="1" t="s">
        <v>7957</v>
      </c>
      <c r="F3262" s="1" t="s">
        <v>7958</v>
      </c>
      <c r="G3262" s="1" t="s">
        <v>1830</v>
      </c>
      <c r="H3262" s="1" t="s">
        <v>1812</v>
      </c>
      <c r="I3262" s="10" t="str">
        <f>IF(H3262="T75",1,IF(H3262="T75",3,IF(H3262="T91",6,IF(H3262="T91",10,IF(H3262="T123",14,IF(H3262="T123",18,IF(H3262="T91",22,"")))))))</f>
        <v/>
      </c>
      <c r="J3262" s="1" t="s">
        <v>1808</v>
      </c>
      <c r="K3262" s="10">
        <v>2</v>
      </c>
      <c r="L3262" s="10">
        <v>1</v>
      </c>
      <c r="O3262" s="6"/>
      <c r="P3262" s="10">
        <v>6</v>
      </c>
      <c r="Q3262" s="42" t="s">
        <v>6870</v>
      </c>
      <c r="R3262" s="42"/>
      <c r="S3262" s="1"/>
    </row>
    <row r="3263" spans="1:19" ht="18.75" hidden="1" customHeight="1" x14ac:dyDescent="0.3">
      <c r="A3263" s="10">
        <v>3262</v>
      </c>
      <c r="B3263" s="10">
        <f>_xlfn.XLOOKUP(1,(VALUE(D3263)&gt;=VALUE(block!$C$3:$C$500))*(VALUE(D3263)&lt;VALUE(block!$C$3:$C$500)+VALUE(block!$D$3:$D$500)),block!$A$3:$A$500,"无匹配",0,1)</f>
        <v>87</v>
      </c>
      <c r="C3263" s="3" t="str">
        <f>B3263 &amp; "-" &amp; COUNTIF($B$2:B3263, B3263)</f>
        <v>87-14</v>
      </c>
      <c r="D3263" s="10">
        <v>22938</v>
      </c>
      <c r="E3263" s="1" t="s">
        <v>7959</v>
      </c>
      <c r="F3263" s="1" t="s">
        <v>7960</v>
      </c>
      <c r="H3263" s="3" t="s">
        <v>6767</v>
      </c>
      <c r="I3263" s="10" t="str">
        <f>IF(H3263="T76",1,IF(H3263="T76",3,IF(H3263="T92",6,IF(H3263="T92",10,IF(H3263="T124",14,IF(H3263="T124",18,IF(H3263="T92",22,"")))))))</f>
        <v/>
      </c>
      <c r="J3263" s="1" t="s">
        <v>1808</v>
      </c>
      <c r="K3263" s="10">
        <v>4</v>
      </c>
      <c r="L3263" s="10">
        <v>1</v>
      </c>
      <c r="O3263" s="6"/>
      <c r="Q3263" s="42" t="s">
        <v>6870</v>
      </c>
      <c r="R3263" s="42"/>
      <c r="S3263" s="1"/>
    </row>
    <row r="3264" spans="1:19" ht="18.75" hidden="1" customHeight="1" x14ac:dyDescent="0.3">
      <c r="A3264" s="10">
        <v>3263</v>
      </c>
      <c r="B3264" s="10">
        <f>_xlfn.XLOOKUP(1,(VALUE(D3264)&gt;=VALUE(block!$C$3:$C$500))*(VALUE(D3264)&lt;VALUE(block!$C$3:$C$500)+VALUE(block!$D$3:$D$500)),block!$A$3:$A$500,"无匹配",0,1)</f>
        <v>87</v>
      </c>
      <c r="C3264" s="3" t="str">
        <f>B3264 &amp; "-" &amp; COUNTIF($B$2:B3264, B3264)</f>
        <v>87-15</v>
      </c>
      <c r="D3264" s="10">
        <v>22942</v>
      </c>
      <c r="E3264" s="1" t="s">
        <v>7961</v>
      </c>
      <c r="F3264" s="1" t="s">
        <v>7962</v>
      </c>
      <c r="G3264" s="1" t="s">
        <v>1832</v>
      </c>
      <c r="H3264" s="1" t="s">
        <v>1812</v>
      </c>
      <c r="I3264" s="10" t="str">
        <f>IF(H3264="T77",1,IF(H3264="T77",3,IF(H3264="T93",6,IF(H3264="T93",10,IF(H3264="T125",14,IF(H3264="T125",18,IF(H3264="T93",22,"")))))))</f>
        <v/>
      </c>
      <c r="J3264" s="1" t="s">
        <v>1808</v>
      </c>
      <c r="K3264" s="10">
        <v>2</v>
      </c>
      <c r="L3264" s="10">
        <v>1</v>
      </c>
      <c r="O3264" s="6"/>
      <c r="P3264" s="10">
        <v>6</v>
      </c>
      <c r="Q3264" s="42" t="s">
        <v>6870</v>
      </c>
      <c r="R3264" s="42"/>
      <c r="S3264" s="1"/>
    </row>
    <row r="3265" spans="1:19" ht="18.75" hidden="1" customHeight="1" x14ac:dyDescent="0.3">
      <c r="A3265" s="10">
        <v>3264</v>
      </c>
      <c r="B3265" s="10">
        <f>_xlfn.XLOOKUP(1,(VALUE(D3265)&gt;=VALUE(block!$C$3:$C$500))*(VALUE(D3265)&lt;VALUE(block!$C$3:$C$500)+VALUE(block!$D$3:$D$500)),block!$A$3:$A$500,"无匹配",0,1)</f>
        <v>87</v>
      </c>
      <c r="C3265" s="3" t="str">
        <f>B3265 &amp; "-" &amp; COUNTIF($B$2:B3265, B3265)</f>
        <v>87-16</v>
      </c>
      <c r="D3265" s="10">
        <v>22944</v>
      </c>
      <c r="E3265" s="1" t="s">
        <v>7963</v>
      </c>
      <c r="F3265" s="1" t="s">
        <v>7964</v>
      </c>
      <c r="H3265" s="3" t="s">
        <v>6767</v>
      </c>
      <c r="I3265" s="10" t="str">
        <f>IF(H3265="T78",1,IF(H3265="T78",3,IF(H3265="T94",6,IF(H3265="T94",10,IF(H3265="T126",14,IF(H3265="T126",18,IF(H3265="T94",22,"")))))))</f>
        <v/>
      </c>
      <c r="J3265" s="1" t="s">
        <v>1808</v>
      </c>
      <c r="K3265" s="10">
        <v>4</v>
      </c>
      <c r="L3265" s="10">
        <v>1</v>
      </c>
      <c r="O3265" s="6"/>
      <c r="Q3265" s="42" t="s">
        <v>6870</v>
      </c>
      <c r="R3265" s="42"/>
      <c r="S3265" s="1"/>
    </row>
    <row r="3266" spans="1:19" ht="18.75" hidden="1" customHeight="1" x14ac:dyDescent="0.3">
      <c r="A3266" s="10">
        <v>3265</v>
      </c>
      <c r="B3266" s="10">
        <f>_xlfn.XLOOKUP(1,(VALUE(D3266)&gt;=VALUE(block!$C$3:$C$500))*(VALUE(D3266)&lt;VALUE(block!$C$3:$C$500)+VALUE(block!$D$3:$D$500)),block!$A$3:$A$500,"无匹配",0,1)</f>
        <v>87</v>
      </c>
      <c r="C3266" s="3" t="str">
        <f>B3266 &amp; "-" &amp; COUNTIF($B$2:B3266, B3266)</f>
        <v>87-17</v>
      </c>
      <c r="D3266" s="10">
        <v>22948</v>
      </c>
      <c r="E3266" s="1" t="s">
        <v>7965</v>
      </c>
      <c r="F3266" s="1" t="s">
        <v>7966</v>
      </c>
      <c r="G3266" s="1" t="s">
        <v>1834</v>
      </c>
      <c r="H3266" s="1" t="s">
        <v>1812</v>
      </c>
      <c r="I3266" s="10" t="str">
        <f>IF(H3266="T79",1,IF(H3266="T79",3,IF(H3266="T95",6,IF(H3266="T95",10,IF(H3266="T127",14,IF(H3266="T127",18,IF(H3266="T95",22,"")))))))</f>
        <v/>
      </c>
      <c r="J3266" s="1" t="s">
        <v>1808</v>
      </c>
      <c r="K3266" s="10">
        <v>2</v>
      </c>
      <c r="L3266" s="10">
        <v>1</v>
      </c>
      <c r="O3266" s="6"/>
      <c r="P3266" s="10">
        <v>6</v>
      </c>
      <c r="Q3266" s="42" t="s">
        <v>6870</v>
      </c>
      <c r="R3266" s="42"/>
      <c r="S3266" s="1"/>
    </row>
    <row r="3267" spans="1:19" ht="18.75" hidden="1" customHeight="1" x14ac:dyDescent="0.3">
      <c r="A3267" s="10">
        <v>3266</v>
      </c>
      <c r="B3267" s="10">
        <f>_xlfn.XLOOKUP(1,(VALUE(D3267)&gt;=VALUE(block!$C$3:$C$500))*(VALUE(D3267)&lt;VALUE(block!$C$3:$C$500)+VALUE(block!$D$3:$D$500)),block!$A$3:$A$500,"无匹配",0,1)</f>
        <v>87</v>
      </c>
      <c r="C3267" s="3" t="str">
        <f>B3267 &amp; "-" &amp; COUNTIF($B$2:B3267, B3267)</f>
        <v>87-18</v>
      </c>
      <c r="D3267" s="10">
        <v>22950</v>
      </c>
      <c r="E3267" s="1" t="s">
        <v>7967</v>
      </c>
      <c r="F3267" s="1" t="s">
        <v>7968</v>
      </c>
      <c r="H3267" s="3" t="s">
        <v>6767</v>
      </c>
      <c r="I3267" s="10">
        <f>IF(H3267="uint16",1,IF(H3267="int16",3,IF(H3267="uint32",6,IF(H3267="int32",10,IF(H3267="uint64",14,IF(H3267="int64",18,IF(H3267="float32",22,"")))))))</f>
        <v>14</v>
      </c>
      <c r="J3267" s="1" t="s">
        <v>1808</v>
      </c>
      <c r="K3267" s="10">
        <v>4</v>
      </c>
      <c r="L3267" s="10">
        <v>1</v>
      </c>
      <c r="O3267" s="6"/>
      <c r="Q3267" s="42" t="s">
        <v>6870</v>
      </c>
      <c r="R3267" s="42"/>
      <c r="S3267" s="1"/>
    </row>
    <row r="3268" spans="1:19" ht="18.75" hidden="1" customHeight="1" x14ac:dyDescent="0.3">
      <c r="A3268" s="10">
        <v>3267</v>
      </c>
      <c r="B3268" s="10">
        <f>_xlfn.XLOOKUP(1,(VALUE(D3268)&gt;=VALUE(block!$C$3:$C$500))*(VALUE(D3268)&lt;VALUE(block!$C$3:$C$500)+VALUE(block!$D$3:$D$500)),block!$A$3:$A$500,"无匹配",0,1)</f>
        <v>87</v>
      </c>
      <c r="C3268" s="3" t="str">
        <f>B3268 &amp; "-" &amp; COUNTIF($B$2:B3268, B3268)</f>
        <v>87-19</v>
      </c>
      <c r="D3268" s="10">
        <v>22954</v>
      </c>
      <c r="E3268" s="1" t="s">
        <v>7969</v>
      </c>
      <c r="F3268" s="1" t="s">
        <v>7970</v>
      </c>
      <c r="G3268" s="1" t="s">
        <v>1836</v>
      </c>
      <c r="H3268" s="1" t="s">
        <v>1812</v>
      </c>
      <c r="I3268" s="10" t="str">
        <f>IF(H3268="T17",1,IF(H3268="T17",3,IF(H3268="T33",6,IF(H3268="T33",10,IF(H3268="T65",14,IF(H3268="T65",18,IF(H3268="T33",22,"")))))))</f>
        <v/>
      </c>
      <c r="J3268" s="1" t="s">
        <v>1808</v>
      </c>
      <c r="K3268" s="10">
        <v>2</v>
      </c>
      <c r="L3268" s="10">
        <v>1</v>
      </c>
      <c r="O3268" s="6"/>
      <c r="P3268" s="10">
        <v>6</v>
      </c>
      <c r="Q3268" s="42" t="s">
        <v>6870</v>
      </c>
      <c r="R3268" s="42"/>
      <c r="S3268" s="1"/>
    </row>
    <row r="3269" spans="1:19" ht="18.75" hidden="1" customHeight="1" x14ac:dyDescent="0.3">
      <c r="A3269" s="10">
        <v>3268</v>
      </c>
      <c r="B3269" s="10">
        <f>_xlfn.XLOOKUP(1,(VALUE(D3269)&gt;=VALUE(block!$C$3:$C$500))*(VALUE(D3269)&lt;VALUE(block!$C$3:$C$500)+VALUE(block!$D$3:$D$500)),block!$A$3:$A$500,"无匹配",0,1)</f>
        <v>87</v>
      </c>
      <c r="C3269" s="3" t="str">
        <f>B3269 &amp; "-" &amp; COUNTIF($B$2:B3269, B3269)</f>
        <v>87-20</v>
      </c>
      <c r="D3269" s="10">
        <v>22956</v>
      </c>
      <c r="E3269" s="1" t="s">
        <v>7971</v>
      </c>
      <c r="F3269" s="1" t="s">
        <v>7972</v>
      </c>
      <c r="H3269" s="3" t="s">
        <v>6767</v>
      </c>
      <c r="I3269" s="10" t="str">
        <f>IF(H3269="T18",1,IF(H3269="T18",3,IF(H3269="T34",6,IF(H3269="T34",10,IF(H3269="T66",14,IF(H3269="T66",18,IF(H3269="T34",22,"")))))))</f>
        <v/>
      </c>
      <c r="J3269" s="1" t="s">
        <v>1808</v>
      </c>
      <c r="K3269" s="10">
        <v>4</v>
      </c>
      <c r="L3269" s="10">
        <v>1</v>
      </c>
      <c r="O3269" s="6"/>
      <c r="Q3269" s="42" t="s">
        <v>6870</v>
      </c>
      <c r="R3269" s="42"/>
      <c r="S3269" s="1"/>
    </row>
    <row r="3270" spans="1:19" ht="18.75" hidden="1" customHeight="1" x14ac:dyDescent="0.3">
      <c r="A3270" s="10">
        <v>3269</v>
      </c>
      <c r="B3270" s="10">
        <f>_xlfn.XLOOKUP(1,(VALUE(D3270)&gt;=VALUE(block!$C$3:$C$500))*(VALUE(D3270)&lt;VALUE(block!$C$3:$C$500)+VALUE(block!$D$3:$D$500)),block!$A$3:$A$500,"无匹配",0,1)</f>
        <v>87</v>
      </c>
      <c r="C3270" s="3" t="str">
        <f>B3270 &amp; "-" &amp; COUNTIF($B$2:B3270, B3270)</f>
        <v>87-21</v>
      </c>
      <c r="D3270" s="10">
        <v>22960</v>
      </c>
      <c r="E3270" s="1" t="s">
        <v>7973</v>
      </c>
      <c r="F3270" s="1" t="s">
        <v>7974</v>
      </c>
      <c r="G3270" s="1" t="s">
        <v>1840</v>
      </c>
      <c r="H3270" s="1" t="s">
        <v>1812</v>
      </c>
      <c r="I3270" s="10" t="str">
        <f>IF(H3270="T19",1,IF(H3270="T19",3,IF(H3270="T35",6,IF(H3270="T35",10,IF(H3270="T67",14,IF(H3270="T67",18,IF(H3270="T35",22,"")))))))</f>
        <v/>
      </c>
      <c r="J3270" s="1" t="s">
        <v>1808</v>
      </c>
      <c r="K3270" s="10">
        <v>2</v>
      </c>
      <c r="L3270" s="10">
        <v>1</v>
      </c>
      <c r="O3270" s="6"/>
      <c r="P3270" s="10">
        <v>6</v>
      </c>
      <c r="Q3270" s="42" t="s">
        <v>6870</v>
      </c>
      <c r="R3270" s="42"/>
      <c r="S3270" s="1"/>
    </row>
    <row r="3271" spans="1:19" ht="18.75" hidden="1" customHeight="1" x14ac:dyDescent="0.3">
      <c r="A3271" s="10">
        <v>3270</v>
      </c>
      <c r="B3271" s="10">
        <f>_xlfn.XLOOKUP(1,(VALUE(D3271)&gt;=VALUE(block!$C$3:$C$500))*(VALUE(D3271)&lt;VALUE(block!$C$3:$C$500)+VALUE(block!$D$3:$D$500)),block!$A$3:$A$500,"无匹配",0,1)</f>
        <v>87</v>
      </c>
      <c r="C3271" s="3" t="str">
        <f>B3271 &amp; "-" &amp; COUNTIF($B$2:B3271, B3271)</f>
        <v>87-22</v>
      </c>
      <c r="D3271" s="10">
        <v>22962</v>
      </c>
      <c r="E3271" s="1" t="s">
        <v>7975</v>
      </c>
      <c r="F3271" s="1" t="s">
        <v>7976</v>
      </c>
      <c r="H3271" s="3" t="s">
        <v>6767</v>
      </c>
      <c r="I3271" s="10" t="str">
        <f>IF(H3271="T20",1,IF(H3271="T20",3,IF(H3271="T36",6,IF(H3271="T36",10,IF(H3271="T68",14,IF(H3271="T68",18,IF(H3271="T36",22,"")))))))</f>
        <v/>
      </c>
      <c r="J3271" s="1" t="s">
        <v>1808</v>
      </c>
      <c r="K3271" s="10">
        <v>4</v>
      </c>
      <c r="L3271" s="10">
        <v>1</v>
      </c>
      <c r="O3271" s="6"/>
      <c r="Q3271" s="42" t="s">
        <v>6870</v>
      </c>
      <c r="R3271" s="42"/>
      <c r="S3271" s="1"/>
    </row>
    <row r="3272" spans="1:19" ht="18.75" hidden="1" customHeight="1" x14ac:dyDescent="0.3">
      <c r="A3272" s="10">
        <v>3271</v>
      </c>
      <c r="B3272" s="10">
        <f>_xlfn.XLOOKUP(1,(VALUE(D3272)&gt;=VALUE(block!$C$3:$C$500))*(VALUE(D3272)&lt;VALUE(block!$C$3:$C$500)+VALUE(block!$D$3:$D$500)),block!$A$3:$A$500,"无匹配",0,1)</f>
        <v>87</v>
      </c>
      <c r="C3272" s="3" t="str">
        <f>B3272 &amp; "-" &amp; COUNTIF($B$2:B3272, B3272)</f>
        <v>87-23</v>
      </c>
      <c r="D3272" s="10">
        <v>22966</v>
      </c>
      <c r="E3272" s="1" t="s">
        <v>7977</v>
      </c>
      <c r="F3272" s="1" t="s">
        <v>7978</v>
      </c>
      <c r="G3272" s="1" t="s">
        <v>1840</v>
      </c>
      <c r="H3272" s="1" t="s">
        <v>1812</v>
      </c>
      <c r="I3272" s="10" t="str">
        <f>IF(H3272="T21",1,IF(H3272="T21",3,IF(H3272="T37",6,IF(H3272="T37",10,IF(H3272="T69",14,IF(H3272="T69",18,IF(H3272="T37",22,"")))))))</f>
        <v/>
      </c>
      <c r="J3272" s="1" t="s">
        <v>1808</v>
      </c>
      <c r="K3272" s="10">
        <v>2</v>
      </c>
      <c r="L3272" s="10">
        <v>1</v>
      </c>
      <c r="O3272" s="6"/>
      <c r="P3272" s="10">
        <v>6</v>
      </c>
      <c r="Q3272" s="42" t="s">
        <v>6870</v>
      </c>
      <c r="R3272" s="42"/>
      <c r="S3272" s="1"/>
    </row>
    <row r="3273" spans="1:19" ht="18.75" hidden="1" customHeight="1" x14ac:dyDescent="0.3">
      <c r="A3273" s="10">
        <v>3272</v>
      </c>
      <c r="B3273" s="10">
        <f>_xlfn.XLOOKUP(1,(VALUE(D3273)&gt;=VALUE(block!$C$3:$C$500))*(VALUE(D3273)&lt;VALUE(block!$C$3:$C$500)+VALUE(block!$D$3:$D$500)),block!$A$3:$A$500,"无匹配",0,1)</f>
        <v>87</v>
      </c>
      <c r="C3273" s="3" t="str">
        <f>B3273 &amp; "-" &amp; COUNTIF($B$2:B3273, B3273)</f>
        <v>87-24</v>
      </c>
      <c r="D3273" s="10">
        <v>22968</v>
      </c>
      <c r="E3273" s="1" t="s">
        <v>7979</v>
      </c>
      <c r="F3273" s="1" t="s">
        <v>7980</v>
      </c>
      <c r="H3273" s="3" t="s">
        <v>6767</v>
      </c>
      <c r="I3273" s="10" t="str">
        <f>IF(H3273="T22",1,IF(H3273="T22",3,IF(H3273="T38",6,IF(H3273="T38",10,IF(H3273="T70",14,IF(H3273="T70",18,IF(H3273="T38",22,"")))))))</f>
        <v/>
      </c>
      <c r="J3273" s="1" t="s">
        <v>1808</v>
      </c>
      <c r="K3273" s="10">
        <v>4</v>
      </c>
      <c r="L3273" s="10">
        <v>1</v>
      </c>
      <c r="O3273" s="6"/>
      <c r="Q3273" s="42" t="s">
        <v>6870</v>
      </c>
      <c r="R3273" s="42"/>
      <c r="S3273" s="1"/>
    </row>
    <row r="3274" spans="1:19" ht="18.75" hidden="1" customHeight="1" x14ac:dyDescent="0.3">
      <c r="A3274" s="10">
        <v>3273</v>
      </c>
      <c r="B3274" s="10">
        <f>_xlfn.XLOOKUP(1,(VALUE(D3274)&gt;=VALUE(block!$C$3:$C$500))*(VALUE(D3274)&lt;VALUE(block!$C$3:$C$500)+VALUE(block!$D$3:$D$500)),block!$A$3:$A$500,"无匹配",0,1)</f>
        <v>87</v>
      </c>
      <c r="C3274" s="3" t="str">
        <f>B3274 &amp; "-" &amp; COUNTIF($B$2:B3274, B3274)</f>
        <v>87-25</v>
      </c>
      <c r="D3274" s="10">
        <v>22972</v>
      </c>
      <c r="E3274" s="1" t="s">
        <v>7981</v>
      </c>
      <c r="F3274" s="1" t="s">
        <v>7982</v>
      </c>
      <c r="G3274" s="1" t="s">
        <v>1830</v>
      </c>
      <c r="H3274" s="1" t="s">
        <v>1812</v>
      </c>
      <c r="I3274" s="10" t="str">
        <f>IF(H3274="T23",1,IF(H3274="T23",3,IF(H3274="T39",6,IF(H3274="T39",10,IF(H3274="T71",14,IF(H3274="T71",18,IF(H3274="T39",22,"")))))))</f>
        <v/>
      </c>
      <c r="J3274" s="1" t="s">
        <v>1808</v>
      </c>
      <c r="K3274" s="10">
        <v>2</v>
      </c>
      <c r="L3274" s="10">
        <v>1</v>
      </c>
      <c r="O3274" s="6"/>
      <c r="P3274" s="10">
        <v>6</v>
      </c>
      <c r="Q3274" s="42" t="s">
        <v>6870</v>
      </c>
      <c r="R3274" s="42"/>
      <c r="S3274" s="1"/>
    </row>
    <row r="3275" spans="1:19" ht="18.75" hidden="1" customHeight="1" x14ac:dyDescent="0.3">
      <c r="A3275" s="10">
        <v>3274</v>
      </c>
      <c r="B3275" s="10">
        <f>_xlfn.XLOOKUP(1,(VALUE(D3275)&gt;=VALUE(block!$C$3:$C$500))*(VALUE(D3275)&lt;VALUE(block!$C$3:$C$500)+VALUE(block!$D$3:$D$500)),block!$A$3:$A$500,"无匹配",0,1)</f>
        <v>87</v>
      </c>
      <c r="C3275" s="3" t="str">
        <f>B3275 &amp; "-" &amp; COUNTIF($B$2:B3275, B3275)</f>
        <v>87-26</v>
      </c>
      <c r="D3275" s="10">
        <v>22974</v>
      </c>
      <c r="E3275" s="1" t="s">
        <v>7983</v>
      </c>
      <c r="F3275" s="1" t="s">
        <v>7984</v>
      </c>
      <c r="H3275" s="3" t="s">
        <v>6767</v>
      </c>
      <c r="I3275" s="10" t="str">
        <f>IF(H3275="T24",1,IF(H3275="T24",3,IF(H3275="T40",6,IF(H3275="T40",10,IF(H3275="T72",14,IF(H3275="T72",18,IF(H3275="T40",22,"")))))))</f>
        <v/>
      </c>
      <c r="J3275" s="1" t="s">
        <v>1808</v>
      </c>
      <c r="K3275" s="10">
        <v>4</v>
      </c>
      <c r="L3275" s="10">
        <v>1</v>
      </c>
      <c r="O3275" s="6"/>
      <c r="Q3275" s="42" t="s">
        <v>6870</v>
      </c>
      <c r="R3275" s="42"/>
      <c r="S3275" s="1"/>
    </row>
    <row r="3276" spans="1:19" ht="18.75" hidden="1" customHeight="1" x14ac:dyDescent="0.3">
      <c r="A3276" s="10">
        <v>3275</v>
      </c>
      <c r="B3276" s="10">
        <f>_xlfn.XLOOKUP(1,(VALUE(D3276)&gt;=VALUE(block!$C$3:$C$500))*(VALUE(D3276)&lt;VALUE(block!$C$3:$C$500)+VALUE(block!$D$3:$D$500)),block!$A$3:$A$500,"无匹配",0,1)</f>
        <v>87</v>
      </c>
      <c r="C3276" s="3" t="str">
        <f>B3276 &amp; "-" &amp; COUNTIF($B$2:B3276, B3276)</f>
        <v>87-27</v>
      </c>
      <c r="D3276" s="10">
        <v>22978</v>
      </c>
      <c r="E3276" s="1" t="s">
        <v>7985</v>
      </c>
      <c r="F3276" s="1" t="s">
        <v>7986</v>
      </c>
      <c r="G3276" s="1" t="s">
        <v>1832</v>
      </c>
      <c r="H3276" s="1" t="s">
        <v>1812</v>
      </c>
      <c r="I3276" s="10" t="str">
        <f>IF(H3276="T25",1,IF(H3276="T25",3,IF(H3276="T41",6,IF(H3276="T41",10,IF(H3276="T73",14,IF(H3276="T73",18,IF(H3276="T41",22,"")))))))</f>
        <v/>
      </c>
      <c r="J3276" s="1" t="s">
        <v>1808</v>
      </c>
      <c r="K3276" s="10">
        <v>2</v>
      </c>
      <c r="L3276" s="10">
        <v>1</v>
      </c>
      <c r="O3276" s="6"/>
      <c r="P3276" s="10">
        <v>6</v>
      </c>
      <c r="Q3276" s="42" t="s">
        <v>6870</v>
      </c>
      <c r="R3276" s="42"/>
      <c r="S3276" s="1"/>
    </row>
    <row r="3277" spans="1:19" ht="18.75" hidden="1" customHeight="1" x14ac:dyDescent="0.3">
      <c r="A3277" s="10">
        <v>3276</v>
      </c>
      <c r="B3277" s="10">
        <f>_xlfn.XLOOKUP(1,(VALUE(D3277)&gt;=VALUE(block!$C$3:$C$500))*(VALUE(D3277)&lt;VALUE(block!$C$3:$C$500)+VALUE(block!$D$3:$D$500)),block!$A$3:$A$500,"无匹配",0,1)</f>
        <v>87</v>
      </c>
      <c r="C3277" s="3" t="str">
        <f>B3277 &amp; "-" &amp; COUNTIF($B$2:B3277, B3277)</f>
        <v>87-28</v>
      </c>
      <c r="D3277" s="10">
        <v>22980</v>
      </c>
      <c r="E3277" s="1" t="s">
        <v>7987</v>
      </c>
      <c r="F3277" s="1" t="s">
        <v>7988</v>
      </c>
      <c r="H3277" s="3" t="s">
        <v>6767</v>
      </c>
      <c r="I3277" s="10" t="str">
        <f>IF(H3277="T26",1,IF(H3277="T26",3,IF(H3277="T42",6,IF(H3277="T42",10,IF(H3277="T74",14,IF(H3277="T74",18,IF(H3277="T42",22,"")))))))</f>
        <v/>
      </c>
      <c r="J3277" s="1" t="s">
        <v>1808</v>
      </c>
      <c r="K3277" s="10">
        <v>4</v>
      </c>
      <c r="L3277" s="10">
        <v>1</v>
      </c>
      <c r="O3277" s="6"/>
      <c r="Q3277" s="42" t="s">
        <v>6870</v>
      </c>
      <c r="R3277" s="42"/>
      <c r="S3277" s="1"/>
    </row>
    <row r="3278" spans="1:19" ht="18.75" hidden="1" customHeight="1" x14ac:dyDescent="0.3">
      <c r="A3278" s="10">
        <v>3277</v>
      </c>
      <c r="B3278" s="10">
        <f>_xlfn.XLOOKUP(1,(VALUE(D3278)&gt;=VALUE(block!$C$3:$C$500))*(VALUE(D3278)&lt;VALUE(block!$C$3:$C$500)+VALUE(block!$D$3:$D$500)),block!$A$3:$A$500,"无匹配",0,1)</f>
        <v>87</v>
      </c>
      <c r="C3278" s="3" t="str">
        <f>B3278 &amp; "-" &amp; COUNTIF($B$2:B3278, B3278)</f>
        <v>87-29</v>
      </c>
      <c r="D3278" s="10">
        <v>22984</v>
      </c>
      <c r="E3278" s="1" t="s">
        <v>7989</v>
      </c>
      <c r="F3278" s="1" t="s">
        <v>7990</v>
      </c>
      <c r="G3278" s="1" t="s">
        <v>1834</v>
      </c>
      <c r="H3278" s="1" t="s">
        <v>1812</v>
      </c>
      <c r="I3278" s="10" t="str">
        <f>IF(H3278="T27",1,IF(H3278="T27",3,IF(H3278="T43",6,IF(H3278="T43",10,IF(H3278="T75",14,IF(H3278="T75",18,IF(H3278="T43",22,"")))))))</f>
        <v/>
      </c>
      <c r="J3278" s="1" t="s">
        <v>1808</v>
      </c>
      <c r="K3278" s="10">
        <v>2</v>
      </c>
      <c r="L3278" s="10">
        <v>1</v>
      </c>
      <c r="O3278" s="6"/>
      <c r="P3278" s="10">
        <v>6</v>
      </c>
      <c r="Q3278" s="42" t="s">
        <v>6870</v>
      </c>
      <c r="R3278" s="42"/>
      <c r="S3278" s="1"/>
    </row>
    <row r="3279" spans="1:19" ht="18.75" hidden="1" customHeight="1" x14ac:dyDescent="0.3">
      <c r="A3279" s="10">
        <v>3278</v>
      </c>
      <c r="B3279" s="10">
        <f>_xlfn.XLOOKUP(1,(VALUE(D3279)&gt;=VALUE(block!$C$3:$C$500))*(VALUE(D3279)&lt;VALUE(block!$C$3:$C$500)+VALUE(block!$D$3:$D$500)),block!$A$3:$A$500,"无匹配",0,1)</f>
        <v>87</v>
      </c>
      <c r="C3279" s="3" t="str">
        <f>B3279 &amp; "-" &amp; COUNTIF($B$2:B3279, B3279)</f>
        <v>87-30</v>
      </c>
      <c r="D3279" s="10">
        <v>22986</v>
      </c>
      <c r="E3279" s="1" t="s">
        <v>7991</v>
      </c>
      <c r="F3279" s="1" t="s">
        <v>7992</v>
      </c>
      <c r="H3279" s="3" t="s">
        <v>6767</v>
      </c>
      <c r="I3279" s="10" t="str">
        <f>IF(H3279="T28",1,IF(H3279="T28",3,IF(H3279="T44",6,IF(H3279="T44",10,IF(H3279="T76",14,IF(H3279="T76",18,IF(H3279="T44",22,"")))))))</f>
        <v/>
      </c>
      <c r="J3279" s="1" t="s">
        <v>1808</v>
      </c>
      <c r="K3279" s="10">
        <v>4</v>
      </c>
      <c r="L3279" s="10">
        <v>1</v>
      </c>
      <c r="O3279" s="6"/>
      <c r="Q3279" s="42" t="s">
        <v>6870</v>
      </c>
      <c r="R3279" s="42"/>
      <c r="S3279" s="1"/>
    </row>
    <row r="3280" spans="1:19" ht="18.75" hidden="1" customHeight="1" x14ac:dyDescent="0.3">
      <c r="A3280" s="10">
        <v>3279</v>
      </c>
      <c r="B3280" s="10">
        <f>_xlfn.XLOOKUP(1,(VALUE(D3280)&gt;=VALUE(block!$C$3:$C$500))*(VALUE(D3280)&lt;VALUE(block!$C$3:$C$500)+VALUE(block!$D$3:$D$500)),block!$A$3:$A$500,"无匹配",0,1)</f>
        <v>87</v>
      </c>
      <c r="C3280" s="3" t="str">
        <f>B3280 &amp; "-" &amp; COUNTIF($B$2:B3280, B3280)</f>
        <v>87-31</v>
      </c>
      <c r="D3280" s="10">
        <v>22990</v>
      </c>
      <c r="E3280" s="1" t="s">
        <v>7993</v>
      </c>
      <c r="F3280" s="1" t="s">
        <v>7994</v>
      </c>
      <c r="G3280" s="1" t="s">
        <v>1836</v>
      </c>
      <c r="H3280" s="1" t="s">
        <v>1812</v>
      </c>
      <c r="I3280" s="10" t="str">
        <f>IF(H3280="T29",1,IF(H3280="T29",3,IF(H3280="T45",6,IF(H3280="T45",10,IF(H3280="T77",14,IF(H3280="T77",18,IF(H3280="T45",22,"")))))))</f>
        <v/>
      </c>
      <c r="J3280" s="1" t="s">
        <v>1808</v>
      </c>
      <c r="K3280" s="10">
        <v>2</v>
      </c>
      <c r="L3280" s="10">
        <v>1</v>
      </c>
      <c r="O3280" s="6"/>
      <c r="P3280" s="10">
        <v>6</v>
      </c>
      <c r="Q3280" s="42" t="s">
        <v>6870</v>
      </c>
      <c r="R3280" s="42"/>
      <c r="S3280" s="1"/>
    </row>
    <row r="3281" spans="1:19" ht="18.75" hidden="1" customHeight="1" x14ac:dyDescent="0.3">
      <c r="A3281" s="10">
        <v>3280</v>
      </c>
      <c r="B3281" s="10">
        <f>_xlfn.XLOOKUP(1,(VALUE(D3281)&gt;=VALUE(block!$C$3:$C$500))*(VALUE(D3281)&lt;VALUE(block!$C$3:$C$500)+VALUE(block!$D$3:$D$500)),block!$A$3:$A$500,"无匹配",0,1)</f>
        <v>87</v>
      </c>
      <c r="C3281" s="3" t="str">
        <f>B3281 &amp; "-" &amp; COUNTIF($B$2:B3281, B3281)</f>
        <v>87-32</v>
      </c>
      <c r="D3281" s="10">
        <v>22992</v>
      </c>
      <c r="E3281" s="1" t="s">
        <v>7995</v>
      </c>
      <c r="F3281" s="1" t="s">
        <v>7996</v>
      </c>
      <c r="H3281" s="3" t="s">
        <v>6767</v>
      </c>
      <c r="I3281" s="10" t="str">
        <f>IF(H3281="T30",1,IF(H3281="T30",3,IF(H3281="T46",6,IF(H3281="T46",10,IF(H3281="T78",14,IF(H3281="T78",18,IF(H3281="T46",22,"")))))))</f>
        <v/>
      </c>
      <c r="J3281" s="1" t="s">
        <v>1808</v>
      </c>
      <c r="K3281" s="10">
        <v>4</v>
      </c>
      <c r="L3281" s="10">
        <v>1</v>
      </c>
      <c r="O3281" s="6"/>
      <c r="Q3281" s="42" t="s">
        <v>6870</v>
      </c>
      <c r="R3281" s="42"/>
      <c r="S3281" s="1"/>
    </row>
    <row r="3282" spans="1:19" ht="18.75" hidden="1" customHeight="1" x14ac:dyDescent="0.3">
      <c r="A3282" s="10">
        <v>3281</v>
      </c>
      <c r="B3282" s="10">
        <f>_xlfn.XLOOKUP(1,(VALUE(D3282)&gt;=VALUE(block!$C$3:$C$500))*(VALUE(D3282)&lt;VALUE(block!$C$3:$C$500)+VALUE(block!$D$3:$D$500)),block!$A$3:$A$500,"无匹配",0,1)</f>
        <v>87</v>
      </c>
      <c r="C3282" s="3" t="str">
        <f>B3282 &amp; "-" &amp; COUNTIF($B$2:B3282, B3282)</f>
        <v>87-33</v>
      </c>
      <c r="D3282" s="10">
        <v>22996</v>
      </c>
      <c r="E3282" s="1" t="s">
        <v>7997</v>
      </c>
      <c r="F3282" s="1" t="s">
        <v>7998</v>
      </c>
      <c r="G3282" s="1" t="s">
        <v>1840</v>
      </c>
      <c r="H3282" s="1" t="s">
        <v>1812</v>
      </c>
      <c r="I3282" s="10" t="str">
        <f>IF(H3282="T31",1,IF(H3282="T31",3,IF(H3282="T47",6,IF(H3282="T47",10,IF(H3282="T79",14,IF(H3282="T79",18,IF(H3282="T47",22,"")))))))</f>
        <v/>
      </c>
      <c r="J3282" s="1" t="s">
        <v>1808</v>
      </c>
      <c r="K3282" s="10">
        <v>2</v>
      </c>
      <c r="L3282" s="10">
        <v>1</v>
      </c>
      <c r="O3282" s="6"/>
      <c r="P3282" s="10">
        <v>6</v>
      </c>
      <c r="Q3282" s="42" t="s">
        <v>6870</v>
      </c>
      <c r="R3282" s="42"/>
      <c r="S3282" s="1"/>
    </row>
    <row r="3283" spans="1:19" ht="18.75" hidden="1" customHeight="1" x14ac:dyDescent="0.3">
      <c r="A3283" s="10">
        <v>3282</v>
      </c>
      <c r="B3283" s="10">
        <f>_xlfn.XLOOKUP(1,(VALUE(D3283)&gt;=VALUE(block!$C$3:$C$500))*(VALUE(D3283)&lt;VALUE(block!$C$3:$C$500)+VALUE(block!$D$3:$D$500)),block!$A$3:$A$500,"无匹配",0,1)</f>
        <v>87</v>
      </c>
      <c r="C3283" s="3" t="str">
        <f>B3283 &amp; "-" &amp; COUNTIF($B$2:B3283, B3283)</f>
        <v>87-34</v>
      </c>
      <c r="D3283" s="10">
        <v>22998</v>
      </c>
      <c r="E3283" s="1" t="s">
        <v>7999</v>
      </c>
      <c r="F3283" s="1" t="s">
        <v>8000</v>
      </c>
      <c r="H3283" s="3" t="s">
        <v>6767</v>
      </c>
      <c r="I3283" s="10" t="str">
        <f>IF(H3283="T32",1,IF(H3283="T32",3,IF(H3283="T48",6,IF(H3283="T48",10,IF(H3283="T80",14,IF(H3283="T80",18,IF(H3283="T48",22,"")))))))</f>
        <v/>
      </c>
      <c r="J3283" s="1" t="s">
        <v>1808</v>
      </c>
      <c r="K3283" s="10">
        <v>4</v>
      </c>
      <c r="L3283" s="10">
        <v>1</v>
      </c>
      <c r="O3283" s="6"/>
      <c r="Q3283" s="42" t="s">
        <v>6870</v>
      </c>
      <c r="R3283" s="42"/>
      <c r="S3283" s="1"/>
    </row>
    <row r="3284" spans="1:19" ht="18.75" hidden="1" customHeight="1" x14ac:dyDescent="0.3">
      <c r="A3284" s="10">
        <v>3283</v>
      </c>
      <c r="B3284" s="10">
        <f>_xlfn.XLOOKUP(1,(VALUE(D3284)&gt;=VALUE(block!$C$3:$C$500))*(VALUE(D3284)&lt;VALUE(block!$C$3:$C$500)+VALUE(block!$D$3:$D$500)),block!$A$3:$A$500,"无匹配",0,1)</f>
        <v>87</v>
      </c>
      <c r="C3284" s="3" t="str">
        <f>B3284 &amp; "-" &amp; COUNTIF($B$2:B3284, B3284)</f>
        <v>87-35</v>
      </c>
      <c r="D3284" s="10">
        <v>23002</v>
      </c>
      <c r="E3284" s="1" t="s">
        <v>8001</v>
      </c>
      <c r="F3284" s="1" t="s">
        <v>8002</v>
      </c>
      <c r="G3284" s="1" t="s">
        <v>1840</v>
      </c>
      <c r="H3284" s="1" t="s">
        <v>1812</v>
      </c>
      <c r="I3284" s="10" t="str">
        <f>IF(H3284="T33",1,IF(H3284="T33",3,IF(H3284="T49",6,IF(H3284="T49",10,IF(H3284="T81",14,IF(H3284="T81",18,IF(H3284="T49",22,"")))))))</f>
        <v/>
      </c>
      <c r="J3284" s="1" t="s">
        <v>1808</v>
      </c>
      <c r="K3284" s="10">
        <v>2</v>
      </c>
      <c r="L3284" s="10">
        <v>1</v>
      </c>
      <c r="O3284" s="6"/>
      <c r="P3284" s="10">
        <v>6</v>
      </c>
      <c r="Q3284" s="42" t="s">
        <v>6870</v>
      </c>
      <c r="R3284" s="42"/>
      <c r="S3284" s="1"/>
    </row>
    <row r="3285" spans="1:19" ht="18.75" hidden="1" customHeight="1" x14ac:dyDescent="0.3">
      <c r="A3285" s="10">
        <v>3284</v>
      </c>
      <c r="B3285" s="10">
        <f>_xlfn.XLOOKUP(1,(VALUE(D3285)&gt;=VALUE(block!$C$3:$C$500))*(VALUE(D3285)&lt;VALUE(block!$C$3:$C$500)+VALUE(block!$D$3:$D$500)),block!$A$3:$A$500,"无匹配",0,1)</f>
        <v>87</v>
      </c>
      <c r="C3285" s="3" t="str">
        <f>B3285 &amp; "-" &amp; COUNTIF($B$2:B3285, B3285)</f>
        <v>87-36</v>
      </c>
      <c r="D3285" s="10">
        <v>23004</v>
      </c>
      <c r="E3285" s="1" t="s">
        <v>8003</v>
      </c>
      <c r="F3285" s="1" t="s">
        <v>8004</v>
      </c>
      <c r="H3285" s="3" t="s">
        <v>6767</v>
      </c>
      <c r="I3285" s="10" t="str">
        <f>IF(H3285="T34",1,IF(H3285="T34",3,IF(H3285="T50",6,IF(H3285="T50",10,IF(H3285="T82",14,IF(H3285="T82",18,IF(H3285="T50",22,"")))))))</f>
        <v/>
      </c>
      <c r="J3285" s="1" t="s">
        <v>1808</v>
      </c>
      <c r="K3285" s="10">
        <v>4</v>
      </c>
      <c r="L3285" s="10">
        <v>1</v>
      </c>
      <c r="O3285" s="6"/>
      <c r="Q3285" s="42" t="s">
        <v>6870</v>
      </c>
      <c r="R3285" s="42"/>
      <c r="S3285" s="1"/>
    </row>
    <row r="3286" spans="1:19" ht="18.75" hidden="1" customHeight="1" x14ac:dyDescent="0.3">
      <c r="A3286" s="10">
        <v>3285</v>
      </c>
      <c r="B3286" s="10">
        <f>_xlfn.XLOOKUP(1,(VALUE(D3286)&gt;=VALUE(block!$C$3:$C$500))*(VALUE(D3286)&lt;VALUE(block!$C$3:$C$500)+VALUE(block!$D$3:$D$500)),block!$A$3:$A$500,"无匹配",0,1)</f>
        <v>88</v>
      </c>
      <c r="C3286" s="3" t="str">
        <f>B3286 &amp; "-" &amp; COUNTIF($B$2:B3286, B3286)</f>
        <v>88-1</v>
      </c>
      <c r="D3286" s="10">
        <v>23008</v>
      </c>
      <c r="E3286" s="1" t="s">
        <v>8005</v>
      </c>
      <c r="F3286" s="1" t="s">
        <v>8006</v>
      </c>
      <c r="G3286" s="1" t="s">
        <v>1830</v>
      </c>
      <c r="H3286" s="1" t="s">
        <v>1812</v>
      </c>
      <c r="I3286" s="10" t="str">
        <f>IF(H3286="T35",1,IF(H3286="T35",3,IF(H3286="T51",6,IF(H3286="T51",10,IF(H3286="T83",14,IF(H3286="T83",18,IF(H3286="T51",22,"")))))))</f>
        <v/>
      </c>
      <c r="J3286" s="1" t="s">
        <v>1808</v>
      </c>
      <c r="K3286" s="10">
        <v>2</v>
      </c>
      <c r="L3286" s="10">
        <v>1</v>
      </c>
      <c r="O3286" s="6"/>
      <c r="P3286" s="10">
        <v>6</v>
      </c>
      <c r="Q3286" s="42" t="s">
        <v>6870</v>
      </c>
      <c r="R3286" s="42"/>
      <c r="S3286" s="1"/>
    </row>
    <row r="3287" spans="1:19" ht="18.75" hidden="1" customHeight="1" x14ac:dyDescent="0.3">
      <c r="A3287" s="10">
        <v>3286</v>
      </c>
      <c r="B3287" s="10">
        <f>_xlfn.XLOOKUP(1,(VALUE(D3287)&gt;=VALUE(block!$C$3:$C$500))*(VALUE(D3287)&lt;VALUE(block!$C$3:$C$500)+VALUE(block!$D$3:$D$500)),block!$A$3:$A$500,"无匹配",0,1)</f>
        <v>88</v>
      </c>
      <c r="C3287" s="3" t="str">
        <f>B3287 &amp; "-" &amp; COUNTIF($B$2:B3287, B3287)</f>
        <v>88-2</v>
      </c>
      <c r="D3287" s="10">
        <v>23010</v>
      </c>
      <c r="E3287" s="1" t="s">
        <v>8007</v>
      </c>
      <c r="F3287" s="1" t="s">
        <v>8008</v>
      </c>
      <c r="H3287" s="3" t="s">
        <v>6767</v>
      </c>
      <c r="I3287" s="10" t="str">
        <f>IF(H3287="T36",1,IF(H3287="T36",3,IF(H3287="T52",6,IF(H3287="T52",10,IF(H3287="T84",14,IF(H3287="T84",18,IF(H3287="T52",22,"")))))))</f>
        <v/>
      </c>
      <c r="J3287" s="1" t="s">
        <v>1808</v>
      </c>
      <c r="K3287" s="10">
        <v>4</v>
      </c>
      <c r="L3287" s="10">
        <v>1</v>
      </c>
      <c r="O3287" s="6"/>
      <c r="Q3287" s="42" t="s">
        <v>6870</v>
      </c>
      <c r="R3287" s="42"/>
      <c r="S3287" s="1"/>
    </row>
    <row r="3288" spans="1:19" ht="18.75" hidden="1" customHeight="1" x14ac:dyDescent="0.3">
      <c r="A3288" s="10">
        <v>3287</v>
      </c>
      <c r="B3288" s="10">
        <f>_xlfn.XLOOKUP(1,(VALUE(D3288)&gt;=VALUE(block!$C$3:$C$500))*(VALUE(D3288)&lt;VALUE(block!$C$3:$C$500)+VALUE(block!$D$3:$D$500)),block!$A$3:$A$500,"无匹配",0,1)</f>
        <v>88</v>
      </c>
      <c r="C3288" s="3" t="str">
        <f>B3288 &amp; "-" &amp; COUNTIF($B$2:B3288, B3288)</f>
        <v>88-3</v>
      </c>
      <c r="D3288" s="10">
        <v>23014</v>
      </c>
      <c r="E3288" s="1" t="s">
        <v>8009</v>
      </c>
      <c r="F3288" s="1" t="s">
        <v>8010</v>
      </c>
      <c r="G3288" s="1" t="s">
        <v>1832</v>
      </c>
      <c r="H3288" s="1" t="s">
        <v>1812</v>
      </c>
      <c r="I3288" s="10" t="str">
        <f>IF(H3288="T37",1,IF(H3288="T37",3,IF(H3288="T53",6,IF(H3288="T53",10,IF(H3288="T85",14,IF(H3288="T85",18,IF(H3288="T53",22,"")))))))</f>
        <v/>
      </c>
      <c r="J3288" s="1" t="s">
        <v>1808</v>
      </c>
      <c r="K3288" s="10">
        <v>2</v>
      </c>
      <c r="L3288" s="10">
        <v>1</v>
      </c>
      <c r="O3288" s="6"/>
      <c r="P3288" s="10">
        <v>6</v>
      </c>
      <c r="Q3288" s="42" t="s">
        <v>6870</v>
      </c>
      <c r="R3288" s="42"/>
      <c r="S3288" s="1"/>
    </row>
    <row r="3289" spans="1:19" ht="18.75" hidden="1" customHeight="1" x14ac:dyDescent="0.3">
      <c r="A3289" s="10">
        <v>3288</v>
      </c>
      <c r="B3289" s="10">
        <f>_xlfn.XLOOKUP(1,(VALUE(D3289)&gt;=VALUE(block!$C$3:$C$500))*(VALUE(D3289)&lt;VALUE(block!$C$3:$C$500)+VALUE(block!$D$3:$D$500)),block!$A$3:$A$500,"无匹配",0,1)</f>
        <v>88</v>
      </c>
      <c r="C3289" s="3" t="str">
        <f>B3289 &amp; "-" &amp; COUNTIF($B$2:B3289, B3289)</f>
        <v>88-4</v>
      </c>
      <c r="D3289" s="10">
        <v>23016</v>
      </c>
      <c r="E3289" s="1" t="s">
        <v>8011</v>
      </c>
      <c r="F3289" s="1" t="s">
        <v>8012</v>
      </c>
      <c r="H3289" s="3" t="s">
        <v>6767</v>
      </c>
      <c r="I3289" s="10" t="str">
        <f>IF(H3289="T38",1,IF(H3289="T38",3,IF(H3289="T54",6,IF(H3289="T54",10,IF(H3289="T86",14,IF(H3289="T86",18,IF(H3289="T54",22,"")))))))</f>
        <v/>
      </c>
      <c r="J3289" s="1" t="s">
        <v>1808</v>
      </c>
      <c r="K3289" s="10">
        <v>4</v>
      </c>
      <c r="L3289" s="10">
        <v>1</v>
      </c>
      <c r="O3289" s="6"/>
      <c r="Q3289" s="42" t="s">
        <v>6870</v>
      </c>
      <c r="R3289" s="42"/>
      <c r="S3289" s="1"/>
    </row>
    <row r="3290" spans="1:19" ht="18.75" hidden="1" customHeight="1" x14ac:dyDescent="0.3">
      <c r="A3290" s="10">
        <v>3289</v>
      </c>
      <c r="B3290" s="10">
        <f>_xlfn.XLOOKUP(1,(VALUE(D3290)&gt;=VALUE(block!$C$3:$C$500))*(VALUE(D3290)&lt;VALUE(block!$C$3:$C$500)+VALUE(block!$D$3:$D$500)),block!$A$3:$A$500,"无匹配",0,1)</f>
        <v>88</v>
      </c>
      <c r="C3290" s="3" t="str">
        <f>B3290 &amp; "-" &amp; COUNTIF($B$2:B3290, B3290)</f>
        <v>88-5</v>
      </c>
      <c r="D3290" s="10">
        <v>23020</v>
      </c>
      <c r="E3290" s="1" t="s">
        <v>8013</v>
      </c>
      <c r="F3290" s="1" t="s">
        <v>8014</v>
      </c>
      <c r="G3290" s="1" t="s">
        <v>1834</v>
      </c>
      <c r="H3290" s="1" t="s">
        <v>1812</v>
      </c>
      <c r="I3290" s="10" t="str">
        <f>IF(H3290="T39",1,IF(H3290="T39",3,IF(H3290="T55",6,IF(H3290="T55",10,IF(H3290="T87",14,IF(H3290="T87",18,IF(H3290="T55",22,"")))))))</f>
        <v/>
      </c>
      <c r="J3290" s="1" t="s">
        <v>1808</v>
      </c>
      <c r="K3290" s="10">
        <v>2</v>
      </c>
      <c r="L3290" s="10">
        <v>1</v>
      </c>
      <c r="O3290" s="6"/>
      <c r="P3290" s="10">
        <v>6</v>
      </c>
      <c r="Q3290" s="42" t="s">
        <v>6870</v>
      </c>
      <c r="R3290" s="42"/>
      <c r="S3290" s="1"/>
    </row>
    <row r="3291" spans="1:19" ht="18.75" hidden="1" customHeight="1" x14ac:dyDescent="0.3">
      <c r="A3291" s="10">
        <v>3290</v>
      </c>
      <c r="B3291" s="10">
        <f>_xlfn.XLOOKUP(1,(VALUE(D3291)&gt;=VALUE(block!$C$3:$C$500))*(VALUE(D3291)&lt;VALUE(block!$C$3:$C$500)+VALUE(block!$D$3:$D$500)),block!$A$3:$A$500,"无匹配",0,1)</f>
        <v>88</v>
      </c>
      <c r="C3291" s="3" t="str">
        <f>B3291 &amp; "-" &amp; COUNTIF($B$2:B3291, B3291)</f>
        <v>88-6</v>
      </c>
      <c r="D3291" s="10">
        <v>23022</v>
      </c>
      <c r="E3291" s="1" t="s">
        <v>8015</v>
      </c>
      <c r="F3291" s="1" t="s">
        <v>8016</v>
      </c>
      <c r="H3291" s="3" t="s">
        <v>6767</v>
      </c>
      <c r="I3291" s="10" t="str">
        <f>IF(H3291="T40",1,IF(H3291="T40",3,IF(H3291="T56",6,IF(H3291="T56",10,IF(H3291="T88",14,IF(H3291="T88",18,IF(H3291="T56",22,"")))))))</f>
        <v/>
      </c>
      <c r="J3291" s="1" t="s">
        <v>1808</v>
      </c>
      <c r="K3291" s="10">
        <v>4</v>
      </c>
      <c r="L3291" s="10">
        <v>1</v>
      </c>
      <c r="O3291" s="6"/>
      <c r="Q3291" s="42" t="s">
        <v>6870</v>
      </c>
      <c r="R3291" s="42"/>
      <c r="S3291" s="1"/>
    </row>
    <row r="3292" spans="1:19" ht="18.75" hidden="1" customHeight="1" x14ac:dyDescent="0.3">
      <c r="A3292" s="10">
        <v>3291</v>
      </c>
      <c r="B3292" s="10">
        <f>_xlfn.XLOOKUP(1,(VALUE(D3292)&gt;=VALUE(block!$C$3:$C$500))*(VALUE(D3292)&lt;VALUE(block!$C$3:$C$500)+VALUE(block!$D$3:$D$500)),block!$A$3:$A$500,"无匹配",0,1)</f>
        <v>88</v>
      </c>
      <c r="C3292" s="3" t="str">
        <f>B3292 &amp; "-" &amp; COUNTIF($B$2:B3292, B3292)</f>
        <v>88-7</v>
      </c>
      <c r="D3292" s="10">
        <v>23026</v>
      </c>
      <c r="E3292" s="1" t="s">
        <v>8017</v>
      </c>
      <c r="F3292" s="1" t="s">
        <v>8018</v>
      </c>
      <c r="G3292" s="1" t="s">
        <v>1836</v>
      </c>
      <c r="H3292" s="1" t="s">
        <v>1812</v>
      </c>
      <c r="I3292" s="10" t="str">
        <f>IF(H3292="T41",1,IF(H3292="T41",3,IF(H3292="T57",6,IF(H3292="T57",10,IF(H3292="T89",14,IF(H3292="T89",18,IF(H3292="T57",22,"")))))))</f>
        <v/>
      </c>
      <c r="J3292" s="1" t="s">
        <v>1808</v>
      </c>
      <c r="K3292" s="10">
        <v>2</v>
      </c>
      <c r="L3292" s="10">
        <v>1</v>
      </c>
      <c r="O3292" s="6"/>
      <c r="P3292" s="10">
        <v>6</v>
      </c>
      <c r="Q3292" s="42" t="s">
        <v>6870</v>
      </c>
      <c r="R3292" s="42"/>
      <c r="S3292" s="1"/>
    </row>
    <row r="3293" spans="1:19" ht="18.75" hidden="1" customHeight="1" x14ac:dyDescent="0.3">
      <c r="A3293" s="10">
        <v>3292</v>
      </c>
      <c r="B3293" s="10">
        <f>_xlfn.XLOOKUP(1,(VALUE(D3293)&gt;=VALUE(block!$C$3:$C$500))*(VALUE(D3293)&lt;VALUE(block!$C$3:$C$500)+VALUE(block!$D$3:$D$500)),block!$A$3:$A$500,"无匹配",0,1)</f>
        <v>88</v>
      </c>
      <c r="C3293" s="3" t="str">
        <f>B3293 &amp; "-" &amp; COUNTIF($B$2:B3293, B3293)</f>
        <v>88-8</v>
      </c>
      <c r="D3293" s="10">
        <v>23028</v>
      </c>
      <c r="E3293" s="1" t="s">
        <v>8019</v>
      </c>
      <c r="F3293" s="1" t="s">
        <v>8020</v>
      </c>
      <c r="H3293" s="3" t="s">
        <v>6767</v>
      </c>
      <c r="I3293" s="10" t="str">
        <f>IF(H3293="T42",1,IF(H3293="T42",3,IF(H3293="T58",6,IF(H3293="T58",10,IF(H3293="T90",14,IF(H3293="T90",18,IF(H3293="T58",22,"")))))))</f>
        <v/>
      </c>
      <c r="J3293" s="1" t="s">
        <v>1808</v>
      </c>
      <c r="K3293" s="10">
        <v>4</v>
      </c>
      <c r="L3293" s="10">
        <v>1</v>
      </c>
      <c r="O3293" s="6"/>
      <c r="Q3293" s="42" t="s">
        <v>6870</v>
      </c>
      <c r="R3293" s="42"/>
      <c r="S3293" s="1"/>
    </row>
    <row r="3294" spans="1:19" ht="18.75" hidden="1" customHeight="1" x14ac:dyDescent="0.3">
      <c r="A3294" s="10">
        <v>3293</v>
      </c>
      <c r="B3294" s="10">
        <f>_xlfn.XLOOKUP(1,(VALUE(D3294)&gt;=VALUE(block!$C$3:$C$500))*(VALUE(D3294)&lt;VALUE(block!$C$3:$C$500)+VALUE(block!$D$3:$D$500)),block!$A$3:$A$500,"无匹配",0,1)</f>
        <v>88</v>
      </c>
      <c r="C3294" s="3" t="str">
        <f>B3294 &amp; "-" &amp; COUNTIF($B$2:B3294, B3294)</f>
        <v>88-9</v>
      </c>
      <c r="D3294" s="10">
        <v>23032</v>
      </c>
      <c r="E3294" s="1" t="s">
        <v>8021</v>
      </c>
      <c r="F3294" s="1" t="s">
        <v>8022</v>
      </c>
      <c r="G3294" s="1" t="s">
        <v>1840</v>
      </c>
      <c r="H3294" s="1" t="s">
        <v>1812</v>
      </c>
      <c r="I3294" s="10" t="str">
        <f>IF(H3294="T43",1,IF(H3294="T43",3,IF(H3294="T59",6,IF(H3294="T59",10,IF(H3294="T91",14,IF(H3294="T91",18,IF(H3294="T59",22,"")))))))</f>
        <v/>
      </c>
      <c r="J3294" s="1" t="s">
        <v>1808</v>
      </c>
      <c r="K3294" s="10">
        <v>2</v>
      </c>
      <c r="L3294" s="10">
        <v>1</v>
      </c>
      <c r="O3294" s="6"/>
      <c r="P3294" s="10">
        <v>6</v>
      </c>
      <c r="Q3294" s="42" t="s">
        <v>6870</v>
      </c>
      <c r="R3294" s="42"/>
      <c r="S3294" s="1"/>
    </row>
    <row r="3295" spans="1:19" ht="18.75" hidden="1" customHeight="1" x14ac:dyDescent="0.3">
      <c r="A3295" s="10">
        <v>3294</v>
      </c>
      <c r="B3295" s="10">
        <f>_xlfn.XLOOKUP(1,(VALUE(D3295)&gt;=VALUE(block!$C$3:$C$500))*(VALUE(D3295)&lt;VALUE(block!$C$3:$C$500)+VALUE(block!$D$3:$D$500)),block!$A$3:$A$500,"无匹配",0,1)</f>
        <v>88</v>
      </c>
      <c r="C3295" s="3" t="str">
        <f>B3295 &amp; "-" &amp; COUNTIF($B$2:B3295, B3295)</f>
        <v>88-10</v>
      </c>
      <c r="D3295" s="10">
        <v>23034</v>
      </c>
      <c r="E3295" s="1" t="s">
        <v>8023</v>
      </c>
      <c r="F3295" s="1" t="s">
        <v>8024</v>
      </c>
      <c r="H3295" s="3" t="s">
        <v>6767</v>
      </c>
      <c r="I3295" s="10" t="str">
        <f>IF(H3295="T44",1,IF(H3295="T44",3,IF(H3295="T60",6,IF(H3295="T60",10,IF(H3295="T92",14,IF(H3295="T92",18,IF(H3295="T60",22,"")))))))</f>
        <v/>
      </c>
      <c r="J3295" s="1" t="s">
        <v>1808</v>
      </c>
      <c r="K3295" s="10">
        <v>4</v>
      </c>
      <c r="L3295" s="10">
        <v>1</v>
      </c>
      <c r="O3295" s="6"/>
      <c r="Q3295" s="42" t="s">
        <v>6870</v>
      </c>
      <c r="R3295" s="42"/>
      <c r="S3295" s="1"/>
    </row>
    <row r="3296" spans="1:19" ht="18.75" hidden="1" customHeight="1" x14ac:dyDescent="0.3">
      <c r="A3296" s="10">
        <v>3295</v>
      </c>
      <c r="B3296" s="10">
        <f>_xlfn.XLOOKUP(1,(VALUE(D3296)&gt;=VALUE(block!$C$3:$C$500))*(VALUE(D3296)&lt;VALUE(block!$C$3:$C$500)+VALUE(block!$D$3:$D$500)),block!$A$3:$A$500,"无匹配",0,1)</f>
        <v>88</v>
      </c>
      <c r="C3296" s="3" t="str">
        <f>B3296 &amp; "-" &amp; COUNTIF($B$2:B3296, B3296)</f>
        <v>88-11</v>
      </c>
      <c r="D3296" s="10">
        <v>23038</v>
      </c>
      <c r="E3296" s="1" t="s">
        <v>8025</v>
      </c>
      <c r="F3296" s="1" t="s">
        <v>8026</v>
      </c>
      <c r="G3296" s="1" t="s">
        <v>1840</v>
      </c>
      <c r="H3296" s="1" t="s">
        <v>1812</v>
      </c>
      <c r="I3296" s="10" t="str">
        <f>IF(H3296="T45",1,IF(H3296="T45",3,IF(H3296="T61",6,IF(H3296="T61",10,IF(H3296="T93",14,IF(H3296="T93",18,IF(H3296="T61",22,"")))))))</f>
        <v/>
      </c>
      <c r="J3296" s="1" t="s">
        <v>1808</v>
      </c>
      <c r="K3296" s="10">
        <v>2</v>
      </c>
      <c r="L3296" s="10">
        <v>1</v>
      </c>
      <c r="O3296" s="6"/>
      <c r="P3296" s="10">
        <v>6</v>
      </c>
      <c r="Q3296" s="42" t="s">
        <v>6870</v>
      </c>
      <c r="R3296" s="42"/>
      <c r="S3296" s="1"/>
    </row>
    <row r="3297" spans="1:19" ht="18.75" hidden="1" customHeight="1" x14ac:dyDescent="0.3">
      <c r="A3297" s="10">
        <v>3296</v>
      </c>
      <c r="B3297" s="10">
        <f>_xlfn.XLOOKUP(1,(VALUE(D3297)&gt;=VALUE(block!$C$3:$C$500))*(VALUE(D3297)&lt;VALUE(block!$C$3:$C$500)+VALUE(block!$D$3:$D$500)),block!$A$3:$A$500,"无匹配",0,1)</f>
        <v>88</v>
      </c>
      <c r="C3297" s="3" t="str">
        <f>B3297 &amp; "-" &amp; COUNTIF($B$2:B3297, B3297)</f>
        <v>88-12</v>
      </c>
      <c r="D3297" s="10">
        <v>23040</v>
      </c>
      <c r="E3297" s="1" t="s">
        <v>8027</v>
      </c>
      <c r="F3297" s="1" t="s">
        <v>8028</v>
      </c>
      <c r="H3297" s="3" t="s">
        <v>6767</v>
      </c>
      <c r="I3297" s="10" t="str">
        <f>IF(H3297="T46",1,IF(H3297="T46",3,IF(H3297="T62",6,IF(H3297="T62",10,IF(H3297="T94",14,IF(H3297="T94",18,IF(H3297="T62",22,"")))))))</f>
        <v/>
      </c>
      <c r="J3297" s="1" t="s">
        <v>1808</v>
      </c>
      <c r="K3297" s="10">
        <v>4</v>
      </c>
      <c r="L3297" s="10">
        <v>1</v>
      </c>
      <c r="O3297" s="6"/>
      <c r="Q3297" s="42" t="s">
        <v>6870</v>
      </c>
      <c r="R3297" s="42"/>
      <c r="S3297" s="1"/>
    </row>
    <row r="3298" spans="1:19" ht="18.75" hidden="1" customHeight="1" x14ac:dyDescent="0.3">
      <c r="A3298" s="10">
        <v>3297</v>
      </c>
      <c r="B3298" s="10">
        <f>_xlfn.XLOOKUP(1,(VALUE(D3298)&gt;=VALUE(block!$C$3:$C$500))*(VALUE(D3298)&lt;VALUE(block!$C$3:$C$500)+VALUE(block!$D$3:$D$500)),block!$A$3:$A$500,"无匹配",0,1)</f>
        <v>88</v>
      </c>
      <c r="C3298" s="3" t="str">
        <f>B3298 &amp; "-" &amp; COUNTIF($B$2:B3298, B3298)</f>
        <v>88-13</v>
      </c>
      <c r="D3298" s="10">
        <v>23044</v>
      </c>
      <c r="E3298" s="1" t="s">
        <v>8029</v>
      </c>
      <c r="F3298" s="1" t="s">
        <v>8030</v>
      </c>
      <c r="G3298" s="1" t="s">
        <v>1830</v>
      </c>
      <c r="H3298" s="1" t="s">
        <v>1812</v>
      </c>
      <c r="I3298" s="10" t="str">
        <f>IF(H3298="T47",1,IF(H3298="T47",3,IF(H3298="T63",6,IF(H3298="T63",10,IF(H3298="T95",14,IF(H3298="T95",18,IF(H3298="T63",22,"")))))))</f>
        <v/>
      </c>
      <c r="J3298" s="1" t="s">
        <v>1808</v>
      </c>
      <c r="K3298" s="10">
        <v>2</v>
      </c>
      <c r="L3298" s="10">
        <v>1</v>
      </c>
      <c r="O3298" s="6"/>
      <c r="P3298" s="10">
        <v>6</v>
      </c>
      <c r="Q3298" s="42" t="s">
        <v>6870</v>
      </c>
      <c r="R3298" s="42"/>
      <c r="S3298" s="1"/>
    </row>
    <row r="3299" spans="1:19" ht="18.75" hidden="1" customHeight="1" x14ac:dyDescent="0.3">
      <c r="A3299" s="10">
        <v>3298</v>
      </c>
      <c r="B3299" s="10">
        <f>_xlfn.XLOOKUP(1,(VALUE(D3299)&gt;=VALUE(block!$C$3:$C$500))*(VALUE(D3299)&lt;VALUE(block!$C$3:$C$500)+VALUE(block!$D$3:$D$500)),block!$A$3:$A$500,"无匹配",0,1)</f>
        <v>88</v>
      </c>
      <c r="C3299" s="3" t="str">
        <f>B3299 &amp; "-" &amp; COUNTIF($B$2:B3299, B3299)</f>
        <v>88-14</v>
      </c>
      <c r="D3299" s="10">
        <v>23046</v>
      </c>
      <c r="E3299" s="1" t="s">
        <v>8031</v>
      </c>
      <c r="F3299" s="1" t="s">
        <v>8032</v>
      </c>
      <c r="H3299" s="3" t="s">
        <v>6767</v>
      </c>
      <c r="I3299" s="10" t="str">
        <f>IF(H3299="T48",1,IF(H3299="T48",3,IF(H3299="T64",6,IF(H3299="T64",10,IF(H3299="T96",14,IF(H3299="T96",18,IF(H3299="T64",22,"")))))))</f>
        <v/>
      </c>
      <c r="J3299" s="1" t="s">
        <v>1808</v>
      </c>
      <c r="K3299" s="10">
        <v>4</v>
      </c>
      <c r="L3299" s="10">
        <v>1</v>
      </c>
      <c r="O3299" s="6"/>
      <c r="Q3299" s="42" t="s">
        <v>6870</v>
      </c>
      <c r="R3299" s="42"/>
      <c r="S3299" s="1"/>
    </row>
    <row r="3300" spans="1:19" ht="18.75" hidden="1" customHeight="1" x14ac:dyDescent="0.3">
      <c r="A3300" s="10">
        <v>3299</v>
      </c>
      <c r="B3300" s="10">
        <f>_xlfn.XLOOKUP(1,(VALUE(D3300)&gt;=VALUE(block!$C$3:$C$500))*(VALUE(D3300)&lt;VALUE(block!$C$3:$C$500)+VALUE(block!$D$3:$D$500)),block!$A$3:$A$500,"无匹配",0,1)</f>
        <v>88</v>
      </c>
      <c r="C3300" s="3" t="str">
        <f>B3300 &amp; "-" &amp; COUNTIF($B$2:B3300, B3300)</f>
        <v>88-15</v>
      </c>
      <c r="D3300" s="10">
        <v>23050</v>
      </c>
      <c r="E3300" s="1" t="s">
        <v>8033</v>
      </c>
      <c r="F3300" s="1" t="s">
        <v>8034</v>
      </c>
      <c r="G3300" s="1" t="s">
        <v>1832</v>
      </c>
      <c r="H3300" s="1" t="s">
        <v>1812</v>
      </c>
      <c r="I3300" s="10" t="str">
        <f>IF(H3300="T49",1,IF(H3300="T49",3,IF(H3300="T65",6,IF(H3300="T65",10,IF(H3300="T97",14,IF(H3300="T97",18,IF(H3300="T65",22,"")))))))</f>
        <v/>
      </c>
      <c r="J3300" s="1" t="s">
        <v>1808</v>
      </c>
      <c r="K3300" s="10">
        <v>2</v>
      </c>
      <c r="L3300" s="10">
        <v>1</v>
      </c>
      <c r="O3300" s="6"/>
      <c r="P3300" s="10">
        <v>6</v>
      </c>
      <c r="Q3300" s="42" t="s">
        <v>6870</v>
      </c>
      <c r="R3300" s="42"/>
      <c r="S3300" s="1"/>
    </row>
    <row r="3301" spans="1:19" ht="18.75" hidden="1" customHeight="1" x14ac:dyDescent="0.3">
      <c r="A3301" s="10">
        <v>3300</v>
      </c>
      <c r="B3301" s="10">
        <f>_xlfn.XLOOKUP(1,(VALUE(D3301)&gt;=VALUE(block!$C$3:$C$500))*(VALUE(D3301)&lt;VALUE(block!$C$3:$C$500)+VALUE(block!$D$3:$D$500)),block!$A$3:$A$500,"无匹配",0,1)</f>
        <v>88</v>
      </c>
      <c r="C3301" s="3" t="str">
        <f>B3301 &amp; "-" &amp; COUNTIF($B$2:B3301, B3301)</f>
        <v>88-16</v>
      </c>
      <c r="D3301" s="10">
        <v>23052</v>
      </c>
      <c r="E3301" s="1" t="s">
        <v>8035</v>
      </c>
      <c r="F3301" s="1" t="s">
        <v>8036</v>
      </c>
      <c r="H3301" s="3" t="s">
        <v>6767</v>
      </c>
      <c r="I3301" s="10" t="str">
        <f>IF(H3301="T50",1,IF(H3301="T50",3,IF(H3301="T66",6,IF(H3301="T66",10,IF(H3301="T98",14,IF(H3301="T98",18,IF(H3301="T66",22,"")))))))</f>
        <v/>
      </c>
      <c r="J3301" s="1" t="s">
        <v>1808</v>
      </c>
      <c r="K3301" s="10">
        <v>4</v>
      </c>
      <c r="L3301" s="10">
        <v>1</v>
      </c>
      <c r="O3301" s="6"/>
      <c r="Q3301" s="42" t="s">
        <v>6870</v>
      </c>
      <c r="R3301" s="42"/>
      <c r="S3301" s="1"/>
    </row>
    <row r="3302" spans="1:19" ht="18.75" hidden="1" customHeight="1" x14ac:dyDescent="0.3">
      <c r="A3302" s="10">
        <v>3301</v>
      </c>
      <c r="B3302" s="10">
        <f>_xlfn.XLOOKUP(1,(VALUE(D3302)&gt;=VALUE(block!$C$3:$C$500))*(VALUE(D3302)&lt;VALUE(block!$C$3:$C$500)+VALUE(block!$D$3:$D$500)),block!$A$3:$A$500,"无匹配",0,1)</f>
        <v>88</v>
      </c>
      <c r="C3302" s="3" t="str">
        <f>B3302 &amp; "-" &amp; COUNTIF($B$2:B3302, B3302)</f>
        <v>88-17</v>
      </c>
      <c r="D3302" s="10">
        <v>23056</v>
      </c>
      <c r="E3302" s="1" t="s">
        <v>8037</v>
      </c>
      <c r="F3302" s="1" t="s">
        <v>8038</v>
      </c>
      <c r="G3302" s="1" t="s">
        <v>1834</v>
      </c>
      <c r="H3302" s="1" t="s">
        <v>1812</v>
      </c>
      <c r="I3302" s="10" t="str">
        <f>IF(H3302="T51",1,IF(H3302="T51",3,IF(H3302="T67",6,IF(H3302="T67",10,IF(H3302="T99",14,IF(H3302="T99",18,IF(H3302="T67",22,"")))))))</f>
        <v/>
      </c>
      <c r="J3302" s="1" t="s">
        <v>1808</v>
      </c>
      <c r="K3302" s="10">
        <v>2</v>
      </c>
      <c r="L3302" s="10">
        <v>1</v>
      </c>
      <c r="O3302" s="6"/>
      <c r="P3302" s="10">
        <v>6</v>
      </c>
      <c r="Q3302" s="42" t="s">
        <v>6870</v>
      </c>
      <c r="R3302" s="42"/>
      <c r="S3302" s="1"/>
    </row>
    <row r="3303" spans="1:19" ht="18.75" hidden="1" customHeight="1" x14ac:dyDescent="0.3">
      <c r="A3303" s="10">
        <v>3302</v>
      </c>
      <c r="B3303" s="10">
        <f>_xlfn.XLOOKUP(1,(VALUE(D3303)&gt;=VALUE(block!$C$3:$C$500))*(VALUE(D3303)&lt;VALUE(block!$C$3:$C$500)+VALUE(block!$D$3:$D$500)),block!$A$3:$A$500,"无匹配",0,1)</f>
        <v>88</v>
      </c>
      <c r="C3303" s="3" t="str">
        <f>B3303 &amp; "-" &amp; COUNTIF($B$2:B3303, B3303)</f>
        <v>88-18</v>
      </c>
      <c r="D3303" s="10">
        <v>23058</v>
      </c>
      <c r="E3303" s="1" t="s">
        <v>8039</v>
      </c>
      <c r="F3303" s="1" t="s">
        <v>8040</v>
      </c>
      <c r="H3303" s="3" t="s">
        <v>6767</v>
      </c>
      <c r="I3303" s="10" t="str">
        <f>IF(H3303="T52",1,IF(H3303="T52",3,IF(H3303="T68",6,IF(H3303="T68",10,IF(H3303="T100",14,IF(H3303="T100",18,IF(H3303="T68",22,"")))))))</f>
        <v/>
      </c>
      <c r="J3303" s="1" t="s">
        <v>1808</v>
      </c>
      <c r="K3303" s="10">
        <v>4</v>
      </c>
      <c r="L3303" s="10">
        <v>1</v>
      </c>
      <c r="O3303" s="6"/>
      <c r="Q3303" s="42" t="s">
        <v>6870</v>
      </c>
      <c r="R3303" s="42"/>
      <c r="S3303" s="1"/>
    </row>
    <row r="3304" spans="1:19" ht="18.75" hidden="1" customHeight="1" x14ac:dyDescent="0.3">
      <c r="A3304" s="10">
        <v>3303</v>
      </c>
      <c r="B3304" s="10">
        <f>_xlfn.XLOOKUP(1,(VALUE(D3304)&gt;=VALUE(block!$C$3:$C$500))*(VALUE(D3304)&lt;VALUE(block!$C$3:$C$500)+VALUE(block!$D$3:$D$500)),block!$A$3:$A$500,"无匹配",0,1)</f>
        <v>88</v>
      </c>
      <c r="C3304" s="3" t="str">
        <f>B3304 &amp; "-" &amp; COUNTIF($B$2:B3304, B3304)</f>
        <v>88-19</v>
      </c>
      <c r="D3304" s="10">
        <v>23062</v>
      </c>
      <c r="E3304" s="1" t="s">
        <v>8041</v>
      </c>
      <c r="F3304" s="1" t="s">
        <v>8042</v>
      </c>
      <c r="G3304" s="1" t="s">
        <v>1836</v>
      </c>
      <c r="H3304" s="1" t="s">
        <v>1812</v>
      </c>
      <c r="I3304" s="10" t="str">
        <f>IF(H3304="T53",1,IF(H3304="T53",3,IF(H3304="T69",6,IF(H3304="T69",10,IF(H3304="T101",14,IF(H3304="T101",18,IF(H3304="T69",22,"")))))))</f>
        <v/>
      </c>
      <c r="J3304" s="1" t="s">
        <v>1808</v>
      </c>
      <c r="K3304" s="10">
        <v>2</v>
      </c>
      <c r="L3304" s="10">
        <v>1</v>
      </c>
      <c r="O3304" s="6"/>
      <c r="P3304" s="10">
        <v>6</v>
      </c>
      <c r="Q3304" s="42" t="s">
        <v>6870</v>
      </c>
      <c r="R3304" s="42"/>
      <c r="S3304" s="1"/>
    </row>
    <row r="3305" spans="1:19" ht="18.75" hidden="1" customHeight="1" x14ac:dyDescent="0.3">
      <c r="A3305" s="10">
        <v>3304</v>
      </c>
      <c r="B3305" s="10">
        <f>_xlfn.XLOOKUP(1,(VALUE(D3305)&gt;=VALUE(block!$C$3:$C$500))*(VALUE(D3305)&lt;VALUE(block!$C$3:$C$500)+VALUE(block!$D$3:$D$500)),block!$A$3:$A$500,"无匹配",0,1)</f>
        <v>88</v>
      </c>
      <c r="C3305" s="3" t="str">
        <f>B3305 &amp; "-" &amp; COUNTIF($B$2:B3305, B3305)</f>
        <v>88-20</v>
      </c>
      <c r="D3305" s="10">
        <v>23064</v>
      </c>
      <c r="E3305" s="1" t="s">
        <v>8043</v>
      </c>
      <c r="F3305" s="1" t="s">
        <v>8044</v>
      </c>
      <c r="H3305" s="3" t="s">
        <v>6767</v>
      </c>
      <c r="I3305" s="10" t="str">
        <f>IF(H3305="T54",1,IF(H3305="T54",3,IF(H3305="T70",6,IF(H3305="T70",10,IF(H3305="T102",14,IF(H3305="T102",18,IF(H3305="T70",22,"")))))))</f>
        <v/>
      </c>
      <c r="J3305" s="1" t="s">
        <v>1808</v>
      </c>
      <c r="K3305" s="10">
        <v>4</v>
      </c>
      <c r="L3305" s="10">
        <v>1</v>
      </c>
      <c r="O3305" s="6"/>
      <c r="Q3305" s="42" t="s">
        <v>6870</v>
      </c>
      <c r="R3305" s="42"/>
      <c r="S3305" s="1"/>
    </row>
    <row r="3306" spans="1:19" ht="18.75" hidden="1" customHeight="1" x14ac:dyDescent="0.3">
      <c r="A3306" s="10">
        <v>3305</v>
      </c>
      <c r="B3306" s="10">
        <f>_xlfn.XLOOKUP(1,(VALUE(D3306)&gt;=VALUE(block!$C$3:$C$500))*(VALUE(D3306)&lt;VALUE(block!$C$3:$C$500)+VALUE(block!$D$3:$D$500)),block!$A$3:$A$500,"无匹配",0,1)</f>
        <v>88</v>
      </c>
      <c r="C3306" s="3" t="str">
        <f>B3306 &amp; "-" &amp; COUNTIF($B$2:B3306, B3306)</f>
        <v>88-21</v>
      </c>
      <c r="D3306" s="10">
        <v>23068</v>
      </c>
      <c r="E3306" s="1" t="s">
        <v>8045</v>
      </c>
      <c r="F3306" s="1" t="s">
        <v>8046</v>
      </c>
      <c r="G3306" s="1" t="s">
        <v>1840</v>
      </c>
      <c r="H3306" s="1" t="s">
        <v>1812</v>
      </c>
      <c r="I3306" s="10" t="str">
        <f>IF(H3306="T55",1,IF(H3306="T55",3,IF(H3306="T71",6,IF(H3306="T71",10,IF(H3306="T103",14,IF(H3306="T103",18,IF(H3306="T71",22,"")))))))</f>
        <v/>
      </c>
      <c r="J3306" s="1" t="s">
        <v>1808</v>
      </c>
      <c r="K3306" s="10">
        <v>2</v>
      </c>
      <c r="L3306" s="10">
        <v>1</v>
      </c>
      <c r="O3306" s="6"/>
      <c r="P3306" s="10">
        <v>6</v>
      </c>
      <c r="Q3306" s="42" t="s">
        <v>6870</v>
      </c>
      <c r="R3306" s="42"/>
      <c r="S3306" s="1"/>
    </row>
    <row r="3307" spans="1:19" ht="18.75" hidden="1" customHeight="1" x14ac:dyDescent="0.3">
      <c r="A3307" s="10">
        <v>3306</v>
      </c>
      <c r="B3307" s="10">
        <f>_xlfn.XLOOKUP(1,(VALUE(D3307)&gt;=VALUE(block!$C$3:$C$500))*(VALUE(D3307)&lt;VALUE(block!$C$3:$C$500)+VALUE(block!$D$3:$D$500)),block!$A$3:$A$500,"无匹配",0,1)</f>
        <v>88</v>
      </c>
      <c r="C3307" s="3" t="str">
        <f>B3307 &amp; "-" &amp; COUNTIF($B$2:B3307, B3307)</f>
        <v>88-22</v>
      </c>
      <c r="D3307" s="10">
        <v>23070</v>
      </c>
      <c r="E3307" s="1" t="s">
        <v>8047</v>
      </c>
      <c r="F3307" s="1" t="s">
        <v>8048</v>
      </c>
      <c r="H3307" s="3" t="s">
        <v>6767</v>
      </c>
      <c r="I3307" s="10" t="str">
        <f>IF(H3307="T56",1,IF(H3307="T56",3,IF(H3307="T72",6,IF(H3307="T72",10,IF(H3307="T104",14,IF(H3307="T104",18,IF(H3307="T72",22,"")))))))</f>
        <v/>
      </c>
      <c r="J3307" s="1" t="s">
        <v>1808</v>
      </c>
      <c r="K3307" s="10">
        <v>4</v>
      </c>
      <c r="L3307" s="10">
        <v>1</v>
      </c>
      <c r="O3307" s="6"/>
      <c r="Q3307" s="42" t="s">
        <v>6870</v>
      </c>
      <c r="R3307" s="42"/>
      <c r="S3307" s="1"/>
    </row>
    <row r="3308" spans="1:19" ht="18.75" hidden="1" customHeight="1" x14ac:dyDescent="0.3">
      <c r="A3308" s="10">
        <v>3307</v>
      </c>
      <c r="B3308" s="10">
        <f>_xlfn.XLOOKUP(1,(VALUE(D3308)&gt;=VALUE(block!$C$3:$C$500))*(VALUE(D3308)&lt;VALUE(block!$C$3:$C$500)+VALUE(block!$D$3:$D$500)),block!$A$3:$A$500,"无匹配",0,1)</f>
        <v>88</v>
      </c>
      <c r="C3308" s="3" t="str">
        <f>B3308 &amp; "-" &amp; COUNTIF($B$2:B3308, B3308)</f>
        <v>88-23</v>
      </c>
      <c r="D3308" s="10">
        <v>23074</v>
      </c>
      <c r="E3308" s="1" t="s">
        <v>8049</v>
      </c>
      <c r="F3308" s="1" t="s">
        <v>8050</v>
      </c>
      <c r="G3308" s="1" t="s">
        <v>1840</v>
      </c>
      <c r="H3308" s="1" t="s">
        <v>1812</v>
      </c>
      <c r="I3308" s="10" t="str">
        <f>IF(H3308="T57",1,IF(H3308="T57",3,IF(H3308="T73",6,IF(H3308="T73",10,IF(H3308="T105",14,IF(H3308="T105",18,IF(H3308="T73",22,"")))))))</f>
        <v/>
      </c>
      <c r="J3308" s="1" t="s">
        <v>1808</v>
      </c>
      <c r="K3308" s="10">
        <v>2</v>
      </c>
      <c r="L3308" s="10">
        <v>1</v>
      </c>
      <c r="O3308" s="6"/>
      <c r="P3308" s="10">
        <v>6</v>
      </c>
      <c r="Q3308" s="42" t="s">
        <v>6870</v>
      </c>
      <c r="R3308" s="42"/>
      <c r="S3308" s="1"/>
    </row>
    <row r="3309" spans="1:19" ht="18.75" hidden="1" customHeight="1" x14ac:dyDescent="0.3">
      <c r="A3309" s="10">
        <v>3308</v>
      </c>
      <c r="B3309" s="10">
        <f>_xlfn.XLOOKUP(1,(VALUE(D3309)&gt;=VALUE(block!$C$3:$C$500))*(VALUE(D3309)&lt;VALUE(block!$C$3:$C$500)+VALUE(block!$D$3:$D$500)),block!$A$3:$A$500,"无匹配",0,1)</f>
        <v>88</v>
      </c>
      <c r="C3309" s="3" t="str">
        <f>B3309 &amp; "-" &amp; COUNTIF($B$2:B3309, B3309)</f>
        <v>88-24</v>
      </c>
      <c r="D3309" s="10">
        <v>23076</v>
      </c>
      <c r="E3309" s="1" t="s">
        <v>8051</v>
      </c>
      <c r="F3309" s="1" t="s">
        <v>8052</v>
      </c>
      <c r="H3309" s="3" t="s">
        <v>6767</v>
      </c>
      <c r="I3309" s="10" t="str">
        <f>IF(H3309="T58",1,IF(H3309="T58",3,IF(H3309="T74",6,IF(H3309="T74",10,IF(H3309="T106",14,IF(H3309="T106",18,IF(H3309="T74",22,"")))))))</f>
        <v/>
      </c>
      <c r="J3309" s="1" t="s">
        <v>1808</v>
      </c>
      <c r="K3309" s="10">
        <v>4</v>
      </c>
      <c r="L3309" s="10">
        <v>1</v>
      </c>
      <c r="O3309" s="6"/>
      <c r="Q3309" s="42" t="s">
        <v>6870</v>
      </c>
      <c r="R3309" s="42"/>
      <c r="S3309" s="1"/>
    </row>
    <row r="3310" spans="1:19" ht="18.75" hidden="1" customHeight="1" x14ac:dyDescent="0.3">
      <c r="A3310" s="10">
        <v>3309</v>
      </c>
      <c r="B3310" s="10">
        <f>_xlfn.XLOOKUP(1,(VALUE(D3310)&gt;=VALUE(block!$C$3:$C$500))*(VALUE(D3310)&lt;VALUE(block!$C$3:$C$500)+VALUE(block!$D$3:$D$500)),block!$A$3:$A$500,"无匹配",0,1)</f>
        <v>88</v>
      </c>
      <c r="C3310" s="3" t="str">
        <f>B3310 &amp; "-" &amp; COUNTIF($B$2:B3310, B3310)</f>
        <v>88-25</v>
      </c>
      <c r="D3310" s="10">
        <v>23080</v>
      </c>
      <c r="E3310" s="1" t="s">
        <v>8053</v>
      </c>
      <c r="F3310" s="1" t="s">
        <v>8054</v>
      </c>
      <c r="G3310" s="1" t="s">
        <v>1830</v>
      </c>
      <c r="H3310" s="1" t="s">
        <v>1812</v>
      </c>
      <c r="I3310" s="10" t="str">
        <f>IF(H3310="T59",1,IF(H3310="T59",3,IF(H3310="T75",6,IF(H3310="T75",10,IF(H3310="T107",14,IF(H3310="T107",18,IF(H3310="T75",22,"")))))))</f>
        <v/>
      </c>
      <c r="J3310" s="1" t="s">
        <v>1808</v>
      </c>
      <c r="K3310" s="10">
        <v>2</v>
      </c>
      <c r="L3310" s="10">
        <v>1</v>
      </c>
      <c r="O3310" s="6"/>
      <c r="P3310" s="10">
        <v>6</v>
      </c>
      <c r="Q3310" s="42" t="s">
        <v>6870</v>
      </c>
      <c r="R3310" s="42"/>
      <c r="S3310" s="1"/>
    </row>
    <row r="3311" spans="1:19" ht="18.75" hidden="1" customHeight="1" x14ac:dyDescent="0.3">
      <c r="A3311" s="10">
        <v>3310</v>
      </c>
      <c r="B3311" s="10">
        <f>_xlfn.XLOOKUP(1,(VALUE(D3311)&gt;=VALUE(block!$C$3:$C$500))*(VALUE(D3311)&lt;VALUE(block!$C$3:$C$500)+VALUE(block!$D$3:$D$500)),block!$A$3:$A$500,"无匹配",0,1)</f>
        <v>88</v>
      </c>
      <c r="C3311" s="3" t="str">
        <f>B3311 &amp; "-" &amp; COUNTIF($B$2:B3311, B3311)</f>
        <v>88-26</v>
      </c>
      <c r="D3311" s="10">
        <v>23082</v>
      </c>
      <c r="E3311" s="1" t="s">
        <v>8055</v>
      </c>
      <c r="F3311" s="1" t="s">
        <v>8056</v>
      </c>
      <c r="H3311" s="3" t="s">
        <v>6767</v>
      </c>
      <c r="I3311" s="10" t="str">
        <f>IF(H3311="T60",1,IF(H3311="T60",3,IF(H3311="T76",6,IF(H3311="T76",10,IF(H3311="T108",14,IF(H3311="T108",18,IF(H3311="T76",22,"")))))))</f>
        <v/>
      </c>
      <c r="J3311" s="1" t="s">
        <v>1808</v>
      </c>
      <c r="K3311" s="10">
        <v>4</v>
      </c>
      <c r="L3311" s="10">
        <v>1</v>
      </c>
      <c r="O3311" s="6"/>
      <c r="Q3311" s="42" t="s">
        <v>6870</v>
      </c>
      <c r="R3311" s="42"/>
      <c r="S3311" s="1"/>
    </row>
    <row r="3312" spans="1:19" ht="18.75" hidden="1" customHeight="1" x14ac:dyDescent="0.3">
      <c r="A3312" s="10">
        <v>3311</v>
      </c>
      <c r="B3312" s="10">
        <f>_xlfn.XLOOKUP(1,(VALUE(D3312)&gt;=VALUE(block!$C$3:$C$500))*(VALUE(D3312)&lt;VALUE(block!$C$3:$C$500)+VALUE(block!$D$3:$D$500)),block!$A$3:$A$500,"无匹配",0,1)</f>
        <v>88</v>
      </c>
      <c r="C3312" s="3" t="str">
        <f>B3312 &amp; "-" &amp; COUNTIF($B$2:B3312, B3312)</f>
        <v>88-27</v>
      </c>
      <c r="D3312" s="10">
        <v>23086</v>
      </c>
      <c r="E3312" s="1" t="s">
        <v>8057</v>
      </c>
      <c r="F3312" s="1" t="s">
        <v>8058</v>
      </c>
      <c r="G3312" s="1" t="s">
        <v>1832</v>
      </c>
      <c r="H3312" s="1" t="s">
        <v>1812</v>
      </c>
      <c r="I3312" s="10" t="str">
        <f>IF(H3312="T61",1,IF(H3312="T61",3,IF(H3312="T77",6,IF(H3312="T77",10,IF(H3312="T109",14,IF(H3312="T109",18,IF(H3312="T77",22,"")))))))</f>
        <v/>
      </c>
      <c r="J3312" s="1" t="s">
        <v>1808</v>
      </c>
      <c r="K3312" s="10">
        <v>2</v>
      </c>
      <c r="L3312" s="10">
        <v>1</v>
      </c>
      <c r="O3312" s="6"/>
      <c r="P3312" s="10">
        <v>6</v>
      </c>
      <c r="Q3312" s="42" t="s">
        <v>6870</v>
      </c>
      <c r="R3312" s="42"/>
      <c r="S3312" s="1"/>
    </row>
    <row r="3313" spans="1:19" ht="18.75" hidden="1" customHeight="1" x14ac:dyDescent="0.3">
      <c r="A3313" s="10">
        <v>3312</v>
      </c>
      <c r="B3313" s="10">
        <f>_xlfn.XLOOKUP(1,(VALUE(D3313)&gt;=VALUE(block!$C$3:$C$500))*(VALUE(D3313)&lt;VALUE(block!$C$3:$C$500)+VALUE(block!$D$3:$D$500)),block!$A$3:$A$500,"无匹配",0,1)</f>
        <v>88</v>
      </c>
      <c r="C3313" s="3" t="str">
        <f>B3313 &amp; "-" &amp; COUNTIF($B$2:B3313, B3313)</f>
        <v>88-28</v>
      </c>
      <c r="D3313" s="10">
        <v>23088</v>
      </c>
      <c r="E3313" s="1" t="s">
        <v>8059</v>
      </c>
      <c r="F3313" s="1" t="s">
        <v>8060</v>
      </c>
      <c r="H3313" s="3" t="s">
        <v>6767</v>
      </c>
      <c r="I3313" s="10" t="str">
        <f>IF(H3313="T62",1,IF(H3313="T62",3,IF(H3313="T78",6,IF(H3313="T78",10,IF(H3313="T110",14,IF(H3313="T110",18,IF(H3313="T78",22,"")))))))</f>
        <v/>
      </c>
      <c r="J3313" s="1" t="s">
        <v>1808</v>
      </c>
      <c r="K3313" s="10">
        <v>4</v>
      </c>
      <c r="L3313" s="10">
        <v>1</v>
      </c>
      <c r="O3313" s="6"/>
      <c r="Q3313" s="42" t="s">
        <v>6870</v>
      </c>
      <c r="R3313" s="42"/>
      <c r="S3313" s="1"/>
    </row>
    <row r="3314" spans="1:19" ht="18.75" hidden="1" customHeight="1" x14ac:dyDescent="0.3">
      <c r="A3314" s="10">
        <v>3313</v>
      </c>
      <c r="B3314" s="10">
        <f>_xlfn.XLOOKUP(1,(VALUE(D3314)&gt;=VALUE(block!$C$3:$C$500))*(VALUE(D3314)&lt;VALUE(block!$C$3:$C$500)+VALUE(block!$D$3:$D$500)),block!$A$3:$A$500,"无匹配",0,1)</f>
        <v>88</v>
      </c>
      <c r="C3314" s="3" t="str">
        <f>B3314 &amp; "-" &amp; COUNTIF($B$2:B3314, B3314)</f>
        <v>88-29</v>
      </c>
      <c r="D3314" s="10">
        <v>23092</v>
      </c>
      <c r="E3314" s="1" t="s">
        <v>8061</v>
      </c>
      <c r="F3314" s="1" t="s">
        <v>8062</v>
      </c>
      <c r="G3314" s="1" t="s">
        <v>1834</v>
      </c>
      <c r="H3314" s="1" t="s">
        <v>1812</v>
      </c>
      <c r="I3314" s="10" t="str">
        <f>IF(H3314="T63",1,IF(H3314="T63",3,IF(H3314="T79",6,IF(H3314="T79",10,IF(H3314="T111",14,IF(H3314="T111",18,IF(H3314="T79",22,"")))))))</f>
        <v/>
      </c>
      <c r="J3314" s="1" t="s">
        <v>1808</v>
      </c>
      <c r="K3314" s="10">
        <v>2</v>
      </c>
      <c r="L3314" s="10">
        <v>1</v>
      </c>
      <c r="O3314" s="6"/>
      <c r="P3314" s="10">
        <v>6</v>
      </c>
      <c r="Q3314" s="42" t="s">
        <v>6870</v>
      </c>
      <c r="R3314" s="42"/>
      <c r="S3314" s="1"/>
    </row>
    <row r="3315" spans="1:19" ht="18.75" hidden="1" customHeight="1" x14ac:dyDescent="0.3">
      <c r="A3315" s="10">
        <v>3314</v>
      </c>
      <c r="B3315" s="10">
        <f>_xlfn.XLOOKUP(1,(VALUE(D3315)&gt;=VALUE(block!$C$3:$C$500))*(VALUE(D3315)&lt;VALUE(block!$C$3:$C$500)+VALUE(block!$D$3:$D$500)),block!$A$3:$A$500,"无匹配",0,1)</f>
        <v>88</v>
      </c>
      <c r="C3315" s="3" t="str">
        <f>B3315 &amp; "-" &amp; COUNTIF($B$2:B3315, B3315)</f>
        <v>88-30</v>
      </c>
      <c r="D3315" s="10">
        <v>23094</v>
      </c>
      <c r="E3315" s="1" t="s">
        <v>8063</v>
      </c>
      <c r="F3315" s="1" t="s">
        <v>8064</v>
      </c>
      <c r="H3315" s="3" t="s">
        <v>6767</v>
      </c>
      <c r="I3315" s="10" t="str">
        <f>IF(H3315="T64",1,IF(H3315="T64",3,IF(H3315="T80",6,IF(H3315="T80",10,IF(H3315="T112",14,IF(H3315="T112",18,IF(H3315="T80",22,"")))))))</f>
        <v/>
      </c>
      <c r="J3315" s="1" t="s">
        <v>1808</v>
      </c>
      <c r="K3315" s="10">
        <v>4</v>
      </c>
      <c r="L3315" s="10">
        <v>1</v>
      </c>
      <c r="O3315" s="6"/>
      <c r="Q3315" s="42" t="s">
        <v>6870</v>
      </c>
      <c r="R3315" s="42"/>
      <c r="S3315" s="1"/>
    </row>
    <row r="3316" spans="1:19" ht="18.75" hidden="1" customHeight="1" x14ac:dyDescent="0.3">
      <c r="A3316" s="10">
        <v>3315</v>
      </c>
      <c r="B3316" s="10">
        <f>_xlfn.XLOOKUP(1,(VALUE(D3316)&gt;=VALUE(block!$C$3:$C$500))*(VALUE(D3316)&lt;VALUE(block!$C$3:$C$500)+VALUE(block!$D$3:$D$500)),block!$A$3:$A$500,"无匹配",0,1)</f>
        <v>88</v>
      </c>
      <c r="C3316" s="3" t="str">
        <f>B3316 &amp; "-" &amp; COUNTIF($B$2:B3316, B3316)</f>
        <v>88-31</v>
      </c>
      <c r="D3316" s="10">
        <v>23098</v>
      </c>
      <c r="E3316" s="1" t="s">
        <v>8065</v>
      </c>
      <c r="F3316" s="1" t="s">
        <v>8066</v>
      </c>
      <c r="G3316" s="1" t="s">
        <v>1836</v>
      </c>
      <c r="H3316" s="1" t="s">
        <v>1812</v>
      </c>
      <c r="I3316" s="10" t="str">
        <f>IF(H3316="T65",1,IF(H3316="T65",3,IF(H3316="T81",6,IF(H3316="T81",10,IF(H3316="T113",14,IF(H3316="T113",18,IF(H3316="T81",22,"")))))))</f>
        <v/>
      </c>
      <c r="J3316" s="1" t="s">
        <v>1808</v>
      </c>
      <c r="K3316" s="10">
        <v>2</v>
      </c>
      <c r="L3316" s="10">
        <v>1</v>
      </c>
      <c r="O3316" s="6"/>
      <c r="P3316" s="10">
        <v>6</v>
      </c>
      <c r="Q3316" s="42" t="s">
        <v>6870</v>
      </c>
      <c r="R3316" s="42"/>
      <c r="S3316" s="1"/>
    </row>
    <row r="3317" spans="1:19" ht="18.75" hidden="1" customHeight="1" x14ac:dyDescent="0.3">
      <c r="A3317" s="10">
        <v>3316</v>
      </c>
      <c r="B3317" s="10">
        <f>_xlfn.XLOOKUP(1,(VALUE(D3317)&gt;=VALUE(block!$C$3:$C$500))*(VALUE(D3317)&lt;VALUE(block!$C$3:$C$500)+VALUE(block!$D$3:$D$500)),block!$A$3:$A$500,"无匹配",0,1)</f>
        <v>88</v>
      </c>
      <c r="C3317" s="3" t="str">
        <f>B3317 &amp; "-" &amp; COUNTIF($B$2:B3317, B3317)</f>
        <v>88-32</v>
      </c>
      <c r="D3317" s="10">
        <v>23100</v>
      </c>
      <c r="E3317" s="1" t="s">
        <v>8067</v>
      </c>
      <c r="F3317" s="1" t="s">
        <v>8068</v>
      </c>
      <c r="H3317" s="3" t="s">
        <v>6767</v>
      </c>
      <c r="I3317" s="10" t="str">
        <f>IF(H3317="T66",1,IF(H3317="T66",3,IF(H3317="T82",6,IF(H3317="T82",10,IF(H3317="T114",14,IF(H3317="T114",18,IF(H3317="T82",22,"")))))))</f>
        <v/>
      </c>
      <c r="J3317" s="1" t="s">
        <v>1808</v>
      </c>
      <c r="K3317" s="10">
        <v>4</v>
      </c>
      <c r="L3317" s="10">
        <v>1</v>
      </c>
      <c r="O3317" s="6"/>
      <c r="Q3317" s="42" t="s">
        <v>6870</v>
      </c>
      <c r="R3317" s="42"/>
      <c r="S3317" s="1"/>
    </row>
    <row r="3318" spans="1:19" ht="18.75" hidden="1" customHeight="1" x14ac:dyDescent="0.3">
      <c r="A3318" s="10">
        <v>3317</v>
      </c>
      <c r="B3318" s="10">
        <f>_xlfn.XLOOKUP(1,(VALUE(D3318)&gt;=VALUE(block!$C$3:$C$500))*(VALUE(D3318)&lt;VALUE(block!$C$3:$C$500)+VALUE(block!$D$3:$D$500)),block!$A$3:$A$500,"无匹配",0,1)</f>
        <v>88</v>
      </c>
      <c r="C3318" s="3" t="str">
        <f>B3318 &amp; "-" &amp; COUNTIF($B$2:B3318, B3318)</f>
        <v>88-33</v>
      </c>
      <c r="D3318" s="10">
        <v>23104</v>
      </c>
      <c r="E3318" s="1" t="s">
        <v>8069</v>
      </c>
      <c r="F3318" s="1" t="s">
        <v>8070</v>
      </c>
      <c r="G3318" s="1" t="s">
        <v>1840</v>
      </c>
      <c r="H3318" s="1" t="s">
        <v>1812</v>
      </c>
      <c r="I3318" s="10" t="str">
        <f>IF(H3318="T67",1,IF(H3318="T67",3,IF(H3318="T83",6,IF(H3318="T83",10,IF(H3318="T115",14,IF(H3318="T115",18,IF(H3318="T83",22,"")))))))</f>
        <v/>
      </c>
      <c r="J3318" s="1" t="s">
        <v>1808</v>
      </c>
      <c r="K3318" s="10">
        <v>2</v>
      </c>
      <c r="L3318" s="10">
        <v>1</v>
      </c>
      <c r="O3318" s="6"/>
      <c r="P3318" s="10">
        <v>6</v>
      </c>
      <c r="Q3318" s="42" t="s">
        <v>6870</v>
      </c>
      <c r="R3318" s="42"/>
      <c r="S3318" s="1"/>
    </row>
    <row r="3319" spans="1:19" ht="18.75" hidden="1" customHeight="1" x14ac:dyDescent="0.3">
      <c r="A3319" s="10">
        <v>3318</v>
      </c>
      <c r="B3319" s="10">
        <f>_xlfn.XLOOKUP(1,(VALUE(D3319)&gt;=VALUE(block!$C$3:$C$500))*(VALUE(D3319)&lt;VALUE(block!$C$3:$C$500)+VALUE(block!$D$3:$D$500)),block!$A$3:$A$500,"无匹配",0,1)</f>
        <v>88</v>
      </c>
      <c r="C3319" s="3" t="str">
        <f>B3319 &amp; "-" &amp; COUNTIF($B$2:B3319, B3319)</f>
        <v>88-34</v>
      </c>
      <c r="D3319" s="10">
        <v>23106</v>
      </c>
      <c r="E3319" s="1" t="s">
        <v>8071</v>
      </c>
      <c r="F3319" s="1" t="s">
        <v>8072</v>
      </c>
      <c r="H3319" s="3" t="s">
        <v>6767</v>
      </c>
      <c r="I3319" s="10" t="str">
        <f>IF(H3319="T68",1,IF(H3319="T68",3,IF(H3319="T84",6,IF(H3319="T84",10,IF(H3319="T116",14,IF(H3319="T116",18,IF(H3319="T84",22,"")))))))</f>
        <v/>
      </c>
      <c r="J3319" s="1" t="s">
        <v>1808</v>
      </c>
      <c r="K3319" s="10">
        <v>4</v>
      </c>
      <c r="L3319" s="10">
        <v>1</v>
      </c>
      <c r="O3319" s="6"/>
      <c r="Q3319" s="42" t="s">
        <v>6870</v>
      </c>
      <c r="R3319" s="42"/>
      <c r="S3319" s="1"/>
    </row>
    <row r="3320" spans="1:19" ht="18.75" hidden="1" customHeight="1" x14ac:dyDescent="0.3">
      <c r="A3320" s="10">
        <v>3319</v>
      </c>
      <c r="B3320" s="10">
        <f>_xlfn.XLOOKUP(1,(VALUE(D3320)&gt;=VALUE(block!$C$3:$C$500))*(VALUE(D3320)&lt;VALUE(block!$C$3:$C$500)+VALUE(block!$D$3:$D$500)),block!$A$3:$A$500,"无匹配",0,1)</f>
        <v>88</v>
      </c>
      <c r="C3320" s="3" t="str">
        <f>B3320 &amp; "-" &amp; COUNTIF($B$2:B3320, B3320)</f>
        <v>88-35</v>
      </c>
      <c r="D3320" s="10">
        <v>23110</v>
      </c>
      <c r="E3320" s="1" t="s">
        <v>8073</v>
      </c>
      <c r="F3320" s="1" t="s">
        <v>8074</v>
      </c>
      <c r="G3320" s="1" t="s">
        <v>1840</v>
      </c>
      <c r="H3320" s="1" t="s">
        <v>1812</v>
      </c>
      <c r="I3320" s="10" t="str">
        <f>IF(H3320="T69",1,IF(H3320="T69",3,IF(H3320="T85",6,IF(H3320="T85",10,IF(H3320="T117",14,IF(H3320="T117",18,IF(H3320="T85",22,"")))))))</f>
        <v/>
      </c>
      <c r="J3320" s="1" t="s">
        <v>1808</v>
      </c>
      <c r="K3320" s="10">
        <v>2</v>
      </c>
      <c r="L3320" s="10">
        <v>1</v>
      </c>
      <c r="O3320" s="6"/>
      <c r="P3320" s="10">
        <v>6</v>
      </c>
      <c r="Q3320" s="42" t="s">
        <v>6870</v>
      </c>
      <c r="R3320" s="42"/>
      <c r="S3320" s="1"/>
    </row>
    <row r="3321" spans="1:19" ht="18.75" hidden="1" customHeight="1" x14ac:dyDescent="0.3">
      <c r="A3321" s="10">
        <v>3320</v>
      </c>
      <c r="B3321" s="10">
        <f>_xlfn.XLOOKUP(1,(VALUE(D3321)&gt;=VALUE(block!$C$3:$C$500))*(VALUE(D3321)&lt;VALUE(block!$C$3:$C$500)+VALUE(block!$D$3:$D$500)),block!$A$3:$A$500,"无匹配",0,1)</f>
        <v>88</v>
      </c>
      <c r="C3321" s="3" t="str">
        <f>B3321 &amp; "-" &amp; COUNTIF($B$2:B3321, B3321)</f>
        <v>88-36</v>
      </c>
      <c r="D3321" s="10">
        <v>23112</v>
      </c>
      <c r="E3321" s="1" t="s">
        <v>8075</v>
      </c>
      <c r="F3321" s="1" t="s">
        <v>8076</v>
      </c>
      <c r="H3321" s="3" t="s">
        <v>6767</v>
      </c>
      <c r="I3321" s="10" t="str">
        <f>IF(H3321="T70",1,IF(H3321="T70",3,IF(H3321="T86",6,IF(H3321="T86",10,IF(H3321="T118",14,IF(H3321="T118",18,IF(H3321="T86",22,"")))))))</f>
        <v/>
      </c>
      <c r="J3321" s="1" t="s">
        <v>1808</v>
      </c>
      <c r="K3321" s="10">
        <v>4</v>
      </c>
      <c r="L3321" s="10">
        <v>1</v>
      </c>
      <c r="O3321" s="6"/>
      <c r="Q3321" s="42" t="s">
        <v>6870</v>
      </c>
      <c r="R3321" s="42"/>
      <c r="S3321" s="1"/>
    </row>
    <row r="3322" spans="1:19" ht="18.75" hidden="1" customHeight="1" x14ac:dyDescent="0.3">
      <c r="A3322" s="10">
        <v>3321</v>
      </c>
      <c r="B3322" s="10">
        <f>_xlfn.XLOOKUP(1,(VALUE(D3322)&gt;=VALUE(block!$C$3:$C$500))*(VALUE(D3322)&lt;VALUE(block!$C$3:$C$500)+VALUE(block!$D$3:$D$500)),block!$A$3:$A$500,"无匹配",0,1)</f>
        <v>89</v>
      </c>
      <c r="C3322" s="3" t="str">
        <f>B3322 &amp; "-" &amp; COUNTIF($B$2:B3322, B3322)</f>
        <v>89-1</v>
      </c>
      <c r="D3322" s="10">
        <v>23116</v>
      </c>
      <c r="E3322" s="1" t="s">
        <v>8077</v>
      </c>
      <c r="F3322" s="1" t="s">
        <v>8078</v>
      </c>
      <c r="G3322" s="1" t="s">
        <v>1830</v>
      </c>
      <c r="H3322" s="1" t="s">
        <v>1812</v>
      </c>
      <c r="I3322" s="10" t="str">
        <f>IF(H3322="T71",1,IF(H3322="T71",3,IF(H3322="T87",6,IF(H3322="T87",10,IF(H3322="T119",14,IF(H3322="T119",18,IF(H3322="T87",22,"")))))))</f>
        <v/>
      </c>
      <c r="J3322" s="1" t="s">
        <v>1808</v>
      </c>
      <c r="K3322" s="10">
        <v>2</v>
      </c>
      <c r="L3322" s="10">
        <v>1</v>
      </c>
      <c r="O3322" s="6"/>
      <c r="P3322" s="10">
        <v>6</v>
      </c>
      <c r="Q3322" s="42" t="s">
        <v>6870</v>
      </c>
      <c r="R3322" s="42"/>
      <c r="S3322" s="1"/>
    </row>
    <row r="3323" spans="1:19" ht="18.75" hidden="1" customHeight="1" x14ac:dyDescent="0.3">
      <c r="A3323" s="10">
        <v>3322</v>
      </c>
      <c r="B3323" s="10">
        <f>_xlfn.XLOOKUP(1,(VALUE(D3323)&gt;=VALUE(block!$C$3:$C$500))*(VALUE(D3323)&lt;VALUE(block!$C$3:$C$500)+VALUE(block!$D$3:$D$500)),block!$A$3:$A$500,"无匹配",0,1)</f>
        <v>89</v>
      </c>
      <c r="C3323" s="3" t="str">
        <f>B3323 &amp; "-" &amp; COUNTIF($B$2:B3323, B3323)</f>
        <v>89-2</v>
      </c>
      <c r="D3323" s="10">
        <v>23118</v>
      </c>
      <c r="E3323" s="1" t="s">
        <v>8079</v>
      </c>
      <c r="F3323" s="1" t="s">
        <v>8080</v>
      </c>
      <c r="H3323" s="3" t="s">
        <v>6767</v>
      </c>
      <c r="I3323" s="10" t="str">
        <f>IF(H3323="T72",1,IF(H3323="T72",3,IF(H3323="T88",6,IF(H3323="T88",10,IF(H3323="T120",14,IF(H3323="T120",18,IF(H3323="T88",22,"")))))))</f>
        <v/>
      </c>
      <c r="J3323" s="1" t="s">
        <v>1808</v>
      </c>
      <c r="K3323" s="10">
        <v>4</v>
      </c>
      <c r="L3323" s="10">
        <v>1</v>
      </c>
      <c r="O3323" s="6"/>
      <c r="Q3323" s="42" t="s">
        <v>6870</v>
      </c>
      <c r="R3323" s="42"/>
      <c r="S3323" s="1"/>
    </row>
    <row r="3324" spans="1:19" ht="18.75" hidden="1" customHeight="1" x14ac:dyDescent="0.3">
      <c r="A3324" s="10">
        <v>3323</v>
      </c>
      <c r="B3324" s="10">
        <f>_xlfn.XLOOKUP(1,(VALUE(D3324)&gt;=VALUE(block!$C$3:$C$500))*(VALUE(D3324)&lt;VALUE(block!$C$3:$C$500)+VALUE(block!$D$3:$D$500)),block!$A$3:$A$500,"无匹配",0,1)</f>
        <v>89</v>
      </c>
      <c r="C3324" s="3" t="str">
        <f>B3324 &amp; "-" &amp; COUNTIF($B$2:B3324, B3324)</f>
        <v>89-3</v>
      </c>
      <c r="D3324" s="10">
        <v>23122</v>
      </c>
      <c r="E3324" s="1" t="s">
        <v>8081</v>
      </c>
      <c r="F3324" s="1" t="s">
        <v>8082</v>
      </c>
      <c r="G3324" s="1" t="s">
        <v>1832</v>
      </c>
      <c r="H3324" s="1" t="s">
        <v>1812</v>
      </c>
      <c r="I3324" s="10" t="str">
        <f>IF(H3324="T73",1,IF(H3324="T73",3,IF(H3324="T89",6,IF(H3324="T89",10,IF(H3324="T121",14,IF(H3324="T121",18,IF(H3324="T89",22,"")))))))</f>
        <v/>
      </c>
      <c r="J3324" s="1" t="s">
        <v>1808</v>
      </c>
      <c r="K3324" s="10">
        <v>2</v>
      </c>
      <c r="L3324" s="10">
        <v>1</v>
      </c>
      <c r="O3324" s="6"/>
      <c r="P3324" s="10">
        <v>6</v>
      </c>
      <c r="Q3324" s="42" t="s">
        <v>6870</v>
      </c>
      <c r="R3324" s="42"/>
      <c r="S3324" s="1"/>
    </row>
    <row r="3325" spans="1:19" ht="18.75" hidden="1" customHeight="1" x14ac:dyDescent="0.3">
      <c r="A3325" s="10">
        <v>3324</v>
      </c>
      <c r="B3325" s="10">
        <f>_xlfn.XLOOKUP(1,(VALUE(D3325)&gt;=VALUE(block!$C$3:$C$500))*(VALUE(D3325)&lt;VALUE(block!$C$3:$C$500)+VALUE(block!$D$3:$D$500)),block!$A$3:$A$500,"无匹配",0,1)</f>
        <v>89</v>
      </c>
      <c r="C3325" s="3" t="str">
        <f>B3325 &amp; "-" &amp; COUNTIF($B$2:B3325, B3325)</f>
        <v>89-4</v>
      </c>
      <c r="D3325" s="10">
        <v>23124</v>
      </c>
      <c r="E3325" s="1" t="s">
        <v>8083</v>
      </c>
      <c r="F3325" s="1" t="s">
        <v>8084</v>
      </c>
      <c r="H3325" s="3" t="s">
        <v>6767</v>
      </c>
      <c r="I3325" s="10" t="str">
        <f>IF(H3325="T74",1,IF(H3325="T74",3,IF(H3325="T90",6,IF(H3325="T90",10,IF(H3325="T122",14,IF(H3325="T122",18,IF(H3325="T90",22,"")))))))</f>
        <v/>
      </c>
      <c r="J3325" s="1" t="s">
        <v>1808</v>
      </c>
      <c r="K3325" s="10">
        <v>4</v>
      </c>
      <c r="L3325" s="10">
        <v>1</v>
      </c>
      <c r="O3325" s="6"/>
      <c r="Q3325" s="42" t="s">
        <v>6870</v>
      </c>
      <c r="R3325" s="42"/>
      <c r="S3325" s="1"/>
    </row>
    <row r="3326" spans="1:19" ht="18.75" hidden="1" customHeight="1" x14ac:dyDescent="0.3">
      <c r="A3326" s="10">
        <v>3325</v>
      </c>
      <c r="B3326" s="10">
        <f>_xlfn.XLOOKUP(1,(VALUE(D3326)&gt;=VALUE(block!$C$3:$C$500))*(VALUE(D3326)&lt;VALUE(block!$C$3:$C$500)+VALUE(block!$D$3:$D$500)),block!$A$3:$A$500,"无匹配",0,1)</f>
        <v>89</v>
      </c>
      <c r="C3326" s="3" t="str">
        <f>B3326 &amp; "-" &amp; COUNTIF($B$2:B3326, B3326)</f>
        <v>89-5</v>
      </c>
      <c r="D3326" s="10">
        <v>23128</v>
      </c>
      <c r="E3326" s="1" t="s">
        <v>8085</v>
      </c>
      <c r="F3326" s="1" t="s">
        <v>8086</v>
      </c>
      <c r="G3326" s="1" t="s">
        <v>1834</v>
      </c>
      <c r="H3326" s="1" t="s">
        <v>1812</v>
      </c>
      <c r="I3326" s="10" t="str">
        <f>IF(H3326="T75",1,IF(H3326="T75",3,IF(H3326="T91",6,IF(H3326="T91",10,IF(H3326="T123",14,IF(H3326="T123",18,IF(H3326="T91",22,"")))))))</f>
        <v/>
      </c>
      <c r="J3326" s="1" t="s">
        <v>1808</v>
      </c>
      <c r="K3326" s="10">
        <v>2</v>
      </c>
      <c r="L3326" s="10">
        <v>1</v>
      </c>
      <c r="O3326" s="6"/>
      <c r="P3326" s="10">
        <v>6</v>
      </c>
      <c r="Q3326" s="42" t="s">
        <v>6870</v>
      </c>
      <c r="R3326" s="42"/>
      <c r="S3326" s="1"/>
    </row>
    <row r="3327" spans="1:19" ht="18.75" hidden="1" customHeight="1" x14ac:dyDescent="0.3">
      <c r="A3327" s="10">
        <v>3326</v>
      </c>
      <c r="B3327" s="10">
        <f>_xlfn.XLOOKUP(1,(VALUE(D3327)&gt;=VALUE(block!$C$3:$C$500))*(VALUE(D3327)&lt;VALUE(block!$C$3:$C$500)+VALUE(block!$D$3:$D$500)),block!$A$3:$A$500,"无匹配",0,1)</f>
        <v>89</v>
      </c>
      <c r="C3327" s="3" t="str">
        <f>B3327 &amp; "-" &amp; COUNTIF($B$2:B3327, B3327)</f>
        <v>89-6</v>
      </c>
      <c r="D3327" s="10">
        <v>23130</v>
      </c>
      <c r="E3327" s="1" t="s">
        <v>8087</v>
      </c>
      <c r="F3327" s="1" t="s">
        <v>8088</v>
      </c>
      <c r="H3327" s="3" t="s">
        <v>6767</v>
      </c>
      <c r="I3327" s="10" t="str">
        <f>IF(H3327="T76",1,IF(H3327="T76",3,IF(H3327="T92",6,IF(H3327="T92",10,IF(H3327="T124",14,IF(H3327="T124",18,IF(H3327="T92",22,"")))))))</f>
        <v/>
      </c>
      <c r="J3327" s="1" t="s">
        <v>1808</v>
      </c>
      <c r="K3327" s="10">
        <v>4</v>
      </c>
      <c r="L3327" s="10">
        <v>1</v>
      </c>
      <c r="O3327" s="6"/>
      <c r="Q3327" s="42" t="s">
        <v>6870</v>
      </c>
      <c r="R3327" s="42"/>
      <c r="S3327" s="1"/>
    </row>
    <row r="3328" spans="1:19" ht="18.75" hidden="1" customHeight="1" x14ac:dyDescent="0.3">
      <c r="A3328" s="10">
        <v>3327</v>
      </c>
      <c r="B3328" s="10">
        <f>_xlfn.XLOOKUP(1,(VALUE(D3328)&gt;=VALUE(block!$C$3:$C$500))*(VALUE(D3328)&lt;VALUE(block!$C$3:$C$500)+VALUE(block!$D$3:$D$500)),block!$A$3:$A$500,"无匹配",0,1)</f>
        <v>89</v>
      </c>
      <c r="C3328" s="3" t="str">
        <f>B3328 &amp; "-" &amp; COUNTIF($B$2:B3328, B3328)</f>
        <v>89-7</v>
      </c>
      <c r="D3328" s="10">
        <v>23134</v>
      </c>
      <c r="E3328" s="1" t="s">
        <v>8089</v>
      </c>
      <c r="F3328" s="1" t="s">
        <v>8090</v>
      </c>
      <c r="G3328" s="1" t="s">
        <v>1836</v>
      </c>
      <c r="H3328" s="1" t="s">
        <v>1812</v>
      </c>
      <c r="I3328" s="10" t="str">
        <f>IF(H3328="T77",1,IF(H3328="T77",3,IF(H3328="T93",6,IF(H3328="T93",10,IF(H3328="T125",14,IF(H3328="T125",18,IF(H3328="T93",22,"")))))))</f>
        <v/>
      </c>
      <c r="J3328" s="1" t="s">
        <v>1808</v>
      </c>
      <c r="K3328" s="10">
        <v>2</v>
      </c>
      <c r="L3328" s="10">
        <v>1</v>
      </c>
      <c r="O3328" s="6"/>
      <c r="P3328" s="10">
        <v>6</v>
      </c>
      <c r="Q3328" s="42" t="s">
        <v>6870</v>
      </c>
      <c r="R3328" s="42"/>
      <c r="S3328" s="1"/>
    </row>
    <row r="3329" spans="1:19" ht="18.75" hidden="1" customHeight="1" x14ac:dyDescent="0.3">
      <c r="A3329" s="10">
        <v>3328</v>
      </c>
      <c r="B3329" s="10">
        <f>_xlfn.XLOOKUP(1,(VALUE(D3329)&gt;=VALUE(block!$C$3:$C$500))*(VALUE(D3329)&lt;VALUE(block!$C$3:$C$500)+VALUE(block!$D$3:$D$500)),block!$A$3:$A$500,"无匹配",0,1)</f>
        <v>89</v>
      </c>
      <c r="C3329" s="3" t="str">
        <f>B3329 &amp; "-" &amp; COUNTIF($B$2:B3329, B3329)</f>
        <v>89-8</v>
      </c>
      <c r="D3329" s="10">
        <v>23136</v>
      </c>
      <c r="E3329" s="1" t="s">
        <v>8091</v>
      </c>
      <c r="F3329" s="1" t="s">
        <v>8092</v>
      </c>
      <c r="H3329" s="3" t="s">
        <v>6767</v>
      </c>
      <c r="I3329" s="10" t="str">
        <f>IF(H3329="T78",1,IF(H3329="T78",3,IF(H3329="T94",6,IF(H3329="T94",10,IF(H3329="T126",14,IF(H3329="T126",18,IF(H3329="T94",22,"")))))))</f>
        <v/>
      </c>
      <c r="J3329" s="1" t="s">
        <v>1808</v>
      </c>
      <c r="K3329" s="10">
        <v>4</v>
      </c>
      <c r="L3329" s="10">
        <v>1</v>
      </c>
      <c r="O3329" s="6"/>
      <c r="Q3329" s="42" t="s">
        <v>6870</v>
      </c>
      <c r="R3329" s="42"/>
      <c r="S3329" s="1"/>
    </row>
    <row r="3330" spans="1:19" ht="18.75" hidden="1" customHeight="1" x14ac:dyDescent="0.3">
      <c r="A3330" s="10">
        <v>3329</v>
      </c>
      <c r="B3330" s="10">
        <f>_xlfn.XLOOKUP(1,(VALUE(D3330)&gt;=VALUE(block!$C$3:$C$500))*(VALUE(D3330)&lt;VALUE(block!$C$3:$C$500)+VALUE(block!$D$3:$D$500)),block!$A$3:$A$500,"无匹配",0,1)</f>
        <v>89</v>
      </c>
      <c r="C3330" s="3" t="str">
        <f>B3330 &amp; "-" &amp; COUNTIF($B$2:B3330, B3330)</f>
        <v>89-9</v>
      </c>
      <c r="D3330" s="10">
        <v>23140</v>
      </c>
      <c r="E3330" s="1" t="s">
        <v>8093</v>
      </c>
      <c r="F3330" s="1" t="s">
        <v>8094</v>
      </c>
      <c r="G3330" s="1" t="s">
        <v>1840</v>
      </c>
      <c r="H3330" s="1" t="s">
        <v>1812</v>
      </c>
      <c r="I3330" s="10" t="str">
        <f>IF(H3330="T79",1,IF(H3330="T79",3,IF(H3330="T95",6,IF(H3330="T95",10,IF(H3330="T127",14,IF(H3330="T127",18,IF(H3330="T95",22,"")))))))</f>
        <v/>
      </c>
      <c r="J3330" s="1" t="s">
        <v>1808</v>
      </c>
      <c r="K3330" s="10">
        <v>2</v>
      </c>
      <c r="L3330" s="10">
        <v>1</v>
      </c>
      <c r="O3330" s="6"/>
      <c r="P3330" s="10">
        <v>6</v>
      </c>
      <c r="Q3330" s="42" t="s">
        <v>6870</v>
      </c>
      <c r="R3330" s="42"/>
      <c r="S3330" s="1"/>
    </row>
    <row r="3331" spans="1:19" ht="18.75" hidden="1" customHeight="1" x14ac:dyDescent="0.3">
      <c r="A3331" s="10">
        <v>3330</v>
      </c>
      <c r="B3331" s="10">
        <f>_xlfn.XLOOKUP(1,(VALUE(D3331)&gt;=VALUE(block!$C$3:$C$500))*(VALUE(D3331)&lt;VALUE(block!$C$3:$C$500)+VALUE(block!$D$3:$D$500)),block!$A$3:$A$500,"无匹配",0,1)</f>
        <v>89</v>
      </c>
      <c r="C3331" s="3" t="str">
        <f>B3331 &amp; "-" &amp; COUNTIF($B$2:B3331, B3331)</f>
        <v>89-10</v>
      </c>
      <c r="D3331" s="10">
        <v>23142</v>
      </c>
      <c r="E3331" s="1" t="s">
        <v>8095</v>
      </c>
      <c r="F3331" s="1" t="s">
        <v>8096</v>
      </c>
      <c r="H3331" s="3" t="s">
        <v>6767</v>
      </c>
      <c r="I3331" s="10">
        <f>IF(H3331="uint16",1,IF(H3331="int16",3,IF(H3331="uint32",6,IF(H3331="int32",10,IF(H3331="uint64",14,IF(H3331="int64",18,IF(H3331="float32",22,"")))))))</f>
        <v>14</v>
      </c>
      <c r="J3331" s="1" t="s">
        <v>1808</v>
      </c>
      <c r="K3331" s="10">
        <v>4</v>
      </c>
      <c r="L3331" s="10">
        <v>1</v>
      </c>
      <c r="O3331" s="6"/>
      <c r="Q3331" s="42" t="s">
        <v>6870</v>
      </c>
      <c r="R3331" s="42"/>
      <c r="S3331" s="1"/>
    </row>
    <row r="3332" spans="1:19" ht="18.75" hidden="1" customHeight="1" x14ac:dyDescent="0.3">
      <c r="A3332" s="10">
        <v>3331</v>
      </c>
      <c r="B3332" s="10">
        <f>_xlfn.XLOOKUP(1,(VALUE(D3332)&gt;=VALUE(block!$C$3:$C$500))*(VALUE(D3332)&lt;VALUE(block!$C$3:$C$500)+VALUE(block!$D$3:$D$500)),block!$A$3:$A$500,"无匹配",0,1)</f>
        <v>89</v>
      </c>
      <c r="C3332" s="3" t="str">
        <f>B3332 &amp; "-" &amp; COUNTIF($B$2:B3332, B3332)</f>
        <v>89-11</v>
      </c>
      <c r="D3332" s="10">
        <v>23146</v>
      </c>
      <c r="E3332" s="1" t="s">
        <v>8097</v>
      </c>
      <c r="F3332" s="1" t="s">
        <v>8098</v>
      </c>
      <c r="G3332" s="1" t="s">
        <v>1840</v>
      </c>
      <c r="H3332" s="1" t="s">
        <v>1812</v>
      </c>
      <c r="I3332" s="10" t="str">
        <f>IF(H3332="T17",1,IF(H3332="T17",3,IF(H3332="T33",6,IF(H3332="T33",10,IF(H3332="T65",14,IF(H3332="T65",18,IF(H3332="T33",22,"")))))))</f>
        <v/>
      </c>
      <c r="J3332" s="1" t="s">
        <v>1808</v>
      </c>
      <c r="K3332" s="10">
        <v>2</v>
      </c>
      <c r="L3332" s="10">
        <v>1</v>
      </c>
      <c r="O3332" s="6"/>
      <c r="P3332" s="10">
        <v>6</v>
      </c>
      <c r="Q3332" s="42" t="s">
        <v>6870</v>
      </c>
      <c r="R3332" s="42"/>
      <c r="S3332" s="1"/>
    </row>
    <row r="3333" spans="1:19" ht="18.75" hidden="1" customHeight="1" x14ac:dyDescent="0.3">
      <c r="A3333" s="10">
        <v>3332</v>
      </c>
      <c r="B3333" s="10">
        <f>_xlfn.XLOOKUP(1,(VALUE(D3333)&gt;=VALUE(block!$C$3:$C$500))*(VALUE(D3333)&lt;VALUE(block!$C$3:$C$500)+VALUE(block!$D$3:$D$500)),block!$A$3:$A$500,"无匹配",0,1)</f>
        <v>89</v>
      </c>
      <c r="C3333" s="3" t="str">
        <f>B3333 &amp; "-" &amp; COUNTIF($B$2:B3333, B3333)</f>
        <v>89-12</v>
      </c>
      <c r="D3333" s="10">
        <v>23148</v>
      </c>
      <c r="E3333" s="1" t="s">
        <v>8099</v>
      </c>
      <c r="F3333" s="1" t="s">
        <v>8100</v>
      </c>
      <c r="H3333" s="3" t="s">
        <v>6767</v>
      </c>
      <c r="I3333" s="10" t="str">
        <f>IF(H3333="T18",1,IF(H3333="T18",3,IF(H3333="T34",6,IF(H3333="T34",10,IF(H3333="T66",14,IF(H3333="T66",18,IF(H3333="T34",22,"")))))))</f>
        <v/>
      </c>
      <c r="J3333" s="1" t="s">
        <v>1808</v>
      </c>
      <c r="K3333" s="10">
        <v>4</v>
      </c>
      <c r="L3333" s="10">
        <v>1</v>
      </c>
      <c r="O3333" s="6"/>
      <c r="Q3333" s="42" t="s">
        <v>6870</v>
      </c>
      <c r="R3333" s="42"/>
      <c r="S3333" s="1"/>
    </row>
    <row r="3334" spans="1:19" ht="18.75" hidden="1" customHeight="1" x14ac:dyDescent="0.3">
      <c r="A3334" s="10">
        <v>3333</v>
      </c>
      <c r="B3334" s="10">
        <f>_xlfn.XLOOKUP(1,(VALUE(D3334)&gt;=VALUE(block!$C$3:$C$500))*(VALUE(D3334)&lt;VALUE(block!$C$3:$C$500)+VALUE(block!$D$3:$D$500)),block!$A$3:$A$500,"无匹配",0,1)</f>
        <v>89</v>
      </c>
      <c r="C3334" s="3" t="str">
        <f>B3334 &amp; "-" &amp; COUNTIF($B$2:B3334, B3334)</f>
        <v>89-13</v>
      </c>
      <c r="D3334" s="10">
        <v>23152</v>
      </c>
      <c r="E3334" s="1" t="s">
        <v>8101</v>
      </c>
      <c r="F3334" s="1" t="s">
        <v>8102</v>
      </c>
      <c r="G3334" s="1" t="s">
        <v>1830</v>
      </c>
      <c r="H3334" s="1" t="s">
        <v>1812</v>
      </c>
      <c r="I3334" s="10" t="str">
        <f>IF(H3334="T19",1,IF(H3334="T19",3,IF(H3334="T35",6,IF(H3334="T35",10,IF(H3334="T67",14,IF(H3334="T67",18,IF(H3334="T35",22,"")))))))</f>
        <v/>
      </c>
      <c r="J3334" s="1" t="s">
        <v>1808</v>
      </c>
      <c r="K3334" s="10">
        <v>2</v>
      </c>
      <c r="L3334" s="10">
        <v>1</v>
      </c>
      <c r="O3334" s="6"/>
      <c r="P3334" s="10">
        <v>6</v>
      </c>
      <c r="Q3334" s="42" t="s">
        <v>6870</v>
      </c>
      <c r="R3334" s="42"/>
      <c r="S3334" s="1"/>
    </row>
    <row r="3335" spans="1:19" ht="18.75" hidden="1" customHeight="1" x14ac:dyDescent="0.3">
      <c r="A3335" s="10">
        <v>3334</v>
      </c>
      <c r="B3335" s="10">
        <f>_xlfn.XLOOKUP(1,(VALUE(D3335)&gt;=VALUE(block!$C$3:$C$500))*(VALUE(D3335)&lt;VALUE(block!$C$3:$C$500)+VALUE(block!$D$3:$D$500)),block!$A$3:$A$500,"无匹配",0,1)</f>
        <v>89</v>
      </c>
      <c r="C3335" s="3" t="str">
        <f>B3335 &amp; "-" &amp; COUNTIF($B$2:B3335, B3335)</f>
        <v>89-14</v>
      </c>
      <c r="D3335" s="10">
        <v>23154</v>
      </c>
      <c r="E3335" s="1" t="s">
        <v>8103</v>
      </c>
      <c r="F3335" s="1" t="s">
        <v>8104</v>
      </c>
      <c r="H3335" s="3" t="s">
        <v>6767</v>
      </c>
      <c r="I3335" s="10" t="str">
        <f>IF(H3335="T20",1,IF(H3335="T20",3,IF(H3335="T36",6,IF(H3335="T36",10,IF(H3335="T68",14,IF(H3335="T68",18,IF(H3335="T36",22,"")))))))</f>
        <v/>
      </c>
      <c r="J3335" s="1" t="s">
        <v>1808</v>
      </c>
      <c r="K3335" s="10">
        <v>4</v>
      </c>
      <c r="L3335" s="10">
        <v>1</v>
      </c>
      <c r="O3335" s="6"/>
      <c r="Q3335" s="42" t="s">
        <v>6870</v>
      </c>
      <c r="R3335" s="42"/>
      <c r="S3335" s="1"/>
    </row>
    <row r="3336" spans="1:19" ht="18.75" hidden="1" customHeight="1" x14ac:dyDescent="0.3">
      <c r="A3336" s="10">
        <v>3335</v>
      </c>
      <c r="B3336" s="10">
        <f>_xlfn.XLOOKUP(1,(VALUE(D3336)&gt;=VALUE(block!$C$3:$C$500))*(VALUE(D3336)&lt;VALUE(block!$C$3:$C$500)+VALUE(block!$D$3:$D$500)),block!$A$3:$A$500,"无匹配",0,1)</f>
        <v>89</v>
      </c>
      <c r="C3336" s="3" t="str">
        <f>B3336 &amp; "-" &amp; COUNTIF($B$2:B3336, B3336)</f>
        <v>89-15</v>
      </c>
      <c r="D3336" s="10">
        <v>23158</v>
      </c>
      <c r="E3336" s="1" t="s">
        <v>8105</v>
      </c>
      <c r="F3336" s="1" t="s">
        <v>8106</v>
      </c>
      <c r="G3336" s="1" t="s">
        <v>1832</v>
      </c>
      <c r="H3336" s="1" t="s">
        <v>1812</v>
      </c>
      <c r="I3336" s="10" t="str">
        <f>IF(H3336="T21",1,IF(H3336="T21",3,IF(H3336="T37",6,IF(H3336="T37",10,IF(H3336="T69",14,IF(H3336="T69",18,IF(H3336="T37",22,"")))))))</f>
        <v/>
      </c>
      <c r="J3336" s="1" t="s">
        <v>1808</v>
      </c>
      <c r="K3336" s="10">
        <v>2</v>
      </c>
      <c r="L3336" s="10">
        <v>1</v>
      </c>
      <c r="O3336" s="6"/>
      <c r="P3336" s="10">
        <v>6</v>
      </c>
      <c r="Q3336" s="42" t="s">
        <v>6870</v>
      </c>
      <c r="R3336" s="42"/>
      <c r="S3336" s="1"/>
    </row>
    <row r="3337" spans="1:19" ht="18.75" hidden="1" customHeight="1" x14ac:dyDescent="0.3">
      <c r="A3337" s="10">
        <v>3336</v>
      </c>
      <c r="B3337" s="10">
        <f>_xlfn.XLOOKUP(1,(VALUE(D3337)&gt;=VALUE(block!$C$3:$C$500))*(VALUE(D3337)&lt;VALUE(block!$C$3:$C$500)+VALUE(block!$D$3:$D$500)),block!$A$3:$A$500,"无匹配",0,1)</f>
        <v>89</v>
      </c>
      <c r="C3337" s="3" t="str">
        <f>B3337 &amp; "-" &amp; COUNTIF($B$2:B3337, B3337)</f>
        <v>89-16</v>
      </c>
      <c r="D3337" s="10">
        <v>23160</v>
      </c>
      <c r="E3337" s="1" t="s">
        <v>8107</v>
      </c>
      <c r="F3337" s="1" t="s">
        <v>8108</v>
      </c>
      <c r="H3337" s="3" t="s">
        <v>6767</v>
      </c>
      <c r="I3337" s="10" t="str">
        <f>IF(H3337="T22",1,IF(H3337="T22",3,IF(H3337="T38",6,IF(H3337="T38",10,IF(H3337="T70",14,IF(H3337="T70",18,IF(H3337="T38",22,"")))))))</f>
        <v/>
      </c>
      <c r="J3337" s="1" t="s">
        <v>1808</v>
      </c>
      <c r="K3337" s="10">
        <v>4</v>
      </c>
      <c r="L3337" s="10">
        <v>1</v>
      </c>
      <c r="O3337" s="6"/>
      <c r="Q3337" s="42" t="s">
        <v>6870</v>
      </c>
      <c r="R3337" s="42"/>
      <c r="S3337" s="1"/>
    </row>
    <row r="3338" spans="1:19" ht="18.75" hidden="1" customHeight="1" x14ac:dyDescent="0.3">
      <c r="A3338" s="10">
        <v>3337</v>
      </c>
      <c r="B3338" s="10">
        <f>_xlfn.XLOOKUP(1,(VALUE(D3338)&gt;=VALUE(block!$C$3:$C$500))*(VALUE(D3338)&lt;VALUE(block!$C$3:$C$500)+VALUE(block!$D$3:$D$500)),block!$A$3:$A$500,"无匹配",0,1)</f>
        <v>89</v>
      </c>
      <c r="C3338" s="3" t="str">
        <f>B3338 &amp; "-" &amp; COUNTIF($B$2:B3338, B3338)</f>
        <v>89-17</v>
      </c>
      <c r="D3338" s="10">
        <v>23164</v>
      </c>
      <c r="E3338" s="1" t="s">
        <v>8109</v>
      </c>
      <c r="F3338" s="1" t="s">
        <v>8110</v>
      </c>
      <c r="G3338" s="1" t="s">
        <v>1834</v>
      </c>
      <c r="H3338" s="1" t="s">
        <v>1812</v>
      </c>
      <c r="I3338" s="10" t="str">
        <f>IF(H3338="T23",1,IF(H3338="T23",3,IF(H3338="T39",6,IF(H3338="T39",10,IF(H3338="T71",14,IF(H3338="T71",18,IF(H3338="T39",22,"")))))))</f>
        <v/>
      </c>
      <c r="J3338" s="1" t="s">
        <v>1808</v>
      </c>
      <c r="K3338" s="10">
        <v>2</v>
      </c>
      <c r="L3338" s="10">
        <v>1</v>
      </c>
      <c r="O3338" s="6"/>
      <c r="P3338" s="10">
        <v>6</v>
      </c>
      <c r="Q3338" s="42" t="s">
        <v>6870</v>
      </c>
      <c r="R3338" s="42"/>
      <c r="S3338" s="1"/>
    </row>
    <row r="3339" spans="1:19" ht="18.75" hidden="1" customHeight="1" x14ac:dyDescent="0.3">
      <c r="A3339" s="10">
        <v>3338</v>
      </c>
      <c r="B3339" s="10">
        <f>_xlfn.XLOOKUP(1,(VALUE(D3339)&gt;=VALUE(block!$C$3:$C$500))*(VALUE(D3339)&lt;VALUE(block!$C$3:$C$500)+VALUE(block!$D$3:$D$500)),block!$A$3:$A$500,"无匹配",0,1)</f>
        <v>89</v>
      </c>
      <c r="C3339" s="3" t="str">
        <f>B3339 &amp; "-" &amp; COUNTIF($B$2:B3339, B3339)</f>
        <v>89-18</v>
      </c>
      <c r="D3339" s="10">
        <v>23166</v>
      </c>
      <c r="E3339" s="1" t="s">
        <v>8111</v>
      </c>
      <c r="F3339" s="1" t="s">
        <v>8112</v>
      </c>
      <c r="H3339" s="3" t="s">
        <v>6767</v>
      </c>
      <c r="I3339" s="10" t="str">
        <f>IF(H3339="T24",1,IF(H3339="T24",3,IF(H3339="T40",6,IF(H3339="T40",10,IF(H3339="T72",14,IF(H3339="T72",18,IF(H3339="T40",22,"")))))))</f>
        <v/>
      </c>
      <c r="J3339" s="1" t="s">
        <v>1808</v>
      </c>
      <c r="K3339" s="10">
        <v>4</v>
      </c>
      <c r="L3339" s="10">
        <v>1</v>
      </c>
      <c r="O3339" s="6"/>
      <c r="Q3339" s="42" t="s">
        <v>6870</v>
      </c>
      <c r="R3339" s="42"/>
      <c r="S3339" s="1"/>
    </row>
    <row r="3340" spans="1:19" ht="18.75" hidden="1" customHeight="1" x14ac:dyDescent="0.3">
      <c r="A3340" s="10">
        <v>3339</v>
      </c>
      <c r="B3340" s="10">
        <f>_xlfn.XLOOKUP(1,(VALUE(D3340)&gt;=VALUE(block!$C$3:$C$500))*(VALUE(D3340)&lt;VALUE(block!$C$3:$C$500)+VALUE(block!$D$3:$D$500)),block!$A$3:$A$500,"无匹配",0,1)</f>
        <v>89</v>
      </c>
      <c r="C3340" s="3" t="str">
        <f>B3340 &amp; "-" &amp; COUNTIF($B$2:B3340, B3340)</f>
        <v>89-19</v>
      </c>
      <c r="D3340" s="10">
        <v>23170</v>
      </c>
      <c r="E3340" s="1" t="s">
        <v>8113</v>
      </c>
      <c r="F3340" s="1" t="s">
        <v>8114</v>
      </c>
      <c r="G3340" s="1" t="s">
        <v>1836</v>
      </c>
      <c r="H3340" s="1" t="s">
        <v>1812</v>
      </c>
      <c r="I3340" s="10" t="str">
        <f>IF(H3340="T25",1,IF(H3340="T25",3,IF(H3340="T41",6,IF(H3340="T41",10,IF(H3340="T73",14,IF(H3340="T73",18,IF(H3340="T41",22,"")))))))</f>
        <v/>
      </c>
      <c r="J3340" s="1" t="s">
        <v>1808</v>
      </c>
      <c r="K3340" s="10">
        <v>2</v>
      </c>
      <c r="L3340" s="10">
        <v>1</v>
      </c>
      <c r="O3340" s="6"/>
      <c r="P3340" s="10">
        <v>6</v>
      </c>
      <c r="Q3340" s="42" t="s">
        <v>6870</v>
      </c>
      <c r="R3340" s="42"/>
      <c r="S3340" s="1"/>
    </row>
    <row r="3341" spans="1:19" ht="18.75" hidden="1" customHeight="1" x14ac:dyDescent="0.3">
      <c r="A3341" s="10">
        <v>3340</v>
      </c>
      <c r="B3341" s="10">
        <f>_xlfn.XLOOKUP(1,(VALUE(D3341)&gt;=VALUE(block!$C$3:$C$500))*(VALUE(D3341)&lt;VALUE(block!$C$3:$C$500)+VALUE(block!$D$3:$D$500)),block!$A$3:$A$500,"无匹配",0,1)</f>
        <v>89</v>
      </c>
      <c r="C3341" s="3" t="str">
        <f>B3341 &amp; "-" &amp; COUNTIF($B$2:B3341, B3341)</f>
        <v>89-20</v>
      </c>
      <c r="D3341" s="10">
        <v>23172</v>
      </c>
      <c r="E3341" s="1" t="s">
        <v>8115</v>
      </c>
      <c r="F3341" s="1" t="s">
        <v>8116</v>
      </c>
      <c r="H3341" s="3" t="s">
        <v>6767</v>
      </c>
      <c r="I3341" s="10" t="str">
        <f>IF(H3341="T26",1,IF(H3341="T26",3,IF(H3341="T42",6,IF(H3341="T42",10,IF(H3341="T74",14,IF(H3341="T74",18,IF(H3341="T42",22,"")))))))</f>
        <v/>
      </c>
      <c r="J3341" s="1" t="s">
        <v>1808</v>
      </c>
      <c r="K3341" s="10">
        <v>4</v>
      </c>
      <c r="L3341" s="10">
        <v>1</v>
      </c>
      <c r="O3341" s="6"/>
      <c r="Q3341" s="42" t="s">
        <v>6870</v>
      </c>
      <c r="R3341" s="42"/>
      <c r="S3341" s="1"/>
    </row>
    <row r="3342" spans="1:19" ht="18.75" hidden="1" customHeight="1" x14ac:dyDescent="0.3">
      <c r="A3342" s="10">
        <v>3341</v>
      </c>
      <c r="B3342" s="10">
        <f>_xlfn.XLOOKUP(1,(VALUE(D3342)&gt;=VALUE(block!$C$3:$C$500))*(VALUE(D3342)&lt;VALUE(block!$C$3:$C$500)+VALUE(block!$D$3:$D$500)),block!$A$3:$A$500,"无匹配",0,1)</f>
        <v>89</v>
      </c>
      <c r="C3342" s="3" t="str">
        <f>B3342 &amp; "-" &amp; COUNTIF($B$2:B3342, B3342)</f>
        <v>89-21</v>
      </c>
      <c r="D3342" s="10">
        <v>23176</v>
      </c>
      <c r="E3342" s="1" t="s">
        <v>8117</v>
      </c>
      <c r="F3342" s="1" t="s">
        <v>8118</v>
      </c>
      <c r="G3342" s="1" t="s">
        <v>1840</v>
      </c>
      <c r="H3342" s="1" t="s">
        <v>1812</v>
      </c>
      <c r="I3342" s="10" t="str">
        <f>IF(H3342="T27",1,IF(H3342="T27",3,IF(H3342="T43",6,IF(H3342="T43",10,IF(H3342="T75",14,IF(H3342="T75",18,IF(H3342="T43",22,"")))))))</f>
        <v/>
      </c>
      <c r="J3342" s="1" t="s">
        <v>1808</v>
      </c>
      <c r="K3342" s="10">
        <v>2</v>
      </c>
      <c r="L3342" s="10">
        <v>1</v>
      </c>
      <c r="O3342" s="6"/>
      <c r="P3342" s="10">
        <v>6</v>
      </c>
      <c r="Q3342" s="42" t="s">
        <v>6870</v>
      </c>
      <c r="R3342" s="42"/>
      <c r="S3342" s="1"/>
    </row>
    <row r="3343" spans="1:19" ht="18.75" hidden="1" customHeight="1" x14ac:dyDescent="0.3">
      <c r="A3343" s="10">
        <v>3342</v>
      </c>
      <c r="B3343" s="10">
        <f>_xlfn.XLOOKUP(1,(VALUE(D3343)&gt;=VALUE(block!$C$3:$C$500))*(VALUE(D3343)&lt;VALUE(block!$C$3:$C$500)+VALUE(block!$D$3:$D$500)),block!$A$3:$A$500,"无匹配",0,1)</f>
        <v>89</v>
      </c>
      <c r="C3343" s="3" t="str">
        <f>B3343 &amp; "-" &amp; COUNTIF($B$2:B3343, B3343)</f>
        <v>89-22</v>
      </c>
      <c r="D3343" s="10">
        <v>23178</v>
      </c>
      <c r="E3343" s="1" t="s">
        <v>8119</v>
      </c>
      <c r="F3343" s="1" t="s">
        <v>8120</v>
      </c>
      <c r="H3343" s="3" t="s">
        <v>6767</v>
      </c>
      <c r="I3343" s="10" t="str">
        <f>IF(H3343="T28",1,IF(H3343="T28",3,IF(H3343="T44",6,IF(H3343="T44",10,IF(H3343="T76",14,IF(H3343="T76",18,IF(H3343="T44",22,"")))))))</f>
        <v/>
      </c>
      <c r="J3343" s="1" t="s">
        <v>1808</v>
      </c>
      <c r="K3343" s="10">
        <v>4</v>
      </c>
      <c r="L3343" s="10">
        <v>1</v>
      </c>
      <c r="O3343" s="6"/>
      <c r="Q3343" s="42" t="s">
        <v>6870</v>
      </c>
      <c r="R3343" s="42"/>
      <c r="S3343" s="1"/>
    </row>
    <row r="3344" spans="1:19" ht="18.75" hidden="1" customHeight="1" x14ac:dyDescent="0.3">
      <c r="A3344" s="10">
        <v>3343</v>
      </c>
      <c r="B3344" s="10">
        <f>_xlfn.XLOOKUP(1,(VALUE(D3344)&gt;=VALUE(block!$C$3:$C$500))*(VALUE(D3344)&lt;VALUE(block!$C$3:$C$500)+VALUE(block!$D$3:$D$500)),block!$A$3:$A$500,"无匹配",0,1)</f>
        <v>89</v>
      </c>
      <c r="C3344" s="3" t="str">
        <f>B3344 &amp; "-" &amp; COUNTIF($B$2:B3344, B3344)</f>
        <v>89-23</v>
      </c>
      <c r="D3344" s="10">
        <v>23182</v>
      </c>
      <c r="E3344" s="1" t="s">
        <v>8121</v>
      </c>
      <c r="F3344" s="1" t="s">
        <v>8122</v>
      </c>
      <c r="G3344" s="1" t="s">
        <v>1840</v>
      </c>
      <c r="H3344" s="1" t="s">
        <v>1812</v>
      </c>
      <c r="I3344" s="10" t="str">
        <f>IF(H3344="T29",1,IF(H3344="T29",3,IF(H3344="T45",6,IF(H3344="T45",10,IF(H3344="T77",14,IF(H3344="T77",18,IF(H3344="T45",22,"")))))))</f>
        <v/>
      </c>
      <c r="J3344" s="1" t="s">
        <v>1808</v>
      </c>
      <c r="K3344" s="10">
        <v>2</v>
      </c>
      <c r="L3344" s="10">
        <v>1</v>
      </c>
      <c r="O3344" s="6"/>
      <c r="P3344" s="10">
        <v>6</v>
      </c>
      <c r="Q3344" s="42" t="s">
        <v>6870</v>
      </c>
      <c r="R3344" s="42"/>
      <c r="S3344" s="1"/>
    </row>
    <row r="3345" spans="1:19" ht="18.75" hidden="1" customHeight="1" x14ac:dyDescent="0.3">
      <c r="A3345" s="10">
        <v>3344</v>
      </c>
      <c r="B3345" s="10">
        <f>_xlfn.XLOOKUP(1,(VALUE(D3345)&gt;=VALUE(block!$C$3:$C$500))*(VALUE(D3345)&lt;VALUE(block!$C$3:$C$500)+VALUE(block!$D$3:$D$500)),block!$A$3:$A$500,"无匹配",0,1)</f>
        <v>89</v>
      </c>
      <c r="C3345" s="3" t="str">
        <f>B3345 &amp; "-" &amp; COUNTIF($B$2:B3345, B3345)</f>
        <v>89-24</v>
      </c>
      <c r="D3345" s="10">
        <v>23184</v>
      </c>
      <c r="E3345" s="1" t="s">
        <v>8123</v>
      </c>
      <c r="F3345" s="1" t="s">
        <v>8124</v>
      </c>
      <c r="H3345" s="3" t="s">
        <v>6767</v>
      </c>
      <c r="I3345" s="10" t="str">
        <f>IF(H3345="T30",1,IF(H3345="T30",3,IF(H3345="T46",6,IF(H3345="T46",10,IF(H3345="T78",14,IF(H3345="T78",18,IF(H3345="T46",22,"")))))))</f>
        <v/>
      </c>
      <c r="J3345" s="1" t="s">
        <v>1808</v>
      </c>
      <c r="K3345" s="10">
        <v>4</v>
      </c>
      <c r="L3345" s="10">
        <v>1</v>
      </c>
      <c r="O3345" s="6"/>
      <c r="Q3345" s="42" t="s">
        <v>6870</v>
      </c>
      <c r="R3345" s="42"/>
      <c r="S3345" s="1"/>
    </row>
    <row r="3346" spans="1:19" ht="18.75" hidden="1" customHeight="1" x14ac:dyDescent="0.3">
      <c r="A3346" s="10">
        <v>3345</v>
      </c>
      <c r="B3346" s="10">
        <f>_xlfn.XLOOKUP(1,(VALUE(D3346)&gt;=VALUE(block!$C$3:$C$500))*(VALUE(D3346)&lt;VALUE(block!$C$3:$C$500)+VALUE(block!$D$3:$D$500)),block!$A$3:$A$500,"无匹配",0,1)</f>
        <v>89</v>
      </c>
      <c r="C3346" s="3" t="str">
        <f>B3346 &amp; "-" &amp; COUNTIF($B$2:B3346, B3346)</f>
        <v>89-25</v>
      </c>
      <c r="D3346" s="10">
        <v>23188</v>
      </c>
      <c r="E3346" s="1" t="s">
        <v>8125</v>
      </c>
      <c r="F3346" s="1" t="s">
        <v>8126</v>
      </c>
      <c r="G3346" s="1" t="s">
        <v>1830</v>
      </c>
      <c r="H3346" s="1" t="s">
        <v>1812</v>
      </c>
      <c r="I3346" s="10" t="str">
        <f>IF(H3346="T31",1,IF(H3346="T31",3,IF(H3346="T47",6,IF(H3346="T47",10,IF(H3346="T79",14,IF(H3346="T79",18,IF(H3346="T47",22,"")))))))</f>
        <v/>
      </c>
      <c r="J3346" s="1" t="s">
        <v>1808</v>
      </c>
      <c r="K3346" s="10">
        <v>2</v>
      </c>
      <c r="L3346" s="10">
        <v>1</v>
      </c>
      <c r="O3346" s="6"/>
      <c r="P3346" s="10">
        <v>6</v>
      </c>
      <c r="Q3346" s="42" t="s">
        <v>6870</v>
      </c>
      <c r="R3346" s="42"/>
      <c r="S3346" s="1"/>
    </row>
    <row r="3347" spans="1:19" ht="18.75" hidden="1" customHeight="1" x14ac:dyDescent="0.3">
      <c r="A3347" s="10">
        <v>3346</v>
      </c>
      <c r="B3347" s="10">
        <f>_xlfn.XLOOKUP(1,(VALUE(D3347)&gt;=VALUE(block!$C$3:$C$500))*(VALUE(D3347)&lt;VALUE(block!$C$3:$C$500)+VALUE(block!$D$3:$D$500)),block!$A$3:$A$500,"无匹配",0,1)</f>
        <v>89</v>
      </c>
      <c r="C3347" s="3" t="str">
        <f>B3347 &amp; "-" &amp; COUNTIF($B$2:B3347, B3347)</f>
        <v>89-26</v>
      </c>
      <c r="D3347" s="10">
        <v>23190</v>
      </c>
      <c r="E3347" s="1" t="s">
        <v>8127</v>
      </c>
      <c r="F3347" s="1" t="s">
        <v>8128</v>
      </c>
      <c r="H3347" s="3" t="s">
        <v>6767</v>
      </c>
      <c r="I3347" s="10" t="str">
        <f>IF(H3347="T32",1,IF(H3347="T32",3,IF(H3347="T48",6,IF(H3347="T48",10,IF(H3347="T80",14,IF(H3347="T80",18,IF(H3347="T48",22,"")))))))</f>
        <v/>
      </c>
      <c r="J3347" s="1" t="s">
        <v>1808</v>
      </c>
      <c r="K3347" s="10">
        <v>4</v>
      </c>
      <c r="L3347" s="10">
        <v>1</v>
      </c>
      <c r="O3347" s="6"/>
      <c r="Q3347" s="42" t="s">
        <v>6870</v>
      </c>
      <c r="R3347" s="42"/>
      <c r="S3347" s="1"/>
    </row>
    <row r="3348" spans="1:19" ht="18.75" hidden="1" customHeight="1" x14ac:dyDescent="0.3">
      <c r="A3348" s="10">
        <v>3347</v>
      </c>
      <c r="B3348" s="10">
        <f>_xlfn.XLOOKUP(1,(VALUE(D3348)&gt;=VALUE(block!$C$3:$C$500))*(VALUE(D3348)&lt;VALUE(block!$C$3:$C$500)+VALUE(block!$D$3:$D$500)),block!$A$3:$A$500,"无匹配",0,1)</f>
        <v>89</v>
      </c>
      <c r="C3348" s="3" t="str">
        <f>B3348 &amp; "-" &amp; COUNTIF($B$2:B3348, B3348)</f>
        <v>89-27</v>
      </c>
      <c r="D3348" s="10">
        <v>23194</v>
      </c>
      <c r="E3348" s="1" t="s">
        <v>8129</v>
      </c>
      <c r="F3348" s="1" t="s">
        <v>8130</v>
      </c>
      <c r="G3348" s="1" t="s">
        <v>1832</v>
      </c>
      <c r="H3348" s="1" t="s">
        <v>1812</v>
      </c>
      <c r="I3348" s="10" t="str">
        <f>IF(H3348="T33",1,IF(H3348="T33",3,IF(H3348="T49",6,IF(H3348="T49",10,IF(H3348="T81",14,IF(H3348="T81",18,IF(H3348="T49",22,"")))))))</f>
        <v/>
      </c>
      <c r="J3348" s="1" t="s">
        <v>1808</v>
      </c>
      <c r="K3348" s="10">
        <v>2</v>
      </c>
      <c r="L3348" s="10">
        <v>1</v>
      </c>
      <c r="O3348" s="6"/>
      <c r="P3348" s="10">
        <v>6</v>
      </c>
      <c r="Q3348" s="42" t="s">
        <v>6870</v>
      </c>
      <c r="R3348" s="42"/>
      <c r="S3348" s="1"/>
    </row>
    <row r="3349" spans="1:19" ht="18.75" hidden="1" customHeight="1" x14ac:dyDescent="0.3">
      <c r="A3349" s="10">
        <v>3348</v>
      </c>
      <c r="B3349" s="10">
        <f>_xlfn.XLOOKUP(1,(VALUE(D3349)&gt;=VALUE(block!$C$3:$C$500))*(VALUE(D3349)&lt;VALUE(block!$C$3:$C$500)+VALUE(block!$D$3:$D$500)),block!$A$3:$A$500,"无匹配",0,1)</f>
        <v>89</v>
      </c>
      <c r="C3349" s="3" t="str">
        <f>B3349 &amp; "-" &amp; COUNTIF($B$2:B3349, B3349)</f>
        <v>89-28</v>
      </c>
      <c r="D3349" s="10">
        <v>23196</v>
      </c>
      <c r="E3349" s="1" t="s">
        <v>8131</v>
      </c>
      <c r="F3349" s="1" t="s">
        <v>8132</v>
      </c>
      <c r="H3349" s="3" t="s">
        <v>6767</v>
      </c>
      <c r="I3349" s="10" t="str">
        <f>IF(H3349="T34",1,IF(H3349="T34",3,IF(H3349="T50",6,IF(H3349="T50",10,IF(H3349="T82",14,IF(H3349="T82",18,IF(H3349="T50",22,"")))))))</f>
        <v/>
      </c>
      <c r="J3349" s="1" t="s">
        <v>1808</v>
      </c>
      <c r="K3349" s="10">
        <v>4</v>
      </c>
      <c r="L3349" s="10">
        <v>1</v>
      </c>
      <c r="O3349" s="6"/>
      <c r="Q3349" s="42" t="s">
        <v>6870</v>
      </c>
      <c r="R3349" s="42"/>
      <c r="S3349" s="1"/>
    </row>
    <row r="3350" spans="1:19" ht="18.75" hidden="1" customHeight="1" x14ac:dyDescent="0.3">
      <c r="A3350" s="10">
        <v>3349</v>
      </c>
      <c r="B3350" s="10">
        <f>_xlfn.XLOOKUP(1,(VALUE(D3350)&gt;=VALUE(block!$C$3:$C$500))*(VALUE(D3350)&lt;VALUE(block!$C$3:$C$500)+VALUE(block!$D$3:$D$500)),block!$A$3:$A$500,"无匹配",0,1)</f>
        <v>89</v>
      </c>
      <c r="C3350" s="3" t="str">
        <f>B3350 &amp; "-" &amp; COUNTIF($B$2:B3350, B3350)</f>
        <v>89-29</v>
      </c>
      <c r="D3350" s="10">
        <v>23200</v>
      </c>
      <c r="E3350" s="1" t="s">
        <v>8133</v>
      </c>
      <c r="F3350" s="1" t="s">
        <v>8134</v>
      </c>
      <c r="G3350" s="1" t="s">
        <v>1834</v>
      </c>
      <c r="H3350" s="1" t="s">
        <v>1812</v>
      </c>
      <c r="I3350" s="10" t="str">
        <f>IF(H3350="T35",1,IF(H3350="T35",3,IF(H3350="T51",6,IF(H3350="T51",10,IF(H3350="T83",14,IF(H3350="T83",18,IF(H3350="T51",22,"")))))))</f>
        <v/>
      </c>
      <c r="J3350" s="1" t="s">
        <v>1808</v>
      </c>
      <c r="K3350" s="10">
        <v>2</v>
      </c>
      <c r="L3350" s="10">
        <v>1</v>
      </c>
      <c r="O3350" s="6"/>
      <c r="P3350" s="10">
        <v>6</v>
      </c>
      <c r="Q3350" s="42" t="s">
        <v>6870</v>
      </c>
      <c r="R3350" s="42"/>
      <c r="S3350" s="1"/>
    </row>
    <row r="3351" spans="1:19" ht="18.75" hidden="1" customHeight="1" x14ac:dyDescent="0.3">
      <c r="A3351" s="10">
        <v>3350</v>
      </c>
      <c r="B3351" s="10">
        <f>_xlfn.XLOOKUP(1,(VALUE(D3351)&gt;=VALUE(block!$C$3:$C$500))*(VALUE(D3351)&lt;VALUE(block!$C$3:$C$500)+VALUE(block!$D$3:$D$500)),block!$A$3:$A$500,"无匹配",0,1)</f>
        <v>89</v>
      </c>
      <c r="C3351" s="3" t="str">
        <f>B3351 &amp; "-" &amp; COUNTIF($B$2:B3351, B3351)</f>
        <v>89-30</v>
      </c>
      <c r="D3351" s="10">
        <v>23202</v>
      </c>
      <c r="E3351" s="1" t="s">
        <v>8135</v>
      </c>
      <c r="F3351" s="1" t="s">
        <v>8136</v>
      </c>
      <c r="H3351" s="3" t="s">
        <v>6767</v>
      </c>
      <c r="I3351" s="10" t="str">
        <f>IF(H3351="T36",1,IF(H3351="T36",3,IF(H3351="T52",6,IF(H3351="T52",10,IF(H3351="T84",14,IF(H3351="T84",18,IF(H3351="T52",22,"")))))))</f>
        <v/>
      </c>
      <c r="J3351" s="1" t="s">
        <v>1808</v>
      </c>
      <c r="K3351" s="10">
        <v>4</v>
      </c>
      <c r="L3351" s="10">
        <v>1</v>
      </c>
      <c r="O3351" s="6"/>
      <c r="Q3351" s="42" t="s">
        <v>6870</v>
      </c>
      <c r="R3351" s="42"/>
      <c r="S3351" s="1"/>
    </row>
    <row r="3352" spans="1:19" ht="18.75" hidden="1" customHeight="1" x14ac:dyDescent="0.3">
      <c r="A3352" s="10">
        <v>3351</v>
      </c>
      <c r="B3352" s="10">
        <f>_xlfn.XLOOKUP(1,(VALUE(D3352)&gt;=VALUE(block!$C$3:$C$500))*(VALUE(D3352)&lt;VALUE(block!$C$3:$C$500)+VALUE(block!$D$3:$D$500)),block!$A$3:$A$500,"无匹配",0,1)</f>
        <v>89</v>
      </c>
      <c r="C3352" s="3" t="str">
        <f>B3352 &amp; "-" &amp; COUNTIF($B$2:B3352, B3352)</f>
        <v>89-31</v>
      </c>
      <c r="D3352" s="10">
        <v>23206</v>
      </c>
      <c r="E3352" s="1" t="s">
        <v>8137</v>
      </c>
      <c r="F3352" s="1" t="s">
        <v>8138</v>
      </c>
      <c r="G3352" s="1" t="s">
        <v>1836</v>
      </c>
      <c r="H3352" s="1" t="s">
        <v>1812</v>
      </c>
      <c r="I3352" s="10" t="str">
        <f>IF(H3352="T37",1,IF(H3352="T37",3,IF(H3352="T53",6,IF(H3352="T53",10,IF(H3352="T85",14,IF(H3352="T85",18,IF(H3352="T53",22,"")))))))</f>
        <v/>
      </c>
      <c r="J3352" s="1" t="s">
        <v>1808</v>
      </c>
      <c r="K3352" s="10">
        <v>2</v>
      </c>
      <c r="L3352" s="10">
        <v>1</v>
      </c>
      <c r="O3352" s="6"/>
      <c r="P3352" s="10">
        <v>6</v>
      </c>
      <c r="Q3352" s="42" t="s">
        <v>6870</v>
      </c>
      <c r="R3352" s="42"/>
      <c r="S3352" s="1"/>
    </row>
    <row r="3353" spans="1:19" ht="18.75" hidden="1" customHeight="1" x14ac:dyDescent="0.3">
      <c r="A3353" s="10">
        <v>3352</v>
      </c>
      <c r="B3353" s="10">
        <f>_xlfn.XLOOKUP(1,(VALUE(D3353)&gt;=VALUE(block!$C$3:$C$500))*(VALUE(D3353)&lt;VALUE(block!$C$3:$C$500)+VALUE(block!$D$3:$D$500)),block!$A$3:$A$500,"无匹配",0,1)</f>
        <v>89</v>
      </c>
      <c r="C3353" s="3" t="str">
        <f>B3353 &amp; "-" &amp; COUNTIF($B$2:B3353, B3353)</f>
        <v>89-32</v>
      </c>
      <c r="D3353" s="10">
        <v>23208</v>
      </c>
      <c r="E3353" s="1" t="s">
        <v>8139</v>
      </c>
      <c r="F3353" s="1" t="s">
        <v>8140</v>
      </c>
      <c r="H3353" s="3" t="s">
        <v>6767</v>
      </c>
      <c r="I3353" s="10" t="str">
        <f>IF(H3353="T38",1,IF(H3353="T38",3,IF(H3353="T54",6,IF(H3353="T54",10,IF(H3353="T86",14,IF(H3353="T86",18,IF(H3353="T54",22,"")))))))</f>
        <v/>
      </c>
      <c r="J3353" s="1" t="s">
        <v>1808</v>
      </c>
      <c r="K3353" s="10">
        <v>4</v>
      </c>
      <c r="L3353" s="10">
        <v>1</v>
      </c>
      <c r="O3353" s="6"/>
      <c r="Q3353" s="42" t="s">
        <v>6870</v>
      </c>
      <c r="R3353" s="42"/>
      <c r="S3353" s="1"/>
    </row>
    <row r="3354" spans="1:19" ht="18.75" hidden="1" customHeight="1" x14ac:dyDescent="0.3">
      <c r="A3354" s="10">
        <v>3353</v>
      </c>
      <c r="B3354" s="10">
        <f>_xlfn.XLOOKUP(1,(VALUE(D3354)&gt;=VALUE(block!$C$3:$C$500))*(VALUE(D3354)&lt;VALUE(block!$C$3:$C$500)+VALUE(block!$D$3:$D$500)),block!$A$3:$A$500,"无匹配",0,1)</f>
        <v>89</v>
      </c>
      <c r="C3354" s="3" t="str">
        <f>B3354 &amp; "-" &amp; COUNTIF($B$2:B3354, B3354)</f>
        <v>89-33</v>
      </c>
      <c r="D3354" s="10">
        <v>23212</v>
      </c>
      <c r="E3354" s="1" t="s">
        <v>8141</v>
      </c>
      <c r="F3354" s="1" t="s">
        <v>8142</v>
      </c>
      <c r="G3354" s="1" t="s">
        <v>1840</v>
      </c>
      <c r="H3354" s="1" t="s">
        <v>1812</v>
      </c>
      <c r="I3354" s="10" t="str">
        <f>IF(H3354="T39",1,IF(H3354="T39",3,IF(H3354="T55",6,IF(H3354="T55",10,IF(H3354="T87",14,IF(H3354="T87",18,IF(H3354="T55",22,"")))))))</f>
        <v/>
      </c>
      <c r="J3354" s="1" t="s">
        <v>1808</v>
      </c>
      <c r="K3354" s="10">
        <v>2</v>
      </c>
      <c r="L3354" s="10">
        <v>1</v>
      </c>
      <c r="O3354" s="6"/>
      <c r="P3354" s="10">
        <v>6</v>
      </c>
      <c r="Q3354" s="42" t="s">
        <v>6870</v>
      </c>
      <c r="R3354" s="42"/>
      <c r="S3354" s="1"/>
    </row>
    <row r="3355" spans="1:19" ht="18.75" hidden="1" customHeight="1" x14ac:dyDescent="0.3">
      <c r="A3355" s="10">
        <v>3354</v>
      </c>
      <c r="B3355" s="10">
        <f>_xlfn.XLOOKUP(1,(VALUE(D3355)&gt;=VALUE(block!$C$3:$C$500))*(VALUE(D3355)&lt;VALUE(block!$C$3:$C$500)+VALUE(block!$D$3:$D$500)),block!$A$3:$A$500,"无匹配",0,1)</f>
        <v>89</v>
      </c>
      <c r="C3355" s="3" t="str">
        <f>B3355 &amp; "-" &amp; COUNTIF($B$2:B3355, B3355)</f>
        <v>89-34</v>
      </c>
      <c r="D3355" s="10">
        <v>23214</v>
      </c>
      <c r="E3355" s="1" t="s">
        <v>8143</v>
      </c>
      <c r="F3355" s="1" t="s">
        <v>8144</v>
      </c>
      <c r="H3355" s="3" t="s">
        <v>6767</v>
      </c>
      <c r="I3355" s="10" t="str">
        <f>IF(H3355="T40",1,IF(H3355="T40",3,IF(H3355="T56",6,IF(H3355="T56",10,IF(H3355="T88",14,IF(H3355="T88",18,IF(H3355="T56",22,"")))))))</f>
        <v/>
      </c>
      <c r="J3355" s="1" t="s">
        <v>1808</v>
      </c>
      <c r="K3355" s="10">
        <v>4</v>
      </c>
      <c r="L3355" s="10">
        <v>1</v>
      </c>
      <c r="O3355" s="6"/>
      <c r="Q3355" s="42" t="s">
        <v>6870</v>
      </c>
      <c r="R3355" s="42"/>
      <c r="S3355" s="1"/>
    </row>
    <row r="3356" spans="1:19" ht="18.75" hidden="1" customHeight="1" x14ac:dyDescent="0.3">
      <c r="A3356" s="10">
        <v>3355</v>
      </c>
      <c r="B3356" s="10">
        <f>_xlfn.XLOOKUP(1,(VALUE(D3356)&gt;=VALUE(block!$C$3:$C$500))*(VALUE(D3356)&lt;VALUE(block!$C$3:$C$500)+VALUE(block!$D$3:$D$500)),block!$A$3:$A$500,"无匹配",0,1)</f>
        <v>89</v>
      </c>
      <c r="C3356" s="3" t="str">
        <f>B3356 &amp; "-" &amp; COUNTIF($B$2:B3356, B3356)</f>
        <v>89-35</v>
      </c>
      <c r="D3356" s="10">
        <v>23218</v>
      </c>
      <c r="E3356" s="1" t="s">
        <v>8145</v>
      </c>
      <c r="F3356" s="1" t="s">
        <v>8146</v>
      </c>
      <c r="G3356" s="1" t="s">
        <v>1840</v>
      </c>
      <c r="H3356" s="1" t="s">
        <v>1812</v>
      </c>
      <c r="I3356" s="10" t="str">
        <f>IF(H3356="T41",1,IF(H3356="T41",3,IF(H3356="T57",6,IF(H3356="T57",10,IF(H3356="T89",14,IF(H3356="T89",18,IF(H3356="T57",22,"")))))))</f>
        <v/>
      </c>
      <c r="J3356" s="1" t="s">
        <v>1808</v>
      </c>
      <c r="K3356" s="10">
        <v>2</v>
      </c>
      <c r="L3356" s="10">
        <v>1</v>
      </c>
      <c r="O3356" s="6"/>
      <c r="P3356" s="10">
        <v>6</v>
      </c>
      <c r="Q3356" s="42" t="s">
        <v>6870</v>
      </c>
      <c r="R3356" s="42"/>
      <c r="S3356" s="1"/>
    </row>
    <row r="3357" spans="1:19" ht="18.75" hidden="1" customHeight="1" x14ac:dyDescent="0.3">
      <c r="A3357" s="10">
        <v>3356</v>
      </c>
      <c r="B3357" s="10">
        <f>_xlfn.XLOOKUP(1,(VALUE(D3357)&gt;=VALUE(block!$C$3:$C$500))*(VALUE(D3357)&lt;VALUE(block!$C$3:$C$500)+VALUE(block!$D$3:$D$500)),block!$A$3:$A$500,"无匹配",0,1)</f>
        <v>89</v>
      </c>
      <c r="C3357" s="3" t="str">
        <f>B3357 &amp; "-" &amp; COUNTIF($B$2:B3357, B3357)</f>
        <v>89-36</v>
      </c>
      <c r="D3357" s="10">
        <v>23220</v>
      </c>
      <c r="E3357" s="1" t="s">
        <v>8147</v>
      </c>
      <c r="F3357" s="1" t="s">
        <v>8148</v>
      </c>
      <c r="H3357" s="3" t="s">
        <v>6767</v>
      </c>
      <c r="I3357" s="10" t="str">
        <f>IF(H3357="T42",1,IF(H3357="T42",3,IF(H3357="T58",6,IF(H3357="T58",10,IF(H3357="T90",14,IF(H3357="T90",18,IF(H3357="T58",22,"")))))))</f>
        <v/>
      </c>
      <c r="J3357" s="1" t="s">
        <v>1808</v>
      </c>
      <c r="K3357" s="10">
        <v>4</v>
      </c>
      <c r="L3357" s="10">
        <v>1</v>
      </c>
      <c r="O3357" s="6"/>
      <c r="Q3357" s="42" t="s">
        <v>6870</v>
      </c>
      <c r="R3357" s="42"/>
      <c r="S3357" s="1"/>
    </row>
    <row r="3358" spans="1:19" ht="18.75" hidden="1" customHeight="1" x14ac:dyDescent="0.3">
      <c r="A3358" s="10">
        <v>3357</v>
      </c>
      <c r="B3358" s="10">
        <f>_xlfn.XLOOKUP(1,(VALUE(D3358)&gt;=VALUE(block!$C$3:$C$500))*(VALUE(D3358)&lt;VALUE(block!$C$3:$C$500)+VALUE(block!$D$3:$D$500)),block!$A$3:$A$500,"无匹配",0,1)</f>
        <v>90</v>
      </c>
      <c r="C3358" s="3" t="str">
        <f>B3358 &amp; "-" &amp; COUNTIF($B$2:B3358, B3358)</f>
        <v>90-1</v>
      </c>
      <c r="D3358" s="10">
        <v>23224</v>
      </c>
      <c r="E3358" s="1" t="s">
        <v>8149</v>
      </c>
      <c r="F3358" s="1" t="s">
        <v>8150</v>
      </c>
      <c r="G3358" s="1" t="s">
        <v>1830</v>
      </c>
      <c r="H3358" s="1" t="s">
        <v>1812</v>
      </c>
      <c r="I3358" s="10" t="str">
        <f>IF(H3358="T43",1,IF(H3358="T43",3,IF(H3358="T59",6,IF(H3358="T59",10,IF(H3358="T91",14,IF(H3358="T91",18,IF(H3358="T59",22,"")))))))</f>
        <v/>
      </c>
      <c r="J3358" s="1" t="s">
        <v>1808</v>
      </c>
      <c r="K3358" s="10">
        <v>2</v>
      </c>
      <c r="L3358" s="10">
        <v>1</v>
      </c>
      <c r="O3358" s="6"/>
      <c r="P3358" s="10">
        <v>6</v>
      </c>
      <c r="Q3358" s="42" t="s">
        <v>6870</v>
      </c>
      <c r="R3358" s="42"/>
      <c r="S3358" s="1"/>
    </row>
    <row r="3359" spans="1:19" ht="18.75" hidden="1" customHeight="1" x14ac:dyDescent="0.3">
      <c r="A3359" s="10">
        <v>3358</v>
      </c>
      <c r="B3359" s="10">
        <f>_xlfn.XLOOKUP(1,(VALUE(D3359)&gt;=VALUE(block!$C$3:$C$500))*(VALUE(D3359)&lt;VALUE(block!$C$3:$C$500)+VALUE(block!$D$3:$D$500)),block!$A$3:$A$500,"无匹配",0,1)</f>
        <v>90</v>
      </c>
      <c r="C3359" s="3" t="str">
        <f>B3359 &amp; "-" &amp; COUNTIF($B$2:B3359, B3359)</f>
        <v>90-2</v>
      </c>
      <c r="D3359" s="10">
        <v>23226</v>
      </c>
      <c r="E3359" s="1" t="s">
        <v>8151</v>
      </c>
      <c r="F3359" s="1" t="s">
        <v>8152</v>
      </c>
      <c r="H3359" s="3" t="s">
        <v>6767</v>
      </c>
      <c r="I3359" s="10" t="str">
        <f>IF(H3359="T44",1,IF(H3359="T44",3,IF(H3359="T60",6,IF(H3359="T60",10,IF(H3359="T92",14,IF(H3359="T92",18,IF(H3359="T60",22,"")))))))</f>
        <v/>
      </c>
      <c r="J3359" s="1" t="s">
        <v>1808</v>
      </c>
      <c r="K3359" s="10">
        <v>4</v>
      </c>
      <c r="L3359" s="10">
        <v>1</v>
      </c>
      <c r="O3359" s="6"/>
      <c r="Q3359" s="42" t="s">
        <v>6870</v>
      </c>
      <c r="R3359" s="42"/>
      <c r="S3359" s="1"/>
    </row>
    <row r="3360" spans="1:19" ht="18.75" hidden="1" customHeight="1" x14ac:dyDescent="0.3">
      <c r="A3360" s="10">
        <v>3359</v>
      </c>
      <c r="B3360" s="10">
        <f>_xlfn.XLOOKUP(1,(VALUE(D3360)&gt;=VALUE(block!$C$3:$C$500))*(VALUE(D3360)&lt;VALUE(block!$C$3:$C$500)+VALUE(block!$D$3:$D$500)),block!$A$3:$A$500,"无匹配",0,1)</f>
        <v>90</v>
      </c>
      <c r="C3360" s="3" t="str">
        <f>B3360 &amp; "-" &amp; COUNTIF($B$2:B3360, B3360)</f>
        <v>90-3</v>
      </c>
      <c r="D3360" s="10">
        <v>23230</v>
      </c>
      <c r="E3360" s="1" t="s">
        <v>8153</v>
      </c>
      <c r="F3360" s="1" t="s">
        <v>8154</v>
      </c>
      <c r="G3360" s="1" t="s">
        <v>1832</v>
      </c>
      <c r="H3360" s="1" t="s">
        <v>1812</v>
      </c>
      <c r="I3360" s="10" t="str">
        <f>IF(H3360="T45",1,IF(H3360="T45",3,IF(H3360="T61",6,IF(H3360="T61",10,IF(H3360="T93",14,IF(H3360="T93",18,IF(H3360="T61",22,"")))))))</f>
        <v/>
      </c>
      <c r="J3360" s="1" t="s">
        <v>1808</v>
      </c>
      <c r="K3360" s="10">
        <v>2</v>
      </c>
      <c r="L3360" s="10">
        <v>1</v>
      </c>
      <c r="O3360" s="6"/>
      <c r="P3360" s="10">
        <v>6</v>
      </c>
      <c r="Q3360" s="42" t="s">
        <v>6870</v>
      </c>
      <c r="R3360" s="42"/>
      <c r="S3360" s="1"/>
    </row>
    <row r="3361" spans="1:19" ht="18.75" hidden="1" customHeight="1" x14ac:dyDescent="0.3">
      <c r="A3361" s="10">
        <v>3360</v>
      </c>
      <c r="B3361" s="10">
        <f>_xlfn.XLOOKUP(1,(VALUE(D3361)&gt;=VALUE(block!$C$3:$C$500))*(VALUE(D3361)&lt;VALUE(block!$C$3:$C$500)+VALUE(block!$D$3:$D$500)),block!$A$3:$A$500,"无匹配",0,1)</f>
        <v>90</v>
      </c>
      <c r="C3361" s="3" t="str">
        <f>B3361 &amp; "-" &amp; COUNTIF($B$2:B3361, B3361)</f>
        <v>90-4</v>
      </c>
      <c r="D3361" s="10">
        <v>23232</v>
      </c>
      <c r="E3361" s="1" t="s">
        <v>8155</v>
      </c>
      <c r="F3361" s="1" t="s">
        <v>8156</v>
      </c>
      <c r="H3361" s="3" t="s">
        <v>6767</v>
      </c>
      <c r="I3361" s="10" t="str">
        <f>IF(H3361="T46",1,IF(H3361="T46",3,IF(H3361="T62",6,IF(H3361="T62",10,IF(H3361="T94",14,IF(H3361="T94",18,IF(H3361="T62",22,"")))))))</f>
        <v/>
      </c>
      <c r="J3361" s="1" t="s">
        <v>1808</v>
      </c>
      <c r="K3361" s="10">
        <v>4</v>
      </c>
      <c r="L3361" s="10">
        <v>1</v>
      </c>
      <c r="O3361" s="6"/>
      <c r="Q3361" s="42" t="s">
        <v>6870</v>
      </c>
      <c r="R3361" s="42"/>
      <c r="S3361" s="1"/>
    </row>
    <row r="3362" spans="1:19" ht="18.75" hidden="1" customHeight="1" x14ac:dyDescent="0.3">
      <c r="A3362" s="10">
        <v>3361</v>
      </c>
      <c r="B3362" s="10">
        <f>_xlfn.XLOOKUP(1,(VALUE(D3362)&gt;=VALUE(block!$C$3:$C$500))*(VALUE(D3362)&lt;VALUE(block!$C$3:$C$500)+VALUE(block!$D$3:$D$500)),block!$A$3:$A$500,"无匹配",0,1)</f>
        <v>90</v>
      </c>
      <c r="C3362" s="3" t="str">
        <f>B3362 &amp; "-" &amp; COUNTIF($B$2:B3362, B3362)</f>
        <v>90-5</v>
      </c>
      <c r="D3362" s="10">
        <v>23236</v>
      </c>
      <c r="E3362" s="1" t="s">
        <v>8157</v>
      </c>
      <c r="F3362" s="1" t="s">
        <v>8158</v>
      </c>
      <c r="G3362" s="1" t="s">
        <v>1834</v>
      </c>
      <c r="H3362" s="1" t="s">
        <v>1812</v>
      </c>
      <c r="I3362" s="10" t="str">
        <f>IF(H3362="T47",1,IF(H3362="T47",3,IF(H3362="T63",6,IF(H3362="T63",10,IF(H3362="T95",14,IF(H3362="T95",18,IF(H3362="T63",22,"")))))))</f>
        <v/>
      </c>
      <c r="J3362" s="1" t="s">
        <v>1808</v>
      </c>
      <c r="K3362" s="10">
        <v>2</v>
      </c>
      <c r="L3362" s="10">
        <v>1</v>
      </c>
      <c r="O3362" s="6"/>
      <c r="P3362" s="10">
        <v>6</v>
      </c>
      <c r="Q3362" s="42" t="s">
        <v>6870</v>
      </c>
      <c r="R3362" s="42"/>
      <c r="S3362" s="1"/>
    </row>
    <row r="3363" spans="1:19" ht="18.75" hidden="1" customHeight="1" x14ac:dyDescent="0.3">
      <c r="A3363" s="10">
        <v>3362</v>
      </c>
      <c r="B3363" s="10">
        <f>_xlfn.XLOOKUP(1,(VALUE(D3363)&gt;=VALUE(block!$C$3:$C$500))*(VALUE(D3363)&lt;VALUE(block!$C$3:$C$500)+VALUE(block!$D$3:$D$500)),block!$A$3:$A$500,"无匹配",0,1)</f>
        <v>90</v>
      </c>
      <c r="C3363" s="3" t="str">
        <f>B3363 &amp; "-" &amp; COUNTIF($B$2:B3363, B3363)</f>
        <v>90-6</v>
      </c>
      <c r="D3363" s="10">
        <v>23238</v>
      </c>
      <c r="E3363" s="1" t="s">
        <v>8159</v>
      </c>
      <c r="F3363" s="1" t="s">
        <v>8160</v>
      </c>
      <c r="H3363" s="3" t="s">
        <v>6767</v>
      </c>
      <c r="I3363" s="10" t="str">
        <f>IF(H3363="T48",1,IF(H3363="T48",3,IF(H3363="T64",6,IF(H3363="T64",10,IF(H3363="T96",14,IF(H3363="T96",18,IF(H3363="T64",22,"")))))))</f>
        <v/>
      </c>
      <c r="J3363" s="1" t="s">
        <v>1808</v>
      </c>
      <c r="K3363" s="10">
        <v>4</v>
      </c>
      <c r="L3363" s="10">
        <v>1</v>
      </c>
      <c r="O3363" s="6"/>
      <c r="Q3363" s="42" t="s">
        <v>6870</v>
      </c>
      <c r="R3363" s="42"/>
      <c r="S3363" s="1"/>
    </row>
    <row r="3364" spans="1:19" ht="18.75" hidden="1" customHeight="1" x14ac:dyDescent="0.3">
      <c r="A3364" s="10">
        <v>3363</v>
      </c>
      <c r="B3364" s="10">
        <f>_xlfn.XLOOKUP(1,(VALUE(D3364)&gt;=VALUE(block!$C$3:$C$500))*(VALUE(D3364)&lt;VALUE(block!$C$3:$C$500)+VALUE(block!$D$3:$D$500)),block!$A$3:$A$500,"无匹配",0,1)</f>
        <v>90</v>
      </c>
      <c r="C3364" s="3" t="str">
        <f>B3364 &amp; "-" &amp; COUNTIF($B$2:B3364, B3364)</f>
        <v>90-7</v>
      </c>
      <c r="D3364" s="10">
        <v>23242</v>
      </c>
      <c r="E3364" s="1" t="s">
        <v>8161</v>
      </c>
      <c r="F3364" s="1" t="s">
        <v>8162</v>
      </c>
      <c r="G3364" s="1" t="s">
        <v>1836</v>
      </c>
      <c r="H3364" s="1" t="s">
        <v>1812</v>
      </c>
      <c r="I3364" s="10" t="str">
        <f>IF(H3364="T49",1,IF(H3364="T49",3,IF(H3364="T65",6,IF(H3364="T65",10,IF(H3364="T97",14,IF(H3364="T97",18,IF(H3364="T65",22,"")))))))</f>
        <v/>
      </c>
      <c r="J3364" s="1" t="s">
        <v>1808</v>
      </c>
      <c r="K3364" s="10">
        <v>2</v>
      </c>
      <c r="L3364" s="10">
        <v>1</v>
      </c>
      <c r="O3364" s="6"/>
      <c r="P3364" s="10">
        <v>6</v>
      </c>
      <c r="Q3364" s="42" t="s">
        <v>6870</v>
      </c>
      <c r="R3364" s="42"/>
      <c r="S3364" s="1"/>
    </row>
    <row r="3365" spans="1:19" ht="18.75" hidden="1" customHeight="1" x14ac:dyDescent="0.3">
      <c r="A3365" s="10">
        <v>3364</v>
      </c>
      <c r="B3365" s="10">
        <f>_xlfn.XLOOKUP(1,(VALUE(D3365)&gt;=VALUE(block!$C$3:$C$500))*(VALUE(D3365)&lt;VALUE(block!$C$3:$C$500)+VALUE(block!$D$3:$D$500)),block!$A$3:$A$500,"无匹配",0,1)</f>
        <v>90</v>
      </c>
      <c r="C3365" s="3" t="str">
        <f>B3365 &amp; "-" &amp; COUNTIF($B$2:B3365, B3365)</f>
        <v>90-8</v>
      </c>
      <c r="D3365" s="10">
        <v>23244</v>
      </c>
      <c r="E3365" s="1" t="s">
        <v>8163</v>
      </c>
      <c r="F3365" s="1" t="s">
        <v>8164</v>
      </c>
      <c r="H3365" s="3" t="s">
        <v>6767</v>
      </c>
      <c r="I3365" s="10" t="str">
        <f>IF(H3365="T50",1,IF(H3365="T50",3,IF(H3365="T66",6,IF(H3365="T66",10,IF(H3365="T98",14,IF(H3365="T98",18,IF(H3365="T66",22,"")))))))</f>
        <v/>
      </c>
      <c r="J3365" s="1" t="s">
        <v>1808</v>
      </c>
      <c r="K3365" s="10">
        <v>4</v>
      </c>
      <c r="L3365" s="10">
        <v>1</v>
      </c>
      <c r="O3365" s="6"/>
      <c r="Q3365" s="42" t="s">
        <v>6870</v>
      </c>
      <c r="R3365" s="42"/>
      <c r="S3365" s="1"/>
    </row>
    <row r="3366" spans="1:19" ht="18.75" hidden="1" customHeight="1" x14ac:dyDescent="0.3">
      <c r="A3366" s="10">
        <v>3365</v>
      </c>
      <c r="B3366" s="10">
        <f>_xlfn.XLOOKUP(1,(VALUE(D3366)&gt;=VALUE(block!$C$3:$C$500))*(VALUE(D3366)&lt;VALUE(block!$C$3:$C$500)+VALUE(block!$D$3:$D$500)),block!$A$3:$A$500,"无匹配",0,1)</f>
        <v>90</v>
      </c>
      <c r="C3366" s="3" t="str">
        <f>B3366 &amp; "-" &amp; COUNTIF($B$2:B3366, B3366)</f>
        <v>90-9</v>
      </c>
      <c r="D3366" s="10">
        <v>23248</v>
      </c>
      <c r="E3366" s="1" t="s">
        <v>8165</v>
      </c>
      <c r="F3366" s="1" t="s">
        <v>8166</v>
      </c>
      <c r="G3366" s="1" t="s">
        <v>1840</v>
      </c>
      <c r="H3366" s="1" t="s">
        <v>1812</v>
      </c>
      <c r="I3366" s="10" t="str">
        <f>IF(H3366="T51",1,IF(H3366="T51",3,IF(H3366="T67",6,IF(H3366="T67",10,IF(H3366="T99",14,IF(H3366="T99",18,IF(H3366="T67",22,"")))))))</f>
        <v/>
      </c>
      <c r="J3366" s="1" t="s">
        <v>1808</v>
      </c>
      <c r="K3366" s="10">
        <v>2</v>
      </c>
      <c r="L3366" s="10">
        <v>1</v>
      </c>
      <c r="O3366" s="6"/>
      <c r="P3366" s="10">
        <v>6</v>
      </c>
      <c r="Q3366" s="42" t="s">
        <v>6870</v>
      </c>
      <c r="R3366" s="42"/>
      <c r="S3366" s="1"/>
    </row>
    <row r="3367" spans="1:19" ht="18.75" hidden="1" customHeight="1" x14ac:dyDescent="0.3">
      <c r="A3367" s="10">
        <v>3366</v>
      </c>
      <c r="B3367" s="10">
        <f>_xlfn.XLOOKUP(1,(VALUE(D3367)&gt;=VALUE(block!$C$3:$C$500))*(VALUE(D3367)&lt;VALUE(block!$C$3:$C$500)+VALUE(block!$D$3:$D$500)),block!$A$3:$A$500,"无匹配",0,1)</f>
        <v>90</v>
      </c>
      <c r="C3367" s="3" t="str">
        <f>B3367 &amp; "-" &amp; COUNTIF($B$2:B3367, B3367)</f>
        <v>90-10</v>
      </c>
      <c r="D3367" s="10">
        <v>23250</v>
      </c>
      <c r="E3367" s="1" t="s">
        <v>8167</v>
      </c>
      <c r="F3367" s="1" t="s">
        <v>8168</v>
      </c>
      <c r="H3367" s="3" t="s">
        <v>6767</v>
      </c>
      <c r="I3367" s="10" t="str">
        <f>IF(H3367="T52",1,IF(H3367="T52",3,IF(H3367="T68",6,IF(H3367="T68",10,IF(H3367="T100",14,IF(H3367="T100",18,IF(H3367="T68",22,"")))))))</f>
        <v/>
      </c>
      <c r="J3367" s="1" t="s">
        <v>1808</v>
      </c>
      <c r="K3367" s="10">
        <v>4</v>
      </c>
      <c r="L3367" s="10">
        <v>1</v>
      </c>
      <c r="O3367" s="6"/>
      <c r="Q3367" s="42" t="s">
        <v>6870</v>
      </c>
      <c r="R3367" s="42"/>
      <c r="S3367" s="1"/>
    </row>
    <row r="3368" spans="1:19" ht="18.75" hidden="1" customHeight="1" x14ac:dyDescent="0.3">
      <c r="A3368" s="10">
        <v>3367</v>
      </c>
      <c r="B3368" s="10">
        <f>_xlfn.XLOOKUP(1,(VALUE(D3368)&gt;=VALUE(block!$C$3:$C$500))*(VALUE(D3368)&lt;VALUE(block!$C$3:$C$500)+VALUE(block!$D$3:$D$500)),block!$A$3:$A$500,"无匹配",0,1)</f>
        <v>90</v>
      </c>
      <c r="C3368" s="3" t="str">
        <f>B3368 &amp; "-" &amp; COUNTIF($B$2:B3368, B3368)</f>
        <v>90-11</v>
      </c>
      <c r="D3368" s="10">
        <v>23254</v>
      </c>
      <c r="E3368" s="1" t="s">
        <v>8169</v>
      </c>
      <c r="F3368" s="1" t="s">
        <v>8170</v>
      </c>
      <c r="G3368" s="1" t="s">
        <v>1840</v>
      </c>
      <c r="H3368" s="1" t="s">
        <v>1812</v>
      </c>
      <c r="I3368" s="10" t="str">
        <f>IF(H3368="T53",1,IF(H3368="T53",3,IF(H3368="T69",6,IF(H3368="T69",10,IF(H3368="T101",14,IF(H3368="T101",18,IF(H3368="T69",22,"")))))))</f>
        <v/>
      </c>
      <c r="J3368" s="1" t="s">
        <v>1808</v>
      </c>
      <c r="K3368" s="10">
        <v>2</v>
      </c>
      <c r="L3368" s="10">
        <v>1</v>
      </c>
      <c r="O3368" s="6"/>
      <c r="P3368" s="10">
        <v>6</v>
      </c>
      <c r="Q3368" s="42" t="s">
        <v>6870</v>
      </c>
      <c r="R3368" s="42"/>
      <c r="S3368" s="1"/>
    </row>
    <row r="3369" spans="1:19" ht="18.75" hidden="1" customHeight="1" x14ac:dyDescent="0.3">
      <c r="A3369" s="10">
        <v>3368</v>
      </c>
      <c r="B3369" s="10">
        <f>_xlfn.XLOOKUP(1,(VALUE(D3369)&gt;=VALUE(block!$C$3:$C$500))*(VALUE(D3369)&lt;VALUE(block!$C$3:$C$500)+VALUE(block!$D$3:$D$500)),block!$A$3:$A$500,"无匹配",0,1)</f>
        <v>90</v>
      </c>
      <c r="C3369" s="3" t="str">
        <f>B3369 &amp; "-" &amp; COUNTIF($B$2:B3369, B3369)</f>
        <v>90-12</v>
      </c>
      <c r="D3369" s="10">
        <v>23256</v>
      </c>
      <c r="E3369" s="1" t="s">
        <v>8171</v>
      </c>
      <c r="F3369" s="1" t="s">
        <v>8172</v>
      </c>
      <c r="H3369" s="3" t="s">
        <v>6767</v>
      </c>
      <c r="I3369" s="10" t="str">
        <f>IF(H3369="T54",1,IF(H3369="T54",3,IF(H3369="T70",6,IF(H3369="T70",10,IF(H3369="T102",14,IF(H3369="T102",18,IF(H3369="T70",22,"")))))))</f>
        <v/>
      </c>
      <c r="J3369" s="1" t="s">
        <v>1808</v>
      </c>
      <c r="K3369" s="10">
        <v>4</v>
      </c>
      <c r="L3369" s="10">
        <v>1</v>
      </c>
      <c r="O3369" s="6"/>
      <c r="Q3369" s="42" t="s">
        <v>6870</v>
      </c>
      <c r="R3369" s="42"/>
      <c r="S3369" s="1"/>
    </row>
    <row r="3370" spans="1:19" ht="18.75" hidden="1" customHeight="1" x14ac:dyDescent="0.3">
      <c r="A3370" s="10">
        <v>3369</v>
      </c>
      <c r="B3370" s="10">
        <f>_xlfn.XLOOKUP(1,(VALUE(D3370)&gt;=VALUE(block!$C$3:$C$500))*(VALUE(D3370)&lt;VALUE(block!$C$3:$C$500)+VALUE(block!$D$3:$D$500)),block!$A$3:$A$500,"无匹配",0,1)</f>
        <v>90</v>
      </c>
      <c r="C3370" s="3" t="str">
        <f>B3370 &amp; "-" &amp; COUNTIF($B$2:B3370, B3370)</f>
        <v>90-13</v>
      </c>
      <c r="D3370" s="10">
        <v>23260</v>
      </c>
      <c r="E3370" s="1" t="s">
        <v>8173</v>
      </c>
      <c r="F3370" s="1" t="s">
        <v>8174</v>
      </c>
      <c r="G3370" s="1" t="s">
        <v>1830</v>
      </c>
      <c r="H3370" s="1" t="s">
        <v>1812</v>
      </c>
      <c r="I3370" s="10" t="str">
        <f>IF(H3370="T55",1,IF(H3370="T55",3,IF(H3370="T71",6,IF(H3370="T71",10,IF(H3370="T103",14,IF(H3370="T103",18,IF(H3370="T71",22,"")))))))</f>
        <v/>
      </c>
      <c r="J3370" s="1" t="s">
        <v>1808</v>
      </c>
      <c r="K3370" s="10">
        <v>2</v>
      </c>
      <c r="L3370" s="10">
        <v>1</v>
      </c>
      <c r="O3370" s="6"/>
      <c r="P3370" s="10">
        <v>6</v>
      </c>
      <c r="Q3370" s="42" t="s">
        <v>6870</v>
      </c>
      <c r="R3370" s="42"/>
      <c r="S3370" s="1"/>
    </row>
    <row r="3371" spans="1:19" ht="18.75" hidden="1" customHeight="1" x14ac:dyDescent="0.3">
      <c r="A3371" s="10">
        <v>3370</v>
      </c>
      <c r="B3371" s="10">
        <f>_xlfn.XLOOKUP(1,(VALUE(D3371)&gt;=VALUE(block!$C$3:$C$500))*(VALUE(D3371)&lt;VALUE(block!$C$3:$C$500)+VALUE(block!$D$3:$D$500)),block!$A$3:$A$500,"无匹配",0,1)</f>
        <v>90</v>
      </c>
      <c r="C3371" s="3" t="str">
        <f>B3371 &amp; "-" &amp; COUNTIF($B$2:B3371, B3371)</f>
        <v>90-14</v>
      </c>
      <c r="D3371" s="10">
        <v>23262</v>
      </c>
      <c r="E3371" s="1" t="s">
        <v>8175</v>
      </c>
      <c r="F3371" s="1" t="s">
        <v>8176</v>
      </c>
      <c r="H3371" s="3" t="s">
        <v>6767</v>
      </c>
      <c r="I3371" s="10" t="str">
        <f>IF(H3371="T56",1,IF(H3371="T56",3,IF(H3371="T72",6,IF(H3371="T72",10,IF(H3371="T104",14,IF(H3371="T104",18,IF(H3371="T72",22,"")))))))</f>
        <v/>
      </c>
      <c r="J3371" s="1" t="s">
        <v>1808</v>
      </c>
      <c r="K3371" s="10">
        <v>4</v>
      </c>
      <c r="L3371" s="10">
        <v>1</v>
      </c>
      <c r="O3371" s="6"/>
      <c r="Q3371" s="42" t="s">
        <v>6870</v>
      </c>
      <c r="R3371" s="42"/>
      <c r="S3371" s="1"/>
    </row>
    <row r="3372" spans="1:19" ht="18.75" hidden="1" customHeight="1" x14ac:dyDescent="0.3">
      <c r="A3372" s="10">
        <v>3371</v>
      </c>
      <c r="B3372" s="10">
        <f>_xlfn.XLOOKUP(1,(VALUE(D3372)&gt;=VALUE(block!$C$3:$C$500))*(VALUE(D3372)&lt;VALUE(block!$C$3:$C$500)+VALUE(block!$D$3:$D$500)),block!$A$3:$A$500,"无匹配",0,1)</f>
        <v>90</v>
      </c>
      <c r="C3372" s="3" t="str">
        <f>B3372 &amp; "-" &amp; COUNTIF($B$2:B3372, B3372)</f>
        <v>90-15</v>
      </c>
      <c r="D3372" s="10">
        <v>23266</v>
      </c>
      <c r="E3372" s="1" t="s">
        <v>8177</v>
      </c>
      <c r="F3372" s="1" t="s">
        <v>8178</v>
      </c>
      <c r="G3372" s="1" t="s">
        <v>1832</v>
      </c>
      <c r="H3372" s="1" t="s">
        <v>1812</v>
      </c>
      <c r="I3372" s="10" t="str">
        <f>IF(H3372="T57",1,IF(H3372="T57",3,IF(H3372="T73",6,IF(H3372="T73",10,IF(H3372="T105",14,IF(H3372="T105",18,IF(H3372="T73",22,"")))))))</f>
        <v/>
      </c>
      <c r="J3372" s="1" t="s">
        <v>1808</v>
      </c>
      <c r="K3372" s="10">
        <v>2</v>
      </c>
      <c r="L3372" s="10">
        <v>1</v>
      </c>
      <c r="O3372" s="6"/>
      <c r="P3372" s="10">
        <v>6</v>
      </c>
      <c r="Q3372" s="42" t="s">
        <v>6870</v>
      </c>
      <c r="R3372" s="42"/>
      <c r="S3372" s="1"/>
    </row>
    <row r="3373" spans="1:19" ht="18.75" hidden="1" customHeight="1" x14ac:dyDescent="0.3">
      <c r="A3373" s="10">
        <v>3372</v>
      </c>
      <c r="B3373" s="10">
        <f>_xlfn.XLOOKUP(1,(VALUE(D3373)&gt;=VALUE(block!$C$3:$C$500))*(VALUE(D3373)&lt;VALUE(block!$C$3:$C$500)+VALUE(block!$D$3:$D$500)),block!$A$3:$A$500,"无匹配",0,1)</f>
        <v>90</v>
      </c>
      <c r="C3373" s="3" t="str">
        <f>B3373 &amp; "-" &amp; COUNTIF($B$2:B3373, B3373)</f>
        <v>90-16</v>
      </c>
      <c r="D3373" s="10">
        <v>23268</v>
      </c>
      <c r="E3373" s="1" t="s">
        <v>8179</v>
      </c>
      <c r="F3373" s="1" t="s">
        <v>8180</v>
      </c>
      <c r="H3373" s="3" t="s">
        <v>6767</v>
      </c>
      <c r="I3373" s="10" t="str">
        <f>IF(H3373="T58",1,IF(H3373="T58",3,IF(H3373="T74",6,IF(H3373="T74",10,IF(H3373="T106",14,IF(H3373="T106",18,IF(H3373="T74",22,"")))))))</f>
        <v/>
      </c>
      <c r="J3373" s="1" t="s">
        <v>1808</v>
      </c>
      <c r="K3373" s="10">
        <v>4</v>
      </c>
      <c r="L3373" s="10">
        <v>1</v>
      </c>
      <c r="O3373" s="6"/>
      <c r="Q3373" s="42" t="s">
        <v>6870</v>
      </c>
      <c r="R3373" s="42"/>
      <c r="S3373" s="1"/>
    </row>
    <row r="3374" spans="1:19" ht="18.75" hidden="1" customHeight="1" x14ac:dyDescent="0.3">
      <c r="A3374" s="10">
        <v>3373</v>
      </c>
      <c r="B3374" s="10">
        <f>_xlfn.XLOOKUP(1,(VALUE(D3374)&gt;=VALUE(block!$C$3:$C$500))*(VALUE(D3374)&lt;VALUE(block!$C$3:$C$500)+VALUE(block!$D$3:$D$500)),block!$A$3:$A$500,"无匹配",0,1)</f>
        <v>90</v>
      </c>
      <c r="C3374" s="3" t="str">
        <f>B3374 &amp; "-" &amp; COUNTIF($B$2:B3374, B3374)</f>
        <v>90-17</v>
      </c>
      <c r="D3374" s="10">
        <v>23272</v>
      </c>
      <c r="E3374" s="1" t="s">
        <v>8181</v>
      </c>
      <c r="F3374" s="1" t="s">
        <v>8182</v>
      </c>
      <c r="G3374" s="1" t="s">
        <v>1834</v>
      </c>
      <c r="H3374" s="1" t="s">
        <v>1812</v>
      </c>
      <c r="I3374" s="10" t="str">
        <f>IF(H3374="T59",1,IF(H3374="T59",3,IF(H3374="T75",6,IF(H3374="T75",10,IF(H3374="T107",14,IF(H3374="T107",18,IF(H3374="T75",22,"")))))))</f>
        <v/>
      </c>
      <c r="J3374" s="1" t="s">
        <v>1808</v>
      </c>
      <c r="K3374" s="10">
        <v>2</v>
      </c>
      <c r="L3374" s="10">
        <v>1</v>
      </c>
      <c r="O3374" s="6"/>
      <c r="P3374" s="10">
        <v>6</v>
      </c>
      <c r="Q3374" s="42" t="s">
        <v>6870</v>
      </c>
      <c r="R3374" s="42"/>
      <c r="S3374" s="1"/>
    </row>
    <row r="3375" spans="1:19" ht="18.75" hidden="1" customHeight="1" x14ac:dyDescent="0.3">
      <c r="A3375" s="10">
        <v>3374</v>
      </c>
      <c r="B3375" s="10">
        <f>_xlfn.XLOOKUP(1,(VALUE(D3375)&gt;=VALUE(block!$C$3:$C$500))*(VALUE(D3375)&lt;VALUE(block!$C$3:$C$500)+VALUE(block!$D$3:$D$500)),block!$A$3:$A$500,"无匹配",0,1)</f>
        <v>90</v>
      </c>
      <c r="C3375" s="3" t="str">
        <f>B3375 &amp; "-" &amp; COUNTIF($B$2:B3375, B3375)</f>
        <v>90-18</v>
      </c>
      <c r="D3375" s="10">
        <v>23274</v>
      </c>
      <c r="E3375" s="1" t="s">
        <v>8183</v>
      </c>
      <c r="F3375" s="1" t="s">
        <v>8184</v>
      </c>
      <c r="H3375" s="3" t="s">
        <v>6767</v>
      </c>
      <c r="I3375" s="10" t="str">
        <f>IF(H3375="T60",1,IF(H3375="T60",3,IF(H3375="T76",6,IF(H3375="T76",10,IF(H3375="T108",14,IF(H3375="T108",18,IF(H3375="T76",22,"")))))))</f>
        <v/>
      </c>
      <c r="J3375" s="1" t="s">
        <v>1808</v>
      </c>
      <c r="K3375" s="10">
        <v>4</v>
      </c>
      <c r="L3375" s="10">
        <v>1</v>
      </c>
      <c r="O3375" s="6"/>
      <c r="Q3375" s="42" t="s">
        <v>6870</v>
      </c>
      <c r="R3375" s="42"/>
      <c r="S3375" s="1"/>
    </row>
    <row r="3376" spans="1:19" ht="18.75" hidden="1" customHeight="1" x14ac:dyDescent="0.3">
      <c r="A3376" s="10">
        <v>3375</v>
      </c>
      <c r="B3376" s="10">
        <f>_xlfn.XLOOKUP(1,(VALUE(D3376)&gt;=VALUE(block!$C$3:$C$500))*(VALUE(D3376)&lt;VALUE(block!$C$3:$C$500)+VALUE(block!$D$3:$D$500)),block!$A$3:$A$500,"无匹配",0,1)</f>
        <v>90</v>
      </c>
      <c r="C3376" s="3" t="str">
        <f>B3376 &amp; "-" &amp; COUNTIF($B$2:B3376, B3376)</f>
        <v>90-19</v>
      </c>
      <c r="D3376" s="10">
        <v>23278</v>
      </c>
      <c r="E3376" s="1" t="s">
        <v>8185</v>
      </c>
      <c r="F3376" s="1" t="s">
        <v>8186</v>
      </c>
      <c r="G3376" s="1" t="s">
        <v>1836</v>
      </c>
      <c r="H3376" s="1" t="s">
        <v>1812</v>
      </c>
      <c r="I3376" s="10" t="str">
        <f>IF(H3376="T61",1,IF(H3376="T61",3,IF(H3376="T77",6,IF(H3376="T77",10,IF(H3376="T109",14,IF(H3376="T109",18,IF(H3376="T77",22,"")))))))</f>
        <v/>
      </c>
      <c r="J3376" s="1" t="s">
        <v>1808</v>
      </c>
      <c r="K3376" s="10">
        <v>2</v>
      </c>
      <c r="L3376" s="10">
        <v>1</v>
      </c>
      <c r="O3376" s="6"/>
      <c r="P3376" s="10">
        <v>6</v>
      </c>
      <c r="Q3376" s="42" t="s">
        <v>6870</v>
      </c>
      <c r="R3376" s="42"/>
      <c r="S3376" s="1"/>
    </row>
    <row r="3377" spans="1:19" ht="18.75" hidden="1" customHeight="1" x14ac:dyDescent="0.3">
      <c r="A3377" s="10">
        <v>3376</v>
      </c>
      <c r="B3377" s="10">
        <f>_xlfn.XLOOKUP(1,(VALUE(D3377)&gt;=VALUE(block!$C$3:$C$500))*(VALUE(D3377)&lt;VALUE(block!$C$3:$C$500)+VALUE(block!$D$3:$D$500)),block!$A$3:$A$500,"无匹配",0,1)</f>
        <v>90</v>
      </c>
      <c r="C3377" s="3" t="str">
        <f>B3377 &amp; "-" &amp; COUNTIF($B$2:B3377, B3377)</f>
        <v>90-20</v>
      </c>
      <c r="D3377" s="10">
        <v>23280</v>
      </c>
      <c r="E3377" s="1" t="s">
        <v>8187</v>
      </c>
      <c r="F3377" s="1" t="s">
        <v>8188</v>
      </c>
      <c r="H3377" s="3" t="s">
        <v>6767</v>
      </c>
      <c r="I3377" s="10" t="str">
        <f>IF(H3377="T62",1,IF(H3377="T62",3,IF(H3377="T78",6,IF(H3377="T78",10,IF(H3377="T110",14,IF(H3377="T110",18,IF(H3377="T78",22,"")))))))</f>
        <v/>
      </c>
      <c r="J3377" s="1" t="s">
        <v>1808</v>
      </c>
      <c r="K3377" s="10">
        <v>4</v>
      </c>
      <c r="L3377" s="10">
        <v>1</v>
      </c>
      <c r="O3377" s="6"/>
      <c r="Q3377" s="42" t="s">
        <v>6870</v>
      </c>
      <c r="R3377" s="42"/>
      <c r="S3377" s="1"/>
    </row>
    <row r="3378" spans="1:19" ht="18.75" hidden="1" customHeight="1" x14ac:dyDescent="0.3">
      <c r="A3378" s="10">
        <v>3377</v>
      </c>
      <c r="B3378" s="10">
        <f>_xlfn.XLOOKUP(1,(VALUE(D3378)&gt;=VALUE(block!$C$3:$C$500))*(VALUE(D3378)&lt;VALUE(block!$C$3:$C$500)+VALUE(block!$D$3:$D$500)),block!$A$3:$A$500,"无匹配",0,1)</f>
        <v>90</v>
      </c>
      <c r="C3378" s="3" t="str">
        <f>B3378 &amp; "-" &amp; COUNTIF($B$2:B3378, B3378)</f>
        <v>90-21</v>
      </c>
      <c r="D3378" s="10">
        <v>23284</v>
      </c>
      <c r="E3378" s="1" t="s">
        <v>8189</v>
      </c>
      <c r="F3378" s="1" t="s">
        <v>8190</v>
      </c>
      <c r="G3378" s="1" t="s">
        <v>1840</v>
      </c>
      <c r="H3378" s="1" t="s">
        <v>1812</v>
      </c>
      <c r="I3378" s="10" t="str">
        <f>IF(H3378="T63",1,IF(H3378="T63",3,IF(H3378="T79",6,IF(H3378="T79",10,IF(H3378="T111",14,IF(H3378="T111",18,IF(H3378="T79",22,"")))))))</f>
        <v/>
      </c>
      <c r="J3378" s="1" t="s">
        <v>1808</v>
      </c>
      <c r="K3378" s="10">
        <v>2</v>
      </c>
      <c r="L3378" s="10">
        <v>1</v>
      </c>
      <c r="O3378" s="6"/>
      <c r="P3378" s="10">
        <v>6</v>
      </c>
      <c r="Q3378" s="42" t="s">
        <v>6870</v>
      </c>
      <c r="R3378" s="42"/>
      <c r="S3378" s="1"/>
    </row>
    <row r="3379" spans="1:19" ht="18.75" hidden="1" customHeight="1" x14ac:dyDescent="0.3">
      <c r="A3379" s="10">
        <v>3378</v>
      </c>
      <c r="B3379" s="10">
        <f>_xlfn.XLOOKUP(1,(VALUE(D3379)&gt;=VALUE(block!$C$3:$C$500))*(VALUE(D3379)&lt;VALUE(block!$C$3:$C$500)+VALUE(block!$D$3:$D$500)),block!$A$3:$A$500,"无匹配",0,1)</f>
        <v>90</v>
      </c>
      <c r="C3379" s="3" t="str">
        <f>B3379 &amp; "-" &amp; COUNTIF($B$2:B3379, B3379)</f>
        <v>90-22</v>
      </c>
      <c r="D3379" s="10">
        <v>23286</v>
      </c>
      <c r="E3379" s="1" t="s">
        <v>8191</v>
      </c>
      <c r="F3379" s="1" t="s">
        <v>8192</v>
      </c>
      <c r="H3379" s="3" t="s">
        <v>6767</v>
      </c>
      <c r="I3379" s="10" t="str">
        <f>IF(H3379="T64",1,IF(H3379="T64",3,IF(H3379="T80",6,IF(H3379="T80",10,IF(H3379="T112",14,IF(H3379="T112",18,IF(H3379="T80",22,"")))))))</f>
        <v/>
      </c>
      <c r="J3379" s="1" t="s">
        <v>1808</v>
      </c>
      <c r="K3379" s="10">
        <v>4</v>
      </c>
      <c r="L3379" s="10">
        <v>1</v>
      </c>
      <c r="O3379" s="6"/>
      <c r="Q3379" s="42" t="s">
        <v>6870</v>
      </c>
      <c r="R3379" s="42"/>
      <c r="S3379" s="1"/>
    </row>
    <row r="3380" spans="1:19" ht="18.75" hidden="1" customHeight="1" x14ac:dyDescent="0.3">
      <c r="A3380" s="10">
        <v>3379</v>
      </c>
      <c r="B3380" s="10">
        <f>_xlfn.XLOOKUP(1,(VALUE(D3380)&gt;=VALUE(block!$C$3:$C$500))*(VALUE(D3380)&lt;VALUE(block!$C$3:$C$500)+VALUE(block!$D$3:$D$500)),block!$A$3:$A$500,"无匹配",0,1)</f>
        <v>90</v>
      </c>
      <c r="C3380" s="3" t="str">
        <f>B3380 &amp; "-" &amp; COUNTIF($B$2:B3380, B3380)</f>
        <v>90-23</v>
      </c>
      <c r="D3380" s="10">
        <v>23290</v>
      </c>
      <c r="E3380" s="1" t="s">
        <v>8193</v>
      </c>
      <c r="F3380" s="1" t="s">
        <v>8194</v>
      </c>
      <c r="G3380" s="1" t="s">
        <v>1840</v>
      </c>
      <c r="H3380" s="1" t="s">
        <v>1812</v>
      </c>
      <c r="I3380" s="10" t="str">
        <f>IF(H3380="T65",1,IF(H3380="T65",3,IF(H3380="T81",6,IF(H3380="T81",10,IF(H3380="T113",14,IF(H3380="T113",18,IF(H3380="T81",22,"")))))))</f>
        <v/>
      </c>
      <c r="J3380" s="1" t="s">
        <v>1808</v>
      </c>
      <c r="K3380" s="10">
        <v>2</v>
      </c>
      <c r="L3380" s="10">
        <v>1</v>
      </c>
      <c r="O3380" s="6"/>
      <c r="P3380" s="10">
        <v>6</v>
      </c>
      <c r="Q3380" s="42" t="s">
        <v>6870</v>
      </c>
      <c r="R3380" s="42"/>
      <c r="S3380" s="1"/>
    </row>
    <row r="3381" spans="1:19" ht="18.75" hidden="1" customHeight="1" x14ac:dyDescent="0.3">
      <c r="A3381" s="10">
        <v>3380</v>
      </c>
      <c r="B3381" s="10">
        <f>_xlfn.XLOOKUP(1,(VALUE(D3381)&gt;=VALUE(block!$C$3:$C$500))*(VALUE(D3381)&lt;VALUE(block!$C$3:$C$500)+VALUE(block!$D$3:$D$500)),block!$A$3:$A$500,"无匹配",0,1)</f>
        <v>90</v>
      </c>
      <c r="C3381" s="3" t="str">
        <f>B3381 &amp; "-" &amp; COUNTIF($B$2:B3381, B3381)</f>
        <v>90-24</v>
      </c>
      <c r="D3381" s="10">
        <v>23292</v>
      </c>
      <c r="E3381" s="1" t="s">
        <v>8195</v>
      </c>
      <c r="F3381" s="1" t="s">
        <v>8196</v>
      </c>
      <c r="H3381" s="3" t="s">
        <v>6767</v>
      </c>
      <c r="I3381" s="10" t="str">
        <f>IF(H3381="T66",1,IF(H3381="T66",3,IF(H3381="T82",6,IF(H3381="T82",10,IF(H3381="T114",14,IF(H3381="T114",18,IF(H3381="T82",22,"")))))))</f>
        <v/>
      </c>
      <c r="J3381" s="1" t="s">
        <v>1808</v>
      </c>
      <c r="K3381" s="10">
        <v>4</v>
      </c>
      <c r="L3381" s="10">
        <v>1</v>
      </c>
      <c r="O3381" s="6"/>
      <c r="Q3381" s="42" t="s">
        <v>6870</v>
      </c>
      <c r="R3381" s="42"/>
      <c r="S3381" s="1"/>
    </row>
    <row r="3382" spans="1:19" ht="18.75" hidden="1" customHeight="1" x14ac:dyDescent="0.3">
      <c r="A3382" s="10">
        <v>3381</v>
      </c>
      <c r="B3382" s="10">
        <f>_xlfn.XLOOKUP(1,(VALUE(D3382)&gt;=VALUE(block!$C$3:$C$500))*(VALUE(D3382)&lt;VALUE(block!$C$3:$C$500)+VALUE(block!$D$3:$D$500)),block!$A$3:$A$500,"无匹配",0,1)</f>
        <v>90</v>
      </c>
      <c r="C3382" s="3" t="str">
        <f>B3382 &amp; "-" &amp; COUNTIF($B$2:B3382, B3382)</f>
        <v>90-25</v>
      </c>
      <c r="D3382" s="10">
        <v>23296</v>
      </c>
      <c r="E3382" s="1" t="s">
        <v>8197</v>
      </c>
      <c r="F3382" s="1" t="s">
        <v>8198</v>
      </c>
      <c r="G3382" s="1" t="s">
        <v>1830</v>
      </c>
      <c r="H3382" s="1" t="s">
        <v>1812</v>
      </c>
      <c r="I3382" s="10" t="str">
        <f>IF(H3382="T67",1,IF(H3382="T67",3,IF(H3382="T83",6,IF(H3382="T83",10,IF(H3382="T115",14,IF(H3382="T115",18,IF(H3382="T83",22,"")))))))</f>
        <v/>
      </c>
      <c r="J3382" s="1" t="s">
        <v>1808</v>
      </c>
      <c r="K3382" s="10">
        <v>2</v>
      </c>
      <c r="L3382" s="10">
        <v>1</v>
      </c>
      <c r="O3382" s="6"/>
      <c r="P3382" s="10">
        <v>6</v>
      </c>
      <c r="Q3382" s="42" t="s">
        <v>6870</v>
      </c>
      <c r="R3382" s="42"/>
      <c r="S3382" s="1"/>
    </row>
    <row r="3383" spans="1:19" ht="18.75" hidden="1" customHeight="1" x14ac:dyDescent="0.3">
      <c r="A3383" s="10">
        <v>3382</v>
      </c>
      <c r="B3383" s="10">
        <f>_xlfn.XLOOKUP(1,(VALUE(D3383)&gt;=VALUE(block!$C$3:$C$500))*(VALUE(D3383)&lt;VALUE(block!$C$3:$C$500)+VALUE(block!$D$3:$D$500)),block!$A$3:$A$500,"无匹配",0,1)</f>
        <v>90</v>
      </c>
      <c r="C3383" s="3" t="str">
        <f>B3383 &amp; "-" &amp; COUNTIF($B$2:B3383, B3383)</f>
        <v>90-26</v>
      </c>
      <c r="D3383" s="10">
        <v>23298</v>
      </c>
      <c r="E3383" s="1" t="s">
        <v>8199</v>
      </c>
      <c r="F3383" s="1" t="s">
        <v>8200</v>
      </c>
      <c r="H3383" s="3" t="s">
        <v>6767</v>
      </c>
      <c r="I3383" s="10" t="str">
        <f>IF(H3383="T68",1,IF(H3383="T68",3,IF(H3383="T84",6,IF(H3383="T84",10,IF(H3383="T116",14,IF(H3383="T116",18,IF(H3383="T84",22,"")))))))</f>
        <v/>
      </c>
      <c r="J3383" s="1" t="s">
        <v>1808</v>
      </c>
      <c r="K3383" s="10">
        <v>4</v>
      </c>
      <c r="L3383" s="10">
        <v>1</v>
      </c>
      <c r="O3383" s="6"/>
      <c r="Q3383" s="42" t="s">
        <v>6870</v>
      </c>
      <c r="R3383" s="42"/>
      <c r="S3383" s="1"/>
    </row>
    <row r="3384" spans="1:19" ht="18.75" hidden="1" customHeight="1" x14ac:dyDescent="0.3">
      <c r="A3384" s="10">
        <v>3383</v>
      </c>
      <c r="B3384" s="10">
        <f>_xlfn.XLOOKUP(1,(VALUE(D3384)&gt;=VALUE(block!$C$3:$C$500))*(VALUE(D3384)&lt;VALUE(block!$C$3:$C$500)+VALUE(block!$D$3:$D$500)),block!$A$3:$A$500,"无匹配",0,1)</f>
        <v>90</v>
      </c>
      <c r="C3384" s="3" t="str">
        <f>B3384 &amp; "-" &amp; COUNTIF($B$2:B3384, B3384)</f>
        <v>90-27</v>
      </c>
      <c r="D3384" s="10">
        <v>23302</v>
      </c>
      <c r="E3384" s="1" t="s">
        <v>8201</v>
      </c>
      <c r="F3384" s="1" t="s">
        <v>8202</v>
      </c>
      <c r="G3384" s="1" t="s">
        <v>1832</v>
      </c>
      <c r="H3384" s="1" t="s">
        <v>1812</v>
      </c>
      <c r="I3384" s="10" t="str">
        <f>IF(H3384="T69",1,IF(H3384="T69",3,IF(H3384="T85",6,IF(H3384="T85",10,IF(H3384="T117",14,IF(H3384="T117",18,IF(H3384="T85",22,"")))))))</f>
        <v/>
      </c>
      <c r="J3384" s="1" t="s">
        <v>1808</v>
      </c>
      <c r="K3384" s="10">
        <v>2</v>
      </c>
      <c r="L3384" s="10">
        <v>1</v>
      </c>
      <c r="O3384" s="6"/>
      <c r="P3384" s="10">
        <v>6</v>
      </c>
      <c r="Q3384" s="42" t="s">
        <v>6870</v>
      </c>
      <c r="R3384" s="42"/>
      <c r="S3384" s="1"/>
    </row>
    <row r="3385" spans="1:19" ht="18.75" hidden="1" customHeight="1" x14ac:dyDescent="0.3">
      <c r="A3385" s="10">
        <v>3384</v>
      </c>
      <c r="B3385" s="10">
        <f>_xlfn.XLOOKUP(1,(VALUE(D3385)&gt;=VALUE(block!$C$3:$C$500))*(VALUE(D3385)&lt;VALUE(block!$C$3:$C$500)+VALUE(block!$D$3:$D$500)),block!$A$3:$A$500,"无匹配",0,1)</f>
        <v>90</v>
      </c>
      <c r="C3385" s="3" t="str">
        <f>B3385 &amp; "-" &amp; COUNTIF($B$2:B3385, B3385)</f>
        <v>90-28</v>
      </c>
      <c r="D3385" s="10">
        <v>23304</v>
      </c>
      <c r="E3385" s="1" t="s">
        <v>8203</v>
      </c>
      <c r="F3385" s="1" t="s">
        <v>8204</v>
      </c>
      <c r="H3385" s="3" t="s">
        <v>6767</v>
      </c>
      <c r="I3385" s="10" t="str">
        <f>IF(H3385="T70",1,IF(H3385="T70",3,IF(H3385="T86",6,IF(H3385="T86",10,IF(H3385="T118",14,IF(H3385="T118",18,IF(H3385="T86",22,"")))))))</f>
        <v/>
      </c>
      <c r="J3385" s="1" t="s">
        <v>1808</v>
      </c>
      <c r="K3385" s="10">
        <v>4</v>
      </c>
      <c r="L3385" s="10">
        <v>1</v>
      </c>
      <c r="O3385" s="6"/>
      <c r="Q3385" s="42" t="s">
        <v>6870</v>
      </c>
      <c r="R3385" s="42"/>
      <c r="S3385" s="1"/>
    </row>
    <row r="3386" spans="1:19" ht="18.75" hidden="1" customHeight="1" x14ac:dyDescent="0.3">
      <c r="A3386" s="10">
        <v>3385</v>
      </c>
      <c r="B3386" s="10">
        <f>_xlfn.XLOOKUP(1,(VALUE(D3386)&gt;=VALUE(block!$C$3:$C$500))*(VALUE(D3386)&lt;VALUE(block!$C$3:$C$500)+VALUE(block!$D$3:$D$500)),block!$A$3:$A$500,"无匹配",0,1)</f>
        <v>90</v>
      </c>
      <c r="C3386" s="3" t="str">
        <f>B3386 &amp; "-" &amp; COUNTIF($B$2:B3386, B3386)</f>
        <v>90-29</v>
      </c>
      <c r="D3386" s="10">
        <v>23308</v>
      </c>
      <c r="E3386" s="1" t="s">
        <v>8205</v>
      </c>
      <c r="F3386" s="1" t="s">
        <v>8206</v>
      </c>
      <c r="G3386" s="1" t="s">
        <v>1834</v>
      </c>
      <c r="H3386" s="1" t="s">
        <v>1812</v>
      </c>
      <c r="I3386" s="10" t="str">
        <f>IF(H3386="T71",1,IF(H3386="T71",3,IF(H3386="T87",6,IF(H3386="T87",10,IF(H3386="T119",14,IF(H3386="T119",18,IF(H3386="T87",22,"")))))))</f>
        <v/>
      </c>
      <c r="J3386" s="1" t="s">
        <v>1808</v>
      </c>
      <c r="K3386" s="10">
        <v>2</v>
      </c>
      <c r="L3386" s="10">
        <v>1</v>
      </c>
      <c r="O3386" s="6"/>
      <c r="P3386" s="10">
        <v>6</v>
      </c>
      <c r="Q3386" s="42" t="s">
        <v>6870</v>
      </c>
      <c r="R3386" s="42"/>
      <c r="S3386" s="1"/>
    </row>
    <row r="3387" spans="1:19" ht="18.75" hidden="1" customHeight="1" x14ac:dyDescent="0.3">
      <c r="A3387" s="10">
        <v>3386</v>
      </c>
      <c r="B3387" s="10">
        <f>_xlfn.XLOOKUP(1,(VALUE(D3387)&gt;=VALUE(block!$C$3:$C$500))*(VALUE(D3387)&lt;VALUE(block!$C$3:$C$500)+VALUE(block!$D$3:$D$500)),block!$A$3:$A$500,"无匹配",0,1)</f>
        <v>90</v>
      </c>
      <c r="C3387" s="3" t="str">
        <f>B3387 &amp; "-" &amp; COUNTIF($B$2:B3387, B3387)</f>
        <v>90-30</v>
      </c>
      <c r="D3387" s="10">
        <v>23310</v>
      </c>
      <c r="E3387" s="1" t="s">
        <v>8207</v>
      </c>
      <c r="F3387" s="1" t="s">
        <v>8208</v>
      </c>
      <c r="H3387" s="3" t="s">
        <v>6767</v>
      </c>
      <c r="I3387" s="10" t="str">
        <f>IF(H3387="T72",1,IF(H3387="T72",3,IF(H3387="T88",6,IF(H3387="T88",10,IF(H3387="T120",14,IF(H3387="T120",18,IF(H3387="T88",22,"")))))))</f>
        <v/>
      </c>
      <c r="J3387" s="1" t="s">
        <v>1808</v>
      </c>
      <c r="K3387" s="10">
        <v>4</v>
      </c>
      <c r="L3387" s="10">
        <v>1</v>
      </c>
      <c r="O3387" s="6"/>
      <c r="Q3387" s="42" t="s">
        <v>6870</v>
      </c>
      <c r="R3387" s="42"/>
      <c r="S3387" s="1"/>
    </row>
    <row r="3388" spans="1:19" ht="18.75" hidden="1" customHeight="1" x14ac:dyDescent="0.3">
      <c r="A3388" s="10">
        <v>3387</v>
      </c>
      <c r="B3388" s="10">
        <f>_xlfn.XLOOKUP(1,(VALUE(D3388)&gt;=VALUE(block!$C$3:$C$500))*(VALUE(D3388)&lt;VALUE(block!$C$3:$C$500)+VALUE(block!$D$3:$D$500)),block!$A$3:$A$500,"无匹配",0,1)</f>
        <v>90</v>
      </c>
      <c r="C3388" s="3" t="str">
        <f>B3388 &amp; "-" &amp; COUNTIF($B$2:B3388, B3388)</f>
        <v>90-31</v>
      </c>
      <c r="D3388" s="10">
        <v>23314</v>
      </c>
      <c r="E3388" s="1" t="s">
        <v>8209</v>
      </c>
      <c r="F3388" s="1" t="s">
        <v>8210</v>
      </c>
      <c r="G3388" s="1" t="s">
        <v>1836</v>
      </c>
      <c r="H3388" s="1" t="s">
        <v>1812</v>
      </c>
      <c r="I3388" s="10" t="str">
        <f>IF(H3388="T73",1,IF(H3388="T73",3,IF(H3388="T89",6,IF(H3388="T89",10,IF(H3388="T121",14,IF(H3388="T121",18,IF(H3388="T89",22,"")))))))</f>
        <v/>
      </c>
      <c r="J3388" s="1" t="s">
        <v>1808</v>
      </c>
      <c r="K3388" s="10">
        <v>2</v>
      </c>
      <c r="L3388" s="10">
        <v>1</v>
      </c>
      <c r="O3388" s="6"/>
      <c r="P3388" s="10">
        <v>6</v>
      </c>
      <c r="Q3388" s="42" t="s">
        <v>6870</v>
      </c>
      <c r="R3388" s="42"/>
      <c r="S3388" s="1"/>
    </row>
    <row r="3389" spans="1:19" ht="18.75" hidden="1" customHeight="1" x14ac:dyDescent="0.3">
      <c r="A3389" s="10">
        <v>3388</v>
      </c>
      <c r="B3389" s="10">
        <f>_xlfn.XLOOKUP(1,(VALUE(D3389)&gt;=VALUE(block!$C$3:$C$500))*(VALUE(D3389)&lt;VALUE(block!$C$3:$C$500)+VALUE(block!$D$3:$D$500)),block!$A$3:$A$500,"无匹配",0,1)</f>
        <v>90</v>
      </c>
      <c r="C3389" s="3" t="str">
        <f>B3389 &amp; "-" &amp; COUNTIF($B$2:B3389, B3389)</f>
        <v>90-32</v>
      </c>
      <c r="D3389" s="10">
        <v>23316</v>
      </c>
      <c r="E3389" s="1" t="s">
        <v>8211</v>
      </c>
      <c r="F3389" s="1" t="s">
        <v>8212</v>
      </c>
      <c r="H3389" s="3" t="s">
        <v>6767</v>
      </c>
      <c r="I3389" s="10" t="str">
        <f>IF(H3389="T74",1,IF(H3389="T74",3,IF(H3389="T90",6,IF(H3389="T90",10,IF(H3389="T122",14,IF(H3389="T122",18,IF(H3389="T90",22,"")))))))</f>
        <v/>
      </c>
      <c r="J3389" s="1" t="s">
        <v>1808</v>
      </c>
      <c r="K3389" s="10">
        <v>4</v>
      </c>
      <c r="L3389" s="10">
        <v>1</v>
      </c>
      <c r="O3389" s="6"/>
      <c r="Q3389" s="42" t="s">
        <v>6870</v>
      </c>
      <c r="R3389" s="42"/>
      <c r="S3389" s="1"/>
    </row>
    <row r="3390" spans="1:19" ht="18.75" hidden="1" customHeight="1" x14ac:dyDescent="0.3">
      <c r="A3390" s="10">
        <v>3389</v>
      </c>
      <c r="B3390" s="10">
        <f>_xlfn.XLOOKUP(1,(VALUE(D3390)&gt;=VALUE(block!$C$3:$C$500))*(VALUE(D3390)&lt;VALUE(block!$C$3:$C$500)+VALUE(block!$D$3:$D$500)),block!$A$3:$A$500,"无匹配",0,1)</f>
        <v>90</v>
      </c>
      <c r="C3390" s="3" t="str">
        <f>B3390 &amp; "-" &amp; COUNTIF($B$2:B3390, B3390)</f>
        <v>90-33</v>
      </c>
      <c r="D3390" s="10">
        <v>23320</v>
      </c>
      <c r="E3390" s="1" t="s">
        <v>8213</v>
      </c>
      <c r="F3390" s="1" t="s">
        <v>8214</v>
      </c>
      <c r="G3390" s="1" t="s">
        <v>1840</v>
      </c>
      <c r="H3390" s="1" t="s">
        <v>1812</v>
      </c>
      <c r="I3390" s="10" t="str">
        <f>IF(H3390="T75",1,IF(H3390="T75",3,IF(H3390="T91",6,IF(H3390="T91",10,IF(H3390="T123",14,IF(H3390="T123",18,IF(H3390="T91",22,"")))))))</f>
        <v/>
      </c>
      <c r="J3390" s="1" t="s">
        <v>1808</v>
      </c>
      <c r="K3390" s="10">
        <v>2</v>
      </c>
      <c r="L3390" s="10">
        <v>1</v>
      </c>
      <c r="O3390" s="6"/>
      <c r="P3390" s="10">
        <v>6</v>
      </c>
      <c r="Q3390" s="42" t="s">
        <v>6870</v>
      </c>
      <c r="R3390" s="42"/>
      <c r="S3390" s="1"/>
    </row>
    <row r="3391" spans="1:19" ht="18.75" hidden="1" customHeight="1" x14ac:dyDescent="0.3">
      <c r="A3391" s="10">
        <v>3390</v>
      </c>
      <c r="B3391" s="10">
        <f>_xlfn.XLOOKUP(1,(VALUE(D3391)&gt;=VALUE(block!$C$3:$C$500))*(VALUE(D3391)&lt;VALUE(block!$C$3:$C$500)+VALUE(block!$D$3:$D$500)),block!$A$3:$A$500,"无匹配",0,1)</f>
        <v>90</v>
      </c>
      <c r="C3391" s="3" t="str">
        <f>B3391 &amp; "-" &amp; COUNTIF($B$2:B3391, B3391)</f>
        <v>90-34</v>
      </c>
      <c r="D3391" s="10">
        <v>23322</v>
      </c>
      <c r="E3391" s="1" t="s">
        <v>8215</v>
      </c>
      <c r="F3391" s="1" t="s">
        <v>8216</v>
      </c>
      <c r="H3391" s="3" t="s">
        <v>6767</v>
      </c>
      <c r="I3391" s="10" t="str">
        <f>IF(H3391="T76",1,IF(H3391="T76",3,IF(H3391="T92",6,IF(H3391="T92",10,IF(H3391="T124",14,IF(H3391="T124",18,IF(H3391="T92",22,"")))))))</f>
        <v/>
      </c>
      <c r="J3391" s="1" t="s">
        <v>1808</v>
      </c>
      <c r="K3391" s="10">
        <v>4</v>
      </c>
      <c r="L3391" s="10">
        <v>1</v>
      </c>
      <c r="O3391" s="6"/>
      <c r="Q3391" s="42" t="s">
        <v>6870</v>
      </c>
      <c r="R3391" s="42"/>
      <c r="S3391" s="1"/>
    </row>
    <row r="3392" spans="1:19" ht="18.75" hidden="1" customHeight="1" x14ac:dyDescent="0.3">
      <c r="A3392" s="10">
        <v>3391</v>
      </c>
      <c r="B3392" s="10">
        <f>_xlfn.XLOOKUP(1,(VALUE(D3392)&gt;=VALUE(block!$C$3:$C$500))*(VALUE(D3392)&lt;VALUE(block!$C$3:$C$500)+VALUE(block!$D$3:$D$500)),block!$A$3:$A$500,"无匹配",0,1)</f>
        <v>90</v>
      </c>
      <c r="C3392" s="3" t="str">
        <f>B3392 &amp; "-" &amp; COUNTIF($B$2:B3392, B3392)</f>
        <v>90-35</v>
      </c>
      <c r="D3392" s="10">
        <v>23326</v>
      </c>
      <c r="E3392" s="1" t="s">
        <v>8217</v>
      </c>
      <c r="F3392" s="1" t="s">
        <v>8218</v>
      </c>
      <c r="G3392" s="1" t="s">
        <v>1840</v>
      </c>
      <c r="H3392" s="1" t="s">
        <v>1812</v>
      </c>
      <c r="I3392" s="10" t="str">
        <f>IF(H3392="T77",1,IF(H3392="T77",3,IF(H3392="T93",6,IF(H3392="T93",10,IF(H3392="T125",14,IF(H3392="T125",18,IF(H3392="T93",22,"")))))))</f>
        <v/>
      </c>
      <c r="J3392" s="1" t="s">
        <v>1808</v>
      </c>
      <c r="K3392" s="10">
        <v>2</v>
      </c>
      <c r="L3392" s="10">
        <v>1</v>
      </c>
      <c r="O3392" s="6"/>
      <c r="P3392" s="10">
        <v>6</v>
      </c>
      <c r="Q3392" s="42" t="s">
        <v>6870</v>
      </c>
      <c r="R3392" s="42"/>
      <c r="S3392" s="1"/>
    </row>
    <row r="3393" spans="1:19" ht="18.75" hidden="1" customHeight="1" x14ac:dyDescent="0.3">
      <c r="A3393" s="10">
        <v>3392</v>
      </c>
      <c r="B3393" s="10">
        <f>_xlfn.XLOOKUP(1,(VALUE(D3393)&gt;=VALUE(block!$C$3:$C$500))*(VALUE(D3393)&lt;VALUE(block!$C$3:$C$500)+VALUE(block!$D$3:$D$500)),block!$A$3:$A$500,"无匹配",0,1)</f>
        <v>90</v>
      </c>
      <c r="C3393" s="3" t="str">
        <f>B3393 &amp; "-" &amp; COUNTIF($B$2:B3393, B3393)</f>
        <v>90-36</v>
      </c>
      <c r="D3393" s="10">
        <v>23328</v>
      </c>
      <c r="E3393" s="1" t="s">
        <v>8219</v>
      </c>
      <c r="F3393" s="1" t="s">
        <v>8220</v>
      </c>
      <c r="H3393" s="3" t="s">
        <v>6767</v>
      </c>
      <c r="I3393" s="10" t="str">
        <f>IF(H3393="T78",1,IF(H3393="T78",3,IF(H3393="T94",6,IF(H3393="T94",10,IF(H3393="T126",14,IF(H3393="T126",18,IF(H3393="T94",22,"")))))))</f>
        <v/>
      </c>
      <c r="J3393" s="1" t="s">
        <v>1808</v>
      </c>
      <c r="K3393" s="10">
        <v>4</v>
      </c>
      <c r="L3393" s="10">
        <v>1</v>
      </c>
      <c r="O3393" s="6"/>
      <c r="Q3393" s="42" t="s">
        <v>6870</v>
      </c>
      <c r="R3393" s="42"/>
      <c r="S3393" s="1"/>
    </row>
    <row r="3394" spans="1:19" ht="18.75" hidden="1" customHeight="1" x14ac:dyDescent="0.3">
      <c r="A3394" s="10">
        <v>3393</v>
      </c>
      <c r="B3394" s="10">
        <f>_xlfn.XLOOKUP(1,(VALUE(D3394)&gt;=VALUE(block!$C$3:$C$500))*(VALUE(D3394)&lt;VALUE(block!$C$3:$C$500)+VALUE(block!$D$3:$D$500)),block!$A$3:$A$500,"无匹配",0,1)</f>
        <v>91</v>
      </c>
      <c r="C3394" s="3" t="str">
        <f>B3394 &amp; "-" &amp; COUNTIF($B$2:B3394, B3394)</f>
        <v>91-1</v>
      </c>
      <c r="D3394" s="10">
        <v>23332</v>
      </c>
      <c r="E3394" s="1" t="s">
        <v>8221</v>
      </c>
      <c r="F3394" s="1" t="s">
        <v>8222</v>
      </c>
      <c r="G3394" s="1" t="s">
        <v>1830</v>
      </c>
      <c r="H3394" s="1" t="s">
        <v>1812</v>
      </c>
      <c r="I3394" s="10" t="str">
        <f>IF(H3394="T79",1,IF(H3394="T79",3,IF(H3394="T95",6,IF(H3394="T95",10,IF(H3394="T127",14,IF(H3394="T127",18,IF(H3394="T95",22,"")))))))</f>
        <v/>
      </c>
      <c r="J3394" s="1" t="s">
        <v>1808</v>
      </c>
      <c r="K3394" s="10">
        <v>2</v>
      </c>
      <c r="L3394" s="10">
        <v>1</v>
      </c>
      <c r="O3394" s="6"/>
      <c r="P3394" s="10">
        <v>6</v>
      </c>
      <c r="Q3394" s="42" t="s">
        <v>6870</v>
      </c>
      <c r="R3394" s="42"/>
      <c r="S3394" s="1"/>
    </row>
    <row r="3395" spans="1:19" ht="18.75" hidden="1" customHeight="1" x14ac:dyDescent="0.3">
      <c r="A3395" s="10">
        <v>3394</v>
      </c>
      <c r="B3395" s="10">
        <f>_xlfn.XLOOKUP(1,(VALUE(D3395)&gt;=VALUE(block!$C$3:$C$500))*(VALUE(D3395)&lt;VALUE(block!$C$3:$C$500)+VALUE(block!$D$3:$D$500)),block!$A$3:$A$500,"无匹配",0,1)</f>
        <v>91</v>
      </c>
      <c r="C3395" s="3" t="str">
        <f>B3395 &amp; "-" &amp; COUNTIF($B$2:B3395, B3395)</f>
        <v>91-2</v>
      </c>
      <c r="D3395" s="10">
        <v>23334</v>
      </c>
      <c r="E3395" s="1" t="s">
        <v>8223</v>
      </c>
      <c r="F3395" s="1" t="s">
        <v>8224</v>
      </c>
      <c r="H3395" s="3" t="s">
        <v>6767</v>
      </c>
      <c r="I3395" s="10">
        <f>IF(H3395="uint16",1,IF(H3395="int16",3,IF(H3395="uint32",6,IF(H3395="int32",10,IF(H3395="uint64",14,IF(H3395="int64",18,IF(H3395="float32",22,"")))))))</f>
        <v>14</v>
      </c>
      <c r="J3395" s="1" t="s">
        <v>1808</v>
      </c>
      <c r="K3395" s="10">
        <v>4</v>
      </c>
      <c r="L3395" s="10">
        <v>1</v>
      </c>
      <c r="O3395" s="6"/>
      <c r="Q3395" s="42" t="s">
        <v>6870</v>
      </c>
      <c r="R3395" s="42"/>
      <c r="S3395" s="1"/>
    </row>
    <row r="3396" spans="1:19" ht="18.75" hidden="1" customHeight="1" x14ac:dyDescent="0.3">
      <c r="A3396" s="10">
        <v>3395</v>
      </c>
      <c r="B3396" s="10">
        <f>_xlfn.XLOOKUP(1,(VALUE(D3396)&gt;=VALUE(block!$C$3:$C$500))*(VALUE(D3396)&lt;VALUE(block!$C$3:$C$500)+VALUE(block!$D$3:$D$500)),block!$A$3:$A$500,"无匹配",0,1)</f>
        <v>91</v>
      </c>
      <c r="C3396" s="3" t="str">
        <f>B3396 &amp; "-" &amp; COUNTIF($B$2:B3396, B3396)</f>
        <v>91-3</v>
      </c>
      <c r="D3396" s="10">
        <v>23338</v>
      </c>
      <c r="E3396" s="1" t="s">
        <v>8225</v>
      </c>
      <c r="F3396" s="1" t="s">
        <v>8226</v>
      </c>
      <c r="G3396" s="1" t="s">
        <v>1832</v>
      </c>
      <c r="H3396" s="1" t="s">
        <v>1812</v>
      </c>
      <c r="I3396" s="10" t="str">
        <f>IF(H3396="T17",1,IF(H3396="T17",3,IF(H3396="T33",6,IF(H3396="T33",10,IF(H3396="T65",14,IF(H3396="T65",18,IF(H3396="T33",22,"")))))))</f>
        <v/>
      </c>
      <c r="J3396" s="1" t="s">
        <v>1808</v>
      </c>
      <c r="K3396" s="10">
        <v>2</v>
      </c>
      <c r="L3396" s="10">
        <v>1</v>
      </c>
      <c r="O3396" s="6"/>
      <c r="P3396" s="10">
        <v>6</v>
      </c>
      <c r="Q3396" s="42" t="s">
        <v>6870</v>
      </c>
      <c r="R3396" s="42"/>
      <c r="S3396" s="1"/>
    </row>
    <row r="3397" spans="1:19" ht="18.75" hidden="1" customHeight="1" x14ac:dyDescent="0.3">
      <c r="A3397" s="10">
        <v>3396</v>
      </c>
      <c r="B3397" s="10">
        <f>_xlfn.XLOOKUP(1,(VALUE(D3397)&gt;=VALUE(block!$C$3:$C$500))*(VALUE(D3397)&lt;VALUE(block!$C$3:$C$500)+VALUE(block!$D$3:$D$500)),block!$A$3:$A$500,"无匹配",0,1)</f>
        <v>91</v>
      </c>
      <c r="C3397" s="3" t="str">
        <f>B3397 &amp; "-" &amp; COUNTIF($B$2:B3397, B3397)</f>
        <v>91-4</v>
      </c>
      <c r="D3397" s="10">
        <v>23340</v>
      </c>
      <c r="E3397" s="1" t="s">
        <v>8227</v>
      </c>
      <c r="F3397" s="1" t="s">
        <v>8228</v>
      </c>
      <c r="H3397" s="3" t="s">
        <v>6767</v>
      </c>
      <c r="I3397" s="10" t="str">
        <f>IF(H3397="T18",1,IF(H3397="T18",3,IF(H3397="T34",6,IF(H3397="T34",10,IF(H3397="T66",14,IF(H3397="T66",18,IF(H3397="T34",22,"")))))))</f>
        <v/>
      </c>
      <c r="J3397" s="1" t="s">
        <v>1808</v>
      </c>
      <c r="K3397" s="10">
        <v>4</v>
      </c>
      <c r="L3397" s="10">
        <v>1</v>
      </c>
      <c r="O3397" s="6"/>
      <c r="Q3397" s="42" t="s">
        <v>6870</v>
      </c>
      <c r="R3397" s="42"/>
      <c r="S3397" s="1"/>
    </row>
    <row r="3398" spans="1:19" ht="18.75" hidden="1" customHeight="1" x14ac:dyDescent="0.3">
      <c r="A3398" s="10">
        <v>3397</v>
      </c>
      <c r="B3398" s="10">
        <f>_xlfn.XLOOKUP(1,(VALUE(D3398)&gt;=VALUE(block!$C$3:$C$500))*(VALUE(D3398)&lt;VALUE(block!$C$3:$C$500)+VALUE(block!$D$3:$D$500)),block!$A$3:$A$500,"无匹配",0,1)</f>
        <v>91</v>
      </c>
      <c r="C3398" s="3" t="str">
        <f>B3398 &amp; "-" &amp; COUNTIF($B$2:B3398, B3398)</f>
        <v>91-5</v>
      </c>
      <c r="D3398" s="10">
        <v>23344</v>
      </c>
      <c r="E3398" s="1" t="s">
        <v>8229</v>
      </c>
      <c r="F3398" s="1" t="s">
        <v>8230</v>
      </c>
      <c r="G3398" s="1" t="s">
        <v>1834</v>
      </c>
      <c r="H3398" s="1" t="s">
        <v>1812</v>
      </c>
      <c r="I3398" s="10" t="str">
        <f>IF(H3398="T19",1,IF(H3398="T19",3,IF(H3398="T35",6,IF(H3398="T35",10,IF(H3398="T67",14,IF(H3398="T67",18,IF(H3398="T35",22,"")))))))</f>
        <v/>
      </c>
      <c r="J3398" s="1" t="s">
        <v>1808</v>
      </c>
      <c r="K3398" s="10">
        <v>2</v>
      </c>
      <c r="L3398" s="10">
        <v>1</v>
      </c>
      <c r="O3398" s="6"/>
      <c r="P3398" s="10">
        <v>6</v>
      </c>
      <c r="Q3398" s="42" t="s">
        <v>6870</v>
      </c>
      <c r="R3398" s="42"/>
      <c r="S3398" s="1"/>
    </row>
    <row r="3399" spans="1:19" ht="18.75" hidden="1" customHeight="1" x14ac:dyDescent="0.3">
      <c r="A3399" s="10">
        <v>3398</v>
      </c>
      <c r="B3399" s="10">
        <f>_xlfn.XLOOKUP(1,(VALUE(D3399)&gt;=VALUE(block!$C$3:$C$500))*(VALUE(D3399)&lt;VALUE(block!$C$3:$C$500)+VALUE(block!$D$3:$D$500)),block!$A$3:$A$500,"无匹配",0,1)</f>
        <v>91</v>
      </c>
      <c r="C3399" s="3" t="str">
        <f>B3399 &amp; "-" &amp; COUNTIF($B$2:B3399, B3399)</f>
        <v>91-6</v>
      </c>
      <c r="D3399" s="10">
        <v>23346</v>
      </c>
      <c r="E3399" s="1" t="s">
        <v>8231</v>
      </c>
      <c r="F3399" s="1" t="s">
        <v>8232</v>
      </c>
      <c r="H3399" s="3" t="s">
        <v>6767</v>
      </c>
      <c r="I3399" s="10" t="str">
        <f>IF(H3399="T20",1,IF(H3399="T20",3,IF(H3399="T36",6,IF(H3399="T36",10,IF(H3399="T68",14,IF(H3399="T68",18,IF(H3399="T36",22,"")))))))</f>
        <v/>
      </c>
      <c r="J3399" s="1" t="s">
        <v>1808</v>
      </c>
      <c r="K3399" s="10">
        <v>4</v>
      </c>
      <c r="L3399" s="10">
        <v>1</v>
      </c>
      <c r="O3399" s="6"/>
      <c r="Q3399" s="42" t="s">
        <v>6870</v>
      </c>
      <c r="R3399" s="42"/>
      <c r="S3399" s="1"/>
    </row>
    <row r="3400" spans="1:19" ht="18.75" hidden="1" customHeight="1" x14ac:dyDescent="0.3">
      <c r="A3400" s="10">
        <v>3399</v>
      </c>
      <c r="B3400" s="10">
        <f>_xlfn.XLOOKUP(1,(VALUE(D3400)&gt;=VALUE(block!$C$3:$C$500))*(VALUE(D3400)&lt;VALUE(block!$C$3:$C$500)+VALUE(block!$D$3:$D$500)),block!$A$3:$A$500,"无匹配",0,1)</f>
        <v>91</v>
      </c>
      <c r="C3400" s="3" t="str">
        <f>B3400 &amp; "-" &amp; COUNTIF($B$2:B3400, B3400)</f>
        <v>91-7</v>
      </c>
      <c r="D3400" s="10">
        <v>23350</v>
      </c>
      <c r="E3400" s="1" t="s">
        <v>8233</v>
      </c>
      <c r="F3400" s="1" t="s">
        <v>8234</v>
      </c>
      <c r="G3400" s="1" t="s">
        <v>1836</v>
      </c>
      <c r="H3400" s="1" t="s">
        <v>1812</v>
      </c>
      <c r="I3400" s="10" t="str">
        <f>IF(H3400="T21",1,IF(H3400="T21",3,IF(H3400="T37",6,IF(H3400="T37",10,IF(H3400="T69",14,IF(H3400="T69",18,IF(H3400="T37",22,"")))))))</f>
        <v/>
      </c>
      <c r="J3400" s="1" t="s">
        <v>1808</v>
      </c>
      <c r="K3400" s="10">
        <v>2</v>
      </c>
      <c r="L3400" s="10">
        <v>1</v>
      </c>
      <c r="O3400" s="6"/>
      <c r="P3400" s="10">
        <v>6</v>
      </c>
      <c r="Q3400" s="42" t="s">
        <v>6870</v>
      </c>
      <c r="R3400" s="42"/>
      <c r="S3400" s="1"/>
    </row>
    <row r="3401" spans="1:19" ht="18.75" hidden="1" customHeight="1" x14ac:dyDescent="0.3">
      <c r="A3401" s="10">
        <v>3400</v>
      </c>
      <c r="B3401" s="10">
        <f>_xlfn.XLOOKUP(1,(VALUE(D3401)&gt;=VALUE(block!$C$3:$C$500))*(VALUE(D3401)&lt;VALUE(block!$C$3:$C$500)+VALUE(block!$D$3:$D$500)),block!$A$3:$A$500,"无匹配",0,1)</f>
        <v>91</v>
      </c>
      <c r="C3401" s="3" t="str">
        <f>B3401 &amp; "-" &amp; COUNTIF($B$2:B3401, B3401)</f>
        <v>91-8</v>
      </c>
      <c r="D3401" s="10">
        <v>23352</v>
      </c>
      <c r="E3401" s="1" t="s">
        <v>8235</v>
      </c>
      <c r="F3401" s="1" t="s">
        <v>8236</v>
      </c>
      <c r="H3401" s="3" t="s">
        <v>6767</v>
      </c>
      <c r="I3401" s="10" t="str">
        <f>IF(H3401="T22",1,IF(H3401="T22",3,IF(H3401="T38",6,IF(H3401="T38",10,IF(H3401="T70",14,IF(H3401="T70",18,IF(H3401="T38",22,"")))))))</f>
        <v/>
      </c>
      <c r="J3401" s="1" t="s">
        <v>1808</v>
      </c>
      <c r="K3401" s="10">
        <v>4</v>
      </c>
      <c r="L3401" s="10">
        <v>1</v>
      </c>
      <c r="O3401" s="6"/>
      <c r="Q3401" s="42" t="s">
        <v>6870</v>
      </c>
      <c r="R3401" s="42"/>
      <c r="S3401" s="1"/>
    </row>
    <row r="3402" spans="1:19" ht="18.75" hidden="1" customHeight="1" x14ac:dyDescent="0.3">
      <c r="A3402" s="10">
        <v>3401</v>
      </c>
      <c r="B3402" s="10">
        <f>_xlfn.XLOOKUP(1,(VALUE(D3402)&gt;=VALUE(block!$C$3:$C$500))*(VALUE(D3402)&lt;VALUE(block!$C$3:$C$500)+VALUE(block!$D$3:$D$500)),block!$A$3:$A$500,"无匹配",0,1)</f>
        <v>91</v>
      </c>
      <c r="C3402" s="3" t="str">
        <f>B3402 &amp; "-" &amp; COUNTIF($B$2:B3402, B3402)</f>
        <v>91-9</v>
      </c>
      <c r="D3402" s="10">
        <v>23356</v>
      </c>
      <c r="E3402" s="1" t="s">
        <v>8237</v>
      </c>
      <c r="F3402" s="1" t="s">
        <v>8238</v>
      </c>
      <c r="G3402" s="1" t="s">
        <v>1840</v>
      </c>
      <c r="H3402" s="1" t="s">
        <v>1812</v>
      </c>
      <c r="I3402" s="10" t="str">
        <f>IF(H3402="T23",1,IF(H3402="T23",3,IF(H3402="T39",6,IF(H3402="T39",10,IF(H3402="T71",14,IF(H3402="T71",18,IF(H3402="T39",22,"")))))))</f>
        <v/>
      </c>
      <c r="J3402" s="1" t="s">
        <v>1808</v>
      </c>
      <c r="K3402" s="10">
        <v>2</v>
      </c>
      <c r="L3402" s="10">
        <v>1</v>
      </c>
      <c r="O3402" s="6"/>
      <c r="P3402" s="10">
        <v>6</v>
      </c>
      <c r="Q3402" s="42" t="s">
        <v>6870</v>
      </c>
      <c r="R3402" s="42"/>
      <c r="S3402" s="1"/>
    </row>
    <row r="3403" spans="1:19" ht="18.75" hidden="1" customHeight="1" x14ac:dyDescent="0.3">
      <c r="A3403" s="10">
        <v>3402</v>
      </c>
      <c r="B3403" s="10">
        <f>_xlfn.XLOOKUP(1,(VALUE(D3403)&gt;=VALUE(block!$C$3:$C$500))*(VALUE(D3403)&lt;VALUE(block!$C$3:$C$500)+VALUE(block!$D$3:$D$500)),block!$A$3:$A$500,"无匹配",0,1)</f>
        <v>91</v>
      </c>
      <c r="C3403" s="3" t="str">
        <f>B3403 &amp; "-" &amp; COUNTIF($B$2:B3403, B3403)</f>
        <v>91-10</v>
      </c>
      <c r="D3403" s="10">
        <v>23358</v>
      </c>
      <c r="E3403" s="1" t="s">
        <v>8239</v>
      </c>
      <c r="F3403" s="1" t="s">
        <v>8240</v>
      </c>
      <c r="H3403" s="3" t="s">
        <v>6767</v>
      </c>
      <c r="I3403" s="10" t="str">
        <f>IF(H3403="T24",1,IF(H3403="T24",3,IF(H3403="T40",6,IF(H3403="T40",10,IF(H3403="T72",14,IF(H3403="T72",18,IF(H3403="T40",22,"")))))))</f>
        <v/>
      </c>
      <c r="J3403" s="1" t="s">
        <v>1808</v>
      </c>
      <c r="K3403" s="10">
        <v>4</v>
      </c>
      <c r="L3403" s="10">
        <v>1</v>
      </c>
      <c r="O3403" s="6"/>
      <c r="Q3403" s="42" t="s">
        <v>6870</v>
      </c>
      <c r="R3403" s="42"/>
      <c r="S3403" s="1"/>
    </row>
    <row r="3404" spans="1:19" ht="18.75" hidden="1" customHeight="1" x14ac:dyDescent="0.3">
      <c r="A3404" s="10">
        <v>3403</v>
      </c>
      <c r="B3404" s="10">
        <f>_xlfn.XLOOKUP(1,(VALUE(D3404)&gt;=VALUE(block!$C$3:$C$500))*(VALUE(D3404)&lt;VALUE(block!$C$3:$C$500)+VALUE(block!$D$3:$D$500)),block!$A$3:$A$500,"无匹配",0,1)</f>
        <v>91</v>
      </c>
      <c r="C3404" s="3" t="str">
        <f>B3404 &amp; "-" &amp; COUNTIF($B$2:B3404, B3404)</f>
        <v>91-11</v>
      </c>
      <c r="D3404" s="10">
        <v>23362</v>
      </c>
      <c r="E3404" s="1" t="s">
        <v>8241</v>
      </c>
      <c r="F3404" s="1" t="s">
        <v>8242</v>
      </c>
      <c r="G3404" s="1" t="s">
        <v>1840</v>
      </c>
      <c r="H3404" s="1" t="s">
        <v>1812</v>
      </c>
      <c r="I3404" s="10" t="str">
        <f>IF(H3404="T25",1,IF(H3404="T25",3,IF(H3404="T41",6,IF(H3404="T41",10,IF(H3404="T73",14,IF(H3404="T73",18,IF(H3404="T41",22,"")))))))</f>
        <v/>
      </c>
      <c r="J3404" s="1" t="s">
        <v>1808</v>
      </c>
      <c r="K3404" s="10">
        <v>2</v>
      </c>
      <c r="L3404" s="10">
        <v>1</v>
      </c>
      <c r="O3404" s="6"/>
      <c r="P3404" s="10">
        <v>6</v>
      </c>
      <c r="Q3404" s="42" t="s">
        <v>6870</v>
      </c>
      <c r="R3404" s="42"/>
      <c r="S3404" s="1"/>
    </row>
    <row r="3405" spans="1:19" ht="18.75" hidden="1" customHeight="1" x14ac:dyDescent="0.3">
      <c r="A3405" s="10">
        <v>3404</v>
      </c>
      <c r="B3405" s="10">
        <f>_xlfn.XLOOKUP(1,(VALUE(D3405)&gt;=VALUE(block!$C$3:$C$500))*(VALUE(D3405)&lt;VALUE(block!$C$3:$C$500)+VALUE(block!$D$3:$D$500)),block!$A$3:$A$500,"无匹配",0,1)</f>
        <v>91</v>
      </c>
      <c r="C3405" s="3" t="str">
        <f>B3405 &amp; "-" &amp; COUNTIF($B$2:B3405, B3405)</f>
        <v>91-12</v>
      </c>
      <c r="D3405" s="10">
        <v>23364</v>
      </c>
      <c r="E3405" s="1" t="s">
        <v>8243</v>
      </c>
      <c r="F3405" s="1" t="s">
        <v>8244</v>
      </c>
      <c r="H3405" s="3" t="s">
        <v>6767</v>
      </c>
      <c r="I3405" s="10" t="str">
        <f>IF(H3405="T26",1,IF(H3405="T26",3,IF(H3405="T42",6,IF(H3405="T42",10,IF(H3405="T74",14,IF(H3405="T74",18,IF(H3405="T42",22,"")))))))</f>
        <v/>
      </c>
      <c r="J3405" s="1" t="s">
        <v>1808</v>
      </c>
      <c r="K3405" s="10">
        <v>4</v>
      </c>
      <c r="L3405" s="10">
        <v>1</v>
      </c>
      <c r="O3405" s="6"/>
      <c r="Q3405" s="42" t="s">
        <v>6870</v>
      </c>
      <c r="R3405" s="42"/>
      <c r="S3405" s="1"/>
    </row>
    <row r="3406" spans="1:19" ht="18.75" hidden="1" customHeight="1" x14ac:dyDescent="0.3">
      <c r="A3406" s="10">
        <v>3405</v>
      </c>
      <c r="B3406" s="10">
        <f>_xlfn.XLOOKUP(1,(VALUE(D3406)&gt;=VALUE(block!$C$3:$C$500))*(VALUE(D3406)&lt;VALUE(block!$C$3:$C$500)+VALUE(block!$D$3:$D$500)),block!$A$3:$A$500,"无匹配",0,1)</f>
        <v>91</v>
      </c>
      <c r="C3406" s="3" t="str">
        <f>B3406 &amp; "-" &amp; COUNTIF($B$2:B3406, B3406)</f>
        <v>91-13</v>
      </c>
      <c r="D3406" s="10">
        <v>23368</v>
      </c>
      <c r="E3406" s="1" t="s">
        <v>8245</v>
      </c>
      <c r="F3406" s="1" t="s">
        <v>8246</v>
      </c>
      <c r="G3406" s="1" t="s">
        <v>1830</v>
      </c>
      <c r="H3406" s="1" t="s">
        <v>1812</v>
      </c>
      <c r="I3406" s="10" t="str">
        <f>IF(H3406="T27",1,IF(H3406="T27",3,IF(H3406="T43",6,IF(H3406="T43",10,IF(H3406="T75",14,IF(H3406="T75",18,IF(H3406="T43",22,"")))))))</f>
        <v/>
      </c>
      <c r="J3406" s="1" t="s">
        <v>1808</v>
      </c>
      <c r="K3406" s="10">
        <v>2</v>
      </c>
      <c r="L3406" s="10">
        <v>1</v>
      </c>
      <c r="O3406" s="6"/>
      <c r="P3406" s="10">
        <v>6</v>
      </c>
      <c r="Q3406" s="42" t="s">
        <v>6870</v>
      </c>
      <c r="R3406" s="42"/>
      <c r="S3406" s="1"/>
    </row>
    <row r="3407" spans="1:19" ht="18.75" hidden="1" customHeight="1" x14ac:dyDescent="0.3">
      <c r="A3407" s="10">
        <v>3406</v>
      </c>
      <c r="B3407" s="10">
        <f>_xlfn.XLOOKUP(1,(VALUE(D3407)&gt;=VALUE(block!$C$3:$C$500))*(VALUE(D3407)&lt;VALUE(block!$C$3:$C$500)+VALUE(block!$D$3:$D$500)),block!$A$3:$A$500,"无匹配",0,1)</f>
        <v>91</v>
      </c>
      <c r="C3407" s="3" t="str">
        <f>B3407 &amp; "-" &amp; COUNTIF($B$2:B3407, B3407)</f>
        <v>91-14</v>
      </c>
      <c r="D3407" s="10">
        <v>23370</v>
      </c>
      <c r="E3407" s="1" t="s">
        <v>8247</v>
      </c>
      <c r="F3407" s="1" t="s">
        <v>8248</v>
      </c>
      <c r="H3407" s="3" t="s">
        <v>6767</v>
      </c>
      <c r="I3407" s="10" t="str">
        <f>IF(H3407="T28",1,IF(H3407="T28",3,IF(H3407="T44",6,IF(H3407="T44",10,IF(H3407="T76",14,IF(H3407="T76",18,IF(H3407="T44",22,"")))))))</f>
        <v/>
      </c>
      <c r="J3407" s="1" t="s">
        <v>1808</v>
      </c>
      <c r="K3407" s="10">
        <v>4</v>
      </c>
      <c r="L3407" s="10">
        <v>1</v>
      </c>
      <c r="O3407" s="6"/>
      <c r="Q3407" s="42" t="s">
        <v>6870</v>
      </c>
      <c r="R3407" s="42"/>
      <c r="S3407" s="1"/>
    </row>
    <row r="3408" spans="1:19" ht="18.75" hidden="1" customHeight="1" x14ac:dyDescent="0.3">
      <c r="A3408" s="10">
        <v>3407</v>
      </c>
      <c r="B3408" s="10">
        <f>_xlfn.XLOOKUP(1,(VALUE(D3408)&gt;=VALUE(block!$C$3:$C$500))*(VALUE(D3408)&lt;VALUE(block!$C$3:$C$500)+VALUE(block!$D$3:$D$500)),block!$A$3:$A$500,"无匹配",0,1)</f>
        <v>91</v>
      </c>
      <c r="C3408" s="3" t="str">
        <f>B3408 &amp; "-" &amp; COUNTIF($B$2:B3408, B3408)</f>
        <v>91-15</v>
      </c>
      <c r="D3408" s="10">
        <v>23374</v>
      </c>
      <c r="E3408" s="1" t="s">
        <v>8249</v>
      </c>
      <c r="F3408" s="1" t="s">
        <v>8250</v>
      </c>
      <c r="G3408" s="1" t="s">
        <v>1832</v>
      </c>
      <c r="H3408" s="1" t="s">
        <v>1812</v>
      </c>
      <c r="I3408" s="10" t="str">
        <f>IF(H3408="T29",1,IF(H3408="T29",3,IF(H3408="T45",6,IF(H3408="T45",10,IF(H3408="T77",14,IF(H3408="T77",18,IF(H3408="T45",22,"")))))))</f>
        <v/>
      </c>
      <c r="J3408" s="1" t="s">
        <v>1808</v>
      </c>
      <c r="K3408" s="10">
        <v>2</v>
      </c>
      <c r="L3408" s="10">
        <v>1</v>
      </c>
      <c r="O3408" s="6"/>
      <c r="P3408" s="10">
        <v>6</v>
      </c>
      <c r="Q3408" s="42" t="s">
        <v>6870</v>
      </c>
      <c r="R3408" s="42"/>
      <c r="S3408" s="1"/>
    </row>
    <row r="3409" spans="1:19" ht="18.75" hidden="1" customHeight="1" x14ac:dyDescent="0.3">
      <c r="A3409" s="10">
        <v>3408</v>
      </c>
      <c r="B3409" s="10">
        <f>_xlfn.XLOOKUP(1,(VALUE(D3409)&gt;=VALUE(block!$C$3:$C$500))*(VALUE(D3409)&lt;VALUE(block!$C$3:$C$500)+VALUE(block!$D$3:$D$500)),block!$A$3:$A$500,"无匹配",0,1)</f>
        <v>91</v>
      </c>
      <c r="C3409" s="3" t="str">
        <f>B3409 &amp; "-" &amp; COUNTIF($B$2:B3409, B3409)</f>
        <v>91-16</v>
      </c>
      <c r="D3409" s="10">
        <v>23376</v>
      </c>
      <c r="E3409" s="1" t="s">
        <v>8251</v>
      </c>
      <c r="F3409" s="1" t="s">
        <v>8252</v>
      </c>
      <c r="H3409" s="3" t="s">
        <v>6767</v>
      </c>
      <c r="I3409" s="10" t="str">
        <f>IF(H3409="T30",1,IF(H3409="T30",3,IF(H3409="T46",6,IF(H3409="T46",10,IF(H3409="T78",14,IF(H3409="T78",18,IF(H3409="T46",22,"")))))))</f>
        <v/>
      </c>
      <c r="J3409" s="1" t="s">
        <v>1808</v>
      </c>
      <c r="K3409" s="10">
        <v>4</v>
      </c>
      <c r="L3409" s="10">
        <v>1</v>
      </c>
      <c r="O3409" s="6"/>
      <c r="Q3409" s="42" t="s">
        <v>6870</v>
      </c>
      <c r="R3409" s="42"/>
      <c r="S3409" s="1"/>
    </row>
    <row r="3410" spans="1:19" ht="18.75" hidden="1" customHeight="1" x14ac:dyDescent="0.3">
      <c r="A3410" s="10">
        <v>3409</v>
      </c>
      <c r="B3410" s="10">
        <f>_xlfn.XLOOKUP(1,(VALUE(D3410)&gt;=VALUE(block!$C$3:$C$500))*(VALUE(D3410)&lt;VALUE(block!$C$3:$C$500)+VALUE(block!$D$3:$D$500)),block!$A$3:$A$500,"无匹配",0,1)</f>
        <v>91</v>
      </c>
      <c r="C3410" s="3" t="str">
        <f>B3410 &amp; "-" &amp; COUNTIF($B$2:B3410, B3410)</f>
        <v>91-17</v>
      </c>
      <c r="D3410" s="10">
        <v>23380</v>
      </c>
      <c r="E3410" s="1" t="s">
        <v>8253</v>
      </c>
      <c r="F3410" s="1" t="s">
        <v>8254</v>
      </c>
      <c r="G3410" s="1" t="s">
        <v>1834</v>
      </c>
      <c r="H3410" s="1" t="s">
        <v>1812</v>
      </c>
      <c r="I3410" s="10" t="str">
        <f>IF(H3410="T31",1,IF(H3410="T31",3,IF(H3410="T47",6,IF(H3410="T47",10,IF(H3410="T79",14,IF(H3410="T79",18,IF(H3410="T47",22,"")))))))</f>
        <v/>
      </c>
      <c r="J3410" s="1" t="s">
        <v>1808</v>
      </c>
      <c r="K3410" s="10">
        <v>2</v>
      </c>
      <c r="L3410" s="10">
        <v>1</v>
      </c>
      <c r="O3410" s="6"/>
      <c r="P3410" s="10">
        <v>6</v>
      </c>
      <c r="Q3410" s="42" t="s">
        <v>6870</v>
      </c>
      <c r="R3410" s="42"/>
      <c r="S3410" s="1"/>
    </row>
    <row r="3411" spans="1:19" ht="18.75" hidden="1" customHeight="1" x14ac:dyDescent="0.3">
      <c r="A3411" s="10">
        <v>3410</v>
      </c>
      <c r="B3411" s="10">
        <f>_xlfn.XLOOKUP(1,(VALUE(D3411)&gt;=VALUE(block!$C$3:$C$500))*(VALUE(D3411)&lt;VALUE(block!$C$3:$C$500)+VALUE(block!$D$3:$D$500)),block!$A$3:$A$500,"无匹配",0,1)</f>
        <v>91</v>
      </c>
      <c r="C3411" s="3" t="str">
        <f>B3411 &amp; "-" &amp; COUNTIF($B$2:B3411, B3411)</f>
        <v>91-18</v>
      </c>
      <c r="D3411" s="10">
        <v>23382</v>
      </c>
      <c r="E3411" s="1" t="s">
        <v>8255</v>
      </c>
      <c r="F3411" s="1" t="s">
        <v>8256</v>
      </c>
      <c r="H3411" s="3" t="s">
        <v>6767</v>
      </c>
      <c r="I3411" s="10" t="str">
        <f>IF(H3411="T32",1,IF(H3411="T32",3,IF(H3411="T48",6,IF(H3411="T48",10,IF(H3411="T80",14,IF(H3411="T80",18,IF(H3411="T48",22,"")))))))</f>
        <v/>
      </c>
      <c r="J3411" s="1" t="s">
        <v>1808</v>
      </c>
      <c r="K3411" s="10">
        <v>4</v>
      </c>
      <c r="L3411" s="10">
        <v>1</v>
      </c>
      <c r="O3411" s="6"/>
      <c r="Q3411" s="42" t="s">
        <v>6870</v>
      </c>
      <c r="R3411" s="42"/>
      <c r="S3411" s="1"/>
    </row>
    <row r="3412" spans="1:19" ht="18.75" hidden="1" customHeight="1" x14ac:dyDescent="0.3">
      <c r="A3412" s="10">
        <v>3411</v>
      </c>
      <c r="B3412" s="10">
        <f>_xlfn.XLOOKUP(1,(VALUE(D3412)&gt;=VALUE(block!$C$3:$C$500))*(VALUE(D3412)&lt;VALUE(block!$C$3:$C$500)+VALUE(block!$D$3:$D$500)),block!$A$3:$A$500,"无匹配",0,1)</f>
        <v>91</v>
      </c>
      <c r="C3412" s="3" t="str">
        <f>B3412 &amp; "-" &amp; COUNTIF($B$2:B3412, B3412)</f>
        <v>91-19</v>
      </c>
      <c r="D3412" s="10">
        <v>23386</v>
      </c>
      <c r="E3412" s="1" t="s">
        <v>8257</v>
      </c>
      <c r="F3412" s="1" t="s">
        <v>8258</v>
      </c>
      <c r="G3412" s="1" t="s">
        <v>1836</v>
      </c>
      <c r="H3412" s="1" t="s">
        <v>1812</v>
      </c>
      <c r="I3412" s="10" t="str">
        <f>IF(H3412="T33",1,IF(H3412="T33",3,IF(H3412="T49",6,IF(H3412="T49",10,IF(H3412="T81",14,IF(H3412="T81",18,IF(H3412="T49",22,"")))))))</f>
        <v/>
      </c>
      <c r="J3412" s="1" t="s">
        <v>1808</v>
      </c>
      <c r="K3412" s="10">
        <v>2</v>
      </c>
      <c r="L3412" s="10">
        <v>1</v>
      </c>
      <c r="O3412" s="6"/>
      <c r="P3412" s="10">
        <v>6</v>
      </c>
      <c r="Q3412" s="42" t="s">
        <v>6870</v>
      </c>
      <c r="R3412" s="42"/>
      <c r="S3412" s="1"/>
    </row>
    <row r="3413" spans="1:19" ht="18.75" hidden="1" customHeight="1" x14ac:dyDescent="0.3">
      <c r="A3413" s="10">
        <v>3412</v>
      </c>
      <c r="B3413" s="10">
        <f>_xlfn.XLOOKUP(1,(VALUE(D3413)&gt;=VALUE(block!$C$3:$C$500))*(VALUE(D3413)&lt;VALUE(block!$C$3:$C$500)+VALUE(block!$D$3:$D$500)),block!$A$3:$A$500,"无匹配",0,1)</f>
        <v>91</v>
      </c>
      <c r="C3413" s="3" t="str">
        <f>B3413 &amp; "-" &amp; COUNTIF($B$2:B3413, B3413)</f>
        <v>91-20</v>
      </c>
      <c r="D3413" s="10">
        <v>23388</v>
      </c>
      <c r="E3413" s="1" t="s">
        <v>8259</v>
      </c>
      <c r="F3413" s="1" t="s">
        <v>8260</v>
      </c>
      <c r="H3413" s="3" t="s">
        <v>6767</v>
      </c>
      <c r="I3413" s="10" t="str">
        <f>IF(H3413="T34",1,IF(H3413="T34",3,IF(H3413="T50",6,IF(H3413="T50",10,IF(H3413="T82",14,IF(H3413="T82",18,IF(H3413="T50",22,"")))))))</f>
        <v/>
      </c>
      <c r="J3413" s="1" t="s">
        <v>1808</v>
      </c>
      <c r="K3413" s="10">
        <v>4</v>
      </c>
      <c r="L3413" s="10">
        <v>1</v>
      </c>
      <c r="O3413" s="6"/>
      <c r="Q3413" s="42" t="s">
        <v>6870</v>
      </c>
      <c r="R3413" s="42"/>
      <c r="S3413" s="1"/>
    </row>
    <row r="3414" spans="1:19" ht="18.75" hidden="1" customHeight="1" x14ac:dyDescent="0.3">
      <c r="A3414" s="10">
        <v>3413</v>
      </c>
      <c r="B3414" s="10">
        <f>_xlfn.XLOOKUP(1,(VALUE(D3414)&gt;=VALUE(block!$C$3:$C$500))*(VALUE(D3414)&lt;VALUE(block!$C$3:$C$500)+VALUE(block!$D$3:$D$500)),block!$A$3:$A$500,"无匹配",0,1)</f>
        <v>91</v>
      </c>
      <c r="C3414" s="3" t="str">
        <f>B3414 &amp; "-" &amp; COUNTIF($B$2:B3414, B3414)</f>
        <v>91-21</v>
      </c>
      <c r="D3414" s="10">
        <v>23392</v>
      </c>
      <c r="E3414" s="1" t="s">
        <v>8261</v>
      </c>
      <c r="F3414" s="1" t="s">
        <v>8262</v>
      </c>
      <c r="G3414" s="1" t="s">
        <v>1840</v>
      </c>
      <c r="H3414" s="1" t="s">
        <v>1812</v>
      </c>
      <c r="I3414" s="10" t="str">
        <f>IF(H3414="T35",1,IF(H3414="T35",3,IF(H3414="T51",6,IF(H3414="T51",10,IF(H3414="T83",14,IF(H3414="T83",18,IF(H3414="T51",22,"")))))))</f>
        <v/>
      </c>
      <c r="J3414" s="1" t="s">
        <v>1808</v>
      </c>
      <c r="K3414" s="10">
        <v>2</v>
      </c>
      <c r="L3414" s="10">
        <v>1</v>
      </c>
      <c r="O3414" s="6"/>
      <c r="P3414" s="10">
        <v>6</v>
      </c>
      <c r="Q3414" s="42" t="s">
        <v>6870</v>
      </c>
      <c r="R3414" s="42"/>
      <c r="S3414" s="1"/>
    </row>
    <row r="3415" spans="1:19" ht="18.75" hidden="1" customHeight="1" x14ac:dyDescent="0.3">
      <c r="A3415" s="10">
        <v>3414</v>
      </c>
      <c r="B3415" s="10">
        <f>_xlfn.XLOOKUP(1,(VALUE(D3415)&gt;=VALUE(block!$C$3:$C$500))*(VALUE(D3415)&lt;VALUE(block!$C$3:$C$500)+VALUE(block!$D$3:$D$500)),block!$A$3:$A$500,"无匹配",0,1)</f>
        <v>91</v>
      </c>
      <c r="C3415" s="3" t="str">
        <f>B3415 &amp; "-" &amp; COUNTIF($B$2:B3415, B3415)</f>
        <v>91-22</v>
      </c>
      <c r="D3415" s="10">
        <v>23394</v>
      </c>
      <c r="E3415" s="1" t="s">
        <v>8263</v>
      </c>
      <c r="F3415" s="1" t="s">
        <v>8264</v>
      </c>
      <c r="H3415" s="3" t="s">
        <v>6767</v>
      </c>
      <c r="I3415" s="10" t="str">
        <f>IF(H3415="T36",1,IF(H3415="T36",3,IF(H3415="T52",6,IF(H3415="T52",10,IF(H3415="T84",14,IF(H3415="T84",18,IF(H3415="T52",22,"")))))))</f>
        <v/>
      </c>
      <c r="J3415" s="1" t="s">
        <v>1808</v>
      </c>
      <c r="K3415" s="10">
        <v>4</v>
      </c>
      <c r="L3415" s="10">
        <v>1</v>
      </c>
      <c r="O3415" s="6"/>
      <c r="Q3415" s="42" t="s">
        <v>6870</v>
      </c>
      <c r="R3415" s="42"/>
      <c r="S3415" s="1"/>
    </row>
    <row r="3416" spans="1:19" ht="18.75" hidden="1" customHeight="1" x14ac:dyDescent="0.3">
      <c r="A3416" s="10">
        <v>3415</v>
      </c>
      <c r="B3416" s="10">
        <f>_xlfn.XLOOKUP(1,(VALUE(D3416)&gt;=VALUE(block!$C$3:$C$500))*(VALUE(D3416)&lt;VALUE(block!$C$3:$C$500)+VALUE(block!$D$3:$D$500)),block!$A$3:$A$500,"无匹配",0,1)</f>
        <v>91</v>
      </c>
      <c r="C3416" s="3" t="str">
        <f>B3416 &amp; "-" &amp; COUNTIF($B$2:B3416, B3416)</f>
        <v>91-23</v>
      </c>
      <c r="D3416" s="10">
        <v>23398</v>
      </c>
      <c r="E3416" s="1" t="s">
        <v>8265</v>
      </c>
      <c r="F3416" s="1" t="s">
        <v>8266</v>
      </c>
      <c r="G3416" s="1" t="s">
        <v>1840</v>
      </c>
      <c r="H3416" s="1" t="s">
        <v>1812</v>
      </c>
      <c r="I3416" s="10" t="str">
        <f>IF(H3416="T37",1,IF(H3416="T37",3,IF(H3416="T53",6,IF(H3416="T53",10,IF(H3416="T85",14,IF(H3416="T85",18,IF(H3416="T53",22,"")))))))</f>
        <v/>
      </c>
      <c r="J3416" s="1" t="s">
        <v>1808</v>
      </c>
      <c r="K3416" s="10">
        <v>2</v>
      </c>
      <c r="L3416" s="10">
        <v>1</v>
      </c>
      <c r="O3416" s="6"/>
      <c r="P3416" s="10">
        <v>6</v>
      </c>
      <c r="Q3416" s="42" t="s">
        <v>6870</v>
      </c>
      <c r="R3416" s="42"/>
      <c r="S3416" s="1"/>
    </row>
    <row r="3417" spans="1:19" ht="18.75" hidden="1" customHeight="1" x14ac:dyDescent="0.3">
      <c r="A3417" s="10">
        <v>3416</v>
      </c>
      <c r="B3417" s="10">
        <f>_xlfn.XLOOKUP(1,(VALUE(D3417)&gt;=VALUE(block!$C$3:$C$500))*(VALUE(D3417)&lt;VALUE(block!$C$3:$C$500)+VALUE(block!$D$3:$D$500)),block!$A$3:$A$500,"无匹配",0,1)</f>
        <v>91</v>
      </c>
      <c r="C3417" s="3" t="str">
        <f>B3417 &amp; "-" &amp; COUNTIF($B$2:B3417, B3417)</f>
        <v>91-24</v>
      </c>
      <c r="D3417" s="10">
        <v>23400</v>
      </c>
      <c r="E3417" s="1" t="s">
        <v>8267</v>
      </c>
      <c r="F3417" s="1" t="s">
        <v>8268</v>
      </c>
      <c r="H3417" s="3" t="s">
        <v>6767</v>
      </c>
      <c r="I3417" s="10" t="str">
        <f>IF(H3417="T38",1,IF(H3417="T38",3,IF(H3417="T54",6,IF(H3417="T54",10,IF(H3417="T86",14,IF(H3417="T86",18,IF(H3417="T54",22,"")))))))</f>
        <v/>
      </c>
      <c r="J3417" s="1" t="s">
        <v>1808</v>
      </c>
      <c r="K3417" s="10">
        <v>4</v>
      </c>
      <c r="L3417" s="10">
        <v>1</v>
      </c>
      <c r="O3417" s="6"/>
      <c r="Q3417" s="42" t="s">
        <v>6870</v>
      </c>
      <c r="R3417" s="42"/>
      <c r="S3417" s="1"/>
    </row>
    <row r="3418" spans="1:19" ht="18.75" hidden="1" customHeight="1" x14ac:dyDescent="0.3">
      <c r="A3418" s="10">
        <v>3417</v>
      </c>
      <c r="B3418" s="10">
        <f>_xlfn.XLOOKUP(1,(VALUE(D3418)&gt;=VALUE(block!$C$3:$C$500))*(VALUE(D3418)&lt;VALUE(block!$C$3:$C$500)+VALUE(block!$D$3:$D$500)),block!$A$3:$A$500,"无匹配",0,1)</f>
        <v>91</v>
      </c>
      <c r="C3418" s="3" t="str">
        <f>B3418 &amp; "-" &amp; COUNTIF($B$2:B3418, B3418)</f>
        <v>91-25</v>
      </c>
      <c r="D3418" s="10">
        <v>23404</v>
      </c>
      <c r="E3418" s="1" t="s">
        <v>8269</v>
      </c>
      <c r="F3418" s="1" t="s">
        <v>8270</v>
      </c>
      <c r="G3418" s="1" t="s">
        <v>1830</v>
      </c>
      <c r="H3418" s="1" t="s">
        <v>1812</v>
      </c>
      <c r="I3418" s="10" t="str">
        <f>IF(H3418="T39",1,IF(H3418="T39",3,IF(H3418="T55",6,IF(H3418="T55",10,IF(H3418="T87",14,IF(H3418="T87",18,IF(H3418="T55",22,"")))))))</f>
        <v/>
      </c>
      <c r="J3418" s="1" t="s">
        <v>1808</v>
      </c>
      <c r="K3418" s="10">
        <v>2</v>
      </c>
      <c r="L3418" s="10">
        <v>1</v>
      </c>
      <c r="O3418" s="6"/>
      <c r="P3418" s="10">
        <v>6</v>
      </c>
      <c r="Q3418" s="42" t="s">
        <v>6870</v>
      </c>
      <c r="R3418" s="42"/>
      <c r="S3418" s="1"/>
    </row>
    <row r="3419" spans="1:19" ht="18.75" hidden="1" customHeight="1" x14ac:dyDescent="0.3">
      <c r="A3419" s="10">
        <v>3418</v>
      </c>
      <c r="B3419" s="10">
        <f>_xlfn.XLOOKUP(1,(VALUE(D3419)&gt;=VALUE(block!$C$3:$C$500))*(VALUE(D3419)&lt;VALUE(block!$C$3:$C$500)+VALUE(block!$D$3:$D$500)),block!$A$3:$A$500,"无匹配",0,1)</f>
        <v>91</v>
      </c>
      <c r="C3419" s="3" t="str">
        <f>B3419 &amp; "-" &amp; COUNTIF($B$2:B3419, B3419)</f>
        <v>91-26</v>
      </c>
      <c r="D3419" s="10">
        <v>23406</v>
      </c>
      <c r="E3419" s="1" t="s">
        <v>8271</v>
      </c>
      <c r="F3419" s="1" t="s">
        <v>8272</v>
      </c>
      <c r="H3419" s="3" t="s">
        <v>6767</v>
      </c>
      <c r="I3419" s="10" t="str">
        <f>IF(H3419="T40",1,IF(H3419="T40",3,IF(H3419="T56",6,IF(H3419="T56",10,IF(H3419="T88",14,IF(H3419="T88",18,IF(H3419="T56",22,"")))))))</f>
        <v/>
      </c>
      <c r="J3419" s="1" t="s">
        <v>1808</v>
      </c>
      <c r="K3419" s="10">
        <v>4</v>
      </c>
      <c r="L3419" s="10">
        <v>1</v>
      </c>
      <c r="O3419" s="6"/>
      <c r="Q3419" s="42" t="s">
        <v>6870</v>
      </c>
      <c r="R3419" s="42"/>
      <c r="S3419" s="1"/>
    </row>
    <row r="3420" spans="1:19" ht="18.75" hidden="1" customHeight="1" x14ac:dyDescent="0.3">
      <c r="A3420" s="10">
        <v>3419</v>
      </c>
      <c r="B3420" s="10">
        <f>_xlfn.XLOOKUP(1,(VALUE(D3420)&gt;=VALUE(block!$C$3:$C$500))*(VALUE(D3420)&lt;VALUE(block!$C$3:$C$500)+VALUE(block!$D$3:$D$500)),block!$A$3:$A$500,"无匹配",0,1)</f>
        <v>91</v>
      </c>
      <c r="C3420" s="3" t="str">
        <f>B3420 &amp; "-" &amp; COUNTIF($B$2:B3420, B3420)</f>
        <v>91-27</v>
      </c>
      <c r="D3420" s="10">
        <v>23410</v>
      </c>
      <c r="E3420" s="1" t="s">
        <v>8273</v>
      </c>
      <c r="F3420" s="1" t="s">
        <v>8274</v>
      </c>
      <c r="G3420" s="1" t="s">
        <v>1832</v>
      </c>
      <c r="H3420" s="1" t="s">
        <v>1812</v>
      </c>
      <c r="I3420" s="10" t="str">
        <f>IF(H3420="T41",1,IF(H3420="T41",3,IF(H3420="T57",6,IF(H3420="T57",10,IF(H3420="T89",14,IF(H3420="T89",18,IF(H3420="T57",22,"")))))))</f>
        <v/>
      </c>
      <c r="J3420" s="1" t="s">
        <v>1808</v>
      </c>
      <c r="K3420" s="10">
        <v>2</v>
      </c>
      <c r="L3420" s="10">
        <v>1</v>
      </c>
      <c r="O3420" s="6"/>
      <c r="P3420" s="10">
        <v>6</v>
      </c>
      <c r="Q3420" s="42" t="s">
        <v>6870</v>
      </c>
      <c r="R3420" s="42"/>
      <c r="S3420" s="1"/>
    </row>
    <row r="3421" spans="1:19" ht="18.75" hidden="1" customHeight="1" x14ac:dyDescent="0.3">
      <c r="A3421" s="10">
        <v>3420</v>
      </c>
      <c r="B3421" s="10">
        <f>_xlfn.XLOOKUP(1,(VALUE(D3421)&gt;=VALUE(block!$C$3:$C$500))*(VALUE(D3421)&lt;VALUE(block!$C$3:$C$500)+VALUE(block!$D$3:$D$500)),block!$A$3:$A$500,"无匹配",0,1)</f>
        <v>91</v>
      </c>
      <c r="C3421" s="3" t="str">
        <f>B3421 &amp; "-" &amp; COUNTIF($B$2:B3421, B3421)</f>
        <v>91-28</v>
      </c>
      <c r="D3421" s="10">
        <v>23412</v>
      </c>
      <c r="E3421" s="1" t="s">
        <v>8275</v>
      </c>
      <c r="F3421" s="1" t="s">
        <v>8276</v>
      </c>
      <c r="H3421" s="3" t="s">
        <v>6767</v>
      </c>
      <c r="I3421" s="10" t="str">
        <f>IF(H3421="T42",1,IF(H3421="T42",3,IF(H3421="T58",6,IF(H3421="T58",10,IF(H3421="T90",14,IF(H3421="T90",18,IF(H3421="T58",22,"")))))))</f>
        <v/>
      </c>
      <c r="J3421" s="1" t="s">
        <v>1808</v>
      </c>
      <c r="K3421" s="10">
        <v>4</v>
      </c>
      <c r="L3421" s="10">
        <v>1</v>
      </c>
      <c r="O3421" s="6"/>
      <c r="Q3421" s="42" t="s">
        <v>6870</v>
      </c>
      <c r="R3421" s="42"/>
      <c r="S3421" s="1"/>
    </row>
    <row r="3422" spans="1:19" ht="18.75" hidden="1" customHeight="1" x14ac:dyDescent="0.3">
      <c r="A3422" s="10">
        <v>3421</v>
      </c>
      <c r="B3422" s="10">
        <f>_xlfn.XLOOKUP(1,(VALUE(D3422)&gt;=VALUE(block!$C$3:$C$500))*(VALUE(D3422)&lt;VALUE(block!$C$3:$C$500)+VALUE(block!$D$3:$D$500)),block!$A$3:$A$500,"无匹配",0,1)</f>
        <v>91</v>
      </c>
      <c r="C3422" s="3" t="str">
        <f>B3422 &amp; "-" &amp; COUNTIF($B$2:B3422, B3422)</f>
        <v>91-29</v>
      </c>
      <c r="D3422" s="10">
        <v>23416</v>
      </c>
      <c r="E3422" s="1" t="s">
        <v>8277</v>
      </c>
      <c r="F3422" s="1" t="s">
        <v>8278</v>
      </c>
      <c r="G3422" s="1" t="s">
        <v>1834</v>
      </c>
      <c r="H3422" s="1" t="s">
        <v>1812</v>
      </c>
      <c r="I3422" s="10" t="str">
        <f>IF(H3422="T43",1,IF(H3422="T43",3,IF(H3422="T59",6,IF(H3422="T59",10,IF(H3422="T91",14,IF(H3422="T91",18,IF(H3422="T59",22,"")))))))</f>
        <v/>
      </c>
      <c r="J3422" s="1" t="s">
        <v>1808</v>
      </c>
      <c r="K3422" s="10">
        <v>2</v>
      </c>
      <c r="L3422" s="10">
        <v>1</v>
      </c>
      <c r="O3422" s="6"/>
      <c r="P3422" s="10">
        <v>6</v>
      </c>
      <c r="Q3422" s="42" t="s">
        <v>6870</v>
      </c>
      <c r="R3422" s="42"/>
      <c r="S3422" s="1"/>
    </row>
    <row r="3423" spans="1:19" ht="18.75" hidden="1" customHeight="1" x14ac:dyDescent="0.3">
      <c r="A3423" s="10">
        <v>3422</v>
      </c>
      <c r="B3423" s="10">
        <f>_xlfn.XLOOKUP(1,(VALUE(D3423)&gt;=VALUE(block!$C$3:$C$500))*(VALUE(D3423)&lt;VALUE(block!$C$3:$C$500)+VALUE(block!$D$3:$D$500)),block!$A$3:$A$500,"无匹配",0,1)</f>
        <v>91</v>
      </c>
      <c r="C3423" s="3" t="str">
        <f>B3423 &amp; "-" &amp; COUNTIF($B$2:B3423, B3423)</f>
        <v>91-30</v>
      </c>
      <c r="D3423" s="10">
        <v>23418</v>
      </c>
      <c r="E3423" s="1" t="s">
        <v>8279</v>
      </c>
      <c r="F3423" s="1" t="s">
        <v>8280</v>
      </c>
      <c r="H3423" s="3" t="s">
        <v>6767</v>
      </c>
      <c r="I3423" s="10" t="str">
        <f>IF(H3423="T44",1,IF(H3423="T44",3,IF(H3423="T60",6,IF(H3423="T60",10,IF(H3423="T92",14,IF(H3423="T92",18,IF(H3423="T60",22,"")))))))</f>
        <v/>
      </c>
      <c r="J3423" s="1" t="s">
        <v>1808</v>
      </c>
      <c r="K3423" s="10">
        <v>4</v>
      </c>
      <c r="L3423" s="10">
        <v>1</v>
      </c>
      <c r="O3423" s="6"/>
      <c r="Q3423" s="42" t="s">
        <v>6870</v>
      </c>
      <c r="R3423" s="42"/>
      <c r="S3423" s="1"/>
    </row>
    <row r="3424" spans="1:19" ht="18.75" hidden="1" customHeight="1" x14ac:dyDescent="0.3">
      <c r="A3424" s="10">
        <v>3423</v>
      </c>
      <c r="B3424" s="10">
        <f>_xlfn.XLOOKUP(1,(VALUE(D3424)&gt;=VALUE(block!$C$3:$C$500))*(VALUE(D3424)&lt;VALUE(block!$C$3:$C$500)+VALUE(block!$D$3:$D$500)),block!$A$3:$A$500,"无匹配",0,1)</f>
        <v>91</v>
      </c>
      <c r="C3424" s="3" t="str">
        <f>B3424 &amp; "-" &amp; COUNTIF($B$2:B3424, B3424)</f>
        <v>91-31</v>
      </c>
      <c r="D3424" s="10">
        <v>23422</v>
      </c>
      <c r="E3424" s="1" t="s">
        <v>8281</v>
      </c>
      <c r="F3424" s="1" t="s">
        <v>8282</v>
      </c>
      <c r="G3424" s="1" t="s">
        <v>1836</v>
      </c>
      <c r="H3424" s="1" t="s">
        <v>1812</v>
      </c>
      <c r="I3424" s="10" t="str">
        <f>IF(H3424="T45",1,IF(H3424="T45",3,IF(H3424="T61",6,IF(H3424="T61",10,IF(H3424="T93",14,IF(H3424="T93",18,IF(H3424="T61",22,"")))))))</f>
        <v/>
      </c>
      <c r="J3424" s="1" t="s">
        <v>1808</v>
      </c>
      <c r="K3424" s="10">
        <v>2</v>
      </c>
      <c r="L3424" s="10">
        <v>1</v>
      </c>
      <c r="O3424" s="6"/>
      <c r="P3424" s="10">
        <v>6</v>
      </c>
      <c r="Q3424" s="42" t="s">
        <v>6870</v>
      </c>
      <c r="R3424" s="42"/>
      <c r="S3424" s="1"/>
    </row>
    <row r="3425" spans="1:19" ht="18.75" hidden="1" customHeight="1" x14ac:dyDescent="0.3">
      <c r="A3425" s="10">
        <v>3424</v>
      </c>
      <c r="B3425" s="10">
        <f>_xlfn.XLOOKUP(1,(VALUE(D3425)&gt;=VALUE(block!$C$3:$C$500))*(VALUE(D3425)&lt;VALUE(block!$C$3:$C$500)+VALUE(block!$D$3:$D$500)),block!$A$3:$A$500,"无匹配",0,1)</f>
        <v>91</v>
      </c>
      <c r="C3425" s="3" t="str">
        <f>B3425 &amp; "-" &amp; COUNTIF($B$2:B3425, B3425)</f>
        <v>91-32</v>
      </c>
      <c r="D3425" s="10">
        <v>23424</v>
      </c>
      <c r="E3425" s="1" t="s">
        <v>8283</v>
      </c>
      <c r="F3425" s="1" t="s">
        <v>8284</v>
      </c>
      <c r="H3425" s="3" t="s">
        <v>6767</v>
      </c>
      <c r="I3425" s="10" t="str">
        <f>IF(H3425="T46",1,IF(H3425="T46",3,IF(H3425="T62",6,IF(H3425="T62",10,IF(H3425="T94",14,IF(H3425="T94",18,IF(H3425="T62",22,"")))))))</f>
        <v/>
      </c>
      <c r="J3425" s="1" t="s">
        <v>1808</v>
      </c>
      <c r="K3425" s="10">
        <v>4</v>
      </c>
      <c r="L3425" s="10">
        <v>1</v>
      </c>
      <c r="O3425" s="6"/>
      <c r="Q3425" s="42" t="s">
        <v>6870</v>
      </c>
      <c r="R3425" s="42"/>
      <c r="S3425" s="1"/>
    </row>
    <row r="3426" spans="1:19" ht="18.75" hidden="1" customHeight="1" x14ac:dyDescent="0.3">
      <c r="A3426" s="10">
        <v>3425</v>
      </c>
      <c r="B3426" s="10">
        <f>_xlfn.XLOOKUP(1,(VALUE(D3426)&gt;=VALUE(block!$C$3:$C$500))*(VALUE(D3426)&lt;VALUE(block!$C$3:$C$500)+VALUE(block!$D$3:$D$500)),block!$A$3:$A$500,"无匹配",0,1)</f>
        <v>91</v>
      </c>
      <c r="C3426" s="3" t="str">
        <f>B3426 &amp; "-" &amp; COUNTIF($B$2:B3426, B3426)</f>
        <v>91-33</v>
      </c>
      <c r="D3426" s="10">
        <v>23428</v>
      </c>
      <c r="E3426" s="1" t="s">
        <v>8285</v>
      </c>
      <c r="F3426" s="1" t="s">
        <v>8286</v>
      </c>
      <c r="G3426" s="1" t="s">
        <v>1840</v>
      </c>
      <c r="H3426" s="1" t="s">
        <v>1812</v>
      </c>
      <c r="I3426" s="10" t="str">
        <f>IF(H3426="T47",1,IF(H3426="T47",3,IF(H3426="T63",6,IF(H3426="T63",10,IF(H3426="T95",14,IF(H3426="T95",18,IF(H3426="T63",22,"")))))))</f>
        <v/>
      </c>
      <c r="J3426" s="1" t="s">
        <v>1808</v>
      </c>
      <c r="K3426" s="10">
        <v>2</v>
      </c>
      <c r="L3426" s="10">
        <v>1</v>
      </c>
      <c r="O3426" s="6"/>
      <c r="P3426" s="10">
        <v>6</v>
      </c>
      <c r="Q3426" s="42" t="s">
        <v>6870</v>
      </c>
      <c r="R3426" s="42"/>
      <c r="S3426" s="1"/>
    </row>
    <row r="3427" spans="1:19" ht="18.75" hidden="1" customHeight="1" x14ac:dyDescent="0.3">
      <c r="A3427" s="10">
        <v>3426</v>
      </c>
      <c r="B3427" s="10">
        <f>_xlfn.XLOOKUP(1,(VALUE(D3427)&gt;=VALUE(block!$C$3:$C$500))*(VALUE(D3427)&lt;VALUE(block!$C$3:$C$500)+VALUE(block!$D$3:$D$500)),block!$A$3:$A$500,"无匹配",0,1)</f>
        <v>91</v>
      </c>
      <c r="C3427" s="3" t="str">
        <f>B3427 &amp; "-" &amp; COUNTIF($B$2:B3427, B3427)</f>
        <v>91-34</v>
      </c>
      <c r="D3427" s="10">
        <v>23430</v>
      </c>
      <c r="E3427" s="1" t="s">
        <v>8287</v>
      </c>
      <c r="F3427" s="1" t="s">
        <v>8288</v>
      </c>
      <c r="H3427" s="3" t="s">
        <v>6767</v>
      </c>
      <c r="I3427" s="10" t="str">
        <f>IF(H3427="T48",1,IF(H3427="T48",3,IF(H3427="T64",6,IF(H3427="T64",10,IF(H3427="T96",14,IF(H3427="T96",18,IF(H3427="T64",22,"")))))))</f>
        <v/>
      </c>
      <c r="J3427" s="1" t="s">
        <v>1808</v>
      </c>
      <c r="K3427" s="10">
        <v>4</v>
      </c>
      <c r="L3427" s="10">
        <v>1</v>
      </c>
      <c r="O3427" s="6"/>
      <c r="Q3427" s="42" t="s">
        <v>6870</v>
      </c>
      <c r="R3427" s="42"/>
      <c r="S3427" s="1"/>
    </row>
    <row r="3428" spans="1:19" ht="18.75" hidden="1" customHeight="1" x14ac:dyDescent="0.3">
      <c r="A3428" s="10">
        <v>3427</v>
      </c>
      <c r="B3428" s="10">
        <f>_xlfn.XLOOKUP(1,(VALUE(D3428)&gt;=VALUE(block!$C$3:$C$500))*(VALUE(D3428)&lt;VALUE(block!$C$3:$C$500)+VALUE(block!$D$3:$D$500)),block!$A$3:$A$500,"无匹配",0,1)</f>
        <v>91</v>
      </c>
      <c r="C3428" s="3" t="str">
        <f>B3428 &amp; "-" &amp; COUNTIF($B$2:B3428, B3428)</f>
        <v>91-35</v>
      </c>
      <c r="D3428" s="10">
        <v>23434</v>
      </c>
      <c r="E3428" s="1" t="s">
        <v>8289</v>
      </c>
      <c r="F3428" s="1" t="s">
        <v>8290</v>
      </c>
      <c r="G3428" s="1" t="s">
        <v>1840</v>
      </c>
      <c r="H3428" s="1" t="s">
        <v>1812</v>
      </c>
      <c r="I3428" s="10" t="str">
        <f>IF(H3428="T49",1,IF(H3428="T49",3,IF(H3428="T65",6,IF(H3428="T65",10,IF(H3428="T97",14,IF(H3428="T97",18,IF(H3428="T65",22,"")))))))</f>
        <v/>
      </c>
      <c r="J3428" s="1" t="s">
        <v>1808</v>
      </c>
      <c r="K3428" s="10">
        <v>2</v>
      </c>
      <c r="L3428" s="10">
        <v>1</v>
      </c>
      <c r="O3428" s="6"/>
      <c r="P3428" s="10">
        <v>6</v>
      </c>
      <c r="Q3428" s="42" t="s">
        <v>6870</v>
      </c>
      <c r="R3428" s="42"/>
      <c r="S3428" s="1"/>
    </row>
    <row r="3429" spans="1:19" ht="18.75" hidden="1" customHeight="1" x14ac:dyDescent="0.3">
      <c r="A3429" s="10">
        <v>3428</v>
      </c>
      <c r="B3429" s="10">
        <f>_xlfn.XLOOKUP(1,(VALUE(D3429)&gt;=VALUE(block!$C$3:$C$500))*(VALUE(D3429)&lt;VALUE(block!$C$3:$C$500)+VALUE(block!$D$3:$D$500)),block!$A$3:$A$500,"无匹配",0,1)</f>
        <v>91</v>
      </c>
      <c r="C3429" s="3" t="str">
        <f>B3429 &amp; "-" &amp; COUNTIF($B$2:B3429, B3429)</f>
        <v>91-36</v>
      </c>
      <c r="D3429" s="10">
        <v>23436</v>
      </c>
      <c r="E3429" s="1" t="s">
        <v>8291</v>
      </c>
      <c r="F3429" s="1" t="s">
        <v>8292</v>
      </c>
      <c r="H3429" s="3" t="s">
        <v>6767</v>
      </c>
      <c r="I3429" s="10" t="str">
        <f>IF(H3429="T50",1,IF(H3429="T50",3,IF(H3429="T66",6,IF(H3429="T66",10,IF(H3429="T98",14,IF(H3429="T98",18,IF(H3429="T66",22,"")))))))</f>
        <v/>
      </c>
      <c r="J3429" s="1" t="s">
        <v>1808</v>
      </c>
      <c r="K3429" s="10">
        <v>4</v>
      </c>
      <c r="L3429" s="10">
        <v>1</v>
      </c>
      <c r="O3429" s="6"/>
      <c r="Q3429" s="42" t="s">
        <v>6870</v>
      </c>
      <c r="R3429" s="42"/>
      <c r="S3429" s="1"/>
    </row>
    <row r="3430" spans="1:19" ht="18.75" hidden="1" customHeight="1" x14ac:dyDescent="0.3">
      <c r="A3430" s="10">
        <v>3429</v>
      </c>
      <c r="B3430" s="10">
        <f>_xlfn.XLOOKUP(1,(VALUE(D3430)&gt;=VALUE(block!$C$3:$C$500))*(VALUE(D3430)&lt;VALUE(block!$C$3:$C$500)+VALUE(block!$D$3:$D$500)),block!$A$3:$A$500,"无匹配",0,1)</f>
        <v>92</v>
      </c>
      <c r="C3430" s="3" t="str">
        <f>B3430 &amp; "-" &amp; COUNTIF($B$2:B3430, B3430)</f>
        <v>92-1</v>
      </c>
      <c r="D3430" s="10">
        <v>23440</v>
      </c>
      <c r="E3430" s="1" t="s">
        <v>8293</v>
      </c>
      <c r="F3430" s="1" t="s">
        <v>8294</v>
      </c>
      <c r="G3430" s="1" t="s">
        <v>1830</v>
      </c>
      <c r="H3430" s="1" t="s">
        <v>1812</v>
      </c>
      <c r="I3430" s="10" t="str">
        <f>IF(H3430="T51",1,IF(H3430="T51",3,IF(H3430="T67",6,IF(H3430="T67",10,IF(H3430="T99",14,IF(H3430="T99",18,IF(H3430="T67",22,"")))))))</f>
        <v/>
      </c>
      <c r="J3430" s="1" t="s">
        <v>1808</v>
      </c>
      <c r="K3430" s="10">
        <v>2</v>
      </c>
      <c r="L3430" s="10">
        <v>1</v>
      </c>
      <c r="O3430" s="6"/>
      <c r="P3430" s="10">
        <v>6</v>
      </c>
      <c r="Q3430" s="42" t="s">
        <v>6870</v>
      </c>
      <c r="R3430" s="42"/>
      <c r="S3430" s="1"/>
    </row>
    <row r="3431" spans="1:19" ht="18.75" hidden="1" customHeight="1" x14ac:dyDescent="0.3">
      <c r="A3431" s="10">
        <v>3430</v>
      </c>
      <c r="B3431" s="10">
        <f>_xlfn.XLOOKUP(1,(VALUE(D3431)&gt;=VALUE(block!$C$3:$C$500))*(VALUE(D3431)&lt;VALUE(block!$C$3:$C$500)+VALUE(block!$D$3:$D$500)),block!$A$3:$A$500,"无匹配",0,1)</f>
        <v>92</v>
      </c>
      <c r="C3431" s="3" t="str">
        <f>B3431 &amp; "-" &amp; COUNTIF($B$2:B3431, B3431)</f>
        <v>92-2</v>
      </c>
      <c r="D3431" s="10">
        <v>23442</v>
      </c>
      <c r="E3431" s="1" t="s">
        <v>8295</v>
      </c>
      <c r="F3431" s="1" t="s">
        <v>8296</v>
      </c>
      <c r="H3431" s="3" t="s">
        <v>6767</v>
      </c>
      <c r="I3431" s="10" t="str">
        <f>IF(H3431="T52",1,IF(H3431="T52",3,IF(H3431="T68",6,IF(H3431="T68",10,IF(H3431="T100",14,IF(H3431="T100",18,IF(H3431="T68",22,"")))))))</f>
        <v/>
      </c>
      <c r="J3431" s="1" t="s">
        <v>1808</v>
      </c>
      <c r="K3431" s="10">
        <v>4</v>
      </c>
      <c r="L3431" s="10">
        <v>1</v>
      </c>
      <c r="O3431" s="6"/>
      <c r="Q3431" s="42" t="s">
        <v>6870</v>
      </c>
      <c r="R3431" s="42"/>
      <c r="S3431" s="1"/>
    </row>
    <row r="3432" spans="1:19" ht="18.75" hidden="1" customHeight="1" x14ac:dyDescent="0.3">
      <c r="A3432" s="10">
        <v>3431</v>
      </c>
      <c r="B3432" s="10">
        <f>_xlfn.XLOOKUP(1,(VALUE(D3432)&gt;=VALUE(block!$C$3:$C$500))*(VALUE(D3432)&lt;VALUE(block!$C$3:$C$500)+VALUE(block!$D$3:$D$500)),block!$A$3:$A$500,"无匹配",0,1)</f>
        <v>92</v>
      </c>
      <c r="C3432" s="3" t="str">
        <f>B3432 &amp; "-" &amp; COUNTIF($B$2:B3432, B3432)</f>
        <v>92-3</v>
      </c>
      <c r="D3432" s="10">
        <v>23446</v>
      </c>
      <c r="E3432" s="1" t="s">
        <v>8297</v>
      </c>
      <c r="F3432" s="1" t="s">
        <v>8298</v>
      </c>
      <c r="G3432" s="1" t="s">
        <v>1832</v>
      </c>
      <c r="H3432" s="1" t="s">
        <v>1812</v>
      </c>
      <c r="I3432" s="10" t="str">
        <f>IF(H3432="T53",1,IF(H3432="T53",3,IF(H3432="T69",6,IF(H3432="T69",10,IF(H3432="T101",14,IF(H3432="T101",18,IF(H3432="T69",22,"")))))))</f>
        <v/>
      </c>
      <c r="J3432" s="1" t="s">
        <v>1808</v>
      </c>
      <c r="K3432" s="10">
        <v>2</v>
      </c>
      <c r="L3432" s="10">
        <v>1</v>
      </c>
      <c r="O3432" s="6"/>
      <c r="P3432" s="10">
        <v>6</v>
      </c>
      <c r="Q3432" s="42" t="s">
        <v>6870</v>
      </c>
      <c r="R3432" s="42"/>
      <c r="S3432" s="1"/>
    </row>
    <row r="3433" spans="1:19" ht="18.75" hidden="1" customHeight="1" x14ac:dyDescent="0.3">
      <c r="A3433" s="10">
        <v>3432</v>
      </c>
      <c r="B3433" s="10">
        <f>_xlfn.XLOOKUP(1,(VALUE(D3433)&gt;=VALUE(block!$C$3:$C$500))*(VALUE(D3433)&lt;VALUE(block!$C$3:$C$500)+VALUE(block!$D$3:$D$500)),block!$A$3:$A$500,"无匹配",0,1)</f>
        <v>92</v>
      </c>
      <c r="C3433" s="3" t="str">
        <f>B3433 &amp; "-" &amp; COUNTIF($B$2:B3433, B3433)</f>
        <v>92-4</v>
      </c>
      <c r="D3433" s="10">
        <v>23448</v>
      </c>
      <c r="E3433" s="1" t="s">
        <v>8299</v>
      </c>
      <c r="F3433" s="1" t="s">
        <v>8300</v>
      </c>
      <c r="H3433" s="3" t="s">
        <v>6767</v>
      </c>
      <c r="I3433" s="10" t="str">
        <f>IF(H3433="T54",1,IF(H3433="T54",3,IF(H3433="T70",6,IF(H3433="T70",10,IF(H3433="T102",14,IF(H3433="T102",18,IF(H3433="T70",22,"")))))))</f>
        <v/>
      </c>
      <c r="J3433" s="1" t="s">
        <v>1808</v>
      </c>
      <c r="K3433" s="10">
        <v>4</v>
      </c>
      <c r="L3433" s="10">
        <v>1</v>
      </c>
      <c r="O3433" s="6"/>
      <c r="Q3433" s="42" t="s">
        <v>6870</v>
      </c>
      <c r="R3433" s="42"/>
      <c r="S3433" s="1"/>
    </row>
    <row r="3434" spans="1:19" ht="18.75" hidden="1" customHeight="1" x14ac:dyDescent="0.3">
      <c r="A3434" s="10">
        <v>3433</v>
      </c>
      <c r="B3434" s="10">
        <f>_xlfn.XLOOKUP(1,(VALUE(D3434)&gt;=VALUE(block!$C$3:$C$500))*(VALUE(D3434)&lt;VALUE(block!$C$3:$C$500)+VALUE(block!$D$3:$D$500)),block!$A$3:$A$500,"无匹配",0,1)</f>
        <v>92</v>
      </c>
      <c r="C3434" s="3" t="str">
        <f>B3434 &amp; "-" &amp; COUNTIF($B$2:B3434, B3434)</f>
        <v>92-5</v>
      </c>
      <c r="D3434" s="10">
        <v>23452</v>
      </c>
      <c r="E3434" s="1" t="s">
        <v>8301</v>
      </c>
      <c r="F3434" s="1" t="s">
        <v>8302</v>
      </c>
      <c r="G3434" s="1" t="s">
        <v>1834</v>
      </c>
      <c r="H3434" s="1" t="s">
        <v>1812</v>
      </c>
      <c r="I3434" s="10" t="str">
        <f>IF(H3434="T55",1,IF(H3434="T55",3,IF(H3434="T71",6,IF(H3434="T71",10,IF(H3434="T103",14,IF(H3434="T103",18,IF(H3434="T71",22,"")))))))</f>
        <v/>
      </c>
      <c r="J3434" s="1" t="s">
        <v>1808</v>
      </c>
      <c r="K3434" s="10">
        <v>2</v>
      </c>
      <c r="L3434" s="10">
        <v>1</v>
      </c>
      <c r="O3434" s="6"/>
      <c r="P3434" s="10">
        <v>6</v>
      </c>
      <c r="Q3434" s="42" t="s">
        <v>6870</v>
      </c>
      <c r="R3434" s="42"/>
      <c r="S3434" s="1"/>
    </row>
    <row r="3435" spans="1:19" ht="18.75" hidden="1" customHeight="1" x14ac:dyDescent="0.3">
      <c r="A3435" s="10">
        <v>3434</v>
      </c>
      <c r="B3435" s="10">
        <f>_xlfn.XLOOKUP(1,(VALUE(D3435)&gt;=VALUE(block!$C$3:$C$500))*(VALUE(D3435)&lt;VALUE(block!$C$3:$C$500)+VALUE(block!$D$3:$D$500)),block!$A$3:$A$500,"无匹配",0,1)</f>
        <v>92</v>
      </c>
      <c r="C3435" s="3" t="str">
        <f>B3435 &amp; "-" &amp; COUNTIF($B$2:B3435, B3435)</f>
        <v>92-6</v>
      </c>
      <c r="D3435" s="10">
        <v>23454</v>
      </c>
      <c r="E3435" s="1" t="s">
        <v>8303</v>
      </c>
      <c r="F3435" s="1" t="s">
        <v>8304</v>
      </c>
      <c r="H3435" s="3" t="s">
        <v>6767</v>
      </c>
      <c r="I3435" s="10" t="str">
        <f>IF(H3435="T56",1,IF(H3435="T56",3,IF(H3435="T72",6,IF(H3435="T72",10,IF(H3435="T104",14,IF(H3435="T104",18,IF(H3435="T72",22,"")))))))</f>
        <v/>
      </c>
      <c r="J3435" s="1" t="s">
        <v>1808</v>
      </c>
      <c r="K3435" s="10">
        <v>4</v>
      </c>
      <c r="L3435" s="10">
        <v>1</v>
      </c>
      <c r="O3435" s="6"/>
      <c r="Q3435" s="42" t="s">
        <v>6870</v>
      </c>
      <c r="R3435" s="42"/>
      <c r="S3435" s="1"/>
    </row>
    <row r="3436" spans="1:19" ht="18.75" hidden="1" customHeight="1" x14ac:dyDescent="0.3">
      <c r="A3436" s="10">
        <v>3435</v>
      </c>
      <c r="B3436" s="10">
        <f>_xlfn.XLOOKUP(1,(VALUE(D3436)&gt;=VALUE(block!$C$3:$C$500))*(VALUE(D3436)&lt;VALUE(block!$C$3:$C$500)+VALUE(block!$D$3:$D$500)),block!$A$3:$A$500,"无匹配",0,1)</f>
        <v>92</v>
      </c>
      <c r="C3436" s="3" t="str">
        <f>B3436 &amp; "-" &amp; COUNTIF($B$2:B3436, B3436)</f>
        <v>92-7</v>
      </c>
      <c r="D3436" s="10">
        <v>23458</v>
      </c>
      <c r="E3436" s="1" t="s">
        <v>8305</v>
      </c>
      <c r="F3436" s="1" t="s">
        <v>8306</v>
      </c>
      <c r="G3436" s="1" t="s">
        <v>1836</v>
      </c>
      <c r="H3436" s="1" t="s">
        <v>1812</v>
      </c>
      <c r="I3436" s="10" t="str">
        <f>IF(H3436="T57",1,IF(H3436="T57",3,IF(H3436="T73",6,IF(H3436="T73",10,IF(H3436="T105",14,IF(H3436="T105",18,IF(H3436="T73",22,"")))))))</f>
        <v/>
      </c>
      <c r="J3436" s="1" t="s">
        <v>1808</v>
      </c>
      <c r="K3436" s="10">
        <v>2</v>
      </c>
      <c r="L3436" s="10">
        <v>1</v>
      </c>
      <c r="O3436" s="6"/>
      <c r="P3436" s="10">
        <v>6</v>
      </c>
      <c r="Q3436" s="42" t="s">
        <v>6870</v>
      </c>
      <c r="R3436" s="42"/>
      <c r="S3436" s="1"/>
    </row>
    <row r="3437" spans="1:19" ht="18.75" hidden="1" customHeight="1" x14ac:dyDescent="0.3">
      <c r="A3437" s="10">
        <v>3436</v>
      </c>
      <c r="B3437" s="10">
        <f>_xlfn.XLOOKUP(1,(VALUE(D3437)&gt;=VALUE(block!$C$3:$C$500))*(VALUE(D3437)&lt;VALUE(block!$C$3:$C$500)+VALUE(block!$D$3:$D$500)),block!$A$3:$A$500,"无匹配",0,1)</f>
        <v>92</v>
      </c>
      <c r="C3437" s="3" t="str">
        <f>B3437 &amp; "-" &amp; COUNTIF($B$2:B3437, B3437)</f>
        <v>92-8</v>
      </c>
      <c r="D3437" s="10">
        <v>23460</v>
      </c>
      <c r="E3437" s="1" t="s">
        <v>8307</v>
      </c>
      <c r="F3437" s="1" t="s">
        <v>8308</v>
      </c>
      <c r="H3437" s="3" t="s">
        <v>6767</v>
      </c>
      <c r="I3437" s="10" t="str">
        <f>IF(H3437="T58",1,IF(H3437="T58",3,IF(H3437="T74",6,IF(H3437="T74",10,IF(H3437="T106",14,IF(H3437="T106",18,IF(H3437="T74",22,"")))))))</f>
        <v/>
      </c>
      <c r="J3437" s="1" t="s">
        <v>1808</v>
      </c>
      <c r="K3437" s="10">
        <v>4</v>
      </c>
      <c r="L3437" s="10">
        <v>1</v>
      </c>
      <c r="O3437" s="6"/>
      <c r="Q3437" s="42" t="s">
        <v>6870</v>
      </c>
      <c r="R3437" s="42"/>
      <c r="S3437" s="1"/>
    </row>
    <row r="3438" spans="1:19" ht="18.75" hidden="1" customHeight="1" x14ac:dyDescent="0.3">
      <c r="A3438" s="10">
        <v>3437</v>
      </c>
      <c r="B3438" s="10">
        <f>_xlfn.XLOOKUP(1,(VALUE(D3438)&gt;=VALUE(block!$C$3:$C$500))*(VALUE(D3438)&lt;VALUE(block!$C$3:$C$500)+VALUE(block!$D$3:$D$500)),block!$A$3:$A$500,"无匹配",0,1)</f>
        <v>92</v>
      </c>
      <c r="C3438" s="3" t="str">
        <f>B3438 &amp; "-" &amp; COUNTIF($B$2:B3438, B3438)</f>
        <v>92-9</v>
      </c>
      <c r="D3438" s="10">
        <v>23464</v>
      </c>
      <c r="E3438" s="1" t="s">
        <v>8309</v>
      </c>
      <c r="F3438" s="1" t="s">
        <v>8310</v>
      </c>
      <c r="G3438" s="1" t="s">
        <v>1840</v>
      </c>
      <c r="H3438" s="1" t="s">
        <v>1812</v>
      </c>
      <c r="I3438" s="10" t="str">
        <f>IF(H3438="T59",1,IF(H3438="T59",3,IF(H3438="T75",6,IF(H3438="T75",10,IF(H3438="T107",14,IF(H3438="T107",18,IF(H3438="T75",22,"")))))))</f>
        <v/>
      </c>
      <c r="J3438" s="1" t="s">
        <v>1808</v>
      </c>
      <c r="K3438" s="10">
        <v>2</v>
      </c>
      <c r="L3438" s="10">
        <v>1</v>
      </c>
      <c r="O3438" s="6"/>
      <c r="P3438" s="10">
        <v>6</v>
      </c>
      <c r="Q3438" s="42" t="s">
        <v>6870</v>
      </c>
      <c r="R3438" s="42"/>
      <c r="S3438" s="1"/>
    </row>
    <row r="3439" spans="1:19" ht="18.75" hidden="1" customHeight="1" x14ac:dyDescent="0.3">
      <c r="A3439" s="10">
        <v>3438</v>
      </c>
      <c r="B3439" s="10">
        <f>_xlfn.XLOOKUP(1,(VALUE(D3439)&gt;=VALUE(block!$C$3:$C$500))*(VALUE(D3439)&lt;VALUE(block!$C$3:$C$500)+VALUE(block!$D$3:$D$500)),block!$A$3:$A$500,"无匹配",0,1)</f>
        <v>92</v>
      </c>
      <c r="C3439" s="3" t="str">
        <f>B3439 &amp; "-" &amp; COUNTIF($B$2:B3439, B3439)</f>
        <v>92-10</v>
      </c>
      <c r="D3439" s="10">
        <v>23466</v>
      </c>
      <c r="E3439" s="1" t="s">
        <v>8311</v>
      </c>
      <c r="F3439" s="1" t="s">
        <v>8312</v>
      </c>
      <c r="H3439" s="3" t="s">
        <v>6767</v>
      </c>
      <c r="I3439" s="10" t="str">
        <f>IF(H3439="T60",1,IF(H3439="T60",3,IF(H3439="T76",6,IF(H3439="T76",10,IF(H3439="T108",14,IF(H3439="T108",18,IF(H3439="T76",22,"")))))))</f>
        <v/>
      </c>
      <c r="J3439" s="1" t="s">
        <v>1808</v>
      </c>
      <c r="K3439" s="10">
        <v>4</v>
      </c>
      <c r="L3439" s="10">
        <v>1</v>
      </c>
      <c r="O3439" s="6"/>
      <c r="Q3439" s="42" t="s">
        <v>6870</v>
      </c>
      <c r="R3439" s="42"/>
      <c r="S3439" s="1"/>
    </row>
    <row r="3440" spans="1:19" ht="18.75" hidden="1" customHeight="1" x14ac:dyDescent="0.3">
      <c r="A3440" s="10">
        <v>3439</v>
      </c>
      <c r="B3440" s="10">
        <f>_xlfn.XLOOKUP(1,(VALUE(D3440)&gt;=VALUE(block!$C$3:$C$500))*(VALUE(D3440)&lt;VALUE(block!$C$3:$C$500)+VALUE(block!$D$3:$D$500)),block!$A$3:$A$500,"无匹配",0,1)</f>
        <v>92</v>
      </c>
      <c r="C3440" s="3" t="str">
        <f>B3440 &amp; "-" &amp; COUNTIF($B$2:B3440, B3440)</f>
        <v>92-11</v>
      </c>
      <c r="D3440" s="10">
        <v>23470</v>
      </c>
      <c r="E3440" s="1" t="s">
        <v>8313</v>
      </c>
      <c r="F3440" s="1" t="s">
        <v>8314</v>
      </c>
      <c r="G3440" s="1" t="s">
        <v>1840</v>
      </c>
      <c r="H3440" s="1" t="s">
        <v>1812</v>
      </c>
      <c r="I3440" s="10" t="str">
        <f>IF(H3440="T61",1,IF(H3440="T61",3,IF(H3440="T77",6,IF(H3440="T77",10,IF(H3440="T109",14,IF(H3440="T109",18,IF(H3440="T77",22,"")))))))</f>
        <v/>
      </c>
      <c r="J3440" s="1" t="s">
        <v>1808</v>
      </c>
      <c r="K3440" s="10">
        <v>2</v>
      </c>
      <c r="L3440" s="10">
        <v>1</v>
      </c>
      <c r="O3440" s="6"/>
      <c r="P3440" s="10">
        <v>6</v>
      </c>
      <c r="Q3440" s="42" t="s">
        <v>6870</v>
      </c>
      <c r="R3440" s="42"/>
      <c r="S3440" s="1"/>
    </row>
    <row r="3441" spans="1:19" ht="18.75" hidden="1" customHeight="1" x14ac:dyDescent="0.3">
      <c r="A3441" s="10">
        <v>3440</v>
      </c>
      <c r="B3441" s="10">
        <f>_xlfn.XLOOKUP(1,(VALUE(D3441)&gt;=VALUE(block!$C$3:$C$500))*(VALUE(D3441)&lt;VALUE(block!$C$3:$C$500)+VALUE(block!$D$3:$D$500)),block!$A$3:$A$500,"无匹配",0,1)</f>
        <v>92</v>
      </c>
      <c r="C3441" s="3" t="str">
        <f>B3441 &amp; "-" &amp; COUNTIF($B$2:B3441, B3441)</f>
        <v>92-12</v>
      </c>
      <c r="D3441" s="10">
        <v>23472</v>
      </c>
      <c r="E3441" s="1" t="s">
        <v>8315</v>
      </c>
      <c r="F3441" s="1" t="s">
        <v>8316</v>
      </c>
      <c r="H3441" s="3" t="s">
        <v>6767</v>
      </c>
      <c r="I3441" s="10" t="str">
        <f>IF(H3441="T62",1,IF(H3441="T62",3,IF(H3441="T78",6,IF(H3441="T78",10,IF(H3441="T110",14,IF(H3441="T110",18,IF(H3441="T78",22,"")))))))</f>
        <v/>
      </c>
      <c r="J3441" s="1" t="s">
        <v>1808</v>
      </c>
      <c r="K3441" s="10">
        <v>4</v>
      </c>
      <c r="L3441" s="10">
        <v>1</v>
      </c>
      <c r="O3441" s="6"/>
      <c r="Q3441" s="42" t="s">
        <v>6870</v>
      </c>
      <c r="R3441" s="42"/>
      <c r="S3441" s="1"/>
    </row>
    <row r="3442" spans="1:19" ht="18.75" hidden="1" customHeight="1" x14ac:dyDescent="0.3">
      <c r="A3442" s="10">
        <v>3441</v>
      </c>
      <c r="B3442" s="10">
        <f>_xlfn.XLOOKUP(1,(VALUE(D3442)&gt;=VALUE(block!$C$3:$C$500))*(VALUE(D3442)&lt;VALUE(block!$C$3:$C$500)+VALUE(block!$D$3:$D$500)),block!$A$3:$A$500,"无匹配",0,1)</f>
        <v>92</v>
      </c>
      <c r="C3442" s="3" t="str">
        <f>B3442 &amp; "-" &amp; COUNTIF($B$2:B3442, B3442)</f>
        <v>92-13</v>
      </c>
      <c r="D3442" s="10">
        <v>23476</v>
      </c>
      <c r="E3442" s="1" t="s">
        <v>8317</v>
      </c>
      <c r="F3442" s="1" t="s">
        <v>8318</v>
      </c>
      <c r="G3442" s="1" t="s">
        <v>1830</v>
      </c>
      <c r="H3442" s="1" t="s">
        <v>1812</v>
      </c>
      <c r="I3442" s="10" t="str">
        <f>IF(H3442="T63",1,IF(H3442="T63",3,IF(H3442="T79",6,IF(H3442="T79",10,IF(H3442="T111",14,IF(H3442="T111",18,IF(H3442="T79",22,"")))))))</f>
        <v/>
      </c>
      <c r="J3442" s="1" t="s">
        <v>1808</v>
      </c>
      <c r="K3442" s="10">
        <v>2</v>
      </c>
      <c r="L3442" s="10">
        <v>1</v>
      </c>
      <c r="O3442" s="6"/>
      <c r="P3442" s="10">
        <v>6</v>
      </c>
      <c r="Q3442" s="42" t="s">
        <v>6870</v>
      </c>
      <c r="R3442" s="42"/>
      <c r="S3442" s="1"/>
    </row>
    <row r="3443" spans="1:19" ht="18.75" hidden="1" customHeight="1" x14ac:dyDescent="0.3">
      <c r="A3443" s="10">
        <v>3442</v>
      </c>
      <c r="B3443" s="10">
        <f>_xlfn.XLOOKUP(1,(VALUE(D3443)&gt;=VALUE(block!$C$3:$C$500))*(VALUE(D3443)&lt;VALUE(block!$C$3:$C$500)+VALUE(block!$D$3:$D$500)),block!$A$3:$A$500,"无匹配",0,1)</f>
        <v>92</v>
      </c>
      <c r="C3443" s="3" t="str">
        <f>B3443 &amp; "-" &amp; COUNTIF($B$2:B3443, B3443)</f>
        <v>92-14</v>
      </c>
      <c r="D3443" s="10">
        <v>23478</v>
      </c>
      <c r="E3443" s="1" t="s">
        <v>8319</v>
      </c>
      <c r="F3443" s="1" t="s">
        <v>8320</v>
      </c>
      <c r="H3443" s="3" t="s">
        <v>6767</v>
      </c>
      <c r="I3443" s="10" t="str">
        <f>IF(H3443="T64",1,IF(H3443="T64",3,IF(H3443="T80",6,IF(H3443="T80",10,IF(H3443="T112",14,IF(H3443="T112",18,IF(H3443="T80",22,"")))))))</f>
        <v/>
      </c>
      <c r="J3443" s="1" t="s">
        <v>1808</v>
      </c>
      <c r="K3443" s="10">
        <v>4</v>
      </c>
      <c r="L3443" s="10">
        <v>1</v>
      </c>
      <c r="O3443" s="6"/>
      <c r="Q3443" s="42" t="s">
        <v>6870</v>
      </c>
      <c r="R3443" s="42"/>
      <c r="S3443" s="1"/>
    </row>
    <row r="3444" spans="1:19" ht="18.75" hidden="1" customHeight="1" x14ac:dyDescent="0.3">
      <c r="A3444" s="10">
        <v>3443</v>
      </c>
      <c r="B3444" s="10">
        <f>_xlfn.XLOOKUP(1,(VALUE(D3444)&gt;=VALUE(block!$C$3:$C$500))*(VALUE(D3444)&lt;VALUE(block!$C$3:$C$500)+VALUE(block!$D$3:$D$500)),block!$A$3:$A$500,"无匹配",0,1)</f>
        <v>92</v>
      </c>
      <c r="C3444" s="3" t="str">
        <f>B3444 &amp; "-" &amp; COUNTIF($B$2:B3444, B3444)</f>
        <v>92-15</v>
      </c>
      <c r="D3444" s="10">
        <v>23482</v>
      </c>
      <c r="E3444" s="1" t="s">
        <v>8321</v>
      </c>
      <c r="F3444" s="1" t="s">
        <v>8322</v>
      </c>
      <c r="G3444" s="1" t="s">
        <v>1832</v>
      </c>
      <c r="H3444" s="1" t="s">
        <v>1812</v>
      </c>
      <c r="I3444" s="10" t="str">
        <f>IF(H3444="T65",1,IF(H3444="T65",3,IF(H3444="T81",6,IF(H3444="T81",10,IF(H3444="T113",14,IF(H3444="T113",18,IF(H3444="T81",22,"")))))))</f>
        <v/>
      </c>
      <c r="J3444" s="1" t="s">
        <v>1808</v>
      </c>
      <c r="K3444" s="10">
        <v>2</v>
      </c>
      <c r="L3444" s="10">
        <v>1</v>
      </c>
      <c r="O3444" s="6"/>
      <c r="P3444" s="10">
        <v>6</v>
      </c>
      <c r="Q3444" s="42" t="s">
        <v>6870</v>
      </c>
      <c r="R3444" s="42"/>
      <c r="S3444" s="1"/>
    </row>
    <row r="3445" spans="1:19" ht="18.75" hidden="1" customHeight="1" x14ac:dyDescent="0.3">
      <c r="A3445" s="10">
        <v>3444</v>
      </c>
      <c r="B3445" s="10">
        <f>_xlfn.XLOOKUP(1,(VALUE(D3445)&gt;=VALUE(block!$C$3:$C$500))*(VALUE(D3445)&lt;VALUE(block!$C$3:$C$500)+VALUE(block!$D$3:$D$500)),block!$A$3:$A$500,"无匹配",0,1)</f>
        <v>92</v>
      </c>
      <c r="C3445" s="3" t="str">
        <f>B3445 &amp; "-" &amp; COUNTIF($B$2:B3445, B3445)</f>
        <v>92-16</v>
      </c>
      <c r="D3445" s="10">
        <v>23484</v>
      </c>
      <c r="E3445" s="1" t="s">
        <v>8323</v>
      </c>
      <c r="F3445" s="1" t="s">
        <v>8324</v>
      </c>
      <c r="H3445" s="3" t="s">
        <v>6767</v>
      </c>
      <c r="I3445" s="10" t="str">
        <f>IF(H3445="T66",1,IF(H3445="T66",3,IF(H3445="T82",6,IF(H3445="T82",10,IF(H3445="T114",14,IF(H3445="T114",18,IF(H3445="T82",22,"")))))))</f>
        <v/>
      </c>
      <c r="J3445" s="1" t="s">
        <v>1808</v>
      </c>
      <c r="K3445" s="10">
        <v>4</v>
      </c>
      <c r="L3445" s="10">
        <v>1</v>
      </c>
      <c r="O3445" s="6"/>
      <c r="Q3445" s="42" t="s">
        <v>6870</v>
      </c>
      <c r="R3445" s="42"/>
      <c r="S3445" s="1"/>
    </row>
    <row r="3446" spans="1:19" ht="18.75" hidden="1" customHeight="1" x14ac:dyDescent="0.3">
      <c r="A3446" s="10">
        <v>3445</v>
      </c>
      <c r="B3446" s="10">
        <f>_xlfn.XLOOKUP(1,(VALUE(D3446)&gt;=VALUE(block!$C$3:$C$500))*(VALUE(D3446)&lt;VALUE(block!$C$3:$C$500)+VALUE(block!$D$3:$D$500)),block!$A$3:$A$500,"无匹配",0,1)</f>
        <v>92</v>
      </c>
      <c r="C3446" s="3" t="str">
        <f>B3446 &amp; "-" &amp; COUNTIF($B$2:B3446, B3446)</f>
        <v>92-17</v>
      </c>
      <c r="D3446" s="10">
        <v>23488</v>
      </c>
      <c r="E3446" s="1" t="s">
        <v>8325</v>
      </c>
      <c r="F3446" s="1" t="s">
        <v>8326</v>
      </c>
      <c r="G3446" s="1" t="s">
        <v>1834</v>
      </c>
      <c r="H3446" s="1" t="s">
        <v>1812</v>
      </c>
      <c r="I3446" s="10" t="str">
        <f>IF(H3446="T67",1,IF(H3446="T67",3,IF(H3446="T83",6,IF(H3446="T83",10,IF(H3446="T115",14,IF(H3446="T115",18,IF(H3446="T83",22,"")))))))</f>
        <v/>
      </c>
      <c r="J3446" s="1" t="s">
        <v>1808</v>
      </c>
      <c r="K3446" s="10">
        <v>2</v>
      </c>
      <c r="L3446" s="10">
        <v>1</v>
      </c>
      <c r="O3446" s="6"/>
      <c r="P3446" s="10">
        <v>6</v>
      </c>
      <c r="Q3446" s="42" t="s">
        <v>6870</v>
      </c>
      <c r="R3446" s="42"/>
      <c r="S3446" s="1"/>
    </row>
    <row r="3447" spans="1:19" ht="18.75" hidden="1" customHeight="1" x14ac:dyDescent="0.3">
      <c r="A3447" s="10">
        <v>3446</v>
      </c>
      <c r="B3447" s="10">
        <f>_xlfn.XLOOKUP(1,(VALUE(D3447)&gt;=VALUE(block!$C$3:$C$500))*(VALUE(D3447)&lt;VALUE(block!$C$3:$C$500)+VALUE(block!$D$3:$D$500)),block!$A$3:$A$500,"无匹配",0,1)</f>
        <v>92</v>
      </c>
      <c r="C3447" s="3" t="str">
        <f>B3447 &amp; "-" &amp; COUNTIF($B$2:B3447, B3447)</f>
        <v>92-18</v>
      </c>
      <c r="D3447" s="10">
        <v>23490</v>
      </c>
      <c r="E3447" s="1" t="s">
        <v>8327</v>
      </c>
      <c r="F3447" s="1" t="s">
        <v>8328</v>
      </c>
      <c r="H3447" s="3" t="s">
        <v>6767</v>
      </c>
      <c r="I3447" s="10" t="str">
        <f>IF(H3447="T68",1,IF(H3447="T68",3,IF(H3447="T84",6,IF(H3447="T84",10,IF(H3447="T116",14,IF(H3447="T116",18,IF(H3447="T84",22,"")))))))</f>
        <v/>
      </c>
      <c r="J3447" s="1" t="s">
        <v>1808</v>
      </c>
      <c r="K3447" s="10">
        <v>4</v>
      </c>
      <c r="L3447" s="10">
        <v>1</v>
      </c>
      <c r="O3447" s="6"/>
      <c r="Q3447" s="42" t="s">
        <v>6870</v>
      </c>
      <c r="R3447" s="42"/>
      <c r="S3447" s="1"/>
    </row>
    <row r="3448" spans="1:19" ht="18.75" hidden="1" customHeight="1" x14ac:dyDescent="0.3">
      <c r="A3448" s="10">
        <v>3447</v>
      </c>
      <c r="B3448" s="10">
        <f>_xlfn.XLOOKUP(1,(VALUE(D3448)&gt;=VALUE(block!$C$3:$C$500))*(VALUE(D3448)&lt;VALUE(block!$C$3:$C$500)+VALUE(block!$D$3:$D$500)),block!$A$3:$A$500,"无匹配",0,1)</f>
        <v>92</v>
      </c>
      <c r="C3448" s="3" t="str">
        <f>B3448 &amp; "-" &amp; COUNTIF($B$2:B3448, B3448)</f>
        <v>92-19</v>
      </c>
      <c r="D3448" s="10">
        <v>23494</v>
      </c>
      <c r="E3448" s="1" t="s">
        <v>8329</v>
      </c>
      <c r="F3448" s="1" t="s">
        <v>8330</v>
      </c>
      <c r="G3448" s="1" t="s">
        <v>1836</v>
      </c>
      <c r="H3448" s="1" t="s">
        <v>1812</v>
      </c>
      <c r="I3448" s="10" t="str">
        <f>IF(H3448="T69",1,IF(H3448="T69",3,IF(H3448="T85",6,IF(H3448="T85",10,IF(H3448="T117",14,IF(H3448="T117",18,IF(H3448="T85",22,"")))))))</f>
        <v/>
      </c>
      <c r="J3448" s="1" t="s">
        <v>1808</v>
      </c>
      <c r="K3448" s="10">
        <v>2</v>
      </c>
      <c r="L3448" s="10">
        <v>1</v>
      </c>
      <c r="O3448" s="6"/>
      <c r="P3448" s="10">
        <v>6</v>
      </c>
      <c r="Q3448" s="42" t="s">
        <v>6870</v>
      </c>
      <c r="R3448" s="42"/>
      <c r="S3448" s="1"/>
    </row>
    <row r="3449" spans="1:19" ht="18.75" hidden="1" customHeight="1" x14ac:dyDescent="0.3">
      <c r="A3449" s="10">
        <v>3448</v>
      </c>
      <c r="B3449" s="10">
        <f>_xlfn.XLOOKUP(1,(VALUE(D3449)&gt;=VALUE(block!$C$3:$C$500))*(VALUE(D3449)&lt;VALUE(block!$C$3:$C$500)+VALUE(block!$D$3:$D$500)),block!$A$3:$A$500,"无匹配",0,1)</f>
        <v>92</v>
      </c>
      <c r="C3449" s="3" t="str">
        <f>B3449 &amp; "-" &amp; COUNTIF($B$2:B3449, B3449)</f>
        <v>92-20</v>
      </c>
      <c r="D3449" s="10">
        <v>23496</v>
      </c>
      <c r="E3449" s="1" t="s">
        <v>8331</v>
      </c>
      <c r="F3449" s="1" t="s">
        <v>8332</v>
      </c>
      <c r="H3449" s="3" t="s">
        <v>6767</v>
      </c>
      <c r="I3449" s="10" t="str">
        <f>IF(H3449="T70",1,IF(H3449="T70",3,IF(H3449="T86",6,IF(H3449="T86",10,IF(H3449="T118",14,IF(H3449="T118",18,IF(H3449="T86",22,"")))))))</f>
        <v/>
      </c>
      <c r="J3449" s="1" t="s">
        <v>1808</v>
      </c>
      <c r="K3449" s="10">
        <v>4</v>
      </c>
      <c r="L3449" s="10">
        <v>1</v>
      </c>
      <c r="O3449" s="6"/>
      <c r="Q3449" s="42" t="s">
        <v>6870</v>
      </c>
      <c r="R3449" s="42"/>
      <c r="S3449" s="1"/>
    </row>
    <row r="3450" spans="1:19" ht="18.75" hidden="1" customHeight="1" x14ac:dyDescent="0.3">
      <c r="A3450" s="10">
        <v>3449</v>
      </c>
      <c r="B3450" s="10">
        <f>_xlfn.XLOOKUP(1,(VALUE(D3450)&gt;=VALUE(block!$C$3:$C$500))*(VALUE(D3450)&lt;VALUE(block!$C$3:$C$500)+VALUE(block!$D$3:$D$500)),block!$A$3:$A$500,"无匹配",0,1)</f>
        <v>92</v>
      </c>
      <c r="C3450" s="3" t="str">
        <f>B3450 &amp; "-" &amp; COUNTIF($B$2:B3450, B3450)</f>
        <v>92-21</v>
      </c>
      <c r="D3450" s="10">
        <v>23500</v>
      </c>
      <c r="E3450" s="1" t="s">
        <v>8333</v>
      </c>
      <c r="F3450" s="1" t="s">
        <v>8334</v>
      </c>
      <c r="G3450" s="1" t="s">
        <v>1840</v>
      </c>
      <c r="H3450" s="1" t="s">
        <v>1812</v>
      </c>
      <c r="I3450" s="10" t="str">
        <f>IF(H3450="T71",1,IF(H3450="T71",3,IF(H3450="T87",6,IF(H3450="T87",10,IF(H3450="T119",14,IF(H3450="T119",18,IF(H3450="T87",22,"")))))))</f>
        <v/>
      </c>
      <c r="J3450" s="1" t="s">
        <v>1808</v>
      </c>
      <c r="K3450" s="10">
        <v>2</v>
      </c>
      <c r="L3450" s="10">
        <v>1</v>
      </c>
      <c r="O3450" s="6"/>
      <c r="P3450" s="10">
        <v>6</v>
      </c>
      <c r="Q3450" s="42" t="s">
        <v>6870</v>
      </c>
      <c r="R3450" s="42"/>
      <c r="S3450" s="1"/>
    </row>
    <row r="3451" spans="1:19" ht="18.75" hidden="1" customHeight="1" x14ac:dyDescent="0.3">
      <c r="A3451" s="10">
        <v>3450</v>
      </c>
      <c r="B3451" s="10">
        <f>_xlfn.XLOOKUP(1,(VALUE(D3451)&gt;=VALUE(block!$C$3:$C$500))*(VALUE(D3451)&lt;VALUE(block!$C$3:$C$500)+VALUE(block!$D$3:$D$500)),block!$A$3:$A$500,"无匹配",0,1)</f>
        <v>92</v>
      </c>
      <c r="C3451" s="3" t="str">
        <f>B3451 &amp; "-" &amp; COUNTIF($B$2:B3451, B3451)</f>
        <v>92-22</v>
      </c>
      <c r="D3451" s="10">
        <v>23502</v>
      </c>
      <c r="E3451" s="1" t="s">
        <v>8335</v>
      </c>
      <c r="F3451" s="1" t="s">
        <v>8336</v>
      </c>
      <c r="H3451" s="3" t="s">
        <v>6767</v>
      </c>
      <c r="I3451" s="10" t="str">
        <f>IF(H3451="T72",1,IF(H3451="T72",3,IF(H3451="T88",6,IF(H3451="T88",10,IF(H3451="T120",14,IF(H3451="T120",18,IF(H3451="T88",22,"")))))))</f>
        <v/>
      </c>
      <c r="J3451" s="1" t="s">
        <v>1808</v>
      </c>
      <c r="K3451" s="10">
        <v>4</v>
      </c>
      <c r="L3451" s="10">
        <v>1</v>
      </c>
      <c r="O3451" s="6"/>
      <c r="Q3451" s="42" t="s">
        <v>6870</v>
      </c>
      <c r="R3451" s="42"/>
      <c r="S3451" s="1"/>
    </row>
    <row r="3452" spans="1:19" ht="18.75" hidden="1" customHeight="1" x14ac:dyDescent="0.3">
      <c r="A3452" s="10">
        <v>3451</v>
      </c>
      <c r="B3452" s="10">
        <f>_xlfn.XLOOKUP(1,(VALUE(D3452)&gt;=VALUE(block!$C$3:$C$500))*(VALUE(D3452)&lt;VALUE(block!$C$3:$C$500)+VALUE(block!$D$3:$D$500)),block!$A$3:$A$500,"无匹配",0,1)</f>
        <v>92</v>
      </c>
      <c r="C3452" s="3" t="str">
        <f>B3452 &amp; "-" &amp; COUNTIF($B$2:B3452, B3452)</f>
        <v>92-23</v>
      </c>
      <c r="D3452" s="10">
        <v>23506</v>
      </c>
      <c r="E3452" s="1" t="s">
        <v>8337</v>
      </c>
      <c r="F3452" s="1" t="s">
        <v>8338</v>
      </c>
      <c r="G3452" s="1" t="s">
        <v>1840</v>
      </c>
      <c r="H3452" s="1" t="s">
        <v>1812</v>
      </c>
      <c r="I3452" s="10" t="str">
        <f>IF(H3452="T73",1,IF(H3452="T73",3,IF(H3452="T89",6,IF(H3452="T89",10,IF(H3452="T121",14,IF(H3452="T121",18,IF(H3452="T89",22,"")))))))</f>
        <v/>
      </c>
      <c r="J3452" s="1" t="s">
        <v>1808</v>
      </c>
      <c r="K3452" s="10">
        <v>2</v>
      </c>
      <c r="L3452" s="10">
        <v>1</v>
      </c>
      <c r="O3452" s="6"/>
      <c r="P3452" s="10">
        <v>6</v>
      </c>
      <c r="Q3452" s="42" t="s">
        <v>6870</v>
      </c>
      <c r="R3452" s="42"/>
      <c r="S3452" s="1"/>
    </row>
    <row r="3453" spans="1:19" ht="18.75" hidden="1" customHeight="1" x14ac:dyDescent="0.3">
      <c r="A3453" s="10">
        <v>3452</v>
      </c>
      <c r="B3453" s="10">
        <f>_xlfn.XLOOKUP(1,(VALUE(D3453)&gt;=VALUE(block!$C$3:$C$500))*(VALUE(D3453)&lt;VALUE(block!$C$3:$C$500)+VALUE(block!$D$3:$D$500)),block!$A$3:$A$500,"无匹配",0,1)</f>
        <v>92</v>
      </c>
      <c r="C3453" s="3" t="str">
        <f>B3453 &amp; "-" &amp; COUNTIF($B$2:B3453, B3453)</f>
        <v>92-24</v>
      </c>
      <c r="D3453" s="10">
        <v>23508</v>
      </c>
      <c r="E3453" s="1" t="s">
        <v>8339</v>
      </c>
      <c r="F3453" s="1" t="s">
        <v>8340</v>
      </c>
      <c r="H3453" s="3" t="s">
        <v>6767</v>
      </c>
      <c r="I3453" s="10" t="str">
        <f>IF(H3453="T74",1,IF(H3453="T74",3,IF(H3453="T90",6,IF(H3453="T90",10,IF(H3453="T122",14,IF(H3453="T122",18,IF(H3453="T90",22,"")))))))</f>
        <v/>
      </c>
      <c r="J3453" s="1" t="s">
        <v>1808</v>
      </c>
      <c r="K3453" s="10">
        <v>4</v>
      </c>
      <c r="L3453" s="10">
        <v>1</v>
      </c>
      <c r="O3453" s="6"/>
      <c r="Q3453" s="42" t="s">
        <v>6870</v>
      </c>
      <c r="R3453" s="42"/>
      <c r="S3453" s="1"/>
    </row>
    <row r="3454" spans="1:19" ht="18.75" hidden="1" customHeight="1" x14ac:dyDescent="0.3">
      <c r="A3454" s="10">
        <v>3453</v>
      </c>
      <c r="B3454" s="10">
        <f>_xlfn.XLOOKUP(1,(VALUE(D3454)&gt;=VALUE(block!$C$3:$C$500))*(VALUE(D3454)&lt;VALUE(block!$C$3:$C$500)+VALUE(block!$D$3:$D$500)),block!$A$3:$A$500,"无匹配",0,1)</f>
        <v>92</v>
      </c>
      <c r="C3454" s="3" t="str">
        <f>B3454 &amp; "-" &amp; COUNTIF($B$2:B3454, B3454)</f>
        <v>92-25</v>
      </c>
      <c r="D3454" s="10">
        <v>23512</v>
      </c>
      <c r="E3454" s="1" t="s">
        <v>8341</v>
      </c>
      <c r="F3454" s="1" t="s">
        <v>8342</v>
      </c>
      <c r="G3454" s="1" t="s">
        <v>1830</v>
      </c>
      <c r="H3454" s="1" t="s">
        <v>1812</v>
      </c>
      <c r="I3454" s="10" t="str">
        <f>IF(H3454="T75",1,IF(H3454="T75",3,IF(H3454="T91",6,IF(H3454="T91",10,IF(H3454="T123",14,IF(H3454="T123",18,IF(H3454="T91",22,"")))))))</f>
        <v/>
      </c>
      <c r="J3454" s="1" t="s">
        <v>1808</v>
      </c>
      <c r="K3454" s="10">
        <v>2</v>
      </c>
      <c r="L3454" s="10">
        <v>1</v>
      </c>
      <c r="O3454" s="6"/>
      <c r="P3454" s="10">
        <v>6</v>
      </c>
      <c r="Q3454" s="42" t="s">
        <v>6870</v>
      </c>
      <c r="R3454" s="42"/>
      <c r="S3454" s="1"/>
    </row>
    <row r="3455" spans="1:19" ht="18.75" hidden="1" customHeight="1" x14ac:dyDescent="0.3">
      <c r="A3455" s="10">
        <v>3454</v>
      </c>
      <c r="B3455" s="10">
        <f>_xlfn.XLOOKUP(1,(VALUE(D3455)&gt;=VALUE(block!$C$3:$C$500))*(VALUE(D3455)&lt;VALUE(block!$C$3:$C$500)+VALUE(block!$D$3:$D$500)),block!$A$3:$A$500,"无匹配",0,1)</f>
        <v>92</v>
      </c>
      <c r="C3455" s="3" t="str">
        <f>B3455 &amp; "-" &amp; COUNTIF($B$2:B3455, B3455)</f>
        <v>92-26</v>
      </c>
      <c r="D3455" s="10">
        <v>23514</v>
      </c>
      <c r="E3455" s="1" t="s">
        <v>8343</v>
      </c>
      <c r="F3455" s="1" t="s">
        <v>8344</v>
      </c>
      <c r="H3455" s="3" t="s">
        <v>6767</v>
      </c>
      <c r="I3455" s="10" t="str">
        <f>IF(H3455="T76",1,IF(H3455="T76",3,IF(H3455="T92",6,IF(H3455="T92",10,IF(H3455="T124",14,IF(H3455="T124",18,IF(H3455="T92",22,"")))))))</f>
        <v/>
      </c>
      <c r="J3455" s="1" t="s">
        <v>1808</v>
      </c>
      <c r="K3455" s="10">
        <v>4</v>
      </c>
      <c r="L3455" s="10">
        <v>1</v>
      </c>
      <c r="O3455" s="6"/>
      <c r="Q3455" s="42" t="s">
        <v>6870</v>
      </c>
      <c r="R3455" s="42"/>
      <c r="S3455" s="1"/>
    </row>
    <row r="3456" spans="1:19" ht="18.75" hidden="1" customHeight="1" x14ac:dyDescent="0.3">
      <c r="A3456" s="10">
        <v>3455</v>
      </c>
      <c r="B3456" s="10">
        <f>_xlfn.XLOOKUP(1,(VALUE(D3456)&gt;=VALUE(block!$C$3:$C$500))*(VALUE(D3456)&lt;VALUE(block!$C$3:$C$500)+VALUE(block!$D$3:$D$500)),block!$A$3:$A$500,"无匹配",0,1)</f>
        <v>92</v>
      </c>
      <c r="C3456" s="3" t="str">
        <f>B3456 &amp; "-" &amp; COUNTIF($B$2:B3456, B3456)</f>
        <v>92-27</v>
      </c>
      <c r="D3456" s="10">
        <v>23518</v>
      </c>
      <c r="E3456" s="1" t="s">
        <v>8345</v>
      </c>
      <c r="F3456" s="1" t="s">
        <v>8346</v>
      </c>
      <c r="G3456" s="1" t="s">
        <v>1832</v>
      </c>
      <c r="H3456" s="1" t="s">
        <v>1812</v>
      </c>
      <c r="I3456" s="10" t="str">
        <f>IF(H3456="T77",1,IF(H3456="T77",3,IF(H3456="T93",6,IF(H3456="T93",10,IF(H3456="T125",14,IF(H3456="T125",18,IF(H3456="T93",22,"")))))))</f>
        <v/>
      </c>
      <c r="J3456" s="1" t="s">
        <v>1808</v>
      </c>
      <c r="K3456" s="10">
        <v>2</v>
      </c>
      <c r="L3456" s="10">
        <v>1</v>
      </c>
      <c r="O3456" s="6"/>
      <c r="P3456" s="10">
        <v>6</v>
      </c>
      <c r="Q3456" s="42" t="s">
        <v>6870</v>
      </c>
      <c r="R3456" s="42"/>
      <c r="S3456" s="1"/>
    </row>
    <row r="3457" spans="1:19" ht="18.75" hidden="1" customHeight="1" x14ac:dyDescent="0.3">
      <c r="A3457" s="10">
        <v>3456</v>
      </c>
      <c r="B3457" s="10">
        <f>_xlfn.XLOOKUP(1,(VALUE(D3457)&gt;=VALUE(block!$C$3:$C$500))*(VALUE(D3457)&lt;VALUE(block!$C$3:$C$500)+VALUE(block!$D$3:$D$500)),block!$A$3:$A$500,"无匹配",0,1)</f>
        <v>92</v>
      </c>
      <c r="C3457" s="3" t="str">
        <f>B3457 &amp; "-" &amp; COUNTIF($B$2:B3457, B3457)</f>
        <v>92-28</v>
      </c>
      <c r="D3457" s="10">
        <v>23520</v>
      </c>
      <c r="E3457" s="1" t="s">
        <v>8347</v>
      </c>
      <c r="F3457" s="1" t="s">
        <v>8348</v>
      </c>
      <c r="H3457" s="3" t="s">
        <v>6767</v>
      </c>
      <c r="I3457" s="10" t="str">
        <f>IF(H3457="T78",1,IF(H3457="T78",3,IF(H3457="T94",6,IF(H3457="T94",10,IF(H3457="T126",14,IF(H3457="T126",18,IF(H3457="T94",22,"")))))))</f>
        <v/>
      </c>
      <c r="J3457" s="1" t="s">
        <v>1808</v>
      </c>
      <c r="K3457" s="10">
        <v>4</v>
      </c>
      <c r="L3457" s="10">
        <v>1</v>
      </c>
      <c r="O3457" s="6"/>
      <c r="Q3457" s="42" t="s">
        <v>6870</v>
      </c>
      <c r="R3457" s="42"/>
      <c r="S3457" s="1"/>
    </row>
    <row r="3458" spans="1:19" ht="18.75" hidden="1" customHeight="1" x14ac:dyDescent="0.3">
      <c r="A3458" s="10">
        <v>3457</v>
      </c>
      <c r="B3458" s="10">
        <f>_xlfn.XLOOKUP(1,(VALUE(D3458)&gt;=VALUE(block!$C$3:$C$500))*(VALUE(D3458)&lt;VALUE(block!$C$3:$C$500)+VALUE(block!$D$3:$D$500)),block!$A$3:$A$500,"无匹配",0,1)</f>
        <v>92</v>
      </c>
      <c r="C3458" s="3" t="str">
        <f>B3458 &amp; "-" &amp; COUNTIF($B$2:B3458, B3458)</f>
        <v>92-29</v>
      </c>
      <c r="D3458" s="10">
        <v>23524</v>
      </c>
      <c r="E3458" s="1" t="s">
        <v>8349</v>
      </c>
      <c r="F3458" s="1" t="s">
        <v>8350</v>
      </c>
      <c r="G3458" s="1" t="s">
        <v>1834</v>
      </c>
      <c r="H3458" s="1" t="s">
        <v>1812</v>
      </c>
      <c r="I3458" s="10" t="str">
        <f>IF(H3458="T79",1,IF(H3458="T79",3,IF(H3458="T95",6,IF(H3458="T95",10,IF(H3458="T127",14,IF(H3458="T127",18,IF(H3458="T95",22,"")))))))</f>
        <v/>
      </c>
      <c r="J3458" s="1" t="s">
        <v>1808</v>
      </c>
      <c r="K3458" s="10">
        <v>2</v>
      </c>
      <c r="L3458" s="10">
        <v>1</v>
      </c>
      <c r="O3458" s="6"/>
      <c r="P3458" s="10">
        <v>6</v>
      </c>
      <c r="Q3458" s="42" t="s">
        <v>6870</v>
      </c>
      <c r="R3458" s="42"/>
      <c r="S3458" s="1"/>
    </row>
    <row r="3459" spans="1:19" ht="18.75" hidden="1" customHeight="1" x14ac:dyDescent="0.3">
      <c r="A3459" s="10">
        <v>3458</v>
      </c>
      <c r="B3459" s="10">
        <f>_xlfn.XLOOKUP(1,(VALUE(D3459)&gt;=VALUE(block!$C$3:$C$500))*(VALUE(D3459)&lt;VALUE(block!$C$3:$C$500)+VALUE(block!$D$3:$D$500)),block!$A$3:$A$500,"无匹配",0,1)</f>
        <v>92</v>
      </c>
      <c r="C3459" s="3" t="str">
        <f>B3459 &amp; "-" &amp; COUNTIF($B$2:B3459, B3459)</f>
        <v>92-30</v>
      </c>
      <c r="D3459" s="10">
        <v>23526</v>
      </c>
      <c r="E3459" s="1" t="s">
        <v>8351</v>
      </c>
      <c r="F3459" s="1" t="s">
        <v>8352</v>
      </c>
      <c r="H3459" s="3" t="s">
        <v>6767</v>
      </c>
      <c r="I3459" s="10">
        <f>IF(H3459="uint16",1,IF(H3459="int16",3,IF(H3459="uint32",6,IF(H3459="int32",10,IF(H3459="uint64",14,IF(H3459="int64",18,IF(H3459="float32",22,"")))))))</f>
        <v>14</v>
      </c>
      <c r="J3459" s="1" t="s">
        <v>1808</v>
      </c>
      <c r="K3459" s="10">
        <v>4</v>
      </c>
      <c r="L3459" s="10">
        <v>1</v>
      </c>
      <c r="O3459" s="6"/>
      <c r="Q3459" s="42" t="s">
        <v>6870</v>
      </c>
      <c r="R3459" s="42"/>
      <c r="S3459" s="1"/>
    </row>
    <row r="3460" spans="1:19" ht="18.75" hidden="1" customHeight="1" x14ac:dyDescent="0.3">
      <c r="A3460" s="10">
        <v>3459</v>
      </c>
      <c r="B3460" s="10">
        <f>_xlfn.XLOOKUP(1,(VALUE(D3460)&gt;=VALUE(block!$C$3:$C$500))*(VALUE(D3460)&lt;VALUE(block!$C$3:$C$500)+VALUE(block!$D$3:$D$500)),block!$A$3:$A$500,"无匹配",0,1)</f>
        <v>92</v>
      </c>
      <c r="C3460" s="3" t="str">
        <f>B3460 &amp; "-" &amp; COUNTIF($B$2:B3460, B3460)</f>
        <v>92-31</v>
      </c>
      <c r="D3460" s="10">
        <v>23530</v>
      </c>
      <c r="E3460" s="1" t="s">
        <v>8353</v>
      </c>
      <c r="F3460" s="1" t="s">
        <v>8354</v>
      </c>
      <c r="G3460" s="1" t="s">
        <v>1836</v>
      </c>
      <c r="H3460" s="1" t="s">
        <v>1812</v>
      </c>
      <c r="I3460" s="10" t="str">
        <f>IF(H3460="T17",1,IF(H3460="T17",3,IF(H3460="T33",6,IF(H3460="T33",10,IF(H3460="T65",14,IF(H3460="T65",18,IF(H3460="T33",22,"")))))))</f>
        <v/>
      </c>
      <c r="J3460" s="1" t="s">
        <v>1808</v>
      </c>
      <c r="K3460" s="10">
        <v>2</v>
      </c>
      <c r="L3460" s="10">
        <v>1</v>
      </c>
      <c r="O3460" s="6"/>
      <c r="P3460" s="10">
        <v>6</v>
      </c>
      <c r="Q3460" s="42" t="s">
        <v>6870</v>
      </c>
      <c r="R3460" s="42"/>
      <c r="S3460" s="1"/>
    </row>
    <row r="3461" spans="1:19" ht="18.75" hidden="1" customHeight="1" x14ac:dyDescent="0.3">
      <c r="A3461" s="10">
        <v>3460</v>
      </c>
      <c r="B3461" s="10">
        <f>_xlfn.XLOOKUP(1,(VALUE(D3461)&gt;=VALUE(block!$C$3:$C$500))*(VALUE(D3461)&lt;VALUE(block!$C$3:$C$500)+VALUE(block!$D$3:$D$500)),block!$A$3:$A$500,"无匹配",0,1)</f>
        <v>92</v>
      </c>
      <c r="C3461" s="3" t="str">
        <f>B3461 &amp; "-" &amp; COUNTIF($B$2:B3461, B3461)</f>
        <v>92-32</v>
      </c>
      <c r="D3461" s="10">
        <v>23532</v>
      </c>
      <c r="E3461" s="1" t="s">
        <v>8355</v>
      </c>
      <c r="F3461" s="1" t="s">
        <v>8356</v>
      </c>
      <c r="H3461" s="3" t="s">
        <v>6767</v>
      </c>
      <c r="I3461" s="10" t="str">
        <f>IF(H3461="T18",1,IF(H3461="T18",3,IF(H3461="T34",6,IF(H3461="T34",10,IF(H3461="T66",14,IF(H3461="T66",18,IF(H3461="T34",22,"")))))))</f>
        <v/>
      </c>
      <c r="J3461" s="1" t="s">
        <v>1808</v>
      </c>
      <c r="K3461" s="10">
        <v>4</v>
      </c>
      <c r="L3461" s="10">
        <v>1</v>
      </c>
      <c r="O3461" s="6"/>
      <c r="Q3461" s="42" t="s">
        <v>6870</v>
      </c>
      <c r="R3461" s="42"/>
      <c r="S3461" s="1"/>
    </row>
    <row r="3462" spans="1:19" ht="18.75" hidden="1" customHeight="1" x14ac:dyDescent="0.3">
      <c r="A3462" s="10">
        <v>3461</v>
      </c>
      <c r="B3462" s="10">
        <f>_xlfn.XLOOKUP(1,(VALUE(D3462)&gt;=VALUE(block!$C$3:$C$500))*(VALUE(D3462)&lt;VALUE(block!$C$3:$C$500)+VALUE(block!$D$3:$D$500)),block!$A$3:$A$500,"无匹配",0,1)</f>
        <v>92</v>
      </c>
      <c r="C3462" s="3" t="str">
        <f>B3462 &amp; "-" &amp; COUNTIF($B$2:B3462, B3462)</f>
        <v>92-33</v>
      </c>
      <c r="D3462" s="10">
        <v>23536</v>
      </c>
      <c r="E3462" s="1" t="s">
        <v>8357</v>
      </c>
      <c r="F3462" s="1" t="s">
        <v>8358</v>
      </c>
      <c r="G3462" s="1" t="s">
        <v>1840</v>
      </c>
      <c r="H3462" s="1" t="s">
        <v>1812</v>
      </c>
      <c r="I3462" s="10" t="str">
        <f>IF(H3462="T19",1,IF(H3462="T19",3,IF(H3462="T35",6,IF(H3462="T35",10,IF(H3462="T67",14,IF(H3462="T67",18,IF(H3462="T35",22,"")))))))</f>
        <v/>
      </c>
      <c r="J3462" s="1" t="s">
        <v>1808</v>
      </c>
      <c r="K3462" s="10">
        <v>2</v>
      </c>
      <c r="L3462" s="10">
        <v>1</v>
      </c>
      <c r="O3462" s="6"/>
      <c r="P3462" s="10">
        <v>6</v>
      </c>
      <c r="Q3462" s="42" t="s">
        <v>6870</v>
      </c>
      <c r="R3462" s="42"/>
      <c r="S3462" s="1"/>
    </row>
    <row r="3463" spans="1:19" ht="18.75" hidden="1" customHeight="1" x14ac:dyDescent="0.3">
      <c r="A3463" s="10">
        <v>3462</v>
      </c>
      <c r="B3463" s="10">
        <f>_xlfn.XLOOKUP(1,(VALUE(D3463)&gt;=VALUE(block!$C$3:$C$500))*(VALUE(D3463)&lt;VALUE(block!$C$3:$C$500)+VALUE(block!$D$3:$D$500)),block!$A$3:$A$500,"无匹配",0,1)</f>
        <v>92</v>
      </c>
      <c r="C3463" s="3" t="str">
        <f>B3463 &amp; "-" &amp; COUNTIF($B$2:B3463, B3463)</f>
        <v>92-34</v>
      </c>
      <c r="D3463" s="10">
        <v>23538</v>
      </c>
      <c r="E3463" s="1" t="s">
        <v>8359</v>
      </c>
      <c r="F3463" s="1" t="s">
        <v>8360</v>
      </c>
      <c r="H3463" s="3" t="s">
        <v>6767</v>
      </c>
      <c r="I3463" s="10" t="str">
        <f>IF(H3463="T20",1,IF(H3463="T20",3,IF(H3463="T36",6,IF(H3463="T36",10,IF(H3463="T68",14,IF(H3463="T68",18,IF(H3463="T36",22,"")))))))</f>
        <v/>
      </c>
      <c r="J3463" s="1" t="s">
        <v>1808</v>
      </c>
      <c r="K3463" s="10">
        <v>4</v>
      </c>
      <c r="L3463" s="10">
        <v>1</v>
      </c>
      <c r="O3463" s="6"/>
      <c r="Q3463" s="42" t="s">
        <v>6870</v>
      </c>
      <c r="R3463" s="42"/>
      <c r="S3463" s="1"/>
    </row>
    <row r="3464" spans="1:19" ht="18.75" hidden="1" customHeight="1" x14ac:dyDescent="0.3">
      <c r="A3464" s="10">
        <v>3463</v>
      </c>
      <c r="B3464" s="10">
        <f>_xlfn.XLOOKUP(1,(VALUE(D3464)&gt;=VALUE(block!$C$3:$C$500))*(VALUE(D3464)&lt;VALUE(block!$C$3:$C$500)+VALUE(block!$D$3:$D$500)),block!$A$3:$A$500,"无匹配",0,1)</f>
        <v>92</v>
      </c>
      <c r="C3464" s="3" t="str">
        <f>B3464 &amp; "-" &amp; COUNTIF($B$2:B3464, B3464)</f>
        <v>92-35</v>
      </c>
      <c r="D3464" s="10">
        <v>23542</v>
      </c>
      <c r="E3464" s="1" t="s">
        <v>8361</v>
      </c>
      <c r="F3464" s="1" t="s">
        <v>8362</v>
      </c>
      <c r="G3464" s="1" t="s">
        <v>1840</v>
      </c>
      <c r="H3464" s="1" t="s">
        <v>1812</v>
      </c>
      <c r="I3464" s="10" t="str">
        <f>IF(H3464="T21",1,IF(H3464="T21",3,IF(H3464="T37",6,IF(H3464="T37",10,IF(H3464="T69",14,IF(H3464="T69",18,IF(H3464="T37",22,"")))))))</f>
        <v/>
      </c>
      <c r="J3464" s="1" t="s">
        <v>1808</v>
      </c>
      <c r="K3464" s="10">
        <v>2</v>
      </c>
      <c r="L3464" s="10">
        <v>1</v>
      </c>
      <c r="O3464" s="6"/>
      <c r="P3464" s="10">
        <v>6</v>
      </c>
      <c r="Q3464" s="42" t="s">
        <v>6870</v>
      </c>
      <c r="R3464" s="42"/>
      <c r="S3464" s="1"/>
    </row>
    <row r="3465" spans="1:19" ht="18.75" hidden="1" customHeight="1" x14ac:dyDescent="0.3">
      <c r="A3465" s="10">
        <v>3464</v>
      </c>
      <c r="B3465" s="10">
        <f>_xlfn.XLOOKUP(1,(VALUE(D3465)&gt;=VALUE(block!$C$3:$C$500))*(VALUE(D3465)&lt;VALUE(block!$C$3:$C$500)+VALUE(block!$D$3:$D$500)),block!$A$3:$A$500,"无匹配",0,1)</f>
        <v>92</v>
      </c>
      <c r="C3465" s="3" t="str">
        <f>B3465 &amp; "-" &amp; COUNTIF($B$2:B3465, B3465)</f>
        <v>92-36</v>
      </c>
      <c r="D3465" s="10">
        <v>23544</v>
      </c>
      <c r="E3465" s="1" t="s">
        <v>8363</v>
      </c>
      <c r="F3465" s="1" t="s">
        <v>8364</v>
      </c>
      <c r="H3465" s="3" t="s">
        <v>6767</v>
      </c>
      <c r="I3465" s="10" t="str">
        <f>IF(H3465="T22",1,IF(H3465="T22",3,IF(H3465="T38",6,IF(H3465="T38",10,IF(H3465="T70",14,IF(H3465="T70",18,IF(H3465="T38",22,"")))))))</f>
        <v/>
      </c>
      <c r="J3465" s="1" t="s">
        <v>1808</v>
      </c>
      <c r="K3465" s="10">
        <v>4</v>
      </c>
      <c r="L3465" s="10">
        <v>1</v>
      </c>
      <c r="O3465" s="6"/>
      <c r="Q3465" s="42" t="s">
        <v>6870</v>
      </c>
      <c r="R3465" s="42"/>
      <c r="S3465" s="1"/>
    </row>
    <row r="3466" spans="1:19" ht="18.75" hidden="1" customHeight="1" x14ac:dyDescent="0.3">
      <c r="A3466" s="10">
        <v>3465</v>
      </c>
      <c r="B3466" s="10">
        <f>_xlfn.XLOOKUP(1,(VALUE(D3466)&gt;=VALUE(block!$C$3:$C$500))*(VALUE(D3466)&lt;VALUE(block!$C$3:$C$500)+VALUE(block!$D$3:$D$500)),block!$A$3:$A$500,"无匹配",0,1)</f>
        <v>93</v>
      </c>
      <c r="C3466" s="3" t="str">
        <f>B3466 &amp; "-" &amp; COUNTIF($B$2:B3466, B3466)</f>
        <v>93-1</v>
      </c>
      <c r="D3466" s="10">
        <v>23548</v>
      </c>
      <c r="E3466" s="1" t="s">
        <v>8365</v>
      </c>
      <c r="F3466" s="1" t="s">
        <v>8366</v>
      </c>
      <c r="G3466" s="1" t="s">
        <v>1830</v>
      </c>
      <c r="H3466" s="1" t="s">
        <v>1812</v>
      </c>
      <c r="I3466" s="10" t="str">
        <f>IF(H3466="T23",1,IF(H3466="T23",3,IF(H3466="T39",6,IF(H3466="T39",10,IF(H3466="T71",14,IF(H3466="T71",18,IF(H3466="T39",22,"")))))))</f>
        <v/>
      </c>
      <c r="J3466" s="1" t="s">
        <v>1808</v>
      </c>
      <c r="K3466" s="10">
        <v>2</v>
      </c>
      <c r="L3466" s="10">
        <v>1</v>
      </c>
      <c r="O3466" s="6"/>
      <c r="P3466" s="10">
        <v>6</v>
      </c>
      <c r="Q3466" s="42" t="s">
        <v>6870</v>
      </c>
      <c r="R3466" s="42"/>
      <c r="S3466" s="1"/>
    </row>
    <row r="3467" spans="1:19" ht="18.75" hidden="1" customHeight="1" x14ac:dyDescent="0.3">
      <c r="A3467" s="10">
        <v>3466</v>
      </c>
      <c r="B3467" s="10">
        <f>_xlfn.XLOOKUP(1,(VALUE(D3467)&gt;=VALUE(block!$C$3:$C$500))*(VALUE(D3467)&lt;VALUE(block!$C$3:$C$500)+VALUE(block!$D$3:$D$500)),block!$A$3:$A$500,"无匹配",0,1)</f>
        <v>93</v>
      </c>
      <c r="C3467" s="3" t="str">
        <f>B3467 &amp; "-" &amp; COUNTIF($B$2:B3467, B3467)</f>
        <v>93-2</v>
      </c>
      <c r="D3467" s="10">
        <v>23550</v>
      </c>
      <c r="E3467" s="1" t="s">
        <v>8367</v>
      </c>
      <c r="F3467" s="1" t="s">
        <v>8368</v>
      </c>
      <c r="H3467" s="3" t="s">
        <v>6767</v>
      </c>
      <c r="I3467" s="10" t="str">
        <f>IF(H3467="T24",1,IF(H3467="T24",3,IF(H3467="T40",6,IF(H3467="T40",10,IF(H3467="T72",14,IF(H3467="T72",18,IF(H3467="T40",22,"")))))))</f>
        <v/>
      </c>
      <c r="J3467" s="1" t="s">
        <v>1808</v>
      </c>
      <c r="K3467" s="10">
        <v>4</v>
      </c>
      <c r="L3467" s="10">
        <v>1</v>
      </c>
      <c r="O3467" s="6"/>
      <c r="Q3467" s="42" t="s">
        <v>6870</v>
      </c>
      <c r="R3467" s="42"/>
      <c r="S3467" s="1"/>
    </row>
    <row r="3468" spans="1:19" ht="18.75" hidden="1" customHeight="1" x14ac:dyDescent="0.3">
      <c r="A3468" s="10">
        <v>3467</v>
      </c>
      <c r="B3468" s="10">
        <f>_xlfn.XLOOKUP(1,(VALUE(D3468)&gt;=VALUE(block!$C$3:$C$500))*(VALUE(D3468)&lt;VALUE(block!$C$3:$C$500)+VALUE(block!$D$3:$D$500)),block!$A$3:$A$500,"无匹配",0,1)</f>
        <v>93</v>
      </c>
      <c r="C3468" s="3" t="str">
        <f>B3468 &amp; "-" &amp; COUNTIF($B$2:B3468, B3468)</f>
        <v>93-3</v>
      </c>
      <c r="D3468" s="10">
        <v>23554</v>
      </c>
      <c r="E3468" s="1" t="s">
        <v>8369</v>
      </c>
      <c r="F3468" s="1" t="s">
        <v>8370</v>
      </c>
      <c r="G3468" s="1" t="s">
        <v>1832</v>
      </c>
      <c r="H3468" s="1" t="s">
        <v>1812</v>
      </c>
      <c r="I3468" s="10" t="str">
        <f>IF(H3468="T25",1,IF(H3468="T25",3,IF(H3468="T41",6,IF(H3468="T41",10,IF(H3468="T73",14,IF(H3468="T73",18,IF(H3468="T41",22,"")))))))</f>
        <v/>
      </c>
      <c r="J3468" s="1" t="s">
        <v>1808</v>
      </c>
      <c r="K3468" s="10">
        <v>2</v>
      </c>
      <c r="L3468" s="10">
        <v>1</v>
      </c>
      <c r="O3468" s="6"/>
      <c r="P3468" s="10">
        <v>6</v>
      </c>
      <c r="Q3468" s="42" t="s">
        <v>6870</v>
      </c>
      <c r="R3468" s="42"/>
      <c r="S3468" s="1"/>
    </row>
    <row r="3469" spans="1:19" ht="18.75" hidden="1" customHeight="1" x14ac:dyDescent="0.3">
      <c r="A3469" s="10">
        <v>3468</v>
      </c>
      <c r="B3469" s="10">
        <f>_xlfn.XLOOKUP(1,(VALUE(D3469)&gt;=VALUE(block!$C$3:$C$500))*(VALUE(D3469)&lt;VALUE(block!$C$3:$C$500)+VALUE(block!$D$3:$D$500)),block!$A$3:$A$500,"无匹配",0,1)</f>
        <v>93</v>
      </c>
      <c r="C3469" s="3" t="str">
        <f>B3469 &amp; "-" &amp; COUNTIF($B$2:B3469, B3469)</f>
        <v>93-4</v>
      </c>
      <c r="D3469" s="10">
        <v>23556</v>
      </c>
      <c r="E3469" s="1" t="s">
        <v>8371</v>
      </c>
      <c r="F3469" s="1" t="s">
        <v>8372</v>
      </c>
      <c r="H3469" s="3" t="s">
        <v>6767</v>
      </c>
      <c r="I3469" s="10" t="str">
        <f>IF(H3469="T26",1,IF(H3469="T26",3,IF(H3469="T42",6,IF(H3469="T42",10,IF(H3469="T74",14,IF(H3469="T74",18,IF(H3469="T42",22,"")))))))</f>
        <v/>
      </c>
      <c r="J3469" s="1" t="s">
        <v>1808</v>
      </c>
      <c r="K3469" s="10">
        <v>4</v>
      </c>
      <c r="L3469" s="10">
        <v>1</v>
      </c>
      <c r="O3469" s="6"/>
      <c r="Q3469" s="42" t="s">
        <v>6870</v>
      </c>
      <c r="R3469" s="42"/>
      <c r="S3469" s="1"/>
    </row>
    <row r="3470" spans="1:19" ht="18.75" hidden="1" customHeight="1" x14ac:dyDescent="0.3">
      <c r="A3470" s="10">
        <v>3469</v>
      </c>
      <c r="B3470" s="10">
        <f>_xlfn.XLOOKUP(1,(VALUE(D3470)&gt;=VALUE(block!$C$3:$C$500))*(VALUE(D3470)&lt;VALUE(block!$C$3:$C$500)+VALUE(block!$D$3:$D$500)),block!$A$3:$A$500,"无匹配",0,1)</f>
        <v>93</v>
      </c>
      <c r="C3470" s="3" t="str">
        <f>B3470 &amp; "-" &amp; COUNTIF($B$2:B3470, B3470)</f>
        <v>93-5</v>
      </c>
      <c r="D3470" s="10">
        <v>23560</v>
      </c>
      <c r="E3470" s="1" t="s">
        <v>8373</v>
      </c>
      <c r="F3470" s="1" t="s">
        <v>8374</v>
      </c>
      <c r="G3470" s="1" t="s">
        <v>1834</v>
      </c>
      <c r="H3470" s="1" t="s">
        <v>1812</v>
      </c>
      <c r="I3470" s="10" t="str">
        <f>IF(H3470="T27",1,IF(H3470="T27",3,IF(H3470="T43",6,IF(H3470="T43",10,IF(H3470="T75",14,IF(H3470="T75",18,IF(H3470="T43",22,"")))))))</f>
        <v/>
      </c>
      <c r="J3470" s="1" t="s">
        <v>1808</v>
      </c>
      <c r="K3470" s="10">
        <v>2</v>
      </c>
      <c r="L3470" s="10">
        <v>1</v>
      </c>
      <c r="O3470" s="6"/>
      <c r="P3470" s="10">
        <v>6</v>
      </c>
      <c r="Q3470" s="42" t="s">
        <v>6870</v>
      </c>
      <c r="R3470" s="42"/>
      <c r="S3470" s="1"/>
    </row>
    <row r="3471" spans="1:19" ht="18.75" hidden="1" customHeight="1" x14ac:dyDescent="0.3">
      <c r="A3471" s="10">
        <v>3470</v>
      </c>
      <c r="B3471" s="10">
        <f>_xlfn.XLOOKUP(1,(VALUE(D3471)&gt;=VALUE(block!$C$3:$C$500))*(VALUE(D3471)&lt;VALUE(block!$C$3:$C$500)+VALUE(block!$D$3:$D$500)),block!$A$3:$A$500,"无匹配",0,1)</f>
        <v>93</v>
      </c>
      <c r="C3471" s="3" t="str">
        <f>B3471 &amp; "-" &amp; COUNTIF($B$2:B3471, B3471)</f>
        <v>93-6</v>
      </c>
      <c r="D3471" s="10">
        <v>23562</v>
      </c>
      <c r="E3471" s="1" t="s">
        <v>8375</v>
      </c>
      <c r="F3471" s="1" t="s">
        <v>8376</v>
      </c>
      <c r="H3471" s="3" t="s">
        <v>6767</v>
      </c>
      <c r="I3471" s="10" t="str">
        <f>IF(H3471="T28",1,IF(H3471="T28",3,IF(H3471="T44",6,IF(H3471="T44",10,IF(H3471="T76",14,IF(H3471="T76",18,IF(H3471="T44",22,"")))))))</f>
        <v/>
      </c>
      <c r="J3471" s="1" t="s">
        <v>1808</v>
      </c>
      <c r="K3471" s="10">
        <v>4</v>
      </c>
      <c r="L3471" s="10">
        <v>1</v>
      </c>
      <c r="O3471" s="6"/>
      <c r="Q3471" s="42" t="s">
        <v>6870</v>
      </c>
      <c r="R3471" s="42"/>
      <c r="S3471" s="1"/>
    </row>
    <row r="3472" spans="1:19" ht="18.75" hidden="1" customHeight="1" x14ac:dyDescent="0.3">
      <c r="A3472" s="10">
        <v>3471</v>
      </c>
      <c r="B3472" s="10">
        <f>_xlfn.XLOOKUP(1,(VALUE(D3472)&gt;=VALUE(block!$C$3:$C$500))*(VALUE(D3472)&lt;VALUE(block!$C$3:$C$500)+VALUE(block!$D$3:$D$500)),block!$A$3:$A$500,"无匹配",0,1)</f>
        <v>93</v>
      </c>
      <c r="C3472" s="3" t="str">
        <f>B3472 &amp; "-" &amp; COUNTIF($B$2:B3472, B3472)</f>
        <v>93-7</v>
      </c>
      <c r="D3472" s="10">
        <v>23566</v>
      </c>
      <c r="E3472" s="1" t="s">
        <v>8377</v>
      </c>
      <c r="F3472" s="1" t="s">
        <v>8378</v>
      </c>
      <c r="G3472" s="1" t="s">
        <v>1836</v>
      </c>
      <c r="H3472" s="1" t="s">
        <v>1812</v>
      </c>
      <c r="I3472" s="10" t="str">
        <f>IF(H3472="T29",1,IF(H3472="T29",3,IF(H3472="T45",6,IF(H3472="T45",10,IF(H3472="T77",14,IF(H3472="T77",18,IF(H3472="T45",22,"")))))))</f>
        <v/>
      </c>
      <c r="J3472" s="1" t="s">
        <v>1808</v>
      </c>
      <c r="K3472" s="10">
        <v>2</v>
      </c>
      <c r="L3472" s="10">
        <v>1</v>
      </c>
      <c r="O3472" s="6"/>
      <c r="P3472" s="10">
        <v>6</v>
      </c>
      <c r="Q3472" s="42" t="s">
        <v>6870</v>
      </c>
      <c r="R3472" s="42"/>
      <c r="S3472" s="1"/>
    </row>
    <row r="3473" spans="1:19" ht="18.75" hidden="1" customHeight="1" x14ac:dyDescent="0.3">
      <c r="A3473" s="10">
        <v>3472</v>
      </c>
      <c r="B3473" s="10">
        <f>_xlfn.XLOOKUP(1,(VALUE(D3473)&gt;=VALUE(block!$C$3:$C$500))*(VALUE(D3473)&lt;VALUE(block!$C$3:$C$500)+VALUE(block!$D$3:$D$500)),block!$A$3:$A$500,"无匹配",0,1)</f>
        <v>93</v>
      </c>
      <c r="C3473" s="3" t="str">
        <f>B3473 &amp; "-" &amp; COUNTIF($B$2:B3473, B3473)</f>
        <v>93-8</v>
      </c>
      <c r="D3473" s="10">
        <v>23568</v>
      </c>
      <c r="E3473" s="1" t="s">
        <v>8379</v>
      </c>
      <c r="F3473" s="1" t="s">
        <v>8380</v>
      </c>
      <c r="H3473" s="3" t="s">
        <v>6767</v>
      </c>
      <c r="I3473" s="10" t="str">
        <f>IF(H3473="T30",1,IF(H3473="T30",3,IF(H3473="T46",6,IF(H3473="T46",10,IF(H3473="T78",14,IF(H3473="T78",18,IF(H3473="T46",22,"")))))))</f>
        <v/>
      </c>
      <c r="J3473" s="1" t="s">
        <v>1808</v>
      </c>
      <c r="K3473" s="10">
        <v>4</v>
      </c>
      <c r="L3473" s="10">
        <v>1</v>
      </c>
      <c r="O3473" s="6"/>
      <c r="Q3473" s="42" t="s">
        <v>6870</v>
      </c>
      <c r="R3473" s="42"/>
      <c r="S3473" s="1"/>
    </row>
    <row r="3474" spans="1:19" ht="18.75" hidden="1" customHeight="1" x14ac:dyDescent="0.3">
      <c r="A3474" s="10">
        <v>3473</v>
      </c>
      <c r="B3474" s="10">
        <f>_xlfn.XLOOKUP(1,(VALUE(D3474)&gt;=VALUE(block!$C$3:$C$500))*(VALUE(D3474)&lt;VALUE(block!$C$3:$C$500)+VALUE(block!$D$3:$D$500)),block!$A$3:$A$500,"无匹配",0,1)</f>
        <v>93</v>
      </c>
      <c r="C3474" s="3" t="str">
        <f>B3474 &amp; "-" &amp; COUNTIF($B$2:B3474, B3474)</f>
        <v>93-9</v>
      </c>
      <c r="D3474" s="10">
        <v>23572</v>
      </c>
      <c r="E3474" s="3" t="s">
        <v>8381</v>
      </c>
      <c r="F3474" s="1" t="s">
        <v>8382</v>
      </c>
      <c r="G3474" s="1" t="s">
        <v>1840</v>
      </c>
      <c r="H3474" s="1" t="s">
        <v>1812</v>
      </c>
      <c r="I3474" s="10" t="str">
        <f>IF(H3474="T31",1,IF(H3474="T31",3,IF(H3474="T47",6,IF(H3474="T47",10,IF(H3474="T79",14,IF(H3474="T79",18,IF(H3474="T47",22,"")))))))</f>
        <v/>
      </c>
      <c r="J3474" s="1" t="s">
        <v>1808</v>
      </c>
      <c r="K3474" s="10">
        <v>2</v>
      </c>
      <c r="L3474" s="10">
        <v>1</v>
      </c>
      <c r="O3474" s="6"/>
      <c r="P3474" s="10">
        <v>6</v>
      </c>
      <c r="Q3474" s="42" t="s">
        <v>6870</v>
      </c>
      <c r="R3474" s="42"/>
      <c r="S3474" s="1"/>
    </row>
    <row r="3475" spans="1:19" ht="18.75" hidden="1" customHeight="1" x14ac:dyDescent="0.3">
      <c r="A3475" s="10">
        <v>3474</v>
      </c>
      <c r="B3475" s="10">
        <f>_xlfn.XLOOKUP(1,(VALUE(D3475)&gt;=VALUE(block!$C$3:$C$500))*(VALUE(D3475)&lt;VALUE(block!$C$3:$C$500)+VALUE(block!$D$3:$D$500)),block!$A$3:$A$500,"无匹配",0,1)</f>
        <v>93</v>
      </c>
      <c r="C3475" s="3" t="str">
        <f>B3475 &amp; "-" &amp; COUNTIF($B$2:B3475, B3475)</f>
        <v>93-10</v>
      </c>
      <c r="D3475" s="10">
        <v>23574</v>
      </c>
      <c r="E3475" s="1" t="s">
        <v>8383</v>
      </c>
      <c r="F3475" s="1" t="s">
        <v>8384</v>
      </c>
      <c r="H3475" s="3" t="s">
        <v>6767</v>
      </c>
      <c r="I3475" s="10" t="str">
        <f>IF(H3475="T32",1,IF(H3475="T32",3,IF(H3475="T48",6,IF(H3475="T48",10,IF(H3475="T80",14,IF(H3475="T80",18,IF(H3475="T48",22,"")))))))</f>
        <v/>
      </c>
      <c r="J3475" s="1" t="s">
        <v>1808</v>
      </c>
      <c r="K3475" s="10">
        <v>4</v>
      </c>
      <c r="L3475" s="10">
        <v>1</v>
      </c>
      <c r="O3475" s="6"/>
      <c r="Q3475" s="42" t="s">
        <v>6870</v>
      </c>
      <c r="R3475" s="42"/>
      <c r="S3475" s="1"/>
    </row>
    <row r="3476" spans="1:19" ht="18.75" hidden="1" customHeight="1" x14ac:dyDescent="0.3">
      <c r="A3476" s="10">
        <v>3475</v>
      </c>
      <c r="B3476" s="10">
        <f>_xlfn.XLOOKUP(1,(VALUE(D3476)&gt;=VALUE(block!$C$3:$C$500))*(VALUE(D3476)&lt;VALUE(block!$C$3:$C$500)+VALUE(block!$D$3:$D$500)),block!$A$3:$A$500,"无匹配",0,1)</f>
        <v>93</v>
      </c>
      <c r="C3476" s="3" t="str">
        <f>B3476 &amp; "-" &amp; COUNTIF($B$2:B3476, B3476)</f>
        <v>93-11</v>
      </c>
      <c r="D3476" s="10">
        <v>23578</v>
      </c>
      <c r="E3476" s="1" t="s">
        <v>8385</v>
      </c>
      <c r="F3476" s="1" t="s">
        <v>8386</v>
      </c>
      <c r="G3476" s="1" t="s">
        <v>1830</v>
      </c>
      <c r="H3476" s="1" t="s">
        <v>1812</v>
      </c>
      <c r="I3476" s="10" t="str">
        <f>IF(H3476="T33",1,IF(H3476="T33",3,IF(H3476="T49",6,IF(H3476="T49",10,IF(H3476="T81",14,IF(H3476="T81",18,IF(H3476="T49",22,"")))))))</f>
        <v/>
      </c>
      <c r="J3476" s="1" t="s">
        <v>1808</v>
      </c>
      <c r="K3476" s="10">
        <v>2</v>
      </c>
      <c r="L3476" s="10">
        <v>1</v>
      </c>
      <c r="O3476" s="6"/>
      <c r="P3476" s="10">
        <v>6</v>
      </c>
      <c r="Q3476" s="42" t="s">
        <v>6870</v>
      </c>
      <c r="R3476" s="42"/>
      <c r="S3476" s="1"/>
    </row>
    <row r="3477" spans="1:19" ht="18.75" hidden="1" customHeight="1" x14ac:dyDescent="0.3">
      <c r="A3477" s="10">
        <v>3476</v>
      </c>
      <c r="B3477" s="10">
        <f>_xlfn.XLOOKUP(1,(VALUE(D3477)&gt;=VALUE(block!$C$3:$C$500))*(VALUE(D3477)&lt;VALUE(block!$C$3:$C$500)+VALUE(block!$D$3:$D$500)),block!$A$3:$A$500,"无匹配",0,1)</f>
        <v>93</v>
      </c>
      <c r="C3477" s="3" t="str">
        <f>B3477 &amp; "-" &amp; COUNTIF($B$2:B3477, B3477)</f>
        <v>93-12</v>
      </c>
      <c r="D3477" s="10">
        <v>23580</v>
      </c>
      <c r="E3477" s="1" t="s">
        <v>8387</v>
      </c>
      <c r="F3477" s="1" t="s">
        <v>8388</v>
      </c>
      <c r="H3477" s="3" t="s">
        <v>6767</v>
      </c>
      <c r="I3477" s="10" t="str">
        <f>IF(H3477="T34",1,IF(H3477="T34",3,IF(H3477="T50",6,IF(H3477="T50",10,IF(H3477="T82",14,IF(H3477="T82",18,IF(H3477="T50",22,"")))))))</f>
        <v/>
      </c>
      <c r="J3477" s="1" t="s">
        <v>1808</v>
      </c>
      <c r="K3477" s="10">
        <v>4</v>
      </c>
      <c r="L3477" s="10">
        <v>1</v>
      </c>
      <c r="O3477" s="6"/>
      <c r="Q3477" s="42" t="s">
        <v>6870</v>
      </c>
      <c r="R3477" s="42"/>
      <c r="S3477" s="1"/>
    </row>
    <row r="3478" spans="1:19" ht="18.75" hidden="1" customHeight="1" x14ac:dyDescent="0.3">
      <c r="A3478" s="10">
        <v>3477</v>
      </c>
      <c r="B3478" s="10">
        <f>_xlfn.XLOOKUP(1,(VALUE(D3478)&gt;=VALUE(block!$C$3:$C$500))*(VALUE(D3478)&lt;VALUE(block!$C$3:$C$500)+VALUE(block!$D$3:$D$500)),block!$A$3:$A$500,"无匹配",0,1)</f>
        <v>93</v>
      </c>
      <c r="C3478" s="3" t="str">
        <f>B3478 &amp; "-" &amp; COUNTIF($B$2:B3478, B3478)</f>
        <v>93-13</v>
      </c>
      <c r="D3478" s="10">
        <v>23584</v>
      </c>
      <c r="E3478" s="1" t="s">
        <v>8389</v>
      </c>
      <c r="F3478" s="1" t="s">
        <v>8390</v>
      </c>
      <c r="G3478" s="1" t="s">
        <v>1832</v>
      </c>
      <c r="H3478" s="1" t="s">
        <v>1812</v>
      </c>
      <c r="I3478" s="10" t="str">
        <f>IF(H3478="T35",1,IF(H3478="T35",3,IF(H3478="T51",6,IF(H3478="T51",10,IF(H3478="T83",14,IF(H3478="T83",18,IF(H3478="T51",22,"")))))))</f>
        <v/>
      </c>
      <c r="J3478" s="1" t="s">
        <v>1808</v>
      </c>
      <c r="K3478" s="10">
        <v>2</v>
      </c>
      <c r="L3478" s="10">
        <v>1</v>
      </c>
      <c r="O3478" s="6"/>
      <c r="P3478" s="10">
        <v>6</v>
      </c>
      <c r="Q3478" s="42" t="s">
        <v>6870</v>
      </c>
      <c r="R3478" s="42"/>
      <c r="S3478" s="1"/>
    </row>
    <row r="3479" spans="1:19" ht="18.75" hidden="1" customHeight="1" x14ac:dyDescent="0.3">
      <c r="A3479" s="10">
        <v>3478</v>
      </c>
      <c r="B3479" s="10">
        <f>_xlfn.XLOOKUP(1,(VALUE(D3479)&gt;=VALUE(block!$C$3:$C$500))*(VALUE(D3479)&lt;VALUE(block!$C$3:$C$500)+VALUE(block!$D$3:$D$500)),block!$A$3:$A$500,"无匹配",0,1)</f>
        <v>93</v>
      </c>
      <c r="C3479" s="3" t="str">
        <f>B3479 &amp; "-" &amp; COUNTIF($B$2:B3479, B3479)</f>
        <v>93-14</v>
      </c>
      <c r="D3479" s="10">
        <v>23586</v>
      </c>
      <c r="E3479" s="1" t="s">
        <v>8391</v>
      </c>
      <c r="F3479" s="1" t="s">
        <v>8392</v>
      </c>
      <c r="H3479" s="3" t="s">
        <v>6767</v>
      </c>
      <c r="I3479" s="10" t="str">
        <f>IF(H3479="T36",1,IF(H3479="T36",3,IF(H3479="T52",6,IF(H3479="T52",10,IF(H3479="T84",14,IF(H3479="T84",18,IF(H3479="T52",22,"")))))))</f>
        <v/>
      </c>
      <c r="J3479" s="1" t="s">
        <v>1808</v>
      </c>
      <c r="K3479" s="10">
        <v>4</v>
      </c>
      <c r="L3479" s="10">
        <v>1</v>
      </c>
      <c r="O3479" s="6"/>
      <c r="Q3479" s="42" t="s">
        <v>6870</v>
      </c>
      <c r="R3479" s="42"/>
      <c r="S3479" s="1"/>
    </row>
    <row r="3480" spans="1:19" ht="18.75" hidden="1" customHeight="1" x14ac:dyDescent="0.3">
      <c r="A3480" s="10">
        <v>3479</v>
      </c>
      <c r="B3480" s="10">
        <f>_xlfn.XLOOKUP(1,(VALUE(D3480)&gt;=VALUE(block!$C$3:$C$500))*(VALUE(D3480)&lt;VALUE(block!$C$3:$C$500)+VALUE(block!$D$3:$D$500)),block!$A$3:$A$500,"无匹配",0,1)</f>
        <v>93</v>
      </c>
      <c r="C3480" s="3" t="str">
        <f>B3480 &amp; "-" &amp; COUNTIF($B$2:B3480, B3480)</f>
        <v>93-15</v>
      </c>
      <c r="D3480" s="10">
        <v>23590</v>
      </c>
      <c r="E3480" s="1" t="s">
        <v>8393</v>
      </c>
      <c r="F3480" s="1" t="s">
        <v>8394</v>
      </c>
      <c r="G3480" s="1" t="s">
        <v>1834</v>
      </c>
      <c r="H3480" s="1" t="s">
        <v>1812</v>
      </c>
      <c r="I3480" s="10" t="str">
        <f>IF(H3480="T37",1,IF(H3480="T37",3,IF(H3480="T53",6,IF(H3480="T53",10,IF(H3480="T85",14,IF(H3480="T85",18,IF(H3480="T53",22,"")))))))</f>
        <v/>
      </c>
      <c r="J3480" s="1" t="s">
        <v>1808</v>
      </c>
      <c r="K3480" s="10">
        <v>2</v>
      </c>
      <c r="L3480" s="10">
        <v>1</v>
      </c>
      <c r="O3480" s="6"/>
      <c r="P3480" s="10">
        <v>6</v>
      </c>
      <c r="Q3480" s="42" t="s">
        <v>6870</v>
      </c>
      <c r="R3480" s="42"/>
      <c r="S3480" s="1"/>
    </row>
    <row r="3481" spans="1:19" ht="18.75" hidden="1" customHeight="1" x14ac:dyDescent="0.3">
      <c r="A3481" s="10">
        <v>3480</v>
      </c>
      <c r="B3481" s="10">
        <f>_xlfn.XLOOKUP(1,(VALUE(D3481)&gt;=VALUE(block!$C$3:$C$500))*(VALUE(D3481)&lt;VALUE(block!$C$3:$C$500)+VALUE(block!$D$3:$D$500)),block!$A$3:$A$500,"无匹配",0,1)</f>
        <v>93</v>
      </c>
      <c r="C3481" s="3" t="str">
        <f>B3481 &amp; "-" &amp; COUNTIF($B$2:B3481, B3481)</f>
        <v>93-16</v>
      </c>
      <c r="D3481" s="10">
        <v>23592</v>
      </c>
      <c r="E3481" s="1" t="s">
        <v>8395</v>
      </c>
      <c r="F3481" s="1" t="s">
        <v>8396</v>
      </c>
      <c r="H3481" s="3" t="s">
        <v>6767</v>
      </c>
      <c r="I3481" s="10" t="str">
        <f>IF(H3481="T38",1,IF(H3481="T38",3,IF(H3481="T54",6,IF(H3481="T54",10,IF(H3481="T86",14,IF(H3481="T86",18,IF(H3481="T54",22,"")))))))</f>
        <v/>
      </c>
      <c r="J3481" s="1" t="s">
        <v>1808</v>
      </c>
      <c r="K3481" s="10">
        <v>4</v>
      </c>
      <c r="L3481" s="10">
        <v>1</v>
      </c>
      <c r="O3481" s="6"/>
      <c r="Q3481" s="42" t="s">
        <v>6870</v>
      </c>
      <c r="R3481" s="42"/>
      <c r="S3481" s="1"/>
    </row>
    <row r="3482" spans="1:19" ht="18.75" hidden="1" customHeight="1" x14ac:dyDescent="0.3">
      <c r="A3482" s="10">
        <v>3481</v>
      </c>
      <c r="B3482" s="10">
        <f>_xlfn.XLOOKUP(1,(VALUE(D3482)&gt;=VALUE(block!$C$3:$C$500))*(VALUE(D3482)&lt;VALUE(block!$C$3:$C$500)+VALUE(block!$D$3:$D$500)),block!$A$3:$A$500,"无匹配",0,1)</f>
        <v>93</v>
      </c>
      <c r="C3482" s="3" t="str">
        <f>B3482 &amp; "-" &amp; COUNTIF($B$2:B3482, B3482)</f>
        <v>93-17</v>
      </c>
      <c r="D3482" s="10">
        <v>23596</v>
      </c>
      <c r="E3482" s="1" t="s">
        <v>8397</v>
      </c>
      <c r="F3482" s="1" t="s">
        <v>8398</v>
      </c>
      <c r="G3482" s="1" t="s">
        <v>1836</v>
      </c>
      <c r="H3482" s="1" t="s">
        <v>1812</v>
      </c>
      <c r="I3482" s="10" t="str">
        <f>IF(H3482="T39",1,IF(H3482="T39",3,IF(H3482="T55",6,IF(H3482="T55",10,IF(H3482="T87",14,IF(H3482="T87",18,IF(H3482="T55",22,"")))))))</f>
        <v/>
      </c>
      <c r="J3482" s="1" t="s">
        <v>1808</v>
      </c>
      <c r="K3482" s="10">
        <v>2</v>
      </c>
      <c r="L3482" s="10">
        <v>1</v>
      </c>
      <c r="O3482" s="6"/>
      <c r="P3482" s="10">
        <v>6</v>
      </c>
      <c r="Q3482" s="42" t="s">
        <v>6870</v>
      </c>
      <c r="R3482" s="42"/>
      <c r="S3482" s="1"/>
    </row>
    <row r="3483" spans="1:19" ht="18.75" hidden="1" customHeight="1" x14ac:dyDescent="0.3">
      <c r="A3483" s="10">
        <v>3482</v>
      </c>
      <c r="B3483" s="10">
        <f>_xlfn.XLOOKUP(1,(VALUE(D3483)&gt;=VALUE(block!$C$3:$C$500))*(VALUE(D3483)&lt;VALUE(block!$C$3:$C$500)+VALUE(block!$D$3:$D$500)),block!$A$3:$A$500,"无匹配",0,1)</f>
        <v>93</v>
      </c>
      <c r="C3483" s="3" t="str">
        <f>B3483 &amp; "-" &amp; COUNTIF($B$2:B3483, B3483)</f>
        <v>93-18</v>
      </c>
      <c r="D3483" s="10">
        <v>23598</v>
      </c>
      <c r="E3483" s="1" t="s">
        <v>8399</v>
      </c>
      <c r="F3483" s="1" t="s">
        <v>8400</v>
      </c>
      <c r="H3483" s="3" t="s">
        <v>6767</v>
      </c>
      <c r="I3483" s="10" t="str">
        <f>IF(H3483="T40",1,IF(H3483="T40",3,IF(H3483="T56",6,IF(H3483="T56",10,IF(H3483="T88",14,IF(H3483="T88",18,IF(H3483="T56",22,"")))))))</f>
        <v/>
      </c>
      <c r="J3483" s="1" t="s">
        <v>1808</v>
      </c>
      <c r="K3483" s="10">
        <v>4</v>
      </c>
      <c r="L3483" s="10">
        <v>1</v>
      </c>
      <c r="O3483" s="6"/>
      <c r="Q3483" s="42" t="s">
        <v>6870</v>
      </c>
      <c r="R3483" s="42"/>
      <c r="S3483" s="1"/>
    </row>
    <row r="3484" spans="1:19" ht="18.75" hidden="1" customHeight="1" x14ac:dyDescent="0.3">
      <c r="A3484" s="10">
        <v>3483</v>
      </c>
      <c r="B3484" s="10">
        <f>_xlfn.XLOOKUP(1,(VALUE(D3484)&gt;=VALUE(block!$C$3:$C$500))*(VALUE(D3484)&lt;VALUE(block!$C$3:$C$500)+VALUE(block!$D$3:$D$500)),block!$A$3:$A$500,"无匹配",0,1)</f>
        <v>93</v>
      </c>
      <c r="C3484" s="3" t="str">
        <f>B3484 &amp; "-" &amp; COUNTIF($B$2:B3484, B3484)</f>
        <v>93-19</v>
      </c>
      <c r="D3484" s="10">
        <v>23602</v>
      </c>
      <c r="E3484" s="3" t="s">
        <v>8401</v>
      </c>
      <c r="F3484" s="1" t="s">
        <v>8402</v>
      </c>
      <c r="G3484" s="1" t="s">
        <v>1840</v>
      </c>
      <c r="H3484" s="1" t="s">
        <v>1812</v>
      </c>
      <c r="I3484" s="10" t="str">
        <f>IF(H3484="T41",1,IF(H3484="T41",3,IF(H3484="T57",6,IF(H3484="T57",10,IF(H3484="T89",14,IF(H3484="T89",18,IF(H3484="T57",22,"")))))))</f>
        <v/>
      </c>
      <c r="J3484" s="1" t="s">
        <v>1808</v>
      </c>
      <c r="K3484" s="10">
        <v>2</v>
      </c>
      <c r="L3484" s="10">
        <v>1</v>
      </c>
      <c r="O3484" s="6"/>
      <c r="P3484" s="10">
        <v>6</v>
      </c>
      <c r="Q3484" s="42" t="s">
        <v>6870</v>
      </c>
      <c r="R3484" s="42"/>
      <c r="S3484" s="1"/>
    </row>
    <row r="3485" spans="1:19" ht="18.75" hidden="1" customHeight="1" x14ac:dyDescent="0.3">
      <c r="A3485" s="10">
        <v>3484</v>
      </c>
      <c r="B3485" s="10">
        <f>_xlfn.XLOOKUP(1,(VALUE(D3485)&gt;=VALUE(block!$C$3:$C$500))*(VALUE(D3485)&lt;VALUE(block!$C$3:$C$500)+VALUE(block!$D$3:$D$500)),block!$A$3:$A$500,"无匹配",0,1)</f>
        <v>93</v>
      </c>
      <c r="C3485" s="3" t="str">
        <f>B3485 &amp; "-" &amp; COUNTIF($B$2:B3485, B3485)</f>
        <v>93-20</v>
      </c>
      <c r="D3485" s="10">
        <v>23604</v>
      </c>
      <c r="E3485" s="1" t="s">
        <v>8403</v>
      </c>
      <c r="F3485" s="1" t="s">
        <v>8404</v>
      </c>
      <c r="H3485" s="3" t="s">
        <v>6767</v>
      </c>
      <c r="I3485" s="10" t="str">
        <f>IF(H3485="T42",1,IF(H3485="T42",3,IF(H3485="T58",6,IF(H3485="T58",10,IF(H3485="T90",14,IF(H3485="T90",18,IF(H3485="T58",22,"")))))))</f>
        <v/>
      </c>
      <c r="J3485" s="1" t="s">
        <v>1808</v>
      </c>
      <c r="K3485" s="10">
        <v>4</v>
      </c>
      <c r="L3485" s="10">
        <v>1</v>
      </c>
      <c r="O3485" s="6"/>
      <c r="Q3485" s="42" t="s">
        <v>6870</v>
      </c>
      <c r="R3485" s="42"/>
      <c r="S3485" s="1"/>
    </row>
    <row r="3486" spans="1:19" ht="18.75" hidden="1" customHeight="1" x14ac:dyDescent="0.3">
      <c r="A3486" s="10">
        <v>3485</v>
      </c>
      <c r="B3486" s="10">
        <f>_xlfn.XLOOKUP(1,(VALUE(D3486)&gt;=VALUE(block!$C$3:$C$500))*(VALUE(D3486)&lt;VALUE(block!$C$3:$C$500)+VALUE(block!$D$3:$D$500)),block!$A$3:$A$500,"无匹配",0,1)</f>
        <v>93</v>
      </c>
      <c r="C3486" s="3" t="str">
        <f>B3486 &amp; "-" &amp; COUNTIF($B$2:B3486, B3486)</f>
        <v>93-21</v>
      </c>
      <c r="D3486" s="10">
        <v>23608</v>
      </c>
      <c r="E3486" s="1" t="s">
        <v>8405</v>
      </c>
      <c r="F3486" s="1" t="s">
        <v>8406</v>
      </c>
      <c r="G3486" s="1" t="s">
        <v>1830</v>
      </c>
      <c r="H3486" s="1" t="s">
        <v>1812</v>
      </c>
      <c r="I3486" s="10" t="str">
        <f>IF(H3486="T43",1,IF(H3486="T43",3,IF(H3486="T59",6,IF(H3486="T59",10,IF(H3486="T91",14,IF(H3486="T91",18,IF(H3486="T59",22,"")))))))</f>
        <v/>
      </c>
      <c r="J3486" s="1" t="s">
        <v>1808</v>
      </c>
      <c r="K3486" s="10">
        <v>2</v>
      </c>
      <c r="L3486" s="10">
        <v>1</v>
      </c>
      <c r="O3486" s="6"/>
      <c r="P3486" s="10">
        <v>6</v>
      </c>
      <c r="Q3486" s="42" t="s">
        <v>6870</v>
      </c>
      <c r="R3486" s="42"/>
      <c r="S3486" s="1"/>
    </row>
    <row r="3487" spans="1:19" ht="18.75" hidden="1" customHeight="1" x14ac:dyDescent="0.3">
      <c r="A3487" s="10">
        <v>3486</v>
      </c>
      <c r="B3487" s="10">
        <f>_xlfn.XLOOKUP(1,(VALUE(D3487)&gt;=VALUE(block!$C$3:$C$500))*(VALUE(D3487)&lt;VALUE(block!$C$3:$C$500)+VALUE(block!$D$3:$D$500)),block!$A$3:$A$500,"无匹配",0,1)</f>
        <v>93</v>
      </c>
      <c r="C3487" s="3" t="str">
        <f>B3487 &amp; "-" &amp; COUNTIF($B$2:B3487, B3487)</f>
        <v>93-22</v>
      </c>
      <c r="D3487" s="10">
        <v>23610</v>
      </c>
      <c r="E3487" s="1" t="s">
        <v>8407</v>
      </c>
      <c r="F3487" s="1" t="s">
        <v>8408</v>
      </c>
      <c r="H3487" s="3" t="s">
        <v>6767</v>
      </c>
      <c r="I3487" s="10" t="str">
        <f>IF(H3487="T44",1,IF(H3487="T44",3,IF(H3487="T60",6,IF(H3487="T60",10,IF(H3487="T92",14,IF(H3487="T92",18,IF(H3487="T60",22,"")))))))</f>
        <v/>
      </c>
      <c r="J3487" s="1" t="s">
        <v>1808</v>
      </c>
      <c r="K3487" s="10">
        <v>4</v>
      </c>
      <c r="L3487" s="10">
        <v>1</v>
      </c>
      <c r="O3487" s="6"/>
      <c r="Q3487" s="42" t="s">
        <v>6870</v>
      </c>
      <c r="R3487" s="42"/>
      <c r="S3487" s="1"/>
    </row>
    <row r="3488" spans="1:19" ht="18.75" hidden="1" customHeight="1" x14ac:dyDescent="0.3">
      <c r="A3488" s="10">
        <v>3487</v>
      </c>
      <c r="B3488" s="10">
        <f>_xlfn.XLOOKUP(1,(VALUE(D3488)&gt;=VALUE(block!$C$3:$C$500))*(VALUE(D3488)&lt;VALUE(block!$C$3:$C$500)+VALUE(block!$D$3:$D$500)),block!$A$3:$A$500,"无匹配",0,1)</f>
        <v>93</v>
      </c>
      <c r="C3488" s="3" t="str">
        <f>B3488 &amp; "-" &amp; COUNTIF($B$2:B3488, B3488)</f>
        <v>93-23</v>
      </c>
      <c r="D3488" s="10">
        <v>23614</v>
      </c>
      <c r="E3488" s="1" t="s">
        <v>8409</v>
      </c>
      <c r="F3488" s="1" t="s">
        <v>8410</v>
      </c>
      <c r="G3488" s="1" t="s">
        <v>1832</v>
      </c>
      <c r="H3488" s="1" t="s">
        <v>1812</v>
      </c>
      <c r="I3488" s="10" t="str">
        <f>IF(H3488="T45",1,IF(H3488="T45",3,IF(H3488="T61",6,IF(H3488="T61",10,IF(H3488="T93",14,IF(H3488="T93",18,IF(H3488="T61",22,"")))))))</f>
        <v/>
      </c>
      <c r="J3488" s="1" t="s">
        <v>1808</v>
      </c>
      <c r="K3488" s="10">
        <v>2</v>
      </c>
      <c r="L3488" s="10">
        <v>1</v>
      </c>
      <c r="O3488" s="6"/>
      <c r="P3488" s="10">
        <v>6</v>
      </c>
      <c r="Q3488" s="42" t="s">
        <v>6870</v>
      </c>
      <c r="R3488" s="42"/>
      <c r="S3488" s="1"/>
    </row>
    <row r="3489" spans="1:19" ht="18.75" hidden="1" customHeight="1" x14ac:dyDescent="0.3">
      <c r="A3489" s="10">
        <v>3488</v>
      </c>
      <c r="B3489" s="10">
        <f>_xlfn.XLOOKUP(1,(VALUE(D3489)&gt;=VALUE(block!$C$3:$C$500))*(VALUE(D3489)&lt;VALUE(block!$C$3:$C$500)+VALUE(block!$D$3:$D$500)),block!$A$3:$A$500,"无匹配",0,1)</f>
        <v>93</v>
      </c>
      <c r="C3489" s="3" t="str">
        <f>B3489 &amp; "-" &amp; COUNTIF($B$2:B3489, B3489)</f>
        <v>93-24</v>
      </c>
      <c r="D3489" s="10">
        <v>23616</v>
      </c>
      <c r="E3489" s="1" t="s">
        <v>8411</v>
      </c>
      <c r="F3489" s="1" t="s">
        <v>8412</v>
      </c>
      <c r="H3489" s="3" t="s">
        <v>6767</v>
      </c>
      <c r="I3489" s="10" t="str">
        <f>IF(H3489="T46",1,IF(H3489="T46",3,IF(H3489="T62",6,IF(H3489="T62",10,IF(H3489="T94",14,IF(H3489="T94",18,IF(H3489="T62",22,"")))))))</f>
        <v/>
      </c>
      <c r="J3489" s="1" t="s">
        <v>1808</v>
      </c>
      <c r="K3489" s="10">
        <v>4</v>
      </c>
      <c r="L3489" s="10">
        <v>1</v>
      </c>
      <c r="O3489" s="6"/>
      <c r="Q3489" s="42" t="s">
        <v>6870</v>
      </c>
      <c r="R3489" s="42"/>
      <c r="S3489" s="1"/>
    </row>
    <row r="3490" spans="1:19" ht="18.75" hidden="1" customHeight="1" x14ac:dyDescent="0.3">
      <c r="A3490" s="10">
        <v>3489</v>
      </c>
      <c r="B3490" s="10">
        <f>_xlfn.XLOOKUP(1,(VALUE(D3490)&gt;=VALUE(block!$C$3:$C$500))*(VALUE(D3490)&lt;VALUE(block!$C$3:$C$500)+VALUE(block!$D$3:$D$500)),block!$A$3:$A$500,"无匹配",0,1)</f>
        <v>93</v>
      </c>
      <c r="C3490" s="3" t="str">
        <f>B3490 &amp; "-" &amp; COUNTIF($B$2:B3490, B3490)</f>
        <v>93-25</v>
      </c>
      <c r="D3490" s="10">
        <v>23620</v>
      </c>
      <c r="E3490" s="1" t="s">
        <v>8413</v>
      </c>
      <c r="F3490" s="1" t="s">
        <v>8414</v>
      </c>
      <c r="G3490" s="1" t="s">
        <v>1834</v>
      </c>
      <c r="H3490" s="1" t="s">
        <v>1812</v>
      </c>
      <c r="I3490" s="10" t="str">
        <f>IF(H3490="T47",1,IF(H3490="T47",3,IF(H3490="T63",6,IF(H3490="T63",10,IF(H3490="T95",14,IF(H3490="T95",18,IF(H3490="T63",22,"")))))))</f>
        <v/>
      </c>
      <c r="J3490" s="1" t="s">
        <v>1808</v>
      </c>
      <c r="K3490" s="10">
        <v>2</v>
      </c>
      <c r="L3490" s="10">
        <v>1</v>
      </c>
      <c r="O3490" s="6"/>
      <c r="P3490" s="10">
        <v>6</v>
      </c>
      <c r="Q3490" s="42" t="s">
        <v>6870</v>
      </c>
      <c r="R3490" s="42"/>
      <c r="S3490" s="1"/>
    </row>
    <row r="3491" spans="1:19" ht="18.75" hidden="1" customHeight="1" x14ac:dyDescent="0.3">
      <c r="A3491" s="10">
        <v>3490</v>
      </c>
      <c r="B3491" s="10">
        <f>_xlfn.XLOOKUP(1,(VALUE(D3491)&gt;=VALUE(block!$C$3:$C$500))*(VALUE(D3491)&lt;VALUE(block!$C$3:$C$500)+VALUE(block!$D$3:$D$500)),block!$A$3:$A$500,"无匹配",0,1)</f>
        <v>93</v>
      </c>
      <c r="C3491" s="3" t="str">
        <f>B3491 &amp; "-" &amp; COUNTIF($B$2:B3491, B3491)</f>
        <v>93-26</v>
      </c>
      <c r="D3491" s="10">
        <v>23622</v>
      </c>
      <c r="E3491" s="1" t="s">
        <v>8415</v>
      </c>
      <c r="F3491" s="1" t="s">
        <v>8416</v>
      </c>
      <c r="H3491" s="3" t="s">
        <v>6767</v>
      </c>
      <c r="I3491" s="10" t="str">
        <f>IF(H3491="T48",1,IF(H3491="T48",3,IF(H3491="T64",6,IF(H3491="T64",10,IF(H3491="T96",14,IF(H3491="T96",18,IF(H3491="T64",22,"")))))))</f>
        <v/>
      </c>
      <c r="J3491" s="1" t="s">
        <v>1808</v>
      </c>
      <c r="K3491" s="10">
        <v>4</v>
      </c>
      <c r="L3491" s="10">
        <v>1</v>
      </c>
      <c r="O3491" s="6"/>
      <c r="Q3491" s="42" t="s">
        <v>6870</v>
      </c>
      <c r="R3491" s="42"/>
      <c r="S3491" s="1"/>
    </row>
    <row r="3492" spans="1:19" ht="18.75" hidden="1" customHeight="1" x14ac:dyDescent="0.3">
      <c r="A3492" s="10">
        <v>3491</v>
      </c>
      <c r="B3492" s="10">
        <f>_xlfn.XLOOKUP(1,(VALUE(D3492)&gt;=VALUE(block!$C$3:$C$500))*(VALUE(D3492)&lt;VALUE(block!$C$3:$C$500)+VALUE(block!$D$3:$D$500)),block!$A$3:$A$500,"无匹配",0,1)</f>
        <v>93</v>
      </c>
      <c r="C3492" s="3" t="str">
        <f>B3492 &amp; "-" &amp; COUNTIF($B$2:B3492, B3492)</f>
        <v>93-27</v>
      </c>
      <c r="D3492" s="10">
        <v>23626</v>
      </c>
      <c r="E3492" s="1" t="s">
        <v>8417</v>
      </c>
      <c r="F3492" s="1" t="s">
        <v>8418</v>
      </c>
      <c r="G3492" s="1" t="s">
        <v>1836</v>
      </c>
      <c r="H3492" s="1" t="s">
        <v>1812</v>
      </c>
      <c r="I3492" s="10" t="str">
        <f>IF(H3492="T49",1,IF(H3492="T49",3,IF(H3492="T65",6,IF(H3492="T65",10,IF(H3492="T97",14,IF(H3492="T97",18,IF(H3492="T65",22,"")))))))</f>
        <v/>
      </c>
      <c r="J3492" s="1" t="s">
        <v>1808</v>
      </c>
      <c r="K3492" s="10">
        <v>2</v>
      </c>
      <c r="L3492" s="10">
        <v>1</v>
      </c>
      <c r="O3492" s="6"/>
      <c r="P3492" s="10">
        <v>6</v>
      </c>
      <c r="Q3492" s="42" t="s">
        <v>6870</v>
      </c>
      <c r="R3492" s="42"/>
      <c r="S3492" s="1"/>
    </row>
    <row r="3493" spans="1:19" ht="18.75" hidden="1" customHeight="1" x14ac:dyDescent="0.3">
      <c r="A3493" s="10">
        <v>3492</v>
      </c>
      <c r="B3493" s="10">
        <f>_xlfn.XLOOKUP(1,(VALUE(D3493)&gt;=VALUE(block!$C$3:$C$500))*(VALUE(D3493)&lt;VALUE(block!$C$3:$C$500)+VALUE(block!$D$3:$D$500)),block!$A$3:$A$500,"无匹配",0,1)</f>
        <v>93</v>
      </c>
      <c r="C3493" s="3" t="str">
        <f>B3493 &amp; "-" &amp; COUNTIF($B$2:B3493, B3493)</f>
        <v>93-28</v>
      </c>
      <c r="D3493" s="10">
        <v>23628</v>
      </c>
      <c r="E3493" s="1" t="s">
        <v>8419</v>
      </c>
      <c r="F3493" s="1" t="s">
        <v>8420</v>
      </c>
      <c r="H3493" s="3" t="s">
        <v>6767</v>
      </c>
      <c r="I3493" s="10" t="str">
        <f>IF(H3493="T50",1,IF(H3493="T50",3,IF(H3493="T66",6,IF(H3493="T66",10,IF(H3493="T98",14,IF(H3493="T98",18,IF(H3493="T66",22,"")))))))</f>
        <v/>
      </c>
      <c r="J3493" s="1" t="s">
        <v>1808</v>
      </c>
      <c r="K3493" s="10">
        <v>4</v>
      </c>
      <c r="L3493" s="10">
        <v>1</v>
      </c>
      <c r="O3493" s="6"/>
      <c r="Q3493" s="42" t="s">
        <v>6870</v>
      </c>
      <c r="R3493" s="42"/>
      <c r="S3493" s="1"/>
    </row>
    <row r="3494" spans="1:19" ht="18.75" hidden="1" customHeight="1" x14ac:dyDescent="0.3">
      <c r="A3494" s="10">
        <v>3493</v>
      </c>
      <c r="B3494" s="10">
        <f>_xlfn.XLOOKUP(1,(VALUE(D3494)&gt;=VALUE(block!$C$3:$C$500))*(VALUE(D3494)&lt;VALUE(block!$C$3:$C$500)+VALUE(block!$D$3:$D$500)),block!$A$3:$A$500,"无匹配",0,1)</f>
        <v>93</v>
      </c>
      <c r="C3494" s="3" t="str">
        <f>B3494 &amp; "-" &amp; COUNTIF($B$2:B3494, B3494)</f>
        <v>93-29</v>
      </c>
      <c r="D3494" s="10">
        <v>23632</v>
      </c>
      <c r="E3494" s="3" t="s">
        <v>8421</v>
      </c>
      <c r="F3494" s="1" t="s">
        <v>8422</v>
      </c>
      <c r="G3494" s="1" t="s">
        <v>1840</v>
      </c>
      <c r="H3494" s="1" t="s">
        <v>1812</v>
      </c>
      <c r="I3494" s="10" t="str">
        <f>IF(H3494="T51",1,IF(H3494="T51",3,IF(H3494="T67",6,IF(H3494="T67",10,IF(H3494="T99",14,IF(H3494="T99",18,IF(H3494="T67",22,"")))))))</f>
        <v/>
      </c>
      <c r="J3494" s="1" t="s">
        <v>1808</v>
      </c>
      <c r="K3494" s="10">
        <v>2</v>
      </c>
      <c r="L3494" s="10">
        <v>1</v>
      </c>
      <c r="O3494" s="6"/>
      <c r="P3494" s="10">
        <v>6</v>
      </c>
      <c r="Q3494" s="42" t="s">
        <v>6870</v>
      </c>
      <c r="R3494" s="42"/>
      <c r="S3494" s="1"/>
    </row>
    <row r="3495" spans="1:19" ht="18.75" hidden="1" customHeight="1" x14ac:dyDescent="0.3">
      <c r="A3495" s="10">
        <v>3494</v>
      </c>
      <c r="B3495" s="10">
        <f>_xlfn.XLOOKUP(1,(VALUE(D3495)&gt;=VALUE(block!$C$3:$C$500))*(VALUE(D3495)&lt;VALUE(block!$C$3:$C$500)+VALUE(block!$D$3:$D$500)),block!$A$3:$A$500,"无匹配",0,1)</f>
        <v>93</v>
      </c>
      <c r="C3495" s="3" t="str">
        <f>B3495 &amp; "-" &amp; COUNTIF($B$2:B3495, B3495)</f>
        <v>93-30</v>
      </c>
      <c r="D3495" s="10">
        <v>23634</v>
      </c>
      <c r="E3495" s="1" t="s">
        <v>8423</v>
      </c>
      <c r="F3495" s="1" t="s">
        <v>8424</v>
      </c>
      <c r="H3495" s="3" t="s">
        <v>6767</v>
      </c>
      <c r="I3495" s="10" t="str">
        <f>IF(H3495="T52",1,IF(H3495="T52",3,IF(H3495="T68",6,IF(H3495="T68",10,IF(H3495="T100",14,IF(H3495="T100",18,IF(H3495="T68",22,"")))))))</f>
        <v/>
      </c>
      <c r="J3495" s="1" t="s">
        <v>1808</v>
      </c>
      <c r="K3495" s="10">
        <v>4</v>
      </c>
      <c r="L3495" s="10">
        <v>1</v>
      </c>
      <c r="O3495" s="6"/>
      <c r="Q3495" s="42" t="s">
        <v>6870</v>
      </c>
      <c r="R3495" s="42"/>
      <c r="S3495" s="1"/>
    </row>
    <row r="3496" spans="1:19" ht="18.75" hidden="1" customHeight="1" x14ac:dyDescent="0.3">
      <c r="A3496" s="10">
        <v>3495</v>
      </c>
      <c r="B3496" s="10">
        <f>_xlfn.XLOOKUP(1,(VALUE(D3496)&gt;=VALUE(block!$C$3:$C$500))*(VALUE(D3496)&lt;VALUE(block!$C$3:$C$500)+VALUE(block!$D$3:$D$500)),block!$A$3:$A$500,"无匹配",0,1)</f>
        <v>93</v>
      </c>
      <c r="C3496" s="3" t="str">
        <f>B3496 &amp; "-" &amp; COUNTIF($B$2:B3496, B3496)</f>
        <v>93-31</v>
      </c>
      <c r="D3496" s="10">
        <v>23638</v>
      </c>
      <c r="E3496" s="1" t="s">
        <v>8425</v>
      </c>
      <c r="F3496" s="1" t="s">
        <v>8426</v>
      </c>
      <c r="G3496" s="1" t="s">
        <v>1830</v>
      </c>
      <c r="H3496" s="1" t="s">
        <v>1812</v>
      </c>
      <c r="I3496" s="10" t="str">
        <f>IF(H3496="T53",1,IF(H3496="T53",3,IF(H3496="T69",6,IF(H3496="T69",10,IF(H3496="T101",14,IF(H3496="T101",18,IF(H3496="T69",22,"")))))))</f>
        <v/>
      </c>
      <c r="J3496" s="1" t="s">
        <v>1808</v>
      </c>
      <c r="K3496" s="10">
        <v>2</v>
      </c>
      <c r="L3496" s="10">
        <v>1</v>
      </c>
      <c r="O3496" s="6"/>
      <c r="P3496" s="10">
        <v>6</v>
      </c>
      <c r="Q3496" s="42" t="s">
        <v>6870</v>
      </c>
      <c r="R3496" s="42"/>
      <c r="S3496" s="1"/>
    </row>
    <row r="3497" spans="1:19" ht="18.75" hidden="1" customHeight="1" x14ac:dyDescent="0.3">
      <c r="A3497" s="10">
        <v>3496</v>
      </c>
      <c r="B3497" s="10">
        <f>_xlfn.XLOOKUP(1,(VALUE(D3497)&gt;=VALUE(block!$C$3:$C$500))*(VALUE(D3497)&lt;VALUE(block!$C$3:$C$500)+VALUE(block!$D$3:$D$500)),block!$A$3:$A$500,"无匹配",0,1)</f>
        <v>93</v>
      </c>
      <c r="C3497" s="3" t="str">
        <f>B3497 &amp; "-" &amp; COUNTIF($B$2:B3497, B3497)</f>
        <v>93-32</v>
      </c>
      <c r="D3497" s="10">
        <v>23640</v>
      </c>
      <c r="E3497" s="1" t="s">
        <v>8427</v>
      </c>
      <c r="F3497" s="1" t="s">
        <v>8428</v>
      </c>
      <c r="H3497" s="3" t="s">
        <v>6767</v>
      </c>
      <c r="I3497" s="10" t="str">
        <f>IF(H3497="T54",1,IF(H3497="T54",3,IF(H3497="T70",6,IF(H3497="T70",10,IF(H3497="T102",14,IF(H3497="T102",18,IF(H3497="T70",22,"")))))))</f>
        <v/>
      </c>
      <c r="J3497" s="1" t="s">
        <v>1808</v>
      </c>
      <c r="K3497" s="10">
        <v>4</v>
      </c>
      <c r="L3497" s="10">
        <v>1</v>
      </c>
      <c r="O3497" s="6"/>
      <c r="Q3497" s="42" t="s">
        <v>6870</v>
      </c>
      <c r="R3497" s="42"/>
      <c r="S3497" s="1"/>
    </row>
    <row r="3498" spans="1:19" ht="18.75" hidden="1" customHeight="1" x14ac:dyDescent="0.3">
      <c r="A3498" s="10">
        <v>3497</v>
      </c>
      <c r="B3498" s="10">
        <f>_xlfn.XLOOKUP(1,(VALUE(D3498)&gt;=VALUE(block!$C$3:$C$500))*(VALUE(D3498)&lt;VALUE(block!$C$3:$C$500)+VALUE(block!$D$3:$D$500)),block!$A$3:$A$500,"无匹配",0,1)</f>
        <v>93</v>
      </c>
      <c r="C3498" s="3" t="str">
        <f>B3498 &amp; "-" &amp; COUNTIF($B$2:B3498, B3498)</f>
        <v>93-33</v>
      </c>
      <c r="D3498" s="10">
        <v>23644</v>
      </c>
      <c r="E3498" s="1" t="s">
        <v>8429</v>
      </c>
      <c r="F3498" s="1" t="s">
        <v>8430</v>
      </c>
      <c r="G3498" s="1" t="s">
        <v>1832</v>
      </c>
      <c r="H3498" s="1" t="s">
        <v>1812</v>
      </c>
      <c r="I3498" s="10" t="str">
        <f>IF(H3498="T55",1,IF(H3498="T55",3,IF(H3498="T71",6,IF(H3498="T71",10,IF(H3498="T103",14,IF(H3498="T103",18,IF(H3498="T71",22,"")))))))</f>
        <v/>
      </c>
      <c r="J3498" s="1" t="s">
        <v>1808</v>
      </c>
      <c r="K3498" s="10">
        <v>2</v>
      </c>
      <c r="L3498" s="10">
        <v>1</v>
      </c>
      <c r="O3498" s="6"/>
      <c r="P3498" s="10">
        <v>6</v>
      </c>
      <c r="Q3498" s="42" t="s">
        <v>6870</v>
      </c>
      <c r="R3498" s="42"/>
      <c r="S3498" s="1"/>
    </row>
    <row r="3499" spans="1:19" ht="18.75" hidden="1" customHeight="1" x14ac:dyDescent="0.3">
      <c r="A3499" s="10">
        <v>3498</v>
      </c>
      <c r="B3499" s="10">
        <f>_xlfn.XLOOKUP(1,(VALUE(D3499)&gt;=VALUE(block!$C$3:$C$500))*(VALUE(D3499)&lt;VALUE(block!$C$3:$C$500)+VALUE(block!$D$3:$D$500)),block!$A$3:$A$500,"无匹配",0,1)</f>
        <v>93</v>
      </c>
      <c r="C3499" s="3" t="str">
        <f>B3499 &amp; "-" &amp; COUNTIF($B$2:B3499, B3499)</f>
        <v>93-34</v>
      </c>
      <c r="D3499" s="10">
        <v>23646</v>
      </c>
      <c r="E3499" s="1" t="s">
        <v>8431</v>
      </c>
      <c r="F3499" s="1" t="s">
        <v>8432</v>
      </c>
      <c r="H3499" s="3" t="s">
        <v>6767</v>
      </c>
      <c r="I3499" s="10" t="str">
        <f>IF(H3499="T56",1,IF(H3499="T56",3,IF(H3499="T72",6,IF(H3499="T72",10,IF(H3499="T104",14,IF(H3499="T104",18,IF(H3499="T72",22,"")))))))</f>
        <v/>
      </c>
      <c r="J3499" s="1" t="s">
        <v>1808</v>
      </c>
      <c r="K3499" s="10">
        <v>4</v>
      </c>
      <c r="L3499" s="10">
        <v>1</v>
      </c>
      <c r="O3499" s="6"/>
      <c r="Q3499" s="42" t="s">
        <v>6870</v>
      </c>
      <c r="R3499" s="42"/>
      <c r="S3499" s="1"/>
    </row>
    <row r="3500" spans="1:19" ht="18.75" hidden="1" customHeight="1" x14ac:dyDescent="0.3">
      <c r="A3500" s="10">
        <v>3499</v>
      </c>
      <c r="B3500" s="10">
        <f>_xlfn.XLOOKUP(1,(VALUE(D3500)&gt;=VALUE(block!$C$3:$C$500))*(VALUE(D3500)&lt;VALUE(block!$C$3:$C$500)+VALUE(block!$D$3:$D$500)),block!$A$3:$A$500,"无匹配",0,1)</f>
        <v>93</v>
      </c>
      <c r="C3500" s="3" t="str">
        <f>B3500 &amp; "-" &amp; COUNTIF($B$2:B3500, B3500)</f>
        <v>93-35</v>
      </c>
      <c r="D3500" s="10">
        <v>23650</v>
      </c>
      <c r="E3500" s="1" t="s">
        <v>8433</v>
      </c>
      <c r="F3500" s="1" t="s">
        <v>8434</v>
      </c>
      <c r="G3500" s="1" t="s">
        <v>1834</v>
      </c>
      <c r="H3500" s="1" t="s">
        <v>1812</v>
      </c>
      <c r="I3500" s="10" t="str">
        <f>IF(H3500="T57",1,IF(H3500="T57",3,IF(H3500="T73",6,IF(H3500="T73",10,IF(H3500="T105",14,IF(H3500="T105",18,IF(H3500="T73",22,"")))))))</f>
        <v/>
      </c>
      <c r="J3500" s="1" t="s">
        <v>1808</v>
      </c>
      <c r="K3500" s="10">
        <v>2</v>
      </c>
      <c r="L3500" s="10">
        <v>1</v>
      </c>
      <c r="O3500" s="6"/>
      <c r="P3500" s="10">
        <v>6</v>
      </c>
      <c r="Q3500" s="42" t="s">
        <v>6870</v>
      </c>
      <c r="R3500" s="42"/>
      <c r="S3500" s="1"/>
    </row>
    <row r="3501" spans="1:19" ht="18.75" hidden="1" customHeight="1" x14ac:dyDescent="0.3">
      <c r="A3501" s="10">
        <v>3500</v>
      </c>
      <c r="B3501" s="10">
        <f>_xlfn.XLOOKUP(1,(VALUE(D3501)&gt;=VALUE(block!$C$3:$C$500))*(VALUE(D3501)&lt;VALUE(block!$C$3:$C$500)+VALUE(block!$D$3:$D$500)),block!$A$3:$A$500,"无匹配",0,1)</f>
        <v>93</v>
      </c>
      <c r="C3501" s="3" t="str">
        <f>B3501 &amp; "-" &amp; COUNTIF($B$2:B3501, B3501)</f>
        <v>93-36</v>
      </c>
      <c r="D3501" s="10">
        <v>23652</v>
      </c>
      <c r="E3501" s="1" t="s">
        <v>8435</v>
      </c>
      <c r="F3501" s="1" t="s">
        <v>8436</v>
      </c>
      <c r="H3501" s="3" t="s">
        <v>6767</v>
      </c>
      <c r="I3501" s="10" t="str">
        <f>IF(H3501="T58",1,IF(H3501="T58",3,IF(H3501="T74",6,IF(H3501="T74",10,IF(H3501="T106",14,IF(H3501="T106",18,IF(H3501="T74",22,"")))))))</f>
        <v/>
      </c>
      <c r="J3501" s="1" t="s">
        <v>1808</v>
      </c>
      <c r="K3501" s="10">
        <v>4</v>
      </c>
      <c r="L3501" s="10">
        <v>1</v>
      </c>
      <c r="O3501" s="6"/>
      <c r="Q3501" s="42" t="s">
        <v>6870</v>
      </c>
      <c r="R3501" s="42"/>
      <c r="S3501" s="1"/>
    </row>
    <row r="3502" spans="1:19" ht="18.75" hidden="1" customHeight="1" x14ac:dyDescent="0.3">
      <c r="A3502" s="10">
        <v>3501</v>
      </c>
      <c r="B3502" s="10">
        <f>_xlfn.XLOOKUP(1,(VALUE(D3502)&gt;=VALUE(block!$C$3:$C$500))*(VALUE(D3502)&lt;VALUE(block!$C$3:$C$500)+VALUE(block!$D$3:$D$500)),block!$A$3:$A$500,"无匹配",0,1)</f>
        <v>93</v>
      </c>
      <c r="C3502" s="3" t="str">
        <f>B3502 &amp; "-" &amp; COUNTIF($B$2:B3502, B3502)</f>
        <v>93-37</v>
      </c>
      <c r="D3502" s="10">
        <v>23656</v>
      </c>
      <c r="E3502" s="1" t="s">
        <v>8437</v>
      </c>
      <c r="F3502" s="1" t="s">
        <v>8438</v>
      </c>
      <c r="G3502" s="1" t="s">
        <v>1836</v>
      </c>
      <c r="H3502" s="1" t="s">
        <v>1812</v>
      </c>
      <c r="I3502" s="10" t="str">
        <f>IF(H3502="T59",1,IF(H3502="T59",3,IF(H3502="T75",6,IF(H3502="T75",10,IF(H3502="T107",14,IF(H3502="T107",18,IF(H3502="T75",22,"")))))))</f>
        <v/>
      </c>
      <c r="J3502" s="1" t="s">
        <v>1808</v>
      </c>
      <c r="K3502" s="10">
        <v>2</v>
      </c>
      <c r="L3502" s="10">
        <v>1</v>
      </c>
      <c r="O3502" s="6"/>
      <c r="P3502" s="10">
        <v>6</v>
      </c>
      <c r="Q3502" s="42" t="s">
        <v>6870</v>
      </c>
      <c r="R3502" s="42"/>
      <c r="S3502" s="1"/>
    </row>
    <row r="3503" spans="1:19" ht="18.75" hidden="1" customHeight="1" x14ac:dyDescent="0.3">
      <c r="A3503" s="10">
        <v>3502</v>
      </c>
      <c r="B3503" s="10">
        <f>_xlfn.XLOOKUP(1,(VALUE(D3503)&gt;=VALUE(block!$C$3:$C$500))*(VALUE(D3503)&lt;VALUE(block!$C$3:$C$500)+VALUE(block!$D$3:$D$500)),block!$A$3:$A$500,"无匹配",0,1)</f>
        <v>93</v>
      </c>
      <c r="C3503" s="3" t="str">
        <f>B3503 &amp; "-" &amp; COUNTIF($B$2:B3503, B3503)</f>
        <v>93-38</v>
      </c>
      <c r="D3503" s="10">
        <v>23658</v>
      </c>
      <c r="E3503" s="1" t="s">
        <v>8439</v>
      </c>
      <c r="F3503" s="1" t="s">
        <v>8440</v>
      </c>
      <c r="H3503" s="3" t="s">
        <v>6767</v>
      </c>
      <c r="I3503" s="10" t="str">
        <f>IF(H3503="T60",1,IF(H3503="T60",3,IF(H3503="T76",6,IF(H3503="T76",10,IF(H3503="T108",14,IF(H3503="T108",18,IF(H3503="T76",22,"")))))))</f>
        <v/>
      </c>
      <c r="J3503" s="1" t="s">
        <v>1808</v>
      </c>
      <c r="K3503" s="10">
        <v>4</v>
      </c>
      <c r="L3503" s="10">
        <v>1</v>
      </c>
      <c r="O3503" s="6"/>
      <c r="Q3503" s="42" t="s">
        <v>6870</v>
      </c>
      <c r="R3503" s="42"/>
      <c r="S3503" s="1"/>
    </row>
    <row r="3504" spans="1:19" ht="18.75" hidden="1" customHeight="1" x14ac:dyDescent="0.3">
      <c r="A3504" s="10">
        <v>3503</v>
      </c>
      <c r="B3504" s="10">
        <f>_xlfn.XLOOKUP(1,(VALUE(D3504)&gt;=VALUE(block!$C$3:$C$500))*(VALUE(D3504)&lt;VALUE(block!$C$3:$C$500)+VALUE(block!$D$3:$D$500)),block!$A$3:$A$500,"无匹配",0,1)</f>
        <v>93</v>
      </c>
      <c r="C3504" s="3" t="str">
        <f>B3504 &amp; "-" &amp; COUNTIF($B$2:B3504, B3504)</f>
        <v>93-39</v>
      </c>
      <c r="D3504" s="10">
        <v>23662</v>
      </c>
      <c r="E3504" s="3" t="s">
        <v>8441</v>
      </c>
      <c r="F3504" s="1" t="s">
        <v>8442</v>
      </c>
      <c r="G3504" s="1" t="s">
        <v>1840</v>
      </c>
      <c r="H3504" s="1" t="s">
        <v>1812</v>
      </c>
      <c r="I3504" s="10" t="str">
        <f>IF(H3504="T61",1,IF(H3504="T61",3,IF(H3504="T77",6,IF(H3504="T77",10,IF(H3504="T109",14,IF(H3504="T109",18,IF(H3504="T77",22,"")))))))</f>
        <v/>
      </c>
      <c r="J3504" s="1" t="s">
        <v>1808</v>
      </c>
      <c r="K3504" s="10">
        <v>2</v>
      </c>
      <c r="L3504" s="10">
        <v>1</v>
      </c>
      <c r="O3504" s="6"/>
      <c r="P3504" s="10">
        <v>6</v>
      </c>
      <c r="Q3504" s="42" t="s">
        <v>6870</v>
      </c>
      <c r="R3504" s="42"/>
      <c r="S3504" s="1"/>
    </row>
    <row r="3505" spans="1:19" ht="18.75" hidden="1" customHeight="1" x14ac:dyDescent="0.3">
      <c r="A3505" s="10">
        <v>3504</v>
      </c>
      <c r="B3505" s="10">
        <f>_xlfn.XLOOKUP(1,(VALUE(D3505)&gt;=VALUE(block!$C$3:$C$500))*(VALUE(D3505)&lt;VALUE(block!$C$3:$C$500)+VALUE(block!$D$3:$D$500)),block!$A$3:$A$500,"无匹配",0,1)</f>
        <v>93</v>
      </c>
      <c r="C3505" s="3" t="str">
        <f>B3505 &amp; "-" &amp; COUNTIF($B$2:B3505, B3505)</f>
        <v>93-40</v>
      </c>
      <c r="D3505" s="10">
        <v>23664</v>
      </c>
      <c r="E3505" s="1" t="s">
        <v>8443</v>
      </c>
      <c r="F3505" s="1" t="s">
        <v>8444</v>
      </c>
      <c r="H3505" s="3" t="s">
        <v>6767</v>
      </c>
      <c r="I3505" s="10" t="str">
        <f>IF(H3505="T62",1,IF(H3505="T62",3,IF(H3505="T78",6,IF(H3505="T78",10,IF(H3505="T110",14,IF(H3505="T110",18,IF(H3505="T78",22,"")))))))</f>
        <v/>
      </c>
      <c r="J3505" s="1" t="s">
        <v>1808</v>
      </c>
      <c r="K3505" s="10">
        <v>4</v>
      </c>
      <c r="L3505" s="10">
        <v>1</v>
      </c>
      <c r="O3505" s="6"/>
      <c r="Q3505" s="42" t="s">
        <v>6870</v>
      </c>
      <c r="R3505" s="42"/>
      <c r="S3505" s="1"/>
    </row>
    <row r="3506" spans="1:19" ht="18.75" hidden="1" customHeight="1" x14ac:dyDescent="0.3">
      <c r="A3506" s="10">
        <v>3505</v>
      </c>
      <c r="B3506" s="10">
        <f>_xlfn.XLOOKUP(1,(VALUE(D3506)&gt;=VALUE(block!$C$3:$C$500))*(VALUE(D3506)&lt;VALUE(block!$C$3:$C$500)+VALUE(block!$D$3:$D$500)),block!$A$3:$A$500,"无匹配",0,1)</f>
        <v>94</v>
      </c>
      <c r="C3506" s="3" t="str">
        <f>B3506 &amp; "-" &amp; COUNTIF($B$2:B3506, B3506)</f>
        <v>94-1</v>
      </c>
      <c r="D3506" s="10">
        <v>23668</v>
      </c>
      <c r="E3506" s="1" t="s">
        <v>8445</v>
      </c>
      <c r="F3506" s="1" t="s">
        <v>8446</v>
      </c>
      <c r="G3506" s="1" t="s">
        <v>1830</v>
      </c>
      <c r="H3506" s="1" t="s">
        <v>1812</v>
      </c>
      <c r="I3506" s="10" t="str">
        <f>IF(H3506="T63",1,IF(H3506="T63",3,IF(H3506="T79",6,IF(H3506="T79",10,IF(H3506="T111",14,IF(H3506="T111",18,IF(H3506="T79",22,"")))))))</f>
        <v/>
      </c>
      <c r="J3506" s="1" t="s">
        <v>1808</v>
      </c>
      <c r="K3506" s="10">
        <v>2</v>
      </c>
      <c r="L3506" s="10">
        <v>1</v>
      </c>
      <c r="O3506" s="6"/>
      <c r="P3506" s="10">
        <v>6</v>
      </c>
      <c r="Q3506" s="42" t="s">
        <v>6870</v>
      </c>
      <c r="R3506" s="42"/>
      <c r="S3506" s="1"/>
    </row>
    <row r="3507" spans="1:19" ht="18.75" hidden="1" customHeight="1" x14ac:dyDescent="0.3">
      <c r="A3507" s="10">
        <v>3506</v>
      </c>
      <c r="B3507" s="10">
        <f>_xlfn.XLOOKUP(1,(VALUE(D3507)&gt;=VALUE(block!$C$3:$C$500))*(VALUE(D3507)&lt;VALUE(block!$C$3:$C$500)+VALUE(block!$D$3:$D$500)),block!$A$3:$A$500,"无匹配",0,1)</f>
        <v>94</v>
      </c>
      <c r="C3507" s="3" t="str">
        <f>B3507 &amp; "-" &amp; COUNTIF($B$2:B3507, B3507)</f>
        <v>94-2</v>
      </c>
      <c r="D3507" s="10">
        <v>23670</v>
      </c>
      <c r="E3507" s="1" t="s">
        <v>8447</v>
      </c>
      <c r="F3507" s="1" t="s">
        <v>8448</v>
      </c>
      <c r="H3507" s="3" t="s">
        <v>6767</v>
      </c>
      <c r="I3507" s="10" t="str">
        <f>IF(H3507="T64",1,IF(H3507="T64",3,IF(H3507="T80",6,IF(H3507="T80",10,IF(H3507="T112",14,IF(H3507="T112",18,IF(H3507="T80",22,"")))))))</f>
        <v/>
      </c>
      <c r="J3507" s="1" t="s">
        <v>1808</v>
      </c>
      <c r="K3507" s="10">
        <v>4</v>
      </c>
      <c r="L3507" s="10">
        <v>1</v>
      </c>
      <c r="O3507" s="6"/>
      <c r="Q3507" s="42" t="s">
        <v>6870</v>
      </c>
      <c r="R3507" s="42"/>
      <c r="S3507" s="1"/>
    </row>
    <row r="3508" spans="1:19" ht="18.75" hidden="1" customHeight="1" x14ac:dyDescent="0.3">
      <c r="A3508" s="10">
        <v>3507</v>
      </c>
      <c r="B3508" s="10">
        <f>_xlfn.XLOOKUP(1,(VALUE(D3508)&gt;=VALUE(block!$C$3:$C$500))*(VALUE(D3508)&lt;VALUE(block!$C$3:$C$500)+VALUE(block!$D$3:$D$500)),block!$A$3:$A$500,"无匹配",0,1)</f>
        <v>94</v>
      </c>
      <c r="C3508" s="3" t="str">
        <f>B3508 &amp; "-" &amp; COUNTIF($B$2:B3508, B3508)</f>
        <v>94-3</v>
      </c>
      <c r="D3508" s="10">
        <v>23674</v>
      </c>
      <c r="E3508" s="1" t="s">
        <v>8449</v>
      </c>
      <c r="F3508" s="1" t="s">
        <v>8450</v>
      </c>
      <c r="G3508" s="1" t="s">
        <v>1832</v>
      </c>
      <c r="H3508" s="1" t="s">
        <v>1812</v>
      </c>
      <c r="I3508" s="10" t="str">
        <f>IF(H3508="T65",1,IF(H3508="T65",3,IF(H3508="T81",6,IF(H3508="T81",10,IF(H3508="T113",14,IF(H3508="T113",18,IF(H3508="T81",22,"")))))))</f>
        <v/>
      </c>
      <c r="J3508" s="1" t="s">
        <v>1808</v>
      </c>
      <c r="K3508" s="10">
        <v>2</v>
      </c>
      <c r="L3508" s="10">
        <v>1</v>
      </c>
      <c r="O3508" s="6"/>
      <c r="P3508" s="10">
        <v>6</v>
      </c>
      <c r="Q3508" s="42" t="s">
        <v>6870</v>
      </c>
      <c r="R3508" s="42"/>
      <c r="S3508" s="1"/>
    </row>
    <row r="3509" spans="1:19" ht="18.75" hidden="1" customHeight="1" x14ac:dyDescent="0.3">
      <c r="A3509" s="10">
        <v>3508</v>
      </c>
      <c r="B3509" s="10">
        <f>_xlfn.XLOOKUP(1,(VALUE(D3509)&gt;=VALUE(block!$C$3:$C$500))*(VALUE(D3509)&lt;VALUE(block!$C$3:$C$500)+VALUE(block!$D$3:$D$500)),block!$A$3:$A$500,"无匹配",0,1)</f>
        <v>94</v>
      </c>
      <c r="C3509" s="3" t="str">
        <f>B3509 &amp; "-" &amp; COUNTIF($B$2:B3509, B3509)</f>
        <v>94-4</v>
      </c>
      <c r="D3509" s="10">
        <v>23676</v>
      </c>
      <c r="E3509" s="1" t="s">
        <v>8451</v>
      </c>
      <c r="F3509" s="1" t="s">
        <v>8452</v>
      </c>
      <c r="H3509" s="3" t="s">
        <v>6767</v>
      </c>
      <c r="I3509" s="10" t="str">
        <f>IF(H3509="T66",1,IF(H3509="T66",3,IF(H3509="T82",6,IF(H3509="T82",10,IF(H3509="T114",14,IF(H3509="T114",18,IF(H3509="T82",22,"")))))))</f>
        <v/>
      </c>
      <c r="J3509" s="1" t="s">
        <v>1808</v>
      </c>
      <c r="K3509" s="10">
        <v>4</v>
      </c>
      <c r="L3509" s="10">
        <v>1</v>
      </c>
      <c r="O3509" s="6"/>
      <c r="Q3509" s="42" t="s">
        <v>6870</v>
      </c>
      <c r="R3509" s="42"/>
      <c r="S3509" s="1"/>
    </row>
    <row r="3510" spans="1:19" ht="18.75" hidden="1" customHeight="1" x14ac:dyDescent="0.3">
      <c r="A3510" s="10">
        <v>3509</v>
      </c>
      <c r="B3510" s="10">
        <f>_xlfn.XLOOKUP(1,(VALUE(D3510)&gt;=VALUE(block!$C$3:$C$500))*(VALUE(D3510)&lt;VALUE(block!$C$3:$C$500)+VALUE(block!$D$3:$D$500)),block!$A$3:$A$500,"无匹配",0,1)</f>
        <v>94</v>
      </c>
      <c r="C3510" s="3" t="str">
        <f>B3510 &amp; "-" &amp; COUNTIF($B$2:B3510, B3510)</f>
        <v>94-5</v>
      </c>
      <c r="D3510" s="10">
        <v>23680</v>
      </c>
      <c r="E3510" s="1" t="s">
        <v>8453</v>
      </c>
      <c r="F3510" s="1" t="s">
        <v>8454</v>
      </c>
      <c r="G3510" s="1" t="s">
        <v>1834</v>
      </c>
      <c r="H3510" s="1" t="s">
        <v>1812</v>
      </c>
      <c r="I3510" s="10" t="str">
        <f>IF(H3510="T67",1,IF(H3510="T67",3,IF(H3510="T83",6,IF(H3510="T83",10,IF(H3510="T115",14,IF(H3510="T115",18,IF(H3510="T83",22,"")))))))</f>
        <v/>
      </c>
      <c r="J3510" s="1" t="s">
        <v>1808</v>
      </c>
      <c r="K3510" s="10">
        <v>2</v>
      </c>
      <c r="L3510" s="10">
        <v>1</v>
      </c>
      <c r="O3510" s="6"/>
      <c r="P3510" s="10">
        <v>6</v>
      </c>
      <c r="Q3510" s="42" t="s">
        <v>6870</v>
      </c>
      <c r="R3510" s="42"/>
      <c r="S3510" s="1"/>
    </row>
    <row r="3511" spans="1:19" ht="18.75" hidden="1" customHeight="1" x14ac:dyDescent="0.3">
      <c r="A3511" s="10">
        <v>3510</v>
      </c>
      <c r="B3511" s="10">
        <f>_xlfn.XLOOKUP(1,(VALUE(D3511)&gt;=VALUE(block!$C$3:$C$500))*(VALUE(D3511)&lt;VALUE(block!$C$3:$C$500)+VALUE(block!$D$3:$D$500)),block!$A$3:$A$500,"无匹配",0,1)</f>
        <v>94</v>
      </c>
      <c r="C3511" s="3" t="str">
        <f>B3511 &amp; "-" &amp; COUNTIF($B$2:B3511, B3511)</f>
        <v>94-6</v>
      </c>
      <c r="D3511" s="10">
        <v>23682</v>
      </c>
      <c r="E3511" s="1" t="s">
        <v>8455</v>
      </c>
      <c r="F3511" s="1" t="s">
        <v>8456</v>
      </c>
      <c r="H3511" s="3" t="s">
        <v>6767</v>
      </c>
      <c r="I3511" s="10" t="str">
        <f>IF(H3511="T68",1,IF(H3511="T68",3,IF(H3511="T84",6,IF(H3511="T84",10,IF(H3511="T116",14,IF(H3511="T116",18,IF(H3511="T84",22,"")))))))</f>
        <v/>
      </c>
      <c r="J3511" s="1" t="s">
        <v>1808</v>
      </c>
      <c r="K3511" s="10">
        <v>4</v>
      </c>
      <c r="L3511" s="10">
        <v>1</v>
      </c>
      <c r="O3511" s="6"/>
      <c r="Q3511" s="42" t="s">
        <v>6870</v>
      </c>
      <c r="R3511" s="42"/>
      <c r="S3511" s="1"/>
    </row>
    <row r="3512" spans="1:19" ht="18.75" hidden="1" customHeight="1" x14ac:dyDescent="0.3">
      <c r="A3512" s="10">
        <v>3511</v>
      </c>
      <c r="B3512" s="10">
        <f>_xlfn.XLOOKUP(1,(VALUE(D3512)&gt;=VALUE(block!$C$3:$C$500))*(VALUE(D3512)&lt;VALUE(block!$C$3:$C$500)+VALUE(block!$D$3:$D$500)),block!$A$3:$A$500,"无匹配",0,1)</f>
        <v>94</v>
      </c>
      <c r="C3512" s="3" t="str">
        <f>B3512 &amp; "-" &amp; COUNTIF($B$2:B3512, B3512)</f>
        <v>94-7</v>
      </c>
      <c r="D3512" s="10">
        <v>23686</v>
      </c>
      <c r="E3512" s="1" t="s">
        <v>8457</v>
      </c>
      <c r="F3512" s="1" t="s">
        <v>8458</v>
      </c>
      <c r="G3512" s="1" t="s">
        <v>1836</v>
      </c>
      <c r="H3512" s="1" t="s">
        <v>1812</v>
      </c>
      <c r="I3512" s="10" t="str">
        <f>IF(H3512="T69",1,IF(H3512="T69",3,IF(H3512="T85",6,IF(H3512="T85",10,IF(H3512="T117",14,IF(H3512="T117",18,IF(H3512="T85",22,"")))))))</f>
        <v/>
      </c>
      <c r="J3512" s="1" t="s">
        <v>1808</v>
      </c>
      <c r="K3512" s="10">
        <v>2</v>
      </c>
      <c r="L3512" s="10">
        <v>1</v>
      </c>
      <c r="O3512" s="6"/>
      <c r="P3512" s="10">
        <v>6</v>
      </c>
      <c r="Q3512" s="42" t="s">
        <v>6870</v>
      </c>
      <c r="R3512" s="42"/>
      <c r="S3512" s="1"/>
    </row>
    <row r="3513" spans="1:19" ht="18.75" hidden="1" customHeight="1" x14ac:dyDescent="0.3">
      <c r="A3513" s="10">
        <v>3512</v>
      </c>
      <c r="B3513" s="10">
        <f>_xlfn.XLOOKUP(1,(VALUE(D3513)&gt;=VALUE(block!$C$3:$C$500))*(VALUE(D3513)&lt;VALUE(block!$C$3:$C$500)+VALUE(block!$D$3:$D$500)),block!$A$3:$A$500,"无匹配",0,1)</f>
        <v>94</v>
      </c>
      <c r="C3513" s="3" t="str">
        <f>B3513 &amp; "-" &amp; COUNTIF($B$2:B3513, B3513)</f>
        <v>94-8</v>
      </c>
      <c r="D3513" s="10">
        <v>23688</v>
      </c>
      <c r="E3513" s="1" t="s">
        <v>8459</v>
      </c>
      <c r="F3513" s="1" t="s">
        <v>8460</v>
      </c>
      <c r="H3513" s="3" t="s">
        <v>6767</v>
      </c>
      <c r="I3513" s="10" t="str">
        <f>IF(H3513="T70",1,IF(H3513="T70",3,IF(H3513="T86",6,IF(H3513="T86",10,IF(H3513="T118",14,IF(H3513="T118",18,IF(H3513="T86",22,"")))))))</f>
        <v/>
      </c>
      <c r="J3513" s="1" t="s">
        <v>1808</v>
      </c>
      <c r="K3513" s="10">
        <v>4</v>
      </c>
      <c r="L3513" s="10">
        <v>1</v>
      </c>
      <c r="O3513" s="6"/>
      <c r="Q3513" s="42" t="s">
        <v>6870</v>
      </c>
      <c r="R3513" s="42"/>
      <c r="S3513" s="1"/>
    </row>
    <row r="3514" spans="1:19" ht="18.75" hidden="1" customHeight="1" x14ac:dyDescent="0.3">
      <c r="A3514" s="10">
        <v>3513</v>
      </c>
      <c r="B3514" s="10">
        <f>_xlfn.XLOOKUP(1,(VALUE(D3514)&gt;=VALUE(block!$C$3:$C$500))*(VALUE(D3514)&lt;VALUE(block!$C$3:$C$500)+VALUE(block!$D$3:$D$500)),block!$A$3:$A$500,"无匹配",0,1)</f>
        <v>94</v>
      </c>
      <c r="C3514" s="3" t="str">
        <f>B3514 &amp; "-" &amp; COUNTIF($B$2:B3514, B3514)</f>
        <v>94-9</v>
      </c>
      <c r="D3514" s="10">
        <v>23692</v>
      </c>
      <c r="E3514" s="3" t="s">
        <v>8461</v>
      </c>
      <c r="F3514" s="1" t="s">
        <v>8462</v>
      </c>
      <c r="G3514" s="1" t="s">
        <v>1840</v>
      </c>
      <c r="H3514" s="1" t="s">
        <v>1812</v>
      </c>
      <c r="I3514" s="10" t="str">
        <f>IF(H3514="T71",1,IF(H3514="T71",3,IF(H3514="T87",6,IF(H3514="T87",10,IF(H3514="T119",14,IF(H3514="T119",18,IF(H3514="T87",22,"")))))))</f>
        <v/>
      </c>
      <c r="J3514" s="1" t="s">
        <v>1808</v>
      </c>
      <c r="K3514" s="10">
        <v>2</v>
      </c>
      <c r="L3514" s="10">
        <v>1</v>
      </c>
      <c r="O3514" s="6"/>
      <c r="P3514" s="10">
        <v>6</v>
      </c>
      <c r="Q3514" s="42" t="s">
        <v>6870</v>
      </c>
      <c r="R3514" s="42"/>
      <c r="S3514" s="1"/>
    </row>
    <row r="3515" spans="1:19" ht="18.75" hidden="1" customHeight="1" x14ac:dyDescent="0.3">
      <c r="A3515" s="10">
        <v>3514</v>
      </c>
      <c r="B3515" s="10">
        <f>_xlfn.XLOOKUP(1,(VALUE(D3515)&gt;=VALUE(block!$C$3:$C$500))*(VALUE(D3515)&lt;VALUE(block!$C$3:$C$500)+VALUE(block!$D$3:$D$500)),block!$A$3:$A$500,"无匹配",0,1)</f>
        <v>94</v>
      </c>
      <c r="C3515" s="3" t="str">
        <f>B3515 &amp; "-" &amp; COUNTIF($B$2:B3515, B3515)</f>
        <v>94-10</v>
      </c>
      <c r="D3515" s="10">
        <v>23694</v>
      </c>
      <c r="E3515" s="1" t="s">
        <v>8463</v>
      </c>
      <c r="F3515" s="1" t="s">
        <v>8464</v>
      </c>
      <c r="H3515" s="3" t="s">
        <v>6767</v>
      </c>
      <c r="I3515" s="10" t="str">
        <f>IF(H3515="T72",1,IF(H3515="T72",3,IF(H3515="T88",6,IF(H3515="T88",10,IF(H3515="T120",14,IF(H3515="T120",18,IF(H3515="T88",22,"")))))))</f>
        <v/>
      </c>
      <c r="J3515" s="1" t="s">
        <v>1808</v>
      </c>
      <c r="K3515" s="10">
        <v>4</v>
      </c>
      <c r="L3515" s="10">
        <v>1</v>
      </c>
      <c r="O3515" s="6"/>
      <c r="Q3515" s="42" t="s">
        <v>6870</v>
      </c>
      <c r="R3515" s="42"/>
      <c r="S3515" s="1"/>
    </row>
    <row r="3516" spans="1:19" ht="18.75" hidden="1" customHeight="1" x14ac:dyDescent="0.3">
      <c r="A3516" s="10">
        <v>3515</v>
      </c>
      <c r="B3516" s="10">
        <f>_xlfn.XLOOKUP(1,(VALUE(D3516)&gt;=VALUE(block!$C$3:$C$500))*(VALUE(D3516)&lt;VALUE(block!$C$3:$C$500)+VALUE(block!$D$3:$D$500)),block!$A$3:$A$500,"无匹配",0,1)</f>
        <v>94</v>
      </c>
      <c r="C3516" s="3" t="str">
        <f>B3516 &amp; "-" &amp; COUNTIF($B$2:B3516, B3516)</f>
        <v>94-11</v>
      </c>
      <c r="D3516" s="10">
        <v>23698</v>
      </c>
      <c r="E3516" s="1" t="s">
        <v>8465</v>
      </c>
      <c r="F3516" s="1" t="s">
        <v>8466</v>
      </c>
      <c r="G3516" s="1" t="s">
        <v>1830</v>
      </c>
      <c r="H3516" s="1" t="s">
        <v>1812</v>
      </c>
      <c r="I3516" s="10" t="str">
        <f>IF(H3516="T73",1,IF(H3516="T73",3,IF(H3516="T89",6,IF(H3516="T89",10,IF(H3516="T121",14,IF(H3516="T121",18,IF(H3516="T89",22,"")))))))</f>
        <v/>
      </c>
      <c r="J3516" s="1" t="s">
        <v>1808</v>
      </c>
      <c r="K3516" s="10">
        <v>2</v>
      </c>
      <c r="L3516" s="10">
        <v>1</v>
      </c>
      <c r="O3516" s="6"/>
      <c r="P3516" s="10">
        <v>6</v>
      </c>
      <c r="Q3516" s="42" t="s">
        <v>6870</v>
      </c>
      <c r="R3516" s="42"/>
      <c r="S3516" s="1"/>
    </row>
    <row r="3517" spans="1:19" ht="18.75" hidden="1" customHeight="1" x14ac:dyDescent="0.3">
      <c r="A3517" s="10">
        <v>3516</v>
      </c>
      <c r="B3517" s="10">
        <f>_xlfn.XLOOKUP(1,(VALUE(D3517)&gt;=VALUE(block!$C$3:$C$500))*(VALUE(D3517)&lt;VALUE(block!$C$3:$C$500)+VALUE(block!$D$3:$D$500)),block!$A$3:$A$500,"无匹配",0,1)</f>
        <v>94</v>
      </c>
      <c r="C3517" s="3" t="str">
        <f>B3517 &amp; "-" &amp; COUNTIF($B$2:B3517, B3517)</f>
        <v>94-12</v>
      </c>
      <c r="D3517" s="10">
        <v>23700</v>
      </c>
      <c r="E3517" s="1" t="s">
        <v>8467</v>
      </c>
      <c r="F3517" s="1" t="s">
        <v>8468</v>
      </c>
      <c r="H3517" s="3" t="s">
        <v>6767</v>
      </c>
      <c r="I3517" s="10" t="str">
        <f>IF(H3517="T74",1,IF(H3517="T74",3,IF(H3517="T90",6,IF(H3517="T90",10,IF(H3517="T122",14,IF(H3517="T122",18,IF(H3517="T90",22,"")))))))</f>
        <v/>
      </c>
      <c r="J3517" s="1" t="s">
        <v>1808</v>
      </c>
      <c r="K3517" s="10">
        <v>4</v>
      </c>
      <c r="L3517" s="10">
        <v>1</v>
      </c>
      <c r="O3517" s="6"/>
      <c r="Q3517" s="42" t="s">
        <v>6870</v>
      </c>
      <c r="R3517" s="42"/>
      <c r="S3517" s="1"/>
    </row>
    <row r="3518" spans="1:19" ht="18.75" hidden="1" customHeight="1" x14ac:dyDescent="0.3">
      <c r="A3518" s="10">
        <v>3517</v>
      </c>
      <c r="B3518" s="10">
        <f>_xlfn.XLOOKUP(1,(VALUE(D3518)&gt;=VALUE(block!$C$3:$C$500))*(VALUE(D3518)&lt;VALUE(block!$C$3:$C$500)+VALUE(block!$D$3:$D$500)),block!$A$3:$A$500,"无匹配",0,1)</f>
        <v>94</v>
      </c>
      <c r="C3518" s="3" t="str">
        <f>B3518 &amp; "-" &amp; COUNTIF($B$2:B3518, B3518)</f>
        <v>94-13</v>
      </c>
      <c r="D3518" s="10">
        <v>23704</v>
      </c>
      <c r="E3518" s="1" t="s">
        <v>8469</v>
      </c>
      <c r="F3518" s="1" t="s">
        <v>8470</v>
      </c>
      <c r="G3518" s="1" t="s">
        <v>1832</v>
      </c>
      <c r="H3518" s="1" t="s">
        <v>1812</v>
      </c>
      <c r="I3518" s="10" t="str">
        <f>IF(H3518="T75",1,IF(H3518="T75",3,IF(H3518="T91",6,IF(H3518="T91",10,IF(H3518="T123",14,IF(H3518="T123",18,IF(H3518="T91",22,"")))))))</f>
        <v/>
      </c>
      <c r="J3518" s="1" t="s">
        <v>1808</v>
      </c>
      <c r="K3518" s="10">
        <v>2</v>
      </c>
      <c r="L3518" s="10">
        <v>1</v>
      </c>
      <c r="O3518" s="6"/>
      <c r="P3518" s="10">
        <v>6</v>
      </c>
      <c r="Q3518" s="42" t="s">
        <v>6870</v>
      </c>
      <c r="R3518" s="42"/>
      <c r="S3518" s="1"/>
    </row>
    <row r="3519" spans="1:19" ht="18.75" hidden="1" customHeight="1" x14ac:dyDescent="0.3">
      <c r="A3519" s="10">
        <v>3518</v>
      </c>
      <c r="B3519" s="10">
        <f>_xlfn.XLOOKUP(1,(VALUE(D3519)&gt;=VALUE(block!$C$3:$C$500))*(VALUE(D3519)&lt;VALUE(block!$C$3:$C$500)+VALUE(block!$D$3:$D$500)),block!$A$3:$A$500,"无匹配",0,1)</f>
        <v>94</v>
      </c>
      <c r="C3519" s="3" t="str">
        <f>B3519 &amp; "-" &amp; COUNTIF($B$2:B3519, B3519)</f>
        <v>94-14</v>
      </c>
      <c r="D3519" s="10">
        <v>23706</v>
      </c>
      <c r="E3519" s="1" t="s">
        <v>8471</v>
      </c>
      <c r="F3519" s="1" t="s">
        <v>8472</v>
      </c>
      <c r="H3519" s="3" t="s">
        <v>6767</v>
      </c>
      <c r="I3519" s="10" t="str">
        <f>IF(H3519="T76",1,IF(H3519="T76",3,IF(H3519="T92",6,IF(H3519="T92",10,IF(H3519="T124",14,IF(H3519="T124",18,IF(H3519="T92",22,"")))))))</f>
        <v/>
      </c>
      <c r="J3519" s="1" t="s">
        <v>1808</v>
      </c>
      <c r="K3519" s="10">
        <v>4</v>
      </c>
      <c r="L3519" s="10">
        <v>1</v>
      </c>
      <c r="O3519" s="6"/>
      <c r="Q3519" s="42" t="s">
        <v>6870</v>
      </c>
      <c r="R3519" s="42"/>
      <c r="S3519" s="1"/>
    </row>
    <row r="3520" spans="1:19" ht="18.75" hidden="1" customHeight="1" x14ac:dyDescent="0.3">
      <c r="A3520" s="10">
        <v>3519</v>
      </c>
      <c r="B3520" s="10">
        <f>_xlfn.XLOOKUP(1,(VALUE(D3520)&gt;=VALUE(block!$C$3:$C$500))*(VALUE(D3520)&lt;VALUE(block!$C$3:$C$500)+VALUE(block!$D$3:$D$500)),block!$A$3:$A$500,"无匹配",0,1)</f>
        <v>94</v>
      </c>
      <c r="C3520" s="3" t="str">
        <f>B3520 &amp; "-" &amp; COUNTIF($B$2:B3520, B3520)</f>
        <v>94-15</v>
      </c>
      <c r="D3520" s="10">
        <v>23710</v>
      </c>
      <c r="E3520" s="1" t="s">
        <v>8473</v>
      </c>
      <c r="F3520" s="1" t="s">
        <v>8474</v>
      </c>
      <c r="G3520" s="1" t="s">
        <v>1834</v>
      </c>
      <c r="H3520" s="1" t="s">
        <v>1812</v>
      </c>
      <c r="I3520" s="10" t="str">
        <f>IF(H3520="T77",1,IF(H3520="T77",3,IF(H3520="T93",6,IF(H3520="T93",10,IF(H3520="T125",14,IF(H3520="T125",18,IF(H3520="T93",22,"")))))))</f>
        <v/>
      </c>
      <c r="J3520" s="1" t="s">
        <v>1808</v>
      </c>
      <c r="K3520" s="10">
        <v>2</v>
      </c>
      <c r="L3520" s="10">
        <v>1</v>
      </c>
      <c r="O3520" s="6"/>
      <c r="P3520" s="10">
        <v>6</v>
      </c>
      <c r="Q3520" s="42" t="s">
        <v>6870</v>
      </c>
      <c r="R3520" s="42"/>
      <c r="S3520" s="1"/>
    </row>
    <row r="3521" spans="1:19" ht="18.75" hidden="1" customHeight="1" x14ac:dyDescent="0.3">
      <c r="A3521" s="10">
        <v>3520</v>
      </c>
      <c r="B3521" s="10">
        <f>_xlfn.XLOOKUP(1,(VALUE(D3521)&gt;=VALUE(block!$C$3:$C$500))*(VALUE(D3521)&lt;VALUE(block!$C$3:$C$500)+VALUE(block!$D$3:$D$500)),block!$A$3:$A$500,"无匹配",0,1)</f>
        <v>94</v>
      </c>
      <c r="C3521" s="3" t="str">
        <f>B3521 &amp; "-" &amp; COUNTIF($B$2:B3521, B3521)</f>
        <v>94-16</v>
      </c>
      <c r="D3521" s="10">
        <v>23712</v>
      </c>
      <c r="E3521" s="1" t="s">
        <v>8475</v>
      </c>
      <c r="F3521" s="1" t="s">
        <v>8476</v>
      </c>
      <c r="H3521" s="3" t="s">
        <v>6767</v>
      </c>
      <c r="I3521" s="10" t="str">
        <f>IF(H3521="T78",1,IF(H3521="T78",3,IF(H3521="T94",6,IF(H3521="T94",10,IF(H3521="T126",14,IF(H3521="T126",18,IF(H3521="T94",22,"")))))))</f>
        <v/>
      </c>
      <c r="J3521" s="1" t="s">
        <v>1808</v>
      </c>
      <c r="K3521" s="10">
        <v>4</v>
      </c>
      <c r="L3521" s="10">
        <v>1</v>
      </c>
      <c r="O3521" s="6"/>
      <c r="Q3521" s="42" t="s">
        <v>6870</v>
      </c>
      <c r="R3521" s="42"/>
      <c r="S3521" s="1"/>
    </row>
    <row r="3522" spans="1:19" ht="18.75" hidden="1" customHeight="1" x14ac:dyDescent="0.3">
      <c r="A3522" s="10">
        <v>3521</v>
      </c>
      <c r="B3522" s="10">
        <f>_xlfn.XLOOKUP(1,(VALUE(D3522)&gt;=VALUE(block!$C$3:$C$500))*(VALUE(D3522)&lt;VALUE(block!$C$3:$C$500)+VALUE(block!$D$3:$D$500)),block!$A$3:$A$500,"无匹配",0,1)</f>
        <v>94</v>
      </c>
      <c r="C3522" s="3" t="str">
        <f>B3522 &amp; "-" &amp; COUNTIF($B$2:B3522, B3522)</f>
        <v>94-17</v>
      </c>
      <c r="D3522" s="10">
        <v>23716</v>
      </c>
      <c r="E3522" s="1" t="s">
        <v>8477</v>
      </c>
      <c r="F3522" s="1" t="s">
        <v>8478</v>
      </c>
      <c r="G3522" s="1" t="s">
        <v>1836</v>
      </c>
      <c r="H3522" s="1" t="s">
        <v>1812</v>
      </c>
      <c r="I3522" s="10" t="str">
        <f>IF(H3522="T79",1,IF(H3522="T79",3,IF(H3522="T95",6,IF(H3522="T95",10,IF(H3522="T127",14,IF(H3522="T127",18,IF(H3522="T95",22,"")))))))</f>
        <v/>
      </c>
      <c r="J3522" s="1" t="s">
        <v>1808</v>
      </c>
      <c r="K3522" s="10">
        <v>2</v>
      </c>
      <c r="L3522" s="10">
        <v>1</v>
      </c>
      <c r="O3522" s="6"/>
      <c r="P3522" s="10">
        <v>6</v>
      </c>
      <c r="Q3522" s="42" t="s">
        <v>6870</v>
      </c>
      <c r="R3522" s="42"/>
      <c r="S3522" s="1"/>
    </row>
    <row r="3523" spans="1:19" ht="18.75" hidden="1" customHeight="1" x14ac:dyDescent="0.3">
      <c r="A3523" s="10">
        <v>3522</v>
      </c>
      <c r="B3523" s="10">
        <f>_xlfn.XLOOKUP(1,(VALUE(D3523)&gt;=VALUE(block!$C$3:$C$500))*(VALUE(D3523)&lt;VALUE(block!$C$3:$C$500)+VALUE(block!$D$3:$D$500)),block!$A$3:$A$500,"无匹配",0,1)</f>
        <v>94</v>
      </c>
      <c r="C3523" s="3" t="str">
        <f>B3523 &amp; "-" &amp; COUNTIF($B$2:B3523, B3523)</f>
        <v>94-18</v>
      </c>
      <c r="D3523" s="10">
        <v>23718</v>
      </c>
      <c r="E3523" s="1" t="s">
        <v>8479</v>
      </c>
      <c r="F3523" s="1" t="s">
        <v>8480</v>
      </c>
      <c r="H3523" s="3" t="s">
        <v>6767</v>
      </c>
      <c r="I3523" s="10">
        <f>IF(H3523="uint16",1,IF(H3523="int16",3,IF(H3523="uint32",6,IF(H3523="int32",10,IF(H3523="uint64",14,IF(H3523="int64",18,IF(H3523="float32",22,"")))))))</f>
        <v>14</v>
      </c>
      <c r="J3523" s="1" t="s">
        <v>1808</v>
      </c>
      <c r="K3523" s="10">
        <v>4</v>
      </c>
      <c r="L3523" s="10">
        <v>1</v>
      </c>
      <c r="O3523" s="6"/>
      <c r="Q3523" s="42" t="s">
        <v>6870</v>
      </c>
      <c r="R3523" s="42"/>
      <c r="S3523" s="1"/>
    </row>
    <row r="3524" spans="1:19" ht="18.75" hidden="1" customHeight="1" x14ac:dyDescent="0.3">
      <c r="A3524" s="10">
        <v>3523</v>
      </c>
      <c r="B3524" s="10">
        <f>_xlfn.XLOOKUP(1,(VALUE(D3524)&gt;=VALUE(block!$C$3:$C$500))*(VALUE(D3524)&lt;VALUE(block!$C$3:$C$500)+VALUE(block!$D$3:$D$500)),block!$A$3:$A$500,"无匹配",0,1)</f>
        <v>94</v>
      </c>
      <c r="C3524" s="3" t="str">
        <f>B3524 &amp; "-" &amp; COUNTIF($B$2:B3524, B3524)</f>
        <v>94-19</v>
      </c>
      <c r="D3524" s="10">
        <v>23722</v>
      </c>
      <c r="E3524" s="3" t="s">
        <v>8481</v>
      </c>
      <c r="F3524" s="1" t="s">
        <v>8482</v>
      </c>
      <c r="G3524" s="1" t="s">
        <v>1840</v>
      </c>
      <c r="H3524" s="1" t="s">
        <v>1812</v>
      </c>
      <c r="I3524" s="10" t="str">
        <f>IF(H3524="T17",1,IF(H3524="T17",3,IF(H3524="T33",6,IF(H3524="T33",10,IF(H3524="T65",14,IF(H3524="T65",18,IF(H3524="T33",22,"")))))))</f>
        <v/>
      </c>
      <c r="J3524" s="1" t="s">
        <v>1808</v>
      </c>
      <c r="K3524" s="10">
        <v>2</v>
      </c>
      <c r="L3524" s="10">
        <v>1</v>
      </c>
      <c r="O3524" s="6"/>
      <c r="P3524" s="10">
        <v>6</v>
      </c>
      <c r="Q3524" s="42" t="s">
        <v>6870</v>
      </c>
      <c r="R3524" s="42"/>
      <c r="S3524" s="1"/>
    </row>
    <row r="3525" spans="1:19" ht="18.75" hidden="1" customHeight="1" x14ac:dyDescent="0.3">
      <c r="A3525" s="10">
        <v>3524</v>
      </c>
      <c r="B3525" s="10">
        <f>_xlfn.XLOOKUP(1,(VALUE(D3525)&gt;=VALUE(block!$C$3:$C$500))*(VALUE(D3525)&lt;VALUE(block!$C$3:$C$500)+VALUE(block!$D$3:$D$500)),block!$A$3:$A$500,"无匹配",0,1)</f>
        <v>94</v>
      </c>
      <c r="C3525" s="3" t="str">
        <f>B3525 &amp; "-" &amp; COUNTIF($B$2:B3525, B3525)</f>
        <v>94-20</v>
      </c>
      <c r="D3525" s="10">
        <v>23724</v>
      </c>
      <c r="E3525" s="1" t="s">
        <v>8483</v>
      </c>
      <c r="F3525" s="1" t="s">
        <v>8484</v>
      </c>
      <c r="H3525" s="3" t="s">
        <v>6767</v>
      </c>
      <c r="I3525" s="10" t="str">
        <f>IF(H3525="T18",1,IF(H3525="T18",3,IF(H3525="T34",6,IF(H3525="T34",10,IF(H3525="T66",14,IF(H3525="T66",18,IF(H3525="T34",22,"")))))))</f>
        <v/>
      </c>
      <c r="J3525" s="1" t="s">
        <v>1808</v>
      </c>
      <c r="K3525" s="10">
        <v>4</v>
      </c>
      <c r="L3525" s="10">
        <v>1</v>
      </c>
      <c r="O3525" s="6"/>
      <c r="Q3525" s="42" t="s">
        <v>6870</v>
      </c>
      <c r="R3525" s="42"/>
      <c r="S3525" s="1"/>
    </row>
    <row r="3526" spans="1:19" ht="18.75" hidden="1" customHeight="1" x14ac:dyDescent="0.3">
      <c r="A3526" s="10">
        <v>3525</v>
      </c>
      <c r="B3526" s="10">
        <f>_xlfn.XLOOKUP(1,(VALUE(D3526)&gt;=VALUE(block!$C$3:$C$500))*(VALUE(D3526)&lt;VALUE(block!$C$3:$C$500)+VALUE(block!$D$3:$D$500)),block!$A$3:$A$500,"无匹配",0,1)</f>
        <v>94</v>
      </c>
      <c r="C3526" s="3" t="str">
        <f>B3526 &amp; "-" &amp; COUNTIF($B$2:B3526, B3526)</f>
        <v>94-21</v>
      </c>
      <c r="D3526" s="10">
        <v>23728</v>
      </c>
      <c r="E3526" s="1" t="s">
        <v>8485</v>
      </c>
      <c r="F3526" s="1" t="s">
        <v>8486</v>
      </c>
      <c r="G3526" s="1" t="s">
        <v>1830</v>
      </c>
      <c r="H3526" s="1" t="s">
        <v>1812</v>
      </c>
      <c r="I3526" s="10" t="str">
        <f>IF(H3526="T19",1,IF(H3526="T19",3,IF(H3526="T35",6,IF(H3526="T35",10,IF(H3526="T67",14,IF(H3526="T67",18,IF(H3526="T35",22,"")))))))</f>
        <v/>
      </c>
      <c r="J3526" s="1" t="s">
        <v>1808</v>
      </c>
      <c r="K3526" s="10">
        <v>2</v>
      </c>
      <c r="L3526" s="10">
        <v>1</v>
      </c>
      <c r="O3526" s="6"/>
      <c r="P3526" s="10">
        <v>6</v>
      </c>
      <c r="Q3526" s="42" t="s">
        <v>6870</v>
      </c>
      <c r="R3526" s="42"/>
      <c r="S3526" s="1"/>
    </row>
    <row r="3527" spans="1:19" ht="18.75" hidden="1" customHeight="1" x14ac:dyDescent="0.3">
      <c r="A3527" s="10">
        <v>3526</v>
      </c>
      <c r="B3527" s="10">
        <f>_xlfn.XLOOKUP(1,(VALUE(D3527)&gt;=VALUE(block!$C$3:$C$500))*(VALUE(D3527)&lt;VALUE(block!$C$3:$C$500)+VALUE(block!$D$3:$D$500)),block!$A$3:$A$500,"无匹配",0,1)</f>
        <v>94</v>
      </c>
      <c r="C3527" s="3" t="str">
        <f>B3527 &amp; "-" &amp; COUNTIF($B$2:B3527, B3527)</f>
        <v>94-22</v>
      </c>
      <c r="D3527" s="10">
        <v>23730</v>
      </c>
      <c r="E3527" s="1" t="s">
        <v>8487</v>
      </c>
      <c r="F3527" s="1" t="s">
        <v>8488</v>
      </c>
      <c r="H3527" s="3" t="s">
        <v>6767</v>
      </c>
      <c r="I3527" s="10" t="str">
        <f>IF(H3527="T20",1,IF(H3527="T20",3,IF(H3527="T36",6,IF(H3527="T36",10,IF(H3527="T68",14,IF(H3527="T68",18,IF(H3527="T36",22,"")))))))</f>
        <v/>
      </c>
      <c r="J3527" s="1" t="s">
        <v>1808</v>
      </c>
      <c r="K3527" s="10">
        <v>4</v>
      </c>
      <c r="L3527" s="10">
        <v>1</v>
      </c>
      <c r="O3527" s="6"/>
      <c r="Q3527" s="42" t="s">
        <v>6870</v>
      </c>
      <c r="R3527" s="42"/>
      <c r="S3527" s="1"/>
    </row>
    <row r="3528" spans="1:19" ht="18.75" hidden="1" customHeight="1" x14ac:dyDescent="0.3">
      <c r="A3528" s="10">
        <v>3527</v>
      </c>
      <c r="B3528" s="10">
        <f>_xlfn.XLOOKUP(1,(VALUE(D3528)&gt;=VALUE(block!$C$3:$C$500))*(VALUE(D3528)&lt;VALUE(block!$C$3:$C$500)+VALUE(block!$D$3:$D$500)),block!$A$3:$A$500,"无匹配",0,1)</f>
        <v>94</v>
      </c>
      <c r="C3528" s="3" t="str">
        <f>B3528 &amp; "-" &amp; COUNTIF($B$2:B3528, B3528)</f>
        <v>94-23</v>
      </c>
      <c r="D3528" s="10">
        <v>23734</v>
      </c>
      <c r="E3528" s="1" t="s">
        <v>8489</v>
      </c>
      <c r="F3528" s="1" t="s">
        <v>8490</v>
      </c>
      <c r="G3528" s="1" t="s">
        <v>1832</v>
      </c>
      <c r="H3528" s="1" t="s">
        <v>1812</v>
      </c>
      <c r="I3528" s="10" t="str">
        <f>IF(H3528="T21",1,IF(H3528="T21",3,IF(H3528="T37",6,IF(H3528="T37",10,IF(H3528="T69",14,IF(H3528="T69",18,IF(H3528="T37",22,"")))))))</f>
        <v/>
      </c>
      <c r="J3528" s="1" t="s">
        <v>1808</v>
      </c>
      <c r="K3528" s="10">
        <v>2</v>
      </c>
      <c r="L3528" s="10">
        <v>1</v>
      </c>
      <c r="O3528" s="6"/>
      <c r="P3528" s="10">
        <v>6</v>
      </c>
      <c r="Q3528" s="42" t="s">
        <v>6870</v>
      </c>
      <c r="R3528" s="42"/>
      <c r="S3528" s="1"/>
    </row>
    <row r="3529" spans="1:19" ht="18.75" hidden="1" customHeight="1" x14ac:dyDescent="0.3">
      <c r="A3529" s="10">
        <v>3528</v>
      </c>
      <c r="B3529" s="10">
        <f>_xlfn.XLOOKUP(1,(VALUE(D3529)&gt;=VALUE(block!$C$3:$C$500))*(VALUE(D3529)&lt;VALUE(block!$C$3:$C$500)+VALUE(block!$D$3:$D$500)),block!$A$3:$A$500,"无匹配",0,1)</f>
        <v>94</v>
      </c>
      <c r="C3529" s="3" t="str">
        <f>B3529 &amp; "-" &amp; COUNTIF($B$2:B3529, B3529)</f>
        <v>94-24</v>
      </c>
      <c r="D3529" s="10">
        <v>23736</v>
      </c>
      <c r="E3529" s="1" t="s">
        <v>8491</v>
      </c>
      <c r="F3529" s="1" t="s">
        <v>8492</v>
      </c>
      <c r="H3529" s="3" t="s">
        <v>6767</v>
      </c>
      <c r="I3529" s="10" t="str">
        <f>IF(H3529="T22",1,IF(H3529="T22",3,IF(H3529="T38",6,IF(H3529="T38",10,IF(H3529="T70",14,IF(H3529="T70",18,IF(H3529="T38",22,"")))))))</f>
        <v/>
      </c>
      <c r="J3529" s="1" t="s">
        <v>1808</v>
      </c>
      <c r="K3529" s="10">
        <v>4</v>
      </c>
      <c r="L3529" s="10">
        <v>1</v>
      </c>
      <c r="O3529" s="6"/>
      <c r="Q3529" s="42" t="s">
        <v>6870</v>
      </c>
      <c r="R3529" s="42"/>
      <c r="S3529" s="1"/>
    </row>
    <row r="3530" spans="1:19" ht="18.75" hidden="1" customHeight="1" x14ac:dyDescent="0.3">
      <c r="A3530" s="10">
        <v>3529</v>
      </c>
      <c r="B3530" s="10">
        <f>_xlfn.XLOOKUP(1,(VALUE(D3530)&gt;=VALUE(block!$C$3:$C$500))*(VALUE(D3530)&lt;VALUE(block!$C$3:$C$500)+VALUE(block!$D$3:$D$500)),block!$A$3:$A$500,"无匹配",0,1)</f>
        <v>94</v>
      </c>
      <c r="C3530" s="3" t="str">
        <f>B3530 &amp; "-" &amp; COUNTIF($B$2:B3530, B3530)</f>
        <v>94-25</v>
      </c>
      <c r="D3530" s="10">
        <v>23740</v>
      </c>
      <c r="E3530" s="1" t="s">
        <v>8493</v>
      </c>
      <c r="F3530" s="1" t="s">
        <v>8494</v>
      </c>
      <c r="G3530" s="1" t="s">
        <v>1834</v>
      </c>
      <c r="H3530" s="1" t="s">
        <v>1812</v>
      </c>
      <c r="I3530" s="10" t="str">
        <f>IF(H3530="T23",1,IF(H3530="T23",3,IF(H3530="T39",6,IF(H3530="T39",10,IF(H3530="T71",14,IF(H3530="T71",18,IF(H3530="T39",22,"")))))))</f>
        <v/>
      </c>
      <c r="J3530" s="1" t="s">
        <v>1808</v>
      </c>
      <c r="K3530" s="10">
        <v>2</v>
      </c>
      <c r="L3530" s="10">
        <v>1</v>
      </c>
      <c r="O3530" s="6"/>
      <c r="P3530" s="10">
        <v>6</v>
      </c>
      <c r="Q3530" s="42" t="s">
        <v>6870</v>
      </c>
      <c r="R3530" s="42"/>
      <c r="S3530" s="1"/>
    </row>
    <row r="3531" spans="1:19" ht="18.75" hidden="1" customHeight="1" x14ac:dyDescent="0.3">
      <c r="A3531" s="10">
        <v>3530</v>
      </c>
      <c r="B3531" s="10">
        <f>_xlfn.XLOOKUP(1,(VALUE(D3531)&gt;=VALUE(block!$C$3:$C$500))*(VALUE(D3531)&lt;VALUE(block!$C$3:$C$500)+VALUE(block!$D$3:$D$500)),block!$A$3:$A$500,"无匹配",0,1)</f>
        <v>94</v>
      </c>
      <c r="C3531" s="3" t="str">
        <f>B3531 &amp; "-" &amp; COUNTIF($B$2:B3531, B3531)</f>
        <v>94-26</v>
      </c>
      <c r="D3531" s="10">
        <v>23742</v>
      </c>
      <c r="E3531" s="1" t="s">
        <v>8495</v>
      </c>
      <c r="F3531" s="1" t="s">
        <v>8496</v>
      </c>
      <c r="H3531" s="3" t="s">
        <v>6767</v>
      </c>
      <c r="I3531" s="10" t="str">
        <f>IF(H3531="T24",1,IF(H3531="T24",3,IF(H3531="T40",6,IF(H3531="T40",10,IF(H3531="T72",14,IF(H3531="T72",18,IF(H3531="T40",22,"")))))))</f>
        <v/>
      </c>
      <c r="J3531" s="1" t="s">
        <v>1808</v>
      </c>
      <c r="K3531" s="10">
        <v>4</v>
      </c>
      <c r="L3531" s="10">
        <v>1</v>
      </c>
      <c r="O3531" s="6"/>
      <c r="Q3531" s="42" t="s">
        <v>6870</v>
      </c>
      <c r="R3531" s="42"/>
      <c r="S3531" s="1"/>
    </row>
    <row r="3532" spans="1:19" ht="18.75" hidden="1" customHeight="1" x14ac:dyDescent="0.3">
      <c r="A3532" s="10">
        <v>3531</v>
      </c>
      <c r="B3532" s="10">
        <f>_xlfn.XLOOKUP(1,(VALUE(D3532)&gt;=VALUE(block!$C$3:$C$500))*(VALUE(D3532)&lt;VALUE(block!$C$3:$C$500)+VALUE(block!$D$3:$D$500)),block!$A$3:$A$500,"无匹配",0,1)</f>
        <v>94</v>
      </c>
      <c r="C3532" s="3" t="str">
        <f>B3532 &amp; "-" &amp; COUNTIF($B$2:B3532, B3532)</f>
        <v>94-27</v>
      </c>
      <c r="D3532" s="10">
        <v>23746</v>
      </c>
      <c r="E3532" s="1" t="s">
        <v>8497</v>
      </c>
      <c r="F3532" s="1" t="s">
        <v>8498</v>
      </c>
      <c r="G3532" s="1" t="s">
        <v>1836</v>
      </c>
      <c r="H3532" s="1" t="s">
        <v>1812</v>
      </c>
      <c r="I3532" s="10" t="str">
        <f>IF(H3532="T25",1,IF(H3532="T25",3,IF(H3532="T41",6,IF(H3532="T41",10,IF(H3532="T73",14,IF(H3532="T73",18,IF(H3532="T41",22,"")))))))</f>
        <v/>
      </c>
      <c r="J3532" s="1" t="s">
        <v>1808</v>
      </c>
      <c r="K3532" s="10">
        <v>2</v>
      </c>
      <c r="L3532" s="10">
        <v>1</v>
      </c>
      <c r="O3532" s="6"/>
      <c r="P3532" s="10">
        <v>6</v>
      </c>
      <c r="Q3532" s="42" t="s">
        <v>6870</v>
      </c>
      <c r="R3532" s="42"/>
      <c r="S3532" s="1"/>
    </row>
    <row r="3533" spans="1:19" ht="18.75" hidden="1" customHeight="1" x14ac:dyDescent="0.3">
      <c r="A3533" s="10">
        <v>3532</v>
      </c>
      <c r="B3533" s="10">
        <f>_xlfn.XLOOKUP(1,(VALUE(D3533)&gt;=VALUE(block!$C$3:$C$500))*(VALUE(D3533)&lt;VALUE(block!$C$3:$C$500)+VALUE(block!$D$3:$D$500)),block!$A$3:$A$500,"无匹配",0,1)</f>
        <v>94</v>
      </c>
      <c r="C3533" s="3" t="str">
        <f>B3533 &amp; "-" &amp; COUNTIF($B$2:B3533, B3533)</f>
        <v>94-28</v>
      </c>
      <c r="D3533" s="10">
        <v>23748</v>
      </c>
      <c r="E3533" s="1" t="s">
        <v>8499</v>
      </c>
      <c r="F3533" s="1" t="s">
        <v>8500</v>
      </c>
      <c r="H3533" s="3" t="s">
        <v>6767</v>
      </c>
      <c r="I3533" s="10" t="str">
        <f>IF(H3533="T26",1,IF(H3533="T26",3,IF(H3533="T42",6,IF(H3533="T42",10,IF(H3533="T74",14,IF(H3533="T74",18,IF(H3533="T42",22,"")))))))</f>
        <v/>
      </c>
      <c r="J3533" s="1" t="s">
        <v>1808</v>
      </c>
      <c r="K3533" s="10">
        <v>4</v>
      </c>
      <c r="L3533" s="10">
        <v>1</v>
      </c>
      <c r="O3533" s="6"/>
      <c r="Q3533" s="42" t="s">
        <v>6870</v>
      </c>
      <c r="R3533" s="42"/>
      <c r="S3533" s="1"/>
    </row>
    <row r="3534" spans="1:19" ht="18.75" hidden="1" customHeight="1" x14ac:dyDescent="0.3">
      <c r="A3534" s="10">
        <v>3533</v>
      </c>
      <c r="B3534" s="10">
        <f>_xlfn.XLOOKUP(1,(VALUE(D3534)&gt;=VALUE(block!$C$3:$C$500))*(VALUE(D3534)&lt;VALUE(block!$C$3:$C$500)+VALUE(block!$D$3:$D$500)),block!$A$3:$A$500,"无匹配",0,1)</f>
        <v>94</v>
      </c>
      <c r="C3534" s="3" t="str">
        <f>B3534 &amp; "-" &amp; COUNTIF($B$2:B3534, B3534)</f>
        <v>94-29</v>
      </c>
      <c r="D3534" s="10">
        <v>23752</v>
      </c>
      <c r="E3534" s="3" t="s">
        <v>8501</v>
      </c>
      <c r="F3534" s="1" t="s">
        <v>8502</v>
      </c>
      <c r="G3534" s="1" t="s">
        <v>1840</v>
      </c>
      <c r="H3534" s="1" t="s">
        <v>1812</v>
      </c>
      <c r="I3534" s="10" t="str">
        <f>IF(H3534="T27",1,IF(H3534="T27",3,IF(H3534="T43",6,IF(H3534="T43",10,IF(H3534="T75",14,IF(H3534="T75",18,IF(H3534="T43",22,"")))))))</f>
        <v/>
      </c>
      <c r="J3534" s="1" t="s">
        <v>1808</v>
      </c>
      <c r="K3534" s="10">
        <v>2</v>
      </c>
      <c r="L3534" s="10">
        <v>1</v>
      </c>
      <c r="O3534" s="6"/>
      <c r="P3534" s="10">
        <v>6</v>
      </c>
      <c r="Q3534" s="42" t="s">
        <v>6870</v>
      </c>
      <c r="R3534" s="42"/>
      <c r="S3534" s="1"/>
    </row>
    <row r="3535" spans="1:19" ht="18.75" hidden="1" customHeight="1" x14ac:dyDescent="0.3">
      <c r="A3535" s="10">
        <v>3534</v>
      </c>
      <c r="B3535" s="10">
        <f>_xlfn.XLOOKUP(1,(VALUE(D3535)&gt;=VALUE(block!$C$3:$C$500))*(VALUE(D3535)&lt;VALUE(block!$C$3:$C$500)+VALUE(block!$D$3:$D$500)),block!$A$3:$A$500,"无匹配",0,1)</f>
        <v>94</v>
      </c>
      <c r="C3535" s="3" t="str">
        <f>B3535 &amp; "-" &amp; COUNTIF($B$2:B3535, B3535)</f>
        <v>94-30</v>
      </c>
      <c r="D3535" s="10">
        <v>23754</v>
      </c>
      <c r="E3535" s="1" t="s">
        <v>8503</v>
      </c>
      <c r="F3535" s="1" t="s">
        <v>8504</v>
      </c>
      <c r="H3535" s="3" t="s">
        <v>6767</v>
      </c>
      <c r="I3535" s="10" t="str">
        <f>IF(H3535="T28",1,IF(H3535="T28",3,IF(H3535="T44",6,IF(H3535="T44",10,IF(H3535="T76",14,IF(H3535="T76",18,IF(H3535="T44",22,"")))))))</f>
        <v/>
      </c>
      <c r="J3535" s="1" t="s">
        <v>1808</v>
      </c>
      <c r="K3535" s="10">
        <v>4</v>
      </c>
      <c r="L3535" s="10">
        <v>1</v>
      </c>
      <c r="O3535" s="6"/>
      <c r="Q3535" s="42" t="s">
        <v>6870</v>
      </c>
      <c r="R3535" s="42"/>
      <c r="S3535" s="1"/>
    </row>
    <row r="3536" spans="1:19" ht="18.75" hidden="1" customHeight="1" x14ac:dyDescent="0.3">
      <c r="A3536" s="10">
        <v>3535</v>
      </c>
      <c r="B3536" s="10">
        <f>_xlfn.XLOOKUP(1,(VALUE(D3536)&gt;=VALUE(block!$C$3:$C$500))*(VALUE(D3536)&lt;VALUE(block!$C$3:$C$500)+VALUE(block!$D$3:$D$500)),block!$A$3:$A$500,"无匹配",0,1)</f>
        <v>94</v>
      </c>
      <c r="C3536" s="3" t="str">
        <f>B3536 &amp; "-" &amp; COUNTIF($B$2:B3536, B3536)</f>
        <v>94-31</v>
      </c>
      <c r="D3536" s="10">
        <v>23758</v>
      </c>
      <c r="E3536" s="1" t="s">
        <v>8505</v>
      </c>
      <c r="F3536" s="1" t="s">
        <v>8506</v>
      </c>
      <c r="G3536" s="1" t="s">
        <v>1830</v>
      </c>
      <c r="H3536" s="1" t="s">
        <v>1812</v>
      </c>
      <c r="I3536" s="10" t="str">
        <f>IF(H3536="T29",1,IF(H3536="T29",3,IF(H3536="T45",6,IF(H3536="T45",10,IF(H3536="T77",14,IF(H3536="T77",18,IF(H3536="T45",22,"")))))))</f>
        <v/>
      </c>
      <c r="J3536" s="1" t="s">
        <v>1808</v>
      </c>
      <c r="K3536" s="10">
        <v>2</v>
      </c>
      <c r="L3536" s="10">
        <v>1</v>
      </c>
      <c r="O3536" s="6"/>
      <c r="P3536" s="10">
        <v>6</v>
      </c>
      <c r="Q3536" s="42" t="s">
        <v>6870</v>
      </c>
      <c r="R3536" s="42"/>
      <c r="S3536" s="1"/>
    </row>
    <row r="3537" spans="1:19" ht="18.75" hidden="1" customHeight="1" x14ac:dyDescent="0.3">
      <c r="A3537" s="10">
        <v>3536</v>
      </c>
      <c r="B3537" s="10">
        <f>_xlfn.XLOOKUP(1,(VALUE(D3537)&gt;=VALUE(block!$C$3:$C$500))*(VALUE(D3537)&lt;VALUE(block!$C$3:$C$500)+VALUE(block!$D$3:$D$500)),block!$A$3:$A$500,"无匹配",0,1)</f>
        <v>94</v>
      </c>
      <c r="C3537" s="3" t="str">
        <f>B3537 &amp; "-" &amp; COUNTIF($B$2:B3537, B3537)</f>
        <v>94-32</v>
      </c>
      <c r="D3537" s="10">
        <v>23760</v>
      </c>
      <c r="E3537" s="1" t="s">
        <v>8507</v>
      </c>
      <c r="F3537" s="1" t="s">
        <v>8508</v>
      </c>
      <c r="H3537" s="3" t="s">
        <v>6767</v>
      </c>
      <c r="I3537" s="10" t="str">
        <f>IF(H3537="T30",1,IF(H3537="T30",3,IF(H3537="T46",6,IF(H3537="T46",10,IF(H3537="T78",14,IF(H3537="T78",18,IF(H3537="T46",22,"")))))))</f>
        <v/>
      </c>
      <c r="J3537" s="1" t="s">
        <v>1808</v>
      </c>
      <c r="K3537" s="10">
        <v>4</v>
      </c>
      <c r="L3537" s="10">
        <v>1</v>
      </c>
      <c r="O3537" s="6"/>
      <c r="Q3537" s="42" t="s">
        <v>6870</v>
      </c>
      <c r="R3537" s="42"/>
      <c r="S3537" s="1"/>
    </row>
    <row r="3538" spans="1:19" ht="18.75" hidden="1" customHeight="1" x14ac:dyDescent="0.3">
      <c r="A3538" s="10">
        <v>3537</v>
      </c>
      <c r="B3538" s="10">
        <f>_xlfn.XLOOKUP(1,(VALUE(D3538)&gt;=VALUE(block!$C$3:$C$500))*(VALUE(D3538)&lt;VALUE(block!$C$3:$C$500)+VALUE(block!$D$3:$D$500)),block!$A$3:$A$500,"无匹配",0,1)</f>
        <v>94</v>
      </c>
      <c r="C3538" s="3" t="str">
        <f>B3538 &amp; "-" &amp; COUNTIF($B$2:B3538, B3538)</f>
        <v>94-33</v>
      </c>
      <c r="D3538" s="10">
        <v>23764</v>
      </c>
      <c r="E3538" s="1" t="s">
        <v>8509</v>
      </c>
      <c r="F3538" s="1" t="s">
        <v>8510</v>
      </c>
      <c r="G3538" s="1" t="s">
        <v>1832</v>
      </c>
      <c r="H3538" s="1" t="s">
        <v>1812</v>
      </c>
      <c r="I3538" s="10" t="str">
        <f>IF(H3538="T31",1,IF(H3538="T31",3,IF(H3538="T47",6,IF(H3538="T47",10,IF(H3538="T79",14,IF(H3538="T79",18,IF(H3538="T47",22,"")))))))</f>
        <v/>
      </c>
      <c r="J3538" s="1" t="s">
        <v>1808</v>
      </c>
      <c r="K3538" s="10">
        <v>2</v>
      </c>
      <c r="L3538" s="10">
        <v>1</v>
      </c>
      <c r="O3538" s="6"/>
      <c r="P3538" s="10">
        <v>6</v>
      </c>
      <c r="Q3538" s="42" t="s">
        <v>6870</v>
      </c>
      <c r="R3538" s="42"/>
      <c r="S3538" s="1"/>
    </row>
    <row r="3539" spans="1:19" ht="18.75" hidden="1" customHeight="1" x14ac:dyDescent="0.3">
      <c r="A3539" s="10">
        <v>3538</v>
      </c>
      <c r="B3539" s="10">
        <f>_xlfn.XLOOKUP(1,(VALUE(D3539)&gt;=VALUE(block!$C$3:$C$500))*(VALUE(D3539)&lt;VALUE(block!$C$3:$C$500)+VALUE(block!$D$3:$D$500)),block!$A$3:$A$500,"无匹配",0,1)</f>
        <v>94</v>
      </c>
      <c r="C3539" s="3" t="str">
        <f>B3539 &amp; "-" &amp; COUNTIF($B$2:B3539, B3539)</f>
        <v>94-34</v>
      </c>
      <c r="D3539" s="10">
        <v>23766</v>
      </c>
      <c r="E3539" s="1" t="s">
        <v>8511</v>
      </c>
      <c r="F3539" s="1" t="s">
        <v>8512</v>
      </c>
      <c r="H3539" s="3" t="s">
        <v>6767</v>
      </c>
      <c r="I3539" s="10" t="str">
        <f>IF(H3539="T32",1,IF(H3539="T32",3,IF(H3539="T48",6,IF(H3539="T48",10,IF(H3539="T80",14,IF(H3539="T80",18,IF(H3539="T48",22,"")))))))</f>
        <v/>
      </c>
      <c r="J3539" s="1" t="s">
        <v>1808</v>
      </c>
      <c r="K3539" s="10">
        <v>4</v>
      </c>
      <c r="L3539" s="10">
        <v>1</v>
      </c>
      <c r="O3539" s="6"/>
      <c r="Q3539" s="42" t="s">
        <v>6870</v>
      </c>
      <c r="R3539" s="42"/>
      <c r="S3539" s="1"/>
    </row>
    <row r="3540" spans="1:19" ht="18.75" hidden="1" customHeight="1" x14ac:dyDescent="0.3">
      <c r="A3540" s="10">
        <v>3539</v>
      </c>
      <c r="B3540" s="10">
        <f>_xlfn.XLOOKUP(1,(VALUE(D3540)&gt;=VALUE(block!$C$3:$C$500))*(VALUE(D3540)&lt;VALUE(block!$C$3:$C$500)+VALUE(block!$D$3:$D$500)),block!$A$3:$A$500,"无匹配",0,1)</f>
        <v>94</v>
      </c>
      <c r="C3540" s="3" t="str">
        <f>B3540 &amp; "-" &amp; COUNTIF($B$2:B3540, B3540)</f>
        <v>94-35</v>
      </c>
      <c r="D3540" s="10">
        <v>23770</v>
      </c>
      <c r="E3540" s="1" t="s">
        <v>8513</v>
      </c>
      <c r="F3540" s="1" t="s">
        <v>8514</v>
      </c>
      <c r="G3540" s="1" t="s">
        <v>1834</v>
      </c>
      <c r="H3540" s="1" t="s">
        <v>1812</v>
      </c>
      <c r="I3540" s="10" t="str">
        <f>IF(H3540="T33",1,IF(H3540="T33",3,IF(H3540="T49",6,IF(H3540="T49",10,IF(H3540="T81",14,IF(H3540="T81",18,IF(H3540="T49",22,"")))))))</f>
        <v/>
      </c>
      <c r="J3540" s="1" t="s">
        <v>1808</v>
      </c>
      <c r="K3540" s="10">
        <v>2</v>
      </c>
      <c r="L3540" s="10">
        <v>1</v>
      </c>
      <c r="O3540" s="6"/>
      <c r="P3540" s="10">
        <v>6</v>
      </c>
      <c r="Q3540" s="42" t="s">
        <v>6870</v>
      </c>
      <c r="R3540" s="42"/>
      <c r="S3540" s="1"/>
    </row>
    <row r="3541" spans="1:19" ht="18.75" hidden="1" customHeight="1" x14ac:dyDescent="0.3">
      <c r="A3541" s="10">
        <v>3540</v>
      </c>
      <c r="B3541" s="10">
        <f>_xlfn.XLOOKUP(1,(VALUE(D3541)&gt;=VALUE(block!$C$3:$C$500))*(VALUE(D3541)&lt;VALUE(block!$C$3:$C$500)+VALUE(block!$D$3:$D$500)),block!$A$3:$A$500,"无匹配",0,1)</f>
        <v>94</v>
      </c>
      <c r="C3541" s="3" t="str">
        <f>B3541 &amp; "-" &amp; COUNTIF($B$2:B3541, B3541)</f>
        <v>94-36</v>
      </c>
      <c r="D3541" s="10">
        <v>23772</v>
      </c>
      <c r="E3541" s="1" t="s">
        <v>8515</v>
      </c>
      <c r="F3541" s="1" t="s">
        <v>8516</v>
      </c>
      <c r="H3541" s="3" t="s">
        <v>6767</v>
      </c>
      <c r="I3541" s="10" t="str">
        <f>IF(H3541="T34",1,IF(H3541="T34",3,IF(H3541="T50",6,IF(H3541="T50",10,IF(H3541="T82",14,IF(H3541="T82",18,IF(H3541="T50",22,"")))))))</f>
        <v/>
      </c>
      <c r="J3541" s="1" t="s">
        <v>1808</v>
      </c>
      <c r="K3541" s="10">
        <v>4</v>
      </c>
      <c r="L3541" s="10">
        <v>1</v>
      </c>
      <c r="O3541" s="6"/>
      <c r="Q3541" s="42" t="s">
        <v>6870</v>
      </c>
      <c r="R3541" s="42"/>
      <c r="S3541" s="1"/>
    </row>
    <row r="3542" spans="1:19" ht="18.75" hidden="1" customHeight="1" x14ac:dyDescent="0.3">
      <c r="A3542" s="10">
        <v>3541</v>
      </c>
      <c r="B3542" s="10">
        <f>_xlfn.XLOOKUP(1,(VALUE(D3542)&gt;=VALUE(block!$C$3:$C$500))*(VALUE(D3542)&lt;VALUE(block!$C$3:$C$500)+VALUE(block!$D$3:$D$500)),block!$A$3:$A$500,"无匹配",0,1)</f>
        <v>94</v>
      </c>
      <c r="C3542" s="3" t="str">
        <f>B3542 &amp; "-" &amp; COUNTIF($B$2:B3542, B3542)</f>
        <v>94-37</v>
      </c>
      <c r="D3542" s="10">
        <v>23776</v>
      </c>
      <c r="E3542" s="1" t="s">
        <v>8517</v>
      </c>
      <c r="F3542" s="1" t="s">
        <v>8518</v>
      </c>
      <c r="G3542" s="1" t="s">
        <v>1836</v>
      </c>
      <c r="H3542" s="1" t="s">
        <v>1812</v>
      </c>
      <c r="I3542" s="10" t="str">
        <f>IF(H3542="T35",1,IF(H3542="T35",3,IF(H3542="T51",6,IF(H3542="T51",10,IF(H3542="T83",14,IF(H3542="T83",18,IF(H3542="T51",22,"")))))))</f>
        <v/>
      </c>
      <c r="J3542" s="1" t="s">
        <v>1808</v>
      </c>
      <c r="K3542" s="10">
        <v>2</v>
      </c>
      <c r="L3542" s="10">
        <v>1</v>
      </c>
      <c r="O3542" s="6"/>
      <c r="P3542" s="10">
        <v>6</v>
      </c>
      <c r="Q3542" s="42" t="s">
        <v>6870</v>
      </c>
      <c r="R3542" s="42"/>
      <c r="S3542" s="1"/>
    </row>
    <row r="3543" spans="1:19" ht="18.75" hidden="1" customHeight="1" x14ac:dyDescent="0.3">
      <c r="A3543" s="10">
        <v>3542</v>
      </c>
      <c r="B3543" s="10">
        <f>_xlfn.XLOOKUP(1,(VALUE(D3543)&gt;=VALUE(block!$C$3:$C$500))*(VALUE(D3543)&lt;VALUE(block!$C$3:$C$500)+VALUE(block!$D$3:$D$500)),block!$A$3:$A$500,"无匹配",0,1)</f>
        <v>94</v>
      </c>
      <c r="C3543" s="3" t="str">
        <f>B3543 &amp; "-" &amp; COUNTIF($B$2:B3543, B3543)</f>
        <v>94-38</v>
      </c>
      <c r="D3543" s="10">
        <v>23778</v>
      </c>
      <c r="E3543" s="1" t="s">
        <v>8519</v>
      </c>
      <c r="F3543" s="1" t="s">
        <v>8520</v>
      </c>
      <c r="H3543" s="3" t="s">
        <v>6767</v>
      </c>
      <c r="I3543" s="10" t="str">
        <f>IF(H3543="T36",1,IF(H3543="T36",3,IF(H3543="T52",6,IF(H3543="T52",10,IF(H3543="T84",14,IF(H3543="T84",18,IF(H3543="T52",22,"")))))))</f>
        <v/>
      </c>
      <c r="J3543" s="1" t="s">
        <v>1808</v>
      </c>
      <c r="K3543" s="10">
        <v>4</v>
      </c>
      <c r="L3543" s="10">
        <v>1</v>
      </c>
      <c r="O3543" s="6"/>
      <c r="Q3543" s="42" t="s">
        <v>6870</v>
      </c>
      <c r="R3543" s="42"/>
      <c r="S3543" s="1"/>
    </row>
    <row r="3544" spans="1:19" ht="18.75" hidden="1" customHeight="1" x14ac:dyDescent="0.3">
      <c r="A3544" s="10">
        <v>3543</v>
      </c>
      <c r="B3544" s="10">
        <f>_xlfn.XLOOKUP(1,(VALUE(D3544)&gt;=VALUE(block!$C$3:$C$500))*(VALUE(D3544)&lt;VALUE(block!$C$3:$C$500)+VALUE(block!$D$3:$D$500)),block!$A$3:$A$500,"无匹配",0,1)</f>
        <v>94</v>
      </c>
      <c r="C3544" s="3" t="str">
        <f>B3544 &amp; "-" &amp; COUNTIF($B$2:B3544, B3544)</f>
        <v>94-39</v>
      </c>
      <c r="D3544" s="10">
        <v>23782</v>
      </c>
      <c r="E3544" s="3" t="s">
        <v>8521</v>
      </c>
      <c r="F3544" s="1" t="s">
        <v>8522</v>
      </c>
      <c r="G3544" s="1" t="s">
        <v>1840</v>
      </c>
      <c r="H3544" s="1" t="s">
        <v>1812</v>
      </c>
      <c r="I3544" s="10" t="str">
        <f>IF(H3544="T37",1,IF(H3544="T37",3,IF(H3544="T53",6,IF(H3544="T53",10,IF(H3544="T85",14,IF(H3544="T85",18,IF(H3544="T53",22,"")))))))</f>
        <v/>
      </c>
      <c r="J3544" s="1" t="s">
        <v>1808</v>
      </c>
      <c r="K3544" s="10">
        <v>2</v>
      </c>
      <c r="L3544" s="10">
        <v>1</v>
      </c>
      <c r="O3544" s="6"/>
      <c r="P3544" s="10">
        <v>6</v>
      </c>
      <c r="Q3544" s="42" t="s">
        <v>6870</v>
      </c>
      <c r="R3544" s="42"/>
      <c r="S3544" s="1"/>
    </row>
    <row r="3545" spans="1:19" ht="18.75" hidden="1" customHeight="1" x14ac:dyDescent="0.3">
      <c r="A3545" s="10">
        <v>3544</v>
      </c>
      <c r="B3545" s="10">
        <f>_xlfn.XLOOKUP(1,(VALUE(D3545)&gt;=VALUE(block!$C$3:$C$500))*(VALUE(D3545)&lt;VALUE(block!$C$3:$C$500)+VALUE(block!$D$3:$D$500)),block!$A$3:$A$500,"无匹配",0,1)</f>
        <v>94</v>
      </c>
      <c r="C3545" s="3" t="str">
        <f>B3545 &amp; "-" &amp; COUNTIF($B$2:B3545, B3545)</f>
        <v>94-40</v>
      </c>
      <c r="D3545" s="10">
        <v>23784</v>
      </c>
      <c r="E3545" s="1" t="s">
        <v>8523</v>
      </c>
      <c r="F3545" s="1" t="s">
        <v>8524</v>
      </c>
      <c r="H3545" s="3" t="s">
        <v>6767</v>
      </c>
      <c r="I3545" s="10" t="str">
        <f>IF(H3545="T38",1,IF(H3545="T38",3,IF(H3545="T54",6,IF(H3545="T54",10,IF(H3545="T86",14,IF(H3545="T86",18,IF(H3545="T54",22,"")))))))</f>
        <v/>
      </c>
      <c r="J3545" s="1" t="s">
        <v>1808</v>
      </c>
      <c r="K3545" s="10">
        <v>4</v>
      </c>
      <c r="L3545" s="10">
        <v>1</v>
      </c>
      <c r="O3545" s="6"/>
      <c r="Q3545" s="42" t="s">
        <v>6870</v>
      </c>
      <c r="R3545" s="42"/>
      <c r="S3545" s="1"/>
    </row>
    <row r="3546" spans="1:19" ht="18.75" hidden="1" customHeight="1" x14ac:dyDescent="0.3">
      <c r="A3546" s="10">
        <v>3545</v>
      </c>
      <c r="B3546" s="10">
        <f>_xlfn.XLOOKUP(1,(VALUE(D3546)&gt;=VALUE(block!$C$3:$C$500))*(VALUE(D3546)&lt;VALUE(block!$C$3:$C$500)+VALUE(block!$D$3:$D$500)),block!$A$3:$A$500,"无匹配",0,1)</f>
        <v>95</v>
      </c>
      <c r="C3546" s="3" t="str">
        <f>B3546 &amp; "-" &amp; COUNTIF($B$2:B3546, B3546)</f>
        <v>95-1</v>
      </c>
      <c r="D3546" s="10">
        <v>23788</v>
      </c>
      <c r="E3546" s="1" t="s">
        <v>8525</v>
      </c>
      <c r="F3546" s="1" t="s">
        <v>8526</v>
      </c>
      <c r="G3546" s="1" t="s">
        <v>1830</v>
      </c>
      <c r="H3546" s="1" t="s">
        <v>1812</v>
      </c>
      <c r="I3546" s="10" t="str">
        <f>IF(H3546="T39",1,IF(H3546="T39",3,IF(H3546="T55",6,IF(H3546="T55",10,IF(H3546="T87",14,IF(H3546="T87",18,IF(H3546="T55",22,"")))))))</f>
        <v/>
      </c>
      <c r="J3546" s="1" t="s">
        <v>1808</v>
      </c>
      <c r="K3546" s="10">
        <v>2</v>
      </c>
      <c r="L3546" s="10">
        <v>1</v>
      </c>
      <c r="O3546" s="6"/>
      <c r="P3546" s="10">
        <v>6</v>
      </c>
      <c r="Q3546" s="42" t="s">
        <v>6870</v>
      </c>
      <c r="R3546" s="42"/>
      <c r="S3546" s="1"/>
    </row>
    <row r="3547" spans="1:19" ht="18.75" hidden="1" customHeight="1" x14ac:dyDescent="0.3">
      <c r="A3547" s="10">
        <v>3546</v>
      </c>
      <c r="B3547" s="10">
        <f>_xlfn.XLOOKUP(1,(VALUE(D3547)&gt;=VALUE(block!$C$3:$C$500))*(VALUE(D3547)&lt;VALUE(block!$C$3:$C$500)+VALUE(block!$D$3:$D$500)),block!$A$3:$A$500,"无匹配",0,1)</f>
        <v>95</v>
      </c>
      <c r="C3547" s="3" t="str">
        <f>B3547 &amp; "-" &amp; COUNTIF($B$2:B3547, B3547)</f>
        <v>95-2</v>
      </c>
      <c r="D3547" s="10">
        <v>23790</v>
      </c>
      <c r="E3547" s="1" t="s">
        <v>8527</v>
      </c>
      <c r="F3547" s="1" t="s">
        <v>8528</v>
      </c>
      <c r="H3547" s="3" t="s">
        <v>6767</v>
      </c>
      <c r="I3547" s="10" t="str">
        <f>IF(H3547="T40",1,IF(H3547="T40",3,IF(H3547="T56",6,IF(H3547="T56",10,IF(H3547="T88",14,IF(H3547="T88",18,IF(H3547="T56",22,"")))))))</f>
        <v/>
      </c>
      <c r="J3547" s="1" t="s">
        <v>1808</v>
      </c>
      <c r="K3547" s="10">
        <v>4</v>
      </c>
      <c r="L3547" s="10">
        <v>1</v>
      </c>
      <c r="O3547" s="6"/>
      <c r="Q3547" s="42" t="s">
        <v>6870</v>
      </c>
      <c r="R3547" s="42"/>
      <c r="S3547" s="1"/>
    </row>
    <row r="3548" spans="1:19" ht="18.75" hidden="1" customHeight="1" x14ac:dyDescent="0.3">
      <c r="A3548" s="10">
        <v>3547</v>
      </c>
      <c r="B3548" s="10">
        <f>_xlfn.XLOOKUP(1,(VALUE(D3548)&gt;=VALUE(block!$C$3:$C$500))*(VALUE(D3548)&lt;VALUE(block!$C$3:$C$500)+VALUE(block!$D$3:$D$500)),block!$A$3:$A$500,"无匹配",0,1)</f>
        <v>95</v>
      </c>
      <c r="C3548" s="3" t="str">
        <f>B3548 &amp; "-" &amp; COUNTIF($B$2:B3548, B3548)</f>
        <v>95-3</v>
      </c>
      <c r="D3548" s="10">
        <v>23794</v>
      </c>
      <c r="E3548" s="1" t="s">
        <v>8529</v>
      </c>
      <c r="F3548" s="1" t="s">
        <v>8530</v>
      </c>
      <c r="G3548" s="1" t="s">
        <v>1832</v>
      </c>
      <c r="H3548" s="1" t="s">
        <v>1812</v>
      </c>
      <c r="I3548" s="10" t="str">
        <f>IF(H3548="T41",1,IF(H3548="T41",3,IF(H3548="T57",6,IF(H3548="T57",10,IF(H3548="T89",14,IF(H3548="T89",18,IF(H3548="T57",22,"")))))))</f>
        <v/>
      </c>
      <c r="J3548" s="1" t="s">
        <v>1808</v>
      </c>
      <c r="K3548" s="10">
        <v>2</v>
      </c>
      <c r="L3548" s="10">
        <v>1</v>
      </c>
      <c r="O3548" s="6"/>
      <c r="P3548" s="10">
        <v>6</v>
      </c>
      <c r="Q3548" s="42" t="s">
        <v>6870</v>
      </c>
      <c r="R3548" s="42"/>
      <c r="S3548" s="1"/>
    </row>
    <row r="3549" spans="1:19" ht="18.75" hidden="1" customHeight="1" x14ac:dyDescent="0.3">
      <c r="A3549" s="10">
        <v>3548</v>
      </c>
      <c r="B3549" s="10">
        <f>_xlfn.XLOOKUP(1,(VALUE(D3549)&gt;=VALUE(block!$C$3:$C$500))*(VALUE(D3549)&lt;VALUE(block!$C$3:$C$500)+VALUE(block!$D$3:$D$500)),block!$A$3:$A$500,"无匹配",0,1)</f>
        <v>95</v>
      </c>
      <c r="C3549" s="3" t="str">
        <f>B3549 &amp; "-" &amp; COUNTIF($B$2:B3549, B3549)</f>
        <v>95-4</v>
      </c>
      <c r="D3549" s="10">
        <v>23796</v>
      </c>
      <c r="E3549" s="1" t="s">
        <v>8531</v>
      </c>
      <c r="F3549" s="1" t="s">
        <v>8532</v>
      </c>
      <c r="H3549" s="3" t="s">
        <v>6767</v>
      </c>
      <c r="I3549" s="10" t="str">
        <f>IF(H3549="T42",1,IF(H3549="T42",3,IF(H3549="T58",6,IF(H3549="T58",10,IF(H3549="T90",14,IF(H3549="T90",18,IF(H3549="T58",22,"")))))))</f>
        <v/>
      </c>
      <c r="J3549" s="1" t="s">
        <v>1808</v>
      </c>
      <c r="K3549" s="10">
        <v>4</v>
      </c>
      <c r="L3549" s="10">
        <v>1</v>
      </c>
      <c r="O3549" s="6"/>
      <c r="Q3549" s="42" t="s">
        <v>6870</v>
      </c>
      <c r="R3549" s="42"/>
      <c r="S3549" s="1"/>
    </row>
    <row r="3550" spans="1:19" ht="18.75" hidden="1" customHeight="1" x14ac:dyDescent="0.3">
      <c r="A3550" s="10">
        <v>3549</v>
      </c>
      <c r="B3550" s="10">
        <f>_xlfn.XLOOKUP(1,(VALUE(D3550)&gt;=VALUE(block!$C$3:$C$500))*(VALUE(D3550)&lt;VALUE(block!$C$3:$C$500)+VALUE(block!$D$3:$D$500)),block!$A$3:$A$500,"无匹配",0,1)</f>
        <v>95</v>
      </c>
      <c r="C3550" s="3" t="str">
        <f>B3550 &amp; "-" &amp; COUNTIF($B$2:B3550, B3550)</f>
        <v>95-5</v>
      </c>
      <c r="D3550" s="10">
        <v>23800</v>
      </c>
      <c r="E3550" s="1" t="s">
        <v>8533</v>
      </c>
      <c r="F3550" s="1" t="s">
        <v>8534</v>
      </c>
      <c r="G3550" s="1" t="s">
        <v>1834</v>
      </c>
      <c r="H3550" s="1" t="s">
        <v>1812</v>
      </c>
      <c r="I3550" s="10" t="str">
        <f>IF(H3550="T43",1,IF(H3550="T43",3,IF(H3550="T59",6,IF(H3550="T59",10,IF(H3550="T91",14,IF(H3550="T91",18,IF(H3550="T59",22,"")))))))</f>
        <v/>
      </c>
      <c r="J3550" s="1" t="s">
        <v>1808</v>
      </c>
      <c r="K3550" s="10">
        <v>2</v>
      </c>
      <c r="L3550" s="10">
        <v>1</v>
      </c>
      <c r="O3550" s="6"/>
      <c r="P3550" s="10">
        <v>6</v>
      </c>
      <c r="Q3550" s="42" t="s">
        <v>6870</v>
      </c>
      <c r="R3550" s="42"/>
      <c r="S3550" s="1"/>
    </row>
    <row r="3551" spans="1:19" ht="18.75" hidden="1" customHeight="1" x14ac:dyDescent="0.3">
      <c r="A3551" s="10">
        <v>3550</v>
      </c>
      <c r="B3551" s="10">
        <f>_xlfn.XLOOKUP(1,(VALUE(D3551)&gt;=VALUE(block!$C$3:$C$500))*(VALUE(D3551)&lt;VALUE(block!$C$3:$C$500)+VALUE(block!$D$3:$D$500)),block!$A$3:$A$500,"无匹配",0,1)</f>
        <v>95</v>
      </c>
      <c r="C3551" s="3" t="str">
        <f>B3551 &amp; "-" &amp; COUNTIF($B$2:B3551, B3551)</f>
        <v>95-6</v>
      </c>
      <c r="D3551" s="10">
        <v>23802</v>
      </c>
      <c r="E3551" s="1" t="s">
        <v>8535</v>
      </c>
      <c r="F3551" s="1" t="s">
        <v>8536</v>
      </c>
      <c r="H3551" s="3" t="s">
        <v>6767</v>
      </c>
      <c r="I3551" s="10" t="str">
        <f>IF(H3551="T44",1,IF(H3551="T44",3,IF(H3551="T60",6,IF(H3551="T60",10,IF(H3551="T92",14,IF(H3551="T92",18,IF(H3551="T60",22,"")))))))</f>
        <v/>
      </c>
      <c r="J3551" s="1" t="s">
        <v>1808</v>
      </c>
      <c r="K3551" s="10">
        <v>4</v>
      </c>
      <c r="L3551" s="10">
        <v>1</v>
      </c>
      <c r="O3551" s="6"/>
      <c r="Q3551" s="42" t="s">
        <v>6870</v>
      </c>
      <c r="R3551" s="42"/>
      <c r="S3551" s="1"/>
    </row>
    <row r="3552" spans="1:19" ht="18.75" hidden="1" customHeight="1" x14ac:dyDescent="0.3">
      <c r="A3552" s="10">
        <v>3551</v>
      </c>
      <c r="B3552" s="10">
        <f>_xlfn.XLOOKUP(1,(VALUE(D3552)&gt;=VALUE(block!$C$3:$C$500))*(VALUE(D3552)&lt;VALUE(block!$C$3:$C$500)+VALUE(block!$D$3:$D$500)),block!$A$3:$A$500,"无匹配",0,1)</f>
        <v>95</v>
      </c>
      <c r="C3552" s="3" t="str">
        <f>B3552 &amp; "-" &amp; COUNTIF($B$2:B3552, B3552)</f>
        <v>95-7</v>
      </c>
      <c r="D3552" s="10">
        <v>23806</v>
      </c>
      <c r="E3552" s="1" t="s">
        <v>8537</v>
      </c>
      <c r="F3552" s="1" t="s">
        <v>8538</v>
      </c>
      <c r="G3552" s="1" t="s">
        <v>1836</v>
      </c>
      <c r="H3552" s="1" t="s">
        <v>1812</v>
      </c>
      <c r="I3552" s="10" t="str">
        <f>IF(H3552="T45",1,IF(H3552="T45",3,IF(H3552="T61",6,IF(H3552="T61",10,IF(H3552="T93",14,IF(H3552="T93",18,IF(H3552="T61",22,"")))))))</f>
        <v/>
      </c>
      <c r="J3552" s="1" t="s">
        <v>1808</v>
      </c>
      <c r="K3552" s="10">
        <v>2</v>
      </c>
      <c r="L3552" s="10">
        <v>1</v>
      </c>
      <c r="O3552" s="6"/>
      <c r="P3552" s="10">
        <v>6</v>
      </c>
      <c r="Q3552" s="42" t="s">
        <v>6870</v>
      </c>
      <c r="R3552" s="42"/>
      <c r="S3552" s="1"/>
    </row>
    <row r="3553" spans="1:19" ht="18.75" hidden="1" customHeight="1" x14ac:dyDescent="0.3">
      <c r="A3553" s="10">
        <v>3552</v>
      </c>
      <c r="B3553" s="10">
        <f>_xlfn.XLOOKUP(1,(VALUE(D3553)&gt;=VALUE(block!$C$3:$C$500))*(VALUE(D3553)&lt;VALUE(block!$C$3:$C$500)+VALUE(block!$D$3:$D$500)),block!$A$3:$A$500,"无匹配",0,1)</f>
        <v>95</v>
      </c>
      <c r="C3553" s="3" t="str">
        <f>B3553 &amp; "-" &amp; COUNTIF($B$2:B3553, B3553)</f>
        <v>95-8</v>
      </c>
      <c r="D3553" s="10">
        <v>23808</v>
      </c>
      <c r="E3553" s="1" t="s">
        <v>8539</v>
      </c>
      <c r="F3553" s="1" t="s">
        <v>8540</v>
      </c>
      <c r="H3553" s="3" t="s">
        <v>6767</v>
      </c>
      <c r="I3553" s="10" t="str">
        <f>IF(H3553="T46",1,IF(H3553="T46",3,IF(H3553="T62",6,IF(H3553="T62",10,IF(H3553="T94",14,IF(H3553="T94",18,IF(H3553="T62",22,"")))))))</f>
        <v/>
      </c>
      <c r="J3553" s="1" t="s">
        <v>1808</v>
      </c>
      <c r="K3553" s="10">
        <v>4</v>
      </c>
      <c r="L3553" s="10">
        <v>1</v>
      </c>
      <c r="O3553" s="6"/>
      <c r="Q3553" s="42" t="s">
        <v>6870</v>
      </c>
      <c r="R3553" s="42"/>
      <c r="S3553" s="1"/>
    </row>
    <row r="3554" spans="1:19" ht="18.75" hidden="1" customHeight="1" x14ac:dyDescent="0.3">
      <c r="A3554" s="10">
        <v>3553</v>
      </c>
      <c r="B3554" s="10">
        <f>_xlfn.XLOOKUP(1,(VALUE(D3554)&gt;=VALUE(block!$C$3:$C$500))*(VALUE(D3554)&lt;VALUE(block!$C$3:$C$500)+VALUE(block!$D$3:$D$500)),block!$A$3:$A$500,"无匹配",0,1)</f>
        <v>95</v>
      </c>
      <c r="C3554" s="3" t="str">
        <f>B3554 &amp; "-" &amp; COUNTIF($B$2:B3554, B3554)</f>
        <v>95-9</v>
      </c>
      <c r="D3554" s="10">
        <v>23812</v>
      </c>
      <c r="E3554" s="3" t="s">
        <v>8541</v>
      </c>
      <c r="F3554" s="1" t="s">
        <v>8542</v>
      </c>
      <c r="G3554" s="1" t="s">
        <v>1840</v>
      </c>
      <c r="H3554" s="1" t="s">
        <v>1812</v>
      </c>
      <c r="I3554" s="10" t="str">
        <f>IF(H3554="T47",1,IF(H3554="T47",3,IF(H3554="T63",6,IF(H3554="T63",10,IF(H3554="T95",14,IF(H3554="T95",18,IF(H3554="T63",22,"")))))))</f>
        <v/>
      </c>
      <c r="J3554" s="1" t="s">
        <v>1808</v>
      </c>
      <c r="K3554" s="10">
        <v>2</v>
      </c>
      <c r="L3554" s="10">
        <v>1</v>
      </c>
      <c r="O3554" s="6"/>
      <c r="P3554" s="10">
        <v>6</v>
      </c>
      <c r="Q3554" s="42" t="s">
        <v>6870</v>
      </c>
      <c r="R3554" s="42"/>
      <c r="S3554" s="1"/>
    </row>
    <row r="3555" spans="1:19" ht="18.75" hidden="1" customHeight="1" x14ac:dyDescent="0.3">
      <c r="A3555" s="10">
        <v>3554</v>
      </c>
      <c r="B3555" s="10">
        <f>_xlfn.XLOOKUP(1,(VALUE(D3555)&gt;=VALUE(block!$C$3:$C$500))*(VALUE(D3555)&lt;VALUE(block!$C$3:$C$500)+VALUE(block!$D$3:$D$500)),block!$A$3:$A$500,"无匹配",0,1)</f>
        <v>95</v>
      </c>
      <c r="C3555" s="3" t="str">
        <f>B3555 &amp; "-" &amp; COUNTIF($B$2:B3555, B3555)</f>
        <v>95-10</v>
      </c>
      <c r="D3555" s="10">
        <v>23814</v>
      </c>
      <c r="E3555" s="1" t="s">
        <v>8543</v>
      </c>
      <c r="F3555" s="1" t="s">
        <v>8544</v>
      </c>
      <c r="H3555" s="3" t="s">
        <v>6767</v>
      </c>
      <c r="I3555" s="10" t="str">
        <f>IF(H3555="T48",1,IF(H3555="T48",3,IF(H3555="T64",6,IF(H3555="T64",10,IF(H3555="T96",14,IF(H3555="T96",18,IF(H3555="T64",22,"")))))))</f>
        <v/>
      </c>
      <c r="J3555" s="1" t="s">
        <v>1808</v>
      </c>
      <c r="K3555" s="10">
        <v>4</v>
      </c>
      <c r="L3555" s="10">
        <v>1</v>
      </c>
      <c r="O3555" s="6"/>
      <c r="Q3555" s="42" t="s">
        <v>6870</v>
      </c>
      <c r="R3555" s="42"/>
      <c r="S3555" s="1"/>
    </row>
    <row r="3556" spans="1:19" ht="18.75" hidden="1" customHeight="1" x14ac:dyDescent="0.3">
      <c r="A3556" s="10">
        <v>3555</v>
      </c>
      <c r="B3556" s="10">
        <f>_xlfn.XLOOKUP(1,(VALUE(D3556)&gt;=VALUE(block!$C$3:$C$500))*(VALUE(D3556)&lt;VALUE(block!$C$3:$C$500)+VALUE(block!$D$3:$D$500)),block!$A$3:$A$500,"无匹配",0,1)</f>
        <v>95</v>
      </c>
      <c r="C3556" s="3" t="str">
        <f>B3556 &amp; "-" &amp; COUNTIF($B$2:B3556, B3556)</f>
        <v>95-11</v>
      </c>
      <c r="D3556" s="10">
        <v>23818</v>
      </c>
      <c r="E3556" s="1" t="s">
        <v>8545</v>
      </c>
      <c r="F3556" s="1" t="s">
        <v>8546</v>
      </c>
      <c r="G3556" s="1" t="s">
        <v>1830</v>
      </c>
      <c r="H3556" s="1" t="s">
        <v>1812</v>
      </c>
      <c r="I3556" s="10" t="str">
        <f>IF(H3556="T49",1,IF(H3556="T49",3,IF(H3556="T65",6,IF(H3556="T65",10,IF(H3556="T97",14,IF(H3556="T97",18,IF(H3556="T65",22,"")))))))</f>
        <v/>
      </c>
      <c r="J3556" s="1" t="s">
        <v>1808</v>
      </c>
      <c r="K3556" s="10">
        <v>2</v>
      </c>
      <c r="L3556" s="10">
        <v>1</v>
      </c>
      <c r="O3556" s="6"/>
      <c r="P3556" s="10">
        <v>6</v>
      </c>
      <c r="Q3556" s="42" t="s">
        <v>6870</v>
      </c>
      <c r="R3556" s="42"/>
      <c r="S3556" s="1"/>
    </row>
    <row r="3557" spans="1:19" ht="18.75" hidden="1" customHeight="1" x14ac:dyDescent="0.3">
      <c r="A3557" s="10">
        <v>3556</v>
      </c>
      <c r="B3557" s="10">
        <f>_xlfn.XLOOKUP(1,(VALUE(D3557)&gt;=VALUE(block!$C$3:$C$500))*(VALUE(D3557)&lt;VALUE(block!$C$3:$C$500)+VALUE(block!$D$3:$D$500)),block!$A$3:$A$500,"无匹配",0,1)</f>
        <v>95</v>
      </c>
      <c r="C3557" s="3" t="str">
        <f>B3557 &amp; "-" &amp; COUNTIF($B$2:B3557, B3557)</f>
        <v>95-12</v>
      </c>
      <c r="D3557" s="10">
        <v>23820</v>
      </c>
      <c r="E3557" s="1" t="s">
        <v>8547</v>
      </c>
      <c r="F3557" s="1" t="s">
        <v>8548</v>
      </c>
      <c r="H3557" s="3" t="s">
        <v>6767</v>
      </c>
      <c r="I3557" s="10" t="str">
        <f>IF(H3557="T50",1,IF(H3557="T50",3,IF(H3557="T66",6,IF(H3557="T66",10,IF(H3557="T98",14,IF(H3557="T98",18,IF(H3557="T66",22,"")))))))</f>
        <v/>
      </c>
      <c r="J3557" s="1" t="s">
        <v>1808</v>
      </c>
      <c r="K3557" s="10">
        <v>4</v>
      </c>
      <c r="L3557" s="10">
        <v>1</v>
      </c>
      <c r="O3557" s="6"/>
      <c r="Q3557" s="42" t="s">
        <v>6870</v>
      </c>
      <c r="R3557" s="42"/>
      <c r="S3557" s="1"/>
    </row>
    <row r="3558" spans="1:19" ht="18.75" hidden="1" customHeight="1" x14ac:dyDescent="0.3">
      <c r="A3558" s="10">
        <v>3557</v>
      </c>
      <c r="B3558" s="10">
        <f>_xlfn.XLOOKUP(1,(VALUE(D3558)&gt;=VALUE(block!$C$3:$C$500))*(VALUE(D3558)&lt;VALUE(block!$C$3:$C$500)+VALUE(block!$D$3:$D$500)),block!$A$3:$A$500,"无匹配",0,1)</f>
        <v>95</v>
      </c>
      <c r="C3558" s="3" t="str">
        <f>B3558 &amp; "-" &amp; COUNTIF($B$2:B3558, B3558)</f>
        <v>95-13</v>
      </c>
      <c r="D3558" s="10">
        <v>23824</v>
      </c>
      <c r="E3558" s="1" t="s">
        <v>8549</v>
      </c>
      <c r="F3558" s="1" t="s">
        <v>8550</v>
      </c>
      <c r="G3558" s="1" t="s">
        <v>1832</v>
      </c>
      <c r="H3558" s="1" t="s">
        <v>1812</v>
      </c>
      <c r="I3558" s="10" t="str">
        <f>IF(H3558="T51",1,IF(H3558="T51",3,IF(H3558="T67",6,IF(H3558="T67",10,IF(H3558="T99",14,IF(H3558="T99",18,IF(H3558="T67",22,"")))))))</f>
        <v/>
      </c>
      <c r="J3558" s="1" t="s">
        <v>1808</v>
      </c>
      <c r="K3558" s="10">
        <v>2</v>
      </c>
      <c r="L3558" s="10">
        <v>1</v>
      </c>
      <c r="O3558" s="6"/>
      <c r="P3558" s="10">
        <v>6</v>
      </c>
      <c r="Q3558" s="42" t="s">
        <v>6870</v>
      </c>
      <c r="R3558" s="42"/>
      <c r="S3558" s="1"/>
    </row>
    <row r="3559" spans="1:19" ht="18.75" hidden="1" customHeight="1" x14ac:dyDescent="0.3">
      <c r="A3559" s="10">
        <v>3558</v>
      </c>
      <c r="B3559" s="10">
        <f>_xlfn.XLOOKUP(1,(VALUE(D3559)&gt;=VALUE(block!$C$3:$C$500))*(VALUE(D3559)&lt;VALUE(block!$C$3:$C$500)+VALUE(block!$D$3:$D$500)),block!$A$3:$A$500,"无匹配",0,1)</f>
        <v>95</v>
      </c>
      <c r="C3559" s="3" t="str">
        <f>B3559 &amp; "-" &amp; COUNTIF($B$2:B3559, B3559)</f>
        <v>95-14</v>
      </c>
      <c r="D3559" s="10">
        <v>23826</v>
      </c>
      <c r="E3559" s="1" t="s">
        <v>8551</v>
      </c>
      <c r="F3559" s="1" t="s">
        <v>8552</v>
      </c>
      <c r="H3559" s="3" t="s">
        <v>6767</v>
      </c>
      <c r="I3559" s="10" t="str">
        <f>IF(H3559="T52",1,IF(H3559="T52",3,IF(H3559="T68",6,IF(H3559="T68",10,IF(H3559="T100",14,IF(H3559="T100",18,IF(H3559="T68",22,"")))))))</f>
        <v/>
      </c>
      <c r="J3559" s="1" t="s">
        <v>1808</v>
      </c>
      <c r="K3559" s="10">
        <v>4</v>
      </c>
      <c r="L3559" s="10">
        <v>1</v>
      </c>
      <c r="O3559" s="6"/>
      <c r="Q3559" s="42" t="s">
        <v>6870</v>
      </c>
      <c r="R3559" s="42"/>
      <c r="S3559" s="1"/>
    </row>
    <row r="3560" spans="1:19" ht="18.75" hidden="1" customHeight="1" x14ac:dyDescent="0.3">
      <c r="A3560" s="10">
        <v>3559</v>
      </c>
      <c r="B3560" s="10">
        <f>_xlfn.XLOOKUP(1,(VALUE(D3560)&gt;=VALUE(block!$C$3:$C$500))*(VALUE(D3560)&lt;VALUE(block!$C$3:$C$500)+VALUE(block!$D$3:$D$500)),block!$A$3:$A$500,"无匹配",0,1)</f>
        <v>95</v>
      </c>
      <c r="C3560" s="3" t="str">
        <f>B3560 &amp; "-" &amp; COUNTIF($B$2:B3560, B3560)</f>
        <v>95-15</v>
      </c>
      <c r="D3560" s="10">
        <v>23830</v>
      </c>
      <c r="E3560" s="1" t="s">
        <v>8553</v>
      </c>
      <c r="F3560" s="1" t="s">
        <v>8554</v>
      </c>
      <c r="G3560" s="1" t="s">
        <v>1834</v>
      </c>
      <c r="H3560" s="1" t="s">
        <v>1812</v>
      </c>
      <c r="I3560" s="10" t="str">
        <f>IF(H3560="T53",1,IF(H3560="T53",3,IF(H3560="T69",6,IF(H3560="T69",10,IF(H3560="T101",14,IF(H3560="T101",18,IF(H3560="T69",22,"")))))))</f>
        <v/>
      </c>
      <c r="J3560" s="1" t="s">
        <v>1808</v>
      </c>
      <c r="K3560" s="10">
        <v>2</v>
      </c>
      <c r="L3560" s="10">
        <v>1</v>
      </c>
      <c r="O3560" s="6"/>
      <c r="P3560" s="10">
        <v>6</v>
      </c>
      <c r="Q3560" s="42" t="s">
        <v>6870</v>
      </c>
      <c r="R3560" s="42"/>
      <c r="S3560" s="1"/>
    </row>
    <row r="3561" spans="1:19" ht="18.75" hidden="1" customHeight="1" x14ac:dyDescent="0.3">
      <c r="A3561" s="10">
        <v>3560</v>
      </c>
      <c r="B3561" s="10">
        <f>_xlfn.XLOOKUP(1,(VALUE(D3561)&gt;=VALUE(block!$C$3:$C$500))*(VALUE(D3561)&lt;VALUE(block!$C$3:$C$500)+VALUE(block!$D$3:$D$500)),block!$A$3:$A$500,"无匹配",0,1)</f>
        <v>95</v>
      </c>
      <c r="C3561" s="3" t="str">
        <f>B3561 &amp; "-" &amp; COUNTIF($B$2:B3561, B3561)</f>
        <v>95-16</v>
      </c>
      <c r="D3561" s="10">
        <v>23832</v>
      </c>
      <c r="E3561" s="1" t="s">
        <v>8555</v>
      </c>
      <c r="F3561" s="1" t="s">
        <v>8556</v>
      </c>
      <c r="H3561" s="3" t="s">
        <v>6767</v>
      </c>
      <c r="I3561" s="10" t="str">
        <f>IF(H3561="T54",1,IF(H3561="T54",3,IF(H3561="T70",6,IF(H3561="T70",10,IF(H3561="T102",14,IF(H3561="T102",18,IF(H3561="T70",22,"")))))))</f>
        <v/>
      </c>
      <c r="J3561" s="1" t="s">
        <v>1808</v>
      </c>
      <c r="K3561" s="10">
        <v>4</v>
      </c>
      <c r="L3561" s="10">
        <v>1</v>
      </c>
      <c r="O3561" s="6"/>
      <c r="Q3561" s="42" t="s">
        <v>6870</v>
      </c>
      <c r="R3561" s="42"/>
      <c r="S3561" s="1"/>
    </row>
    <row r="3562" spans="1:19" ht="18.75" hidden="1" customHeight="1" x14ac:dyDescent="0.3">
      <c r="A3562" s="10">
        <v>3561</v>
      </c>
      <c r="B3562" s="10">
        <f>_xlfn.XLOOKUP(1,(VALUE(D3562)&gt;=VALUE(block!$C$3:$C$500))*(VALUE(D3562)&lt;VALUE(block!$C$3:$C$500)+VALUE(block!$D$3:$D$500)),block!$A$3:$A$500,"无匹配",0,1)</f>
        <v>95</v>
      </c>
      <c r="C3562" s="3" t="str">
        <f>B3562 &amp; "-" &amp; COUNTIF($B$2:B3562, B3562)</f>
        <v>95-17</v>
      </c>
      <c r="D3562" s="10">
        <v>23836</v>
      </c>
      <c r="E3562" s="1" t="s">
        <v>8557</v>
      </c>
      <c r="F3562" s="1" t="s">
        <v>8558</v>
      </c>
      <c r="G3562" s="1" t="s">
        <v>1836</v>
      </c>
      <c r="H3562" s="1" t="s">
        <v>1812</v>
      </c>
      <c r="I3562" s="10" t="str">
        <f>IF(H3562="T55",1,IF(H3562="T55",3,IF(H3562="T71",6,IF(H3562="T71",10,IF(H3562="T103",14,IF(H3562="T103",18,IF(H3562="T71",22,"")))))))</f>
        <v/>
      </c>
      <c r="J3562" s="1" t="s">
        <v>1808</v>
      </c>
      <c r="K3562" s="10">
        <v>2</v>
      </c>
      <c r="L3562" s="10">
        <v>1</v>
      </c>
      <c r="O3562" s="6"/>
      <c r="P3562" s="10">
        <v>6</v>
      </c>
      <c r="Q3562" s="42" t="s">
        <v>6870</v>
      </c>
      <c r="R3562" s="42"/>
      <c r="S3562" s="1"/>
    </row>
    <row r="3563" spans="1:19" ht="18.75" hidden="1" customHeight="1" x14ac:dyDescent="0.3">
      <c r="A3563" s="10">
        <v>3562</v>
      </c>
      <c r="B3563" s="10">
        <f>_xlfn.XLOOKUP(1,(VALUE(D3563)&gt;=VALUE(block!$C$3:$C$500))*(VALUE(D3563)&lt;VALUE(block!$C$3:$C$500)+VALUE(block!$D$3:$D$500)),block!$A$3:$A$500,"无匹配",0,1)</f>
        <v>95</v>
      </c>
      <c r="C3563" s="3" t="str">
        <f>B3563 &amp; "-" &amp; COUNTIF($B$2:B3563, B3563)</f>
        <v>95-18</v>
      </c>
      <c r="D3563" s="10">
        <v>23838</v>
      </c>
      <c r="E3563" s="1" t="s">
        <v>8559</v>
      </c>
      <c r="F3563" s="1" t="s">
        <v>8560</v>
      </c>
      <c r="H3563" s="3" t="s">
        <v>6767</v>
      </c>
      <c r="I3563" s="10" t="str">
        <f>IF(H3563="T56",1,IF(H3563="T56",3,IF(H3563="T72",6,IF(H3563="T72",10,IF(H3563="T104",14,IF(H3563="T104",18,IF(H3563="T72",22,"")))))))</f>
        <v/>
      </c>
      <c r="J3563" s="1" t="s">
        <v>1808</v>
      </c>
      <c r="K3563" s="10">
        <v>4</v>
      </c>
      <c r="L3563" s="10">
        <v>1</v>
      </c>
      <c r="O3563" s="6"/>
      <c r="Q3563" s="42" t="s">
        <v>6870</v>
      </c>
      <c r="R3563" s="42"/>
      <c r="S3563" s="1"/>
    </row>
    <row r="3564" spans="1:19" ht="18.75" hidden="1" customHeight="1" x14ac:dyDescent="0.3">
      <c r="A3564" s="10">
        <v>3563</v>
      </c>
      <c r="B3564" s="10">
        <f>_xlfn.XLOOKUP(1,(VALUE(D3564)&gt;=VALUE(block!$C$3:$C$500))*(VALUE(D3564)&lt;VALUE(block!$C$3:$C$500)+VALUE(block!$D$3:$D$500)),block!$A$3:$A$500,"无匹配",0,1)</f>
        <v>95</v>
      </c>
      <c r="C3564" s="3" t="str">
        <f>B3564 &amp; "-" &amp; COUNTIF($B$2:B3564, B3564)</f>
        <v>95-19</v>
      </c>
      <c r="D3564" s="10">
        <v>23842</v>
      </c>
      <c r="E3564" s="3" t="s">
        <v>8561</v>
      </c>
      <c r="F3564" s="1" t="s">
        <v>8562</v>
      </c>
      <c r="G3564" s="1" t="s">
        <v>1840</v>
      </c>
      <c r="H3564" s="1" t="s">
        <v>1812</v>
      </c>
      <c r="I3564" s="10" t="str">
        <f>IF(H3564="T57",1,IF(H3564="T57",3,IF(H3564="T73",6,IF(H3564="T73",10,IF(H3564="T105",14,IF(H3564="T105",18,IF(H3564="T73",22,"")))))))</f>
        <v/>
      </c>
      <c r="J3564" s="1" t="s">
        <v>1808</v>
      </c>
      <c r="K3564" s="10">
        <v>2</v>
      </c>
      <c r="L3564" s="10">
        <v>1</v>
      </c>
      <c r="O3564" s="6"/>
      <c r="P3564" s="10">
        <v>6</v>
      </c>
      <c r="Q3564" s="42" t="s">
        <v>6870</v>
      </c>
      <c r="R3564" s="42"/>
      <c r="S3564" s="1"/>
    </row>
    <row r="3565" spans="1:19" ht="18.75" hidden="1" customHeight="1" x14ac:dyDescent="0.3">
      <c r="A3565" s="10">
        <v>3564</v>
      </c>
      <c r="B3565" s="10">
        <f>_xlfn.XLOOKUP(1,(VALUE(D3565)&gt;=VALUE(block!$C$3:$C$500))*(VALUE(D3565)&lt;VALUE(block!$C$3:$C$500)+VALUE(block!$D$3:$D$500)),block!$A$3:$A$500,"无匹配",0,1)</f>
        <v>95</v>
      </c>
      <c r="C3565" s="3" t="str">
        <f>B3565 &amp; "-" &amp; COUNTIF($B$2:B3565, B3565)</f>
        <v>95-20</v>
      </c>
      <c r="D3565" s="10">
        <v>23844</v>
      </c>
      <c r="E3565" s="1" t="s">
        <v>8563</v>
      </c>
      <c r="F3565" s="1" t="s">
        <v>8564</v>
      </c>
      <c r="H3565" s="3" t="s">
        <v>6767</v>
      </c>
      <c r="I3565" s="10" t="str">
        <f>IF(H3565="T58",1,IF(H3565="T58",3,IF(H3565="T74",6,IF(H3565="T74",10,IF(H3565="T106",14,IF(H3565="T106",18,IF(H3565="T74",22,"")))))))</f>
        <v/>
      </c>
      <c r="J3565" s="1" t="s">
        <v>1808</v>
      </c>
      <c r="K3565" s="10">
        <v>4</v>
      </c>
      <c r="L3565" s="10">
        <v>1</v>
      </c>
      <c r="O3565" s="6"/>
      <c r="Q3565" s="42" t="s">
        <v>6870</v>
      </c>
      <c r="R3565" s="42"/>
      <c r="S3565" s="1"/>
    </row>
    <row r="3566" spans="1:19" ht="18.75" hidden="1" customHeight="1" x14ac:dyDescent="0.3">
      <c r="A3566" s="10">
        <v>3565</v>
      </c>
      <c r="B3566" s="10">
        <f>_xlfn.XLOOKUP(1,(VALUE(D3566)&gt;=VALUE(block!$C$3:$C$500))*(VALUE(D3566)&lt;VALUE(block!$C$3:$C$500)+VALUE(block!$D$3:$D$500)),block!$A$3:$A$500,"无匹配",0,1)</f>
        <v>95</v>
      </c>
      <c r="C3566" s="3" t="str">
        <f>B3566 &amp; "-" &amp; COUNTIF($B$2:B3566, B3566)</f>
        <v>95-21</v>
      </c>
      <c r="D3566" s="10">
        <v>23848</v>
      </c>
      <c r="E3566" s="1" t="s">
        <v>8565</v>
      </c>
      <c r="F3566" s="1" t="s">
        <v>8566</v>
      </c>
      <c r="G3566" s="1" t="s">
        <v>1830</v>
      </c>
      <c r="H3566" s="1" t="s">
        <v>1812</v>
      </c>
      <c r="I3566" s="10" t="str">
        <f>IF(H3566="T59",1,IF(H3566="T59",3,IF(H3566="T75",6,IF(H3566="T75",10,IF(H3566="T107",14,IF(H3566="T107",18,IF(H3566="T75",22,"")))))))</f>
        <v/>
      </c>
      <c r="J3566" s="1" t="s">
        <v>1808</v>
      </c>
      <c r="K3566" s="10">
        <v>2</v>
      </c>
      <c r="L3566" s="10">
        <v>1</v>
      </c>
      <c r="O3566" s="6"/>
      <c r="P3566" s="10">
        <v>6</v>
      </c>
      <c r="Q3566" s="42" t="s">
        <v>6870</v>
      </c>
      <c r="R3566" s="42"/>
      <c r="S3566" s="1"/>
    </row>
    <row r="3567" spans="1:19" ht="18.75" hidden="1" customHeight="1" x14ac:dyDescent="0.3">
      <c r="A3567" s="10">
        <v>3566</v>
      </c>
      <c r="B3567" s="10">
        <f>_xlfn.XLOOKUP(1,(VALUE(D3567)&gt;=VALUE(block!$C$3:$C$500))*(VALUE(D3567)&lt;VALUE(block!$C$3:$C$500)+VALUE(block!$D$3:$D$500)),block!$A$3:$A$500,"无匹配",0,1)</f>
        <v>95</v>
      </c>
      <c r="C3567" s="3" t="str">
        <f>B3567 &amp; "-" &amp; COUNTIF($B$2:B3567, B3567)</f>
        <v>95-22</v>
      </c>
      <c r="D3567" s="10">
        <v>23850</v>
      </c>
      <c r="E3567" s="1" t="s">
        <v>8567</v>
      </c>
      <c r="F3567" s="1" t="s">
        <v>8568</v>
      </c>
      <c r="H3567" s="3" t="s">
        <v>6767</v>
      </c>
      <c r="I3567" s="10" t="str">
        <f>IF(H3567="T60",1,IF(H3567="T60",3,IF(H3567="T76",6,IF(H3567="T76",10,IF(H3567="T108",14,IF(H3567="T108",18,IF(H3567="T76",22,"")))))))</f>
        <v/>
      </c>
      <c r="J3567" s="1" t="s">
        <v>1808</v>
      </c>
      <c r="K3567" s="10">
        <v>4</v>
      </c>
      <c r="L3567" s="10">
        <v>1</v>
      </c>
      <c r="O3567" s="6"/>
      <c r="Q3567" s="42" t="s">
        <v>6870</v>
      </c>
      <c r="R3567" s="42"/>
      <c r="S3567" s="1"/>
    </row>
    <row r="3568" spans="1:19" ht="18.75" hidden="1" customHeight="1" x14ac:dyDescent="0.3">
      <c r="A3568" s="10">
        <v>3567</v>
      </c>
      <c r="B3568" s="10">
        <f>_xlfn.XLOOKUP(1,(VALUE(D3568)&gt;=VALUE(block!$C$3:$C$500))*(VALUE(D3568)&lt;VALUE(block!$C$3:$C$500)+VALUE(block!$D$3:$D$500)),block!$A$3:$A$500,"无匹配",0,1)</f>
        <v>95</v>
      </c>
      <c r="C3568" s="3" t="str">
        <f>B3568 &amp; "-" &amp; COUNTIF($B$2:B3568, B3568)</f>
        <v>95-23</v>
      </c>
      <c r="D3568" s="10">
        <v>23854</v>
      </c>
      <c r="E3568" s="1" t="s">
        <v>8569</v>
      </c>
      <c r="F3568" s="1" t="s">
        <v>8570</v>
      </c>
      <c r="G3568" s="1" t="s">
        <v>1832</v>
      </c>
      <c r="H3568" s="1" t="s">
        <v>1812</v>
      </c>
      <c r="I3568" s="10" t="str">
        <f>IF(H3568="T61",1,IF(H3568="T61",3,IF(H3568="T77",6,IF(H3568="T77",10,IF(H3568="T109",14,IF(H3568="T109",18,IF(H3568="T77",22,"")))))))</f>
        <v/>
      </c>
      <c r="J3568" s="1" t="s">
        <v>1808</v>
      </c>
      <c r="K3568" s="10">
        <v>2</v>
      </c>
      <c r="L3568" s="10">
        <v>1</v>
      </c>
      <c r="O3568" s="6"/>
      <c r="P3568" s="10">
        <v>6</v>
      </c>
      <c r="Q3568" s="42" t="s">
        <v>6870</v>
      </c>
      <c r="R3568" s="42"/>
      <c r="S3568" s="1"/>
    </row>
    <row r="3569" spans="1:19" ht="18.75" hidden="1" customHeight="1" x14ac:dyDescent="0.3">
      <c r="A3569" s="10">
        <v>3568</v>
      </c>
      <c r="B3569" s="10">
        <f>_xlfn.XLOOKUP(1,(VALUE(D3569)&gt;=VALUE(block!$C$3:$C$500))*(VALUE(D3569)&lt;VALUE(block!$C$3:$C$500)+VALUE(block!$D$3:$D$500)),block!$A$3:$A$500,"无匹配",0,1)</f>
        <v>95</v>
      </c>
      <c r="C3569" s="3" t="str">
        <f>B3569 &amp; "-" &amp; COUNTIF($B$2:B3569, B3569)</f>
        <v>95-24</v>
      </c>
      <c r="D3569" s="10">
        <v>23856</v>
      </c>
      <c r="E3569" s="1" t="s">
        <v>8571</v>
      </c>
      <c r="F3569" s="1" t="s">
        <v>8572</v>
      </c>
      <c r="H3569" s="3" t="s">
        <v>6767</v>
      </c>
      <c r="I3569" s="10" t="str">
        <f>IF(H3569="T62",1,IF(H3569="T62",3,IF(H3569="T78",6,IF(H3569="T78",10,IF(H3569="T110",14,IF(H3569="T110",18,IF(H3569="T78",22,"")))))))</f>
        <v/>
      </c>
      <c r="J3569" s="1" t="s">
        <v>1808</v>
      </c>
      <c r="K3569" s="10">
        <v>4</v>
      </c>
      <c r="L3569" s="10">
        <v>1</v>
      </c>
      <c r="O3569" s="6"/>
      <c r="Q3569" s="42" t="s">
        <v>6870</v>
      </c>
      <c r="R3569" s="42"/>
      <c r="S3569" s="1"/>
    </row>
    <row r="3570" spans="1:19" ht="18.75" hidden="1" customHeight="1" x14ac:dyDescent="0.3">
      <c r="A3570" s="10">
        <v>3569</v>
      </c>
      <c r="B3570" s="10">
        <f>_xlfn.XLOOKUP(1,(VALUE(D3570)&gt;=VALUE(block!$C$3:$C$500))*(VALUE(D3570)&lt;VALUE(block!$C$3:$C$500)+VALUE(block!$D$3:$D$500)),block!$A$3:$A$500,"无匹配",0,1)</f>
        <v>95</v>
      </c>
      <c r="C3570" s="3" t="str">
        <f>B3570 &amp; "-" &amp; COUNTIF($B$2:B3570, B3570)</f>
        <v>95-25</v>
      </c>
      <c r="D3570" s="10">
        <v>23860</v>
      </c>
      <c r="E3570" s="1" t="s">
        <v>8573</v>
      </c>
      <c r="F3570" s="1" t="s">
        <v>8574</v>
      </c>
      <c r="G3570" s="1" t="s">
        <v>1834</v>
      </c>
      <c r="H3570" s="1" t="s">
        <v>1812</v>
      </c>
      <c r="I3570" s="10" t="str">
        <f>IF(H3570="T63",1,IF(H3570="T63",3,IF(H3570="T79",6,IF(H3570="T79",10,IF(H3570="T111",14,IF(H3570="T111",18,IF(H3570="T79",22,"")))))))</f>
        <v/>
      </c>
      <c r="J3570" s="1" t="s">
        <v>1808</v>
      </c>
      <c r="K3570" s="10">
        <v>2</v>
      </c>
      <c r="L3570" s="10">
        <v>1</v>
      </c>
      <c r="O3570" s="6"/>
      <c r="P3570" s="10">
        <v>6</v>
      </c>
      <c r="Q3570" s="42" t="s">
        <v>6870</v>
      </c>
      <c r="R3570" s="42"/>
      <c r="S3570" s="1"/>
    </row>
    <row r="3571" spans="1:19" ht="18.75" hidden="1" customHeight="1" x14ac:dyDescent="0.3">
      <c r="A3571" s="10">
        <v>3570</v>
      </c>
      <c r="B3571" s="10">
        <f>_xlfn.XLOOKUP(1,(VALUE(D3571)&gt;=VALUE(block!$C$3:$C$500))*(VALUE(D3571)&lt;VALUE(block!$C$3:$C$500)+VALUE(block!$D$3:$D$500)),block!$A$3:$A$500,"无匹配",0,1)</f>
        <v>95</v>
      </c>
      <c r="C3571" s="3" t="str">
        <f>B3571 &amp; "-" &amp; COUNTIF($B$2:B3571, B3571)</f>
        <v>95-26</v>
      </c>
      <c r="D3571" s="10">
        <v>23862</v>
      </c>
      <c r="E3571" s="1" t="s">
        <v>8575</v>
      </c>
      <c r="F3571" s="1" t="s">
        <v>8576</v>
      </c>
      <c r="H3571" s="3" t="s">
        <v>6767</v>
      </c>
      <c r="I3571" s="10" t="str">
        <f>IF(H3571="T64",1,IF(H3571="T64",3,IF(H3571="T80",6,IF(H3571="T80",10,IF(H3571="T112",14,IF(H3571="T112",18,IF(H3571="T80",22,"")))))))</f>
        <v/>
      </c>
      <c r="J3571" s="1" t="s">
        <v>1808</v>
      </c>
      <c r="K3571" s="10">
        <v>4</v>
      </c>
      <c r="L3571" s="10">
        <v>1</v>
      </c>
      <c r="O3571" s="6"/>
      <c r="Q3571" s="42" t="s">
        <v>6870</v>
      </c>
      <c r="R3571" s="42"/>
      <c r="S3571" s="1"/>
    </row>
    <row r="3572" spans="1:19" ht="18.75" hidden="1" customHeight="1" x14ac:dyDescent="0.3">
      <c r="A3572" s="10">
        <v>3571</v>
      </c>
      <c r="B3572" s="10">
        <f>_xlfn.XLOOKUP(1,(VALUE(D3572)&gt;=VALUE(block!$C$3:$C$500))*(VALUE(D3572)&lt;VALUE(block!$C$3:$C$500)+VALUE(block!$D$3:$D$500)),block!$A$3:$A$500,"无匹配",0,1)</f>
        <v>95</v>
      </c>
      <c r="C3572" s="3" t="str">
        <f>B3572 &amp; "-" &amp; COUNTIF($B$2:B3572, B3572)</f>
        <v>95-27</v>
      </c>
      <c r="D3572" s="10">
        <v>23866</v>
      </c>
      <c r="E3572" s="1" t="s">
        <v>8577</v>
      </c>
      <c r="F3572" s="1" t="s">
        <v>8578</v>
      </c>
      <c r="G3572" s="1" t="s">
        <v>1836</v>
      </c>
      <c r="H3572" s="1" t="s">
        <v>1812</v>
      </c>
      <c r="I3572" s="10" t="str">
        <f>IF(H3572="T65",1,IF(H3572="T65",3,IF(H3572="T81",6,IF(H3572="T81",10,IF(H3572="T113",14,IF(H3572="T113",18,IF(H3572="T81",22,"")))))))</f>
        <v/>
      </c>
      <c r="J3572" s="1" t="s">
        <v>1808</v>
      </c>
      <c r="K3572" s="10">
        <v>2</v>
      </c>
      <c r="L3572" s="10">
        <v>1</v>
      </c>
      <c r="O3572" s="6"/>
      <c r="P3572" s="10">
        <v>6</v>
      </c>
      <c r="Q3572" s="42" t="s">
        <v>6870</v>
      </c>
      <c r="R3572" s="42"/>
      <c r="S3572" s="1"/>
    </row>
    <row r="3573" spans="1:19" ht="18.75" hidden="1" customHeight="1" x14ac:dyDescent="0.3">
      <c r="A3573" s="10">
        <v>3572</v>
      </c>
      <c r="B3573" s="10">
        <f>_xlfn.XLOOKUP(1,(VALUE(D3573)&gt;=VALUE(block!$C$3:$C$500))*(VALUE(D3573)&lt;VALUE(block!$C$3:$C$500)+VALUE(block!$D$3:$D$500)),block!$A$3:$A$500,"无匹配",0,1)</f>
        <v>95</v>
      </c>
      <c r="C3573" s="3" t="str">
        <f>B3573 &amp; "-" &amp; COUNTIF($B$2:B3573, B3573)</f>
        <v>95-28</v>
      </c>
      <c r="D3573" s="10">
        <v>23868</v>
      </c>
      <c r="E3573" s="1" t="s">
        <v>8579</v>
      </c>
      <c r="F3573" s="1" t="s">
        <v>8580</v>
      </c>
      <c r="H3573" s="3" t="s">
        <v>6767</v>
      </c>
      <c r="I3573" s="10" t="str">
        <f>IF(H3573="T66",1,IF(H3573="T66",3,IF(H3573="T82",6,IF(H3573="T82",10,IF(H3573="T114",14,IF(H3573="T114",18,IF(H3573="T82",22,"")))))))</f>
        <v/>
      </c>
      <c r="J3573" s="1" t="s">
        <v>1808</v>
      </c>
      <c r="K3573" s="10">
        <v>4</v>
      </c>
      <c r="L3573" s="10">
        <v>1</v>
      </c>
      <c r="O3573" s="6"/>
      <c r="Q3573" s="42" t="s">
        <v>6870</v>
      </c>
      <c r="R3573" s="42"/>
      <c r="S3573" s="1"/>
    </row>
    <row r="3574" spans="1:19" ht="18.75" hidden="1" customHeight="1" x14ac:dyDescent="0.3">
      <c r="A3574" s="10">
        <v>3573</v>
      </c>
      <c r="B3574" s="10">
        <f>_xlfn.XLOOKUP(1,(VALUE(D3574)&gt;=VALUE(block!$C$3:$C$500))*(VALUE(D3574)&lt;VALUE(block!$C$3:$C$500)+VALUE(block!$D$3:$D$500)),block!$A$3:$A$500,"无匹配",0,1)</f>
        <v>95</v>
      </c>
      <c r="C3574" s="3" t="str">
        <f>B3574 &amp; "-" &amp; COUNTIF($B$2:B3574, B3574)</f>
        <v>95-29</v>
      </c>
      <c r="D3574" s="10">
        <v>23872</v>
      </c>
      <c r="E3574" s="3" t="s">
        <v>8581</v>
      </c>
      <c r="F3574" s="1" t="s">
        <v>8582</v>
      </c>
      <c r="G3574" s="1" t="s">
        <v>1840</v>
      </c>
      <c r="H3574" s="1" t="s">
        <v>1812</v>
      </c>
      <c r="I3574" s="10" t="str">
        <f>IF(H3574="T67",1,IF(H3574="T67",3,IF(H3574="T83",6,IF(H3574="T83",10,IF(H3574="T115",14,IF(H3574="T115",18,IF(H3574="T83",22,"")))))))</f>
        <v/>
      </c>
      <c r="J3574" s="1" t="s">
        <v>1808</v>
      </c>
      <c r="K3574" s="10">
        <v>2</v>
      </c>
      <c r="L3574" s="10">
        <v>1</v>
      </c>
      <c r="O3574" s="6"/>
      <c r="P3574" s="10">
        <v>6</v>
      </c>
      <c r="Q3574" s="42" t="s">
        <v>6870</v>
      </c>
      <c r="R3574" s="42"/>
      <c r="S3574" s="1"/>
    </row>
    <row r="3575" spans="1:19" ht="18.75" hidden="1" customHeight="1" x14ac:dyDescent="0.3">
      <c r="A3575" s="10">
        <v>3574</v>
      </c>
      <c r="B3575" s="10">
        <f>_xlfn.XLOOKUP(1,(VALUE(D3575)&gt;=VALUE(block!$C$3:$C$500))*(VALUE(D3575)&lt;VALUE(block!$C$3:$C$500)+VALUE(block!$D$3:$D$500)),block!$A$3:$A$500,"无匹配",0,1)</f>
        <v>95</v>
      </c>
      <c r="C3575" s="3" t="str">
        <f>B3575 &amp; "-" &amp; COUNTIF($B$2:B3575, B3575)</f>
        <v>95-30</v>
      </c>
      <c r="D3575" s="10">
        <v>23874</v>
      </c>
      <c r="E3575" s="1" t="s">
        <v>8583</v>
      </c>
      <c r="F3575" s="1" t="s">
        <v>8584</v>
      </c>
      <c r="H3575" s="3" t="s">
        <v>6767</v>
      </c>
      <c r="I3575" s="10" t="str">
        <f>IF(H3575="T68",1,IF(H3575="T68",3,IF(H3575="T84",6,IF(H3575="T84",10,IF(H3575="T116",14,IF(H3575="T116",18,IF(H3575="T84",22,"")))))))</f>
        <v/>
      </c>
      <c r="J3575" s="1" t="s">
        <v>1808</v>
      </c>
      <c r="K3575" s="10">
        <v>4</v>
      </c>
      <c r="L3575" s="10">
        <v>1</v>
      </c>
      <c r="O3575" s="6"/>
      <c r="Q3575" s="42" t="s">
        <v>6870</v>
      </c>
      <c r="R3575" s="42"/>
      <c r="S3575" s="1"/>
    </row>
    <row r="3576" spans="1:19" ht="18.75" hidden="1" customHeight="1" x14ac:dyDescent="0.3">
      <c r="A3576" s="10">
        <v>3575</v>
      </c>
      <c r="B3576" s="10">
        <f>_xlfn.XLOOKUP(1,(VALUE(D3576)&gt;=VALUE(block!$C$3:$C$500))*(VALUE(D3576)&lt;VALUE(block!$C$3:$C$500)+VALUE(block!$D$3:$D$500)),block!$A$3:$A$500,"无匹配",0,1)</f>
        <v>95</v>
      </c>
      <c r="C3576" s="3" t="str">
        <f>B3576 &amp; "-" &amp; COUNTIF($B$2:B3576, B3576)</f>
        <v>95-31</v>
      </c>
      <c r="D3576" s="10">
        <v>23878</v>
      </c>
      <c r="E3576" s="1" t="s">
        <v>8585</v>
      </c>
      <c r="F3576" s="1" t="s">
        <v>8586</v>
      </c>
      <c r="G3576" s="1" t="s">
        <v>1830</v>
      </c>
      <c r="H3576" s="1" t="s">
        <v>1812</v>
      </c>
      <c r="I3576" s="10" t="str">
        <f>IF(H3576="T69",1,IF(H3576="T69",3,IF(H3576="T85",6,IF(H3576="T85",10,IF(H3576="T117",14,IF(H3576="T117",18,IF(H3576="T85",22,"")))))))</f>
        <v/>
      </c>
      <c r="J3576" s="1" t="s">
        <v>1808</v>
      </c>
      <c r="K3576" s="10">
        <v>2</v>
      </c>
      <c r="L3576" s="10">
        <v>1</v>
      </c>
      <c r="O3576" s="6"/>
      <c r="P3576" s="10">
        <v>6</v>
      </c>
      <c r="Q3576" s="42" t="s">
        <v>6870</v>
      </c>
      <c r="R3576" s="42"/>
      <c r="S3576" s="1"/>
    </row>
    <row r="3577" spans="1:19" ht="18.75" hidden="1" customHeight="1" x14ac:dyDescent="0.3">
      <c r="A3577" s="10">
        <v>3576</v>
      </c>
      <c r="B3577" s="10">
        <f>_xlfn.XLOOKUP(1,(VALUE(D3577)&gt;=VALUE(block!$C$3:$C$500))*(VALUE(D3577)&lt;VALUE(block!$C$3:$C$500)+VALUE(block!$D$3:$D$500)),block!$A$3:$A$500,"无匹配",0,1)</f>
        <v>95</v>
      </c>
      <c r="C3577" s="3" t="str">
        <f>B3577 &amp; "-" &amp; COUNTIF($B$2:B3577, B3577)</f>
        <v>95-32</v>
      </c>
      <c r="D3577" s="10">
        <v>23880</v>
      </c>
      <c r="E3577" s="1" t="s">
        <v>8587</v>
      </c>
      <c r="F3577" s="1" t="s">
        <v>8588</v>
      </c>
      <c r="H3577" s="3" t="s">
        <v>6767</v>
      </c>
      <c r="I3577" s="10" t="str">
        <f>IF(H3577="T70",1,IF(H3577="T70",3,IF(H3577="T86",6,IF(H3577="T86",10,IF(H3577="T118",14,IF(H3577="T118",18,IF(H3577="T86",22,"")))))))</f>
        <v/>
      </c>
      <c r="J3577" s="1" t="s">
        <v>1808</v>
      </c>
      <c r="K3577" s="10">
        <v>4</v>
      </c>
      <c r="L3577" s="10">
        <v>1</v>
      </c>
      <c r="O3577" s="6"/>
      <c r="Q3577" s="42" t="s">
        <v>6870</v>
      </c>
      <c r="R3577" s="42"/>
      <c r="S3577" s="1"/>
    </row>
    <row r="3578" spans="1:19" ht="18.75" hidden="1" customHeight="1" x14ac:dyDescent="0.3">
      <c r="A3578" s="10">
        <v>3577</v>
      </c>
      <c r="B3578" s="10">
        <f>_xlfn.XLOOKUP(1,(VALUE(D3578)&gt;=VALUE(block!$C$3:$C$500))*(VALUE(D3578)&lt;VALUE(block!$C$3:$C$500)+VALUE(block!$D$3:$D$500)),block!$A$3:$A$500,"无匹配",0,1)</f>
        <v>95</v>
      </c>
      <c r="C3578" s="3" t="str">
        <f>B3578 &amp; "-" &amp; COUNTIF($B$2:B3578, B3578)</f>
        <v>95-33</v>
      </c>
      <c r="D3578" s="10">
        <v>23884</v>
      </c>
      <c r="E3578" s="1" t="s">
        <v>8589</v>
      </c>
      <c r="F3578" s="1" t="s">
        <v>8590</v>
      </c>
      <c r="G3578" s="1" t="s">
        <v>1832</v>
      </c>
      <c r="H3578" s="1" t="s">
        <v>1812</v>
      </c>
      <c r="I3578" s="10" t="str">
        <f>IF(H3578="T71",1,IF(H3578="T71",3,IF(H3578="T87",6,IF(H3578="T87",10,IF(H3578="T119",14,IF(H3578="T119",18,IF(H3578="T87",22,"")))))))</f>
        <v/>
      </c>
      <c r="J3578" s="1" t="s">
        <v>1808</v>
      </c>
      <c r="K3578" s="10">
        <v>2</v>
      </c>
      <c r="L3578" s="10">
        <v>1</v>
      </c>
      <c r="O3578" s="6"/>
      <c r="P3578" s="10">
        <v>6</v>
      </c>
      <c r="Q3578" s="42" t="s">
        <v>6870</v>
      </c>
      <c r="R3578" s="42"/>
      <c r="S3578" s="1"/>
    </row>
    <row r="3579" spans="1:19" ht="18.75" hidden="1" customHeight="1" x14ac:dyDescent="0.3">
      <c r="A3579" s="10">
        <v>3578</v>
      </c>
      <c r="B3579" s="10">
        <f>_xlfn.XLOOKUP(1,(VALUE(D3579)&gt;=VALUE(block!$C$3:$C$500))*(VALUE(D3579)&lt;VALUE(block!$C$3:$C$500)+VALUE(block!$D$3:$D$500)),block!$A$3:$A$500,"无匹配",0,1)</f>
        <v>95</v>
      </c>
      <c r="C3579" s="3" t="str">
        <f>B3579 &amp; "-" &amp; COUNTIF($B$2:B3579, B3579)</f>
        <v>95-34</v>
      </c>
      <c r="D3579" s="10">
        <v>23886</v>
      </c>
      <c r="E3579" s="1" t="s">
        <v>8591</v>
      </c>
      <c r="F3579" s="1" t="s">
        <v>8592</v>
      </c>
      <c r="H3579" s="3" t="s">
        <v>6767</v>
      </c>
      <c r="I3579" s="10" t="str">
        <f>IF(H3579="T72",1,IF(H3579="T72",3,IF(H3579="T88",6,IF(H3579="T88",10,IF(H3579="T120",14,IF(H3579="T120",18,IF(H3579="T88",22,"")))))))</f>
        <v/>
      </c>
      <c r="J3579" s="1" t="s">
        <v>1808</v>
      </c>
      <c r="K3579" s="10">
        <v>4</v>
      </c>
      <c r="L3579" s="10">
        <v>1</v>
      </c>
      <c r="O3579" s="6"/>
      <c r="Q3579" s="42" t="s">
        <v>6870</v>
      </c>
      <c r="R3579" s="42"/>
      <c r="S3579" s="1"/>
    </row>
    <row r="3580" spans="1:19" ht="18.75" hidden="1" customHeight="1" x14ac:dyDescent="0.3">
      <c r="A3580" s="10">
        <v>3579</v>
      </c>
      <c r="B3580" s="10">
        <f>_xlfn.XLOOKUP(1,(VALUE(D3580)&gt;=VALUE(block!$C$3:$C$500))*(VALUE(D3580)&lt;VALUE(block!$C$3:$C$500)+VALUE(block!$D$3:$D$500)),block!$A$3:$A$500,"无匹配",0,1)</f>
        <v>95</v>
      </c>
      <c r="C3580" s="3" t="str">
        <f>B3580 &amp; "-" &amp; COUNTIF($B$2:B3580, B3580)</f>
        <v>95-35</v>
      </c>
      <c r="D3580" s="10">
        <v>23890</v>
      </c>
      <c r="E3580" s="1" t="s">
        <v>8593</v>
      </c>
      <c r="F3580" s="1" t="s">
        <v>8594</v>
      </c>
      <c r="G3580" s="1" t="s">
        <v>1834</v>
      </c>
      <c r="H3580" s="1" t="s">
        <v>1812</v>
      </c>
      <c r="I3580" s="10" t="str">
        <f>IF(H3580="T73",1,IF(H3580="T73",3,IF(H3580="T89",6,IF(H3580="T89",10,IF(H3580="T121",14,IF(H3580="T121",18,IF(H3580="T89",22,"")))))))</f>
        <v/>
      </c>
      <c r="J3580" s="1" t="s">
        <v>1808</v>
      </c>
      <c r="K3580" s="10">
        <v>2</v>
      </c>
      <c r="L3580" s="10">
        <v>1</v>
      </c>
      <c r="O3580" s="6"/>
      <c r="P3580" s="10">
        <v>6</v>
      </c>
      <c r="Q3580" s="42" t="s">
        <v>6870</v>
      </c>
      <c r="R3580" s="42"/>
      <c r="S3580" s="1"/>
    </row>
    <row r="3581" spans="1:19" ht="18.75" hidden="1" customHeight="1" x14ac:dyDescent="0.3">
      <c r="A3581" s="10">
        <v>3580</v>
      </c>
      <c r="B3581" s="10">
        <f>_xlfn.XLOOKUP(1,(VALUE(D3581)&gt;=VALUE(block!$C$3:$C$500))*(VALUE(D3581)&lt;VALUE(block!$C$3:$C$500)+VALUE(block!$D$3:$D$500)),block!$A$3:$A$500,"无匹配",0,1)</f>
        <v>95</v>
      </c>
      <c r="C3581" s="3" t="str">
        <f>B3581 &amp; "-" &amp; COUNTIF($B$2:B3581, B3581)</f>
        <v>95-36</v>
      </c>
      <c r="D3581" s="10">
        <v>23892</v>
      </c>
      <c r="E3581" s="1" t="s">
        <v>8595</v>
      </c>
      <c r="F3581" s="1" t="s">
        <v>8596</v>
      </c>
      <c r="H3581" s="3" t="s">
        <v>6767</v>
      </c>
      <c r="I3581" s="10" t="str">
        <f>IF(H3581="T74",1,IF(H3581="T74",3,IF(H3581="T90",6,IF(H3581="T90",10,IF(H3581="T122",14,IF(H3581="T122",18,IF(H3581="T90",22,"")))))))</f>
        <v/>
      </c>
      <c r="J3581" s="1" t="s">
        <v>1808</v>
      </c>
      <c r="K3581" s="10">
        <v>4</v>
      </c>
      <c r="L3581" s="10">
        <v>1</v>
      </c>
      <c r="O3581" s="6"/>
      <c r="Q3581" s="42" t="s">
        <v>6870</v>
      </c>
      <c r="R3581" s="42"/>
      <c r="S3581" s="1"/>
    </row>
    <row r="3582" spans="1:19" ht="18.75" hidden="1" customHeight="1" x14ac:dyDescent="0.3">
      <c r="A3582" s="10">
        <v>3581</v>
      </c>
      <c r="B3582" s="10">
        <f>_xlfn.XLOOKUP(1,(VALUE(D3582)&gt;=VALUE(block!$C$3:$C$500))*(VALUE(D3582)&lt;VALUE(block!$C$3:$C$500)+VALUE(block!$D$3:$D$500)),block!$A$3:$A$500,"无匹配",0,1)</f>
        <v>95</v>
      </c>
      <c r="C3582" s="3" t="str">
        <f>B3582 &amp; "-" &amp; COUNTIF($B$2:B3582, B3582)</f>
        <v>95-37</v>
      </c>
      <c r="D3582" s="10">
        <v>23896</v>
      </c>
      <c r="E3582" s="1" t="s">
        <v>8597</v>
      </c>
      <c r="F3582" s="1" t="s">
        <v>8598</v>
      </c>
      <c r="G3582" s="1" t="s">
        <v>1836</v>
      </c>
      <c r="H3582" s="1" t="s">
        <v>1812</v>
      </c>
      <c r="I3582" s="10" t="str">
        <f>IF(H3582="T75",1,IF(H3582="T75",3,IF(H3582="T91",6,IF(H3582="T91",10,IF(H3582="T123",14,IF(H3582="T123",18,IF(H3582="T91",22,"")))))))</f>
        <v/>
      </c>
      <c r="J3582" s="1" t="s">
        <v>1808</v>
      </c>
      <c r="K3582" s="10">
        <v>2</v>
      </c>
      <c r="L3582" s="10">
        <v>1</v>
      </c>
      <c r="O3582" s="6"/>
      <c r="P3582" s="10">
        <v>6</v>
      </c>
      <c r="Q3582" s="42" t="s">
        <v>6870</v>
      </c>
      <c r="R3582" s="42"/>
      <c r="S3582" s="1"/>
    </row>
    <row r="3583" spans="1:19" ht="18.75" hidden="1" customHeight="1" x14ac:dyDescent="0.3">
      <c r="A3583" s="10">
        <v>3582</v>
      </c>
      <c r="B3583" s="10">
        <f>_xlfn.XLOOKUP(1,(VALUE(D3583)&gt;=VALUE(block!$C$3:$C$500))*(VALUE(D3583)&lt;VALUE(block!$C$3:$C$500)+VALUE(block!$D$3:$D$500)),block!$A$3:$A$500,"无匹配",0,1)</f>
        <v>95</v>
      </c>
      <c r="C3583" s="3" t="str">
        <f>B3583 &amp; "-" &amp; COUNTIF($B$2:B3583, B3583)</f>
        <v>95-38</v>
      </c>
      <c r="D3583" s="10">
        <v>23898</v>
      </c>
      <c r="E3583" s="1" t="s">
        <v>8599</v>
      </c>
      <c r="F3583" s="1" t="s">
        <v>8600</v>
      </c>
      <c r="H3583" s="3" t="s">
        <v>6767</v>
      </c>
      <c r="I3583" s="10" t="str">
        <f>IF(H3583="T76",1,IF(H3583="T76",3,IF(H3583="T92",6,IF(H3583="T92",10,IF(H3583="T124",14,IF(H3583="T124",18,IF(H3583="T92",22,"")))))))</f>
        <v/>
      </c>
      <c r="J3583" s="1" t="s">
        <v>1808</v>
      </c>
      <c r="K3583" s="10">
        <v>4</v>
      </c>
      <c r="L3583" s="10">
        <v>1</v>
      </c>
      <c r="O3583" s="6"/>
      <c r="Q3583" s="42" t="s">
        <v>6870</v>
      </c>
      <c r="R3583" s="42"/>
      <c r="S3583" s="1"/>
    </row>
    <row r="3584" spans="1:19" ht="18.75" hidden="1" customHeight="1" x14ac:dyDescent="0.3">
      <c r="A3584" s="10">
        <v>3583</v>
      </c>
      <c r="B3584" s="10">
        <f>_xlfn.XLOOKUP(1,(VALUE(D3584)&gt;=VALUE(block!$C$3:$C$500))*(VALUE(D3584)&lt;VALUE(block!$C$3:$C$500)+VALUE(block!$D$3:$D$500)),block!$A$3:$A$500,"无匹配",0,1)</f>
        <v>95</v>
      </c>
      <c r="C3584" s="3" t="str">
        <f>B3584 &amp; "-" &amp; COUNTIF($B$2:B3584, B3584)</f>
        <v>95-39</v>
      </c>
      <c r="D3584" s="10">
        <v>23902</v>
      </c>
      <c r="E3584" s="3" t="s">
        <v>8601</v>
      </c>
      <c r="F3584" s="1" t="s">
        <v>8602</v>
      </c>
      <c r="G3584" s="1" t="s">
        <v>1840</v>
      </c>
      <c r="H3584" s="1" t="s">
        <v>1812</v>
      </c>
      <c r="I3584" s="10" t="str">
        <f>IF(H3584="T77",1,IF(H3584="T77",3,IF(H3584="T93",6,IF(H3584="T93",10,IF(H3584="T125",14,IF(H3584="T125",18,IF(H3584="T93",22,"")))))))</f>
        <v/>
      </c>
      <c r="J3584" s="1" t="s">
        <v>1808</v>
      </c>
      <c r="K3584" s="10">
        <v>2</v>
      </c>
      <c r="L3584" s="10">
        <v>1</v>
      </c>
      <c r="O3584" s="6"/>
      <c r="P3584" s="10">
        <v>6</v>
      </c>
      <c r="Q3584" s="42" t="s">
        <v>6870</v>
      </c>
      <c r="R3584" s="42"/>
      <c r="S3584" s="1"/>
    </row>
    <row r="3585" spans="1:19" ht="18.75" hidden="1" customHeight="1" x14ac:dyDescent="0.3">
      <c r="A3585" s="10">
        <v>3584</v>
      </c>
      <c r="B3585" s="10">
        <f>_xlfn.XLOOKUP(1,(VALUE(D3585)&gt;=VALUE(block!$C$3:$C$500))*(VALUE(D3585)&lt;VALUE(block!$C$3:$C$500)+VALUE(block!$D$3:$D$500)),block!$A$3:$A$500,"无匹配",0,1)</f>
        <v>95</v>
      </c>
      <c r="C3585" s="3" t="str">
        <f>B3585 &amp; "-" &amp; COUNTIF($B$2:B3585, B3585)</f>
        <v>95-40</v>
      </c>
      <c r="D3585" s="10">
        <v>23904</v>
      </c>
      <c r="E3585" s="1" t="s">
        <v>8603</v>
      </c>
      <c r="F3585" s="1" t="s">
        <v>8604</v>
      </c>
      <c r="H3585" s="3" t="s">
        <v>6767</v>
      </c>
      <c r="I3585" s="10" t="str">
        <f>IF(H3585="T78",1,IF(H3585="T78",3,IF(H3585="T94",6,IF(H3585="T94",10,IF(H3585="T126",14,IF(H3585="T126",18,IF(H3585="T94",22,"")))))))</f>
        <v/>
      </c>
      <c r="J3585" s="1" t="s">
        <v>1808</v>
      </c>
      <c r="K3585" s="10">
        <v>4</v>
      </c>
      <c r="L3585" s="10">
        <v>1</v>
      </c>
      <c r="O3585" s="6"/>
      <c r="Q3585" s="42" t="s">
        <v>6870</v>
      </c>
      <c r="R3585" s="42"/>
      <c r="S3585" s="1"/>
    </row>
    <row r="3586" spans="1:19" ht="18.75" hidden="1" customHeight="1" x14ac:dyDescent="0.3">
      <c r="A3586" s="10">
        <v>3585</v>
      </c>
      <c r="B3586" s="10">
        <f>_xlfn.XLOOKUP(1,(VALUE(D3586)&gt;=VALUE(block!$C$3:$C$500))*(VALUE(D3586)&lt;VALUE(block!$C$3:$C$500)+VALUE(block!$D$3:$D$500)),block!$A$3:$A$500,"无匹配",0,1)</f>
        <v>96</v>
      </c>
      <c r="C3586" s="3" t="str">
        <f>B3586 &amp; "-" &amp; COUNTIF($B$2:B3586, B3586)</f>
        <v>96-1</v>
      </c>
      <c r="D3586" s="10">
        <v>26115</v>
      </c>
      <c r="E3586" s="1" t="s">
        <v>8605</v>
      </c>
      <c r="F3586" s="1" t="s">
        <v>8606</v>
      </c>
      <c r="H3586" s="1" t="s">
        <v>5458</v>
      </c>
      <c r="I3586" s="10" t="str">
        <f>IF(H3586="T79",1,IF(H3586="T79",3,IF(H3586="T95",6,IF(H3586="T95",10,IF(H3586="T127",14,IF(H3586="T127",18,IF(H3586="T95",22,"")))))))</f>
        <v/>
      </c>
      <c r="J3586" s="1" t="s">
        <v>1808</v>
      </c>
      <c r="K3586" s="10">
        <v>1</v>
      </c>
      <c r="L3586" s="10">
        <v>1</v>
      </c>
      <c r="O3586" s="6"/>
      <c r="P3586" s="45" t="s">
        <v>8607</v>
      </c>
      <c r="Q3586" s="42" t="s">
        <v>8608</v>
      </c>
      <c r="R3586" s="42"/>
      <c r="S3586" s="1"/>
    </row>
    <row r="3587" spans="1:19" ht="18.75" hidden="1" customHeight="1" x14ac:dyDescent="0.3">
      <c r="A3587" s="10">
        <v>3586</v>
      </c>
      <c r="B3587" s="10">
        <f>_xlfn.XLOOKUP(1,(VALUE(D3587)&gt;=VALUE(block!$C$3:$C$500))*(VALUE(D3587)&lt;VALUE(block!$C$3:$C$500)+VALUE(block!$D$3:$D$500)),block!$A$3:$A$500,"无匹配",0,1)</f>
        <v>96</v>
      </c>
      <c r="C3587" s="3" t="str">
        <f>B3587 &amp; "-" &amp; COUNTIF($B$2:B3587, B3587)</f>
        <v>96-2</v>
      </c>
      <c r="D3587" s="10">
        <v>26116</v>
      </c>
      <c r="E3587" s="3" t="s">
        <v>8609</v>
      </c>
      <c r="F3587" s="3" t="s">
        <v>8610</v>
      </c>
      <c r="H3587" s="1" t="s">
        <v>5458</v>
      </c>
      <c r="I3587" s="10">
        <v>1</v>
      </c>
      <c r="J3587" s="3" t="s">
        <v>1808</v>
      </c>
      <c r="K3587" s="10">
        <v>1</v>
      </c>
      <c r="L3587" s="10">
        <v>1</v>
      </c>
      <c r="O3587" s="6"/>
      <c r="P3587" s="45" t="s">
        <v>8607</v>
      </c>
      <c r="Q3587" s="42" t="s">
        <v>8608</v>
      </c>
      <c r="R3587" s="42"/>
      <c r="S3587" s="3"/>
    </row>
    <row r="3588" spans="1:19" ht="18.75" hidden="1" customHeight="1" x14ac:dyDescent="0.3">
      <c r="A3588" s="10">
        <v>3587</v>
      </c>
      <c r="B3588" s="10">
        <f>_xlfn.XLOOKUP(1,(VALUE(D3588)&gt;=VALUE(block!$C$3:$C$500))*(VALUE(D3588)&lt;VALUE(block!$C$3:$C$500)+VALUE(block!$D$3:$D$500)),block!$A$3:$A$500,"无匹配",0,1)</f>
        <v>96</v>
      </c>
      <c r="C3588" s="3" t="str">
        <f>B3588 &amp; "-" &amp; COUNTIF($B$2:B3588, B3588)</f>
        <v>96-3</v>
      </c>
      <c r="D3588" s="10">
        <v>26117</v>
      </c>
      <c r="E3588" s="1" t="s">
        <v>8611</v>
      </c>
      <c r="F3588" s="1" t="s">
        <v>8612</v>
      </c>
      <c r="H3588" s="1" t="s">
        <v>5458</v>
      </c>
      <c r="I3588" s="10">
        <f>IF(H3588="uint16",1,IF(H3588="int16",3,IF(H3588="uint32",6,IF(H3588="int32",10,IF(H3588="uint64",14,IF(H3588="int64",18,IF(H3588="float32",22,"")))))))</f>
        <v>1</v>
      </c>
      <c r="J3588" s="1" t="s">
        <v>1808</v>
      </c>
      <c r="K3588" s="10">
        <v>1</v>
      </c>
      <c r="L3588" s="10">
        <v>1</v>
      </c>
      <c r="O3588" s="6"/>
      <c r="P3588" s="45" t="s">
        <v>8607</v>
      </c>
      <c r="Q3588" s="42" t="s">
        <v>8608</v>
      </c>
      <c r="R3588" s="42"/>
      <c r="S3588" s="1"/>
    </row>
    <row r="3589" spans="1:19" ht="18.75" hidden="1" customHeight="1" x14ac:dyDescent="0.3">
      <c r="A3589" s="10">
        <v>3588</v>
      </c>
      <c r="B3589" s="10">
        <f>_xlfn.XLOOKUP(1,(VALUE(D3589)&gt;=VALUE(block!$C$3:$C$500))*(VALUE(D3589)&lt;VALUE(block!$C$3:$C$500)+VALUE(block!$D$3:$D$500)),block!$A$3:$A$500,"无匹配",0,1)</f>
        <v>97</v>
      </c>
      <c r="C3589" s="3" t="str">
        <f>B3589 &amp; "-" &amp; COUNTIF($B$2:B3589, B3589)</f>
        <v>97-1</v>
      </c>
      <c r="D3589" s="58">
        <v>26369</v>
      </c>
      <c r="E3589" s="59" t="s">
        <v>8613</v>
      </c>
      <c r="F3589" s="1" t="s">
        <v>8614</v>
      </c>
      <c r="H3589" s="1" t="s">
        <v>5458</v>
      </c>
      <c r="I3589" s="10" t="str">
        <f>IF(H3589="T17",1,IF(H3589="T17",3,IF(H3589="T33",6,IF(H3589="T33",10,IF(H3589="T65",14,IF(H3589="T65",18,IF(H3589="T33",22,"")))))))</f>
        <v/>
      </c>
      <c r="J3589" s="1" t="s">
        <v>1808</v>
      </c>
      <c r="K3589" s="10">
        <v>1</v>
      </c>
      <c r="L3589" s="10">
        <v>1</v>
      </c>
      <c r="O3589" s="6"/>
      <c r="P3589" s="45" t="s">
        <v>8607</v>
      </c>
      <c r="Q3589" s="42" t="s">
        <v>8608</v>
      </c>
      <c r="R3589" s="42"/>
      <c r="S3589" s="1"/>
    </row>
    <row r="3590" spans="1:19" ht="18.75" hidden="1" customHeight="1" x14ac:dyDescent="0.3">
      <c r="A3590" s="10">
        <v>3589</v>
      </c>
      <c r="B3590" s="10">
        <f>_xlfn.XLOOKUP(1,(VALUE(D3590)&gt;=VALUE(block!$C$3:$C$500))*(VALUE(D3590)&lt;VALUE(block!$C$3:$C$500)+VALUE(block!$D$3:$D$500)),block!$A$3:$A$500,"无匹配",0,1)</f>
        <v>97</v>
      </c>
      <c r="C3590" s="3" t="str">
        <f>B3590 &amp; "-" &amp; COUNTIF($B$2:B3590, B3590)</f>
        <v>97-2</v>
      </c>
      <c r="D3590" s="58">
        <v>26370</v>
      </c>
      <c r="E3590" s="59" t="s">
        <v>8615</v>
      </c>
      <c r="F3590" s="1" t="s">
        <v>8616</v>
      </c>
      <c r="H3590" s="1" t="s">
        <v>5458</v>
      </c>
      <c r="I3590" s="10" t="str">
        <f>IF(H3590="T18",1,IF(H3590="T18",3,IF(H3590="T34",6,IF(H3590="T34",10,IF(H3590="T66",14,IF(H3590="T66",18,IF(H3590="T34",22,"")))))))</f>
        <v/>
      </c>
      <c r="J3590" s="1" t="s">
        <v>1808</v>
      </c>
      <c r="K3590" s="10">
        <v>1</v>
      </c>
      <c r="L3590" s="10">
        <v>1</v>
      </c>
      <c r="O3590" s="6"/>
      <c r="P3590" s="45" t="s">
        <v>8607</v>
      </c>
      <c r="Q3590" s="42" t="s">
        <v>8608</v>
      </c>
      <c r="R3590" s="42"/>
      <c r="S3590" s="1"/>
    </row>
    <row r="3591" spans="1:19" ht="18.75" hidden="1" customHeight="1" x14ac:dyDescent="0.35">
      <c r="A3591" s="10">
        <v>3590</v>
      </c>
      <c r="B3591" s="10">
        <f>_xlfn.XLOOKUP(1,(VALUE(D3591)&gt;=VALUE(block!$C$3:$C$500))*(VALUE(D3591)&lt;VALUE(block!$C$3:$C$500)+VALUE(block!$D$3:$D$500)),block!$A$3:$A$500,"无匹配",0,1)</f>
        <v>98</v>
      </c>
      <c r="C3591" s="3" t="str">
        <f>B3591 &amp; "-" &amp; COUNTIF($B$2:B3591, B3591)</f>
        <v>98-1</v>
      </c>
      <c r="D3591" s="60">
        <v>61504</v>
      </c>
      <c r="E3591" s="61" t="s">
        <v>8617</v>
      </c>
      <c r="F3591" s="62" t="s">
        <v>8618</v>
      </c>
      <c r="G3591" s="61"/>
      <c r="H3591" s="61" t="s">
        <v>6767</v>
      </c>
      <c r="I3591" s="60" t="str">
        <f>IF(H3591="T19",1,IF(H3591="T19",3,IF(H3591="T35",6,IF(H3591="T35",10,IF(H3591="T67",14,IF(H3591="T67",18,IF(H3591="T35",22,"")))))))</f>
        <v/>
      </c>
      <c r="J3591" s="3" t="s">
        <v>5447</v>
      </c>
      <c r="K3591" s="60">
        <v>4</v>
      </c>
      <c r="L3591" s="60">
        <v>1</v>
      </c>
      <c r="O3591" s="6"/>
      <c r="Q3591" s="42" t="s">
        <v>8619</v>
      </c>
      <c r="R3591" s="42"/>
      <c r="S3591" s="62"/>
    </row>
    <row r="3592" spans="1:19" ht="18.75" hidden="1" customHeight="1" x14ac:dyDescent="0.35">
      <c r="A3592" s="10">
        <v>3591</v>
      </c>
      <c r="B3592" s="10">
        <f>_xlfn.XLOOKUP(1,(VALUE(D3592)&gt;=VALUE(block!$C$3:$C$500))*(VALUE(D3592)&lt;VALUE(block!$C$3:$C$500)+VALUE(block!$D$3:$D$500)),block!$A$3:$A$500,"无匹配",0,1)</f>
        <v>98</v>
      </c>
      <c r="C3592" s="3" t="str">
        <f>B3592 &amp; "-" &amp; COUNTIF($B$2:B3592, B3592)</f>
        <v>98-2</v>
      </c>
      <c r="D3592" s="60">
        <v>61508</v>
      </c>
      <c r="E3592" s="61" t="s">
        <v>8620</v>
      </c>
      <c r="F3592" s="62" t="s">
        <v>8621</v>
      </c>
      <c r="G3592" s="61"/>
      <c r="H3592" s="61" t="s">
        <v>6767</v>
      </c>
      <c r="I3592" s="60" t="str">
        <f>IF(H3592="T20",1,IF(H3592="T20",3,IF(H3592="T36",6,IF(H3592="T36",10,IF(H3592="T68",14,IF(H3592="T68",18,IF(H3592="T36",22,"")))))))</f>
        <v/>
      </c>
      <c r="J3592" s="3" t="s">
        <v>5447</v>
      </c>
      <c r="K3592" s="60">
        <v>4</v>
      </c>
      <c r="L3592" s="60">
        <v>1</v>
      </c>
      <c r="O3592" s="6"/>
      <c r="Q3592" s="42" t="s">
        <v>8619</v>
      </c>
      <c r="R3592" s="42"/>
      <c r="S3592" s="62"/>
    </row>
    <row r="3593" spans="1:19" ht="18.75" hidden="1" customHeight="1" x14ac:dyDescent="0.35">
      <c r="A3593" s="10">
        <v>3592</v>
      </c>
      <c r="B3593" s="10">
        <f>_xlfn.XLOOKUP(1,(VALUE(D3593)&gt;=VALUE(block!$C$3:$C$500))*(VALUE(D3593)&lt;VALUE(block!$C$3:$C$500)+VALUE(block!$D$3:$D$500)),block!$A$3:$A$500,"无匹配",0,1)</f>
        <v>98</v>
      </c>
      <c r="C3593" s="3" t="str">
        <f>B3593 &amp; "-" &amp; COUNTIF($B$2:B3593, B3593)</f>
        <v>98-3</v>
      </c>
      <c r="D3593" s="60">
        <v>61512</v>
      </c>
      <c r="E3593" s="61" t="s">
        <v>8622</v>
      </c>
      <c r="F3593" s="62" t="s">
        <v>8623</v>
      </c>
      <c r="G3593" s="61"/>
      <c r="H3593" s="61" t="s">
        <v>6767</v>
      </c>
      <c r="I3593" s="60" t="str">
        <f>IF(H3593="T21",1,IF(H3593="T21",3,IF(H3593="T37",6,IF(H3593="T37",10,IF(H3593="T69",14,IF(H3593="T69",18,IF(H3593="T37",22,"")))))))</f>
        <v/>
      </c>
      <c r="J3593" s="3" t="s">
        <v>5447</v>
      </c>
      <c r="K3593" s="60">
        <v>4</v>
      </c>
      <c r="L3593" s="60">
        <v>1</v>
      </c>
      <c r="O3593" s="6"/>
      <c r="Q3593" s="42" t="s">
        <v>8619</v>
      </c>
      <c r="R3593" s="42"/>
      <c r="S3593" s="62"/>
    </row>
    <row r="3594" spans="1:19" ht="18.75" hidden="1" customHeight="1" x14ac:dyDescent="0.35">
      <c r="A3594" s="10">
        <v>3593</v>
      </c>
      <c r="B3594" s="10">
        <f>_xlfn.XLOOKUP(1,(VALUE(D3594)&gt;=VALUE(block!$C$3:$C$500))*(VALUE(D3594)&lt;VALUE(block!$C$3:$C$500)+VALUE(block!$D$3:$D$500)),block!$A$3:$A$500,"无匹配",0,1)</f>
        <v>98</v>
      </c>
      <c r="C3594" s="3" t="str">
        <f>B3594 &amp; "-" &amp; COUNTIF($B$2:B3594, B3594)</f>
        <v>98-4</v>
      </c>
      <c r="D3594" s="60">
        <v>61516</v>
      </c>
      <c r="E3594" s="61" t="s">
        <v>8624</v>
      </c>
      <c r="F3594" s="62" t="s">
        <v>8625</v>
      </c>
      <c r="G3594" s="61"/>
      <c r="H3594" s="61" t="s">
        <v>6767</v>
      </c>
      <c r="I3594" s="60" t="str">
        <f>IF(H3594="T22",1,IF(H3594="T22",3,IF(H3594="T38",6,IF(H3594="T38",10,IF(H3594="T70",14,IF(H3594="T70",18,IF(H3594="T38",22,"")))))))</f>
        <v/>
      </c>
      <c r="J3594" s="3" t="s">
        <v>5447</v>
      </c>
      <c r="K3594" s="60">
        <v>4</v>
      </c>
      <c r="L3594" s="60">
        <v>1</v>
      </c>
      <c r="O3594" s="6"/>
      <c r="Q3594" s="42" t="s">
        <v>8619</v>
      </c>
      <c r="R3594" s="42"/>
      <c r="S3594" s="62"/>
    </row>
    <row r="3595" spans="1:19" ht="18.75" hidden="1" customHeight="1" x14ac:dyDescent="0.35">
      <c r="A3595" s="10">
        <v>3594</v>
      </c>
      <c r="B3595" s="10">
        <f>_xlfn.XLOOKUP(1,(VALUE(D3595)&gt;=VALUE(block!$C$3:$C$500))*(VALUE(D3595)&lt;VALUE(block!$C$3:$C$500)+VALUE(block!$D$3:$D$500)),block!$A$3:$A$500,"无匹配",0,1)</f>
        <v>98</v>
      </c>
      <c r="C3595" s="3" t="str">
        <f>B3595 &amp; "-" &amp; COUNTIF($B$2:B3595, B3595)</f>
        <v>98-5</v>
      </c>
      <c r="D3595" s="60">
        <v>61520</v>
      </c>
      <c r="E3595" s="61" t="s">
        <v>8626</v>
      </c>
      <c r="F3595" s="63" t="s">
        <v>8627</v>
      </c>
      <c r="G3595" s="61"/>
      <c r="H3595" s="61" t="s">
        <v>1838</v>
      </c>
      <c r="I3595" s="60" t="str">
        <f>IF(H3595="T23",1,IF(H3595="T23",3,IF(H3595="T39",6,IF(H3595="T39",10,IF(H3595="T71",14,IF(H3595="T71",18,IF(H3595="T39",22,"")))))))</f>
        <v/>
      </c>
      <c r="J3595" s="3" t="s">
        <v>5447</v>
      </c>
      <c r="K3595" s="60">
        <v>2</v>
      </c>
      <c r="L3595" s="60">
        <v>1</v>
      </c>
      <c r="O3595" s="6"/>
      <c r="Q3595" s="42" t="s">
        <v>8628</v>
      </c>
      <c r="R3595" s="42"/>
      <c r="S3595" s="63"/>
    </row>
    <row r="3596" spans="1:19" ht="18.75" hidden="1" customHeight="1" x14ac:dyDescent="0.3">
      <c r="A3596" s="10">
        <v>3595</v>
      </c>
      <c r="B3596" s="10">
        <f>_xlfn.XLOOKUP(1,(VALUE(D3596)&gt;=VALUE(block!$C$3:$C$500))*(VALUE(D3596)&lt;VALUE(block!$C$3:$C$500)+VALUE(block!$D$3:$D$500)),block!$A$3:$A$500,"无匹配",0,1)</f>
        <v>98</v>
      </c>
      <c r="C3596" s="3" t="str">
        <f>B3596 &amp; "-" &amp; COUNTIF($B$2:B3596, B3596)</f>
        <v>98-6</v>
      </c>
      <c r="D3596" s="60">
        <v>61522</v>
      </c>
      <c r="E3596" s="61" t="s">
        <v>8629</v>
      </c>
      <c r="F3596" s="64" t="s">
        <v>8630</v>
      </c>
      <c r="G3596" s="61"/>
      <c r="H3596" s="61" t="s">
        <v>5458</v>
      </c>
      <c r="I3596" s="60" t="str">
        <f>IF(H3596="T24",1,IF(H3596="T24",3,IF(H3596="T40",6,IF(H3596="T40",10,IF(H3596="T72",14,IF(H3596="T72",18,IF(H3596="T40",22,"")))))))</f>
        <v/>
      </c>
      <c r="J3596" s="3" t="s">
        <v>5447</v>
      </c>
      <c r="K3596" s="60">
        <v>1</v>
      </c>
      <c r="L3596" s="60">
        <v>1</v>
      </c>
      <c r="O3596" s="6"/>
      <c r="Q3596" s="42" t="s">
        <v>8619</v>
      </c>
      <c r="R3596" s="42"/>
      <c r="S3596" s="64"/>
    </row>
    <row r="3597" spans="1:19" ht="18.75" hidden="1" customHeight="1" x14ac:dyDescent="0.3">
      <c r="A3597" s="10">
        <v>3596</v>
      </c>
      <c r="B3597" s="10">
        <f>_xlfn.XLOOKUP(1,(VALUE(D3597)&gt;=VALUE(block!$C$3:$C$500))*(VALUE(D3597)&lt;VALUE(block!$C$3:$C$500)+VALUE(block!$D$3:$D$500)),block!$A$3:$A$500,"无匹配",0,1)</f>
        <v>98</v>
      </c>
      <c r="C3597" s="3" t="str">
        <f>B3597 &amp; "-" &amp; COUNTIF($B$2:B3597, B3597)</f>
        <v>98-7</v>
      </c>
      <c r="D3597" s="60">
        <v>61523</v>
      </c>
      <c r="E3597" s="64" t="s">
        <v>8631</v>
      </c>
      <c r="F3597" s="61" t="s">
        <v>8632</v>
      </c>
      <c r="G3597" s="61"/>
      <c r="H3597" s="61" t="s">
        <v>5458</v>
      </c>
      <c r="I3597" s="60" t="str">
        <f>IF(H3597="T25",1,IF(H3597="T25",3,IF(H3597="T41",6,IF(H3597="T41",10,IF(H3597="T73",14,IF(H3597="T73",18,IF(H3597="T41",22,"")))))))</f>
        <v/>
      </c>
      <c r="J3597" s="3" t="s">
        <v>5447</v>
      </c>
      <c r="K3597" s="60">
        <v>1</v>
      </c>
      <c r="L3597" s="60">
        <v>1</v>
      </c>
      <c r="O3597" s="6"/>
      <c r="Q3597" s="42" t="s">
        <v>8628</v>
      </c>
      <c r="R3597" s="42"/>
      <c r="S3597" s="61"/>
    </row>
    <row r="3598" spans="1:19" ht="18.75" hidden="1" customHeight="1" x14ac:dyDescent="0.3">
      <c r="A3598" s="10">
        <v>3597</v>
      </c>
      <c r="B3598" s="10">
        <f>_xlfn.XLOOKUP(1,(VALUE(D3598)&gt;=VALUE(block!$C$3:$C$500))*(VALUE(D3598)&lt;VALUE(block!$C$3:$C$500)+VALUE(block!$D$3:$D$500)),block!$A$3:$A$500,"无匹配",0,1)</f>
        <v>98</v>
      </c>
      <c r="C3598" s="3" t="str">
        <f>B3598 &amp; "-" &amp; COUNTIF($B$2:B3598, B3598)</f>
        <v>98-8</v>
      </c>
      <c r="D3598" s="60">
        <v>61524</v>
      </c>
      <c r="E3598" s="64" t="s">
        <v>8633</v>
      </c>
      <c r="F3598" s="3" t="s">
        <v>8634</v>
      </c>
      <c r="G3598" s="61"/>
      <c r="H3598" s="61" t="s">
        <v>5458</v>
      </c>
      <c r="I3598" s="60">
        <v>1</v>
      </c>
      <c r="J3598" s="3" t="s">
        <v>5447</v>
      </c>
      <c r="K3598" s="60">
        <v>1</v>
      </c>
      <c r="L3598" s="60">
        <v>1</v>
      </c>
      <c r="O3598" s="6"/>
      <c r="Q3598" s="42" t="s">
        <v>8635</v>
      </c>
      <c r="R3598" s="42"/>
      <c r="S3598" s="3"/>
    </row>
    <row r="3599" spans="1:19" ht="18.75" hidden="1" customHeight="1" x14ac:dyDescent="0.3">
      <c r="A3599" s="10">
        <v>3598</v>
      </c>
      <c r="B3599" s="10">
        <f>_xlfn.XLOOKUP(1,(VALUE(D3599)&gt;=VALUE(block!$C$3:$C$500))*(VALUE(D3599)&lt;VALUE(block!$C$3:$C$500)+VALUE(block!$D$3:$D$500)),block!$A$3:$A$500,"无匹配",0,1)</f>
        <v>98</v>
      </c>
      <c r="C3599" s="3" t="str">
        <f>B3599 &amp; "-" &amp; COUNTIF($B$2:B3599, B3599)</f>
        <v>98-9</v>
      </c>
      <c r="D3599" s="60">
        <v>61525</v>
      </c>
      <c r="E3599" s="64" t="s">
        <v>8636</v>
      </c>
      <c r="F3599" s="64" t="s">
        <v>8637</v>
      </c>
      <c r="G3599" s="61"/>
      <c r="H3599" s="61" t="s">
        <v>5458</v>
      </c>
      <c r="I3599" s="60">
        <f>IF(H3599="uint16",1,IF(H3599="int16",3,IF(H3599="uint32",6,IF(H3599="int32",10,IF(H3599="uint64",14,IF(H3599="int64",18,IF(H3599="float32",22,"")))))))</f>
        <v>1</v>
      </c>
      <c r="J3599" s="3" t="s">
        <v>5447</v>
      </c>
      <c r="K3599" s="60">
        <v>1</v>
      </c>
      <c r="L3599" s="60">
        <v>1</v>
      </c>
      <c r="O3599" s="6"/>
      <c r="Q3599" s="42" t="s">
        <v>8619</v>
      </c>
      <c r="R3599" s="42"/>
      <c r="S3599" s="64"/>
    </row>
    <row r="3600" spans="1:19" ht="18.75" hidden="1" customHeight="1" x14ac:dyDescent="0.35">
      <c r="A3600" s="10">
        <v>3599</v>
      </c>
      <c r="B3600" s="10">
        <f>_xlfn.XLOOKUP(1,(VALUE(D3600)&gt;=VALUE(block!$C$3:$C$500))*(VALUE(D3600)&lt;VALUE(block!$C$3:$C$500)+VALUE(block!$D$3:$D$500)),block!$A$3:$A$500,"无匹配",0,1)</f>
        <v>98</v>
      </c>
      <c r="C3600" s="3" t="str">
        <f>B3600 &amp; "-" &amp; COUNTIF($B$2:B3600, B3600)</f>
        <v>98-10</v>
      </c>
      <c r="D3600" s="60">
        <v>61526</v>
      </c>
      <c r="E3600" s="61" t="s">
        <v>8638</v>
      </c>
      <c r="F3600" s="63" t="s">
        <v>8639</v>
      </c>
      <c r="G3600" s="61"/>
      <c r="H3600" s="61" t="s">
        <v>6767</v>
      </c>
      <c r="I3600" s="60" t="str">
        <f>IF(H3600="T17",1,IF(H3600="T17",3,IF(H3600="T33",6,IF(H3600="T33",10,IF(H3600="T65",14,IF(H3600="T65",18,IF(H3600="T33",22,"")))))))</f>
        <v/>
      </c>
      <c r="J3600" s="3" t="s">
        <v>5447</v>
      </c>
      <c r="K3600" s="60">
        <v>4</v>
      </c>
      <c r="L3600" s="60">
        <v>1</v>
      </c>
      <c r="O3600" s="6"/>
      <c r="Q3600" s="42" t="s">
        <v>8619</v>
      </c>
      <c r="R3600" s="42"/>
      <c r="S3600" s="63"/>
    </row>
    <row r="3601" spans="1:19" ht="18.75" hidden="1" customHeight="1" x14ac:dyDescent="0.35">
      <c r="A3601" s="10">
        <v>3600</v>
      </c>
      <c r="B3601" s="10">
        <f>_xlfn.XLOOKUP(1,(VALUE(D3601)&gt;=VALUE(block!$C$3:$C$500))*(VALUE(D3601)&lt;VALUE(block!$C$3:$C$500)+VALUE(block!$D$3:$D$500)),block!$A$3:$A$500,"无匹配",0,1)</f>
        <v>98</v>
      </c>
      <c r="C3601" s="3" t="str">
        <f>B3601 &amp; "-" &amp; COUNTIF($B$2:B3601, B3601)</f>
        <v>98-11</v>
      </c>
      <c r="D3601" s="60">
        <v>61530</v>
      </c>
      <c r="E3601" s="61" t="s">
        <v>8640</v>
      </c>
      <c r="F3601" s="63" t="s">
        <v>8641</v>
      </c>
      <c r="G3601" s="61"/>
      <c r="H3601" s="61" t="s">
        <v>6767</v>
      </c>
      <c r="I3601" s="60" t="str">
        <f>IF(H3601="T18",1,IF(H3601="T18",3,IF(H3601="T34",6,IF(H3601="T34",10,IF(H3601="T66",14,IF(H3601="T66",18,IF(H3601="T34",22,"")))))))</f>
        <v/>
      </c>
      <c r="J3601" s="3" t="s">
        <v>5447</v>
      </c>
      <c r="K3601" s="60">
        <v>4</v>
      </c>
      <c r="L3601" s="60">
        <v>1</v>
      </c>
      <c r="O3601" s="6"/>
      <c r="Q3601" s="42" t="s">
        <v>8619</v>
      </c>
      <c r="R3601" s="42"/>
      <c r="S3601" s="63"/>
    </row>
    <row r="3602" spans="1:19" ht="18.75" hidden="1" customHeight="1" x14ac:dyDescent="0.35">
      <c r="A3602" s="10">
        <v>3601</v>
      </c>
      <c r="B3602" s="10">
        <f>_xlfn.XLOOKUP(1,(VALUE(D3602)&gt;=VALUE(block!$C$3:$C$500))*(VALUE(D3602)&lt;VALUE(block!$C$3:$C$500)+VALUE(block!$D$3:$D$500)),block!$A$3:$A$500,"无匹配",0,1)</f>
        <v>98</v>
      </c>
      <c r="C3602" s="3" t="str">
        <f>B3602 &amp; "-" &amp; COUNTIF($B$2:B3602, B3602)</f>
        <v>98-12</v>
      </c>
      <c r="D3602" s="60">
        <v>61534</v>
      </c>
      <c r="E3602" s="61" t="s">
        <v>8642</v>
      </c>
      <c r="F3602" s="63" t="s">
        <v>8643</v>
      </c>
      <c r="G3602" s="61"/>
      <c r="H3602" s="61" t="s">
        <v>6767</v>
      </c>
      <c r="I3602" s="60" t="str">
        <f>IF(H3602="T19",1,IF(H3602="T19",3,IF(H3602="T35",6,IF(H3602="T35",10,IF(H3602="T67",14,IF(H3602="T67",18,IF(H3602="T35",22,"")))))))</f>
        <v/>
      </c>
      <c r="J3602" s="3" t="s">
        <v>5447</v>
      </c>
      <c r="K3602" s="60">
        <v>4</v>
      </c>
      <c r="L3602" s="60">
        <v>1</v>
      </c>
      <c r="O3602" s="6"/>
      <c r="Q3602" s="42" t="s">
        <v>8619</v>
      </c>
      <c r="R3602" s="42"/>
      <c r="S3602" s="63"/>
    </row>
    <row r="3603" spans="1:19" ht="18.75" hidden="1" customHeight="1" x14ac:dyDescent="0.35">
      <c r="A3603" s="10">
        <v>3602</v>
      </c>
      <c r="B3603" s="10">
        <f>_xlfn.XLOOKUP(1,(VALUE(D3603)&gt;=VALUE(block!$C$3:$C$500))*(VALUE(D3603)&lt;VALUE(block!$C$3:$C$500)+VALUE(block!$D$3:$D$500)),block!$A$3:$A$500,"无匹配",0,1)</f>
        <v>98</v>
      </c>
      <c r="C3603" s="3" t="str">
        <f>B3603 &amp; "-" &amp; COUNTIF($B$2:B3603, B3603)</f>
        <v>98-13</v>
      </c>
      <c r="D3603" s="60">
        <v>61538</v>
      </c>
      <c r="E3603" s="61" t="s">
        <v>8644</v>
      </c>
      <c r="F3603" s="63" t="s">
        <v>8645</v>
      </c>
      <c r="G3603" s="61"/>
      <c r="H3603" s="61" t="s">
        <v>6767</v>
      </c>
      <c r="I3603" s="60" t="str">
        <f>IF(H3603="T20",1,IF(H3603="T20",3,IF(H3603="T36",6,IF(H3603="T36",10,IF(H3603="T68",14,IF(H3603="T68",18,IF(H3603="T36",22,"")))))))</f>
        <v/>
      </c>
      <c r="J3603" s="3" t="s">
        <v>5447</v>
      </c>
      <c r="K3603" s="60">
        <v>4</v>
      </c>
      <c r="L3603" s="60">
        <v>1</v>
      </c>
      <c r="O3603" s="6"/>
      <c r="Q3603" s="42" t="s">
        <v>8619</v>
      </c>
      <c r="R3603" s="42"/>
      <c r="S3603" s="63"/>
    </row>
    <row r="3604" spans="1:19" ht="18.75" hidden="1" customHeight="1" x14ac:dyDescent="0.35">
      <c r="A3604" s="10">
        <v>3603</v>
      </c>
      <c r="B3604" s="10">
        <f>_xlfn.XLOOKUP(1,(VALUE(D3604)&gt;=VALUE(block!$C$3:$C$500))*(VALUE(D3604)&lt;VALUE(block!$C$3:$C$500)+VALUE(block!$D$3:$D$500)),block!$A$3:$A$500,"无匹配",0,1)</f>
        <v>98</v>
      </c>
      <c r="C3604" s="3" t="str">
        <f>B3604 &amp; "-" &amp; COUNTIF($B$2:B3604, B3604)</f>
        <v>98-14</v>
      </c>
      <c r="D3604" s="60">
        <v>61542</v>
      </c>
      <c r="E3604" s="61" t="s">
        <v>8646</v>
      </c>
      <c r="F3604" s="63" t="s">
        <v>8647</v>
      </c>
      <c r="G3604" s="61"/>
      <c r="H3604" s="61" t="s">
        <v>5458</v>
      </c>
      <c r="I3604" s="60" t="str">
        <f>IF(H3604="T21",1,IF(H3604="T21",3,IF(H3604="T37",6,IF(H3604="T37",10,IF(H3604="T69",14,IF(H3604="T69",18,IF(H3604="T37",22,"")))))))</f>
        <v/>
      </c>
      <c r="J3604" s="3" t="s">
        <v>5447</v>
      </c>
      <c r="K3604" s="60">
        <v>1</v>
      </c>
      <c r="L3604" s="60">
        <v>1</v>
      </c>
      <c r="O3604" s="6"/>
      <c r="Q3604" s="42" t="s">
        <v>8628</v>
      </c>
      <c r="R3604" s="42"/>
      <c r="S3604" s="63"/>
    </row>
    <row r="3605" spans="1:19" ht="18.75" hidden="1" customHeight="1" x14ac:dyDescent="0.35">
      <c r="A3605" s="10">
        <v>3604</v>
      </c>
      <c r="B3605" s="10">
        <f>_xlfn.XLOOKUP(1,(VALUE(D3605)&gt;=VALUE(block!$C$3:$C$500))*(VALUE(D3605)&lt;VALUE(block!$C$3:$C$500)+VALUE(block!$D$3:$D$500)),block!$A$3:$A$500,"无匹配",0,1)</f>
        <v>98</v>
      </c>
      <c r="C3605" s="3" t="str">
        <f>B3605 &amp; "-" &amp; COUNTIF($B$2:B3605, B3605)</f>
        <v>98-15</v>
      </c>
      <c r="D3605" s="60">
        <v>61543</v>
      </c>
      <c r="E3605" s="61" t="s">
        <v>8648</v>
      </c>
      <c r="F3605" s="63" t="s">
        <v>8649</v>
      </c>
      <c r="G3605" s="61"/>
      <c r="H3605" s="61" t="s">
        <v>1838</v>
      </c>
      <c r="I3605" s="60" t="str">
        <f>IF(H3605="T22",1,IF(H3605="T22",3,IF(H3605="T38",6,IF(H3605="T38",10,IF(H3605="T70",14,IF(H3605="T70",18,IF(H3605="T38",22,"")))))))</f>
        <v/>
      </c>
      <c r="J3605" s="3" t="s">
        <v>5447</v>
      </c>
      <c r="K3605" s="60">
        <v>2</v>
      </c>
      <c r="L3605" s="60">
        <v>1</v>
      </c>
      <c r="O3605" s="6"/>
      <c r="Q3605" s="42" t="s">
        <v>8628</v>
      </c>
      <c r="R3605" s="42"/>
      <c r="S3605" s="63"/>
    </row>
    <row r="3606" spans="1:19" ht="18.75" hidden="1" customHeight="1" x14ac:dyDescent="0.35">
      <c r="A3606" s="10">
        <v>3605</v>
      </c>
      <c r="B3606" s="10">
        <f>_xlfn.XLOOKUP(1,(VALUE(D3606)&gt;=VALUE(block!$C$3:$C$500))*(VALUE(D3606)&lt;VALUE(block!$C$3:$C$500)+VALUE(block!$D$3:$D$500)),block!$A$3:$A$500,"无匹配",0,1)</f>
        <v>98</v>
      </c>
      <c r="C3606" s="3" t="str">
        <f>B3606 &amp; "-" &amp; COUNTIF($B$2:B3606, B3606)</f>
        <v>98-16</v>
      </c>
      <c r="D3606" s="60">
        <v>61545</v>
      </c>
      <c r="E3606" s="61" t="s">
        <v>8650</v>
      </c>
      <c r="F3606" s="65" t="s">
        <v>8651</v>
      </c>
      <c r="G3606" s="61"/>
      <c r="H3606" s="61" t="s">
        <v>6767</v>
      </c>
      <c r="I3606" s="60" t="str">
        <f>IF(H3606="T23",1,IF(H3606="T23",3,IF(H3606="T39",6,IF(H3606="T39",10,IF(H3606="T71",14,IF(H3606="T71",18,IF(H3606="T39",22,"")))))))</f>
        <v/>
      </c>
      <c r="J3606" s="3" t="s">
        <v>5447</v>
      </c>
      <c r="K3606" s="60">
        <v>4</v>
      </c>
      <c r="L3606" s="60">
        <v>1</v>
      </c>
      <c r="O3606" s="6"/>
      <c r="Q3606" s="42" t="s">
        <v>8628</v>
      </c>
      <c r="R3606" s="42"/>
      <c r="S3606" s="65"/>
    </row>
    <row r="3607" spans="1:19" ht="18.75" hidden="1" customHeight="1" x14ac:dyDescent="0.35">
      <c r="A3607" s="10">
        <v>3606</v>
      </c>
      <c r="B3607" s="10">
        <f>_xlfn.XLOOKUP(1,(VALUE(D3607)&gt;=VALUE(block!$C$3:$C$500))*(VALUE(D3607)&lt;VALUE(block!$C$3:$C$500)+VALUE(block!$D$3:$D$500)),block!$A$3:$A$500,"无匹配",0,1)</f>
        <v>98</v>
      </c>
      <c r="C3607" s="3" t="str">
        <f>B3607 &amp; "-" &amp; COUNTIF($B$2:B3607, B3607)</f>
        <v>98-17</v>
      </c>
      <c r="D3607" s="60">
        <v>61549</v>
      </c>
      <c r="E3607" s="61" t="s">
        <v>8652</v>
      </c>
      <c r="F3607" s="65" t="s">
        <v>8653</v>
      </c>
      <c r="G3607" s="61"/>
      <c r="H3607" s="61" t="s">
        <v>1838</v>
      </c>
      <c r="I3607" s="60" t="str">
        <f>IF(H3607="T24",1,IF(H3607="T24",3,IF(H3607="T40",6,IF(H3607="T40",10,IF(H3607="T72",14,IF(H3607="T72",18,IF(H3607="T40",22,"")))))))</f>
        <v/>
      </c>
      <c r="J3607" s="3" t="s">
        <v>5447</v>
      </c>
      <c r="K3607" s="60">
        <v>2</v>
      </c>
      <c r="L3607" s="60">
        <v>1</v>
      </c>
      <c r="O3607" s="6"/>
      <c r="Q3607" s="42" t="s">
        <v>8628</v>
      </c>
      <c r="R3607" s="42"/>
      <c r="S3607" s="65"/>
    </row>
    <row r="3608" spans="1:19" ht="18.75" hidden="1" customHeight="1" x14ac:dyDescent="0.35">
      <c r="A3608" s="10">
        <v>3607</v>
      </c>
      <c r="B3608" s="10">
        <f>_xlfn.XLOOKUP(1,(VALUE(D3608)&gt;=VALUE(block!$C$3:$C$500))*(VALUE(D3608)&lt;VALUE(block!$C$3:$C$500)+VALUE(block!$D$3:$D$500)),block!$A$3:$A$500,"无匹配",0,1)</f>
        <v>98</v>
      </c>
      <c r="C3608" s="3" t="str">
        <f>B3608 &amp; "-" &amp; COUNTIF($B$2:B3608, B3608)</f>
        <v>98-18</v>
      </c>
      <c r="D3608" s="60">
        <v>61551</v>
      </c>
      <c r="E3608" s="61" t="s">
        <v>8654</v>
      </c>
      <c r="F3608" s="65" t="s">
        <v>8655</v>
      </c>
      <c r="G3608" s="61"/>
      <c r="H3608" s="61" t="s">
        <v>5458</v>
      </c>
      <c r="I3608" s="60" t="str">
        <f>IF(H3608="T25",1,IF(H3608="T25",3,IF(H3608="T41",6,IF(H3608="T41",10,IF(H3608="T73",14,IF(H3608="T73",18,IF(H3608="T41",22,"")))))))</f>
        <v/>
      </c>
      <c r="J3608" s="3" t="s">
        <v>5447</v>
      </c>
      <c r="K3608" s="60">
        <v>1</v>
      </c>
      <c r="L3608" s="60">
        <v>1</v>
      </c>
      <c r="O3608" s="6"/>
      <c r="Q3608" s="42" t="s">
        <v>8628</v>
      </c>
      <c r="R3608" s="42"/>
      <c r="S3608" s="65"/>
    </row>
    <row r="3609" spans="1:19" ht="18.75" hidden="1" customHeight="1" x14ac:dyDescent="0.35">
      <c r="A3609" s="10">
        <v>3608</v>
      </c>
      <c r="B3609" s="10">
        <f>_xlfn.XLOOKUP(1,(VALUE(D3609)&gt;=VALUE(block!$C$3:$C$500))*(VALUE(D3609)&lt;VALUE(block!$C$3:$C$500)+VALUE(block!$D$3:$D$500)),block!$A$3:$A$500,"无匹配",0,1)</f>
        <v>98</v>
      </c>
      <c r="C3609" s="3" t="str">
        <f>B3609 &amp; "-" &amp; COUNTIF($B$2:B3609, B3609)</f>
        <v>98-19</v>
      </c>
      <c r="D3609" s="60">
        <v>61552</v>
      </c>
      <c r="E3609" s="61" t="s">
        <v>8656</v>
      </c>
      <c r="F3609" s="65" t="s">
        <v>8657</v>
      </c>
      <c r="G3609" s="61"/>
      <c r="H3609" s="61" t="s">
        <v>5458</v>
      </c>
      <c r="I3609" s="60" t="str">
        <f>IF(H3609="T26",1,IF(H3609="T26",3,IF(H3609="T42",6,IF(H3609="T42",10,IF(H3609="T74",14,IF(H3609="T74",18,IF(H3609="T42",22,"")))))))</f>
        <v/>
      </c>
      <c r="J3609" s="3" t="s">
        <v>5447</v>
      </c>
      <c r="K3609" s="60">
        <v>1</v>
      </c>
      <c r="L3609" s="60">
        <v>1</v>
      </c>
      <c r="O3609" s="6"/>
      <c r="Q3609" s="42" t="s">
        <v>8628</v>
      </c>
      <c r="R3609" s="42"/>
      <c r="S3609" s="65"/>
    </row>
    <row r="3610" spans="1:19" ht="18.75" hidden="1" customHeight="1" x14ac:dyDescent="0.35">
      <c r="A3610" s="10">
        <v>3609</v>
      </c>
      <c r="B3610" s="10">
        <f>_xlfn.XLOOKUP(1,(VALUE(D3610)&gt;=VALUE(block!$C$3:$C$500))*(VALUE(D3610)&lt;VALUE(block!$C$3:$C$500)+VALUE(block!$D$3:$D$500)),block!$A$3:$A$500,"无匹配",0,1)</f>
        <v>99</v>
      </c>
      <c r="C3610" s="3" t="str">
        <f>B3610 &amp; "-" &amp; COUNTIF($B$2:B3610, B3610)</f>
        <v>99-1</v>
      </c>
      <c r="D3610" s="58">
        <v>61440</v>
      </c>
      <c r="E3610" s="59" t="s">
        <v>8658</v>
      </c>
      <c r="F3610" s="66" t="s">
        <v>8659</v>
      </c>
      <c r="G3610" s="59"/>
      <c r="H3610" s="59" t="s">
        <v>1838</v>
      </c>
      <c r="I3610" s="58" t="str">
        <f>IF(H3610="T27",1,IF(H3610="T27",3,IF(H3610="T43",6,IF(H3610="T43",10,IF(H3610="T75",14,IF(H3610="T75",18,IF(H3610="T43",22,"")))))))</f>
        <v/>
      </c>
      <c r="J3610" s="59" t="s">
        <v>1808</v>
      </c>
      <c r="K3610" s="58">
        <v>2</v>
      </c>
      <c r="L3610" s="58">
        <v>1</v>
      </c>
      <c r="O3610" s="6"/>
      <c r="Q3610" s="42" t="s">
        <v>8628</v>
      </c>
      <c r="R3610" s="42"/>
      <c r="S3610" s="66"/>
    </row>
    <row r="3611" spans="1:19" ht="18.75" hidden="1" customHeight="1" x14ac:dyDescent="0.35">
      <c r="A3611" s="10">
        <v>3610</v>
      </c>
      <c r="B3611" s="10">
        <f>_xlfn.XLOOKUP(1,(VALUE(D3611)&gt;=VALUE(block!$C$3:$C$500))*(VALUE(D3611)&lt;VALUE(block!$C$3:$C$500)+VALUE(block!$D$3:$D$500)),block!$A$3:$A$500,"无匹配",0,1)</f>
        <v>99</v>
      </c>
      <c r="C3611" s="3" t="str">
        <f>B3611 &amp; "-" &amp; COUNTIF($B$2:B3611, B3611)</f>
        <v>99-2</v>
      </c>
      <c r="D3611" s="58">
        <v>61442</v>
      </c>
      <c r="E3611" s="59" t="s">
        <v>8660</v>
      </c>
      <c r="F3611" s="66" t="s">
        <v>8661</v>
      </c>
      <c r="G3611" s="59"/>
      <c r="H3611" s="59" t="s">
        <v>1838</v>
      </c>
      <c r="I3611" s="58" t="str">
        <f>IF(H3611="T28",1,IF(H3611="T28",3,IF(H3611="T44",6,IF(H3611="T44",10,IF(H3611="T76",14,IF(H3611="T76",18,IF(H3611="T44",22,"")))))))</f>
        <v/>
      </c>
      <c r="J3611" s="59" t="s">
        <v>1808</v>
      </c>
      <c r="K3611" s="58">
        <v>2</v>
      </c>
      <c r="L3611" s="58">
        <v>1</v>
      </c>
      <c r="O3611" s="6"/>
      <c r="Q3611" s="42" t="s">
        <v>8628</v>
      </c>
      <c r="R3611" s="42"/>
      <c r="S3611" s="66"/>
    </row>
    <row r="3612" spans="1:19" ht="18.75" hidden="1" customHeight="1" x14ac:dyDescent="0.35">
      <c r="A3612" s="10">
        <v>3611</v>
      </c>
      <c r="B3612" s="10">
        <f>_xlfn.XLOOKUP(1,(VALUE(D3612)&gt;=VALUE(block!$C$3:$C$500))*(VALUE(D3612)&lt;VALUE(block!$C$3:$C$500)+VALUE(block!$D$3:$D$500)),block!$A$3:$A$500,"无匹配",0,1)</f>
        <v>99</v>
      </c>
      <c r="C3612" s="3" t="str">
        <f>B3612 &amp; "-" &amp; COUNTIF($B$2:B3612, B3612)</f>
        <v>99-3</v>
      </c>
      <c r="D3612" s="58">
        <v>61444</v>
      </c>
      <c r="E3612" s="59" t="s">
        <v>8662</v>
      </c>
      <c r="F3612" s="66" t="s">
        <v>8663</v>
      </c>
      <c r="G3612" s="59"/>
      <c r="H3612" s="59" t="s">
        <v>5458</v>
      </c>
      <c r="I3612" s="58" t="str">
        <f>IF(H3612="T29",1,IF(H3612="T29",3,IF(H3612="T45",6,IF(H3612="T45",10,IF(H3612="T77",14,IF(H3612="T77",18,IF(H3612="T45",22,"")))))))</f>
        <v/>
      </c>
      <c r="J3612" s="59" t="s">
        <v>1808</v>
      </c>
      <c r="K3612" s="58">
        <v>1</v>
      </c>
      <c r="L3612" s="58">
        <v>1</v>
      </c>
      <c r="O3612" s="6"/>
      <c r="Q3612" s="42" t="s">
        <v>8628</v>
      </c>
      <c r="R3612" s="42"/>
      <c r="S3612" s="66"/>
    </row>
    <row r="3613" spans="1:19" ht="18.75" hidden="1" customHeight="1" x14ac:dyDescent="0.35">
      <c r="A3613" s="10">
        <v>3612</v>
      </c>
      <c r="B3613" s="10">
        <f>_xlfn.XLOOKUP(1,(VALUE(D3613)&gt;=VALUE(block!$C$3:$C$500))*(VALUE(D3613)&lt;VALUE(block!$C$3:$C$500)+VALUE(block!$D$3:$D$500)),block!$A$3:$A$500,"无匹配",0,1)</f>
        <v>99</v>
      </c>
      <c r="C3613" s="3" t="str">
        <f>B3613 &amp; "-" &amp; COUNTIF($B$2:B3613, B3613)</f>
        <v>99-4</v>
      </c>
      <c r="D3613" s="58">
        <v>61445</v>
      </c>
      <c r="E3613" s="59" t="s">
        <v>8664</v>
      </c>
      <c r="F3613" s="66" t="s">
        <v>8665</v>
      </c>
      <c r="G3613" s="59"/>
      <c r="H3613" s="59" t="s">
        <v>5458</v>
      </c>
      <c r="I3613" s="58" t="str">
        <f>IF(H3613="T30",1,IF(H3613="T30",3,IF(H3613="T46",6,IF(H3613="T46",10,IF(H3613="T78",14,IF(H3613="T78",18,IF(H3613="T46",22,"")))))))</f>
        <v/>
      </c>
      <c r="J3613" s="59" t="s">
        <v>1808</v>
      </c>
      <c r="K3613" s="58">
        <v>1</v>
      </c>
      <c r="L3613" s="58">
        <v>1</v>
      </c>
      <c r="O3613" s="6"/>
      <c r="Q3613" s="42" t="s">
        <v>8628</v>
      </c>
      <c r="R3613" s="42"/>
      <c r="S3613" s="66"/>
    </row>
    <row r="3614" spans="1:19" ht="18.75" hidden="1" customHeight="1" x14ac:dyDescent="0.35">
      <c r="A3614" s="10">
        <v>3613</v>
      </c>
      <c r="B3614" s="10">
        <f>_xlfn.XLOOKUP(1,(VALUE(D3614)&gt;=VALUE(block!$C$3:$C$500))*(VALUE(D3614)&lt;VALUE(block!$C$3:$C$500)+VALUE(block!$D$3:$D$500)),block!$A$3:$A$500,"无匹配",0,1)</f>
        <v>100</v>
      </c>
      <c r="C3614" s="3" t="str">
        <f>B3614 &amp; "-" &amp; COUNTIF($B$2:B3614, B3614)</f>
        <v>100-1</v>
      </c>
      <c r="D3614" s="10">
        <v>61456</v>
      </c>
      <c r="E3614" s="1" t="s">
        <v>8666</v>
      </c>
      <c r="F3614" s="67" t="s">
        <v>8667</v>
      </c>
      <c r="H3614" s="1" t="s">
        <v>1838</v>
      </c>
      <c r="I3614" s="10" t="str">
        <f>IF(H3614="T31",1,IF(H3614="T31",3,IF(H3614="T47",6,IF(H3614="T47",10,IF(H3614="T79",14,IF(H3614="T79",18,IF(H3614="T47",22,"")))))))</f>
        <v/>
      </c>
      <c r="J3614" s="1" t="s">
        <v>1808</v>
      </c>
      <c r="K3614" s="10">
        <v>2</v>
      </c>
      <c r="L3614" s="10">
        <v>1</v>
      </c>
      <c r="O3614" s="6"/>
      <c r="Q3614" s="42" t="s">
        <v>8628</v>
      </c>
      <c r="R3614" s="42"/>
      <c r="S3614" s="67"/>
    </row>
    <row r="3615" spans="1:19" ht="18.75" hidden="1" customHeight="1" x14ac:dyDescent="0.35">
      <c r="A3615" s="10">
        <v>3614</v>
      </c>
      <c r="B3615" s="10">
        <f>_xlfn.XLOOKUP(1,(VALUE(D3615)&gt;=VALUE(block!$C$3:$C$500))*(VALUE(D3615)&lt;VALUE(block!$C$3:$C$500)+VALUE(block!$D$3:$D$500)),block!$A$3:$A$500,"无匹配",0,1)</f>
        <v>100</v>
      </c>
      <c r="C3615" s="3" t="str">
        <f>B3615 &amp; "-" &amp; COUNTIF($B$2:B3615, B3615)</f>
        <v>100-2</v>
      </c>
      <c r="D3615" s="10">
        <v>61458</v>
      </c>
      <c r="E3615" s="1" t="s">
        <v>8668</v>
      </c>
      <c r="F3615" s="67" t="s">
        <v>8669</v>
      </c>
      <c r="H3615" s="1" t="s">
        <v>1838</v>
      </c>
      <c r="I3615" s="10" t="str">
        <f>IF(H3615="T32",1,IF(H3615="T32",3,IF(H3615="T48",6,IF(H3615="T48",10,IF(H3615="T80",14,IF(H3615="T80",18,IF(H3615="T48",22,"")))))))</f>
        <v/>
      </c>
      <c r="J3615" s="1" t="s">
        <v>1808</v>
      </c>
      <c r="K3615" s="10">
        <v>2</v>
      </c>
      <c r="L3615" s="10">
        <v>1</v>
      </c>
      <c r="O3615" s="6"/>
      <c r="Q3615" s="42" t="s">
        <v>8628</v>
      </c>
      <c r="R3615" s="42"/>
      <c r="S3615" s="67"/>
    </row>
    <row r="3616" spans="1:19" ht="18.75" hidden="1" customHeight="1" x14ac:dyDescent="0.35">
      <c r="A3616" s="10">
        <v>3615</v>
      </c>
      <c r="B3616" s="10">
        <f>_xlfn.XLOOKUP(1,(VALUE(D3616)&gt;=VALUE(block!$C$3:$C$500))*(VALUE(D3616)&lt;VALUE(block!$C$3:$C$500)+VALUE(block!$D$3:$D$500)),block!$A$3:$A$500,"无匹配",0,1)</f>
        <v>100</v>
      </c>
      <c r="C3616" s="3" t="str">
        <f>B3616 &amp; "-" &amp; COUNTIF($B$2:B3616, B3616)</f>
        <v>100-3</v>
      </c>
      <c r="D3616" s="10">
        <v>61460</v>
      </c>
      <c r="E3616" s="1" t="s">
        <v>8670</v>
      </c>
      <c r="F3616" s="67" t="s">
        <v>8671</v>
      </c>
      <c r="H3616" s="1" t="s">
        <v>1838</v>
      </c>
      <c r="I3616" s="10" t="str">
        <f>IF(H3616="T33",1,IF(H3616="T33",3,IF(H3616="T49",6,IF(H3616="T49",10,IF(H3616="T81",14,IF(H3616="T81",18,IF(H3616="T49",22,"")))))))</f>
        <v/>
      </c>
      <c r="J3616" s="1" t="s">
        <v>1808</v>
      </c>
      <c r="K3616" s="10">
        <v>2</v>
      </c>
      <c r="L3616" s="10">
        <v>1</v>
      </c>
      <c r="O3616" s="6"/>
      <c r="Q3616" s="42" t="s">
        <v>8628</v>
      </c>
      <c r="R3616" s="42"/>
      <c r="S3616" s="67"/>
    </row>
    <row r="3617" spans="1:19" ht="18.75" hidden="1" customHeight="1" x14ac:dyDescent="0.35">
      <c r="A3617" s="10">
        <v>3616</v>
      </c>
      <c r="B3617" s="10">
        <f>_xlfn.XLOOKUP(1,(VALUE(D3617)&gt;=VALUE(block!$C$3:$C$500))*(VALUE(D3617)&lt;VALUE(block!$C$3:$C$500)+VALUE(block!$D$3:$D$500)),block!$A$3:$A$500,"无匹配",0,1)</f>
        <v>100</v>
      </c>
      <c r="C3617" s="3" t="str">
        <f>B3617 &amp; "-" &amp; COUNTIF($B$2:B3617, B3617)</f>
        <v>100-4</v>
      </c>
      <c r="D3617" s="10">
        <v>61462</v>
      </c>
      <c r="E3617" s="1" t="s">
        <v>8672</v>
      </c>
      <c r="F3617" s="67" t="s">
        <v>8673</v>
      </c>
      <c r="H3617" s="1" t="s">
        <v>5458</v>
      </c>
      <c r="I3617" s="10" t="str">
        <f>IF(H3617="T34",1,IF(H3617="T34",3,IF(H3617="T50",6,IF(H3617="T50",10,IF(H3617="T82",14,IF(H3617="T82",18,IF(H3617="T50",22,"")))))))</f>
        <v/>
      </c>
      <c r="J3617" s="1" t="s">
        <v>1808</v>
      </c>
      <c r="K3617" s="10">
        <v>1</v>
      </c>
      <c r="L3617" s="10">
        <v>1</v>
      </c>
      <c r="O3617" s="6"/>
      <c r="Q3617" s="42" t="s">
        <v>8628</v>
      </c>
      <c r="R3617" s="42"/>
      <c r="S3617" s="67"/>
    </row>
    <row r="3618" spans="1:19" ht="18.75" hidden="1" customHeight="1" x14ac:dyDescent="0.35">
      <c r="A3618" s="10">
        <v>3617</v>
      </c>
      <c r="B3618" s="10">
        <f>_xlfn.XLOOKUP(1,(VALUE(D3618)&gt;=VALUE(block!$C$3:$C$500))*(VALUE(D3618)&lt;VALUE(block!$C$3:$C$500)+VALUE(block!$D$3:$D$500)),block!$A$3:$A$500,"无匹配",0,1)</f>
        <v>100</v>
      </c>
      <c r="C3618" s="3" t="str">
        <f>B3618 &amp; "-" &amp; COUNTIF($B$2:B3618, B3618)</f>
        <v>100-5</v>
      </c>
      <c r="D3618" s="10">
        <v>61463</v>
      </c>
      <c r="E3618" s="1" t="s">
        <v>8674</v>
      </c>
      <c r="F3618" s="63" t="s">
        <v>8675</v>
      </c>
      <c r="H3618" s="1" t="s">
        <v>5458</v>
      </c>
      <c r="I3618" s="10" t="str">
        <f>IF(H3618="T35",1,IF(H3618="T35",3,IF(H3618="T51",6,IF(H3618="T51",10,IF(H3618="T83",14,IF(H3618="T83",18,IF(H3618="T51",22,"")))))))</f>
        <v/>
      </c>
      <c r="J3618" s="1" t="s">
        <v>1808</v>
      </c>
      <c r="K3618" s="10">
        <v>1</v>
      </c>
      <c r="L3618" s="10">
        <v>1</v>
      </c>
      <c r="O3618" s="6"/>
      <c r="Q3618" s="42" t="s">
        <v>8628</v>
      </c>
      <c r="R3618" s="42"/>
      <c r="S3618" s="63"/>
    </row>
    <row r="3619" spans="1:19" ht="18.75" hidden="1" customHeight="1" x14ac:dyDescent="0.3">
      <c r="A3619" s="10">
        <v>3618</v>
      </c>
      <c r="B3619" s="10">
        <f>_xlfn.XLOOKUP(1,(VALUE(D3619)&gt;=VALUE(block!$C$3:$C$500))*(VALUE(D3619)&lt;VALUE(block!$C$3:$C$500)+VALUE(block!$D$3:$D$500)),block!$A$3:$A$500,"无匹配",0,1)</f>
        <v>101</v>
      </c>
      <c r="C3619" s="3" t="str">
        <f>B3619 &amp; "-" &amp; COUNTIF($B$2:B3619, B3619)</f>
        <v>101-1</v>
      </c>
      <c r="D3619" s="10">
        <v>4096</v>
      </c>
      <c r="E3619" s="1" t="s">
        <v>8676</v>
      </c>
      <c r="F3619" s="1" t="s">
        <v>8677</v>
      </c>
      <c r="H3619" s="1" t="s">
        <v>5458</v>
      </c>
      <c r="I3619" s="10" t="str">
        <f>IF(H3619="T36",1,IF(H3619="T36",3,IF(H3619="T52",6,IF(H3619="T52",10,IF(H3619="T84",14,IF(H3619="T84",18,IF(H3619="T52",22,"")))))))</f>
        <v/>
      </c>
      <c r="J3619" s="3" t="s">
        <v>5447</v>
      </c>
      <c r="K3619" s="10">
        <v>1</v>
      </c>
      <c r="L3619" s="10">
        <v>1</v>
      </c>
      <c r="O3619" s="6">
        <v>30</v>
      </c>
      <c r="S3619" s="1"/>
    </row>
    <row r="3620" spans="1:19" ht="18.75" hidden="1" customHeight="1" x14ac:dyDescent="0.3">
      <c r="A3620" s="10">
        <v>3619</v>
      </c>
      <c r="B3620" s="10">
        <f>_xlfn.XLOOKUP(1,(VALUE(D3620)&gt;=VALUE(block!$C$3:$C$500))*(VALUE(D3620)&lt;VALUE(block!$C$3:$C$500)+VALUE(block!$D$3:$D$500)),block!$A$3:$A$500,"无匹配",0,1)</f>
        <v>101</v>
      </c>
      <c r="C3620" s="3" t="str">
        <f>B3620 &amp; "-" &amp; COUNTIF($B$2:B3620, B3620)</f>
        <v>101-2</v>
      </c>
      <c r="D3620" s="10">
        <v>4097</v>
      </c>
      <c r="E3620" s="3" t="s">
        <v>8678</v>
      </c>
      <c r="F3620" s="3" t="s">
        <v>8679</v>
      </c>
      <c r="H3620" s="1" t="s">
        <v>5458</v>
      </c>
      <c r="I3620" s="10" t="str">
        <f>IF(H3620="T37",1,IF(H3620="T37",3,IF(H3620="T53",6,IF(H3620="T53",10,IF(H3620="T85",14,IF(H3620="T85",18,IF(H3620="T53",22,"")))))))</f>
        <v/>
      </c>
      <c r="J3620" s="3" t="s">
        <v>5447</v>
      </c>
      <c r="K3620" s="10">
        <v>1</v>
      </c>
      <c r="L3620" s="10">
        <v>1</v>
      </c>
      <c r="O3620" s="6">
        <v>30</v>
      </c>
      <c r="Q3620" s="42" t="s">
        <v>5491</v>
      </c>
      <c r="R3620" s="42"/>
      <c r="S3620" s="3"/>
    </row>
    <row r="3621" spans="1:19" ht="18.75" hidden="1" customHeight="1" x14ac:dyDescent="0.3">
      <c r="A3621" s="10">
        <v>3620</v>
      </c>
      <c r="B3621" s="10">
        <f>_xlfn.XLOOKUP(1,(VALUE(D3621)&gt;=VALUE(block!$C$3:$C$500))*(VALUE(D3621)&lt;VALUE(block!$C$3:$C$500)+VALUE(block!$D$3:$D$500)),block!$A$3:$A$500,"无匹配",0,1)</f>
        <v>101</v>
      </c>
      <c r="C3621" s="3" t="str">
        <f>B3621 &amp; "-" &amp; COUNTIF($B$2:B3621, B3621)</f>
        <v>101-3</v>
      </c>
      <c r="D3621" s="10">
        <v>4098</v>
      </c>
      <c r="E3621" s="1" t="s">
        <v>8680</v>
      </c>
      <c r="F3621" s="1" t="s">
        <v>8681</v>
      </c>
      <c r="H3621" s="1" t="s">
        <v>5458</v>
      </c>
      <c r="I3621" s="10" t="str">
        <f>IF(H3621="T38",1,IF(H3621="T38",3,IF(H3621="T54",6,IF(H3621="T54",10,IF(H3621="T86",14,IF(H3621="T86",18,IF(H3621="T54",22,"")))))))</f>
        <v/>
      </c>
      <c r="J3621" s="3" t="s">
        <v>5447</v>
      </c>
      <c r="K3621" s="10">
        <v>1</v>
      </c>
      <c r="L3621" s="10">
        <v>1</v>
      </c>
      <c r="O3621" s="6">
        <v>30</v>
      </c>
      <c r="S3621" s="1"/>
    </row>
    <row r="3622" spans="1:19" ht="18.75" hidden="1" customHeight="1" x14ac:dyDescent="0.3">
      <c r="A3622" s="10">
        <v>3621</v>
      </c>
      <c r="B3622" s="10">
        <f>_xlfn.XLOOKUP(1,(VALUE(D3622)&gt;=VALUE(block!$C$3:$C$500))*(VALUE(D3622)&lt;VALUE(block!$C$3:$C$500)+VALUE(block!$D$3:$D$500)),block!$A$3:$A$500,"无匹配",0,1)</f>
        <v>101</v>
      </c>
      <c r="C3622" s="3" t="str">
        <f>B3622 &amp; "-" &amp; COUNTIF($B$2:B3622, B3622)</f>
        <v>101-4</v>
      </c>
      <c r="D3622" s="10">
        <v>4099</v>
      </c>
      <c r="E3622" s="1" t="s">
        <v>8682</v>
      </c>
      <c r="F3622" s="3" t="s">
        <v>8683</v>
      </c>
      <c r="H3622" s="1" t="s">
        <v>5458</v>
      </c>
      <c r="I3622" s="10" t="str">
        <f>IF(H3622="T39",1,IF(H3622="T39",3,IF(H3622="T55",6,IF(H3622="T55",10,IF(H3622="T87",14,IF(H3622="T87",18,IF(H3622="T55",22,"")))))))</f>
        <v/>
      </c>
      <c r="J3622" s="3" t="s">
        <v>5447</v>
      </c>
      <c r="K3622" s="10">
        <v>1</v>
      </c>
      <c r="L3622" s="10">
        <v>1</v>
      </c>
      <c r="O3622" s="6">
        <v>30</v>
      </c>
      <c r="Q3622" s="42" t="s">
        <v>5491</v>
      </c>
      <c r="R3622" s="42"/>
      <c r="S3622" s="3"/>
    </row>
    <row r="3623" spans="1:19" ht="18.75" hidden="1" customHeight="1" x14ac:dyDescent="0.35">
      <c r="A3623" s="10">
        <v>3622</v>
      </c>
      <c r="B3623" s="10">
        <f>_xlfn.XLOOKUP(1,(VALUE(D3623)&gt;=VALUE(block!$C$3:$C$500))*(VALUE(D3623)&lt;VALUE(block!$C$3:$C$500)+VALUE(block!$D$3:$D$500)),block!$A$3:$A$500,"无匹配",0,1)</f>
        <v>101</v>
      </c>
      <c r="C3623" s="3" t="str">
        <f>B3623 &amp; "-" &amp; COUNTIF($B$2:B3623, B3623)</f>
        <v>101-5</v>
      </c>
      <c r="D3623" s="10">
        <v>4100</v>
      </c>
      <c r="E3623" s="68" t="s">
        <v>8684</v>
      </c>
      <c r="F3623" s="3" t="s">
        <v>8685</v>
      </c>
      <c r="H3623" s="1" t="s">
        <v>1838</v>
      </c>
      <c r="I3623" s="10" t="str">
        <f>IF(H3623="T40",1,IF(H3623="T40",3,IF(H3623="T56",6,IF(H3623="T56",10,IF(H3623="T88",14,IF(H3623="T88",18,IF(H3623="T56",22,"")))))))</f>
        <v/>
      </c>
      <c r="J3623" s="3" t="s">
        <v>5447</v>
      </c>
      <c r="K3623" s="10">
        <v>2</v>
      </c>
      <c r="L3623" s="10">
        <v>1</v>
      </c>
      <c r="O3623" s="6">
        <v>30</v>
      </c>
      <c r="Q3623" s="42" t="s">
        <v>5491</v>
      </c>
      <c r="R3623" s="42"/>
      <c r="S3623" s="3"/>
    </row>
    <row r="3624" spans="1:19" ht="18.75" hidden="1" customHeight="1" x14ac:dyDescent="0.35">
      <c r="A3624" s="10">
        <v>3623</v>
      </c>
      <c r="B3624" s="10">
        <f>_xlfn.XLOOKUP(1,(VALUE(D3624)&gt;=VALUE(block!$C$3:$C$500))*(VALUE(D3624)&lt;VALUE(block!$C$3:$C$500)+VALUE(block!$D$3:$D$500)),block!$A$3:$A$500,"无匹配",0,1)</f>
        <v>101</v>
      </c>
      <c r="C3624" s="3" t="str">
        <f>B3624 &amp; "-" &amp; COUNTIF($B$2:B3624, B3624)</f>
        <v>101-6</v>
      </c>
      <c r="D3624" s="10">
        <v>4102</v>
      </c>
      <c r="E3624" s="68" t="s">
        <v>8686</v>
      </c>
      <c r="F3624" s="1" t="s">
        <v>8687</v>
      </c>
      <c r="H3624" s="1" t="s">
        <v>1838</v>
      </c>
      <c r="I3624" s="10" t="str">
        <f>IF(H3624="T41",1,IF(H3624="T41",3,IF(H3624="T57",6,IF(H3624="T57",10,IF(H3624="T89",14,IF(H3624="T89",18,IF(H3624="T57",22,"")))))))</f>
        <v/>
      </c>
      <c r="J3624" s="3" t="s">
        <v>5447</v>
      </c>
      <c r="K3624" s="10">
        <v>2</v>
      </c>
      <c r="L3624" s="10">
        <v>1</v>
      </c>
      <c r="O3624" s="6">
        <v>30</v>
      </c>
      <c r="Q3624" s="42" t="s">
        <v>5491</v>
      </c>
      <c r="R3624" s="42"/>
      <c r="S3624" s="1"/>
    </row>
    <row r="3625" spans="1:19" ht="18.75" hidden="1" customHeight="1" x14ac:dyDescent="0.35">
      <c r="A3625" s="10">
        <v>3624</v>
      </c>
      <c r="B3625" s="10">
        <f>_xlfn.XLOOKUP(1,(VALUE(D3625)&gt;=VALUE(block!$C$3:$C$500))*(VALUE(D3625)&lt;VALUE(block!$C$3:$C$500)+VALUE(block!$D$3:$D$500)),block!$A$3:$A$500,"无匹配",0,1)</f>
        <v>101</v>
      </c>
      <c r="C3625" s="3" t="str">
        <f>B3625 &amp; "-" &amp; COUNTIF($B$2:B3625, B3625)</f>
        <v>101-7</v>
      </c>
      <c r="D3625" s="10">
        <v>4104</v>
      </c>
      <c r="E3625" s="68" t="s">
        <v>8688</v>
      </c>
      <c r="F3625" s="68" t="s">
        <v>8689</v>
      </c>
      <c r="H3625" s="1" t="s">
        <v>1838</v>
      </c>
      <c r="I3625" s="10" t="str">
        <f>IF(H3625="T42",1,IF(H3625="T42",3,IF(H3625="T58",6,IF(H3625="T58",10,IF(H3625="T90",14,IF(H3625="T90",18,IF(H3625="T58",22,"")))))))</f>
        <v/>
      </c>
      <c r="J3625" s="3" t="s">
        <v>5447</v>
      </c>
      <c r="K3625" s="10">
        <v>2</v>
      </c>
      <c r="L3625" s="10">
        <v>1</v>
      </c>
      <c r="O3625" s="6">
        <v>30</v>
      </c>
      <c r="S3625" s="68"/>
    </row>
    <row r="3626" spans="1:19" ht="18.75" hidden="1" customHeight="1" x14ac:dyDescent="0.35">
      <c r="A3626" s="10">
        <v>3625</v>
      </c>
      <c r="B3626" s="10">
        <f>_xlfn.XLOOKUP(1,(VALUE(D3626)&gt;=VALUE(block!$C$3:$C$500))*(VALUE(D3626)&lt;VALUE(block!$C$3:$C$500)+VALUE(block!$D$3:$D$500)),block!$A$3:$A$500,"无匹配",0,1)</f>
        <v>101</v>
      </c>
      <c r="C3626" s="3" t="str">
        <f>B3626 &amp; "-" &amp; COUNTIF($B$2:B3626, B3626)</f>
        <v>101-8</v>
      </c>
      <c r="D3626" s="10">
        <v>4106</v>
      </c>
      <c r="E3626" s="68" t="s">
        <v>8690</v>
      </c>
      <c r="F3626" s="1" t="s">
        <v>8691</v>
      </c>
      <c r="H3626" s="1" t="s">
        <v>1838</v>
      </c>
      <c r="I3626" s="10" t="str">
        <f>IF(H3626="T43",1,IF(H3626="T43",3,IF(H3626="T59",6,IF(H3626="T59",10,IF(H3626="T91",14,IF(H3626="T91",18,IF(H3626="T59",22,"")))))))</f>
        <v/>
      </c>
      <c r="J3626" s="3" t="s">
        <v>5447</v>
      </c>
      <c r="K3626" s="10">
        <v>2</v>
      </c>
      <c r="L3626" s="10">
        <v>1</v>
      </c>
      <c r="O3626" s="6">
        <v>30</v>
      </c>
      <c r="S3626" s="1"/>
    </row>
    <row r="3627" spans="1:19" ht="18.75" hidden="1" customHeight="1" x14ac:dyDescent="0.35">
      <c r="A3627" s="10">
        <v>3626</v>
      </c>
      <c r="B3627" s="10">
        <f>_xlfn.XLOOKUP(1,(VALUE(D3627)&gt;=VALUE(block!$C$3:$C$500))*(VALUE(D3627)&lt;VALUE(block!$C$3:$C$500)+VALUE(block!$D$3:$D$500)),block!$A$3:$A$500,"无匹配",0,1)</f>
        <v>101</v>
      </c>
      <c r="C3627" s="3" t="str">
        <f>B3627 &amp; "-" &amp; COUNTIF($B$2:B3627, B3627)</f>
        <v>101-9</v>
      </c>
      <c r="D3627" s="10">
        <v>4108</v>
      </c>
      <c r="E3627" s="68" t="s">
        <v>8692</v>
      </c>
      <c r="F3627" s="1" t="s">
        <v>8693</v>
      </c>
      <c r="H3627" s="1" t="s">
        <v>1838</v>
      </c>
      <c r="I3627" s="10" t="str">
        <f>IF(H3627="T44",1,IF(H3627="T44",3,IF(H3627="T60",6,IF(H3627="T60",10,IF(H3627="T92",14,IF(H3627="T92",18,IF(H3627="T60",22,"")))))))</f>
        <v/>
      </c>
      <c r="J3627" s="3" t="s">
        <v>5447</v>
      </c>
      <c r="K3627" s="10">
        <v>2</v>
      </c>
      <c r="L3627" s="10">
        <v>1</v>
      </c>
      <c r="O3627" s="6">
        <v>30</v>
      </c>
      <c r="S3627" s="1"/>
    </row>
    <row r="3628" spans="1:19" ht="18.75" hidden="1" customHeight="1" x14ac:dyDescent="0.35">
      <c r="A3628" s="10">
        <v>3627</v>
      </c>
      <c r="B3628" s="10">
        <f>_xlfn.XLOOKUP(1,(VALUE(D3628)&gt;=VALUE(block!$C$3:$C$500))*(VALUE(D3628)&lt;VALUE(block!$C$3:$C$500)+VALUE(block!$D$3:$D$500)),block!$A$3:$A$500,"无匹配",0,1)</f>
        <v>101</v>
      </c>
      <c r="C3628" s="3" t="str">
        <f>B3628 &amp; "-" &amp; COUNTIF($B$2:B3628, B3628)</f>
        <v>101-10</v>
      </c>
      <c r="D3628" s="10">
        <v>4110</v>
      </c>
      <c r="E3628" s="69" t="s">
        <v>8694</v>
      </c>
      <c r="F3628" s="3" t="s">
        <v>8695</v>
      </c>
      <c r="H3628" s="1" t="s">
        <v>5458</v>
      </c>
      <c r="I3628" s="10" t="str">
        <f>IF(H3628="T45",1,IF(H3628="T45",3,IF(H3628="T61",6,IF(H3628="T61",10,IF(H3628="T93",14,IF(H3628="T93",18,IF(H3628="T61",22,"")))))))</f>
        <v/>
      </c>
      <c r="J3628" s="3" t="s">
        <v>5447</v>
      </c>
      <c r="K3628" s="10">
        <v>1</v>
      </c>
      <c r="L3628" s="10">
        <v>1</v>
      </c>
      <c r="O3628" s="6">
        <v>30</v>
      </c>
      <c r="Q3628" s="42" t="s">
        <v>8696</v>
      </c>
      <c r="R3628" s="42"/>
      <c r="S3628" s="3"/>
    </row>
    <row r="3629" spans="1:19" ht="18.75" hidden="1" customHeight="1" x14ac:dyDescent="0.3">
      <c r="A3629" s="10">
        <v>3628</v>
      </c>
      <c r="B3629" s="10">
        <f>_xlfn.XLOOKUP(1,(VALUE(D3629)&gt;=VALUE(block!$C$3:$C$500))*(VALUE(D3629)&lt;VALUE(block!$C$3:$C$500)+VALUE(block!$D$3:$D$500)),block!$A$3:$A$500,"无匹配",0,1)</f>
        <v>101</v>
      </c>
      <c r="C3629" s="3" t="str">
        <f>B3629 &amp; "-" &amp; COUNTIF($B$2:B3629, B3629)</f>
        <v>101-11</v>
      </c>
      <c r="D3629" s="10">
        <v>4111</v>
      </c>
      <c r="E3629" s="1" t="s">
        <v>8697</v>
      </c>
      <c r="F3629" s="1" t="s">
        <v>8698</v>
      </c>
      <c r="H3629" s="1" t="s">
        <v>5458</v>
      </c>
      <c r="I3629" s="10" t="str">
        <f>IF(H3629="T46",1,IF(H3629="T46",3,IF(H3629="T62",6,IF(H3629="T62",10,IF(H3629="T94",14,IF(H3629="T94",18,IF(H3629="T62",22,"")))))))</f>
        <v/>
      </c>
      <c r="J3629" s="3" t="s">
        <v>5447</v>
      </c>
      <c r="K3629" s="10">
        <v>1</v>
      </c>
      <c r="L3629" s="10">
        <v>1</v>
      </c>
      <c r="O3629" s="6">
        <v>30</v>
      </c>
      <c r="Q3629" s="42" t="s">
        <v>5491</v>
      </c>
      <c r="R3629" s="42"/>
      <c r="S3629" s="1"/>
    </row>
    <row r="3630" spans="1:19" ht="18.75" hidden="1" customHeight="1" x14ac:dyDescent="0.3">
      <c r="A3630" s="10">
        <v>3629</v>
      </c>
      <c r="B3630" s="10">
        <f>_xlfn.XLOOKUP(1,(VALUE(D3630)&gt;=VALUE(block!$C$3:$C$500))*(VALUE(D3630)&lt;VALUE(block!$C$3:$C$500)+VALUE(block!$D$3:$D$500)),block!$A$3:$A$500,"无匹配",0,1)</f>
        <v>101</v>
      </c>
      <c r="C3630" s="3" t="str">
        <f>B3630 &amp; "-" &amp; COUNTIF($B$2:B3630, B3630)</f>
        <v>101-12</v>
      </c>
      <c r="D3630" s="10">
        <v>4112</v>
      </c>
      <c r="E3630" s="1" t="s">
        <v>8699</v>
      </c>
      <c r="F3630" s="1" t="s">
        <v>8700</v>
      </c>
      <c r="H3630" s="1" t="s">
        <v>5458</v>
      </c>
      <c r="I3630" s="10" t="str">
        <f>IF(H3630="T47",1,IF(H3630="T47",3,IF(H3630="T63",6,IF(H3630="T63",10,IF(H3630="T95",14,IF(H3630="T95",18,IF(H3630="T63",22,"")))))))</f>
        <v/>
      </c>
      <c r="J3630" s="3" t="s">
        <v>5447</v>
      </c>
      <c r="K3630" s="10">
        <v>1</v>
      </c>
      <c r="L3630" s="10">
        <v>1</v>
      </c>
      <c r="O3630" s="6">
        <v>30</v>
      </c>
      <c r="Q3630" s="42" t="s">
        <v>5491</v>
      </c>
      <c r="R3630" s="42"/>
      <c r="S3630" s="1"/>
    </row>
    <row r="3631" spans="1:19" ht="18.75" hidden="1" customHeight="1" x14ac:dyDescent="0.3">
      <c r="A3631" s="10">
        <v>3630</v>
      </c>
      <c r="B3631" s="10">
        <f>_xlfn.XLOOKUP(1,(VALUE(D3631)&gt;=VALUE(block!$C$3:$C$500))*(VALUE(D3631)&lt;VALUE(block!$C$3:$C$500)+VALUE(block!$D$3:$D$500)),block!$A$3:$A$500,"无匹配",0,1)</f>
        <v>101</v>
      </c>
      <c r="C3631" s="3" t="str">
        <f>B3631 &amp; "-" &amp; COUNTIF($B$2:B3631, B3631)</f>
        <v>101-13</v>
      </c>
      <c r="D3631" s="10">
        <v>4113</v>
      </c>
      <c r="E3631" s="3" t="s">
        <v>8701</v>
      </c>
      <c r="F3631" s="1" t="s">
        <v>8702</v>
      </c>
      <c r="H3631" s="1" t="s">
        <v>5458</v>
      </c>
      <c r="I3631" s="10">
        <f>IF(H3631="uint16",1,IF(H3631="int16",3,IF(H3631="uint32",6,IF(H3631="int32",10,IF(H3631="uint64",14,IF(H3631="int64",18,IF(H3631="float32",22,"")))))))</f>
        <v>1</v>
      </c>
      <c r="J3631" s="3" t="s">
        <v>5447</v>
      </c>
      <c r="K3631" s="10">
        <v>1</v>
      </c>
      <c r="L3631" s="10">
        <v>1</v>
      </c>
      <c r="O3631" s="6">
        <v>30</v>
      </c>
      <c r="Q3631" s="42" t="s">
        <v>5491</v>
      </c>
      <c r="R3631" s="42"/>
      <c r="S3631" s="1"/>
    </row>
    <row r="3632" spans="1:19" ht="18.75" hidden="1" customHeight="1" x14ac:dyDescent="0.3">
      <c r="A3632" s="10">
        <v>3631</v>
      </c>
      <c r="B3632" s="10">
        <f>_xlfn.XLOOKUP(1,(VALUE(D3632)&gt;=VALUE(block!$C$3:$C$500))*(VALUE(D3632)&lt;VALUE(block!$C$3:$C$500)+VALUE(block!$D$3:$D$500)),block!$A$3:$A$500,"无匹配",0,1)</f>
        <v>101</v>
      </c>
      <c r="C3632" s="3" t="str">
        <f>B3632 &amp; "-" &amp; COUNTIF($B$2:B3632, B3632)</f>
        <v>101-14</v>
      </c>
      <c r="D3632" s="10">
        <v>4114</v>
      </c>
      <c r="E3632" s="3" t="s">
        <v>8703</v>
      </c>
      <c r="F3632" s="1" t="s">
        <v>8704</v>
      </c>
      <c r="H3632" s="1" t="s">
        <v>5458</v>
      </c>
      <c r="I3632" s="10" t="str">
        <f>IF(H3632="T17",1,IF(H3632="T17",3,IF(H3632="T33",6,IF(H3632="T33",10,IF(H3632="T65",14,IF(H3632="T65",18,IF(H3632="T33",22,"")))))))</f>
        <v/>
      </c>
      <c r="J3632" s="3" t="s">
        <v>5447</v>
      </c>
      <c r="K3632" s="10">
        <v>1</v>
      </c>
      <c r="L3632" s="10">
        <v>1</v>
      </c>
      <c r="O3632" s="6">
        <v>30</v>
      </c>
      <c r="Q3632" s="42" t="s">
        <v>5491</v>
      </c>
      <c r="R3632" s="42"/>
      <c r="S3632" s="1"/>
    </row>
    <row r="3633" spans="1:19" ht="18.75" hidden="1" customHeight="1" x14ac:dyDescent="0.3">
      <c r="A3633" s="10">
        <v>3632</v>
      </c>
      <c r="B3633" s="10">
        <f>_xlfn.XLOOKUP(1,(VALUE(D3633)&gt;=VALUE(block!$C$3:$C$500))*(VALUE(D3633)&lt;VALUE(block!$C$3:$C$500)+VALUE(block!$D$3:$D$500)),block!$A$3:$A$500,"无匹配",0,1)</f>
        <v>101</v>
      </c>
      <c r="C3633" s="3" t="str">
        <f>B3633 &amp; "-" &amp; COUNTIF($B$2:B3633, B3633)</f>
        <v>101-15</v>
      </c>
      <c r="D3633" s="10">
        <v>4115</v>
      </c>
      <c r="E3633" s="1" t="s">
        <v>8705</v>
      </c>
      <c r="F3633" s="1" t="s">
        <v>8706</v>
      </c>
      <c r="H3633" s="1" t="s">
        <v>5458</v>
      </c>
      <c r="I3633" s="10" t="str">
        <f>IF(H3633="T18",1,IF(H3633="T18",3,IF(H3633="T34",6,IF(H3633="T34",10,IF(H3633="T66",14,IF(H3633="T66",18,IF(H3633="T34",22,"")))))))</f>
        <v/>
      </c>
      <c r="J3633" s="3" t="s">
        <v>5447</v>
      </c>
      <c r="K3633" s="10">
        <v>1</v>
      </c>
      <c r="L3633" s="10">
        <v>1</v>
      </c>
      <c r="O3633" s="6">
        <v>30</v>
      </c>
      <c r="S3633" s="1"/>
    </row>
    <row r="3634" spans="1:19" ht="18.75" hidden="1" customHeight="1" x14ac:dyDescent="0.3">
      <c r="A3634" s="10">
        <v>3633</v>
      </c>
      <c r="B3634" s="10">
        <f>_xlfn.XLOOKUP(1,(VALUE(D3634)&gt;=VALUE(block!$C$3:$C$500))*(VALUE(D3634)&lt;VALUE(block!$C$3:$C$500)+VALUE(block!$D$3:$D$500)),block!$A$3:$A$500,"无匹配",0,1)</f>
        <v>101</v>
      </c>
      <c r="C3634" s="3" t="str">
        <f>B3634 &amp; "-" &amp; COUNTIF($B$2:B3634, B3634)</f>
        <v>101-16</v>
      </c>
      <c r="D3634" s="10">
        <v>4116</v>
      </c>
      <c r="E3634" s="1" t="s">
        <v>8707</v>
      </c>
      <c r="F3634" s="1" t="s">
        <v>8708</v>
      </c>
      <c r="H3634" s="1" t="s">
        <v>1838</v>
      </c>
      <c r="I3634" s="10" t="str">
        <f>IF(H3634="T19",1,IF(H3634="T19",3,IF(H3634="T35",6,IF(H3634="T35",10,IF(H3634="T67",14,IF(H3634="T67",18,IF(H3634="T35",22,"")))))))</f>
        <v/>
      </c>
      <c r="J3634" s="3" t="s">
        <v>5447</v>
      </c>
      <c r="K3634" s="10">
        <v>2</v>
      </c>
      <c r="L3634" s="10">
        <v>1</v>
      </c>
      <c r="O3634" s="6">
        <v>30</v>
      </c>
      <c r="Q3634" s="42" t="s">
        <v>5491</v>
      </c>
      <c r="R3634" s="42"/>
      <c r="S3634" s="1"/>
    </row>
    <row r="3635" spans="1:19" ht="18.75" hidden="1" customHeight="1" x14ac:dyDescent="0.3">
      <c r="A3635" s="10">
        <v>3634</v>
      </c>
      <c r="B3635" s="10">
        <f>_xlfn.XLOOKUP(1,(VALUE(D3635)&gt;=VALUE(block!$C$3:$C$500))*(VALUE(D3635)&lt;VALUE(block!$C$3:$C$500)+VALUE(block!$D$3:$D$500)),block!$A$3:$A$500,"无匹配",0,1)</f>
        <v>101</v>
      </c>
      <c r="C3635" s="3" t="str">
        <f>B3635 &amp; "-" &amp; COUNTIF($B$2:B3635, B3635)</f>
        <v>101-17</v>
      </c>
      <c r="D3635" s="10">
        <v>4118</v>
      </c>
      <c r="E3635" s="1" t="s">
        <v>8709</v>
      </c>
      <c r="F3635" s="1" t="s">
        <v>8710</v>
      </c>
      <c r="H3635" s="1" t="s">
        <v>5458</v>
      </c>
      <c r="I3635" s="10" t="str">
        <f>IF(H3635="T20",1,IF(H3635="T20",3,IF(H3635="T36",6,IF(H3635="T36",10,IF(H3635="T68",14,IF(H3635="T68",18,IF(H3635="T36",22,"")))))))</f>
        <v/>
      </c>
      <c r="J3635" s="1" t="s">
        <v>1808</v>
      </c>
      <c r="K3635" s="10">
        <v>1</v>
      </c>
      <c r="L3635" s="10">
        <v>1</v>
      </c>
      <c r="O3635" s="6">
        <v>30</v>
      </c>
      <c r="S3635" s="1"/>
    </row>
    <row r="3636" spans="1:19" ht="18.75" hidden="1" customHeight="1" x14ac:dyDescent="0.3">
      <c r="A3636" s="10">
        <v>3635</v>
      </c>
      <c r="B3636" s="10">
        <f>_xlfn.XLOOKUP(1,(VALUE(D3636)&gt;=VALUE(block!$C$3:$C$500))*(VALUE(D3636)&lt;VALUE(block!$C$3:$C$500)+VALUE(block!$D$3:$D$500)),block!$A$3:$A$500,"无匹配",0,1)</f>
        <v>101</v>
      </c>
      <c r="C3636" s="3" t="str">
        <f>B3636 &amp; "-" &amp; COUNTIF($B$2:B3636, B3636)</f>
        <v>101-18</v>
      </c>
      <c r="D3636" s="10">
        <v>4119</v>
      </c>
      <c r="E3636" s="1" t="s">
        <v>8711</v>
      </c>
      <c r="F3636" s="1" t="s">
        <v>8712</v>
      </c>
      <c r="H3636" s="1" t="s">
        <v>5458</v>
      </c>
      <c r="I3636" s="10" t="str">
        <f>IF(H3636="T21",1,IF(H3636="T21",3,IF(H3636="T37",6,IF(H3636="T37",10,IF(H3636="T69",14,IF(H3636="T69",18,IF(H3636="T37",22,"")))))))</f>
        <v/>
      </c>
      <c r="J3636" s="3" t="s">
        <v>5447</v>
      </c>
      <c r="K3636" s="10">
        <v>1</v>
      </c>
      <c r="L3636" s="10">
        <v>1</v>
      </c>
      <c r="O3636" s="6">
        <v>30</v>
      </c>
      <c r="S3636" s="1"/>
    </row>
    <row r="3637" spans="1:19" ht="18.75" hidden="1" customHeight="1" x14ac:dyDescent="0.3">
      <c r="A3637" s="10">
        <v>3636</v>
      </c>
      <c r="B3637" s="10">
        <f>_xlfn.XLOOKUP(1,(VALUE(D3637)&gt;=VALUE(block!$C$3:$C$500))*(VALUE(D3637)&lt;VALUE(block!$C$3:$C$500)+VALUE(block!$D$3:$D$500)),block!$A$3:$A$500,"无匹配",0,1)</f>
        <v>101</v>
      </c>
      <c r="C3637" s="3" t="str">
        <f>B3637 &amp; "-" &amp; COUNTIF($B$2:B3637, B3637)</f>
        <v>101-19</v>
      </c>
      <c r="D3637" s="10">
        <v>4120</v>
      </c>
      <c r="E3637" s="1" t="s">
        <v>8713</v>
      </c>
      <c r="F3637" s="1" t="s">
        <v>8714</v>
      </c>
      <c r="H3637" s="1" t="s">
        <v>1838</v>
      </c>
      <c r="I3637" s="10" t="str">
        <f>IF(H3637="T22",1,IF(H3637="T22",3,IF(H3637="T38",6,IF(H3637="T38",10,IF(H3637="T70",14,IF(H3637="T70",18,IF(H3637="T38",22,"")))))))</f>
        <v/>
      </c>
      <c r="J3637" s="3" t="s">
        <v>5447</v>
      </c>
      <c r="K3637" s="10">
        <v>2</v>
      </c>
      <c r="L3637" s="10">
        <v>1</v>
      </c>
      <c r="O3637" s="6">
        <v>30</v>
      </c>
      <c r="S3637" s="1"/>
    </row>
    <row r="3638" spans="1:19" ht="18.75" hidden="1" customHeight="1" x14ac:dyDescent="0.3">
      <c r="A3638" s="10">
        <v>3637</v>
      </c>
      <c r="B3638" s="10">
        <f>_xlfn.XLOOKUP(1,(VALUE(D3638)&gt;=VALUE(block!$C$3:$C$500))*(VALUE(D3638)&lt;VALUE(block!$C$3:$C$500)+VALUE(block!$D$3:$D$500)),block!$A$3:$A$500,"无匹配",0,1)</f>
        <v>101</v>
      </c>
      <c r="C3638" s="3" t="str">
        <f>B3638 &amp; "-" &amp; COUNTIF($B$2:B3638, B3638)</f>
        <v>101-20</v>
      </c>
      <c r="D3638" s="10">
        <v>4122</v>
      </c>
      <c r="E3638" s="1" t="s">
        <v>8715</v>
      </c>
      <c r="F3638" s="1" t="s">
        <v>8716</v>
      </c>
      <c r="H3638" s="1" t="s">
        <v>1838</v>
      </c>
      <c r="I3638" s="10" t="str">
        <f>IF(H3638="T23",1,IF(H3638="T23",3,IF(H3638="T39",6,IF(H3638="T39",10,IF(H3638="T71",14,IF(H3638="T71",18,IF(H3638="T39",22,"")))))))</f>
        <v/>
      </c>
      <c r="J3638" s="3" t="s">
        <v>5447</v>
      </c>
      <c r="K3638" s="10">
        <v>2</v>
      </c>
      <c r="L3638" s="10">
        <v>1</v>
      </c>
      <c r="O3638" s="6">
        <v>30</v>
      </c>
      <c r="S3638" s="1"/>
    </row>
    <row r="3639" spans="1:19" ht="18.75" hidden="1" customHeight="1" x14ac:dyDescent="0.3">
      <c r="A3639" s="10">
        <v>3638</v>
      </c>
      <c r="B3639" s="10">
        <f>_xlfn.XLOOKUP(1,(VALUE(D3639)&gt;=VALUE(block!$C$3:$C$500))*(VALUE(D3639)&lt;VALUE(block!$C$3:$C$500)+VALUE(block!$D$3:$D$500)),block!$A$3:$A$500,"无匹配",0,1)</f>
        <v>101</v>
      </c>
      <c r="C3639" s="3" t="str">
        <f>B3639 &amp; "-" &amp; COUNTIF($B$2:B3639, B3639)</f>
        <v>101-21</v>
      </c>
      <c r="D3639" s="10">
        <v>4124</v>
      </c>
      <c r="E3639" s="1" t="s">
        <v>8717</v>
      </c>
      <c r="F3639" s="1" t="s">
        <v>8718</v>
      </c>
      <c r="H3639" s="1" t="s">
        <v>5458</v>
      </c>
      <c r="I3639" s="10" t="str">
        <f>IF(H3639="T24",1,IF(H3639="T24",3,IF(H3639="T40",6,IF(H3639="T40",10,IF(H3639="T72",14,IF(H3639="T72",18,IF(H3639="T40",22,"")))))))</f>
        <v/>
      </c>
      <c r="J3639" s="3" t="s">
        <v>5447</v>
      </c>
      <c r="K3639" s="10">
        <v>1</v>
      </c>
      <c r="L3639" s="10">
        <v>1</v>
      </c>
      <c r="O3639" s="6">
        <v>30</v>
      </c>
      <c r="S3639" s="1"/>
    </row>
    <row r="3640" spans="1:19" ht="18.75" hidden="1" customHeight="1" x14ac:dyDescent="0.3">
      <c r="A3640" s="10">
        <v>3639</v>
      </c>
      <c r="B3640" s="10">
        <f>_xlfn.XLOOKUP(1,(VALUE(D3640)&gt;=VALUE(block!$C$3:$C$500))*(VALUE(D3640)&lt;VALUE(block!$C$3:$C$500)+VALUE(block!$D$3:$D$500)),block!$A$3:$A$500,"无匹配",0,1)</f>
        <v>101</v>
      </c>
      <c r="C3640" s="3" t="str">
        <f>B3640 &amp; "-" &amp; COUNTIF($B$2:B3640, B3640)</f>
        <v>101-22</v>
      </c>
      <c r="D3640" s="10">
        <v>4125</v>
      </c>
      <c r="E3640" s="1" t="s">
        <v>8719</v>
      </c>
      <c r="F3640" s="1" t="s">
        <v>8720</v>
      </c>
      <c r="H3640" s="1" t="s">
        <v>1838</v>
      </c>
      <c r="I3640" s="10" t="str">
        <f>IF(H3640="T25",1,IF(H3640="T25",3,IF(H3640="T41",6,IF(H3640="T41",10,IF(H3640="T73",14,IF(H3640="T73",18,IF(H3640="T41",22,"")))))))</f>
        <v/>
      </c>
      <c r="J3640" s="3" t="s">
        <v>5447</v>
      </c>
      <c r="K3640" s="10">
        <v>2</v>
      </c>
      <c r="L3640" s="10">
        <v>1</v>
      </c>
      <c r="O3640" s="6">
        <v>30</v>
      </c>
      <c r="S3640" s="1"/>
    </row>
    <row r="3641" spans="1:19" ht="18.75" hidden="1" customHeight="1" x14ac:dyDescent="0.3">
      <c r="A3641" s="10">
        <v>3640</v>
      </c>
      <c r="B3641" s="10">
        <f>_xlfn.XLOOKUP(1,(VALUE(D3641)&gt;=VALUE(block!$C$3:$C$500))*(VALUE(D3641)&lt;VALUE(block!$C$3:$C$500)+VALUE(block!$D$3:$D$500)),block!$A$3:$A$500,"无匹配",0,1)</f>
        <v>101</v>
      </c>
      <c r="C3641" s="3" t="str">
        <f>B3641 &amp; "-" &amp; COUNTIF($B$2:B3641, B3641)</f>
        <v>101-23</v>
      </c>
      <c r="D3641" s="10">
        <v>4127</v>
      </c>
      <c r="E3641" s="1" t="s">
        <v>8721</v>
      </c>
      <c r="F3641" s="1" t="s">
        <v>8722</v>
      </c>
      <c r="H3641" s="1" t="s">
        <v>5458</v>
      </c>
      <c r="I3641" s="10" t="str">
        <f>IF(H3641="T26",1,IF(H3641="T26",3,IF(H3641="T42",6,IF(H3641="T42",10,IF(H3641="T74",14,IF(H3641="T74",18,IF(H3641="T42",22,"")))))))</f>
        <v/>
      </c>
      <c r="J3641" s="1" t="s">
        <v>1808</v>
      </c>
      <c r="K3641" s="10">
        <v>1</v>
      </c>
      <c r="L3641" s="10">
        <v>1</v>
      </c>
      <c r="O3641" s="6">
        <v>30</v>
      </c>
      <c r="S3641" s="1"/>
    </row>
    <row r="3642" spans="1:19" ht="18.75" hidden="1" customHeight="1" x14ac:dyDescent="0.3">
      <c r="A3642" s="10">
        <v>3641</v>
      </c>
      <c r="B3642" s="10">
        <f>_xlfn.XLOOKUP(1,(VALUE(D3642)&gt;=VALUE(block!$C$3:$C$500))*(VALUE(D3642)&lt;VALUE(block!$C$3:$C$500)+VALUE(block!$D$3:$D$500)),block!$A$3:$A$500,"无匹配",0,1)</f>
        <v>101</v>
      </c>
      <c r="C3642" s="3" t="str">
        <f>B3642 &amp; "-" &amp; COUNTIF($B$2:B3642, B3642)</f>
        <v>101-24</v>
      </c>
      <c r="D3642" s="10">
        <v>4128</v>
      </c>
      <c r="E3642" s="3" t="s">
        <v>8723</v>
      </c>
      <c r="F3642" s="1" t="s">
        <v>8724</v>
      </c>
      <c r="H3642" s="1" t="s">
        <v>5458</v>
      </c>
      <c r="I3642" s="10" t="str">
        <f>IF(H3642="T27",1,IF(H3642="T27",3,IF(H3642="T43",6,IF(H3642="T43",10,IF(H3642="T75",14,IF(H3642="T75",18,IF(H3642="T43",22,"")))))))</f>
        <v/>
      </c>
      <c r="J3642" s="1" t="s">
        <v>1808</v>
      </c>
      <c r="K3642" s="10">
        <v>1</v>
      </c>
      <c r="L3642" s="10">
        <v>1</v>
      </c>
      <c r="O3642" s="6">
        <v>30</v>
      </c>
      <c r="S3642" s="1"/>
    </row>
    <row r="3643" spans="1:19" ht="18.75" hidden="1" customHeight="1" x14ac:dyDescent="0.3">
      <c r="A3643" s="10">
        <v>3642</v>
      </c>
      <c r="B3643" s="10">
        <f>_xlfn.XLOOKUP(1,(VALUE(D3643)&gt;=VALUE(block!$C$3:$C$500))*(VALUE(D3643)&lt;VALUE(block!$C$3:$C$500)+VALUE(block!$D$3:$D$500)),block!$A$3:$A$500,"无匹配",0,1)</f>
        <v>101</v>
      </c>
      <c r="C3643" s="3" t="str">
        <f>B3643 &amp; "-" &amp; COUNTIF($B$2:B3643, B3643)</f>
        <v>101-25</v>
      </c>
      <c r="D3643" s="10">
        <v>4129</v>
      </c>
      <c r="E3643" s="3" t="s">
        <v>8723</v>
      </c>
      <c r="F3643" s="1" t="s">
        <v>8725</v>
      </c>
      <c r="H3643" s="1" t="s">
        <v>5458</v>
      </c>
      <c r="I3643" s="10" t="str">
        <f>IF(H3643="T28",1,IF(H3643="T28",3,IF(H3643="T44",6,IF(H3643="T44",10,IF(H3643="T76",14,IF(H3643="T76",18,IF(H3643="T44",22,"")))))))</f>
        <v/>
      </c>
      <c r="J3643" s="1" t="s">
        <v>1808</v>
      </c>
      <c r="K3643" s="10">
        <v>1</v>
      </c>
      <c r="L3643" s="10">
        <v>1</v>
      </c>
      <c r="O3643" s="6">
        <v>30</v>
      </c>
      <c r="S3643" s="1"/>
    </row>
    <row r="3644" spans="1:19" ht="18.75" hidden="1" customHeight="1" x14ac:dyDescent="0.3">
      <c r="A3644" s="10">
        <v>3643</v>
      </c>
      <c r="B3644" s="10">
        <f>_xlfn.XLOOKUP(1,(VALUE(D3644)&gt;=VALUE(block!$C$3:$C$500))*(VALUE(D3644)&lt;VALUE(block!$C$3:$C$500)+VALUE(block!$D$3:$D$500)),block!$A$3:$A$500,"无匹配",0,1)</f>
        <v>101</v>
      </c>
      <c r="C3644" s="3" t="str">
        <f>B3644 &amp; "-" &amp; COUNTIF($B$2:B3644, B3644)</f>
        <v>101-26</v>
      </c>
      <c r="D3644" s="10">
        <v>4130</v>
      </c>
      <c r="E3644" s="3" t="s">
        <v>8723</v>
      </c>
      <c r="F3644" s="1" t="s">
        <v>8726</v>
      </c>
      <c r="H3644" s="1" t="s">
        <v>5458</v>
      </c>
      <c r="I3644" s="10" t="str">
        <f>IF(H3644="T29",1,IF(H3644="T29",3,IF(H3644="T45",6,IF(H3644="T45",10,IF(H3644="T77",14,IF(H3644="T77",18,IF(H3644="T45",22,"")))))))</f>
        <v/>
      </c>
      <c r="J3644" s="1" t="s">
        <v>1808</v>
      </c>
      <c r="K3644" s="10">
        <v>1</v>
      </c>
      <c r="L3644" s="10">
        <v>1</v>
      </c>
      <c r="O3644" s="6">
        <v>30</v>
      </c>
      <c r="S3644" s="1"/>
    </row>
    <row r="3645" spans="1:19" ht="18.75" hidden="1" customHeight="1" x14ac:dyDescent="0.3">
      <c r="A3645" s="10">
        <v>3644</v>
      </c>
      <c r="B3645" s="10">
        <f>_xlfn.XLOOKUP(1,(VALUE(D3645)&gt;=VALUE(block!$C$3:$C$500))*(VALUE(D3645)&lt;VALUE(block!$C$3:$C$500)+VALUE(block!$D$3:$D$500)),block!$A$3:$A$500,"无匹配",0,1)</f>
        <v>101</v>
      </c>
      <c r="C3645" s="3" t="str">
        <f>B3645 &amp; "-" &amp; COUNTIF($B$2:B3645, B3645)</f>
        <v>101-27</v>
      </c>
      <c r="D3645" s="10">
        <v>4131</v>
      </c>
      <c r="E3645" s="1" t="s">
        <v>8727</v>
      </c>
      <c r="F3645" s="1" t="s">
        <v>8728</v>
      </c>
      <c r="H3645" s="1" t="s">
        <v>5458</v>
      </c>
      <c r="I3645" s="10" t="str">
        <f>IF(H3645="T30",1,IF(H3645="T30",3,IF(H3645="T46",6,IF(H3645="T46",10,IF(H3645="T78",14,IF(H3645="T78",18,IF(H3645="T46",22,"")))))))</f>
        <v/>
      </c>
      <c r="J3645" s="3" t="s">
        <v>5447</v>
      </c>
      <c r="K3645" s="10">
        <v>1</v>
      </c>
      <c r="L3645" s="10">
        <v>1</v>
      </c>
      <c r="O3645" s="6">
        <v>30</v>
      </c>
      <c r="S3645" s="1"/>
    </row>
    <row r="3646" spans="1:19" ht="18.75" hidden="1" customHeight="1" x14ac:dyDescent="0.3">
      <c r="A3646" s="10">
        <v>3645</v>
      </c>
      <c r="B3646" s="10">
        <f>_xlfn.XLOOKUP(1,(VALUE(D3646)&gt;=VALUE(block!$C$3:$C$500))*(VALUE(D3646)&lt;VALUE(block!$C$3:$C$500)+VALUE(block!$D$3:$D$500)),block!$A$3:$A$500,"无匹配",0,1)</f>
        <v>101</v>
      </c>
      <c r="C3646" s="3" t="str">
        <f>B3646 &amp; "-" &amp; COUNTIF($B$2:B3646, B3646)</f>
        <v>101-28</v>
      </c>
      <c r="D3646" s="10">
        <v>4132</v>
      </c>
      <c r="E3646" s="1" t="s">
        <v>8729</v>
      </c>
      <c r="F3646" s="1" t="s">
        <v>8730</v>
      </c>
      <c r="H3646" s="1" t="s">
        <v>5458</v>
      </c>
      <c r="I3646" s="10" t="str">
        <f>IF(H3646="T31",1,IF(H3646="T31",3,IF(H3646="T47",6,IF(H3646="T47",10,IF(H3646="T79",14,IF(H3646="T79",18,IF(H3646="T47",22,"")))))))</f>
        <v/>
      </c>
      <c r="J3646" s="3" t="s">
        <v>5447</v>
      </c>
      <c r="K3646" s="10">
        <v>1</v>
      </c>
      <c r="L3646" s="10">
        <v>1</v>
      </c>
      <c r="O3646" s="6">
        <v>30</v>
      </c>
      <c r="S3646" s="1"/>
    </row>
    <row r="3647" spans="1:19" ht="18.75" hidden="1" customHeight="1" x14ac:dyDescent="0.3">
      <c r="A3647" s="10">
        <v>3646</v>
      </c>
      <c r="B3647" s="10">
        <f>_xlfn.XLOOKUP(1,(VALUE(D3647)&gt;=VALUE(block!$C$3:$C$500))*(VALUE(D3647)&lt;VALUE(block!$C$3:$C$500)+VALUE(block!$D$3:$D$500)),block!$A$3:$A$500,"无匹配",0,1)</f>
        <v>101</v>
      </c>
      <c r="C3647" s="3" t="str">
        <f>B3647 &amp; "-" &amp; COUNTIF($B$2:B3647, B3647)</f>
        <v>101-29</v>
      </c>
      <c r="D3647" s="10">
        <v>4133</v>
      </c>
      <c r="E3647" s="3" t="s">
        <v>8731</v>
      </c>
      <c r="F3647" s="1" t="s">
        <v>8732</v>
      </c>
      <c r="H3647" s="1" t="s">
        <v>5458</v>
      </c>
      <c r="I3647" s="10" t="str">
        <f>IF(H3647="T32",1,IF(H3647="T32",3,IF(H3647="T48",6,IF(H3647="T48",10,IF(H3647="T80",14,IF(H3647="T80",18,IF(H3647="T48",22,"")))))))</f>
        <v/>
      </c>
      <c r="J3647" s="3" t="s">
        <v>5447</v>
      </c>
      <c r="K3647" s="10">
        <v>1</v>
      </c>
      <c r="L3647" s="10">
        <v>1</v>
      </c>
      <c r="O3647" s="6">
        <v>30</v>
      </c>
      <c r="S3647" s="1"/>
    </row>
    <row r="3648" spans="1:19" ht="18.75" hidden="1" customHeight="1" x14ac:dyDescent="0.3">
      <c r="A3648" s="10">
        <v>3647</v>
      </c>
      <c r="B3648" s="10">
        <f>_xlfn.XLOOKUP(1,(VALUE(D3648)&gt;=VALUE(block!$C$3:$C$500))*(VALUE(D3648)&lt;VALUE(block!$C$3:$C$500)+VALUE(block!$D$3:$D$500)),block!$A$3:$A$500,"无匹配",0,1)</f>
        <v>101</v>
      </c>
      <c r="C3648" s="3" t="str">
        <f>B3648 &amp; "-" &amp; COUNTIF($B$2:B3648, B3648)</f>
        <v>101-30</v>
      </c>
      <c r="D3648" s="10">
        <v>4134</v>
      </c>
      <c r="E3648" s="1" t="s">
        <v>8733</v>
      </c>
      <c r="F3648" s="1" t="s">
        <v>8734</v>
      </c>
      <c r="H3648" s="1" t="s">
        <v>5458</v>
      </c>
      <c r="I3648" s="10" t="str">
        <f>IF(H3648="T33",1,IF(H3648="T33",3,IF(H3648="T49",6,IF(H3648="T49",10,IF(H3648="T81",14,IF(H3648="T81",18,IF(H3648="T49",22,"")))))))</f>
        <v/>
      </c>
      <c r="J3648" s="3" t="s">
        <v>5447</v>
      </c>
      <c r="K3648" s="10">
        <v>1</v>
      </c>
      <c r="L3648" s="10">
        <v>1</v>
      </c>
      <c r="O3648" s="6">
        <v>30</v>
      </c>
      <c r="S3648" s="1"/>
    </row>
    <row r="3649" spans="1:19" ht="18.75" hidden="1" customHeight="1" x14ac:dyDescent="0.3">
      <c r="A3649" s="10">
        <v>3648</v>
      </c>
      <c r="B3649" s="10">
        <f>_xlfn.XLOOKUP(1,(VALUE(D3649)&gt;=VALUE(block!$C$3:$C$500))*(VALUE(D3649)&lt;VALUE(block!$C$3:$C$500)+VALUE(block!$D$3:$D$500)),block!$A$3:$A$500,"无匹配",0,1)</f>
        <v>101</v>
      </c>
      <c r="C3649" s="3" t="str">
        <f>B3649 &amp; "-" &amp; COUNTIF($B$2:B3649, B3649)</f>
        <v>101-31</v>
      </c>
      <c r="D3649" s="10">
        <v>4135</v>
      </c>
      <c r="E3649" s="1" t="s">
        <v>8735</v>
      </c>
      <c r="F3649" s="1" t="s">
        <v>8736</v>
      </c>
      <c r="H3649" s="1" t="s">
        <v>5458</v>
      </c>
      <c r="I3649" s="10" t="str">
        <f>IF(H3649="T34",1,IF(H3649="T34",3,IF(H3649="T50",6,IF(H3649="T50",10,IF(H3649="T82",14,IF(H3649="T82",18,IF(H3649="T50",22,"")))))))</f>
        <v/>
      </c>
      <c r="J3649" s="3" t="s">
        <v>5447</v>
      </c>
      <c r="K3649" s="10">
        <v>1</v>
      </c>
      <c r="L3649" s="10">
        <v>1</v>
      </c>
      <c r="O3649" s="6">
        <v>30</v>
      </c>
      <c r="S3649" s="1"/>
    </row>
    <row r="3650" spans="1:19" ht="18.75" hidden="1" customHeight="1" x14ac:dyDescent="0.3">
      <c r="A3650" s="10">
        <v>3649</v>
      </c>
      <c r="B3650" s="10">
        <f>_xlfn.XLOOKUP(1,(VALUE(D3650)&gt;=VALUE(block!$C$3:$C$500))*(VALUE(D3650)&lt;VALUE(block!$C$3:$C$500)+VALUE(block!$D$3:$D$500)),block!$A$3:$A$500,"无匹配",0,1)</f>
        <v>101</v>
      </c>
      <c r="C3650" s="3" t="str">
        <f>B3650 &amp; "-" &amp; COUNTIF($B$2:B3650, B3650)</f>
        <v>101-32</v>
      </c>
      <c r="D3650" s="10">
        <v>4136</v>
      </c>
      <c r="E3650" s="1" t="s">
        <v>8737</v>
      </c>
      <c r="F3650" s="1" t="s">
        <v>8738</v>
      </c>
      <c r="H3650" s="1" t="s">
        <v>5458</v>
      </c>
      <c r="I3650" s="10" t="str">
        <f>IF(H3650="T35",1,IF(H3650="T35",3,IF(H3650="T51",6,IF(H3650="T51",10,IF(H3650="T83",14,IF(H3650="T83",18,IF(H3650="T51",22,"")))))))</f>
        <v/>
      </c>
      <c r="J3650" s="3" t="s">
        <v>5447</v>
      </c>
      <c r="K3650" s="10">
        <v>1</v>
      </c>
      <c r="L3650" s="10">
        <v>1</v>
      </c>
      <c r="O3650" s="6">
        <v>30</v>
      </c>
      <c r="S3650" s="1"/>
    </row>
    <row r="3651" spans="1:19" ht="18.75" hidden="1" customHeight="1" x14ac:dyDescent="0.3">
      <c r="A3651" s="10">
        <v>3650</v>
      </c>
      <c r="B3651" s="10">
        <f>_xlfn.XLOOKUP(1,(VALUE(D3651)&gt;=VALUE(block!$C$3:$C$500))*(VALUE(D3651)&lt;VALUE(block!$C$3:$C$500)+VALUE(block!$D$3:$D$500)),block!$A$3:$A$500,"无匹配",0,1)</f>
        <v>101</v>
      </c>
      <c r="C3651" s="3" t="str">
        <f>B3651 &amp; "-" &amp; COUNTIF($B$2:B3651, B3651)</f>
        <v>101-33</v>
      </c>
      <c r="D3651" s="10">
        <v>4137</v>
      </c>
      <c r="E3651" s="1" t="s">
        <v>8739</v>
      </c>
      <c r="F3651" s="1" t="s">
        <v>8740</v>
      </c>
      <c r="H3651" s="1" t="s">
        <v>5458</v>
      </c>
      <c r="I3651" s="10" t="str">
        <f>IF(H3651="T36",1,IF(H3651="T36",3,IF(H3651="T52",6,IF(H3651="T52",10,IF(H3651="T84",14,IF(H3651="T84",18,IF(H3651="T52",22,"")))))))</f>
        <v/>
      </c>
      <c r="J3651" s="3" t="s">
        <v>5447</v>
      </c>
      <c r="K3651" s="10">
        <v>1</v>
      </c>
      <c r="L3651" s="10">
        <v>1</v>
      </c>
      <c r="O3651" s="6">
        <v>30</v>
      </c>
      <c r="S3651" s="1"/>
    </row>
    <row r="3652" spans="1:19" ht="18.75" hidden="1" customHeight="1" x14ac:dyDescent="0.3">
      <c r="A3652" s="10">
        <v>3651</v>
      </c>
      <c r="B3652" s="10">
        <f>_xlfn.XLOOKUP(1,(VALUE(D3652)&gt;=VALUE(block!$C$3:$C$500))*(VALUE(D3652)&lt;VALUE(block!$C$3:$C$500)+VALUE(block!$D$3:$D$500)),block!$A$3:$A$500,"无匹配",0,1)</f>
        <v>101</v>
      </c>
      <c r="C3652" s="3" t="str">
        <f>B3652 &amp; "-" &amp; COUNTIF($B$2:B3652, B3652)</f>
        <v>101-34</v>
      </c>
      <c r="D3652" s="10">
        <v>4138</v>
      </c>
      <c r="E3652" s="1" t="s">
        <v>8741</v>
      </c>
      <c r="F3652" s="1" t="s">
        <v>8742</v>
      </c>
      <c r="H3652" s="1" t="s">
        <v>5458</v>
      </c>
      <c r="I3652" s="10" t="str">
        <f>IF(H3652="T37",1,IF(H3652="T37",3,IF(H3652="T53",6,IF(H3652="T53",10,IF(H3652="T85",14,IF(H3652="T85",18,IF(H3652="T53",22,"")))))))</f>
        <v/>
      </c>
      <c r="J3652" s="3" t="s">
        <v>5447</v>
      </c>
      <c r="K3652" s="10">
        <v>1</v>
      </c>
      <c r="L3652" s="10">
        <v>1</v>
      </c>
      <c r="O3652" s="6">
        <v>30</v>
      </c>
      <c r="S3652" s="1"/>
    </row>
    <row r="3653" spans="1:19" ht="18.75" hidden="1" customHeight="1" x14ac:dyDescent="0.3">
      <c r="A3653" s="10">
        <v>3652</v>
      </c>
      <c r="B3653" s="10">
        <f>_xlfn.XLOOKUP(1,(VALUE(D3653)&gt;=VALUE(block!$C$3:$C$500))*(VALUE(D3653)&lt;VALUE(block!$C$3:$C$500)+VALUE(block!$D$3:$D$500)),block!$A$3:$A$500,"无匹配",0,1)</f>
        <v>101</v>
      </c>
      <c r="C3653" s="3" t="str">
        <f>B3653 &amp; "-" &amp; COUNTIF($B$2:B3653, B3653)</f>
        <v>101-35</v>
      </c>
      <c r="D3653" s="10">
        <v>4139</v>
      </c>
      <c r="E3653" s="3" t="s">
        <v>8743</v>
      </c>
      <c r="F3653" s="3" t="s">
        <v>8743</v>
      </c>
      <c r="H3653" s="3" t="s">
        <v>5458</v>
      </c>
      <c r="J3653" s="3" t="s">
        <v>1808</v>
      </c>
      <c r="K3653" s="10">
        <v>1</v>
      </c>
      <c r="L3653" s="10">
        <v>1</v>
      </c>
      <c r="O3653" s="6">
        <v>30</v>
      </c>
      <c r="S3653" s="3"/>
    </row>
    <row r="3654" spans="1:19" ht="18.75" hidden="1" customHeight="1" x14ac:dyDescent="0.3">
      <c r="A3654" s="10">
        <v>3653</v>
      </c>
      <c r="B3654" s="10">
        <f>_xlfn.XLOOKUP(1,(VALUE(D3654)&gt;=VALUE(block!$C$3:$C$500))*(VALUE(D3654)&lt;VALUE(block!$C$3:$C$500)+VALUE(block!$D$3:$D$500)),block!$A$3:$A$500,"无匹配",0,1)</f>
        <v>102</v>
      </c>
      <c r="C3654" s="3" t="str">
        <f>B3654 &amp; "-" &amp; COUNTIF($B$2:B3654, B3654)</f>
        <v>102-1</v>
      </c>
      <c r="D3654" s="10">
        <v>4160</v>
      </c>
      <c r="E3654" s="3" t="s">
        <v>8744</v>
      </c>
      <c r="F3654" s="1" t="s">
        <v>8745</v>
      </c>
      <c r="H3654" s="1" t="s">
        <v>5458</v>
      </c>
      <c r="I3654" s="10">
        <f>IF(H3654="uint16",1,IF(H3654="int16",3,IF(H3654="uint32",6,IF(H3654="int32",10,IF(H3654="uint64",14,IF(H3654="int64",18,IF(H3654="float32",22,"")))))))</f>
        <v>1</v>
      </c>
      <c r="J3654" s="1" t="s">
        <v>1808</v>
      </c>
      <c r="K3654" s="10">
        <v>1</v>
      </c>
      <c r="L3654" s="10">
        <v>1</v>
      </c>
      <c r="O3654" s="45" t="s">
        <v>8746</v>
      </c>
      <c r="Q3654" s="42" t="s">
        <v>8747</v>
      </c>
      <c r="R3654" s="42"/>
      <c r="S3654" s="1"/>
    </row>
    <row r="3655" spans="1:19" ht="18.75" hidden="1" customHeight="1" x14ac:dyDescent="0.3">
      <c r="A3655" s="10">
        <v>3654</v>
      </c>
      <c r="B3655" s="10">
        <f>_xlfn.XLOOKUP(1,(VALUE(D3655)&gt;=VALUE(block!$C$3:$C$500))*(VALUE(D3655)&lt;VALUE(block!$C$3:$C$500)+VALUE(block!$D$3:$D$500)),block!$A$3:$A$500,"无匹配",0,1)</f>
        <v>102</v>
      </c>
      <c r="C3655" s="3" t="str">
        <f>B3655 &amp; "-" &amp; COUNTIF($B$2:B3655, B3655)</f>
        <v>102-2</v>
      </c>
      <c r="D3655" s="10">
        <v>4161</v>
      </c>
      <c r="E3655" s="44" t="s">
        <v>8748</v>
      </c>
      <c r="F3655" s="3" t="s">
        <v>8749</v>
      </c>
      <c r="H3655" s="1" t="s">
        <v>5458</v>
      </c>
      <c r="I3655" s="10" t="str">
        <f>IF(H3655="T17",1,IF(H3655="T17",3,IF(H3655="T33",6,IF(H3655="T33",10,IF(H3655="T65",14,IF(H3655="T65",18,IF(H3655="T33",22,"")))))))</f>
        <v/>
      </c>
      <c r="J3655" s="3" t="s">
        <v>5447</v>
      </c>
      <c r="K3655" s="10">
        <v>1</v>
      </c>
      <c r="L3655" s="10">
        <v>1</v>
      </c>
      <c r="O3655" s="45">
        <v>30</v>
      </c>
      <c r="Q3655" s="42" t="s">
        <v>5491</v>
      </c>
      <c r="R3655" s="42"/>
      <c r="S3655" s="3"/>
    </row>
    <row r="3656" spans="1:19" ht="18.75" hidden="1" customHeight="1" x14ac:dyDescent="0.3">
      <c r="A3656" s="10">
        <v>3655</v>
      </c>
      <c r="B3656" s="10">
        <f>_xlfn.XLOOKUP(1,(VALUE(D3656)&gt;=VALUE(block!$C$3:$C$500))*(VALUE(D3656)&lt;VALUE(block!$C$3:$C$500)+VALUE(block!$D$3:$D$500)),block!$A$3:$A$500,"无匹配",0,1)</f>
        <v>102</v>
      </c>
      <c r="C3656" s="3" t="str">
        <f>B3656 &amp; "-" &amp; COUNTIF($B$2:B3656, B3656)</f>
        <v>102-3</v>
      </c>
      <c r="D3656" s="10">
        <v>4162</v>
      </c>
      <c r="E3656" s="3" t="s">
        <v>8750</v>
      </c>
      <c r="F3656" s="1" t="s">
        <v>8751</v>
      </c>
      <c r="H3656" s="1" t="s">
        <v>5458</v>
      </c>
      <c r="I3656" s="10" t="str">
        <f>IF(H3656="T18",1,IF(H3656="T18",3,IF(H3656="T34",6,IF(H3656="T34",10,IF(H3656="T66",14,IF(H3656="T66",18,IF(H3656="T34",22,"")))))))</f>
        <v/>
      </c>
      <c r="J3656" s="3" t="s">
        <v>5447</v>
      </c>
      <c r="K3656" s="10">
        <v>1</v>
      </c>
      <c r="L3656" s="10">
        <v>1</v>
      </c>
      <c r="O3656" s="45" t="s">
        <v>8746</v>
      </c>
      <c r="Q3656" s="42" t="s">
        <v>8752</v>
      </c>
      <c r="R3656" s="42"/>
      <c r="S3656" s="1"/>
    </row>
    <row r="3657" spans="1:19" ht="18.75" hidden="1" customHeight="1" x14ac:dyDescent="0.3">
      <c r="A3657" s="10">
        <v>3656</v>
      </c>
      <c r="B3657" s="10">
        <f>_xlfn.XLOOKUP(1,(VALUE(D3657)&gt;=VALUE(block!$C$3:$C$500))*(VALUE(D3657)&lt;VALUE(block!$C$3:$C$500)+VALUE(block!$D$3:$D$500)),block!$A$3:$A$500,"无匹配",0,1)</f>
        <v>102</v>
      </c>
      <c r="C3657" s="3" t="str">
        <f>B3657 &amp; "-" &amp; COUNTIF($B$2:B3657, B3657)</f>
        <v>102-4</v>
      </c>
      <c r="D3657" s="10">
        <v>4163</v>
      </c>
      <c r="E3657" s="1" t="s">
        <v>8753</v>
      </c>
      <c r="F3657" s="1" t="s">
        <v>8754</v>
      </c>
      <c r="H3657" s="1" t="s">
        <v>1838</v>
      </c>
      <c r="I3657" s="10" t="str">
        <f>IF(H3657="T19",1,IF(H3657="T19",3,IF(H3657="T35",6,IF(H3657="T35",10,IF(H3657="T67",14,IF(H3657="T67",18,IF(H3657="T35",22,"")))))))</f>
        <v/>
      </c>
      <c r="J3657" s="3" t="s">
        <v>5447</v>
      </c>
      <c r="K3657" s="10">
        <v>2</v>
      </c>
      <c r="L3657" s="10">
        <v>1</v>
      </c>
      <c r="O3657" s="6"/>
      <c r="S3657" s="1"/>
    </row>
    <row r="3658" spans="1:19" ht="18.75" hidden="1" customHeight="1" x14ac:dyDescent="0.3">
      <c r="A3658" s="10">
        <v>3657</v>
      </c>
      <c r="B3658" s="10">
        <f>_xlfn.XLOOKUP(1,(VALUE(D3658)&gt;=VALUE(block!$C$3:$C$500))*(VALUE(D3658)&lt;VALUE(block!$C$3:$C$500)+VALUE(block!$D$3:$D$500)),block!$A$3:$A$500,"无匹配",0,1)</f>
        <v>102</v>
      </c>
      <c r="C3658" s="3" t="str">
        <f>B3658 &amp; "-" &amp; COUNTIF($B$2:B3658, B3658)</f>
        <v>102-5</v>
      </c>
      <c r="D3658" s="10">
        <v>4165</v>
      </c>
      <c r="E3658" s="1" t="s">
        <v>8755</v>
      </c>
      <c r="F3658" s="1" t="s">
        <v>8756</v>
      </c>
      <c r="H3658" s="1" t="s">
        <v>5458</v>
      </c>
      <c r="I3658" s="10" t="str">
        <f>IF(H3658="T20",1,IF(H3658="T20",3,IF(H3658="T36",6,IF(H3658="T36",10,IF(H3658="T68",14,IF(H3658="T68",18,IF(H3658="T36",22,"")))))))</f>
        <v/>
      </c>
      <c r="J3658" s="3" t="s">
        <v>5447</v>
      </c>
      <c r="K3658" s="10">
        <v>1</v>
      </c>
      <c r="L3658" s="10">
        <v>1</v>
      </c>
      <c r="O3658" s="6"/>
      <c r="S3658" s="1"/>
    </row>
    <row r="3659" spans="1:19" ht="18.75" hidden="1" customHeight="1" x14ac:dyDescent="0.3">
      <c r="A3659" s="10">
        <v>3658</v>
      </c>
      <c r="B3659" s="10">
        <f>_xlfn.XLOOKUP(1,(VALUE(D3659)&gt;=VALUE(block!$C$3:$C$500))*(VALUE(D3659)&lt;VALUE(block!$C$3:$C$500)+VALUE(block!$D$3:$D$500)),block!$A$3:$A$500,"无匹配",0,1)</f>
        <v>103</v>
      </c>
      <c r="C3659" s="3" t="str">
        <f>B3659 &amp; "-" &amp; COUNTIF($B$2:B3659, B3659)</f>
        <v>103-1</v>
      </c>
      <c r="D3659" s="10">
        <v>4166</v>
      </c>
      <c r="E3659" s="3" t="s">
        <v>8757</v>
      </c>
      <c r="F3659" s="3" t="s">
        <v>8758</v>
      </c>
      <c r="H3659" s="1" t="s">
        <v>5458</v>
      </c>
      <c r="I3659" s="10" t="str">
        <f>IF(H3659="T21",1,IF(H3659="T21",3,IF(H3659="T37",6,IF(H3659="T37",10,IF(H3659="T69",14,IF(H3659="T69",18,IF(H3659="T37",22,"")))))))</f>
        <v/>
      </c>
      <c r="J3659" s="3" t="s">
        <v>5447</v>
      </c>
      <c r="K3659" s="10">
        <v>1</v>
      </c>
      <c r="L3659" s="10">
        <v>1</v>
      </c>
      <c r="O3659" s="6">
        <v>28</v>
      </c>
      <c r="Q3659" s="42" t="s">
        <v>8759</v>
      </c>
      <c r="R3659" s="42"/>
      <c r="S3659" s="3"/>
    </row>
    <row r="3660" spans="1:19" ht="18.75" hidden="1" customHeight="1" x14ac:dyDescent="0.3">
      <c r="A3660" s="10">
        <v>3659</v>
      </c>
      <c r="B3660" s="10">
        <f>_xlfn.XLOOKUP(1,(VALUE(D3660)&gt;=VALUE(block!$C$3:$C$500))*(VALUE(D3660)&lt;VALUE(block!$C$3:$C$500)+VALUE(block!$D$3:$D$500)),block!$A$3:$A$500,"无匹配",0,1)</f>
        <v>103</v>
      </c>
      <c r="C3660" s="3" t="str">
        <f>B3660 &amp; "-" &amp; COUNTIF($B$2:B3660, B3660)</f>
        <v>103-2</v>
      </c>
      <c r="D3660" s="10">
        <v>4167</v>
      </c>
      <c r="E3660" s="3" t="s">
        <v>8760</v>
      </c>
      <c r="F3660" s="1" t="s">
        <v>8761</v>
      </c>
      <c r="H3660" s="1" t="s">
        <v>5458</v>
      </c>
      <c r="I3660" s="10" t="str">
        <f>IF(H3660="T22",1,IF(H3660="T22",3,IF(H3660="T38",6,IF(H3660="T38",10,IF(H3660="T70",14,IF(H3660="T70",18,IF(H3660="T38",22,"")))))))</f>
        <v/>
      </c>
      <c r="J3660" s="3" t="s">
        <v>5447</v>
      </c>
      <c r="K3660" s="10">
        <v>1</v>
      </c>
      <c r="L3660" s="10">
        <v>1</v>
      </c>
      <c r="O3660" s="6">
        <v>28</v>
      </c>
      <c r="Q3660" s="42" t="s">
        <v>8762</v>
      </c>
      <c r="R3660" s="42"/>
      <c r="S3660" s="1"/>
    </row>
    <row r="3661" spans="1:19" ht="18.75" hidden="1" customHeight="1" x14ac:dyDescent="0.3">
      <c r="A3661" s="10">
        <v>3660</v>
      </c>
      <c r="B3661" s="10">
        <f>_xlfn.XLOOKUP(1,(VALUE(D3661)&gt;=VALUE(block!$C$3:$C$500))*(VALUE(D3661)&lt;VALUE(block!$C$3:$C$500)+VALUE(block!$D$3:$D$500)),block!$A$3:$A$500,"无匹配",0,1)</f>
        <v>103</v>
      </c>
      <c r="C3661" s="3" t="str">
        <f>B3661 &amp; "-" &amp; COUNTIF($B$2:B3661, B3661)</f>
        <v>103-3</v>
      </c>
      <c r="D3661" s="10">
        <v>4168</v>
      </c>
      <c r="E3661" s="1" t="s">
        <v>8763</v>
      </c>
      <c r="F3661" s="1" t="s">
        <v>8764</v>
      </c>
      <c r="H3661" s="1" t="s">
        <v>5458</v>
      </c>
      <c r="I3661" s="10" t="str">
        <f>IF(H3661="T23",1,IF(H3661="T23",3,IF(H3661="T39",6,IF(H3661="T39",10,IF(H3661="T71",14,IF(H3661="T71",18,IF(H3661="T39",22,"")))))))</f>
        <v/>
      </c>
      <c r="J3661" s="3" t="s">
        <v>5447</v>
      </c>
      <c r="K3661" s="10">
        <v>1</v>
      </c>
      <c r="L3661" s="10">
        <v>1</v>
      </c>
      <c r="O3661" s="6">
        <v>28</v>
      </c>
      <c r="Q3661" s="42" t="s">
        <v>8762</v>
      </c>
      <c r="R3661" s="42"/>
      <c r="S3661" s="1"/>
    </row>
    <row r="3662" spans="1:19" ht="18.75" hidden="1" customHeight="1" x14ac:dyDescent="0.3">
      <c r="A3662" s="10">
        <v>3661</v>
      </c>
      <c r="B3662" s="10">
        <f>_xlfn.XLOOKUP(1,(VALUE(D3662)&gt;=VALUE(block!$C$3:$C$500))*(VALUE(D3662)&lt;VALUE(block!$C$3:$C$500)+VALUE(block!$D$3:$D$500)),block!$A$3:$A$500,"无匹配",0,1)</f>
        <v>103</v>
      </c>
      <c r="C3662" s="3" t="str">
        <f>B3662 &amp; "-" &amp; COUNTIF($B$2:B3662, B3662)</f>
        <v>103-4</v>
      </c>
      <c r="D3662" s="10">
        <v>4169</v>
      </c>
      <c r="E3662" s="1" t="s">
        <v>8765</v>
      </c>
      <c r="F3662" s="1" t="s">
        <v>8766</v>
      </c>
      <c r="H3662" s="1" t="s">
        <v>5458</v>
      </c>
      <c r="I3662" s="10" t="str">
        <f>IF(H3662="T24",1,IF(H3662="T24",3,IF(H3662="T40",6,IF(H3662="T40",10,IF(H3662="T72",14,IF(H3662="T72",18,IF(H3662="T40",22,"")))))))</f>
        <v/>
      </c>
      <c r="J3662" s="3" t="s">
        <v>5447</v>
      </c>
      <c r="K3662" s="10">
        <v>1</v>
      </c>
      <c r="L3662" s="10">
        <v>1</v>
      </c>
      <c r="O3662" s="6">
        <v>28</v>
      </c>
      <c r="Q3662" s="70" t="s">
        <v>8767</v>
      </c>
      <c r="R3662" s="70"/>
      <c r="S3662" s="1"/>
    </row>
    <row r="3663" spans="1:19" ht="18.75" hidden="1" customHeight="1" x14ac:dyDescent="0.3">
      <c r="A3663" s="10">
        <v>3662</v>
      </c>
      <c r="B3663" s="10">
        <f>_xlfn.XLOOKUP(1,(VALUE(D3663)&gt;=VALUE(block!$C$3:$C$500))*(VALUE(D3663)&lt;VALUE(block!$C$3:$C$500)+VALUE(block!$D$3:$D$500)),block!$A$3:$A$500,"无匹配",0,1)</f>
        <v>103</v>
      </c>
      <c r="C3663" s="3" t="str">
        <f>B3663 &amp; "-" &amp; COUNTIF($B$2:B3663, B3663)</f>
        <v>103-5</v>
      </c>
      <c r="D3663" s="10">
        <v>4170</v>
      </c>
      <c r="E3663" s="3" t="s">
        <v>8768</v>
      </c>
      <c r="F3663" s="3" t="s">
        <v>8769</v>
      </c>
      <c r="H3663" s="1" t="s">
        <v>5458</v>
      </c>
      <c r="I3663" s="10" t="str">
        <f>IF(H3663="T25",1,IF(H3663="T25",3,IF(H3663="T41",6,IF(H3663="T41",10,IF(H3663="T73",14,IF(H3663="T73",18,IF(H3663="T41",22,"")))))))</f>
        <v/>
      </c>
      <c r="J3663" s="3" t="s">
        <v>5447</v>
      </c>
      <c r="K3663" s="10">
        <v>1</v>
      </c>
      <c r="L3663" s="10">
        <v>1</v>
      </c>
      <c r="O3663" s="6">
        <v>28</v>
      </c>
      <c r="Q3663" s="42" t="s">
        <v>8770</v>
      </c>
      <c r="R3663" s="42"/>
      <c r="S3663" s="3"/>
    </row>
    <row r="3664" spans="1:19" ht="18.75" hidden="1" customHeight="1" x14ac:dyDescent="0.3">
      <c r="A3664" s="10">
        <v>3663</v>
      </c>
      <c r="B3664" s="10">
        <f>_xlfn.XLOOKUP(1,(VALUE(D3664)&gt;=VALUE(block!$C$3:$C$500))*(VALUE(D3664)&lt;VALUE(block!$C$3:$C$500)+VALUE(block!$D$3:$D$500)),block!$A$3:$A$500,"无匹配",0,1)</f>
        <v>103</v>
      </c>
      <c r="C3664" s="3" t="str">
        <f>B3664 &amp; "-" &amp; COUNTIF($B$2:B3664, B3664)</f>
        <v>103-6</v>
      </c>
      <c r="D3664" s="10">
        <v>4171</v>
      </c>
      <c r="E3664" s="3" t="s">
        <v>8771</v>
      </c>
      <c r="F3664" s="1" t="s">
        <v>8772</v>
      </c>
      <c r="H3664" s="1" t="s">
        <v>5458</v>
      </c>
      <c r="I3664" s="10" t="str">
        <f>IF(H3664="T26",1,IF(H3664="T26",3,IF(H3664="T42",6,IF(H3664="T42",10,IF(H3664="T74",14,IF(H3664="T74",18,IF(H3664="T42",22,"")))))))</f>
        <v/>
      </c>
      <c r="J3664" s="3" t="s">
        <v>5447</v>
      </c>
      <c r="K3664" s="10">
        <v>1</v>
      </c>
      <c r="L3664" s="10">
        <v>1</v>
      </c>
      <c r="O3664" s="6">
        <v>28</v>
      </c>
      <c r="Q3664" s="42" t="s">
        <v>8759</v>
      </c>
      <c r="R3664" s="42"/>
      <c r="S3664" s="1"/>
    </row>
    <row r="3665" spans="1:19" ht="18.75" hidden="1" customHeight="1" x14ac:dyDescent="0.3">
      <c r="A3665" s="10">
        <v>3664</v>
      </c>
      <c r="B3665" s="10">
        <f>_xlfn.XLOOKUP(1,(VALUE(D3665)&gt;=VALUE(block!$C$3:$C$500))*(VALUE(D3665)&lt;VALUE(block!$C$3:$C$500)+VALUE(block!$D$3:$D$500)),block!$A$3:$A$500,"无匹配",0,1)</f>
        <v>103</v>
      </c>
      <c r="C3665" s="3" t="str">
        <f>B3665 &amp; "-" &amp; COUNTIF($B$2:B3665, B3665)</f>
        <v>103-7</v>
      </c>
      <c r="D3665" s="10">
        <v>4172</v>
      </c>
      <c r="E3665" s="1" t="s">
        <v>8773</v>
      </c>
      <c r="F3665" s="1" t="s">
        <v>8774</v>
      </c>
      <c r="H3665" s="1" t="s">
        <v>5458</v>
      </c>
      <c r="I3665" s="10" t="str">
        <f>IF(H3665="T27",1,IF(H3665="T27",3,IF(H3665="T43",6,IF(H3665="T43",10,IF(H3665="T75",14,IF(H3665="T75",18,IF(H3665="T43",22,"")))))))</f>
        <v/>
      </c>
      <c r="J3665" s="3" t="s">
        <v>5447</v>
      </c>
      <c r="K3665" s="10">
        <v>1</v>
      </c>
      <c r="L3665" s="10">
        <v>1</v>
      </c>
      <c r="O3665" s="6">
        <v>28</v>
      </c>
      <c r="Q3665" s="42" t="s">
        <v>8762</v>
      </c>
      <c r="R3665" s="42"/>
      <c r="S3665" s="1"/>
    </row>
    <row r="3666" spans="1:19" ht="18.75" hidden="1" customHeight="1" x14ac:dyDescent="0.3">
      <c r="A3666" s="10">
        <v>3665</v>
      </c>
      <c r="B3666" s="10">
        <f>_xlfn.XLOOKUP(1,(VALUE(D3666)&gt;=VALUE(block!$C$3:$C$500))*(VALUE(D3666)&lt;VALUE(block!$C$3:$C$500)+VALUE(block!$D$3:$D$500)),block!$A$3:$A$500,"无匹配",0,1)</f>
        <v>103</v>
      </c>
      <c r="C3666" s="3" t="str">
        <f>B3666 &amp; "-" &amp; COUNTIF($B$2:B3666, B3666)</f>
        <v>103-8</v>
      </c>
      <c r="D3666" s="10">
        <v>4173</v>
      </c>
      <c r="E3666" s="1" t="s">
        <v>8775</v>
      </c>
      <c r="F3666" s="3" t="s">
        <v>8776</v>
      </c>
      <c r="H3666" s="1" t="s">
        <v>5458</v>
      </c>
      <c r="I3666" s="10" t="str">
        <f>IF(H3666="T28",1,IF(H3666="T28",3,IF(H3666="T44",6,IF(H3666="T44",10,IF(H3666="T76",14,IF(H3666="T76",18,IF(H3666="T44",22,"")))))))</f>
        <v/>
      </c>
      <c r="J3666" s="3" t="s">
        <v>5447</v>
      </c>
      <c r="K3666" s="10">
        <v>1</v>
      </c>
      <c r="L3666" s="10">
        <v>1</v>
      </c>
      <c r="O3666" s="6">
        <v>28</v>
      </c>
      <c r="Q3666" s="42" t="s">
        <v>8762</v>
      </c>
      <c r="R3666" s="42"/>
      <c r="S3666" s="3"/>
    </row>
    <row r="3667" spans="1:19" ht="18.75" hidden="1" customHeight="1" x14ac:dyDescent="0.3">
      <c r="A3667" s="10">
        <v>3666</v>
      </c>
      <c r="B3667" s="10">
        <f>_xlfn.XLOOKUP(1,(VALUE(D3667)&gt;=VALUE(block!$C$3:$C$500))*(VALUE(D3667)&lt;VALUE(block!$C$3:$C$500)+VALUE(block!$D$3:$D$500)),block!$A$3:$A$500,"无匹配",0,1)</f>
        <v>103</v>
      </c>
      <c r="C3667" s="3" t="str">
        <f>B3667 &amp; "-" &amp; COUNTIF($B$2:B3667, B3667)</f>
        <v>103-9</v>
      </c>
      <c r="D3667" s="10">
        <v>4174</v>
      </c>
      <c r="E3667" s="1" t="s">
        <v>8777</v>
      </c>
      <c r="F3667" s="1" t="s">
        <v>8778</v>
      </c>
      <c r="H3667" s="1" t="s">
        <v>5458</v>
      </c>
      <c r="I3667" s="10" t="str">
        <f>IF(H3667="T29",1,IF(H3667="T29",3,IF(H3667="T45",6,IF(H3667="T45",10,IF(H3667="T77",14,IF(H3667="T77",18,IF(H3667="T45",22,"")))))))</f>
        <v/>
      </c>
      <c r="J3667" s="3" t="s">
        <v>5447</v>
      </c>
      <c r="K3667" s="10">
        <v>1</v>
      </c>
      <c r="L3667" s="10">
        <v>1</v>
      </c>
      <c r="O3667" s="6">
        <v>28</v>
      </c>
      <c r="Q3667" s="70" t="s">
        <v>8767</v>
      </c>
      <c r="R3667" s="70"/>
      <c r="S3667" s="1"/>
    </row>
    <row r="3668" spans="1:19" ht="18.75" hidden="1" customHeight="1" x14ac:dyDescent="0.3">
      <c r="A3668" s="10">
        <v>3667</v>
      </c>
      <c r="B3668" s="10">
        <f>_xlfn.XLOOKUP(1,(VALUE(D3668)&gt;=VALUE(block!$C$3:$C$500))*(VALUE(D3668)&lt;VALUE(block!$C$3:$C$500)+VALUE(block!$D$3:$D$500)),block!$A$3:$A$500,"无匹配",0,1)</f>
        <v>103</v>
      </c>
      <c r="C3668" s="3" t="str">
        <f>B3668 &amp; "-" &amp; COUNTIF($B$2:B3668, B3668)</f>
        <v>103-10</v>
      </c>
      <c r="D3668" s="10">
        <v>4175</v>
      </c>
      <c r="E3668" s="3" t="s">
        <v>8779</v>
      </c>
      <c r="F3668" s="1" t="s">
        <v>8780</v>
      </c>
      <c r="H3668" s="1" t="s">
        <v>5458</v>
      </c>
      <c r="I3668" s="10" t="str">
        <f>IF(H3668="T30",1,IF(H3668="T30",3,IF(H3668="T46",6,IF(H3668="T46",10,IF(H3668="T78",14,IF(H3668="T78",18,IF(H3668="T46",22,"")))))))</f>
        <v/>
      </c>
      <c r="J3668" s="3" t="s">
        <v>5447</v>
      </c>
      <c r="K3668" s="10">
        <v>1</v>
      </c>
      <c r="L3668" s="10">
        <v>1</v>
      </c>
      <c r="O3668" s="6">
        <v>28</v>
      </c>
      <c r="Q3668" s="42" t="s">
        <v>8770</v>
      </c>
      <c r="R3668" s="42"/>
      <c r="S3668" s="1"/>
    </row>
    <row r="3669" spans="1:19" ht="18.75" hidden="1" customHeight="1" x14ac:dyDescent="0.3">
      <c r="A3669" s="10">
        <v>3668</v>
      </c>
      <c r="B3669" s="10">
        <f>_xlfn.XLOOKUP(1,(VALUE(D3669)&gt;=VALUE(block!$C$3:$C$500))*(VALUE(D3669)&lt;VALUE(block!$C$3:$C$500)+VALUE(block!$D$3:$D$500)),block!$A$3:$A$500,"无匹配",0,1)</f>
        <v>103</v>
      </c>
      <c r="C3669" s="3" t="str">
        <f>B3669 &amp; "-" &amp; COUNTIF($B$2:B3669, B3669)</f>
        <v>103-11</v>
      </c>
      <c r="D3669" s="10">
        <v>4176</v>
      </c>
      <c r="E3669" s="1" t="s">
        <v>8781</v>
      </c>
      <c r="F3669" s="1" t="s">
        <v>8782</v>
      </c>
      <c r="H3669" s="1" t="s">
        <v>5458</v>
      </c>
      <c r="I3669" s="10" t="str">
        <f>IF(H3669="T31",1,IF(H3669="T31",3,IF(H3669="T47",6,IF(H3669="T47",10,IF(H3669="T79",14,IF(H3669="T79",18,IF(H3669="T47",22,"")))))))</f>
        <v/>
      </c>
      <c r="J3669" s="3" t="s">
        <v>5447</v>
      </c>
      <c r="K3669" s="10">
        <v>1</v>
      </c>
      <c r="L3669" s="10">
        <v>1</v>
      </c>
      <c r="O3669" s="6">
        <v>28</v>
      </c>
      <c r="Q3669" s="42" t="s">
        <v>8759</v>
      </c>
      <c r="R3669" s="42"/>
      <c r="S3669" s="1"/>
    </row>
    <row r="3670" spans="1:19" ht="18.75" hidden="1" customHeight="1" x14ac:dyDescent="0.3">
      <c r="A3670" s="10">
        <v>3669</v>
      </c>
      <c r="B3670" s="10">
        <f>_xlfn.XLOOKUP(1,(VALUE(D3670)&gt;=VALUE(block!$C$3:$C$500))*(VALUE(D3670)&lt;VALUE(block!$C$3:$C$500)+VALUE(block!$D$3:$D$500)),block!$A$3:$A$500,"无匹配",0,1)</f>
        <v>103</v>
      </c>
      <c r="C3670" s="3" t="str">
        <f>B3670 &amp; "-" &amp; COUNTIF($B$2:B3670, B3670)</f>
        <v>103-12</v>
      </c>
      <c r="D3670" s="10">
        <v>4177</v>
      </c>
      <c r="E3670" s="1" t="s">
        <v>8783</v>
      </c>
      <c r="F3670" s="1" t="s">
        <v>8784</v>
      </c>
      <c r="H3670" s="1" t="s">
        <v>5458</v>
      </c>
      <c r="I3670" s="10" t="str">
        <f>IF(H3670="T32",1,IF(H3670="T32",3,IF(H3670="T48",6,IF(H3670="T48",10,IF(H3670="T80",14,IF(H3670="T80",18,IF(H3670="T48",22,"")))))))</f>
        <v/>
      </c>
      <c r="J3670" s="3" t="s">
        <v>5447</v>
      </c>
      <c r="K3670" s="10">
        <v>1</v>
      </c>
      <c r="L3670" s="10">
        <v>1</v>
      </c>
      <c r="O3670" s="6">
        <v>28</v>
      </c>
      <c r="Q3670" s="42" t="s">
        <v>8762</v>
      </c>
      <c r="R3670" s="42"/>
      <c r="S3670" s="1"/>
    </row>
    <row r="3671" spans="1:19" ht="18.75" hidden="1" customHeight="1" x14ac:dyDescent="0.3">
      <c r="A3671" s="10">
        <v>3670</v>
      </c>
      <c r="B3671" s="10">
        <f>_xlfn.XLOOKUP(1,(VALUE(D3671)&gt;=VALUE(block!$C$3:$C$500))*(VALUE(D3671)&lt;VALUE(block!$C$3:$C$500)+VALUE(block!$D$3:$D$500)),block!$A$3:$A$500,"无匹配",0,1)</f>
        <v>103</v>
      </c>
      <c r="C3671" s="3" t="str">
        <f>B3671 &amp; "-" &amp; COUNTIF($B$2:B3671, B3671)</f>
        <v>103-13</v>
      </c>
      <c r="D3671" s="10">
        <v>4178</v>
      </c>
      <c r="E3671" s="1" t="s">
        <v>8785</v>
      </c>
      <c r="F3671" s="1" t="s">
        <v>8786</v>
      </c>
      <c r="H3671" s="1" t="s">
        <v>5458</v>
      </c>
      <c r="I3671" s="10" t="str">
        <f>IF(H3671="T33",1,IF(H3671="T33",3,IF(H3671="T49",6,IF(H3671="T49",10,IF(H3671="T81",14,IF(H3671="T81",18,IF(H3671="T49",22,"")))))))</f>
        <v/>
      </c>
      <c r="J3671" s="3" t="s">
        <v>5447</v>
      </c>
      <c r="K3671" s="10">
        <v>1</v>
      </c>
      <c r="L3671" s="10">
        <v>1</v>
      </c>
      <c r="O3671" s="6">
        <v>28</v>
      </c>
      <c r="Q3671" s="42" t="s">
        <v>8762</v>
      </c>
      <c r="R3671" s="42"/>
      <c r="S3671" s="1"/>
    </row>
    <row r="3672" spans="1:19" ht="18.75" hidden="1" customHeight="1" x14ac:dyDescent="0.3">
      <c r="A3672" s="10">
        <v>3671</v>
      </c>
      <c r="B3672" s="10">
        <f>_xlfn.XLOOKUP(1,(VALUE(D3672)&gt;=VALUE(block!$C$3:$C$500))*(VALUE(D3672)&lt;VALUE(block!$C$3:$C$500)+VALUE(block!$D$3:$D$500)),block!$A$3:$A$500,"无匹配",0,1)</f>
        <v>103</v>
      </c>
      <c r="C3672" s="3" t="str">
        <f>B3672 &amp; "-" &amp; COUNTIF($B$2:B3672, B3672)</f>
        <v>103-14</v>
      </c>
      <c r="D3672" s="10">
        <v>4179</v>
      </c>
      <c r="E3672" s="1" t="s">
        <v>8787</v>
      </c>
      <c r="F3672" s="1" t="s">
        <v>8788</v>
      </c>
      <c r="H3672" s="1" t="s">
        <v>5458</v>
      </c>
      <c r="I3672" s="10" t="str">
        <f>IF(H3672="T34",1,IF(H3672="T34",3,IF(H3672="T50",6,IF(H3672="T50",10,IF(H3672="T82",14,IF(H3672="T82",18,IF(H3672="T50",22,"")))))))</f>
        <v/>
      </c>
      <c r="J3672" s="3" t="s">
        <v>5447</v>
      </c>
      <c r="K3672" s="10">
        <v>1</v>
      </c>
      <c r="L3672" s="10">
        <v>1</v>
      </c>
      <c r="O3672" s="6">
        <v>28</v>
      </c>
      <c r="Q3672" s="70" t="s">
        <v>8767</v>
      </c>
      <c r="R3672" s="70"/>
      <c r="S3672" s="1"/>
    </row>
    <row r="3673" spans="1:19" ht="18.75" hidden="1" customHeight="1" x14ac:dyDescent="0.3">
      <c r="A3673" s="10">
        <v>3672</v>
      </c>
      <c r="B3673" s="10">
        <f>_xlfn.XLOOKUP(1,(VALUE(D3673)&gt;=VALUE(block!$C$3:$C$500))*(VALUE(D3673)&lt;VALUE(block!$C$3:$C$500)+VALUE(block!$D$3:$D$500)),block!$A$3:$A$500,"无匹配",0,1)</f>
        <v>103</v>
      </c>
      <c r="C3673" s="3" t="str">
        <f>B3673 &amp; "-" &amp; COUNTIF($B$2:B3673, B3673)</f>
        <v>103-15</v>
      </c>
      <c r="D3673" s="10">
        <v>4180</v>
      </c>
      <c r="E3673" s="1" t="s">
        <v>8789</v>
      </c>
      <c r="F3673" s="1" t="s">
        <v>8790</v>
      </c>
      <c r="H3673" s="1" t="s">
        <v>5458</v>
      </c>
      <c r="I3673" s="10" t="str">
        <f>IF(H3673="T35",1,IF(H3673="T35",3,IF(H3673="T51",6,IF(H3673="T51",10,IF(H3673="T83",14,IF(H3673="T83",18,IF(H3673="T51",22,"")))))))</f>
        <v/>
      </c>
      <c r="J3673" s="3" t="s">
        <v>5447</v>
      </c>
      <c r="K3673" s="10">
        <v>1</v>
      </c>
      <c r="L3673" s="10">
        <v>1</v>
      </c>
      <c r="O3673" s="6">
        <v>28</v>
      </c>
      <c r="Q3673" s="42" t="s">
        <v>8770</v>
      </c>
      <c r="R3673" s="42"/>
      <c r="S3673" s="1"/>
    </row>
    <row r="3674" spans="1:19" ht="18.75" hidden="1" customHeight="1" x14ac:dyDescent="0.3">
      <c r="A3674" s="10">
        <v>3673</v>
      </c>
      <c r="B3674" s="10">
        <f>_xlfn.XLOOKUP(1,(VALUE(D3674)&gt;=VALUE(block!$C$3:$C$500))*(VALUE(D3674)&lt;VALUE(block!$C$3:$C$500)+VALUE(block!$D$3:$D$500)),block!$A$3:$A$500,"无匹配",0,1)</f>
        <v>103</v>
      </c>
      <c r="C3674" s="3" t="str">
        <f>B3674 &amp; "-" &amp; COUNTIF($B$2:B3674, B3674)</f>
        <v>103-16</v>
      </c>
      <c r="D3674" s="10">
        <v>4181</v>
      </c>
      <c r="E3674" s="1" t="s">
        <v>8791</v>
      </c>
      <c r="F3674" s="1" t="s">
        <v>8792</v>
      </c>
      <c r="H3674" s="1" t="s">
        <v>5458</v>
      </c>
      <c r="I3674" s="10" t="str">
        <f>IF(H3674="T36",1,IF(H3674="T36",3,IF(H3674="T52",6,IF(H3674="T52",10,IF(H3674="T84",14,IF(H3674="T84",18,IF(H3674="T52",22,"")))))))</f>
        <v/>
      </c>
      <c r="J3674" s="3" t="s">
        <v>5447</v>
      </c>
      <c r="K3674" s="10">
        <v>1</v>
      </c>
      <c r="L3674" s="10">
        <v>1</v>
      </c>
      <c r="O3674" s="6">
        <v>28</v>
      </c>
      <c r="Q3674" s="42" t="s">
        <v>8759</v>
      </c>
      <c r="R3674" s="42"/>
      <c r="S3674" s="1"/>
    </row>
    <row r="3675" spans="1:19" ht="18.75" hidden="1" customHeight="1" x14ac:dyDescent="0.3">
      <c r="A3675" s="10">
        <v>3674</v>
      </c>
      <c r="B3675" s="10">
        <f>_xlfn.XLOOKUP(1,(VALUE(D3675)&gt;=VALUE(block!$C$3:$C$500))*(VALUE(D3675)&lt;VALUE(block!$C$3:$C$500)+VALUE(block!$D$3:$D$500)),block!$A$3:$A$500,"无匹配",0,1)</f>
        <v>103</v>
      </c>
      <c r="C3675" s="3" t="str">
        <f>B3675 &amp; "-" &amp; COUNTIF($B$2:B3675, B3675)</f>
        <v>103-17</v>
      </c>
      <c r="D3675" s="10">
        <v>4182</v>
      </c>
      <c r="E3675" s="1" t="s">
        <v>8793</v>
      </c>
      <c r="F3675" s="1" t="s">
        <v>8794</v>
      </c>
      <c r="H3675" s="1" t="s">
        <v>5458</v>
      </c>
      <c r="I3675" s="10" t="str">
        <f>IF(H3675="T37",1,IF(H3675="T37",3,IF(H3675="T53",6,IF(H3675="T53",10,IF(H3675="T85",14,IF(H3675="T85",18,IF(H3675="T53",22,"")))))))</f>
        <v/>
      </c>
      <c r="J3675" s="3" t="s">
        <v>5447</v>
      </c>
      <c r="K3675" s="10">
        <v>1</v>
      </c>
      <c r="L3675" s="10">
        <v>1</v>
      </c>
      <c r="O3675" s="6">
        <v>28</v>
      </c>
      <c r="Q3675" s="42" t="s">
        <v>8762</v>
      </c>
      <c r="R3675" s="42"/>
      <c r="S3675" s="1"/>
    </row>
    <row r="3676" spans="1:19" ht="18.75" hidden="1" customHeight="1" x14ac:dyDescent="0.3">
      <c r="A3676" s="10">
        <v>3675</v>
      </c>
      <c r="B3676" s="10">
        <f>_xlfn.XLOOKUP(1,(VALUE(D3676)&gt;=VALUE(block!$C$3:$C$500))*(VALUE(D3676)&lt;VALUE(block!$C$3:$C$500)+VALUE(block!$D$3:$D$500)),block!$A$3:$A$500,"无匹配",0,1)</f>
        <v>103</v>
      </c>
      <c r="C3676" s="3" t="str">
        <f>B3676 &amp; "-" &amp; COUNTIF($B$2:B3676, B3676)</f>
        <v>103-18</v>
      </c>
      <c r="D3676" s="10">
        <v>4183</v>
      </c>
      <c r="E3676" s="1" t="s">
        <v>8795</v>
      </c>
      <c r="F3676" s="1" t="s">
        <v>8796</v>
      </c>
      <c r="H3676" s="1" t="s">
        <v>5458</v>
      </c>
      <c r="I3676" s="10" t="str">
        <f>IF(H3676="T38",1,IF(H3676="T38",3,IF(H3676="T54",6,IF(H3676="T54",10,IF(H3676="T86",14,IF(H3676="T86",18,IF(H3676="T54",22,"")))))))</f>
        <v/>
      </c>
      <c r="J3676" s="3" t="s">
        <v>5447</v>
      </c>
      <c r="K3676" s="10">
        <v>1</v>
      </c>
      <c r="L3676" s="10">
        <v>1</v>
      </c>
      <c r="O3676" s="6">
        <v>28</v>
      </c>
      <c r="Q3676" s="42" t="s">
        <v>8762</v>
      </c>
      <c r="R3676" s="42"/>
      <c r="S3676" s="1"/>
    </row>
    <row r="3677" spans="1:19" ht="18.75" hidden="1" customHeight="1" x14ac:dyDescent="0.3">
      <c r="A3677" s="10">
        <v>3676</v>
      </c>
      <c r="B3677" s="10">
        <f>_xlfn.XLOOKUP(1,(VALUE(D3677)&gt;=VALUE(block!$C$3:$C$500))*(VALUE(D3677)&lt;VALUE(block!$C$3:$C$500)+VALUE(block!$D$3:$D$500)),block!$A$3:$A$500,"无匹配",0,1)</f>
        <v>103</v>
      </c>
      <c r="C3677" s="3" t="str">
        <f>B3677 &amp; "-" &amp; COUNTIF($B$2:B3677, B3677)</f>
        <v>103-19</v>
      </c>
      <c r="D3677" s="10">
        <v>4184</v>
      </c>
      <c r="E3677" s="1" t="s">
        <v>8797</v>
      </c>
      <c r="F3677" s="1" t="s">
        <v>8798</v>
      </c>
      <c r="H3677" s="1" t="s">
        <v>5458</v>
      </c>
      <c r="I3677" s="10" t="str">
        <f>IF(H3677="T39",1,IF(H3677="T39",3,IF(H3677="T55",6,IF(H3677="T55",10,IF(H3677="T87",14,IF(H3677="T87",18,IF(H3677="T55",22,"")))))))</f>
        <v/>
      </c>
      <c r="J3677" s="3" t="s">
        <v>5447</v>
      </c>
      <c r="K3677" s="10">
        <v>1</v>
      </c>
      <c r="L3677" s="10">
        <v>1</v>
      </c>
      <c r="O3677" s="6">
        <v>28</v>
      </c>
      <c r="Q3677" s="70" t="s">
        <v>8767</v>
      </c>
      <c r="R3677" s="70"/>
      <c r="S3677" s="1"/>
    </row>
    <row r="3678" spans="1:19" ht="18.75" hidden="1" customHeight="1" x14ac:dyDescent="0.3">
      <c r="A3678" s="10">
        <v>3677</v>
      </c>
      <c r="B3678" s="10">
        <f>_xlfn.XLOOKUP(1,(VALUE(D3678)&gt;=VALUE(block!$C$3:$C$500))*(VALUE(D3678)&lt;VALUE(block!$C$3:$C$500)+VALUE(block!$D$3:$D$500)),block!$A$3:$A$500,"无匹配",0,1)</f>
        <v>103</v>
      </c>
      <c r="C3678" s="3" t="str">
        <f>B3678 &amp; "-" &amp; COUNTIF($B$2:B3678, B3678)</f>
        <v>103-20</v>
      </c>
      <c r="D3678" s="10">
        <v>4185</v>
      </c>
      <c r="E3678" s="1" t="s">
        <v>8799</v>
      </c>
      <c r="F3678" s="1" t="s">
        <v>8800</v>
      </c>
      <c r="H3678" s="1" t="s">
        <v>5458</v>
      </c>
      <c r="I3678" s="10" t="str">
        <f>IF(H3678="T40",1,IF(H3678="T40",3,IF(H3678="T56",6,IF(H3678="T56",10,IF(H3678="T88",14,IF(H3678="T88",18,IF(H3678="T56",22,"")))))))</f>
        <v/>
      </c>
      <c r="J3678" s="3" t="s">
        <v>5447</v>
      </c>
      <c r="K3678" s="10">
        <v>1</v>
      </c>
      <c r="L3678" s="10">
        <v>1</v>
      </c>
      <c r="O3678" s="6">
        <v>28</v>
      </c>
      <c r="Q3678" s="42" t="s">
        <v>8770</v>
      </c>
      <c r="R3678" s="42"/>
      <c r="S3678" s="1"/>
    </row>
    <row r="3679" spans="1:19" ht="18.75" hidden="1" customHeight="1" x14ac:dyDescent="0.3">
      <c r="A3679" s="10">
        <v>3678</v>
      </c>
      <c r="B3679" s="10">
        <f>_xlfn.XLOOKUP(1,(VALUE(D3679)&gt;=VALUE(block!$C$3:$C$500))*(VALUE(D3679)&lt;VALUE(block!$C$3:$C$500)+VALUE(block!$D$3:$D$500)),block!$A$3:$A$500,"无匹配",0,1)</f>
        <v>103</v>
      </c>
      <c r="C3679" s="3" t="str">
        <f>B3679 &amp; "-" &amp; COUNTIF($B$2:B3679, B3679)</f>
        <v>103-21</v>
      </c>
      <c r="D3679" s="10">
        <v>4186</v>
      </c>
      <c r="E3679" s="1" t="s">
        <v>8801</v>
      </c>
      <c r="F3679" s="1" t="s">
        <v>8802</v>
      </c>
      <c r="H3679" s="1" t="s">
        <v>5458</v>
      </c>
      <c r="I3679" s="10" t="str">
        <f>IF(H3679="T41",1,IF(H3679="T41",3,IF(H3679="T57",6,IF(H3679="T57",10,IF(H3679="T89",14,IF(H3679="T89",18,IF(H3679="T57",22,"")))))))</f>
        <v/>
      </c>
      <c r="J3679" s="3" t="s">
        <v>5447</v>
      </c>
      <c r="K3679" s="10">
        <v>1</v>
      </c>
      <c r="L3679" s="10">
        <v>1</v>
      </c>
      <c r="O3679" s="6">
        <v>28</v>
      </c>
      <c r="Q3679" s="42" t="s">
        <v>8759</v>
      </c>
      <c r="R3679" s="42"/>
      <c r="S3679" s="1"/>
    </row>
    <row r="3680" spans="1:19" ht="18.75" hidden="1" customHeight="1" x14ac:dyDescent="0.3">
      <c r="A3680" s="10">
        <v>3679</v>
      </c>
      <c r="B3680" s="10">
        <f>_xlfn.XLOOKUP(1,(VALUE(D3680)&gt;=VALUE(block!$C$3:$C$500))*(VALUE(D3680)&lt;VALUE(block!$C$3:$C$500)+VALUE(block!$D$3:$D$500)),block!$A$3:$A$500,"无匹配",0,1)</f>
        <v>103</v>
      </c>
      <c r="C3680" s="3" t="str">
        <f>B3680 &amp; "-" &amp; COUNTIF($B$2:B3680, B3680)</f>
        <v>103-22</v>
      </c>
      <c r="D3680" s="10">
        <v>4187</v>
      </c>
      <c r="E3680" s="3" t="s">
        <v>8803</v>
      </c>
      <c r="F3680" s="1" t="s">
        <v>8804</v>
      </c>
      <c r="H3680" s="1" t="s">
        <v>5458</v>
      </c>
      <c r="I3680" s="10" t="str">
        <f>IF(H3680="T42",1,IF(H3680="T42",3,IF(H3680="T58",6,IF(H3680="T58",10,IF(H3680="T90",14,IF(H3680="T90",18,IF(H3680="T58",22,"")))))))</f>
        <v/>
      </c>
      <c r="J3680" s="3" t="s">
        <v>5447</v>
      </c>
      <c r="K3680" s="10">
        <v>1</v>
      </c>
      <c r="L3680" s="10">
        <v>1</v>
      </c>
      <c r="O3680" s="6">
        <v>28</v>
      </c>
      <c r="Q3680" s="42" t="s">
        <v>8762</v>
      </c>
      <c r="R3680" s="42"/>
      <c r="S3680" s="1"/>
    </row>
    <row r="3681" spans="1:19" ht="18.75" hidden="1" customHeight="1" x14ac:dyDescent="0.3">
      <c r="A3681" s="10">
        <v>3680</v>
      </c>
      <c r="B3681" s="10">
        <f>_xlfn.XLOOKUP(1,(VALUE(D3681)&gt;=VALUE(block!$C$3:$C$500))*(VALUE(D3681)&lt;VALUE(block!$C$3:$C$500)+VALUE(block!$D$3:$D$500)),block!$A$3:$A$500,"无匹配",0,1)</f>
        <v>103</v>
      </c>
      <c r="C3681" s="3" t="str">
        <f>B3681 &amp; "-" &amp; COUNTIF($B$2:B3681, B3681)</f>
        <v>103-23</v>
      </c>
      <c r="D3681" s="10">
        <v>4188</v>
      </c>
      <c r="E3681" s="1" t="s">
        <v>8805</v>
      </c>
      <c r="F3681" s="1" t="s">
        <v>8806</v>
      </c>
      <c r="H3681" s="1" t="s">
        <v>5458</v>
      </c>
      <c r="I3681" s="10" t="str">
        <f>IF(H3681="T43",1,IF(H3681="T43",3,IF(H3681="T59",6,IF(H3681="T59",10,IF(H3681="T91",14,IF(H3681="T91",18,IF(H3681="T59",22,"")))))))</f>
        <v/>
      </c>
      <c r="J3681" s="3" t="s">
        <v>5447</v>
      </c>
      <c r="K3681" s="10">
        <v>1</v>
      </c>
      <c r="L3681" s="10">
        <v>1</v>
      </c>
      <c r="O3681" s="6">
        <v>28</v>
      </c>
      <c r="Q3681" s="42" t="s">
        <v>8762</v>
      </c>
      <c r="R3681" s="42"/>
      <c r="S3681" s="1"/>
    </row>
    <row r="3682" spans="1:19" ht="18.75" hidden="1" customHeight="1" x14ac:dyDescent="0.3">
      <c r="A3682" s="10">
        <v>3681</v>
      </c>
      <c r="B3682" s="10">
        <f>_xlfn.XLOOKUP(1,(VALUE(D3682)&gt;=VALUE(block!$C$3:$C$500))*(VALUE(D3682)&lt;VALUE(block!$C$3:$C$500)+VALUE(block!$D$3:$D$500)),block!$A$3:$A$500,"无匹配",0,1)</f>
        <v>103</v>
      </c>
      <c r="C3682" s="3" t="str">
        <f>B3682 &amp; "-" &amp; COUNTIF($B$2:B3682, B3682)</f>
        <v>103-24</v>
      </c>
      <c r="D3682" s="10">
        <v>4189</v>
      </c>
      <c r="E3682" s="1" t="s">
        <v>8807</v>
      </c>
      <c r="F3682" s="1" t="s">
        <v>8808</v>
      </c>
      <c r="H3682" s="1" t="s">
        <v>5458</v>
      </c>
      <c r="I3682" s="10" t="str">
        <f>IF(H3682="T44",1,IF(H3682="T44",3,IF(H3682="T60",6,IF(H3682="T60",10,IF(H3682="T92",14,IF(H3682="T92",18,IF(H3682="T60",22,"")))))))</f>
        <v/>
      </c>
      <c r="J3682" s="3" t="s">
        <v>5447</v>
      </c>
      <c r="K3682" s="10">
        <v>1</v>
      </c>
      <c r="L3682" s="10">
        <v>1</v>
      </c>
      <c r="O3682" s="6">
        <v>28</v>
      </c>
      <c r="Q3682" s="70" t="s">
        <v>8767</v>
      </c>
      <c r="R3682" s="70"/>
      <c r="S3682" s="1"/>
    </row>
    <row r="3683" spans="1:19" ht="18.75" hidden="1" customHeight="1" x14ac:dyDescent="0.3">
      <c r="A3683" s="10">
        <v>3682</v>
      </c>
      <c r="B3683" s="10">
        <f>_xlfn.XLOOKUP(1,(VALUE(D3683)&gt;=VALUE(block!$C$3:$C$500))*(VALUE(D3683)&lt;VALUE(block!$C$3:$C$500)+VALUE(block!$D$3:$D$500)),block!$A$3:$A$500,"无匹配",0,1)</f>
        <v>103</v>
      </c>
      <c r="C3683" s="3" t="str">
        <f>B3683 &amp; "-" &amp; COUNTIF($B$2:B3683, B3683)</f>
        <v>103-25</v>
      </c>
      <c r="D3683" s="10">
        <v>4190</v>
      </c>
      <c r="E3683" s="1" t="s">
        <v>8809</v>
      </c>
      <c r="F3683" s="3" t="s">
        <v>8810</v>
      </c>
      <c r="H3683" s="1" t="s">
        <v>5458</v>
      </c>
      <c r="I3683" s="10" t="str">
        <f>IF(H3683="T45",1,IF(H3683="T45",3,IF(H3683="T61",6,IF(H3683="T61",10,IF(H3683="T93",14,IF(H3683="T93",18,IF(H3683="T61",22,"")))))))</f>
        <v/>
      </c>
      <c r="J3683" s="3" t="s">
        <v>5447</v>
      </c>
      <c r="K3683" s="10">
        <v>1</v>
      </c>
      <c r="L3683" s="10">
        <v>1</v>
      </c>
      <c r="O3683" s="6">
        <v>28</v>
      </c>
      <c r="Q3683" s="42" t="s">
        <v>8770</v>
      </c>
      <c r="R3683" s="42"/>
      <c r="S3683" s="3"/>
    </row>
    <row r="3684" spans="1:19" ht="18.75" hidden="1" customHeight="1" x14ac:dyDescent="0.3">
      <c r="A3684" s="10">
        <v>3683</v>
      </c>
      <c r="B3684" s="10">
        <f>_xlfn.XLOOKUP(1,(VALUE(D3684)&gt;=VALUE(block!$C$3:$C$500))*(VALUE(D3684)&lt;VALUE(block!$C$3:$C$500)+VALUE(block!$D$3:$D$500)),block!$A$3:$A$500,"无匹配",0,1)</f>
        <v>103</v>
      </c>
      <c r="C3684" s="3" t="str">
        <f>B3684 &amp; "-" &amp; COUNTIF($B$2:B3684, B3684)</f>
        <v>103-26</v>
      </c>
      <c r="D3684" s="10">
        <v>4191</v>
      </c>
      <c r="E3684" s="1" t="s">
        <v>8811</v>
      </c>
      <c r="F3684" s="1" t="s">
        <v>8812</v>
      </c>
      <c r="H3684" s="1" t="s">
        <v>5458</v>
      </c>
      <c r="I3684" s="10" t="str">
        <f>IF(H3684="T46",1,IF(H3684="T46",3,IF(H3684="T62",6,IF(H3684="T62",10,IF(H3684="T94",14,IF(H3684="T94",18,IF(H3684="T62",22,"")))))))</f>
        <v/>
      </c>
      <c r="J3684" s="3" t="s">
        <v>5447</v>
      </c>
      <c r="K3684" s="10">
        <v>1</v>
      </c>
      <c r="L3684" s="10">
        <v>1</v>
      </c>
      <c r="O3684" s="6">
        <v>28</v>
      </c>
      <c r="Q3684" s="42" t="s">
        <v>8759</v>
      </c>
      <c r="R3684" s="42"/>
      <c r="S3684" s="1"/>
    </row>
    <row r="3685" spans="1:19" ht="18.75" hidden="1" customHeight="1" x14ac:dyDescent="0.3">
      <c r="A3685" s="10">
        <v>3684</v>
      </c>
      <c r="B3685" s="10">
        <f>_xlfn.XLOOKUP(1,(VALUE(D3685)&gt;=VALUE(block!$C$3:$C$500))*(VALUE(D3685)&lt;VALUE(block!$C$3:$C$500)+VALUE(block!$D$3:$D$500)),block!$A$3:$A$500,"无匹配",0,1)</f>
        <v>103</v>
      </c>
      <c r="C3685" s="3" t="str">
        <f>B3685 &amp; "-" &amp; COUNTIF($B$2:B3685, B3685)</f>
        <v>103-27</v>
      </c>
      <c r="D3685" s="10">
        <v>4192</v>
      </c>
      <c r="E3685" s="1" t="s">
        <v>8813</v>
      </c>
      <c r="F3685" s="1" t="s">
        <v>8814</v>
      </c>
      <c r="H3685" s="1" t="s">
        <v>5458</v>
      </c>
      <c r="I3685" s="10" t="str">
        <f>IF(H3685="T47",1,IF(H3685="T47",3,IF(H3685="T63",6,IF(H3685="T63",10,IF(H3685="T95",14,IF(H3685="T95",18,IF(H3685="T63",22,"")))))))</f>
        <v/>
      </c>
      <c r="J3685" s="3" t="s">
        <v>5447</v>
      </c>
      <c r="K3685" s="10">
        <v>1</v>
      </c>
      <c r="L3685" s="10">
        <v>1</v>
      </c>
      <c r="O3685" s="6">
        <v>28</v>
      </c>
      <c r="Q3685" s="42" t="s">
        <v>8762</v>
      </c>
      <c r="R3685" s="42"/>
      <c r="S3685" s="1"/>
    </row>
    <row r="3686" spans="1:19" ht="18.75" hidden="1" customHeight="1" x14ac:dyDescent="0.3">
      <c r="A3686" s="10">
        <v>3685</v>
      </c>
      <c r="B3686" s="10">
        <f>_xlfn.XLOOKUP(1,(VALUE(D3686)&gt;=VALUE(block!$C$3:$C$500))*(VALUE(D3686)&lt;VALUE(block!$C$3:$C$500)+VALUE(block!$D$3:$D$500)),block!$A$3:$A$500,"无匹配",0,1)</f>
        <v>103</v>
      </c>
      <c r="C3686" s="3" t="str">
        <f>B3686 &amp; "-" &amp; COUNTIF($B$2:B3686, B3686)</f>
        <v>103-28</v>
      </c>
      <c r="D3686" s="10">
        <v>4193</v>
      </c>
      <c r="E3686" s="1" t="s">
        <v>8815</v>
      </c>
      <c r="F3686" s="1" t="s">
        <v>8816</v>
      </c>
      <c r="H3686" s="1" t="s">
        <v>5458</v>
      </c>
      <c r="I3686" s="10" t="str">
        <f>IF(H3686="T48",1,IF(H3686="T48",3,IF(H3686="T64",6,IF(H3686="T64",10,IF(H3686="T96",14,IF(H3686="T96",18,IF(H3686="T64",22,"")))))))</f>
        <v/>
      </c>
      <c r="J3686" s="3" t="s">
        <v>5447</v>
      </c>
      <c r="K3686" s="10">
        <v>1</v>
      </c>
      <c r="L3686" s="10">
        <v>1</v>
      </c>
      <c r="O3686" s="6">
        <v>28</v>
      </c>
      <c r="Q3686" s="42" t="s">
        <v>8762</v>
      </c>
      <c r="R3686" s="42"/>
      <c r="S3686" s="1"/>
    </row>
    <row r="3687" spans="1:19" ht="18.75" hidden="1" customHeight="1" x14ac:dyDescent="0.3">
      <c r="A3687" s="10">
        <v>3686</v>
      </c>
      <c r="B3687" s="10">
        <f>_xlfn.XLOOKUP(1,(VALUE(D3687)&gt;=VALUE(block!$C$3:$C$500))*(VALUE(D3687)&lt;VALUE(block!$C$3:$C$500)+VALUE(block!$D$3:$D$500)),block!$A$3:$A$500,"无匹配",0,1)</f>
        <v>103</v>
      </c>
      <c r="C3687" s="3" t="str">
        <f>B3687 &amp; "-" &amp; COUNTIF($B$2:B3687, B3687)</f>
        <v>103-29</v>
      </c>
      <c r="D3687" s="10">
        <v>4194</v>
      </c>
      <c r="E3687" s="1" t="s">
        <v>8817</v>
      </c>
      <c r="F3687" s="1" t="s">
        <v>8818</v>
      </c>
      <c r="H3687" s="1" t="s">
        <v>5458</v>
      </c>
      <c r="I3687" s="10" t="str">
        <f>IF(H3687="T49",1,IF(H3687="T49",3,IF(H3687="T65",6,IF(H3687="T65",10,IF(H3687="T97",14,IF(H3687="T97",18,IF(H3687="T65",22,"")))))))</f>
        <v/>
      </c>
      <c r="J3687" s="3" t="s">
        <v>5447</v>
      </c>
      <c r="K3687" s="10">
        <v>1</v>
      </c>
      <c r="L3687" s="10">
        <v>1</v>
      </c>
      <c r="O3687" s="6">
        <v>28</v>
      </c>
      <c r="Q3687" s="70" t="s">
        <v>8767</v>
      </c>
      <c r="R3687" s="70"/>
      <c r="S3687" s="1"/>
    </row>
    <row r="3688" spans="1:19" ht="18.75" hidden="1" customHeight="1" x14ac:dyDescent="0.3">
      <c r="A3688" s="10">
        <v>3687</v>
      </c>
      <c r="B3688" s="10">
        <f>_xlfn.XLOOKUP(1,(VALUE(D3688)&gt;=VALUE(block!$C$3:$C$500))*(VALUE(D3688)&lt;VALUE(block!$C$3:$C$500)+VALUE(block!$D$3:$D$500)),block!$A$3:$A$500,"无匹配",0,1)</f>
        <v>103</v>
      </c>
      <c r="C3688" s="3" t="str">
        <f>B3688 &amp; "-" &amp; COUNTIF($B$2:B3688, B3688)</f>
        <v>103-30</v>
      </c>
      <c r="D3688" s="10">
        <v>4195</v>
      </c>
      <c r="E3688" s="1" t="s">
        <v>8819</v>
      </c>
      <c r="F3688" s="1" t="s">
        <v>8820</v>
      </c>
      <c r="H3688" s="1" t="s">
        <v>5458</v>
      </c>
      <c r="I3688" s="10" t="str">
        <f>IF(H3688="T50",1,IF(H3688="T50",3,IF(H3688="T66",6,IF(H3688="T66",10,IF(H3688="T98",14,IF(H3688="T98",18,IF(H3688="T66",22,"")))))))</f>
        <v/>
      </c>
      <c r="J3688" s="3" t="s">
        <v>5447</v>
      </c>
      <c r="K3688" s="10">
        <v>1</v>
      </c>
      <c r="L3688" s="10">
        <v>1</v>
      </c>
      <c r="O3688" s="6">
        <v>28</v>
      </c>
      <c r="Q3688" s="42" t="s">
        <v>8770</v>
      </c>
      <c r="R3688" s="42"/>
      <c r="S3688" s="1"/>
    </row>
    <row r="3689" spans="1:19" ht="18.75" hidden="1" customHeight="1" x14ac:dyDescent="0.3">
      <c r="A3689" s="10">
        <v>3688</v>
      </c>
      <c r="B3689" s="10">
        <f>_xlfn.XLOOKUP(1,(VALUE(D3689)&gt;=VALUE(block!$C$3:$C$500))*(VALUE(D3689)&lt;VALUE(block!$C$3:$C$500)+VALUE(block!$D$3:$D$500)),block!$A$3:$A$500,"无匹配",0,1)</f>
        <v>103</v>
      </c>
      <c r="C3689" s="3" t="str">
        <f>B3689 &amp; "-" &amp; COUNTIF($B$2:B3689, B3689)</f>
        <v>103-31</v>
      </c>
      <c r="D3689" s="10">
        <v>4196</v>
      </c>
      <c r="E3689" s="1" t="s">
        <v>8821</v>
      </c>
      <c r="F3689" s="1" t="s">
        <v>8822</v>
      </c>
      <c r="H3689" s="1" t="s">
        <v>5458</v>
      </c>
      <c r="I3689" s="10" t="str">
        <f>IF(H3689="T51",1,IF(H3689="T51",3,IF(H3689="T67",6,IF(H3689="T67",10,IF(H3689="T99",14,IF(H3689="T99",18,IF(H3689="T67",22,"")))))))</f>
        <v/>
      </c>
      <c r="J3689" s="3" t="s">
        <v>5447</v>
      </c>
      <c r="K3689" s="10">
        <v>1</v>
      </c>
      <c r="L3689" s="10">
        <v>1</v>
      </c>
      <c r="O3689" s="6">
        <v>28</v>
      </c>
      <c r="Q3689" s="42" t="s">
        <v>8759</v>
      </c>
      <c r="R3689" s="42"/>
      <c r="S3689" s="1"/>
    </row>
    <row r="3690" spans="1:19" ht="18.75" hidden="1" customHeight="1" x14ac:dyDescent="0.3">
      <c r="A3690" s="10">
        <v>3689</v>
      </c>
      <c r="B3690" s="10">
        <f>_xlfn.XLOOKUP(1,(VALUE(D3690)&gt;=VALUE(block!$C$3:$C$500))*(VALUE(D3690)&lt;VALUE(block!$C$3:$C$500)+VALUE(block!$D$3:$D$500)),block!$A$3:$A$500,"无匹配",0,1)</f>
        <v>103</v>
      </c>
      <c r="C3690" s="3" t="str">
        <f>B3690 &amp; "-" &amp; COUNTIF($B$2:B3690, B3690)</f>
        <v>103-32</v>
      </c>
      <c r="D3690" s="10">
        <v>4197</v>
      </c>
      <c r="E3690" s="1" t="s">
        <v>8823</v>
      </c>
      <c r="F3690" s="1" t="s">
        <v>8824</v>
      </c>
      <c r="H3690" s="1" t="s">
        <v>5458</v>
      </c>
      <c r="I3690" s="10" t="str">
        <f>IF(H3690="T52",1,IF(H3690="T52",3,IF(H3690="T68",6,IF(H3690="T68",10,IF(H3690="T100",14,IF(H3690="T100",18,IF(H3690="T68",22,"")))))))</f>
        <v/>
      </c>
      <c r="J3690" s="3" t="s">
        <v>5447</v>
      </c>
      <c r="K3690" s="10">
        <v>1</v>
      </c>
      <c r="L3690" s="10">
        <v>1</v>
      </c>
      <c r="O3690" s="6">
        <v>28</v>
      </c>
      <c r="Q3690" s="42" t="s">
        <v>8762</v>
      </c>
      <c r="R3690" s="42"/>
      <c r="S3690" s="1"/>
    </row>
    <row r="3691" spans="1:19" ht="18.75" hidden="1" customHeight="1" x14ac:dyDescent="0.3">
      <c r="A3691" s="10">
        <v>3690</v>
      </c>
      <c r="B3691" s="10">
        <f>_xlfn.XLOOKUP(1,(VALUE(D3691)&gt;=VALUE(block!$C$3:$C$500))*(VALUE(D3691)&lt;VALUE(block!$C$3:$C$500)+VALUE(block!$D$3:$D$500)),block!$A$3:$A$500,"无匹配",0,1)</f>
        <v>103</v>
      </c>
      <c r="C3691" s="3" t="str">
        <f>B3691 &amp; "-" &amp; COUNTIF($B$2:B3691, B3691)</f>
        <v>103-33</v>
      </c>
      <c r="D3691" s="10">
        <v>4198</v>
      </c>
      <c r="E3691" s="1" t="s">
        <v>8825</v>
      </c>
      <c r="F3691" s="1" t="s">
        <v>8826</v>
      </c>
      <c r="H3691" s="1" t="s">
        <v>5458</v>
      </c>
      <c r="I3691" s="10" t="str">
        <f>IF(H3691="T53",1,IF(H3691="T53",3,IF(H3691="T69",6,IF(H3691="T69",10,IF(H3691="T101",14,IF(H3691="T101",18,IF(H3691="T69",22,"")))))))</f>
        <v/>
      </c>
      <c r="J3691" s="3" t="s">
        <v>5447</v>
      </c>
      <c r="K3691" s="10">
        <v>1</v>
      </c>
      <c r="L3691" s="10">
        <v>1</v>
      </c>
      <c r="O3691" s="6">
        <v>28</v>
      </c>
      <c r="Q3691" s="42" t="s">
        <v>8762</v>
      </c>
      <c r="R3691" s="42"/>
      <c r="S3691" s="1"/>
    </row>
    <row r="3692" spans="1:19" ht="18.75" hidden="1" customHeight="1" x14ac:dyDescent="0.3">
      <c r="A3692" s="10">
        <v>3691</v>
      </c>
      <c r="B3692" s="10">
        <f>_xlfn.XLOOKUP(1,(VALUE(D3692)&gt;=VALUE(block!$C$3:$C$500))*(VALUE(D3692)&lt;VALUE(block!$C$3:$C$500)+VALUE(block!$D$3:$D$500)),block!$A$3:$A$500,"无匹配",0,1)</f>
        <v>103</v>
      </c>
      <c r="C3692" s="3" t="str">
        <f>B3692 &amp; "-" &amp; COUNTIF($B$2:B3692, B3692)</f>
        <v>103-34</v>
      </c>
      <c r="D3692" s="10">
        <v>4199</v>
      </c>
      <c r="E3692" s="1" t="s">
        <v>8827</v>
      </c>
      <c r="F3692" s="1" t="s">
        <v>8828</v>
      </c>
      <c r="H3692" s="1" t="s">
        <v>5458</v>
      </c>
      <c r="I3692" s="10" t="str">
        <f>IF(H3692="T54",1,IF(H3692="T54",3,IF(H3692="T70",6,IF(H3692="T70",10,IF(H3692="T102",14,IF(H3692="T102",18,IF(H3692="T70",22,"")))))))</f>
        <v/>
      </c>
      <c r="J3692" s="3" t="s">
        <v>5447</v>
      </c>
      <c r="K3692" s="10">
        <v>1</v>
      </c>
      <c r="L3692" s="10">
        <v>1</v>
      </c>
      <c r="O3692" s="6">
        <v>28</v>
      </c>
      <c r="Q3692" s="70" t="s">
        <v>8767</v>
      </c>
      <c r="R3692" s="70"/>
      <c r="S3692" s="1"/>
    </row>
    <row r="3693" spans="1:19" ht="18.75" hidden="1" customHeight="1" x14ac:dyDescent="0.3">
      <c r="A3693" s="10">
        <v>3692</v>
      </c>
      <c r="B3693" s="10">
        <f>_xlfn.XLOOKUP(1,(VALUE(D3693)&gt;=VALUE(block!$C$3:$C$500))*(VALUE(D3693)&lt;VALUE(block!$C$3:$C$500)+VALUE(block!$D$3:$D$500)),block!$A$3:$A$500,"无匹配",0,1)</f>
        <v>103</v>
      </c>
      <c r="C3693" s="3" t="str">
        <f>B3693 &amp; "-" &amp; COUNTIF($B$2:B3693, B3693)</f>
        <v>103-35</v>
      </c>
      <c r="D3693" s="10">
        <v>4200</v>
      </c>
      <c r="E3693" s="1" t="s">
        <v>8829</v>
      </c>
      <c r="F3693" s="1" t="s">
        <v>8830</v>
      </c>
      <c r="H3693" s="1" t="s">
        <v>5458</v>
      </c>
      <c r="I3693" s="10" t="str">
        <f>IF(H3693="T55",1,IF(H3693="T55",3,IF(H3693="T71",6,IF(H3693="T71",10,IF(H3693="T103",14,IF(H3693="T103",18,IF(H3693="T71",22,"")))))))</f>
        <v/>
      </c>
      <c r="J3693" s="3" t="s">
        <v>5447</v>
      </c>
      <c r="K3693" s="10">
        <v>1</v>
      </c>
      <c r="L3693" s="10">
        <v>1</v>
      </c>
      <c r="O3693" s="6">
        <v>28</v>
      </c>
      <c r="Q3693" s="42" t="s">
        <v>8770</v>
      </c>
      <c r="R3693" s="42"/>
      <c r="S3693" s="1"/>
    </row>
    <row r="3694" spans="1:19" ht="18.75" hidden="1" customHeight="1" x14ac:dyDescent="0.3">
      <c r="A3694" s="10">
        <v>3693</v>
      </c>
      <c r="B3694" s="10">
        <f>_xlfn.XLOOKUP(1,(VALUE(D3694)&gt;=VALUE(block!$C$3:$C$500))*(VALUE(D3694)&lt;VALUE(block!$C$3:$C$500)+VALUE(block!$D$3:$D$500)),block!$A$3:$A$500,"无匹配",0,1)</f>
        <v>103</v>
      </c>
      <c r="C3694" s="3" t="str">
        <f>B3694 &amp; "-" &amp; COUNTIF($B$2:B3694, B3694)</f>
        <v>103-36</v>
      </c>
      <c r="D3694" s="10">
        <v>4201</v>
      </c>
      <c r="E3694" s="1" t="s">
        <v>8831</v>
      </c>
      <c r="F3694" s="1" t="s">
        <v>8832</v>
      </c>
      <c r="H3694" s="1" t="s">
        <v>5458</v>
      </c>
      <c r="I3694" s="10" t="str">
        <f>IF(H3694="T56",1,IF(H3694="T56",3,IF(H3694="T72",6,IF(H3694="T72",10,IF(H3694="T104",14,IF(H3694="T104",18,IF(H3694="T72",22,"")))))))</f>
        <v/>
      </c>
      <c r="J3694" s="3" t="s">
        <v>5447</v>
      </c>
      <c r="K3694" s="10">
        <v>1</v>
      </c>
      <c r="L3694" s="10">
        <v>1</v>
      </c>
      <c r="O3694" s="6">
        <v>28</v>
      </c>
      <c r="Q3694" s="42" t="s">
        <v>8759</v>
      </c>
      <c r="R3694" s="42"/>
      <c r="S3694" s="1"/>
    </row>
    <row r="3695" spans="1:19" ht="18.75" hidden="1" customHeight="1" x14ac:dyDescent="0.3">
      <c r="A3695" s="10">
        <v>3694</v>
      </c>
      <c r="B3695" s="10">
        <f>_xlfn.XLOOKUP(1,(VALUE(D3695)&gt;=VALUE(block!$C$3:$C$500))*(VALUE(D3695)&lt;VALUE(block!$C$3:$C$500)+VALUE(block!$D$3:$D$500)),block!$A$3:$A$500,"无匹配",0,1)</f>
        <v>103</v>
      </c>
      <c r="C3695" s="3" t="str">
        <f>B3695 &amp; "-" &amp; COUNTIF($B$2:B3695, B3695)</f>
        <v>103-37</v>
      </c>
      <c r="D3695" s="10">
        <v>4202</v>
      </c>
      <c r="E3695" s="1" t="s">
        <v>8833</v>
      </c>
      <c r="F3695" s="1" t="s">
        <v>8834</v>
      </c>
      <c r="H3695" s="1" t="s">
        <v>5458</v>
      </c>
      <c r="I3695" s="10" t="str">
        <f>IF(H3695="T57",1,IF(H3695="T57",3,IF(H3695="T73",6,IF(H3695="T73",10,IF(H3695="T105",14,IF(H3695="T105",18,IF(H3695="T73",22,"")))))))</f>
        <v/>
      </c>
      <c r="J3695" s="3" t="s">
        <v>5447</v>
      </c>
      <c r="K3695" s="10">
        <v>1</v>
      </c>
      <c r="L3695" s="10">
        <v>1</v>
      </c>
      <c r="O3695" s="6">
        <v>28</v>
      </c>
      <c r="Q3695" s="42" t="s">
        <v>8762</v>
      </c>
      <c r="R3695" s="42"/>
      <c r="S3695" s="1"/>
    </row>
    <row r="3696" spans="1:19" ht="18.75" hidden="1" customHeight="1" x14ac:dyDescent="0.3">
      <c r="A3696" s="10">
        <v>3695</v>
      </c>
      <c r="B3696" s="10">
        <f>_xlfn.XLOOKUP(1,(VALUE(D3696)&gt;=VALUE(block!$C$3:$C$500))*(VALUE(D3696)&lt;VALUE(block!$C$3:$C$500)+VALUE(block!$D$3:$D$500)),block!$A$3:$A$500,"无匹配",0,1)</f>
        <v>103</v>
      </c>
      <c r="C3696" s="3" t="str">
        <f>B3696 &amp; "-" &amp; COUNTIF($B$2:B3696, B3696)</f>
        <v>103-38</v>
      </c>
      <c r="D3696" s="10">
        <v>4203</v>
      </c>
      <c r="E3696" s="3" t="s">
        <v>8835</v>
      </c>
      <c r="F3696" s="1" t="s">
        <v>8836</v>
      </c>
      <c r="H3696" s="1" t="s">
        <v>5458</v>
      </c>
      <c r="I3696" s="10" t="str">
        <f>IF(H3696="T58",1,IF(H3696="T58",3,IF(H3696="T74",6,IF(H3696="T74",10,IF(H3696="T106",14,IF(H3696="T106",18,IF(H3696="T74",22,"")))))))</f>
        <v/>
      </c>
      <c r="J3696" s="3" t="s">
        <v>5447</v>
      </c>
      <c r="K3696" s="10">
        <v>1</v>
      </c>
      <c r="L3696" s="10">
        <v>1</v>
      </c>
      <c r="O3696" s="6">
        <v>28</v>
      </c>
      <c r="Q3696" s="42" t="s">
        <v>8762</v>
      </c>
      <c r="R3696" s="42"/>
      <c r="S3696" s="1"/>
    </row>
    <row r="3697" spans="1:19" ht="18.75" hidden="1" customHeight="1" x14ac:dyDescent="0.3">
      <c r="A3697" s="10">
        <v>3696</v>
      </c>
      <c r="B3697" s="10">
        <f>_xlfn.XLOOKUP(1,(VALUE(D3697)&gt;=VALUE(block!$C$3:$C$500))*(VALUE(D3697)&lt;VALUE(block!$C$3:$C$500)+VALUE(block!$D$3:$D$500)),block!$A$3:$A$500,"无匹配",0,1)</f>
        <v>103</v>
      </c>
      <c r="C3697" s="3" t="str">
        <f>B3697 &amp; "-" &amp; COUNTIF($B$2:B3697, B3697)</f>
        <v>103-39</v>
      </c>
      <c r="D3697" s="10">
        <v>4204</v>
      </c>
      <c r="E3697" s="1" t="s">
        <v>8837</v>
      </c>
      <c r="F3697" s="1" t="s">
        <v>8838</v>
      </c>
      <c r="H3697" s="1" t="s">
        <v>5458</v>
      </c>
      <c r="I3697" s="10" t="str">
        <f>IF(H3697="T59",1,IF(H3697="T59",3,IF(H3697="T75",6,IF(H3697="T75",10,IF(H3697="T107",14,IF(H3697="T107",18,IF(H3697="T75",22,"")))))))</f>
        <v/>
      </c>
      <c r="J3697" s="3" t="s">
        <v>5447</v>
      </c>
      <c r="K3697" s="10">
        <v>1</v>
      </c>
      <c r="L3697" s="10">
        <v>1</v>
      </c>
      <c r="O3697" s="6">
        <v>28</v>
      </c>
      <c r="Q3697" s="70" t="s">
        <v>8767</v>
      </c>
      <c r="R3697" s="70"/>
      <c r="S3697" s="1"/>
    </row>
    <row r="3698" spans="1:19" ht="18.75" hidden="1" customHeight="1" x14ac:dyDescent="0.3">
      <c r="A3698" s="10">
        <v>3697</v>
      </c>
      <c r="B3698" s="10">
        <f>_xlfn.XLOOKUP(1,(VALUE(D3698)&gt;=VALUE(block!$C$3:$C$500))*(VALUE(D3698)&lt;VALUE(block!$C$3:$C$500)+VALUE(block!$D$3:$D$500)),block!$A$3:$A$500,"无匹配",0,1)</f>
        <v>103</v>
      </c>
      <c r="C3698" s="3" t="str">
        <f>B3698 &amp; "-" &amp; COUNTIF($B$2:B3698, B3698)</f>
        <v>103-40</v>
      </c>
      <c r="D3698" s="10">
        <v>4205</v>
      </c>
      <c r="E3698" s="1" t="s">
        <v>8839</v>
      </c>
      <c r="F3698" s="1" t="s">
        <v>8840</v>
      </c>
      <c r="H3698" s="1" t="s">
        <v>5458</v>
      </c>
      <c r="I3698" s="10" t="str">
        <f>IF(H3698="T60",1,IF(H3698="T60",3,IF(H3698="T76",6,IF(H3698="T76",10,IF(H3698="T108",14,IF(H3698="T108",18,IF(H3698="T76",22,"")))))))</f>
        <v/>
      </c>
      <c r="J3698" s="3" t="s">
        <v>5447</v>
      </c>
      <c r="K3698" s="10">
        <v>1</v>
      </c>
      <c r="L3698" s="10">
        <v>1</v>
      </c>
      <c r="O3698" s="6">
        <v>28</v>
      </c>
      <c r="Q3698" s="42" t="s">
        <v>8770</v>
      </c>
      <c r="R3698" s="42"/>
      <c r="S3698" s="1"/>
    </row>
    <row r="3699" spans="1:19" ht="18.75" hidden="1" customHeight="1" x14ac:dyDescent="0.3">
      <c r="A3699" s="10">
        <v>3698</v>
      </c>
      <c r="B3699" s="10">
        <f>_xlfn.XLOOKUP(1,(VALUE(D3699)&gt;=VALUE(block!$C$3:$C$500))*(VALUE(D3699)&lt;VALUE(block!$C$3:$C$500)+VALUE(block!$D$3:$D$500)),block!$A$3:$A$500,"无匹配",0,1)</f>
        <v>103</v>
      </c>
      <c r="C3699" s="3" t="str">
        <f>B3699 &amp; "-" &amp; COUNTIF($B$2:B3699, B3699)</f>
        <v>103-41</v>
      </c>
      <c r="D3699" s="10">
        <v>4206</v>
      </c>
      <c r="E3699" s="1" t="s">
        <v>8841</v>
      </c>
      <c r="F3699" s="1" t="s">
        <v>8842</v>
      </c>
      <c r="H3699" s="1" t="s">
        <v>5458</v>
      </c>
      <c r="I3699" s="10" t="str">
        <f>IF(H3699="T61",1,IF(H3699="T61",3,IF(H3699="T77",6,IF(H3699="T77",10,IF(H3699="T109",14,IF(H3699="T109",18,IF(H3699="T77",22,"")))))))</f>
        <v/>
      </c>
      <c r="J3699" s="3" t="s">
        <v>5447</v>
      </c>
      <c r="K3699" s="10">
        <v>1</v>
      </c>
      <c r="L3699" s="10">
        <v>1</v>
      </c>
      <c r="O3699" s="6">
        <v>28</v>
      </c>
      <c r="Q3699" s="42" t="s">
        <v>8759</v>
      </c>
      <c r="R3699" s="42"/>
      <c r="S3699" s="1"/>
    </row>
    <row r="3700" spans="1:19" ht="18.75" hidden="1" customHeight="1" x14ac:dyDescent="0.3">
      <c r="A3700" s="10">
        <v>3699</v>
      </c>
      <c r="B3700" s="10">
        <f>_xlfn.XLOOKUP(1,(VALUE(D3700)&gt;=VALUE(block!$C$3:$C$500))*(VALUE(D3700)&lt;VALUE(block!$C$3:$C$500)+VALUE(block!$D$3:$D$500)),block!$A$3:$A$500,"无匹配",0,1)</f>
        <v>103</v>
      </c>
      <c r="C3700" s="3" t="str">
        <f>B3700 &amp; "-" &amp; COUNTIF($B$2:B3700, B3700)</f>
        <v>103-42</v>
      </c>
      <c r="D3700" s="10">
        <v>4207</v>
      </c>
      <c r="E3700" s="1" t="s">
        <v>8843</v>
      </c>
      <c r="F3700" s="1" t="s">
        <v>8844</v>
      </c>
      <c r="H3700" s="1" t="s">
        <v>5458</v>
      </c>
      <c r="I3700" s="10" t="str">
        <f>IF(H3700="T62",1,IF(H3700="T62",3,IF(H3700="T78",6,IF(H3700="T78",10,IF(H3700="T110",14,IF(H3700="T110",18,IF(H3700="T78",22,"")))))))</f>
        <v/>
      </c>
      <c r="J3700" s="3" t="s">
        <v>5447</v>
      </c>
      <c r="K3700" s="10">
        <v>1</v>
      </c>
      <c r="L3700" s="10">
        <v>1</v>
      </c>
      <c r="O3700" s="6">
        <v>28</v>
      </c>
      <c r="Q3700" s="42" t="s">
        <v>8762</v>
      </c>
      <c r="R3700" s="42"/>
      <c r="S3700" s="1"/>
    </row>
    <row r="3701" spans="1:19" ht="18.75" hidden="1" customHeight="1" x14ac:dyDescent="0.3">
      <c r="A3701" s="10">
        <v>3700</v>
      </c>
      <c r="B3701" s="10">
        <f>_xlfn.XLOOKUP(1,(VALUE(D3701)&gt;=VALUE(block!$C$3:$C$500))*(VALUE(D3701)&lt;VALUE(block!$C$3:$C$500)+VALUE(block!$D$3:$D$500)),block!$A$3:$A$500,"无匹配",0,1)</f>
        <v>103</v>
      </c>
      <c r="C3701" s="3" t="str">
        <f>B3701 &amp; "-" &amp; COUNTIF($B$2:B3701, B3701)</f>
        <v>103-43</v>
      </c>
      <c r="D3701" s="10">
        <v>4208</v>
      </c>
      <c r="E3701" s="1" t="s">
        <v>8845</v>
      </c>
      <c r="F3701" s="1" t="s">
        <v>8846</v>
      </c>
      <c r="H3701" s="1" t="s">
        <v>5458</v>
      </c>
      <c r="I3701" s="10" t="str">
        <f>IF(H3701="T63",1,IF(H3701="T63",3,IF(H3701="T79",6,IF(H3701="T79",10,IF(H3701="T111",14,IF(H3701="T111",18,IF(H3701="T79",22,"")))))))</f>
        <v/>
      </c>
      <c r="J3701" s="3" t="s">
        <v>5447</v>
      </c>
      <c r="K3701" s="10">
        <v>1</v>
      </c>
      <c r="L3701" s="10">
        <v>1</v>
      </c>
      <c r="O3701" s="6">
        <v>28</v>
      </c>
      <c r="Q3701" s="42" t="s">
        <v>8762</v>
      </c>
      <c r="R3701" s="42"/>
      <c r="S3701" s="1"/>
    </row>
    <row r="3702" spans="1:19" ht="18.75" hidden="1" customHeight="1" x14ac:dyDescent="0.3">
      <c r="A3702" s="10">
        <v>3701</v>
      </c>
      <c r="B3702" s="10">
        <f>_xlfn.XLOOKUP(1,(VALUE(D3702)&gt;=VALUE(block!$C$3:$C$500))*(VALUE(D3702)&lt;VALUE(block!$C$3:$C$500)+VALUE(block!$D$3:$D$500)),block!$A$3:$A$500,"无匹配",0,1)</f>
        <v>103</v>
      </c>
      <c r="C3702" s="3" t="str">
        <f>B3702 &amp; "-" &amp; COUNTIF($B$2:B3702, B3702)</f>
        <v>103-44</v>
      </c>
      <c r="D3702" s="10">
        <v>4209</v>
      </c>
      <c r="E3702" s="1" t="s">
        <v>8847</v>
      </c>
      <c r="F3702" s="1" t="s">
        <v>8848</v>
      </c>
      <c r="H3702" s="1" t="s">
        <v>5458</v>
      </c>
      <c r="I3702" s="10" t="str">
        <f>IF(H3702="T64",1,IF(H3702="T64",3,IF(H3702="T80",6,IF(H3702="T80",10,IF(H3702="T112",14,IF(H3702="T112",18,IF(H3702="T80",22,"")))))))</f>
        <v/>
      </c>
      <c r="J3702" s="3" t="s">
        <v>5447</v>
      </c>
      <c r="K3702" s="10">
        <v>1</v>
      </c>
      <c r="L3702" s="10">
        <v>1</v>
      </c>
      <c r="O3702" s="6">
        <v>28</v>
      </c>
      <c r="Q3702" s="70" t="s">
        <v>8767</v>
      </c>
      <c r="R3702" s="70"/>
      <c r="S3702" s="1"/>
    </row>
    <row r="3703" spans="1:19" ht="18.75" hidden="1" customHeight="1" x14ac:dyDescent="0.3">
      <c r="A3703" s="10">
        <v>3702</v>
      </c>
      <c r="B3703" s="10">
        <f>_xlfn.XLOOKUP(1,(VALUE(D3703)&gt;=VALUE(block!$C$3:$C$500))*(VALUE(D3703)&lt;VALUE(block!$C$3:$C$500)+VALUE(block!$D$3:$D$500)),block!$A$3:$A$500,"无匹配",0,1)</f>
        <v>103</v>
      </c>
      <c r="C3703" s="3" t="str">
        <f>B3703 &amp; "-" &amp; COUNTIF($B$2:B3703, B3703)</f>
        <v>103-45</v>
      </c>
      <c r="D3703" s="10">
        <v>4210</v>
      </c>
      <c r="E3703" s="1" t="s">
        <v>8849</v>
      </c>
      <c r="F3703" s="1" t="s">
        <v>8850</v>
      </c>
      <c r="H3703" s="1" t="s">
        <v>5458</v>
      </c>
      <c r="I3703" s="10" t="str">
        <f>IF(H3703="T65",1,IF(H3703="T65",3,IF(H3703="T81",6,IF(H3703="T81",10,IF(H3703="T113",14,IF(H3703="T113",18,IF(H3703="T81",22,"")))))))</f>
        <v/>
      </c>
      <c r="J3703" s="3" t="s">
        <v>5447</v>
      </c>
      <c r="K3703" s="10">
        <v>1</v>
      </c>
      <c r="L3703" s="10">
        <v>1</v>
      </c>
      <c r="O3703" s="6">
        <v>28</v>
      </c>
      <c r="Q3703" s="42" t="s">
        <v>8770</v>
      </c>
      <c r="R3703" s="42"/>
      <c r="S3703" s="1"/>
    </row>
    <row r="3704" spans="1:19" ht="18.75" hidden="1" customHeight="1" x14ac:dyDescent="0.3">
      <c r="A3704" s="10">
        <v>3703</v>
      </c>
      <c r="B3704" s="10">
        <f>_xlfn.XLOOKUP(1,(VALUE(D3704)&gt;=VALUE(block!$C$3:$C$500))*(VALUE(D3704)&lt;VALUE(block!$C$3:$C$500)+VALUE(block!$D$3:$D$500)),block!$A$3:$A$500,"无匹配",0,1)</f>
        <v>103</v>
      </c>
      <c r="C3704" s="3" t="str">
        <f>B3704 &amp; "-" &amp; COUNTIF($B$2:B3704, B3704)</f>
        <v>103-46</v>
      </c>
      <c r="D3704" s="10">
        <v>4211</v>
      </c>
      <c r="E3704" s="1" t="s">
        <v>8851</v>
      </c>
      <c r="F3704" s="1" t="s">
        <v>8852</v>
      </c>
      <c r="H3704" s="1" t="s">
        <v>5458</v>
      </c>
      <c r="I3704" s="10" t="str">
        <f>IF(H3704="T66",1,IF(H3704="T66",3,IF(H3704="T82",6,IF(H3704="T82",10,IF(H3704="T114",14,IF(H3704="T114",18,IF(H3704="T82",22,"")))))))</f>
        <v/>
      </c>
      <c r="J3704" s="3" t="s">
        <v>5447</v>
      </c>
      <c r="K3704" s="10">
        <v>1</v>
      </c>
      <c r="L3704" s="10">
        <v>1</v>
      </c>
      <c r="O3704" s="6">
        <v>28</v>
      </c>
      <c r="Q3704" s="42" t="s">
        <v>8759</v>
      </c>
      <c r="R3704" s="42"/>
      <c r="S3704" s="1"/>
    </row>
    <row r="3705" spans="1:19" ht="18.75" hidden="1" customHeight="1" x14ac:dyDescent="0.3">
      <c r="A3705" s="10">
        <v>3704</v>
      </c>
      <c r="B3705" s="10">
        <f>_xlfn.XLOOKUP(1,(VALUE(D3705)&gt;=VALUE(block!$C$3:$C$500))*(VALUE(D3705)&lt;VALUE(block!$C$3:$C$500)+VALUE(block!$D$3:$D$500)),block!$A$3:$A$500,"无匹配",0,1)</f>
        <v>103</v>
      </c>
      <c r="C3705" s="3" t="str">
        <f>B3705 &amp; "-" &amp; COUNTIF($B$2:B3705, B3705)</f>
        <v>103-47</v>
      </c>
      <c r="D3705" s="10">
        <v>4212</v>
      </c>
      <c r="E3705" s="1" t="s">
        <v>8853</v>
      </c>
      <c r="F3705" s="1" t="s">
        <v>8854</v>
      </c>
      <c r="H3705" s="1" t="s">
        <v>5458</v>
      </c>
      <c r="I3705" s="10" t="str">
        <f>IF(H3705="T67",1,IF(H3705="T67",3,IF(H3705="T83",6,IF(H3705="T83",10,IF(H3705="T115",14,IF(H3705="T115",18,IF(H3705="T83",22,"")))))))</f>
        <v/>
      </c>
      <c r="J3705" s="3" t="s">
        <v>5447</v>
      </c>
      <c r="K3705" s="10">
        <v>1</v>
      </c>
      <c r="L3705" s="10">
        <v>1</v>
      </c>
      <c r="O3705" s="6">
        <v>28</v>
      </c>
      <c r="Q3705" s="42" t="s">
        <v>8762</v>
      </c>
      <c r="R3705" s="42"/>
      <c r="S3705" s="1"/>
    </row>
    <row r="3706" spans="1:19" ht="18.75" hidden="1" customHeight="1" x14ac:dyDescent="0.3">
      <c r="A3706" s="10">
        <v>3705</v>
      </c>
      <c r="B3706" s="10">
        <f>_xlfn.XLOOKUP(1,(VALUE(D3706)&gt;=VALUE(block!$C$3:$C$500))*(VALUE(D3706)&lt;VALUE(block!$C$3:$C$500)+VALUE(block!$D$3:$D$500)),block!$A$3:$A$500,"无匹配",0,1)</f>
        <v>103</v>
      </c>
      <c r="C3706" s="3" t="str">
        <f>B3706 &amp; "-" &amp; COUNTIF($B$2:B3706, B3706)</f>
        <v>103-48</v>
      </c>
      <c r="D3706" s="10">
        <v>4213</v>
      </c>
      <c r="E3706" s="1" t="s">
        <v>8855</v>
      </c>
      <c r="F3706" s="1" t="s">
        <v>8856</v>
      </c>
      <c r="H3706" s="1" t="s">
        <v>5458</v>
      </c>
      <c r="I3706" s="10" t="str">
        <f>IF(H3706="T68",1,IF(H3706="T68",3,IF(H3706="T84",6,IF(H3706="T84",10,IF(H3706="T116",14,IF(H3706="T116",18,IF(H3706="T84",22,"")))))))</f>
        <v/>
      </c>
      <c r="J3706" s="3" t="s">
        <v>5447</v>
      </c>
      <c r="K3706" s="10">
        <v>1</v>
      </c>
      <c r="L3706" s="10">
        <v>1</v>
      </c>
      <c r="O3706" s="6">
        <v>28</v>
      </c>
      <c r="Q3706" s="42" t="s">
        <v>8762</v>
      </c>
      <c r="R3706" s="42"/>
      <c r="S3706" s="1"/>
    </row>
    <row r="3707" spans="1:19" ht="18.75" hidden="1" customHeight="1" x14ac:dyDescent="0.3">
      <c r="A3707" s="10">
        <v>3706</v>
      </c>
      <c r="B3707" s="10">
        <f>_xlfn.XLOOKUP(1,(VALUE(D3707)&gt;=VALUE(block!$C$3:$C$500))*(VALUE(D3707)&lt;VALUE(block!$C$3:$C$500)+VALUE(block!$D$3:$D$500)),block!$A$3:$A$500,"无匹配",0,1)</f>
        <v>103</v>
      </c>
      <c r="C3707" s="3" t="str">
        <f>B3707 &amp; "-" &amp; COUNTIF($B$2:B3707, B3707)</f>
        <v>103-49</v>
      </c>
      <c r="D3707" s="10">
        <v>4214</v>
      </c>
      <c r="E3707" s="1" t="s">
        <v>8857</v>
      </c>
      <c r="F3707" s="1" t="s">
        <v>8858</v>
      </c>
      <c r="H3707" s="1" t="s">
        <v>5458</v>
      </c>
      <c r="I3707" s="10" t="str">
        <f>IF(H3707="T69",1,IF(H3707="T69",3,IF(H3707="T85",6,IF(H3707="T85",10,IF(H3707="T117",14,IF(H3707="T117",18,IF(H3707="T85",22,"")))))))</f>
        <v/>
      </c>
      <c r="J3707" s="3" t="s">
        <v>5447</v>
      </c>
      <c r="K3707" s="10">
        <v>1</v>
      </c>
      <c r="L3707" s="10">
        <v>1</v>
      </c>
      <c r="O3707" s="6">
        <v>28</v>
      </c>
      <c r="Q3707" s="70" t="s">
        <v>8767</v>
      </c>
      <c r="R3707" s="70"/>
      <c r="S3707" s="1"/>
    </row>
    <row r="3708" spans="1:19" ht="18.75" hidden="1" customHeight="1" x14ac:dyDescent="0.3">
      <c r="A3708" s="10">
        <v>3707</v>
      </c>
      <c r="B3708" s="10">
        <f>_xlfn.XLOOKUP(1,(VALUE(D3708)&gt;=VALUE(block!$C$3:$C$500))*(VALUE(D3708)&lt;VALUE(block!$C$3:$C$500)+VALUE(block!$D$3:$D$500)),block!$A$3:$A$500,"无匹配",0,1)</f>
        <v>103</v>
      </c>
      <c r="C3708" s="3" t="str">
        <f>B3708 &amp; "-" &amp; COUNTIF($B$2:B3708, B3708)</f>
        <v>103-50</v>
      </c>
      <c r="D3708" s="10">
        <v>4215</v>
      </c>
      <c r="E3708" s="1" t="s">
        <v>8859</v>
      </c>
      <c r="F3708" s="1" t="s">
        <v>8860</v>
      </c>
      <c r="H3708" s="1" t="s">
        <v>5458</v>
      </c>
      <c r="I3708" s="10" t="str">
        <f>IF(H3708="T70",1,IF(H3708="T70",3,IF(H3708="T86",6,IF(H3708="T86",10,IF(H3708="T118",14,IF(H3708="T118",18,IF(H3708="T86",22,"")))))))</f>
        <v/>
      </c>
      <c r="J3708" s="3" t="s">
        <v>5447</v>
      </c>
      <c r="K3708" s="10">
        <v>1</v>
      </c>
      <c r="L3708" s="10">
        <v>1</v>
      </c>
      <c r="O3708" s="6">
        <v>28</v>
      </c>
      <c r="Q3708" s="42" t="s">
        <v>8770</v>
      </c>
      <c r="R3708" s="42"/>
      <c r="S3708" s="1"/>
    </row>
    <row r="3709" spans="1:19" ht="18.75" hidden="1" customHeight="1" x14ac:dyDescent="0.3">
      <c r="A3709" s="10">
        <v>3708</v>
      </c>
      <c r="B3709" s="10">
        <f>_xlfn.XLOOKUP(1,(VALUE(D3709)&gt;=VALUE(block!$C$3:$C$500))*(VALUE(D3709)&lt;VALUE(block!$C$3:$C$500)+VALUE(block!$D$3:$D$500)),block!$A$3:$A$500,"无匹配",0,1)</f>
        <v>103</v>
      </c>
      <c r="C3709" s="3" t="str">
        <f>B3709 &amp; "-" &amp; COUNTIF($B$2:B3709, B3709)</f>
        <v>103-51</v>
      </c>
      <c r="D3709" s="10">
        <v>4216</v>
      </c>
      <c r="E3709" s="1" t="s">
        <v>8861</v>
      </c>
      <c r="F3709" s="1" t="s">
        <v>8862</v>
      </c>
      <c r="H3709" s="1" t="s">
        <v>5458</v>
      </c>
      <c r="I3709" s="10" t="str">
        <f>IF(H3709="T71",1,IF(H3709="T71",3,IF(H3709="T87",6,IF(H3709="T87",10,IF(H3709="T119",14,IF(H3709="T119",18,IF(H3709="T87",22,"")))))))</f>
        <v/>
      </c>
      <c r="J3709" s="3" t="s">
        <v>5447</v>
      </c>
      <c r="K3709" s="10">
        <v>1</v>
      </c>
      <c r="L3709" s="10">
        <v>1</v>
      </c>
      <c r="O3709" s="6">
        <v>28</v>
      </c>
      <c r="Q3709" s="42" t="s">
        <v>8759</v>
      </c>
      <c r="R3709" s="42"/>
      <c r="S3709" s="1"/>
    </row>
    <row r="3710" spans="1:19" ht="18.75" hidden="1" customHeight="1" x14ac:dyDescent="0.3">
      <c r="A3710" s="10">
        <v>3709</v>
      </c>
      <c r="B3710" s="10">
        <f>_xlfn.XLOOKUP(1,(VALUE(D3710)&gt;=VALUE(block!$C$3:$C$500))*(VALUE(D3710)&lt;VALUE(block!$C$3:$C$500)+VALUE(block!$D$3:$D$500)),block!$A$3:$A$500,"无匹配",0,1)</f>
        <v>103</v>
      </c>
      <c r="C3710" s="3" t="str">
        <f>B3710 &amp; "-" &amp; COUNTIF($B$2:B3710, B3710)</f>
        <v>103-52</v>
      </c>
      <c r="D3710" s="10">
        <v>4217</v>
      </c>
      <c r="E3710" s="1" t="s">
        <v>8863</v>
      </c>
      <c r="F3710" s="1" t="s">
        <v>8864</v>
      </c>
      <c r="H3710" s="1" t="s">
        <v>5458</v>
      </c>
      <c r="I3710" s="10" t="str">
        <f>IF(H3710="T72",1,IF(H3710="T72",3,IF(H3710="T88",6,IF(H3710="T88",10,IF(H3710="T120",14,IF(H3710="T120",18,IF(H3710="T88",22,"")))))))</f>
        <v/>
      </c>
      <c r="J3710" s="3" t="s">
        <v>5447</v>
      </c>
      <c r="K3710" s="10">
        <v>1</v>
      </c>
      <c r="L3710" s="10">
        <v>1</v>
      </c>
      <c r="O3710" s="6">
        <v>28</v>
      </c>
      <c r="Q3710" s="42" t="s">
        <v>8762</v>
      </c>
      <c r="R3710" s="42"/>
      <c r="S3710" s="1"/>
    </row>
    <row r="3711" spans="1:19" ht="18.75" hidden="1" customHeight="1" x14ac:dyDescent="0.3">
      <c r="A3711" s="10">
        <v>3710</v>
      </c>
      <c r="B3711" s="10">
        <f>_xlfn.XLOOKUP(1,(VALUE(D3711)&gt;=VALUE(block!$C$3:$C$500))*(VALUE(D3711)&lt;VALUE(block!$C$3:$C$500)+VALUE(block!$D$3:$D$500)),block!$A$3:$A$500,"无匹配",0,1)</f>
        <v>103</v>
      </c>
      <c r="C3711" s="3" t="str">
        <f>B3711 &amp; "-" &amp; COUNTIF($B$2:B3711, B3711)</f>
        <v>103-53</v>
      </c>
      <c r="D3711" s="10">
        <v>4218</v>
      </c>
      <c r="E3711" s="1" t="s">
        <v>8865</v>
      </c>
      <c r="F3711" s="1" t="s">
        <v>8866</v>
      </c>
      <c r="H3711" s="1" t="s">
        <v>5458</v>
      </c>
      <c r="I3711" s="10" t="str">
        <f>IF(H3711="T73",1,IF(H3711="T73",3,IF(H3711="T89",6,IF(H3711="T89",10,IF(H3711="T121",14,IF(H3711="T121",18,IF(H3711="T89",22,"")))))))</f>
        <v/>
      </c>
      <c r="J3711" s="3" t="s">
        <v>5447</v>
      </c>
      <c r="K3711" s="10">
        <v>1</v>
      </c>
      <c r="L3711" s="10">
        <v>1</v>
      </c>
      <c r="O3711" s="6">
        <v>28</v>
      </c>
      <c r="Q3711" s="42" t="s">
        <v>8762</v>
      </c>
      <c r="R3711" s="42"/>
      <c r="S3711" s="1"/>
    </row>
    <row r="3712" spans="1:19" ht="18.75" hidden="1" customHeight="1" x14ac:dyDescent="0.3">
      <c r="A3712" s="10">
        <v>3711</v>
      </c>
      <c r="B3712" s="10">
        <f>_xlfn.XLOOKUP(1,(VALUE(D3712)&gt;=VALUE(block!$C$3:$C$500))*(VALUE(D3712)&lt;VALUE(block!$C$3:$C$500)+VALUE(block!$D$3:$D$500)),block!$A$3:$A$500,"无匹配",0,1)</f>
        <v>103</v>
      </c>
      <c r="C3712" s="3" t="str">
        <f>B3712 &amp; "-" &amp; COUNTIF($B$2:B3712, B3712)</f>
        <v>103-54</v>
      </c>
      <c r="D3712" s="10">
        <v>4219</v>
      </c>
      <c r="E3712" s="1" t="s">
        <v>8867</v>
      </c>
      <c r="F3712" s="1" t="s">
        <v>8868</v>
      </c>
      <c r="H3712" s="1" t="s">
        <v>5458</v>
      </c>
      <c r="I3712" s="10" t="str">
        <f>IF(H3712="T74",1,IF(H3712="T74",3,IF(H3712="T90",6,IF(H3712="T90",10,IF(H3712="T122",14,IF(H3712="T122",18,IF(H3712="T90",22,"")))))))</f>
        <v/>
      </c>
      <c r="J3712" s="3" t="s">
        <v>5447</v>
      </c>
      <c r="K3712" s="10">
        <v>1</v>
      </c>
      <c r="L3712" s="10">
        <v>1</v>
      </c>
      <c r="O3712" s="6">
        <v>28</v>
      </c>
      <c r="Q3712" s="70" t="s">
        <v>8767</v>
      </c>
      <c r="R3712" s="70"/>
      <c r="S3712" s="1"/>
    </row>
    <row r="3713" spans="1:19" ht="18.75" hidden="1" customHeight="1" x14ac:dyDescent="0.3">
      <c r="A3713" s="10">
        <v>3712</v>
      </c>
      <c r="B3713" s="10">
        <f>_xlfn.XLOOKUP(1,(VALUE(D3713)&gt;=VALUE(block!$C$3:$C$500))*(VALUE(D3713)&lt;VALUE(block!$C$3:$C$500)+VALUE(block!$D$3:$D$500)),block!$A$3:$A$500,"无匹配",0,1)</f>
        <v>103</v>
      </c>
      <c r="C3713" s="3" t="str">
        <f>B3713 &amp; "-" &amp; COUNTIF($B$2:B3713, B3713)</f>
        <v>103-55</v>
      </c>
      <c r="D3713" s="10">
        <v>4220</v>
      </c>
      <c r="E3713" s="1" t="s">
        <v>8869</v>
      </c>
      <c r="F3713" s="1" t="s">
        <v>8870</v>
      </c>
      <c r="H3713" s="1" t="s">
        <v>5458</v>
      </c>
      <c r="I3713" s="10" t="str">
        <f>IF(H3713="T75",1,IF(H3713="T75",3,IF(H3713="T91",6,IF(H3713="T91",10,IF(H3713="T123",14,IF(H3713="T123",18,IF(H3713="T91",22,"")))))))</f>
        <v/>
      </c>
      <c r="J3713" s="3" t="s">
        <v>5447</v>
      </c>
      <c r="K3713" s="10">
        <v>1</v>
      </c>
      <c r="L3713" s="10">
        <v>1</v>
      </c>
      <c r="O3713" s="6">
        <v>28</v>
      </c>
      <c r="Q3713" s="42" t="s">
        <v>8770</v>
      </c>
      <c r="R3713" s="42"/>
      <c r="S3713" s="1"/>
    </row>
    <row r="3714" spans="1:19" ht="18.75" hidden="1" customHeight="1" x14ac:dyDescent="0.3">
      <c r="A3714" s="10">
        <v>3713</v>
      </c>
      <c r="B3714" s="10">
        <f>_xlfn.XLOOKUP(1,(VALUE(D3714)&gt;=VALUE(block!$C$3:$C$500))*(VALUE(D3714)&lt;VALUE(block!$C$3:$C$500)+VALUE(block!$D$3:$D$500)),block!$A$3:$A$500,"无匹配",0,1)</f>
        <v>103</v>
      </c>
      <c r="C3714" s="3" t="str">
        <f>B3714 &amp; "-" &amp; COUNTIF($B$2:B3714, B3714)</f>
        <v>103-56</v>
      </c>
      <c r="D3714" s="10">
        <v>4221</v>
      </c>
      <c r="E3714" s="1" t="s">
        <v>8871</v>
      </c>
      <c r="F3714" s="1" t="s">
        <v>8872</v>
      </c>
      <c r="H3714" s="1" t="s">
        <v>5458</v>
      </c>
      <c r="I3714" s="10" t="str">
        <f>IF(H3714="T76",1,IF(H3714="T76",3,IF(H3714="T92",6,IF(H3714="T92",10,IF(H3714="T124",14,IF(H3714="T124",18,IF(H3714="T92",22,"")))))))</f>
        <v/>
      </c>
      <c r="J3714" s="3" t="s">
        <v>5447</v>
      </c>
      <c r="K3714" s="10">
        <v>1</v>
      </c>
      <c r="L3714" s="10">
        <v>1</v>
      </c>
      <c r="O3714" s="6">
        <v>28</v>
      </c>
      <c r="Q3714" s="42" t="s">
        <v>8759</v>
      </c>
      <c r="R3714" s="42"/>
      <c r="S3714" s="1"/>
    </row>
    <row r="3715" spans="1:19" ht="18.75" hidden="1" customHeight="1" x14ac:dyDescent="0.3">
      <c r="A3715" s="10">
        <v>3714</v>
      </c>
      <c r="B3715" s="10">
        <f>_xlfn.XLOOKUP(1,(VALUE(D3715)&gt;=VALUE(block!$C$3:$C$500))*(VALUE(D3715)&lt;VALUE(block!$C$3:$C$500)+VALUE(block!$D$3:$D$500)),block!$A$3:$A$500,"无匹配",0,1)</f>
        <v>103</v>
      </c>
      <c r="C3715" s="3" t="str">
        <f>B3715 &amp; "-" &amp; COUNTIF($B$2:B3715, B3715)</f>
        <v>103-57</v>
      </c>
      <c r="D3715" s="10">
        <v>4222</v>
      </c>
      <c r="E3715" s="1" t="s">
        <v>8873</v>
      </c>
      <c r="F3715" s="1" t="s">
        <v>8874</v>
      </c>
      <c r="H3715" s="1" t="s">
        <v>5458</v>
      </c>
      <c r="I3715" s="10" t="str">
        <f>IF(H3715="T77",1,IF(H3715="T77",3,IF(H3715="T93",6,IF(H3715="T93",10,IF(H3715="T125",14,IF(H3715="T125",18,IF(H3715="T93",22,"")))))))</f>
        <v/>
      </c>
      <c r="J3715" s="3" t="s">
        <v>5447</v>
      </c>
      <c r="K3715" s="10">
        <v>1</v>
      </c>
      <c r="L3715" s="10">
        <v>1</v>
      </c>
      <c r="O3715" s="6">
        <v>28</v>
      </c>
      <c r="Q3715" s="42" t="s">
        <v>8762</v>
      </c>
      <c r="R3715" s="42"/>
      <c r="S3715" s="1"/>
    </row>
    <row r="3716" spans="1:19" ht="18.75" hidden="1" customHeight="1" x14ac:dyDescent="0.3">
      <c r="A3716" s="10">
        <v>3715</v>
      </c>
      <c r="B3716" s="10">
        <f>_xlfn.XLOOKUP(1,(VALUE(D3716)&gt;=VALUE(block!$C$3:$C$500))*(VALUE(D3716)&lt;VALUE(block!$C$3:$C$500)+VALUE(block!$D$3:$D$500)),block!$A$3:$A$500,"无匹配",0,1)</f>
        <v>103</v>
      </c>
      <c r="C3716" s="3" t="str">
        <f>B3716 &amp; "-" &amp; COUNTIF($B$2:B3716, B3716)</f>
        <v>103-58</v>
      </c>
      <c r="D3716" s="10">
        <v>4223</v>
      </c>
      <c r="E3716" s="1" t="s">
        <v>8875</v>
      </c>
      <c r="F3716" s="1" t="s">
        <v>8876</v>
      </c>
      <c r="H3716" s="1" t="s">
        <v>5458</v>
      </c>
      <c r="I3716" s="10" t="str">
        <f>IF(H3716="T78",1,IF(H3716="T78",3,IF(H3716="T94",6,IF(H3716="T94",10,IF(H3716="T126",14,IF(H3716="T126",18,IF(H3716="T94",22,"")))))))</f>
        <v/>
      </c>
      <c r="J3716" s="3" t="s">
        <v>5447</v>
      </c>
      <c r="K3716" s="10">
        <v>1</v>
      </c>
      <c r="L3716" s="10">
        <v>1</v>
      </c>
      <c r="O3716" s="6">
        <v>28</v>
      </c>
      <c r="Q3716" s="42" t="s">
        <v>8762</v>
      </c>
      <c r="R3716" s="42"/>
      <c r="S3716" s="1"/>
    </row>
    <row r="3717" spans="1:19" ht="18.75" hidden="1" customHeight="1" x14ac:dyDescent="0.3">
      <c r="A3717" s="10">
        <v>3716</v>
      </c>
      <c r="B3717" s="10">
        <f>_xlfn.XLOOKUP(1,(VALUE(D3717)&gt;=VALUE(block!$C$3:$C$500))*(VALUE(D3717)&lt;VALUE(block!$C$3:$C$500)+VALUE(block!$D$3:$D$500)),block!$A$3:$A$500,"无匹配",0,1)</f>
        <v>103</v>
      </c>
      <c r="C3717" s="3" t="str">
        <f>B3717 &amp; "-" &amp; COUNTIF($B$2:B3717, B3717)</f>
        <v>103-59</v>
      </c>
      <c r="D3717" s="10">
        <v>4224</v>
      </c>
      <c r="E3717" s="1" t="s">
        <v>8877</v>
      </c>
      <c r="F3717" s="1" t="s">
        <v>8878</v>
      </c>
      <c r="H3717" s="1" t="s">
        <v>5458</v>
      </c>
      <c r="I3717" s="10" t="str">
        <f>IF(H3717="T79",1,IF(H3717="T79",3,IF(H3717="T95",6,IF(H3717="T95",10,IF(H3717="T127",14,IF(H3717="T127",18,IF(H3717="T95",22,"")))))))</f>
        <v/>
      </c>
      <c r="J3717" s="3" t="s">
        <v>5447</v>
      </c>
      <c r="K3717" s="10">
        <v>1</v>
      </c>
      <c r="L3717" s="10">
        <v>1</v>
      </c>
      <c r="O3717" s="6">
        <v>28</v>
      </c>
      <c r="Q3717" s="70" t="s">
        <v>8767</v>
      </c>
      <c r="R3717" s="70"/>
      <c r="S3717" s="1"/>
    </row>
    <row r="3718" spans="1:19" ht="18.75" hidden="1" customHeight="1" x14ac:dyDescent="0.3">
      <c r="A3718" s="10">
        <v>3717</v>
      </c>
      <c r="B3718" s="10">
        <f>_xlfn.XLOOKUP(1,(VALUE(D3718)&gt;=VALUE(block!$C$3:$C$500))*(VALUE(D3718)&lt;VALUE(block!$C$3:$C$500)+VALUE(block!$D$3:$D$500)),block!$A$3:$A$500,"无匹配",0,1)</f>
        <v>103</v>
      </c>
      <c r="C3718" s="3" t="str">
        <f>B3718 &amp; "-" &amp; COUNTIF($B$2:B3718, B3718)</f>
        <v>103-60</v>
      </c>
      <c r="D3718" s="10">
        <v>4225</v>
      </c>
      <c r="E3718" s="1" t="s">
        <v>8879</v>
      </c>
      <c r="F3718" s="1" t="s">
        <v>8880</v>
      </c>
      <c r="H3718" s="1" t="s">
        <v>5458</v>
      </c>
      <c r="I3718" s="10">
        <f>IF(H3718="uint16",1,IF(H3718="int16",3,IF(H3718="uint32",6,IF(H3718="int32",10,IF(H3718="uint64",14,IF(H3718="int64",18,IF(H3718="float32",22,"")))))))</f>
        <v>1</v>
      </c>
      <c r="J3718" s="3" t="s">
        <v>5447</v>
      </c>
      <c r="K3718" s="10">
        <v>1</v>
      </c>
      <c r="L3718" s="10">
        <v>1</v>
      </c>
      <c r="O3718" s="6">
        <v>28</v>
      </c>
      <c r="Q3718" s="42" t="s">
        <v>8770</v>
      </c>
      <c r="R3718" s="42"/>
      <c r="S3718" s="1"/>
    </row>
    <row r="3719" spans="1:19" ht="18.75" hidden="1" customHeight="1" x14ac:dyDescent="0.3">
      <c r="A3719" s="10">
        <v>3718</v>
      </c>
      <c r="B3719" s="10">
        <f>_xlfn.XLOOKUP(1,(VALUE(D3719)&gt;=VALUE(block!$C$3:$C$500))*(VALUE(D3719)&lt;VALUE(block!$C$3:$C$500)+VALUE(block!$D$3:$D$500)),block!$A$3:$A$500,"无匹配",0,1)</f>
        <v>103</v>
      </c>
      <c r="C3719" s="3" t="str">
        <f>B3719 &amp; "-" &amp; COUNTIF($B$2:B3719, B3719)</f>
        <v>103-61</v>
      </c>
      <c r="D3719" s="10">
        <v>4226</v>
      </c>
      <c r="E3719" s="1" t="s">
        <v>8881</v>
      </c>
      <c r="F3719" s="1" t="s">
        <v>8882</v>
      </c>
      <c r="H3719" s="1" t="s">
        <v>5458</v>
      </c>
      <c r="I3719" s="10" t="str">
        <f>IF(H3719="T17",1,IF(H3719="T17",3,IF(H3719="T33",6,IF(H3719="T33",10,IF(H3719="T65",14,IF(H3719="T65",18,IF(H3719="T33",22,"")))))))</f>
        <v/>
      </c>
      <c r="J3719" s="3" t="s">
        <v>5447</v>
      </c>
      <c r="K3719" s="10">
        <v>1</v>
      </c>
      <c r="L3719" s="10">
        <v>1</v>
      </c>
      <c r="O3719" s="6">
        <v>28</v>
      </c>
      <c r="Q3719" s="42" t="s">
        <v>8759</v>
      </c>
      <c r="R3719" s="42"/>
      <c r="S3719" s="1"/>
    </row>
    <row r="3720" spans="1:19" ht="18.75" hidden="1" customHeight="1" x14ac:dyDescent="0.3">
      <c r="A3720" s="10">
        <v>3719</v>
      </c>
      <c r="B3720" s="10">
        <f>_xlfn.XLOOKUP(1,(VALUE(D3720)&gt;=VALUE(block!$C$3:$C$500))*(VALUE(D3720)&lt;VALUE(block!$C$3:$C$500)+VALUE(block!$D$3:$D$500)),block!$A$3:$A$500,"无匹配",0,1)</f>
        <v>103</v>
      </c>
      <c r="C3720" s="3" t="str">
        <f>B3720 &amp; "-" &amp; COUNTIF($B$2:B3720, B3720)</f>
        <v>103-62</v>
      </c>
      <c r="D3720" s="10">
        <v>4227</v>
      </c>
      <c r="E3720" s="1" t="s">
        <v>8883</v>
      </c>
      <c r="F3720" s="1" t="s">
        <v>8884</v>
      </c>
      <c r="H3720" s="1" t="s">
        <v>5458</v>
      </c>
      <c r="I3720" s="10" t="str">
        <f>IF(H3720="T18",1,IF(H3720="T18",3,IF(H3720="T34",6,IF(H3720="T34",10,IF(H3720="T66",14,IF(H3720="T66",18,IF(H3720="T34",22,"")))))))</f>
        <v/>
      </c>
      <c r="J3720" s="3" t="s">
        <v>5447</v>
      </c>
      <c r="K3720" s="10">
        <v>1</v>
      </c>
      <c r="L3720" s="10">
        <v>1</v>
      </c>
      <c r="O3720" s="6">
        <v>28</v>
      </c>
      <c r="Q3720" s="42" t="s">
        <v>8762</v>
      </c>
      <c r="R3720" s="42"/>
      <c r="S3720" s="1"/>
    </row>
    <row r="3721" spans="1:19" ht="18.75" hidden="1" customHeight="1" x14ac:dyDescent="0.3">
      <c r="A3721" s="10">
        <v>3720</v>
      </c>
      <c r="B3721" s="10">
        <f>_xlfn.XLOOKUP(1,(VALUE(D3721)&gt;=VALUE(block!$C$3:$C$500))*(VALUE(D3721)&lt;VALUE(block!$C$3:$C$500)+VALUE(block!$D$3:$D$500)),block!$A$3:$A$500,"无匹配",0,1)</f>
        <v>103</v>
      </c>
      <c r="C3721" s="3" t="str">
        <f>B3721 &amp; "-" &amp; COUNTIF($B$2:B3721, B3721)</f>
        <v>103-63</v>
      </c>
      <c r="D3721" s="10">
        <v>4228</v>
      </c>
      <c r="E3721" s="1" t="s">
        <v>8885</v>
      </c>
      <c r="F3721" s="1" t="s">
        <v>8886</v>
      </c>
      <c r="H3721" s="1" t="s">
        <v>5458</v>
      </c>
      <c r="I3721" s="10" t="str">
        <f>IF(H3721="T19",1,IF(H3721="T19",3,IF(H3721="T35",6,IF(H3721="T35",10,IF(H3721="T67",14,IF(H3721="T67",18,IF(H3721="T35",22,"")))))))</f>
        <v/>
      </c>
      <c r="J3721" s="3" t="s">
        <v>5447</v>
      </c>
      <c r="K3721" s="10">
        <v>1</v>
      </c>
      <c r="L3721" s="10">
        <v>1</v>
      </c>
      <c r="O3721" s="6">
        <v>28</v>
      </c>
      <c r="Q3721" s="42" t="s">
        <v>8762</v>
      </c>
      <c r="R3721" s="42"/>
      <c r="S3721" s="1"/>
    </row>
    <row r="3722" spans="1:19" ht="18.75" hidden="1" customHeight="1" x14ac:dyDescent="0.3">
      <c r="A3722" s="10">
        <v>3721</v>
      </c>
      <c r="B3722" s="10">
        <f>_xlfn.XLOOKUP(1,(VALUE(D3722)&gt;=VALUE(block!$C$3:$C$500))*(VALUE(D3722)&lt;VALUE(block!$C$3:$C$500)+VALUE(block!$D$3:$D$500)),block!$A$3:$A$500,"无匹配",0,1)</f>
        <v>103</v>
      </c>
      <c r="C3722" s="3" t="str">
        <f>B3722 &amp; "-" &amp; COUNTIF($B$2:B3722, B3722)</f>
        <v>103-64</v>
      </c>
      <c r="D3722" s="10">
        <v>4229</v>
      </c>
      <c r="E3722" s="1" t="s">
        <v>8887</v>
      </c>
      <c r="F3722" s="1" t="s">
        <v>8888</v>
      </c>
      <c r="H3722" s="1" t="s">
        <v>5458</v>
      </c>
      <c r="I3722" s="10" t="str">
        <f>IF(H3722="T20",1,IF(H3722="T20",3,IF(H3722="T36",6,IF(H3722="T36",10,IF(H3722="T68",14,IF(H3722="T68",18,IF(H3722="T36",22,"")))))))</f>
        <v/>
      </c>
      <c r="J3722" s="3" t="s">
        <v>5447</v>
      </c>
      <c r="K3722" s="10">
        <v>1</v>
      </c>
      <c r="L3722" s="10">
        <v>1</v>
      </c>
      <c r="O3722" s="6">
        <v>28</v>
      </c>
      <c r="Q3722" s="70" t="s">
        <v>8767</v>
      </c>
      <c r="R3722" s="70"/>
      <c r="S3722" s="1"/>
    </row>
    <row r="3723" spans="1:19" ht="18.75" hidden="1" customHeight="1" x14ac:dyDescent="0.3">
      <c r="A3723" s="10">
        <v>3722</v>
      </c>
      <c r="B3723" s="10">
        <f>_xlfn.XLOOKUP(1,(VALUE(D3723)&gt;=VALUE(block!$C$3:$C$500))*(VALUE(D3723)&lt;VALUE(block!$C$3:$C$500)+VALUE(block!$D$3:$D$500)),block!$A$3:$A$500,"无匹配",0,1)</f>
        <v>103</v>
      </c>
      <c r="C3723" s="3" t="str">
        <f>B3723 &amp; "-" &amp; COUNTIF($B$2:B3723, B3723)</f>
        <v>103-65</v>
      </c>
      <c r="D3723" s="10">
        <v>4230</v>
      </c>
      <c r="E3723" s="1" t="s">
        <v>8889</v>
      </c>
      <c r="F3723" s="1" t="s">
        <v>8890</v>
      </c>
      <c r="H3723" s="1" t="s">
        <v>5458</v>
      </c>
      <c r="I3723" s="10" t="str">
        <f>IF(H3723="T21",1,IF(H3723="T21",3,IF(H3723="T37",6,IF(H3723="T37",10,IF(H3723="T69",14,IF(H3723="T69",18,IF(H3723="T37",22,"")))))))</f>
        <v/>
      </c>
      <c r="J3723" s="3" t="s">
        <v>5447</v>
      </c>
      <c r="K3723" s="10">
        <v>1</v>
      </c>
      <c r="L3723" s="10">
        <v>1</v>
      </c>
      <c r="O3723" s="6">
        <v>28</v>
      </c>
      <c r="Q3723" s="42" t="s">
        <v>8770</v>
      </c>
      <c r="R3723" s="42"/>
      <c r="S3723" s="1"/>
    </row>
    <row r="3724" spans="1:19" ht="18.75" hidden="1" customHeight="1" x14ac:dyDescent="0.3">
      <c r="A3724" s="10">
        <v>3723</v>
      </c>
      <c r="B3724" s="10">
        <f>_xlfn.XLOOKUP(1,(VALUE(D3724)&gt;=VALUE(block!$C$3:$C$500))*(VALUE(D3724)&lt;VALUE(block!$C$3:$C$500)+VALUE(block!$D$3:$D$500)),block!$A$3:$A$500,"无匹配",0,1)</f>
        <v>103</v>
      </c>
      <c r="C3724" s="3" t="str">
        <f>B3724 &amp; "-" &amp; COUNTIF($B$2:B3724, B3724)</f>
        <v>103-66</v>
      </c>
      <c r="D3724" s="10">
        <v>4231</v>
      </c>
      <c r="E3724" s="1" t="s">
        <v>8891</v>
      </c>
      <c r="F3724" s="1" t="s">
        <v>8892</v>
      </c>
      <c r="H3724" s="1" t="s">
        <v>5458</v>
      </c>
      <c r="I3724" s="10" t="str">
        <f>IF(H3724="T22",1,IF(H3724="T22",3,IF(H3724="T38",6,IF(H3724="T38",10,IF(H3724="T70",14,IF(H3724="T70",18,IF(H3724="T38",22,"")))))))</f>
        <v/>
      </c>
      <c r="J3724" s="3" t="s">
        <v>5447</v>
      </c>
      <c r="K3724" s="10">
        <v>1</v>
      </c>
      <c r="L3724" s="10">
        <v>1</v>
      </c>
      <c r="O3724" s="6">
        <v>28</v>
      </c>
      <c r="Q3724" s="42" t="s">
        <v>8759</v>
      </c>
      <c r="R3724" s="42"/>
      <c r="S3724" s="1"/>
    </row>
    <row r="3725" spans="1:19" ht="18.75" hidden="1" customHeight="1" x14ac:dyDescent="0.3">
      <c r="A3725" s="10">
        <v>3724</v>
      </c>
      <c r="B3725" s="10">
        <f>_xlfn.XLOOKUP(1,(VALUE(D3725)&gt;=VALUE(block!$C$3:$C$500))*(VALUE(D3725)&lt;VALUE(block!$C$3:$C$500)+VALUE(block!$D$3:$D$500)),block!$A$3:$A$500,"无匹配",0,1)</f>
        <v>103</v>
      </c>
      <c r="C3725" s="3" t="str">
        <f>B3725 &amp; "-" &amp; COUNTIF($B$2:B3725, B3725)</f>
        <v>103-67</v>
      </c>
      <c r="D3725" s="10">
        <v>4232</v>
      </c>
      <c r="E3725" s="1" t="s">
        <v>8893</v>
      </c>
      <c r="F3725" s="1" t="s">
        <v>8894</v>
      </c>
      <c r="H3725" s="1" t="s">
        <v>5458</v>
      </c>
      <c r="I3725" s="10" t="str">
        <f>IF(H3725="T23",1,IF(H3725="T23",3,IF(H3725="T39",6,IF(H3725="T39",10,IF(H3725="T71",14,IF(H3725="T71",18,IF(H3725="T39",22,"")))))))</f>
        <v/>
      </c>
      <c r="J3725" s="3" t="s">
        <v>5447</v>
      </c>
      <c r="K3725" s="10">
        <v>1</v>
      </c>
      <c r="L3725" s="10">
        <v>1</v>
      </c>
      <c r="O3725" s="6">
        <v>28</v>
      </c>
      <c r="Q3725" s="42" t="s">
        <v>8762</v>
      </c>
      <c r="R3725" s="42"/>
      <c r="S3725" s="1"/>
    </row>
    <row r="3726" spans="1:19" ht="18.75" hidden="1" customHeight="1" x14ac:dyDescent="0.3">
      <c r="A3726" s="10">
        <v>3725</v>
      </c>
      <c r="B3726" s="10">
        <f>_xlfn.XLOOKUP(1,(VALUE(D3726)&gt;=VALUE(block!$C$3:$C$500))*(VALUE(D3726)&lt;VALUE(block!$C$3:$C$500)+VALUE(block!$D$3:$D$500)),block!$A$3:$A$500,"无匹配",0,1)</f>
        <v>103</v>
      </c>
      <c r="C3726" s="3" t="str">
        <f>B3726 &amp; "-" &amp; COUNTIF($B$2:B3726, B3726)</f>
        <v>103-68</v>
      </c>
      <c r="D3726" s="10">
        <v>4233</v>
      </c>
      <c r="E3726" s="1" t="s">
        <v>8895</v>
      </c>
      <c r="F3726" s="1" t="s">
        <v>8896</v>
      </c>
      <c r="H3726" s="1" t="s">
        <v>5458</v>
      </c>
      <c r="I3726" s="10" t="str">
        <f>IF(H3726="T24",1,IF(H3726="T24",3,IF(H3726="T40",6,IF(H3726="T40",10,IF(H3726="T72",14,IF(H3726="T72",18,IF(H3726="T40",22,"")))))))</f>
        <v/>
      </c>
      <c r="J3726" s="3" t="s">
        <v>5447</v>
      </c>
      <c r="K3726" s="10">
        <v>1</v>
      </c>
      <c r="L3726" s="10">
        <v>1</v>
      </c>
      <c r="O3726" s="6">
        <v>28</v>
      </c>
      <c r="Q3726" s="42" t="s">
        <v>8762</v>
      </c>
      <c r="R3726" s="42"/>
      <c r="S3726" s="1"/>
    </row>
    <row r="3727" spans="1:19" ht="18.75" hidden="1" customHeight="1" x14ac:dyDescent="0.3">
      <c r="A3727" s="10">
        <v>3726</v>
      </c>
      <c r="B3727" s="10">
        <f>_xlfn.XLOOKUP(1,(VALUE(D3727)&gt;=VALUE(block!$C$3:$C$500))*(VALUE(D3727)&lt;VALUE(block!$C$3:$C$500)+VALUE(block!$D$3:$D$500)),block!$A$3:$A$500,"无匹配",0,1)</f>
        <v>103</v>
      </c>
      <c r="C3727" s="3" t="str">
        <f>B3727 &amp; "-" &amp; COUNTIF($B$2:B3727, B3727)</f>
        <v>103-69</v>
      </c>
      <c r="D3727" s="10">
        <v>4234</v>
      </c>
      <c r="E3727" s="1" t="s">
        <v>8897</v>
      </c>
      <c r="F3727" s="1" t="s">
        <v>8898</v>
      </c>
      <c r="H3727" s="1" t="s">
        <v>5458</v>
      </c>
      <c r="I3727" s="10" t="str">
        <f>IF(H3727="T25",1,IF(H3727="T25",3,IF(H3727="T41",6,IF(H3727="T41",10,IF(H3727="T73",14,IF(H3727="T73",18,IF(H3727="T41",22,"")))))))</f>
        <v/>
      </c>
      <c r="J3727" s="3" t="s">
        <v>5447</v>
      </c>
      <c r="K3727" s="10">
        <v>1</v>
      </c>
      <c r="L3727" s="10">
        <v>1</v>
      </c>
      <c r="O3727" s="6">
        <v>28</v>
      </c>
      <c r="Q3727" s="70" t="s">
        <v>8767</v>
      </c>
      <c r="R3727" s="70"/>
      <c r="S3727" s="1"/>
    </row>
    <row r="3728" spans="1:19" ht="18.75" hidden="1" customHeight="1" x14ac:dyDescent="0.3">
      <c r="A3728" s="10">
        <v>3727</v>
      </c>
      <c r="B3728" s="10">
        <f>_xlfn.XLOOKUP(1,(VALUE(D3728)&gt;=VALUE(block!$C$3:$C$500))*(VALUE(D3728)&lt;VALUE(block!$C$3:$C$500)+VALUE(block!$D$3:$D$500)),block!$A$3:$A$500,"无匹配",0,1)</f>
        <v>103</v>
      </c>
      <c r="C3728" s="3" t="str">
        <f>B3728 &amp; "-" &amp; COUNTIF($B$2:B3728, B3728)</f>
        <v>103-70</v>
      </c>
      <c r="D3728" s="10">
        <v>4235</v>
      </c>
      <c r="E3728" s="1" t="s">
        <v>8899</v>
      </c>
      <c r="F3728" s="1" t="s">
        <v>8900</v>
      </c>
      <c r="H3728" s="1" t="s">
        <v>5458</v>
      </c>
      <c r="I3728" s="10" t="str">
        <f>IF(H3728="T26",1,IF(H3728="T26",3,IF(H3728="T42",6,IF(H3728="T42",10,IF(H3728="T74",14,IF(H3728="T74",18,IF(H3728="T42",22,"")))))))</f>
        <v/>
      </c>
      <c r="J3728" s="3" t="s">
        <v>5447</v>
      </c>
      <c r="K3728" s="10">
        <v>1</v>
      </c>
      <c r="L3728" s="10">
        <v>1</v>
      </c>
      <c r="O3728" s="6">
        <v>28</v>
      </c>
      <c r="Q3728" s="42" t="s">
        <v>8770</v>
      </c>
      <c r="R3728" s="42"/>
      <c r="S3728" s="1"/>
    </row>
    <row r="3729" spans="1:19" ht="18.75" hidden="1" customHeight="1" x14ac:dyDescent="0.3">
      <c r="A3729" s="10">
        <v>3728</v>
      </c>
      <c r="B3729" s="10">
        <f>_xlfn.XLOOKUP(1,(VALUE(D3729)&gt;=VALUE(block!$C$3:$C$500))*(VALUE(D3729)&lt;VALUE(block!$C$3:$C$500)+VALUE(block!$D$3:$D$500)),block!$A$3:$A$500,"无匹配",0,1)</f>
        <v>103</v>
      </c>
      <c r="C3729" s="3" t="str">
        <f>B3729 &amp; "-" &amp; COUNTIF($B$2:B3729, B3729)</f>
        <v>103-71</v>
      </c>
      <c r="D3729" s="10">
        <v>4236</v>
      </c>
      <c r="E3729" s="1" t="s">
        <v>8901</v>
      </c>
      <c r="F3729" s="1" t="s">
        <v>8902</v>
      </c>
      <c r="H3729" s="1" t="s">
        <v>5458</v>
      </c>
      <c r="I3729" s="10" t="str">
        <f>IF(H3729="T27",1,IF(H3729="T27",3,IF(H3729="T43",6,IF(H3729="T43",10,IF(H3729="T75",14,IF(H3729="T75",18,IF(H3729="T43",22,"")))))))</f>
        <v/>
      </c>
      <c r="J3729" s="3" t="s">
        <v>5447</v>
      </c>
      <c r="K3729" s="10">
        <v>1</v>
      </c>
      <c r="L3729" s="10">
        <v>1</v>
      </c>
      <c r="O3729" s="6">
        <v>28</v>
      </c>
      <c r="Q3729" s="42" t="s">
        <v>8759</v>
      </c>
      <c r="R3729" s="42"/>
      <c r="S3729" s="1"/>
    </row>
    <row r="3730" spans="1:19" ht="18.75" hidden="1" customHeight="1" x14ac:dyDescent="0.3">
      <c r="A3730" s="10">
        <v>3729</v>
      </c>
      <c r="B3730" s="10">
        <f>_xlfn.XLOOKUP(1,(VALUE(D3730)&gt;=VALUE(block!$C$3:$C$500))*(VALUE(D3730)&lt;VALUE(block!$C$3:$C$500)+VALUE(block!$D$3:$D$500)),block!$A$3:$A$500,"无匹配",0,1)</f>
        <v>103</v>
      </c>
      <c r="C3730" s="3" t="str">
        <f>B3730 &amp; "-" &amp; COUNTIF($B$2:B3730, B3730)</f>
        <v>103-72</v>
      </c>
      <c r="D3730" s="10">
        <v>4237</v>
      </c>
      <c r="E3730" s="1" t="s">
        <v>8903</v>
      </c>
      <c r="F3730" s="1" t="s">
        <v>8904</v>
      </c>
      <c r="H3730" s="1" t="s">
        <v>5458</v>
      </c>
      <c r="I3730" s="10" t="str">
        <f>IF(H3730="T28",1,IF(H3730="T28",3,IF(H3730="T44",6,IF(H3730="T44",10,IF(H3730="T76",14,IF(H3730="T76",18,IF(H3730="T44",22,"")))))))</f>
        <v/>
      </c>
      <c r="J3730" s="3" t="s">
        <v>5447</v>
      </c>
      <c r="K3730" s="10">
        <v>1</v>
      </c>
      <c r="L3730" s="10">
        <v>1</v>
      </c>
      <c r="O3730" s="6">
        <v>28</v>
      </c>
      <c r="Q3730" s="42" t="s">
        <v>8762</v>
      </c>
      <c r="R3730" s="42"/>
      <c r="S3730" s="1"/>
    </row>
    <row r="3731" spans="1:19" ht="18.75" hidden="1" customHeight="1" x14ac:dyDescent="0.3">
      <c r="A3731" s="10">
        <v>3730</v>
      </c>
      <c r="B3731" s="10">
        <f>_xlfn.XLOOKUP(1,(VALUE(D3731)&gt;=VALUE(block!$C$3:$C$500))*(VALUE(D3731)&lt;VALUE(block!$C$3:$C$500)+VALUE(block!$D$3:$D$500)),block!$A$3:$A$500,"无匹配",0,1)</f>
        <v>103</v>
      </c>
      <c r="C3731" s="3" t="str">
        <f>B3731 &amp; "-" &amp; COUNTIF($B$2:B3731, B3731)</f>
        <v>103-73</v>
      </c>
      <c r="D3731" s="10">
        <v>4238</v>
      </c>
      <c r="E3731" s="1" t="s">
        <v>8905</v>
      </c>
      <c r="F3731" s="1" t="s">
        <v>8906</v>
      </c>
      <c r="H3731" s="1" t="s">
        <v>5458</v>
      </c>
      <c r="I3731" s="10" t="str">
        <f>IF(H3731="T29",1,IF(H3731="T29",3,IF(H3731="T45",6,IF(H3731="T45",10,IF(H3731="T77",14,IF(H3731="T77",18,IF(H3731="T45",22,"")))))))</f>
        <v/>
      </c>
      <c r="J3731" s="3" t="s">
        <v>5447</v>
      </c>
      <c r="K3731" s="10">
        <v>1</v>
      </c>
      <c r="L3731" s="10">
        <v>1</v>
      </c>
      <c r="O3731" s="6">
        <v>28</v>
      </c>
      <c r="Q3731" s="42" t="s">
        <v>8762</v>
      </c>
      <c r="R3731" s="42"/>
      <c r="S3731" s="1"/>
    </row>
    <row r="3732" spans="1:19" ht="18.75" hidden="1" customHeight="1" x14ac:dyDescent="0.3">
      <c r="A3732" s="10">
        <v>3731</v>
      </c>
      <c r="B3732" s="10">
        <f>_xlfn.XLOOKUP(1,(VALUE(D3732)&gt;=VALUE(block!$C$3:$C$500))*(VALUE(D3732)&lt;VALUE(block!$C$3:$C$500)+VALUE(block!$D$3:$D$500)),block!$A$3:$A$500,"无匹配",0,1)</f>
        <v>103</v>
      </c>
      <c r="C3732" s="3" t="str">
        <f>B3732 &amp; "-" &amp; COUNTIF($B$2:B3732, B3732)</f>
        <v>103-74</v>
      </c>
      <c r="D3732" s="10">
        <v>4239</v>
      </c>
      <c r="E3732" s="1" t="s">
        <v>8907</v>
      </c>
      <c r="F3732" s="1" t="s">
        <v>8908</v>
      </c>
      <c r="H3732" s="1" t="s">
        <v>5458</v>
      </c>
      <c r="I3732" s="10" t="str">
        <f>IF(H3732="T30",1,IF(H3732="T30",3,IF(H3732="T46",6,IF(H3732="T46",10,IF(H3732="T78",14,IF(H3732="T78",18,IF(H3732="T46",22,"")))))))</f>
        <v/>
      </c>
      <c r="J3732" s="3" t="s">
        <v>5447</v>
      </c>
      <c r="K3732" s="10">
        <v>1</v>
      </c>
      <c r="L3732" s="10">
        <v>1</v>
      </c>
      <c r="O3732" s="6">
        <v>28</v>
      </c>
      <c r="Q3732" s="70" t="s">
        <v>8767</v>
      </c>
      <c r="R3732" s="70"/>
      <c r="S3732" s="1"/>
    </row>
    <row r="3733" spans="1:19" ht="18.75" hidden="1" customHeight="1" x14ac:dyDescent="0.3">
      <c r="A3733" s="10">
        <v>3732</v>
      </c>
      <c r="B3733" s="10">
        <f>_xlfn.XLOOKUP(1,(VALUE(D3733)&gt;=VALUE(block!$C$3:$C$500))*(VALUE(D3733)&lt;VALUE(block!$C$3:$C$500)+VALUE(block!$D$3:$D$500)),block!$A$3:$A$500,"无匹配",0,1)</f>
        <v>103</v>
      </c>
      <c r="C3733" s="3" t="str">
        <f>B3733 &amp; "-" &amp; COUNTIF($B$2:B3733, B3733)</f>
        <v>103-75</v>
      </c>
      <c r="D3733" s="10">
        <v>4240</v>
      </c>
      <c r="E3733" s="1" t="s">
        <v>8909</v>
      </c>
      <c r="F3733" s="1" t="s">
        <v>8910</v>
      </c>
      <c r="H3733" s="1" t="s">
        <v>5458</v>
      </c>
      <c r="I3733" s="10" t="str">
        <f>IF(H3733="T31",1,IF(H3733="T31",3,IF(H3733="T47",6,IF(H3733="T47",10,IF(H3733="T79",14,IF(H3733="T79",18,IF(H3733="T47",22,"")))))))</f>
        <v/>
      </c>
      <c r="J3733" s="3" t="s">
        <v>5447</v>
      </c>
      <c r="K3733" s="10">
        <v>1</v>
      </c>
      <c r="L3733" s="10">
        <v>1</v>
      </c>
      <c r="O3733" s="6">
        <v>28</v>
      </c>
      <c r="Q3733" s="42" t="s">
        <v>8770</v>
      </c>
      <c r="R3733" s="42"/>
      <c r="S3733" s="1"/>
    </row>
    <row r="3734" spans="1:19" ht="18.75" hidden="1" customHeight="1" x14ac:dyDescent="0.3">
      <c r="A3734" s="10">
        <v>3733</v>
      </c>
      <c r="B3734" s="10">
        <f>_xlfn.XLOOKUP(1,(VALUE(D3734)&gt;=VALUE(block!$C$3:$C$500))*(VALUE(D3734)&lt;VALUE(block!$C$3:$C$500)+VALUE(block!$D$3:$D$500)),block!$A$3:$A$500,"无匹配",0,1)</f>
        <v>103</v>
      </c>
      <c r="C3734" s="3" t="str">
        <f>B3734 &amp; "-" &amp; COUNTIF($B$2:B3734, B3734)</f>
        <v>103-76</v>
      </c>
      <c r="D3734" s="10">
        <v>4241</v>
      </c>
      <c r="E3734" s="1" t="s">
        <v>8911</v>
      </c>
      <c r="F3734" s="1" t="s">
        <v>8912</v>
      </c>
      <c r="H3734" s="1" t="s">
        <v>5458</v>
      </c>
      <c r="I3734" s="10" t="str">
        <f>IF(H3734="T32",1,IF(H3734="T32",3,IF(H3734="T48",6,IF(H3734="T48",10,IF(H3734="T80",14,IF(H3734="T80",18,IF(H3734="T48",22,"")))))))</f>
        <v/>
      </c>
      <c r="J3734" s="3" t="s">
        <v>5447</v>
      </c>
      <c r="K3734" s="10">
        <v>1</v>
      </c>
      <c r="L3734" s="10">
        <v>1</v>
      </c>
      <c r="O3734" s="6">
        <v>28</v>
      </c>
      <c r="Q3734" s="42" t="s">
        <v>8759</v>
      </c>
      <c r="R3734" s="42"/>
      <c r="S3734" s="1"/>
    </row>
    <row r="3735" spans="1:19" ht="18.75" hidden="1" customHeight="1" x14ac:dyDescent="0.3">
      <c r="A3735" s="10">
        <v>3734</v>
      </c>
      <c r="B3735" s="10">
        <f>_xlfn.XLOOKUP(1,(VALUE(D3735)&gt;=VALUE(block!$C$3:$C$500))*(VALUE(D3735)&lt;VALUE(block!$C$3:$C$500)+VALUE(block!$D$3:$D$500)),block!$A$3:$A$500,"无匹配",0,1)</f>
        <v>103</v>
      </c>
      <c r="C3735" s="3" t="str">
        <f>B3735 &amp; "-" &amp; COUNTIF($B$2:B3735, B3735)</f>
        <v>103-77</v>
      </c>
      <c r="D3735" s="10">
        <v>4242</v>
      </c>
      <c r="E3735" s="1" t="s">
        <v>8913</v>
      </c>
      <c r="F3735" s="1" t="s">
        <v>8914</v>
      </c>
      <c r="H3735" s="1" t="s">
        <v>5458</v>
      </c>
      <c r="I3735" s="10" t="str">
        <f>IF(H3735="T33",1,IF(H3735="T33",3,IF(H3735="T49",6,IF(H3735="T49",10,IF(H3735="T81",14,IF(H3735="T81",18,IF(H3735="T49",22,"")))))))</f>
        <v/>
      </c>
      <c r="J3735" s="3" t="s">
        <v>5447</v>
      </c>
      <c r="K3735" s="10">
        <v>1</v>
      </c>
      <c r="L3735" s="10">
        <v>1</v>
      </c>
      <c r="O3735" s="6">
        <v>28</v>
      </c>
      <c r="Q3735" s="42" t="s">
        <v>8762</v>
      </c>
      <c r="R3735" s="42"/>
      <c r="S3735" s="1"/>
    </row>
    <row r="3736" spans="1:19" ht="18.75" hidden="1" customHeight="1" x14ac:dyDescent="0.3">
      <c r="A3736" s="10">
        <v>3735</v>
      </c>
      <c r="B3736" s="10">
        <f>_xlfn.XLOOKUP(1,(VALUE(D3736)&gt;=VALUE(block!$C$3:$C$500))*(VALUE(D3736)&lt;VALUE(block!$C$3:$C$500)+VALUE(block!$D$3:$D$500)),block!$A$3:$A$500,"无匹配",0,1)</f>
        <v>103</v>
      </c>
      <c r="C3736" s="3" t="str">
        <f>B3736 &amp; "-" &amp; COUNTIF($B$2:B3736, B3736)</f>
        <v>103-78</v>
      </c>
      <c r="D3736" s="10">
        <v>4243</v>
      </c>
      <c r="E3736" s="1" t="s">
        <v>8915</v>
      </c>
      <c r="F3736" s="1" t="s">
        <v>8916</v>
      </c>
      <c r="H3736" s="1" t="s">
        <v>5458</v>
      </c>
      <c r="I3736" s="10" t="str">
        <f>IF(H3736="T34",1,IF(H3736="T34",3,IF(H3736="T50",6,IF(H3736="T50",10,IF(H3736="T82",14,IF(H3736="T82",18,IF(H3736="T50",22,"")))))))</f>
        <v/>
      </c>
      <c r="J3736" s="3" t="s">
        <v>5447</v>
      </c>
      <c r="K3736" s="10">
        <v>1</v>
      </c>
      <c r="L3736" s="10">
        <v>1</v>
      </c>
      <c r="O3736" s="6">
        <v>28</v>
      </c>
      <c r="Q3736" s="42" t="s">
        <v>8762</v>
      </c>
      <c r="R3736" s="42"/>
      <c r="S3736" s="1"/>
    </row>
    <row r="3737" spans="1:19" ht="18.75" hidden="1" customHeight="1" x14ac:dyDescent="0.3">
      <c r="A3737" s="10">
        <v>3736</v>
      </c>
      <c r="B3737" s="10">
        <f>_xlfn.XLOOKUP(1,(VALUE(D3737)&gt;=VALUE(block!$C$3:$C$500))*(VALUE(D3737)&lt;VALUE(block!$C$3:$C$500)+VALUE(block!$D$3:$D$500)),block!$A$3:$A$500,"无匹配",0,1)</f>
        <v>103</v>
      </c>
      <c r="C3737" s="3" t="str">
        <f>B3737 &amp; "-" &amp; COUNTIF($B$2:B3737, B3737)</f>
        <v>103-79</v>
      </c>
      <c r="D3737" s="10">
        <v>4244</v>
      </c>
      <c r="E3737" s="1" t="s">
        <v>8917</v>
      </c>
      <c r="F3737" s="1" t="s">
        <v>8918</v>
      </c>
      <c r="H3737" s="1" t="s">
        <v>5458</v>
      </c>
      <c r="I3737" s="10" t="str">
        <f>IF(H3737="T35",1,IF(H3737="T35",3,IF(H3737="T51",6,IF(H3737="T51",10,IF(H3737="T83",14,IF(H3737="T83",18,IF(H3737="T51",22,"")))))))</f>
        <v/>
      </c>
      <c r="J3737" s="3" t="s">
        <v>5447</v>
      </c>
      <c r="K3737" s="10">
        <v>1</v>
      </c>
      <c r="L3737" s="10">
        <v>1</v>
      </c>
      <c r="O3737" s="6">
        <v>28</v>
      </c>
      <c r="Q3737" s="70" t="s">
        <v>8767</v>
      </c>
      <c r="R3737" s="70"/>
      <c r="S3737" s="1"/>
    </row>
    <row r="3738" spans="1:19" ht="18.75" hidden="1" customHeight="1" x14ac:dyDescent="0.3">
      <c r="A3738" s="10">
        <v>3737</v>
      </c>
      <c r="B3738" s="10">
        <f>_xlfn.XLOOKUP(1,(VALUE(D3738)&gt;=VALUE(block!$C$3:$C$500))*(VALUE(D3738)&lt;VALUE(block!$C$3:$C$500)+VALUE(block!$D$3:$D$500)),block!$A$3:$A$500,"无匹配",0,1)</f>
        <v>103</v>
      </c>
      <c r="C3738" s="3" t="str">
        <f>B3738 &amp; "-" &amp; COUNTIF($B$2:B3738, B3738)</f>
        <v>103-80</v>
      </c>
      <c r="D3738" s="10">
        <v>4245</v>
      </c>
      <c r="E3738" s="1" t="s">
        <v>8919</v>
      </c>
      <c r="F3738" s="1" t="s">
        <v>8920</v>
      </c>
      <c r="H3738" s="1" t="s">
        <v>5458</v>
      </c>
      <c r="I3738" s="10" t="str">
        <f>IF(H3738="T36",1,IF(H3738="T36",3,IF(H3738="T52",6,IF(H3738="T52",10,IF(H3738="T84",14,IF(H3738="T84",18,IF(H3738="T52",22,"")))))))</f>
        <v/>
      </c>
      <c r="J3738" s="3" t="s">
        <v>5447</v>
      </c>
      <c r="K3738" s="10">
        <v>1</v>
      </c>
      <c r="L3738" s="10">
        <v>1</v>
      </c>
      <c r="O3738" s="6">
        <v>28</v>
      </c>
      <c r="Q3738" s="42" t="s">
        <v>8770</v>
      </c>
      <c r="R3738" s="42"/>
      <c r="S3738" s="1"/>
    </row>
    <row r="3739" spans="1:19" ht="18.75" hidden="1" customHeight="1" x14ac:dyDescent="0.3">
      <c r="A3739" s="10">
        <v>3738</v>
      </c>
      <c r="B3739" s="10">
        <f>_xlfn.XLOOKUP(1,(VALUE(D3739)&gt;=VALUE(block!$C$3:$C$500))*(VALUE(D3739)&lt;VALUE(block!$C$3:$C$500)+VALUE(block!$D$3:$D$500)),block!$A$3:$A$500,"无匹配",0,1)</f>
        <v>103</v>
      </c>
      <c r="C3739" s="3" t="str">
        <f>B3739 &amp; "-" &amp; COUNTIF($B$2:B3739, B3739)</f>
        <v>103-81</v>
      </c>
      <c r="D3739" s="10">
        <v>4246</v>
      </c>
      <c r="E3739" s="1" t="s">
        <v>8921</v>
      </c>
      <c r="F3739" s="1" t="s">
        <v>8922</v>
      </c>
      <c r="H3739" s="1" t="s">
        <v>5458</v>
      </c>
      <c r="I3739" s="10" t="str">
        <f>IF(H3739="T37",1,IF(H3739="T37",3,IF(H3739="T53",6,IF(H3739="T53",10,IF(H3739="T85",14,IF(H3739="T85",18,IF(H3739="T53",22,"")))))))</f>
        <v/>
      </c>
      <c r="J3739" s="3" t="s">
        <v>5447</v>
      </c>
      <c r="K3739" s="10">
        <v>1</v>
      </c>
      <c r="L3739" s="10">
        <v>1</v>
      </c>
      <c r="O3739" s="6">
        <v>28</v>
      </c>
      <c r="Q3739" s="42" t="s">
        <v>8759</v>
      </c>
      <c r="R3739" s="42"/>
      <c r="S3739" s="1"/>
    </row>
    <row r="3740" spans="1:19" ht="18.75" hidden="1" customHeight="1" x14ac:dyDescent="0.3">
      <c r="A3740" s="10">
        <v>3739</v>
      </c>
      <c r="B3740" s="10">
        <f>_xlfn.XLOOKUP(1,(VALUE(D3740)&gt;=VALUE(block!$C$3:$C$500))*(VALUE(D3740)&lt;VALUE(block!$C$3:$C$500)+VALUE(block!$D$3:$D$500)),block!$A$3:$A$500,"无匹配",0,1)</f>
        <v>103</v>
      </c>
      <c r="C3740" s="3" t="str">
        <f>B3740 &amp; "-" &amp; COUNTIF($B$2:B3740, B3740)</f>
        <v>103-82</v>
      </c>
      <c r="D3740" s="10">
        <v>4247</v>
      </c>
      <c r="E3740" s="1" t="s">
        <v>8923</v>
      </c>
      <c r="F3740" s="1" t="s">
        <v>8924</v>
      </c>
      <c r="H3740" s="1" t="s">
        <v>5458</v>
      </c>
      <c r="I3740" s="10" t="str">
        <f>IF(H3740="T38",1,IF(H3740="T38",3,IF(H3740="T54",6,IF(H3740="T54",10,IF(H3740="T86",14,IF(H3740="T86",18,IF(H3740="T54",22,"")))))))</f>
        <v/>
      </c>
      <c r="J3740" s="3" t="s">
        <v>5447</v>
      </c>
      <c r="K3740" s="10">
        <v>1</v>
      </c>
      <c r="L3740" s="10">
        <v>1</v>
      </c>
      <c r="O3740" s="6">
        <v>28</v>
      </c>
      <c r="Q3740" s="42" t="s">
        <v>8762</v>
      </c>
      <c r="R3740" s="42"/>
      <c r="S3740" s="1"/>
    </row>
    <row r="3741" spans="1:19" ht="18.75" hidden="1" customHeight="1" x14ac:dyDescent="0.3">
      <c r="A3741" s="10">
        <v>3740</v>
      </c>
      <c r="B3741" s="10">
        <f>_xlfn.XLOOKUP(1,(VALUE(D3741)&gt;=VALUE(block!$C$3:$C$500))*(VALUE(D3741)&lt;VALUE(block!$C$3:$C$500)+VALUE(block!$D$3:$D$500)),block!$A$3:$A$500,"无匹配",0,1)</f>
        <v>103</v>
      </c>
      <c r="C3741" s="3" t="str">
        <f>B3741 &amp; "-" &amp; COUNTIF($B$2:B3741, B3741)</f>
        <v>103-83</v>
      </c>
      <c r="D3741" s="10">
        <v>4248</v>
      </c>
      <c r="E3741" s="1" t="s">
        <v>8925</v>
      </c>
      <c r="F3741" s="1" t="s">
        <v>8926</v>
      </c>
      <c r="H3741" s="1" t="s">
        <v>5458</v>
      </c>
      <c r="I3741" s="10" t="str">
        <f>IF(H3741="T39",1,IF(H3741="T39",3,IF(H3741="T55",6,IF(H3741="T55",10,IF(H3741="T87",14,IF(H3741="T87",18,IF(H3741="T55",22,"")))))))</f>
        <v/>
      </c>
      <c r="J3741" s="3" t="s">
        <v>5447</v>
      </c>
      <c r="K3741" s="10">
        <v>1</v>
      </c>
      <c r="L3741" s="10">
        <v>1</v>
      </c>
      <c r="O3741" s="6">
        <v>28</v>
      </c>
      <c r="Q3741" s="42" t="s">
        <v>8762</v>
      </c>
      <c r="R3741" s="42"/>
      <c r="S3741" s="1"/>
    </row>
    <row r="3742" spans="1:19" ht="18.75" hidden="1" customHeight="1" x14ac:dyDescent="0.3">
      <c r="A3742" s="10">
        <v>3741</v>
      </c>
      <c r="B3742" s="10">
        <f>_xlfn.XLOOKUP(1,(VALUE(D3742)&gt;=VALUE(block!$C$3:$C$500))*(VALUE(D3742)&lt;VALUE(block!$C$3:$C$500)+VALUE(block!$D$3:$D$500)),block!$A$3:$A$500,"无匹配",0,1)</f>
        <v>103</v>
      </c>
      <c r="C3742" s="3" t="str">
        <f>B3742 &amp; "-" &amp; COUNTIF($B$2:B3742, B3742)</f>
        <v>103-84</v>
      </c>
      <c r="D3742" s="10">
        <v>4249</v>
      </c>
      <c r="E3742" s="1" t="s">
        <v>8927</v>
      </c>
      <c r="F3742" s="1" t="s">
        <v>8928</v>
      </c>
      <c r="H3742" s="1" t="s">
        <v>5458</v>
      </c>
      <c r="I3742" s="10" t="str">
        <f>IF(H3742="T40",1,IF(H3742="T40",3,IF(H3742="T56",6,IF(H3742="T56",10,IF(H3742="T88",14,IF(H3742="T88",18,IF(H3742="T56",22,"")))))))</f>
        <v/>
      </c>
      <c r="J3742" s="3" t="s">
        <v>5447</v>
      </c>
      <c r="K3742" s="10">
        <v>1</v>
      </c>
      <c r="L3742" s="10">
        <v>1</v>
      </c>
      <c r="O3742" s="6">
        <v>28</v>
      </c>
      <c r="Q3742" s="70" t="s">
        <v>8767</v>
      </c>
      <c r="R3742" s="70"/>
      <c r="S3742" s="1"/>
    </row>
    <row r="3743" spans="1:19" ht="18.75" hidden="1" customHeight="1" x14ac:dyDescent="0.3">
      <c r="A3743" s="10">
        <v>3742</v>
      </c>
      <c r="B3743" s="10">
        <f>_xlfn.XLOOKUP(1,(VALUE(D3743)&gt;=VALUE(block!$C$3:$C$500))*(VALUE(D3743)&lt;VALUE(block!$C$3:$C$500)+VALUE(block!$D$3:$D$500)),block!$A$3:$A$500,"无匹配",0,1)</f>
        <v>103</v>
      </c>
      <c r="C3743" s="3" t="str">
        <f>B3743 &amp; "-" &amp; COUNTIF($B$2:B3743, B3743)</f>
        <v>103-85</v>
      </c>
      <c r="D3743" s="10">
        <v>4250</v>
      </c>
      <c r="E3743" s="1" t="s">
        <v>8929</v>
      </c>
      <c r="F3743" s="1" t="s">
        <v>8930</v>
      </c>
      <c r="H3743" s="1" t="s">
        <v>5458</v>
      </c>
      <c r="I3743" s="10" t="str">
        <f>IF(H3743="T41",1,IF(H3743="T41",3,IF(H3743="T57",6,IF(H3743="T57",10,IF(H3743="T89",14,IF(H3743="T89",18,IF(H3743="T57",22,"")))))))</f>
        <v/>
      </c>
      <c r="J3743" s="3" t="s">
        <v>5447</v>
      </c>
      <c r="K3743" s="10">
        <v>1</v>
      </c>
      <c r="L3743" s="10">
        <v>1</v>
      </c>
      <c r="O3743" s="6">
        <v>28</v>
      </c>
      <c r="Q3743" s="42" t="s">
        <v>8770</v>
      </c>
      <c r="R3743" s="42"/>
      <c r="S3743" s="1"/>
    </row>
    <row r="3744" spans="1:19" ht="18.75" hidden="1" customHeight="1" x14ac:dyDescent="0.3">
      <c r="A3744" s="10">
        <v>3743</v>
      </c>
      <c r="B3744" s="10">
        <f>_xlfn.XLOOKUP(1,(VALUE(D3744)&gt;=VALUE(block!$C$3:$C$500))*(VALUE(D3744)&lt;VALUE(block!$C$3:$C$500)+VALUE(block!$D$3:$D$500)),block!$A$3:$A$500,"无匹配",0,1)</f>
        <v>103</v>
      </c>
      <c r="C3744" s="3" t="str">
        <f>B3744 &amp; "-" &amp; COUNTIF($B$2:B3744, B3744)</f>
        <v>103-86</v>
      </c>
      <c r="D3744" s="10">
        <v>4251</v>
      </c>
      <c r="E3744" s="1" t="s">
        <v>8931</v>
      </c>
      <c r="F3744" s="1" t="s">
        <v>8932</v>
      </c>
      <c r="H3744" s="1" t="s">
        <v>5458</v>
      </c>
      <c r="I3744" s="10" t="str">
        <f>IF(H3744="T42",1,IF(H3744="T42",3,IF(H3744="T58",6,IF(H3744="T58",10,IF(H3744="T90",14,IF(H3744="T90",18,IF(H3744="T58",22,"")))))))</f>
        <v/>
      </c>
      <c r="J3744" s="3" t="s">
        <v>5447</v>
      </c>
      <c r="K3744" s="10">
        <v>1</v>
      </c>
      <c r="L3744" s="10">
        <v>1</v>
      </c>
      <c r="O3744" s="6">
        <v>28</v>
      </c>
      <c r="Q3744" s="42" t="s">
        <v>8759</v>
      </c>
      <c r="R3744" s="42"/>
      <c r="S3744" s="1"/>
    </row>
    <row r="3745" spans="1:19" ht="18.75" hidden="1" customHeight="1" x14ac:dyDescent="0.3">
      <c r="A3745" s="10">
        <v>3744</v>
      </c>
      <c r="B3745" s="10">
        <f>_xlfn.XLOOKUP(1,(VALUE(D3745)&gt;=VALUE(block!$C$3:$C$500))*(VALUE(D3745)&lt;VALUE(block!$C$3:$C$500)+VALUE(block!$D$3:$D$500)),block!$A$3:$A$500,"无匹配",0,1)</f>
        <v>103</v>
      </c>
      <c r="C3745" s="3" t="str">
        <f>B3745 &amp; "-" &amp; COUNTIF($B$2:B3745, B3745)</f>
        <v>103-87</v>
      </c>
      <c r="D3745" s="10">
        <v>4252</v>
      </c>
      <c r="E3745" s="1" t="s">
        <v>8933</v>
      </c>
      <c r="F3745" s="1" t="s">
        <v>8934</v>
      </c>
      <c r="H3745" s="1" t="s">
        <v>5458</v>
      </c>
      <c r="I3745" s="10" t="str">
        <f>IF(H3745="T43",1,IF(H3745="T43",3,IF(H3745="T59",6,IF(H3745="T59",10,IF(H3745="T91",14,IF(H3745="T91",18,IF(H3745="T59",22,"")))))))</f>
        <v/>
      </c>
      <c r="J3745" s="3" t="s">
        <v>5447</v>
      </c>
      <c r="K3745" s="10">
        <v>1</v>
      </c>
      <c r="L3745" s="10">
        <v>1</v>
      </c>
      <c r="O3745" s="6">
        <v>28</v>
      </c>
      <c r="Q3745" s="42" t="s">
        <v>8762</v>
      </c>
      <c r="R3745" s="42"/>
      <c r="S3745" s="1"/>
    </row>
    <row r="3746" spans="1:19" ht="18.75" hidden="1" customHeight="1" x14ac:dyDescent="0.3">
      <c r="A3746" s="10">
        <v>3745</v>
      </c>
      <c r="B3746" s="10">
        <f>_xlfn.XLOOKUP(1,(VALUE(D3746)&gt;=VALUE(block!$C$3:$C$500))*(VALUE(D3746)&lt;VALUE(block!$C$3:$C$500)+VALUE(block!$D$3:$D$500)),block!$A$3:$A$500,"无匹配",0,1)</f>
        <v>103</v>
      </c>
      <c r="C3746" s="3" t="str">
        <f>B3746 &amp; "-" &amp; COUNTIF($B$2:B3746, B3746)</f>
        <v>103-88</v>
      </c>
      <c r="D3746" s="10">
        <v>4253</v>
      </c>
      <c r="E3746" s="1" t="s">
        <v>8935</v>
      </c>
      <c r="F3746" s="1" t="s">
        <v>8936</v>
      </c>
      <c r="H3746" s="1" t="s">
        <v>5458</v>
      </c>
      <c r="I3746" s="10" t="str">
        <f>IF(H3746="T44",1,IF(H3746="T44",3,IF(H3746="T60",6,IF(H3746="T60",10,IF(H3746="T92",14,IF(H3746="T92",18,IF(H3746="T60",22,"")))))))</f>
        <v/>
      </c>
      <c r="J3746" s="3" t="s">
        <v>5447</v>
      </c>
      <c r="K3746" s="10">
        <v>1</v>
      </c>
      <c r="L3746" s="10">
        <v>1</v>
      </c>
      <c r="O3746" s="6">
        <v>28</v>
      </c>
      <c r="Q3746" s="42" t="s">
        <v>8762</v>
      </c>
      <c r="R3746" s="42"/>
      <c r="S3746" s="1"/>
    </row>
    <row r="3747" spans="1:19" ht="18.75" hidden="1" customHeight="1" x14ac:dyDescent="0.3">
      <c r="A3747" s="10">
        <v>3746</v>
      </c>
      <c r="B3747" s="10">
        <f>_xlfn.XLOOKUP(1,(VALUE(D3747)&gt;=VALUE(block!$C$3:$C$500))*(VALUE(D3747)&lt;VALUE(block!$C$3:$C$500)+VALUE(block!$D$3:$D$500)),block!$A$3:$A$500,"无匹配",0,1)</f>
        <v>103</v>
      </c>
      <c r="C3747" s="3" t="str">
        <f>B3747 &amp; "-" &amp; COUNTIF($B$2:B3747, B3747)</f>
        <v>103-89</v>
      </c>
      <c r="D3747" s="10">
        <v>4254</v>
      </c>
      <c r="E3747" s="1" t="s">
        <v>8937</v>
      </c>
      <c r="F3747" s="1" t="s">
        <v>8938</v>
      </c>
      <c r="H3747" s="1" t="s">
        <v>5458</v>
      </c>
      <c r="I3747" s="10" t="str">
        <f>IF(H3747="T45",1,IF(H3747="T45",3,IF(H3747="T61",6,IF(H3747="T61",10,IF(H3747="T93",14,IF(H3747="T93",18,IF(H3747="T61",22,"")))))))</f>
        <v/>
      </c>
      <c r="J3747" s="3" t="s">
        <v>5447</v>
      </c>
      <c r="K3747" s="10">
        <v>1</v>
      </c>
      <c r="L3747" s="10">
        <v>1</v>
      </c>
      <c r="O3747" s="6">
        <v>28</v>
      </c>
      <c r="Q3747" s="70" t="s">
        <v>8767</v>
      </c>
      <c r="R3747" s="70"/>
      <c r="S3747" s="1"/>
    </row>
    <row r="3748" spans="1:19" ht="18.75" hidden="1" customHeight="1" x14ac:dyDescent="0.3">
      <c r="A3748" s="10">
        <v>3747</v>
      </c>
      <c r="B3748" s="10">
        <f>_xlfn.XLOOKUP(1,(VALUE(D3748)&gt;=VALUE(block!$C$3:$C$500))*(VALUE(D3748)&lt;VALUE(block!$C$3:$C$500)+VALUE(block!$D$3:$D$500)),block!$A$3:$A$500,"无匹配",0,1)</f>
        <v>103</v>
      </c>
      <c r="C3748" s="3" t="str">
        <f>B3748 &amp; "-" &amp; COUNTIF($B$2:B3748, B3748)</f>
        <v>103-90</v>
      </c>
      <c r="D3748" s="10">
        <v>4255</v>
      </c>
      <c r="E3748" s="3" t="s">
        <v>8939</v>
      </c>
      <c r="F3748" s="1" t="s">
        <v>8940</v>
      </c>
      <c r="H3748" s="1" t="s">
        <v>5458</v>
      </c>
      <c r="I3748" s="10" t="str">
        <f>IF(H3748="T46",1,IF(H3748="T46",3,IF(H3748="T62",6,IF(H3748="T62",10,IF(H3748="T94",14,IF(H3748="T94",18,IF(H3748="T62",22,"")))))))</f>
        <v/>
      </c>
      <c r="J3748" s="3" t="s">
        <v>5447</v>
      </c>
      <c r="K3748" s="10">
        <v>1</v>
      </c>
      <c r="L3748" s="10">
        <v>1</v>
      </c>
      <c r="O3748" s="6">
        <v>28</v>
      </c>
      <c r="Q3748" s="42" t="s">
        <v>8770</v>
      </c>
      <c r="R3748" s="42"/>
      <c r="S3748" s="1"/>
    </row>
    <row r="3749" spans="1:19" ht="18.75" hidden="1" customHeight="1" x14ac:dyDescent="0.3">
      <c r="A3749" s="10">
        <v>3748</v>
      </c>
      <c r="B3749" s="10">
        <f>_xlfn.XLOOKUP(1,(VALUE(D3749)&gt;=VALUE(block!$C$3:$C$500))*(VALUE(D3749)&lt;VALUE(block!$C$3:$C$500)+VALUE(block!$D$3:$D$500)),block!$A$3:$A$500,"无匹配",0,1)</f>
        <v>103</v>
      </c>
      <c r="C3749" s="3" t="str">
        <f>B3749 &amp; "-" &amp; COUNTIF($B$2:B3749, B3749)</f>
        <v>103-91</v>
      </c>
      <c r="D3749" s="10">
        <v>4256</v>
      </c>
      <c r="E3749" s="1" t="s">
        <v>8941</v>
      </c>
      <c r="F3749" s="1" t="s">
        <v>8942</v>
      </c>
      <c r="H3749" s="1" t="s">
        <v>5458</v>
      </c>
      <c r="I3749" s="10" t="str">
        <f>IF(H3749="T47",1,IF(H3749="T47",3,IF(H3749="T63",6,IF(H3749="T63",10,IF(H3749="T95",14,IF(H3749="T95",18,IF(H3749="T63",22,"")))))))</f>
        <v/>
      </c>
      <c r="J3749" s="3" t="s">
        <v>5447</v>
      </c>
      <c r="K3749" s="10">
        <v>1</v>
      </c>
      <c r="L3749" s="10">
        <v>1</v>
      </c>
      <c r="O3749" s="6">
        <v>28</v>
      </c>
      <c r="Q3749" s="42" t="s">
        <v>8759</v>
      </c>
      <c r="R3749" s="42"/>
      <c r="S3749" s="1"/>
    </row>
    <row r="3750" spans="1:19" ht="18.75" hidden="1" customHeight="1" x14ac:dyDescent="0.3">
      <c r="A3750" s="10">
        <v>3749</v>
      </c>
      <c r="B3750" s="10">
        <f>_xlfn.XLOOKUP(1,(VALUE(D3750)&gt;=VALUE(block!$C$3:$C$500))*(VALUE(D3750)&lt;VALUE(block!$C$3:$C$500)+VALUE(block!$D$3:$D$500)),block!$A$3:$A$500,"无匹配",0,1)</f>
        <v>103</v>
      </c>
      <c r="C3750" s="3" t="str">
        <f>B3750 &amp; "-" &amp; COUNTIF($B$2:B3750, B3750)</f>
        <v>103-92</v>
      </c>
      <c r="D3750" s="10">
        <v>4257</v>
      </c>
      <c r="E3750" s="1" t="s">
        <v>8943</v>
      </c>
      <c r="F3750" s="1" t="s">
        <v>8944</v>
      </c>
      <c r="H3750" s="1" t="s">
        <v>5458</v>
      </c>
      <c r="I3750" s="10" t="str">
        <f>IF(H3750="T48",1,IF(H3750="T48",3,IF(H3750="T64",6,IF(H3750="T64",10,IF(H3750="T96",14,IF(H3750="T96",18,IF(H3750="T64",22,"")))))))</f>
        <v/>
      </c>
      <c r="J3750" s="3" t="s">
        <v>5447</v>
      </c>
      <c r="K3750" s="10">
        <v>1</v>
      </c>
      <c r="L3750" s="10">
        <v>1</v>
      </c>
      <c r="O3750" s="6">
        <v>28</v>
      </c>
      <c r="Q3750" s="42" t="s">
        <v>8762</v>
      </c>
      <c r="R3750" s="42"/>
      <c r="S3750" s="1"/>
    </row>
    <row r="3751" spans="1:19" ht="18.75" hidden="1" customHeight="1" x14ac:dyDescent="0.3">
      <c r="A3751" s="10">
        <v>3750</v>
      </c>
      <c r="B3751" s="10">
        <f>_xlfn.XLOOKUP(1,(VALUE(D3751)&gt;=VALUE(block!$C$3:$C$500))*(VALUE(D3751)&lt;VALUE(block!$C$3:$C$500)+VALUE(block!$D$3:$D$500)),block!$A$3:$A$500,"无匹配",0,1)</f>
        <v>103</v>
      </c>
      <c r="C3751" s="3" t="str">
        <f>B3751 &amp; "-" &amp; COUNTIF($B$2:B3751, B3751)</f>
        <v>103-93</v>
      </c>
      <c r="D3751" s="10">
        <v>4258</v>
      </c>
      <c r="E3751" s="1" t="s">
        <v>8945</v>
      </c>
      <c r="F3751" s="1" t="s">
        <v>8946</v>
      </c>
      <c r="H3751" s="1" t="s">
        <v>5458</v>
      </c>
      <c r="I3751" s="10" t="str">
        <f>IF(H3751="T49",1,IF(H3751="T49",3,IF(H3751="T65",6,IF(H3751="T65",10,IF(H3751="T97",14,IF(H3751="T97",18,IF(H3751="T65",22,"")))))))</f>
        <v/>
      </c>
      <c r="J3751" s="3" t="s">
        <v>5447</v>
      </c>
      <c r="K3751" s="10">
        <v>1</v>
      </c>
      <c r="L3751" s="10">
        <v>1</v>
      </c>
      <c r="O3751" s="6">
        <v>28</v>
      </c>
      <c r="Q3751" s="42" t="s">
        <v>8762</v>
      </c>
      <c r="R3751" s="42"/>
      <c r="S3751" s="1"/>
    </row>
    <row r="3752" spans="1:19" ht="18.75" hidden="1" customHeight="1" x14ac:dyDescent="0.3">
      <c r="A3752" s="10">
        <v>3751</v>
      </c>
      <c r="B3752" s="10">
        <f>_xlfn.XLOOKUP(1,(VALUE(D3752)&gt;=VALUE(block!$C$3:$C$500))*(VALUE(D3752)&lt;VALUE(block!$C$3:$C$500)+VALUE(block!$D$3:$D$500)),block!$A$3:$A$500,"无匹配",0,1)</f>
        <v>103</v>
      </c>
      <c r="C3752" s="3" t="str">
        <f>B3752 &amp; "-" &amp; COUNTIF($B$2:B3752, B3752)</f>
        <v>103-94</v>
      </c>
      <c r="D3752" s="10">
        <v>4259</v>
      </c>
      <c r="E3752" s="1" t="s">
        <v>8947</v>
      </c>
      <c r="F3752" s="1" t="s">
        <v>8948</v>
      </c>
      <c r="H3752" s="1" t="s">
        <v>5458</v>
      </c>
      <c r="I3752" s="10" t="str">
        <f>IF(H3752="T50",1,IF(H3752="T50",3,IF(H3752="T66",6,IF(H3752="T66",10,IF(H3752="T98",14,IF(H3752="T98",18,IF(H3752="T66",22,"")))))))</f>
        <v/>
      </c>
      <c r="J3752" s="3" t="s">
        <v>5447</v>
      </c>
      <c r="K3752" s="10">
        <v>1</v>
      </c>
      <c r="L3752" s="10">
        <v>1</v>
      </c>
      <c r="O3752" s="6">
        <v>28</v>
      </c>
      <c r="Q3752" s="70" t="s">
        <v>8767</v>
      </c>
      <c r="R3752" s="70"/>
      <c r="S3752" s="1"/>
    </row>
    <row r="3753" spans="1:19" ht="18.75" hidden="1" customHeight="1" x14ac:dyDescent="0.3">
      <c r="A3753" s="10">
        <v>3752</v>
      </c>
      <c r="B3753" s="10">
        <f>_xlfn.XLOOKUP(1,(VALUE(D3753)&gt;=VALUE(block!$C$3:$C$500))*(VALUE(D3753)&lt;VALUE(block!$C$3:$C$500)+VALUE(block!$D$3:$D$500)),block!$A$3:$A$500,"无匹配",0,1)</f>
        <v>103</v>
      </c>
      <c r="C3753" s="3" t="str">
        <f>B3753 &amp; "-" &amp; COUNTIF($B$2:B3753, B3753)</f>
        <v>103-95</v>
      </c>
      <c r="D3753" s="10">
        <v>4260</v>
      </c>
      <c r="E3753" s="1" t="s">
        <v>8949</v>
      </c>
      <c r="F3753" s="1" t="s">
        <v>8950</v>
      </c>
      <c r="H3753" s="1" t="s">
        <v>5458</v>
      </c>
      <c r="I3753" s="10" t="str">
        <f>IF(H3753="T51",1,IF(H3753="T51",3,IF(H3753="T67",6,IF(H3753="T67",10,IF(H3753="T99",14,IF(H3753="T99",18,IF(H3753="T67",22,"")))))))</f>
        <v/>
      </c>
      <c r="J3753" s="3" t="s">
        <v>5447</v>
      </c>
      <c r="K3753" s="10">
        <v>1</v>
      </c>
      <c r="L3753" s="10">
        <v>1</v>
      </c>
      <c r="O3753" s="6">
        <v>28</v>
      </c>
      <c r="Q3753" s="42" t="s">
        <v>8770</v>
      </c>
      <c r="R3753" s="42"/>
      <c r="S3753" s="1"/>
    </row>
    <row r="3754" spans="1:19" ht="18.75" hidden="1" customHeight="1" x14ac:dyDescent="0.3">
      <c r="A3754" s="10">
        <v>3753</v>
      </c>
      <c r="B3754" s="10">
        <f>_xlfn.XLOOKUP(1,(VALUE(D3754)&gt;=VALUE(block!$C$3:$C$500))*(VALUE(D3754)&lt;VALUE(block!$C$3:$C$500)+VALUE(block!$D$3:$D$500)),block!$A$3:$A$500,"无匹配",0,1)</f>
        <v>103</v>
      </c>
      <c r="C3754" s="3" t="str">
        <f>B3754 &amp; "-" &amp; COUNTIF($B$2:B3754, B3754)</f>
        <v>103-96</v>
      </c>
      <c r="D3754" s="10">
        <v>4261</v>
      </c>
      <c r="E3754" s="1" t="s">
        <v>8951</v>
      </c>
      <c r="F3754" s="1" t="s">
        <v>8952</v>
      </c>
      <c r="H3754" s="1" t="s">
        <v>5458</v>
      </c>
      <c r="I3754" s="10" t="str">
        <f>IF(H3754="T52",1,IF(H3754="T52",3,IF(H3754="T68",6,IF(H3754="T68",10,IF(H3754="T100",14,IF(H3754="T100",18,IF(H3754="T68",22,"")))))))</f>
        <v/>
      </c>
      <c r="J3754" s="3" t="s">
        <v>5447</v>
      </c>
      <c r="K3754" s="10">
        <v>1</v>
      </c>
      <c r="L3754" s="10">
        <v>1</v>
      </c>
      <c r="O3754" s="6">
        <v>28</v>
      </c>
      <c r="Q3754" s="42" t="s">
        <v>8759</v>
      </c>
      <c r="R3754" s="42"/>
      <c r="S3754" s="1"/>
    </row>
    <row r="3755" spans="1:19" ht="18.75" hidden="1" customHeight="1" x14ac:dyDescent="0.3">
      <c r="A3755" s="10">
        <v>3754</v>
      </c>
      <c r="B3755" s="10">
        <f>_xlfn.XLOOKUP(1,(VALUE(D3755)&gt;=VALUE(block!$C$3:$C$500))*(VALUE(D3755)&lt;VALUE(block!$C$3:$C$500)+VALUE(block!$D$3:$D$500)),block!$A$3:$A$500,"无匹配",0,1)</f>
        <v>103</v>
      </c>
      <c r="C3755" s="3" t="str">
        <f>B3755 &amp; "-" &amp; COUNTIF($B$2:B3755, B3755)</f>
        <v>103-97</v>
      </c>
      <c r="D3755" s="10">
        <v>4262</v>
      </c>
      <c r="E3755" s="1" t="s">
        <v>8953</v>
      </c>
      <c r="F3755" s="1" t="s">
        <v>8954</v>
      </c>
      <c r="H3755" s="1" t="s">
        <v>5458</v>
      </c>
      <c r="I3755" s="10" t="str">
        <f>IF(H3755="T53",1,IF(H3755="T53",3,IF(H3755="T69",6,IF(H3755="T69",10,IF(H3755="T101",14,IF(H3755="T101",18,IF(H3755="T69",22,"")))))))</f>
        <v/>
      </c>
      <c r="J3755" s="3" t="s">
        <v>5447</v>
      </c>
      <c r="K3755" s="10">
        <v>1</v>
      </c>
      <c r="L3755" s="10">
        <v>1</v>
      </c>
      <c r="O3755" s="6">
        <v>28</v>
      </c>
      <c r="Q3755" s="42" t="s">
        <v>8762</v>
      </c>
      <c r="R3755" s="42"/>
      <c r="S3755" s="1"/>
    </row>
    <row r="3756" spans="1:19" ht="18.75" hidden="1" customHeight="1" x14ac:dyDescent="0.3">
      <c r="A3756" s="10">
        <v>3755</v>
      </c>
      <c r="B3756" s="10">
        <f>_xlfn.XLOOKUP(1,(VALUE(D3756)&gt;=VALUE(block!$C$3:$C$500))*(VALUE(D3756)&lt;VALUE(block!$C$3:$C$500)+VALUE(block!$D$3:$D$500)),block!$A$3:$A$500,"无匹配",0,1)</f>
        <v>103</v>
      </c>
      <c r="C3756" s="3" t="str">
        <f>B3756 &amp; "-" &amp; COUNTIF($B$2:B3756, B3756)</f>
        <v>103-98</v>
      </c>
      <c r="D3756" s="10">
        <v>4263</v>
      </c>
      <c r="E3756" s="1" t="s">
        <v>8955</v>
      </c>
      <c r="F3756" s="1" t="s">
        <v>8956</v>
      </c>
      <c r="H3756" s="1" t="s">
        <v>5458</v>
      </c>
      <c r="I3756" s="10" t="str">
        <f>IF(H3756="T54",1,IF(H3756="T54",3,IF(H3756="T70",6,IF(H3756="T70",10,IF(H3756="T102",14,IF(H3756="T102",18,IF(H3756="T70",22,"")))))))</f>
        <v/>
      </c>
      <c r="J3756" s="3" t="s">
        <v>5447</v>
      </c>
      <c r="K3756" s="10">
        <v>1</v>
      </c>
      <c r="L3756" s="10">
        <v>1</v>
      </c>
      <c r="O3756" s="6">
        <v>28</v>
      </c>
      <c r="Q3756" s="42" t="s">
        <v>8762</v>
      </c>
      <c r="R3756" s="42"/>
      <c r="S3756" s="1"/>
    </row>
    <row r="3757" spans="1:19" ht="18.75" hidden="1" customHeight="1" x14ac:dyDescent="0.3">
      <c r="A3757" s="10">
        <v>3756</v>
      </c>
      <c r="B3757" s="10">
        <f>_xlfn.XLOOKUP(1,(VALUE(D3757)&gt;=VALUE(block!$C$3:$C$500))*(VALUE(D3757)&lt;VALUE(block!$C$3:$C$500)+VALUE(block!$D$3:$D$500)),block!$A$3:$A$500,"无匹配",0,1)</f>
        <v>103</v>
      </c>
      <c r="C3757" s="3" t="str">
        <f>B3757 &amp; "-" &amp; COUNTIF($B$2:B3757, B3757)</f>
        <v>103-99</v>
      </c>
      <c r="D3757" s="10">
        <v>4264</v>
      </c>
      <c r="E3757" s="1" t="s">
        <v>8957</v>
      </c>
      <c r="F3757" s="1" t="s">
        <v>8958</v>
      </c>
      <c r="H3757" s="1" t="s">
        <v>5458</v>
      </c>
      <c r="I3757" s="10" t="str">
        <f>IF(H3757="T55",1,IF(H3757="T55",3,IF(H3757="T71",6,IF(H3757="T71",10,IF(H3757="T103",14,IF(H3757="T103",18,IF(H3757="T71",22,"")))))))</f>
        <v/>
      </c>
      <c r="J3757" s="3" t="s">
        <v>5447</v>
      </c>
      <c r="K3757" s="10">
        <v>1</v>
      </c>
      <c r="L3757" s="10">
        <v>1</v>
      </c>
      <c r="O3757" s="6">
        <v>28</v>
      </c>
      <c r="Q3757" s="70" t="s">
        <v>8767</v>
      </c>
      <c r="R3757" s="70"/>
      <c r="S3757" s="1"/>
    </row>
    <row r="3758" spans="1:19" ht="18.75" hidden="1" customHeight="1" x14ac:dyDescent="0.3">
      <c r="A3758" s="10">
        <v>3757</v>
      </c>
      <c r="B3758" s="10">
        <f>_xlfn.XLOOKUP(1,(VALUE(D3758)&gt;=VALUE(block!$C$3:$C$500))*(VALUE(D3758)&lt;VALUE(block!$C$3:$C$500)+VALUE(block!$D$3:$D$500)),block!$A$3:$A$500,"无匹配",0,1)</f>
        <v>103</v>
      </c>
      <c r="C3758" s="3" t="str">
        <f>B3758 &amp; "-" &amp; COUNTIF($B$2:B3758, B3758)</f>
        <v>103-100</v>
      </c>
      <c r="D3758" s="10">
        <v>4265</v>
      </c>
      <c r="E3758" s="1" t="s">
        <v>8959</v>
      </c>
      <c r="F3758" s="1" t="s">
        <v>8960</v>
      </c>
      <c r="H3758" s="1" t="s">
        <v>5458</v>
      </c>
      <c r="I3758" s="10" t="str">
        <f>IF(H3758="T56",1,IF(H3758="T56",3,IF(H3758="T72",6,IF(H3758="T72",10,IF(H3758="T104",14,IF(H3758="T104",18,IF(H3758="T72",22,"")))))))</f>
        <v/>
      </c>
      <c r="J3758" s="3" t="s">
        <v>5447</v>
      </c>
      <c r="K3758" s="10">
        <v>1</v>
      </c>
      <c r="L3758" s="10">
        <v>1</v>
      </c>
      <c r="O3758" s="6">
        <v>28</v>
      </c>
      <c r="Q3758" s="42" t="s">
        <v>8770</v>
      </c>
      <c r="R3758" s="42"/>
      <c r="S3758" s="1"/>
    </row>
    <row r="3759" spans="1:19" ht="18.75" hidden="1" customHeight="1" x14ac:dyDescent="0.3">
      <c r="A3759" s="10">
        <v>3758</v>
      </c>
      <c r="B3759" s="10">
        <f>_xlfn.XLOOKUP(1,(VALUE(D3759)&gt;=VALUE(block!$C$3:$C$500))*(VALUE(D3759)&lt;VALUE(block!$C$3:$C$500)+VALUE(block!$D$3:$D$500)),block!$A$3:$A$500,"无匹配",0,1)</f>
        <v>103</v>
      </c>
      <c r="C3759" s="3" t="str">
        <f>B3759 &amp; "-" &amp; COUNTIF($B$2:B3759, B3759)</f>
        <v>103-101</v>
      </c>
      <c r="D3759" s="10">
        <v>4266</v>
      </c>
      <c r="E3759" s="1" t="s">
        <v>8961</v>
      </c>
      <c r="F3759" s="1" t="s">
        <v>8962</v>
      </c>
      <c r="H3759" s="1" t="s">
        <v>5458</v>
      </c>
      <c r="I3759" s="10" t="str">
        <f>IF(H3759="T57",1,IF(H3759="T57",3,IF(H3759="T73",6,IF(H3759="T73",10,IF(H3759="T105",14,IF(H3759="T105",18,IF(H3759="T73",22,"")))))))</f>
        <v/>
      </c>
      <c r="J3759" s="3" t="s">
        <v>5447</v>
      </c>
      <c r="K3759" s="10">
        <v>1</v>
      </c>
      <c r="L3759" s="10">
        <v>1</v>
      </c>
      <c r="O3759" s="6">
        <v>28</v>
      </c>
      <c r="Q3759" s="42" t="s">
        <v>8759</v>
      </c>
      <c r="R3759" s="42"/>
      <c r="S3759" s="1"/>
    </row>
    <row r="3760" spans="1:19" ht="18.75" hidden="1" customHeight="1" x14ac:dyDescent="0.3">
      <c r="A3760" s="10">
        <v>3759</v>
      </c>
      <c r="B3760" s="10">
        <f>_xlfn.XLOOKUP(1,(VALUE(D3760)&gt;=VALUE(block!$C$3:$C$500))*(VALUE(D3760)&lt;VALUE(block!$C$3:$C$500)+VALUE(block!$D$3:$D$500)),block!$A$3:$A$500,"无匹配",0,1)</f>
        <v>103</v>
      </c>
      <c r="C3760" s="3" t="str">
        <f>B3760 &amp; "-" &amp; COUNTIF($B$2:B3760, B3760)</f>
        <v>103-102</v>
      </c>
      <c r="D3760" s="10">
        <v>4267</v>
      </c>
      <c r="E3760" s="1" t="s">
        <v>8963</v>
      </c>
      <c r="F3760" s="1" t="s">
        <v>8964</v>
      </c>
      <c r="H3760" s="1" t="s">
        <v>5458</v>
      </c>
      <c r="I3760" s="10" t="str">
        <f>IF(H3760="T58",1,IF(H3760="T58",3,IF(H3760="T74",6,IF(H3760="T74",10,IF(H3760="T106",14,IF(H3760="T106",18,IF(H3760="T74",22,"")))))))</f>
        <v/>
      </c>
      <c r="J3760" s="3" t="s">
        <v>5447</v>
      </c>
      <c r="K3760" s="10">
        <v>1</v>
      </c>
      <c r="L3760" s="10">
        <v>1</v>
      </c>
      <c r="O3760" s="6">
        <v>28</v>
      </c>
      <c r="Q3760" s="42" t="s">
        <v>8762</v>
      </c>
      <c r="R3760" s="42"/>
      <c r="S3760" s="1"/>
    </row>
    <row r="3761" spans="1:19" ht="18.75" hidden="1" customHeight="1" x14ac:dyDescent="0.3">
      <c r="A3761" s="10">
        <v>3760</v>
      </c>
      <c r="B3761" s="10">
        <f>_xlfn.XLOOKUP(1,(VALUE(D3761)&gt;=VALUE(block!$C$3:$C$500))*(VALUE(D3761)&lt;VALUE(block!$C$3:$C$500)+VALUE(block!$D$3:$D$500)),block!$A$3:$A$500,"无匹配",0,1)</f>
        <v>103</v>
      </c>
      <c r="C3761" s="3" t="str">
        <f>B3761 &amp; "-" &amp; COUNTIF($B$2:B3761, B3761)</f>
        <v>103-103</v>
      </c>
      <c r="D3761" s="10">
        <v>4268</v>
      </c>
      <c r="E3761" s="1" t="s">
        <v>8965</v>
      </c>
      <c r="F3761" s="1" t="s">
        <v>8966</v>
      </c>
      <c r="H3761" s="1" t="s">
        <v>5458</v>
      </c>
      <c r="I3761" s="10" t="str">
        <f>IF(H3761="T59",1,IF(H3761="T59",3,IF(H3761="T75",6,IF(H3761="T75",10,IF(H3761="T107",14,IF(H3761="T107",18,IF(H3761="T75",22,"")))))))</f>
        <v/>
      </c>
      <c r="J3761" s="3" t="s">
        <v>5447</v>
      </c>
      <c r="K3761" s="10">
        <v>1</v>
      </c>
      <c r="L3761" s="10">
        <v>1</v>
      </c>
      <c r="O3761" s="6">
        <v>28</v>
      </c>
      <c r="Q3761" s="42" t="s">
        <v>8762</v>
      </c>
      <c r="R3761" s="42"/>
      <c r="S3761" s="1"/>
    </row>
    <row r="3762" spans="1:19" ht="18.75" hidden="1" customHeight="1" x14ac:dyDescent="0.3">
      <c r="A3762" s="10">
        <v>3761</v>
      </c>
      <c r="B3762" s="10">
        <f>_xlfn.XLOOKUP(1,(VALUE(D3762)&gt;=VALUE(block!$C$3:$C$500))*(VALUE(D3762)&lt;VALUE(block!$C$3:$C$500)+VALUE(block!$D$3:$D$500)),block!$A$3:$A$500,"无匹配",0,1)</f>
        <v>103</v>
      </c>
      <c r="C3762" s="3" t="str">
        <f>B3762 &amp; "-" &amp; COUNTIF($B$2:B3762, B3762)</f>
        <v>103-104</v>
      </c>
      <c r="D3762" s="10">
        <v>4269</v>
      </c>
      <c r="E3762" s="1" t="s">
        <v>8967</v>
      </c>
      <c r="F3762" s="1" t="s">
        <v>8968</v>
      </c>
      <c r="H3762" s="1" t="s">
        <v>5458</v>
      </c>
      <c r="I3762" s="10" t="str">
        <f>IF(H3762="T60",1,IF(H3762="T60",3,IF(H3762="T76",6,IF(H3762="T76",10,IF(H3762="T108",14,IF(H3762="T108",18,IF(H3762="T76",22,"")))))))</f>
        <v/>
      </c>
      <c r="J3762" s="3" t="s">
        <v>5447</v>
      </c>
      <c r="K3762" s="10">
        <v>1</v>
      </c>
      <c r="L3762" s="10">
        <v>1</v>
      </c>
      <c r="O3762" s="6">
        <v>28</v>
      </c>
      <c r="Q3762" s="70" t="s">
        <v>8767</v>
      </c>
      <c r="R3762" s="70"/>
      <c r="S3762" s="1"/>
    </row>
    <row r="3763" spans="1:19" ht="18.75" hidden="1" customHeight="1" x14ac:dyDescent="0.3">
      <c r="A3763" s="10">
        <v>3762</v>
      </c>
      <c r="B3763" s="10">
        <f>_xlfn.XLOOKUP(1,(VALUE(D3763)&gt;=VALUE(block!$C$3:$C$500))*(VALUE(D3763)&lt;VALUE(block!$C$3:$C$500)+VALUE(block!$D$3:$D$500)),block!$A$3:$A$500,"无匹配",0,1)</f>
        <v>103</v>
      </c>
      <c r="C3763" s="3" t="str">
        <f>B3763 &amp; "-" &amp; COUNTIF($B$2:B3763, B3763)</f>
        <v>103-105</v>
      </c>
      <c r="D3763" s="10">
        <v>4270</v>
      </c>
      <c r="E3763" s="1" t="s">
        <v>8969</v>
      </c>
      <c r="F3763" s="1" t="s">
        <v>8970</v>
      </c>
      <c r="H3763" s="1" t="s">
        <v>5458</v>
      </c>
      <c r="I3763" s="10" t="str">
        <f>IF(H3763="T61",1,IF(H3763="T61",3,IF(H3763="T77",6,IF(H3763="T77",10,IF(H3763="T109",14,IF(H3763="T109",18,IF(H3763="T77",22,"")))))))</f>
        <v/>
      </c>
      <c r="J3763" s="3" t="s">
        <v>5447</v>
      </c>
      <c r="K3763" s="10">
        <v>1</v>
      </c>
      <c r="L3763" s="10">
        <v>1</v>
      </c>
      <c r="O3763" s="6">
        <v>28</v>
      </c>
      <c r="Q3763" s="42" t="s">
        <v>8770</v>
      </c>
      <c r="R3763" s="42"/>
      <c r="S3763" s="1"/>
    </row>
    <row r="3764" spans="1:19" ht="18.75" hidden="1" customHeight="1" x14ac:dyDescent="0.3">
      <c r="A3764" s="10">
        <v>3763</v>
      </c>
      <c r="B3764" s="10">
        <f>_xlfn.XLOOKUP(1,(VALUE(D3764)&gt;=VALUE(block!$C$3:$C$500))*(VALUE(D3764)&lt;VALUE(block!$C$3:$C$500)+VALUE(block!$D$3:$D$500)),block!$A$3:$A$500,"无匹配",0,1)</f>
        <v>103</v>
      </c>
      <c r="C3764" s="3" t="str">
        <f>B3764 &amp; "-" &amp; COUNTIF($B$2:B3764, B3764)</f>
        <v>103-106</v>
      </c>
      <c r="D3764" s="10">
        <v>4271</v>
      </c>
      <c r="E3764" s="1" t="s">
        <v>8971</v>
      </c>
      <c r="F3764" s="1" t="s">
        <v>8972</v>
      </c>
      <c r="H3764" s="1" t="s">
        <v>5458</v>
      </c>
      <c r="I3764" s="10" t="str">
        <f>IF(H3764="T62",1,IF(H3764="T62",3,IF(H3764="T78",6,IF(H3764="T78",10,IF(H3764="T110",14,IF(H3764="T110",18,IF(H3764="T78",22,"")))))))</f>
        <v/>
      </c>
      <c r="J3764" s="3" t="s">
        <v>5447</v>
      </c>
      <c r="K3764" s="10">
        <v>1</v>
      </c>
      <c r="L3764" s="10">
        <v>1</v>
      </c>
      <c r="O3764" s="6">
        <v>28</v>
      </c>
      <c r="Q3764" s="42" t="s">
        <v>8759</v>
      </c>
      <c r="R3764" s="42"/>
      <c r="S3764" s="1"/>
    </row>
    <row r="3765" spans="1:19" ht="18.75" hidden="1" customHeight="1" x14ac:dyDescent="0.3">
      <c r="A3765" s="10">
        <v>3764</v>
      </c>
      <c r="B3765" s="10">
        <f>_xlfn.XLOOKUP(1,(VALUE(D3765)&gt;=VALUE(block!$C$3:$C$500))*(VALUE(D3765)&lt;VALUE(block!$C$3:$C$500)+VALUE(block!$D$3:$D$500)),block!$A$3:$A$500,"无匹配",0,1)</f>
        <v>103</v>
      </c>
      <c r="C3765" s="3" t="str">
        <f>B3765 &amp; "-" &amp; COUNTIF($B$2:B3765, B3765)</f>
        <v>103-107</v>
      </c>
      <c r="D3765" s="10">
        <v>4272</v>
      </c>
      <c r="E3765" s="1" t="s">
        <v>8973</v>
      </c>
      <c r="F3765" s="1" t="s">
        <v>8974</v>
      </c>
      <c r="H3765" s="1" t="s">
        <v>5458</v>
      </c>
      <c r="I3765" s="10" t="str">
        <f>IF(H3765="T63",1,IF(H3765="T63",3,IF(H3765="T79",6,IF(H3765="T79",10,IF(H3765="T111",14,IF(H3765="T111",18,IF(H3765="T79",22,"")))))))</f>
        <v/>
      </c>
      <c r="J3765" s="3" t="s">
        <v>5447</v>
      </c>
      <c r="K3765" s="10">
        <v>1</v>
      </c>
      <c r="L3765" s="10">
        <v>1</v>
      </c>
      <c r="O3765" s="6">
        <v>28</v>
      </c>
      <c r="Q3765" s="42" t="s">
        <v>8762</v>
      </c>
      <c r="R3765" s="42"/>
      <c r="S3765" s="1"/>
    </row>
    <row r="3766" spans="1:19" ht="18.75" hidden="1" customHeight="1" x14ac:dyDescent="0.3">
      <c r="A3766" s="10">
        <v>3765</v>
      </c>
      <c r="B3766" s="10">
        <f>_xlfn.XLOOKUP(1,(VALUE(D3766)&gt;=VALUE(block!$C$3:$C$500))*(VALUE(D3766)&lt;VALUE(block!$C$3:$C$500)+VALUE(block!$D$3:$D$500)),block!$A$3:$A$500,"无匹配",0,1)</f>
        <v>103</v>
      </c>
      <c r="C3766" s="3" t="str">
        <f>B3766 &amp; "-" &amp; COUNTIF($B$2:B3766, B3766)</f>
        <v>103-108</v>
      </c>
      <c r="D3766" s="10">
        <v>4273</v>
      </c>
      <c r="E3766" s="1" t="s">
        <v>8975</v>
      </c>
      <c r="F3766" s="1" t="s">
        <v>8976</v>
      </c>
      <c r="H3766" s="1" t="s">
        <v>5458</v>
      </c>
      <c r="I3766" s="10" t="str">
        <f>IF(H3766="T64",1,IF(H3766="T64",3,IF(H3766="T80",6,IF(H3766="T80",10,IF(H3766="T112",14,IF(H3766="T112",18,IF(H3766="T80",22,"")))))))</f>
        <v/>
      </c>
      <c r="J3766" s="3" t="s">
        <v>5447</v>
      </c>
      <c r="K3766" s="10">
        <v>1</v>
      </c>
      <c r="L3766" s="10">
        <v>1</v>
      </c>
      <c r="O3766" s="6">
        <v>28</v>
      </c>
      <c r="Q3766" s="42" t="s">
        <v>8762</v>
      </c>
      <c r="R3766" s="42"/>
      <c r="S3766" s="1"/>
    </row>
    <row r="3767" spans="1:19" ht="18.75" hidden="1" customHeight="1" x14ac:dyDescent="0.3">
      <c r="A3767" s="10">
        <v>3766</v>
      </c>
      <c r="B3767" s="10">
        <f>_xlfn.XLOOKUP(1,(VALUE(D3767)&gt;=VALUE(block!$C$3:$C$500))*(VALUE(D3767)&lt;VALUE(block!$C$3:$C$500)+VALUE(block!$D$3:$D$500)),block!$A$3:$A$500,"无匹配",0,1)</f>
        <v>103</v>
      </c>
      <c r="C3767" s="3" t="str">
        <f>B3767 &amp; "-" &amp; COUNTIF($B$2:B3767, B3767)</f>
        <v>103-109</v>
      </c>
      <c r="D3767" s="10">
        <v>4274</v>
      </c>
      <c r="E3767" s="1" t="s">
        <v>8977</v>
      </c>
      <c r="F3767" s="1" t="s">
        <v>8978</v>
      </c>
      <c r="H3767" s="1" t="s">
        <v>5458</v>
      </c>
      <c r="I3767" s="10" t="str">
        <f>IF(H3767="T65",1,IF(H3767="T65",3,IF(H3767="T81",6,IF(H3767="T81",10,IF(H3767="T113",14,IF(H3767="T113",18,IF(H3767="T81",22,"")))))))</f>
        <v/>
      </c>
      <c r="J3767" s="3" t="s">
        <v>5447</v>
      </c>
      <c r="K3767" s="10">
        <v>1</v>
      </c>
      <c r="L3767" s="10">
        <v>1</v>
      </c>
      <c r="O3767" s="6">
        <v>28</v>
      </c>
      <c r="Q3767" s="70" t="s">
        <v>8767</v>
      </c>
      <c r="R3767" s="70"/>
      <c r="S3767" s="1"/>
    </row>
    <row r="3768" spans="1:19" ht="18.75" hidden="1" customHeight="1" x14ac:dyDescent="0.3">
      <c r="A3768" s="10">
        <v>3767</v>
      </c>
      <c r="B3768" s="10">
        <f>_xlfn.XLOOKUP(1,(VALUE(D3768)&gt;=VALUE(block!$C$3:$C$500))*(VALUE(D3768)&lt;VALUE(block!$C$3:$C$500)+VALUE(block!$D$3:$D$500)),block!$A$3:$A$500,"无匹配",0,1)</f>
        <v>103</v>
      </c>
      <c r="C3768" s="3" t="str">
        <f>B3768 &amp; "-" &amp; COUNTIF($B$2:B3768, B3768)</f>
        <v>103-110</v>
      </c>
      <c r="D3768" s="10">
        <v>4275</v>
      </c>
      <c r="E3768" s="1" t="s">
        <v>8979</v>
      </c>
      <c r="F3768" s="1" t="s">
        <v>8980</v>
      </c>
      <c r="H3768" s="1" t="s">
        <v>5458</v>
      </c>
      <c r="I3768" s="10" t="str">
        <f>IF(H3768="T66",1,IF(H3768="T66",3,IF(H3768="T82",6,IF(H3768="T82",10,IF(H3768="T114",14,IF(H3768="T114",18,IF(H3768="T82",22,"")))))))</f>
        <v/>
      </c>
      <c r="J3768" s="3" t="s">
        <v>5447</v>
      </c>
      <c r="K3768" s="10">
        <v>1</v>
      </c>
      <c r="L3768" s="10">
        <v>1</v>
      </c>
      <c r="O3768" s="6">
        <v>28</v>
      </c>
      <c r="Q3768" s="42" t="s">
        <v>8770</v>
      </c>
      <c r="R3768" s="42"/>
      <c r="S3768" s="1"/>
    </row>
    <row r="3769" spans="1:19" ht="18.75" hidden="1" customHeight="1" x14ac:dyDescent="0.3">
      <c r="A3769" s="10">
        <v>3768</v>
      </c>
      <c r="B3769" s="10">
        <f>_xlfn.XLOOKUP(1,(VALUE(D3769)&gt;=VALUE(block!$C$3:$C$500))*(VALUE(D3769)&lt;VALUE(block!$C$3:$C$500)+VALUE(block!$D$3:$D$500)),block!$A$3:$A$500,"无匹配",0,1)</f>
        <v>103</v>
      </c>
      <c r="C3769" s="3" t="str">
        <f>B3769 &amp; "-" &amp; COUNTIF($B$2:B3769, B3769)</f>
        <v>103-111</v>
      </c>
      <c r="D3769" s="10">
        <v>4276</v>
      </c>
      <c r="E3769" s="1" t="s">
        <v>8981</v>
      </c>
      <c r="F3769" s="1" t="s">
        <v>8982</v>
      </c>
      <c r="H3769" s="1" t="s">
        <v>5458</v>
      </c>
      <c r="I3769" s="10" t="str">
        <f>IF(H3769="T67",1,IF(H3769="T67",3,IF(H3769="T83",6,IF(H3769="T83",10,IF(H3769="T115",14,IF(H3769="T115",18,IF(H3769="T83",22,"")))))))</f>
        <v/>
      </c>
      <c r="J3769" s="3" t="s">
        <v>5447</v>
      </c>
      <c r="K3769" s="10">
        <v>1</v>
      </c>
      <c r="L3769" s="10">
        <v>1</v>
      </c>
      <c r="O3769" s="6">
        <v>28</v>
      </c>
      <c r="Q3769" s="42" t="s">
        <v>8759</v>
      </c>
      <c r="R3769" s="42"/>
      <c r="S3769" s="1"/>
    </row>
    <row r="3770" spans="1:19" ht="18.75" hidden="1" customHeight="1" x14ac:dyDescent="0.3">
      <c r="A3770" s="10">
        <v>3769</v>
      </c>
      <c r="B3770" s="10">
        <f>_xlfn.XLOOKUP(1,(VALUE(D3770)&gt;=VALUE(block!$C$3:$C$500))*(VALUE(D3770)&lt;VALUE(block!$C$3:$C$500)+VALUE(block!$D$3:$D$500)),block!$A$3:$A$500,"无匹配",0,1)</f>
        <v>103</v>
      </c>
      <c r="C3770" s="3" t="str">
        <f>B3770 &amp; "-" &amp; COUNTIF($B$2:B3770, B3770)</f>
        <v>103-112</v>
      </c>
      <c r="D3770" s="10">
        <v>4277</v>
      </c>
      <c r="E3770" s="1" t="s">
        <v>8983</v>
      </c>
      <c r="F3770" s="1" t="s">
        <v>8984</v>
      </c>
      <c r="H3770" s="1" t="s">
        <v>5458</v>
      </c>
      <c r="I3770" s="10" t="str">
        <f>IF(H3770="T68",1,IF(H3770="T68",3,IF(H3770="T84",6,IF(H3770="T84",10,IF(H3770="T116",14,IF(H3770="T116",18,IF(H3770="T84",22,"")))))))</f>
        <v/>
      </c>
      <c r="J3770" s="3" t="s">
        <v>5447</v>
      </c>
      <c r="K3770" s="10">
        <v>1</v>
      </c>
      <c r="L3770" s="10">
        <v>1</v>
      </c>
      <c r="O3770" s="6">
        <v>28</v>
      </c>
      <c r="Q3770" s="42" t="s">
        <v>8762</v>
      </c>
      <c r="R3770" s="42"/>
      <c r="S3770" s="1"/>
    </row>
    <row r="3771" spans="1:19" ht="18.75" hidden="1" customHeight="1" x14ac:dyDescent="0.3">
      <c r="A3771" s="10">
        <v>3770</v>
      </c>
      <c r="B3771" s="10">
        <f>_xlfn.XLOOKUP(1,(VALUE(D3771)&gt;=VALUE(block!$C$3:$C$500))*(VALUE(D3771)&lt;VALUE(block!$C$3:$C$500)+VALUE(block!$D$3:$D$500)),block!$A$3:$A$500,"无匹配",0,1)</f>
        <v>103</v>
      </c>
      <c r="C3771" s="3" t="str">
        <f>B3771 &amp; "-" &amp; COUNTIF($B$2:B3771, B3771)</f>
        <v>103-113</v>
      </c>
      <c r="D3771" s="10">
        <v>4278</v>
      </c>
      <c r="E3771" s="1" t="s">
        <v>8985</v>
      </c>
      <c r="F3771" s="1" t="s">
        <v>8986</v>
      </c>
      <c r="H3771" s="1" t="s">
        <v>5458</v>
      </c>
      <c r="I3771" s="10" t="str">
        <f>IF(H3771="T69",1,IF(H3771="T69",3,IF(H3771="T85",6,IF(H3771="T85",10,IF(H3771="T117",14,IF(H3771="T117",18,IF(H3771="T85",22,"")))))))</f>
        <v/>
      </c>
      <c r="J3771" s="3" t="s">
        <v>5447</v>
      </c>
      <c r="K3771" s="10">
        <v>1</v>
      </c>
      <c r="L3771" s="10">
        <v>1</v>
      </c>
      <c r="O3771" s="6">
        <v>28</v>
      </c>
      <c r="Q3771" s="42" t="s">
        <v>8762</v>
      </c>
      <c r="R3771" s="42"/>
      <c r="S3771" s="1"/>
    </row>
    <row r="3772" spans="1:19" ht="18.75" hidden="1" customHeight="1" x14ac:dyDescent="0.3">
      <c r="A3772" s="10">
        <v>3771</v>
      </c>
      <c r="B3772" s="10">
        <f>_xlfn.XLOOKUP(1,(VALUE(D3772)&gt;=VALUE(block!$C$3:$C$500))*(VALUE(D3772)&lt;VALUE(block!$C$3:$C$500)+VALUE(block!$D$3:$D$500)),block!$A$3:$A$500,"无匹配",0,1)</f>
        <v>103</v>
      </c>
      <c r="C3772" s="3" t="str">
        <f>B3772 &amp; "-" &amp; COUNTIF($B$2:B3772, B3772)</f>
        <v>103-114</v>
      </c>
      <c r="D3772" s="10">
        <v>4279</v>
      </c>
      <c r="E3772" s="1" t="s">
        <v>8987</v>
      </c>
      <c r="F3772" s="1" t="s">
        <v>8988</v>
      </c>
      <c r="H3772" s="1" t="s">
        <v>5458</v>
      </c>
      <c r="I3772" s="10" t="str">
        <f>IF(H3772="T70",1,IF(H3772="T70",3,IF(H3772="T86",6,IF(H3772="T86",10,IF(H3772="T118",14,IF(H3772="T118",18,IF(H3772="T86",22,"")))))))</f>
        <v/>
      </c>
      <c r="J3772" s="3" t="s">
        <v>5447</v>
      </c>
      <c r="K3772" s="10">
        <v>1</v>
      </c>
      <c r="L3772" s="10">
        <v>1</v>
      </c>
      <c r="O3772" s="6">
        <v>28</v>
      </c>
      <c r="Q3772" s="70" t="s">
        <v>8767</v>
      </c>
      <c r="R3772" s="70"/>
      <c r="S3772" s="1"/>
    </row>
    <row r="3773" spans="1:19" ht="18.75" hidden="1" customHeight="1" x14ac:dyDescent="0.3">
      <c r="A3773" s="10">
        <v>3772</v>
      </c>
      <c r="B3773" s="10">
        <f>_xlfn.XLOOKUP(1,(VALUE(D3773)&gt;=VALUE(block!$C$3:$C$500))*(VALUE(D3773)&lt;VALUE(block!$C$3:$C$500)+VALUE(block!$D$3:$D$500)),block!$A$3:$A$500,"无匹配",0,1)</f>
        <v>103</v>
      </c>
      <c r="C3773" s="3" t="str">
        <f>B3773 &amp; "-" &amp; COUNTIF($B$2:B3773, B3773)</f>
        <v>103-115</v>
      </c>
      <c r="D3773" s="10">
        <v>4280</v>
      </c>
      <c r="E3773" s="1" t="s">
        <v>8989</v>
      </c>
      <c r="F3773" s="1" t="s">
        <v>8990</v>
      </c>
      <c r="H3773" s="1" t="s">
        <v>5458</v>
      </c>
      <c r="I3773" s="10" t="str">
        <f>IF(H3773="T71",1,IF(H3773="T71",3,IF(H3773="T87",6,IF(H3773="T87",10,IF(H3773="T119",14,IF(H3773="T119",18,IF(H3773="T87",22,"")))))))</f>
        <v/>
      </c>
      <c r="J3773" s="3" t="s">
        <v>5447</v>
      </c>
      <c r="K3773" s="10">
        <v>1</v>
      </c>
      <c r="L3773" s="10">
        <v>1</v>
      </c>
      <c r="O3773" s="6">
        <v>28</v>
      </c>
      <c r="Q3773" s="42" t="s">
        <v>8770</v>
      </c>
      <c r="R3773" s="42"/>
      <c r="S3773" s="1"/>
    </row>
    <row r="3774" spans="1:19" ht="18.75" hidden="1" customHeight="1" x14ac:dyDescent="0.3">
      <c r="A3774" s="10">
        <v>3773</v>
      </c>
      <c r="B3774" s="10">
        <f>_xlfn.XLOOKUP(1,(VALUE(D3774)&gt;=VALUE(block!$C$3:$C$500))*(VALUE(D3774)&lt;VALUE(block!$C$3:$C$500)+VALUE(block!$D$3:$D$500)),block!$A$3:$A$500,"无匹配",0,1)</f>
        <v>103</v>
      </c>
      <c r="C3774" s="3" t="str">
        <f>B3774 &amp; "-" &amp; COUNTIF($B$2:B3774, B3774)</f>
        <v>103-116</v>
      </c>
      <c r="D3774" s="10">
        <v>4281</v>
      </c>
      <c r="E3774" s="1" t="s">
        <v>8991</v>
      </c>
      <c r="F3774" s="1" t="s">
        <v>8992</v>
      </c>
      <c r="H3774" s="1" t="s">
        <v>5458</v>
      </c>
      <c r="I3774" s="10" t="str">
        <f>IF(H3774="T72",1,IF(H3774="T72",3,IF(H3774="T88",6,IF(H3774="T88",10,IF(H3774="T120",14,IF(H3774="T120",18,IF(H3774="T88",22,"")))))))</f>
        <v/>
      </c>
      <c r="J3774" s="3" t="s">
        <v>5447</v>
      </c>
      <c r="K3774" s="10">
        <v>1</v>
      </c>
      <c r="L3774" s="10">
        <v>1</v>
      </c>
      <c r="O3774" s="6">
        <v>28</v>
      </c>
      <c r="Q3774" s="42" t="s">
        <v>8759</v>
      </c>
      <c r="R3774" s="42"/>
      <c r="S3774" s="1"/>
    </row>
    <row r="3775" spans="1:19" ht="18.75" hidden="1" customHeight="1" x14ac:dyDescent="0.3">
      <c r="A3775" s="10">
        <v>3774</v>
      </c>
      <c r="B3775" s="10">
        <f>_xlfn.XLOOKUP(1,(VALUE(D3775)&gt;=VALUE(block!$C$3:$C$500))*(VALUE(D3775)&lt;VALUE(block!$C$3:$C$500)+VALUE(block!$D$3:$D$500)),block!$A$3:$A$500,"无匹配",0,1)</f>
        <v>103</v>
      </c>
      <c r="C3775" s="3" t="str">
        <f>B3775 &amp; "-" &amp; COUNTIF($B$2:B3775, B3775)</f>
        <v>103-117</v>
      </c>
      <c r="D3775" s="10">
        <v>4282</v>
      </c>
      <c r="E3775" s="1" t="s">
        <v>8993</v>
      </c>
      <c r="F3775" s="1" t="s">
        <v>8994</v>
      </c>
      <c r="H3775" s="1" t="s">
        <v>5458</v>
      </c>
      <c r="I3775" s="10" t="str">
        <f>IF(H3775="T73",1,IF(H3775="T73",3,IF(H3775="T89",6,IF(H3775="T89",10,IF(H3775="T121",14,IF(H3775="T121",18,IF(H3775="T89",22,"")))))))</f>
        <v/>
      </c>
      <c r="J3775" s="3" t="s">
        <v>5447</v>
      </c>
      <c r="K3775" s="10">
        <v>1</v>
      </c>
      <c r="L3775" s="10">
        <v>1</v>
      </c>
      <c r="O3775" s="6">
        <v>28</v>
      </c>
      <c r="Q3775" s="42" t="s">
        <v>8762</v>
      </c>
      <c r="R3775" s="42"/>
      <c r="S3775" s="1"/>
    </row>
    <row r="3776" spans="1:19" ht="18.75" hidden="1" customHeight="1" x14ac:dyDescent="0.3">
      <c r="A3776" s="10">
        <v>3775</v>
      </c>
      <c r="B3776" s="10">
        <f>_xlfn.XLOOKUP(1,(VALUE(D3776)&gt;=VALUE(block!$C$3:$C$500))*(VALUE(D3776)&lt;VALUE(block!$C$3:$C$500)+VALUE(block!$D$3:$D$500)),block!$A$3:$A$500,"无匹配",0,1)</f>
        <v>103</v>
      </c>
      <c r="C3776" s="3" t="str">
        <f>B3776 &amp; "-" &amp; COUNTIF($B$2:B3776, B3776)</f>
        <v>103-118</v>
      </c>
      <c r="D3776" s="10">
        <v>4283</v>
      </c>
      <c r="E3776" s="1" t="s">
        <v>8995</v>
      </c>
      <c r="F3776" s="1" t="s">
        <v>8996</v>
      </c>
      <c r="H3776" s="1" t="s">
        <v>5458</v>
      </c>
      <c r="I3776" s="10" t="str">
        <f>IF(H3776="T74",1,IF(H3776="T74",3,IF(H3776="T90",6,IF(H3776="T90",10,IF(H3776="T122",14,IF(H3776="T122",18,IF(H3776="T90",22,"")))))))</f>
        <v/>
      </c>
      <c r="J3776" s="3" t="s">
        <v>5447</v>
      </c>
      <c r="K3776" s="10">
        <v>1</v>
      </c>
      <c r="L3776" s="10">
        <v>1</v>
      </c>
      <c r="O3776" s="6">
        <v>28</v>
      </c>
      <c r="Q3776" s="42" t="s">
        <v>8762</v>
      </c>
      <c r="R3776" s="42"/>
      <c r="S3776" s="1"/>
    </row>
    <row r="3777" spans="1:19" ht="18.75" hidden="1" customHeight="1" x14ac:dyDescent="0.3">
      <c r="A3777" s="10">
        <v>3776</v>
      </c>
      <c r="B3777" s="10">
        <f>_xlfn.XLOOKUP(1,(VALUE(D3777)&gt;=VALUE(block!$C$3:$C$500))*(VALUE(D3777)&lt;VALUE(block!$C$3:$C$500)+VALUE(block!$D$3:$D$500)),block!$A$3:$A$500,"无匹配",0,1)</f>
        <v>103</v>
      </c>
      <c r="C3777" s="3" t="str">
        <f>B3777 &amp; "-" &amp; COUNTIF($B$2:B3777, B3777)</f>
        <v>103-119</v>
      </c>
      <c r="D3777" s="10">
        <v>4284</v>
      </c>
      <c r="E3777" s="1" t="s">
        <v>8997</v>
      </c>
      <c r="F3777" s="1" t="s">
        <v>8998</v>
      </c>
      <c r="H3777" s="1" t="s">
        <v>5458</v>
      </c>
      <c r="I3777" s="10" t="str">
        <f>IF(H3777="T75",1,IF(H3777="T75",3,IF(H3777="T91",6,IF(H3777="T91",10,IF(H3777="T123",14,IF(H3777="T123",18,IF(H3777="T91",22,"")))))))</f>
        <v/>
      </c>
      <c r="J3777" s="3" t="s">
        <v>5447</v>
      </c>
      <c r="K3777" s="10">
        <v>1</v>
      </c>
      <c r="L3777" s="10">
        <v>1</v>
      </c>
      <c r="O3777" s="6">
        <v>28</v>
      </c>
      <c r="Q3777" s="70" t="s">
        <v>8767</v>
      </c>
      <c r="R3777" s="70"/>
      <c r="S3777" s="1"/>
    </row>
    <row r="3778" spans="1:19" ht="18.75" hidden="1" customHeight="1" x14ac:dyDescent="0.3">
      <c r="A3778" s="10">
        <v>3777</v>
      </c>
      <c r="B3778" s="10">
        <f>_xlfn.XLOOKUP(1,(VALUE(D3778)&gt;=VALUE(block!$C$3:$C$500))*(VALUE(D3778)&lt;VALUE(block!$C$3:$C$500)+VALUE(block!$D$3:$D$500)),block!$A$3:$A$500,"无匹配",0,1)</f>
        <v>103</v>
      </c>
      <c r="C3778" s="3" t="str">
        <f>B3778 &amp; "-" &amp; COUNTIF($B$2:B3778, B3778)</f>
        <v>103-120</v>
      </c>
      <c r="D3778" s="10">
        <v>4285</v>
      </c>
      <c r="E3778" s="1" t="s">
        <v>8999</v>
      </c>
      <c r="F3778" s="1" t="s">
        <v>9000</v>
      </c>
      <c r="H3778" s="1" t="s">
        <v>5458</v>
      </c>
      <c r="I3778" s="10" t="str">
        <f>IF(H3778="T76",1,IF(H3778="T76",3,IF(H3778="T92",6,IF(H3778="T92",10,IF(H3778="T124",14,IF(H3778="T124",18,IF(H3778="T92",22,"")))))))</f>
        <v/>
      </c>
      <c r="J3778" s="3" t="s">
        <v>5447</v>
      </c>
      <c r="K3778" s="10">
        <v>1</v>
      </c>
      <c r="L3778" s="10">
        <v>1</v>
      </c>
      <c r="O3778" s="6">
        <v>28</v>
      </c>
      <c r="Q3778" s="42" t="s">
        <v>8770</v>
      </c>
      <c r="R3778" s="42"/>
      <c r="S3778" s="1"/>
    </row>
    <row r="3779" spans="1:19" ht="18.75" hidden="1" customHeight="1" x14ac:dyDescent="0.3">
      <c r="A3779" s="10">
        <v>3778</v>
      </c>
      <c r="B3779" s="10">
        <f>_xlfn.XLOOKUP(1,(VALUE(D3779)&gt;=VALUE(block!$C$3:$C$500))*(VALUE(D3779)&lt;VALUE(block!$C$3:$C$500)+VALUE(block!$D$3:$D$500)),block!$A$3:$A$500,"无匹配",0,1)</f>
        <v>104</v>
      </c>
      <c r="C3779" s="3" t="str">
        <f>B3779 &amp; "-" &amp; COUNTIF($B$2:B3779, B3779)</f>
        <v>104-1</v>
      </c>
      <c r="D3779" s="10">
        <v>4286</v>
      </c>
      <c r="E3779" s="1" t="s">
        <v>9001</v>
      </c>
      <c r="F3779" s="1" t="s">
        <v>9002</v>
      </c>
      <c r="H3779" s="1" t="s">
        <v>1838</v>
      </c>
      <c r="I3779" s="10" t="str">
        <f>IF(H3779="T77",1,IF(H3779="T77",3,IF(H3779="T93",6,IF(H3779="T93",10,IF(H3779="T125",14,IF(H3779="T125",18,IF(H3779="T93",22,"")))))))</f>
        <v/>
      </c>
      <c r="J3779" s="3" t="s">
        <v>5447</v>
      </c>
      <c r="K3779" s="10">
        <v>2</v>
      </c>
      <c r="L3779" s="10">
        <v>1</v>
      </c>
      <c r="O3779" s="45" t="s">
        <v>9003</v>
      </c>
      <c r="Q3779" s="42" t="s">
        <v>8752</v>
      </c>
      <c r="R3779" s="42"/>
      <c r="S3779" s="1"/>
    </row>
    <row r="3780" spans="1:19" ht="18.75" hidden="1" customHeight="1" x14ac:dyDescent="0.3">
      <c r="A3780" s="10">
        <v>3779</v>
      </c>
      <c r="B3780" s="10">
        <f>_xlfn.XLOOKUP(1,(VALUE(D3780)&gt;=VALUE(block!$C$3:$C$500))*(VALUE(D3780)&lt;VALUE(block!$C$3:$C$500)+VALUE(block!$D$3:$D$500)),block!$A$3:$A$500,"无匹配",0,1)</f>
        <v>104</v>
      </c>
      <c r="C3780" s="3" t="str">
        <f>B3780 &amp; "-" &amp; COUNTIF($B$2:B3780, B3780)</f>
        <v>104-2</v>
      </c>
      <c r="D3780" s="10">
        <v>4288</v>
      </c>
      <c r="E3780" s="1" t="s">
        <v>9004</v>
      </c>
      <c r="F3780" s="1" t="s">
        <v>9005</v>
      </c>
      <c r="H3780" s="1" t="s">
        <v>1838</v>
      </c>
      <c r="I3780" s="10" t="str">
        <f>IF(H3780="T78",1,IF(H3780="T78",3,IF(H3780="T94",6,IF(H3780="T94",10,IF(H3780="T126",14,IF(H3780="T126",18,IF(H3780="T94",22,"")))))))</f>
        <v/>
      </c>
      <c r="J3780" s="3" t="s">
        <v>5447</v>
      </c>
      <c r="K3780" s="10">
        <v>2</v>
      </c>
      <c r="L3780" s="10">
        <v>1</v>
      </c>
      <c r="O3780" s="45" t="s">
        <v>9003</v>
      </c>
      <c r="Q3780" s="42" t="s">
        <v>8752</v>
      </c>
      <c r="R3780" s="42"/>
      <c r="S3780" s="1"/>
    </row>
    <row r="3781" spans="1:19" ht="18.75" hidden="1" customHeight="1" x14ac:dyDescent="0.3">
      <c r="A3781" s="10">
        <v>3780</v>
      </c>
      <c r="B3781" s="10">
        <f>_xlfn.XLOOKUP(1,(VALUE(D3781)&gt;=VALUE(block!$C$3:$C$500))*(VALUE(D3781)&lt;VALUE(block!$C$3:$C$500)+VALUE(block!$D$3:$D$500)),block!$A$3:$A$500,"无匹配",0,1)</f>
        <v>104</v>
      </c>
      <c r="C3781" s="3" t="str">
        <f>B3781 &amp; "-" &amp; COUNTIF($B$2:B3781, B3781)</f>
        <v>104-3</v>
      </c>
      <c r="D3781" s="10">
        <v>4290</v>
      </c>
      <c r="E3781" s="1" t="s">
        <v>9006</v>
      </c>
      <c r="F3781" s="1" t="s">
        <v>9007</v>
      </c>
      <c r="H3781" s="1" t="s">
        <v>1838</v>
      </c>
      <c r="I3781" s="10" t="str">
        <f>IF(H3781="T79",1,IF(H3781="T79",3,IF(H3781="T95",6,IF(H3781="T95",10,IF(H3781="T127",14,IF(H3781="T127",18,IF(H3781="T95",22,"")))))))</f>
        <v/>
      </c>
      <c r="J3781" s="3" t="s">
        <v>5447</v>
      </c>
      <c r="K3781" s="10">
        <v>2</v>
      </c>
      <c r="L3781" s="10">
        <v>1</v>
      </c>
      <c r="O3781" s="45" t="s">
        <v>9003</v>
      </c>
      <c r="Q3781" s="42" t="s">
        <v>8752</v>
      </c>
      <c r="R3781" s="42"/>
      <c r="S3781" s="1"/>
    </row>
    <row r="3782" spans="1:19" ht="18.75" hidden="1" customHeight="1" x14ac:dyDescent="0.3">
      <c r="A3782" s="10">
        <v>3781</v>
      </c>
      <c r="B3782" s="10">
        <f>_xlfn.XLOOKUP(1,(VALUE(D3782)&gt;=VALUE(block!$C$3:$C$500))*(VALUE(D3782)&lt;VALUE(block!$C$3:$C$500)+VALUE(block!$D$3:$D$500)),block!$A$3:$A$500,"无匹配",0,1)</f>
        <v>104</v>
      </c>
      <c r="C3782" s="3" t="str">
        <f>B3782 &amp; "-" &amp; COUNTIF($B$2:B3782, B3782)</f>
        <v>104-4</v>
      </c>
      <c r="D3782" s="10">
        <v>4292</v>
      </c>
      <c r="E3782" s="1" t="s">
        <v>9008</v>
      </c>
      <c r="F3782" s="1" t="s">
        <v>9009</v>
      </c>
      <c r="H3782" s="1" t="s">
        <v>1838</v>
      </c>
      <c r="I3782" s="10">
        <f>IF(H3782="uint16",1,IF(H3782="int16",3,IF(H3782="uint32",6,IF(H3782="int32",10,IF(H3782="uint64",14,IF(H3782="int64",18,IF(H3782="float32",22,"")))))))</f>
        <v>6</v>
      </c>
      <c r="J3782" s="3" t="s">
        <v>5447</v>
      </c>
      <c r="K3782" s="10">
        <v>2</v>
      </c>
      <c r="L3782" s="10">
        <v>1</v>
      </c>
      <c r="O3782" s="45" t="s">
        <v>9003</v>
      </c>
      <c r="Q3782" s="42" t="s">
        <v>8752</v>
      </c>
      <c r="R3782" s="42"/>
      <c r="S3782" s="1"/>
    </row>
    <row r="3783" spans="1:19" ht="18.75" hidden="1" customHeight="1" x14ac:dyDescent="0.3">
      <c r="A3783" s="10">
        <v>3782</v>
      </c>
      <c r="B3783" s="10">
        <f>_xlfn.XLOOKUP(1,(VALUE(D3783)&gt;=VALUE(block!$C$3:$C$500))*(VALUE(D3783)&lt;VALUE(block!$C$3:$C$500)+VALUE(block!$D$3:$D$500)),block!$A$3:$A$500,"无匹配",0,1)</f>
        <v>104</v>
      </c>
      <c r="C3783" s="3" t="str">
        <f>B3783 &amp; "-" &amp; COUNTIF($B$2:B3783, B3783)</f>
        <v>104-5</v>
      </c>
      <c r="D3783" s="10">
        <v>4294</v>
      </c>
      <c r="E3783" s="1" t="s">
        <v>9010</v>
      </c>
      <c r="F3783" s="1" t="s">
        <v>9011</v>
      </c>
      <c r="H3783" s="1" t="s">
        <v>1838</v>
      </c>
      <c r="I3783" s="10" t="str">
        <f>IF(H3783="T17",1,IF(H3783="T17",3,IF(H3783="T33",6,IF(H3783="T33",10,IF(H3783="T65",14,IF(H3783="T65",18,IF(H3783="T33",22,"")))))))</f>
        <v/>
      </c>
      <c r="J3783" s="3" t="s">
        <v>5447</v>
      </c>
      <c r="K3783" s="10">
        <v>2</v>
      </c>
      <c r="L3783" s="10">
        <v>1</v>
      </c>
      <c r="O3783" s="45" t="s">
        <v>9003</v>
      </c>
      <c r="Q3783" s="42" t="s">
        <v>8752</v>
      </c>
      <c r="R3783" s="42"/>
      <c r="S3783" s="1"/>
    </row>
    <row r="3784" spans="1:19" ht="18.75" hidden="1" customHeight="1" x14ac:dyDescent="0.3">
      <c r="A3784" s="10">
        <v>3783</v>
      </c>
      <c r="B3784" s="10">
        <f>_xlfn.XLOOKUP(1,(VALUE(D3784)&gt;=VALUE(block!$C$3:$C$500))*(VALUE(D3784)&lt;VALUE(block!$C$3:$C$500)+VALUE(block!$D$3:$D$500)),block!$A$3:$A$500,"无匹配",0,1)</f>
        <v>104</v>
      </c>
      <c r="C3784" s="3" t="str">
        <f>B3784 &amp; "-" &amp; COUNTIF($B$2:B3784, B3784)</f>
        <v>104-6</v>
      </c>
      <c r="D3784" s="10">
        <v>4296</v>
      </c>
      <c r="E3784" s="1" t="s">
        <v>9012</v>
      </c>
      <c r="F3784" s="1" t="s">
        <v>9013</v>
      </c>
      <c r="H3784" s="1" t="s">
        <v>1838</v>
      </c>
      <c r="I3784" s="10" t="str">
        <f>IF(H3784="T18",1,IF(H3784="T18",3,IF(H3784="T34",6,IF(H3784="T34",10,IF(H3784="T66",14,IF(H3784="T66",18,IF(H3784="T34",22,"")))))))</f>
        <v/>
      </c>
      <c r="J3784" s="3" t="s">
        <v>5447</v>
      </c>
      <c r="K3784" s="10">
        <v>2</v>
      </c>
      <c r="L3784" s="10">
        <v>1</v>
      </c>
      <c r="O3784" s="45" t="s">
        <v>9003</v>
      </c>
      <c r="Q3784" s="42" t="s">
        <v>8752</v>
      </c>
      <c r="R3784" s="42"/>
      <c r="S3784" s="1"/>
    </row>
    <row r="3785" spans="1:19" ht="18.75" hidden="1" customHeight="1" x14ac:dyDescent="0.3">
      <c r="A3785" s="10">
        <v>3784</v>
      </c>
      <c r="B3785" s="10">
        <f>_xlfn.XLOOKUP(1,(VALUE(D3785)&gt;=VALUE(block!$C$3:$C$500))*(VALUE(D3785)&lt;VALUE(block!$C$3:$C$500)+VALUE(block!$D$3:$D$500)),block!$A$3:$A$500,"无匹配",0,1)</f>
        <v>104</v>
      </c>
      <c r="C3785" s="3" t="str">
        <f>B3785 &amp; "-" &amp; COUNTIF($B$2:B3785, B3785)</f>
        <v>104-7</v>
      </c>
      <c r="D3785" s="10">
        <v>4298</v>
      </c>
      <c r="E3785" s="1" t="s">
        <v>9014</v>
      </c>
      <c r="F3785" s="1" t="s">
        <v>9015</v>
      </c>
      <c r="H3785" s="1" t="s">
        <v>1838</v>
      </c>
      <c r="I3785" s="10" t="str">
        <f>IF(H3785="T19",1,IF(H3785="T19",3,IF(H3785="T35",6,IF(H3785="T35",10,IF(H3785="T67",14,IF(H3785="T67",18,IF(H3785="T35",22,"")))))))</f>
        <v/>
      </c>
      <c r="J3785" s="3" t="s">
        <v>5447</v>
      </c>
      <c r="K3785" s="10">
        <v>2</v>
      </c>
      <c r="L3785" s="10">
        <v>1</v>
      </c>
      <c r="O3785" s="45" t="s">
        <v>9003</v>
      </c>
      <c r="Q3785" s="42" t="s">
        <v>8752</v>
      </c>
      <c r="R3785" s="42"/>
      <c r="S3785" s="1"/>
    </row>
    <row r="3786" spans="1:19" ht="18.75" hidden="1" customHeight="1" x14ac:dyDescent="0.3">
      <c r="A3786" s="10">
        <v>3785</v>
      </c>
      <c r="B3786" s="10">
        <f>_xlfn.XLOOKUP(1,(VALUE(D3786)&gt;=VALUE(block!$C$3:$C$500))*(VALUE(D3786)&lt;VALUE(block!$C$3:$C$500)+VALUE(block!$D$3:$D$500)),block!$A$3:$A$500,"无匹配",0,1)</f>
        <v>104</v>
      </c>
      <c r="C3786" s="3" t="str">
        <f>B3786 &amp; "-" &amp; COUNTIF($B$2:B3786, B3786)</f>
        <v>104-8</v>
      </c>
      <c r="D3786" s="10">
        <v>4300</v>
      </c>
      <c r="E3786" s="1" t="s">
        <v>9016</v>
      </c>
      <c r="F3786" s="1" t="s">
        <v>9017</v>
      </c>
      <c r="H3786" s="1" t="s">
        <v>1838</v>
      </c>
      <c r="I3786" s="10" t="str">
        <f>IF(H3786="T20",1,IF(H3786="T20",3,IF(H3786="T36",6,IF(H3786="T36",10,IF(H3786="T68",14,IF(H3786="T68",18,IF(H3786="T36",22,"")))))))</f>
        <v/>
      </c>
      <c r="J3786" s="3" t="s">
        <v>5447</v>
      </c>
      <c r="K3786" s="10">
        <v>2</v>
      </c>
      <c r="L3786" s="10">
        <v>1</v>
      </c>
      <c r="O3786" s="45" t="s">
        <v>9003</v>
      </c>
      <c r="Q3786" s="42" t="s">
        <v>8752</v>
      </c>
      <c r="R3786" s="42"/>
      <c r="S3786" s="1"/>
    </row>
    <row r="3787" spans="1:19" ht="18.75" hidden="1" customHeight="1" x14ac:dyDescent="0.3">
      <c r="A3787" s="10">
        <v>3786</v>
      </c>
      <c r="B3787" s="10">
        <f>_xlfn.XLOOKUP(1,(VALUE(D3787)&gt;=VALUE(block!$C$3:$C$500))*(VALUE(D3787)&lt;VALUE(block!$C$3:$C$500)+VALUE(block!$D$3:$D$500)),block!$A$3:$A$500,"无匹配",0,1)</f>
        <v>104</v>
      </c>
      <c r="C3787" s="3" t="str">
        <f>B3787 &amp; "-" &amp; COUNTIF($B$2:B3787, B3787)</f>
        <v>104-9</v>
      </c>
      <c r="D3787" s="10">
        <v>4302</v>
      </c>
      <c r="E3787" s="1" t="s">
        <v>9018</v>
      </c>
      <c r="F3787" s="1" t="s">
        <v>9019</v>
      </c>
      <c r="H3787" s="1" t="s">
        <v>1838</v>
      </c>
      <c r="I3787" s="10" t="str">
        <f>IF(H3787="T21",1,IF(H3787="T21",3,IF(H3787="T37",6,IF(H3787="T37",10,IF(H3787="T69",14,IF(H3787="T69",18,IF(H3787="T37",22,"")))))))</f>
        <v/>
      </c>
      <c r="J3787" s="3" t="s">
        <v>5447</v>
      </c>
      <c r="K3787" s="10">
        <v>2</v>
      </c>
      <c r="L3787" s="10">
        <v>1</v>
      </c>
      <c r="O3787" s="45" t="s">
        <v>9003</v>
      </c>
      <c r="Q3787" s="42" t="s">
        <v>8752</v>
      </c>
      <c r="R3787" s="42"/>
      <c r="S3787" s="1"/>
    </row>
    <row r="3788" spans="1:19" ht="18.75" hidden="1" customHeight="1" x14ac:dyDescent="0.3">
      <c r="A3788" s="10">
        <v>3787</v>
      </c>
      <c r="B3788" s="10">
        <f>_xlfn.XLOOKUP(1,(VALUE(D3788)&gt;=VALUE(block!$C$3:$C$500))*(VALUE(D3788)&lt;VALUE(block!$C$3:$C$500)+VALUE(block!$D$3:$D$500)),block!$A$3:$A$500,"无匹配",0,1)</f>
        <v>104</v>
      </c>
      <c r="C3788" s="3" t="str">
        <f>B3788 &amp; "-" &amp; COUNTIF($B$2:B3788, B3788)</f>
        <v>104-10</v>
      </c>
      <c r="D3788" s="10">
        <v>4304</v>
      </c>
      <c r="E3788" s="1" t="s">
        <v>9020</v>
      </c>
      <c r="F3788" s="1" t="s">
        <v>9021</v>
      </c>
      <c r="H3788" s="1" t="s">
        <v>1838</v>
      </c>
      <c r="I3788" s="10" t="str">
        <f>IF(H3788="T22",1,IF(H3788="T22",3,IF(H3788="T38",6,IF(H3788="T38",10,IF(H3788="T70",14,IF(H3788="T70",18,IF(H3788="T38",22,"")))))))</f>
        <v/>
      </c>
      <c r="J3788" s="3" t="s">
        <v>5447</v>
      </c>
      <c r="K3788" s="10">
        <v>2</v>
      </c>
      <c r="L3788" s="10">
        <v>1</v>
      </c>
      <c r="O3788" s="45" t="s">
        <v>9003</v>
      </c>
      <c r="Q3788" s="42" t="s">
        <v>8752</v>
      </c>
      <c r="R3788" s="42"/>
      <c r="S3788" s="1"/>
    </row>
    <row r="3789" spans="1:19" ht="18.75" hidden="1" customHeight="1" x14ac:dyDescent="0.3">
      <c r="A3789" s="10">
        <v>3788</v>
      </c>
      <c r="B3789" s="10">
        <f>_xlfn.XLOOKUP(1,(VALUE(D3789)&gt;=VALUE(block!$C$3:$C$500))*(VALUE(D3789)&lt;VALUE(block!$C$3:$C$500)+VALUE(block!$D$3:$D$500)),block!$A$3:$A$500,"无匹配",0,1)</f>
        <v>104</v>
      </c>
      <c r="C3789" s="3" t="str">
        <f>B3789 &amp; "-" &amp; COUNTIF($B$2:B3789, B3789)</f>
        <v>104-11</v>
      </c>
      <c r="D3789" s="10">
        <v>4306</v>
      </c>
      <c r="E3789" s="1" t="s">
        <v>9022</v>
      </c>
      <c r="F3789" s="1" t="s">
        <v>9023</v>
      </c>
      <c r="H3789" s="1" t="s">
        <v>1838</v>
      </c>
      <c r="I3789" s="10" t="str">
        <f>IF(H3789="T23",1,IF(H3789="T23",3,IF(H3789="T39",6,IF(H3789="T39",10,IF(H3789="T71",14,IF(H3789="T71",18,IF(H3789="T39",22,"")))))))</f>
        <v/>
      </c>
      <c r="J3789" s="3" t="s">
        <v>5447</v>
      </c>
      <c r="K3789" s="10">
        <v>2</v>
      </c>
      <c r="L3789" s="10">
        <v>1</v>
      </c>
      <c r="O3789" s="45" t="s">
        <v>9003</v>
      </c>
      <c r="Q3789" s="42" t="s">
        <v>8752</v>
      </c>
      <c r="R3789" s="42"/>
      <c r="S3789" s="1"/>
    </row>
    <row r="3790" spans="1:19" ht="18.75" hidden="1" customHeight="1" x14ac:dyDescent="0.3">
      <c r="A3790" s="10">
        <v>3789</v>
      </c>
      <c r="B3790" s="10">
        <f>_xlfn.XLOOKUP(1,(VALUE(D3790)&gt;=VALUE(block!$C$3:$C$500))*(VALUE(D3790)&lt;VALUE(block!$C$3:$C$500)+VALUE(block!$D$3:$D$500)),block!$A$3:$A$500,"无匹配",0,1)</f>
        <v>104</v>
      </c>
      <c r="C3790" s="3" t="str">
        <f>B3790 &amp; "-" &amp; COUNTIF($B$2:B3790, B3790)</f>
        <v>104-12</v>
      </c>
      <c r="D3790" s="10">
        <v>4308</v>
      </c>
      <c r="E3790" s="1" t="s">
        <v>9024</v>
      </c>
      <c r="F3790" s="1" t="s">
        <v>9025</v>
      </c>
      <c r="H3790" s="1" t="s">
        <v>1838</v>
      </c>
      <c r="I3790" s="10" t="str">
        <f>IF(H3790="T24",1,IF(H3790="T24",3,IF(H3790="T40",6,IF(H3790="T40",10,IF(H3790="T72",14,IF(H3790="T72",18,IF(H3790="T40",22,"")))))))</f>
        <v/>
      </c>
      <c r="J3790" s="3" t="s">
        <v>5447</v>
      </c>
      <c r="K3790" s="10">
        <v>2</v>
      </c>
      <c r="L3790" s="10">
        <v>1</v>
      </c>
      <c r="O3790" s="45" t="s">
        <v>9003</v>
      </c>
      <c r="Q3790" s="42" t="s">
        <v>8752</v>
      </c>
      <c r="R3790" s="42"/>
      <c r="S3790" s="1"/>
    </row>
    <row r="3791" spans="1:19" ht="18.75" hidden="1" customHeight="1" x14ac:dyDescent="0.3">
      <c r="A3791" s="10">
        <v>3790</v>
      </c>
      <c r="B3791" s="10">
        <f>_xlfn.XLOOKUP(1,(VALUE(D3791)&gt;=VALUE(block!$C$3:$C$500))*(VALUE(D3791)&lt;VALUE(block!$C$3:$C$500)+VALUE(block!$D$3:$D$500)),block!$A$3:$A$500,"无匹配",0,1)</f>
        <v>104</v>
      </c>
      <c r="C3791" s="3" t="str">
        <f>B3791 &amp; "-" &amp; COUNTIF($B$2:B3791, B3791)</f>
        <v>104-13</v>
      </c>
      <c r="D3791" s="10">
        <v>4310</v>
      </c>
      <c r="E3791" s="1" t="s">
        <v>9026</v>
      </c>
      <c r="F3791" s="1" t="s">
        <v>9027</v>
      </c>
      <c r="H3791" s="1" t="s">
        <v>5458</v>
      </c>
      <c r="I3791" s="10" t="str">
        <f>IF(H3791="T25",1,IF(H3791="T25",3,IF(H3791="T41",6,IF(H3791="T41",10,IF(H3791="T73",14,IF(H3791="T73",18,IF(H3791="T41",22,"")))))))</f>
        <v/>
      </c>
      <c r="J3791" s="3" t="s">
        <v>5447</v>
      </c>
      <c r="K3791" s="10">
        <v>1</v>
      </c>
      <c r="L3791" s="10">
        <v>1</v>
      </c>
      <c r="O3791" s="6">
        <v>30</v>
      </c>
      <c r="S3791" s="1"/>
    </row>
    <row r="3792" spans="1:19" ht="18.75" hidden="1" customHeight="1" x14ac:dyDescent="0.3">
      <c r="A3792" s="10">
        <v>3791</v>
      </c>
      <c r="B3792" s="10">
        <f>_xlfn.XLOOKUP(1,(VALUE(D3792)&gt;=VALUE(block!$C$3:$C$500))*(VALUE(D3792)&lt;VALUE(block!$C$3:$C$500)+VALUE(block!$D$3:$D$500)),block!$A$3:$A$500,"无匹配",0,1)</f>
        <v>104</v>
      </c>
      <c r="C3792" s="3" t="str">
        <f>B3792 &amp; "-" &amp; COUNTIF($B$2:B3792, B3792)</f>
        <v>104-14</v>
      </c>
      <c r="D3792" s="10">
        <v>4311</v>
      </c>
      <c r="E3792" s="1" t="s">
        <v>9028</v>
      </c>
      <c r="F3792" s="1" t="s">
        <v>9029</v>
      </c>
      <c r="H3792" s="1" t="s">
        <v>5458</v>
      </c>
      <c r="I3792" s="10" t="str">
        <f>IF(H3792="T26",1,IF(H3792="T26",3,IF(H3792="T42",6,IF(H3792="T42",10,IF(H3792="T74",14,IF(H3792="T74",18,IF(H3792="T42",22,"")))))))</f>
        <v/>
      </c>
      <c r="J3792" s="3" t="s">
        <v>5447</v>
      </c>
      <c r="K3792" s="10">
        <v>1</v>
      </c>
      <c r="L3792" s="10">
        <v>1</v>
      </c>
      <c r="O3792" s="6">
        <v>30</v>
      </c>
      <c r="S3792" s="1"/>
    </row>
    <row r="3793" spans="1:19" ht="18.75" hidden="1" customHeight="1" x14ac:dyDescent="0.3">
      <c r="A3793" s="10">
        <v>3792</v>
      </c>
      <c r="B3793" s="10">
        <f>_xlfn.XLOOKUP(1,(VALUE(D3793)&gt;=VALUE(block!$C$3:$C$500))*(VALUE(D3793)&lt;VALUE(block!$C$3:$C$500)+VALUE(block!$D$3:$D$500)),block!$A$3:$A$500,"无匹配",0,1)</f>
        <v>104</v>
      </c>
      <c r="C3793" s="3" t="str">
        <f>B3793 &amp; "-" &amp; COUNTIF($B$2:B3793, B3793)</f>
        <v>104-15</v>
      </c>
      <c r="D3793" s="10">
        <v>4312</v>
      </c>
      <c r="E3793" s="1" t="s">
        <v>9030</v>
      </c>
      <c r="F3793" s="1" t="s">
        <v>9031</v>
      </c>
      <c r="H3793" s="1" t="s">
        <v>5458</v>
      </c>
      <c r="I3793" s="10" t="str">
        <f>IF(H3793="T27",1,IF(H3793="T27",3,IF(H3793="T43",6,IF(H3793="T43",10,IF(H3793="T75",14,IF(H3793="T75",18,IF(H3793="T43",22,"")))))))</f>
        <v/>
      </c>
      <c r="J3793" s="3" t="s">
        <v>5447</v>
      </c>
      <c r="K3793" s="10">
        <v>1</v>
      </c>
      <c r="L3793" s="10">
        <v>1</v>
      </c>
      <c r="O3793" s="6">
        <v>30</v>
      </c>
      <c r="S3793" s="1"/>
    </row>
    <row r="3794" spans="1:19" ht="18.75" hidden="1" customHeight="1" x14ac:dyDescent="0.3">
      <c r="A3794" s="10">
        <v>3793</v>
      </c>
      <c r="B3794" s="10">
        <f>_xlfn.XLOOKUP(1,(VALUE(D3794)&gt;=VALUE(block!$C$3:$C$500))*(VALUE(D3794)&lt;VALUE(block!$C$3:$C$500)+VALUE(block!$D$3:$D$500)),block!$A$3:$A$500,"无匹配",0,1)</f>
        <v>104</v>
      </c>
      <c r="C3794" s="3" t="str">
        <f>B3794 &amp; "-" &amp; COUNTIF($B$2:B3794, B3794)</f>
        <v>104-16</v>
      </c>
      <c r="D3794" s="10">
        <v>4313</v>
      </c>
      <c r="E3794" s="1" t="s">
        <v>9032</v>
      </c>
      <c r="F3794" s="1" t="s">
        <v>9033</v>
      </c>
      <c r="H3794" s="1" t="s">
        <v>5458</v>
      </c>
      <c r="I3794" s="10" t="str">
        <f>IF(H3794="T28",1,IF(H3794="T28",3,IF(H3794="T44",6,IF(H3794="T44",10,IF(H3794="T76",14,IF(H3794="T76",18,IF(H3794="T44",22,"")))))))</f>
        <v/>
      </c>
      <c r="J3794" s="3" t="s">
        <v>5447</v>
      </c>
      <c r="K3794" s="10">
        <v>1</v>
      </c>
      <c r="L3794" s="10">
        <v>1</v>
      </c>
      <c r="O3794" s="6">
        <v>30</v>
      </c>
      <c r="S3794" s="1"/>
    </row>
    <row r="3795" spans="1:19" ht="18.75" hidden="1" customHeight="1" x14ac:dyDescent="0.3">
      <c r="A3795" s="10">
        <v>3794</v>
      </c>
      <c r="B3795" s="10">
        <f>_xlfn.XLOOKUP(1,(VALUE(D3795)&gt;=VALUE(block!$C$3:$C$500))*(VALUE(D3795)&lt;VALUE(block!$C$3:$C$500)+VALUE(block!$D$3:$D$500)),block!$A$3:$A$500,"无匹配",0,1)</f>
        <v>104</v>
      </c>
      <c r="C3795" s="3" t="str">
        <f>B3795 &amp; "-" &amp; COUNTIF($B$2:B3795, B3795)</f>
        <v>104-17</v>
      </c>
      <c r="D3795" s="10">
        <v>4314</v>
      </c>
      <c r="E3795" s="1" t="s">
        <v>9034</v>
      </c>
      <c r="F3795" s="1" t="s">
        <v>9035</v>
      </c>
      <c r="H3795" s="1" t="s">
        <v>5458</v>
      </c>
      <c r="I3795" s="10" t="str">
        <f>IF(H3795="T29",1,IF(H3795="T29",3,IF(H3795="T45",6,IF(H3795="T45",10,IF(H3795="T77",14,IF(H3795="T77",18,IF(H3795="T45",22,"")))))))</f>
        <v/>
      </c>
      <c r="J3795" s="3" t="s">
        <v>5447</v>
      </c>
      <c r="K3795" s="10">
        <v>1</v>
      </c>
      <c r="L3795" s="10">
        <v>1</v>
      </c>
      <c r="O3795" s="6">
        <v>30</v>
      </c>
      <c r="S3795" s="1"/>
    </row>
    <row r="3796" spans="1:19" ht="18.75" hidden="1" customHeight="1" x14ac:dyDescent="0.3">
      <c r="A3796" s="10">
        <v>3795</v>
      </c>
      <c r="B3796" s="10">
        <f>_xlfn.XLOOKUP(1,(VALUE(D3796)&gt;=VALUE(block!$C$3:$C$500))*(VALUE(D3796)&lt;VALUE(block!$C$3:$C$500)+VALUE(block!$D$3:$D$500)),block!$A$3:$A$500,"无匹配",0,1)</f>
        <v>104</v>
      </c>
      <c r="C3796" s="3" t="str">
        <f>B3796 &amp; "-" &amp; COUNTIF($B$2:B3796, B3796)</f>
        <v>104-18</v>
      </c>
      <c r="D3796" s="10">
        <v>4315</v>
      </c>
      <c r="E3796" s="1" t="s">
        <v>9036</v>
      </c>
      <c r="F3796" s="1" t="s">
        <v>9037</v>
      </c>
      <c r="H3796" s="1" t="s">
        <v>5458</v>
      </c>
      <c r="I3796" s="10" t="str">
        <f>IF(H3796="T30",1,IF(H3796="T30",3,IF(H3796="T46",6,IF(H3796="T46",10,IF(H3796="T78",14,IF(H3796="T78",18,IF(H3796="T46",22,"")))))))</f>
        <v/>
      </c>
      <c r="J3796" s="3" t="s">
        <v>5447</v>
      </c>
      <c r="K3796" s="10">
        <v>1</v>
      </c>
      <c r="L3796" s="10">
        <v>1</v>
      </c>
      <c r="O3796" s="6">
        <v>30</v>
      </c>
      <c r="S3796" s="1"/>
    </row>
    <row r="3797" spans="1:19" ht="18.75" hidden="1" customHeight="1" x14ac:dyDescent="0.3">
      <c r="A3797" s="10">
        <v>3796</v>
      </c>
      <c r="B3797" s="10">
        <f>_xlfn.XLOOKUP(1,(VALUE(D3797)&gt;=VALUE(block!$C$3:$C$500))*(VALUE(D3797)&lt;VALUE(block!$C$3:$C$500)+VALUE(block!$D$3:$D$500)),block!$A$3:$A$500,"无匹配",0,1)</f>
        <v>104</v>
      </c>
      <c r="C3797" s="3" t="str">
        <f>B3797 &amp; "-" &amp; COUNTIF($B$2:B3797, B3797)</f>
        <v>104-19</v>
      </c>
      <c r="D3797" s="10">
        <v>4316</v>
      </c>
      <c r="E3797" s="1" t="s">
        <v>9038</v>
      </c>
      <c r="F3797" s="1" t="s">
        <v>9039</v>
      </c>
      <c r="H3797" s="1" t="s">
        <v>5458</v>
      </c>
      <c r="I3797" s="10" t="str">
        <f>IF(H3797="T31",1,IF(H3797="T31",3,IF(H3797="T47",6,IF(H3797="T47",10,IF(H3797="T79",14,IF(H3797="T79",18,IF(H3797="T47",22,"")))))))</f>
        <v/>
      </c>
      <c r="J3797" s="3" t="s">
        <v>5447</v>
      </c>
      <c r="K3797" s="10">
        <v>1</v>
      </c>
      <c r="L3797" s="10">
        <v>1</v>
      </c>
      <c r="O3797" s="6">
        <v>30</v>
      </c>
      <c r="S3797" s="1"/>
    </row>
    <row r="3798" spans="1:19" ht="18.75" hidden="1" customHeight="1" x14ac:dyDescent="0.3">
      <c r="A3798" s="10">
        <v>3797</v>
      </c>
      <c r="B3798" s="10">
        <f>_xlfn.XLOOKUP(1,(VALUE(D3798)&gt;=VALUE(block!$C$3:$C$500))*(VALUE(D3798)&lt;VALUE(block!$C$3:$C$500)+VALUE(block!$D$3:$D$500)),block!$A$3:$A$500,"无匹配",0,1)</f>
        <v>104</v>
      </c>
      <c r="C3798" s="3" t="str">
        <f>B3798 &amp; "-" &amp; COUNTIF($B$2:B3798, B3798)</f>
        <v>104-20</v>
      </c>
      <c r="D3798" s="10">
        <v>4317</v>
      </c>
      <c r="E3798" s="1" t="s">
        <v>9040</v>
      </c>
      <c r="F3798" s="1" t="s">
        <v>9041</v>
      </c>
      <c r="H3798" s="1" t="s">
        <v>5458</v>
      </c>
      <c r="I3798" s="10" t="str">
        <f>IF(H3798="T32",1,IF(H3798="T32",3,IF(H3798="T48",6,IF(H3798="T48",10,IF(H3798="T80",14,IF(H3798="T80",18,IF(H3798="T48",22,"")))))))</f>
        <v/>
      </c>
      <c r="J3798" s="3" t="s">
        <v>5447</v>
      </c>
      <c r="K3798" s="10">
        <v>1</v>
      </c>
      <c r="L3798" s="10">
        <v>1</v>
      </c>
      <c r="O3798" s="6">
        <v>30</v>
      </c>
      <c r="S3798" s="1"/>
    </row>
    <row r="3799" spans="1:19" ht="18.75" hidden="1" customHeight="1" x14ac:dyDescent="0.3">
      <c r="A3799" s="10">
        <v>3798</v>
      </c>
      <c r="B3799" s="10">
        <f>_xlfn.XLOOKUP(1,(VALUE(D3799)&gt;=VALUE(block!$C$3:$C$500))*(VALUE(D3799)&lt;VALUE(block!$C$3:$C$500)+VALUE(block!$D$3:$D$500)),block!$A$3:$A$500,"无匹配",0,1)</f>
        <v>104</v>
      </c>
      <c r="C3799" s="3" t="str">
        <f>B3799 &amp; "-" &amp; COUNTIF($B$2:B3799, B3799)</f>
        <v>104-21</v>
      </c>
      <c r="D3799" s="10">
        <v>4318</v>
      </c>
      <c r="E3799" s="1" t="s">
        <v>9042</v>
      </c>
      <c r="F3799" s="1" t="s">
        <v>9043</v>
      </c>
      <c r="H3799" s="1" t="s">
        <v>5458</v>
      </c>
      <c r="I3799" s="10" t="str">
        <f>IF(H3799="T33",1,IF(H3799="T33",3,IF(H3799="T49",6,IF(H3799="T49",10,IF(H3799="T81",14,IF(H3799="T81",18,IF(H3799="T49",22,"")))))))</f>
        <v/>
      </c>
      <c r="J3799" s="3" t="s">
        <v>5447</v>
      </c>
      <c r="K3799" s="10">
        <v>1</v>
      </c>
      <c r="L3799" s="10">
        <v>1</v>
      </c>
      <c r="O3799" s="6"/>
      <c r="S3799" s="1"/>
    </row>
    <row r="3800" spans="1:19" ht="18.75" hidden="1" customHeight="1" x14ac:dyDescent="0.3">
      <c r="A3800" s="10">
        <v>3799</v>
      </c>
      <c r="B3800" s="10">
        <f>_xlfn.XLOOKUP(1,(VALUE(D3800)&gt;=VALUE(block!$C$3:$C$500))*(VALUE(D3800)&lt;VALUE(block!$C$3:$C$500)+VALUE(block!$D$3:$D$500)),block!$A$3:$A$500,"无匹配",0,1)</f>
        <v>104</v>
      </c>
      <c r="C3800" s="3" t="str">
        <f>B3800 &amp; "-" &amp; COUNTIF($B$2:B3800, B3800)</f>
        <v>104-22</v>
      </c>
      <c r="D3800" s="10">
        <v>4319</v>
      </c>
      <c r="E3800" s="1" t="s">
        <v>9044</v>
      </c>
      <c r="F3800" s="1" t="s">
        <v>9045</v>
      </c>
      <c r="H3800" s="1" t="s">
        <v>1838</v>
      </c>
      <c r="I3800" s="10" t="str">
        <f>IF(H3800="T34",1,IF(H3800="T34",3,IF(H3800="T50",6,IF(H3800="T50",10,IF(H3800="T82",14,IF(H3800="T82",18,IF(H3800="T50",22,"")))))))</f>
        <v/>
      </c>
      <c r="J3800" s="3" t="s">
        <v>5447</v>
      </c>
      <c r="K3800" s="10">
        <v>2</v>
      </c>
      <c r="L3800" s="71">
        <v>1E-3</v>
      </c>
      <c r="O3800" s="6">
        <v>30</v>
      </c>
      <c r="Q3800" s="42" t="s">
        <v>5491</v>
      </c>
      <c r="R3800" s="42"/>
      <c r="S3800" s="1"/>
    </row>
    <row r="3801" spans="1:19" ht="18.75" hidden="1" customHeight="1" x14ac:dyDescent="0.3">
      <c r="A3801" s="10">
        <v>3800</v>
      </c>
      <c r="B3801" s="10">
        <f>_xlfn.XLOOKUP(1,(VALUE(D3801)&gt;=VALUE(block!$C$3:$C$500))*(VALUE(D3801)&lt;VALUE(block!$C$3:$C$500)+VALUE(block!$D$3:$D$500)),block!$A$3:$A$500,"无匹配",0,1)</f>
        <v>104</v>
      </c>
      <c r="C3801" s="3" t="str">
        <f>B3801 &amp; "-" &amp; COUNTIF($B$2:B3801, B3801)</f>
        <v>104-23</v>
      </c>
      <c r="D3801" s="10">
        <v>4321</v>
      </c>
      <c r="E3801" s="1" t="s">
        <v>9046</v>
      </c>
      <c r="F3801" s="1" t="s">
        <v>9047</v>
      </c>
      <c r="H3801" s="1" t="s">
        <v>5458</v>
      </c>
      <c r="I3801" s="10" t="str">
        <f>IF(H3801="T35",1,IF(H3801="T35",3,IF(H3801="T51",6,IF(H3801="T51",10,IF(H3801="T83",14,IF(H3801="T83",18,IF(H3801="T51",22,"")))))))</f>
        <v/>
      </c>
      <c r="J3801" s="3" t="s">
        <v>5447</v>
      </c>
      <c r="K3801" s="10">
        <v>1</v>
      </c>
      <c r="L3801" s="10">
        <v>1</v>
      </c>
      <c r="O3801" s="6">
        <v>30</v>
      </c>
      <c r="S3801" s="1"/>
    </row>
    <row r="3802" spans="1:19" ht="18.75" hidden="1" customHeight="1" x14ac:dyDescent="0.3">
      <c r="A3802" s="10">
        <v>3801</v>
      </c>
      <c r="B3802" s="10">
        <f>_xlfn.XLOOKUP(1,(VALUE(D3802)&gt;=VALUE(block!$C$3:$C$500))*(VALUE(D3802)&lt;VALUE(block!$C$3:$C$500)+VALUE(block!$D$3:$D$500)),block!$A$3:$A$500,"无匹配",0,1)</f>
        <v>104</v>
      </c>
      <c r="C3802" s="3" t="str">
        <f>B3802 &amp; "-" &amp; COUNTIF($B$2:B3802, B3802)</f>
        <v>104-24</v>
      </c>
      <c r="D3802" s="10">
        <v>4322</v>
      </c>
      <c r="E3802" s="1" t="s">
        <v>9048</v>
      </c>
      <c r="F3802" s="1" t="s">
        <v>9049</v>
      </c>
      <c r="H3802" s="1" t="s">
        <v>5458</v>
      </c>
      <c r="I3802" s="10" t="str">
        <f>IF(H3802="T36",1,IF(H3802="T36",3,IF(H3802="T52",6,IF(H3802="T52",10,IF(H3802="T84",14,IF(H3802="T84",18,IF(H3802="T52",22,"")))))))</f>
        <v/>
      </c>
      <c r="J3802" s="3" t="s">
        <v>5447</v>
      </c>
      <c r="K3802" s="10">
        <v>1</v>
      </c>
      <c r="L3802" s="10">
        <v>1</v>
      </c>
      <c r="O3802" s="6">
        <v>30</v>
      </c>
      <c r="S3802" s="1"/>
    </row>
    <row r="3803" spans="1:19" ht="18.75" hidden="1" customHeight="1" x14ac:dyDescent="0.3">
      <c r="A3803" s="10">
        <v>3802</v>
      </c>
      <c r="B3803" s="10">
        <f>_xlfn.XLOOKUP(1,(VALUE(D3803)&gt;=VALUE(block!$C$3:$C$500))*(VALUE(D3803)&lt;VALUE(block!$C$3:$C$500)+VALUE(block!$D$3:$D$500)),block!$A$3:$A$500,"无匹配",0,1)</f>
        <v>105</v>
      </c>
      <c r="C3803" s="3" t="str">
        <f>B3803 &amp; "-" &amp; COUNTIF($B$2:B3803, B3803)</f>
        <v>105-1</v>
      </c>
      <c r="D3803" s="10">
        <v>4352</v>
      </c>
      <c r="E3803" s="1" t="s">
        <v>9050</v>
      </c>
      <c r="F3803" s="1" t="s">
        <v>9051</v>
      </c>
      <c r="H3803" s="1" t="s">
        <v>5458</v>
      </c>
      <c r="I3803" s="10" t="str">
        <f>IF(H3803="T37",1,IF(H3803="T37",3,IF(H3803="T53",6,IF(H3803="T53",10,IF(H3803="T85",14,IF(H3803="T85",18,IF(H3803="T53",22,"")))))))</f>
        <v/>
      </c>
      <c r="J3803" s="3" t="s">
        <v>5447</v>
      </c>
      <c r="K3803" s="10">
        <v>1</v>
      </c>
      <c r="L3803" s="10">
        <v>1</v>
      </c>
      <c r="O3803" s="6">
        <v>30</v>
      </c>
      <c r="S3803" s="1"/>
    </row>
    <row r="3804" spans="1:19" ht="18.75" hidden="1" customHeight="1" x14ac:dyDescent="0.3">
      <c r="A3804" s="10">
        <v>3803</v>
      </c>
      <c r="B3804" s="10">
        <f>_xlfn.XLOOKUP(1,(VALUE(D3804)&gt;=VALUE(block!$C$3:$C$500))*(VALUE(D3804)&lt;VALUE(block!$C$3:$C$500)+VALUE(block!$D$3:$D$500)),block!$A$3:$A$500,"无匹配",0,1)</f>
        <v>105</v>
      </c>
      <c r="C3804" s="3" t="str">
        <f>B3804 &amp; "-" &amp; COUNTIF($B$2:B3804, B3804)</f>
        <v>105-2</v>
      </c>
      <c r="D3804" s="10">
        <v>4353</v>
      </c>
      <c r="E3804" s="1" t="s">
        <v>9052</v>
      </c>
      <c r="F3804" s="1" t="s">
        <v>9053</v>
      </c>
      <c r="H3804" s="1" t="s">
        <v>5458</v>
      </c>
      <c r="I3804" s="10" t="str">
        <f>IF(H3804="T38",1,IF(H3804="T38",3,IF(H3804="T54",6,IF(H3804="T54",10,IF(H3804="T86",14,IF(H3804="T86",18,IF(H3804="T54",22,"")))))))</f>
        <v/>
      </c>
      <c r="J3804" s="3" t="s">
        <v>5447</v>
      </c>
      <c r="K3804" s="10">
        <v>1</v>
      </c>
      <c r="L3804" s="10">
        <v>1</v>
      </c>
      <c r="O3804" s="6">
        <v>30</v>
      </c>
      <c r="S3804" s="1"/>
    </row>
    <row r="3805" spans="1:19" ht="18.75" hidden="1" customHeight="1" x14ac:dyDescent="0.3">
      <c r="A3805" s="10">
        <v>3804</v>
      </c>
      <c r="B3805" s="10">
        <f>_xlfn.XLOOKUP(1,(VALUE(D3805)&gt;=VALUE(block!$C$3:$C$500))*(VALUE(D3805)&lt;VALUE(block!$C$3:$C$500)+VALUE(block!$D$3:$D$500)),block!$A$3:$A$500,"无匹配",0,1)</f>
        <v>105</v>
      </c>
      <c r="C3805" s="3" t="str">
        <f>B3805 &amp; "-" &amp; COUNTIF($B$2:B3805, B3805)</f>
        <v>105-3</v>
      </c>
      <c r="D3805" s="10">
        <v>4354</v>
      </c>
      <c r="E3805" s="1" t="s">
        <v>9054</v>
      </c>
      <c r="F3805" s="1" t="s">
        <v>9055</v>
      </c>
      <c r="H3805" s="1" t="s">
        <v>5458</v>
      </c>
      <c r="I3805" s="10" t="str">
        <f>IF(H3805="T39",1,IF(H3805="T39",3,IF(H3805="T55",6,IF(H3805="T55",10,IF(H3805="T87",14,IF(H3805="T87",18,IF(H3805="T55",22,"")))))))</f>
        <v/>
      </c>
      <c r="J3805" s="3" t="s">
        <v>5447</v>
      </c>
      <c r="K3805" s="10">
        <v>1</v>
      </c>
      <c r="L3805" s="10">
        <v>1</v>
      </c>
      <c r="O3805" s="6">
        <v>30</v>
      </c>
      <c r="Q3805" s="42" t="s">
        <v>5449</v>
      </c>
      <c r="R3805" s="42"/>
      <c r="S3805" s="1"/>
    </row>
    <row r="3806" spans="1:19" ht="18.75" hidden="1" customHeight="1" x14ac:dyDescent="0.3">
      <c r="A3806" s="10">
        <v>3805</v>
      </c>
      <c r="B3806" s="10">
        <f>_xlfn.XLOOKUP(1,(VALUE(D3806)&gt;=VALUE(block!$C$3:$C$500))*(VALUE(D3806)&lt;VALUE(block!$C$3:$C$500)+VALUE(block!$D$3:$D$500)),block!$A$3:$A$500,"无匹配",0,1)</f>
        <v>105</v>
      </c>
      <c r="C3806" s="3" t="str">
        <f>B3806 &amp; "-" &amp; COUNTIF($B$2:B3806, B3806)</f>
        <v>105-4</v>
      </c>
      <c r="D3806" s="10">
        <v>4355</v>
      </c>
      <c r="E3806" s="1" t="s">
        <v>9056</v>
      </c>
      <c r="F3806" s="1" t="s">
        <v>9057</v>
      </c>
      <c r="H3806" s="1" t="s">
        <v>5458</v>
      </c>
      <c r="I3806" s="10" t="str">
        <f>IF(H3806="T40",1,IF(H3806="T40",3,IF(H3806="T56",6,IF(H3806="T56",10,IF(H3806="T88",14,IF(H3806="T88",18,IF(H3806="T56",22,"")))))))</f>
        <v/>
      </c>
      <c r="J3806" s="3" t="s">
        <v>5447</v>
      </c>
      <c r="K3806" s="10">
        <v>1</v>
      </c>
      <c r="L3806" s="10">
        <v>1</v>
      </c>
      <c r="O3806" s="6">
        <v>30</v>
      </c>
      <c r="S3806" s="1"/>
    </row>
    <row r="3807" spans="1:19" ht="18.75" hidden="1" customHeight="1" x14ac:dyDescent="0.3">
      <c r="A3807" s="10">
        <v>3806</v>
      </c>
      <c r="B3807" s="10">
        <f>_xlfn.XLOOKUP(1,(VALUE(D3807)&gt;=VALUE(block!$C$3:$C$500))*(VALUE(D3807)&lt;VALUE(block!$C$3:$C$500)+VALUE(block!$D$3:$D$500)),block!$A$3:$A$500,"无匹配",0,1)</f>
        <v>105</v>
      </c>
      <c r="C3807" s="3" t="str">
        <f>B3807 &amp; "-" &amp; COUNTIF($B$2:B3807, B3807)</f>
        <v>105-5</v>
      </c>
      <c r="D3807" s="10">
        <v>4356</v>
      </c>
      <c r="E3807" s="1" t="s">
        <v>9058</v>
      </c>
      <c r="F3807" s="1" t="s">
        <v>9059</v>
      </c>
      <c r="H3807" s="1" t="s">
        <v>5458</v>
      </c>
      <c r="I3807" s="10" t="str">
        <f>IF(H3807="T41",1,IF(H3807="T41",3,IF(H3807="T57",6,IF(H3807="T57",10,IF(H3807="T89",14,IF(H3807="T89",18,IF(H3807="T57",22,"")))))))</f>
        <v/>
      </c>
      <c r="J3807" s="3" t="s">
        <v>5447</v>
      </c>
      <c r="K3807" s="10">
        <v>1</v>
      </c>
      <c r="L3807" s="10">
        <v>1</v>
      </c>
      <c r="O3807" s="6">
        <v>30</v>
      </c>
      <c r="S3807" s="1"/>
    </row>
    <row r="3808" spans="1:19" ht="18.75" hidden="1" customHeight="1" x14ac:dyDescent="0.3">
      <c r="A3808" s="10">
        <v>3807</v>
      </c>
      <c r="B3808" s="10">
        <f>_xlfn.XLOOKUP(1,(VALUE(D3808)&gt;=VALUE(block!$C$3:$C$500))*(VALUE(D3808)&lt;VALUE(block!$C$3:$C$500)+VALUE(block!$D$3:$D$500)),block!$A$3:$A$500,"无匹配",0,1)</f>
        <v>105</v>
      </c>
      <c r="C3808" s="3" t="str">
        <f>B3808 &amp; "-" &amp; COUNTIF($B$2:B3808, B3808)</f>
        <v>105-6</v>
      </c>
      <c r="D3808" s="10">
        <v>4357</v>
      </c>
      <c r="E3808" s="1" t="s">
        <v>9060</v>
      </c>
      <c r="F3808" s="1" t="s">
        <v>9061</v>
      </c>
      <c r="H3808" s="1" t="s">
        <v>5458</v>
      </c>
      <c r="I3808" s="10" t="str">
        <f>IF(H3808="T42",1,IF(H3808="T42",3,IF(H3808="T58",6,IF(H3808="T58",10,IF(H3808="T90",14,IF(H3808="T90",18,IF(H3808="T58",22,"")))))))</f>
        <v/>
      </c>
      <c r="J3808" s="3" t="s">
        <v>5447</v>
      </c>
      <c r="K3808" s="10">
        <v>1</v>
      </c>
      <c r="L3808" s="10">
        <v>1</v>
      </c>
      <c r="O3808" s="6">
        <v>30</v>
      </c>
      <c r="Q3808" s="42" t="s">
        <v>5449</v>
      </c>
      <c r="R3808" s="42"/>
      <c r="S3808" s="1"/>
    </row>
    <row r="3809" spans="1:19" ht="18.75" hidden="1" customHeight="1" x14ac:dyDescent="0.3">
      <c r="A3809" s="10">
        <v>3808</v>
      </c>
      <c r="B3809" s="10">
        <f>_xlfn.XLOOKUP(1,(VALUE(D3809)&gt;=VALUE(block!$C$3:$C$500))*(VALUE(D3809)&lt;VALUE(block!$C$3:$C$500)+VALUE(block!$D$3:$D$500)),block!$A$3:$A$500,"无匹配",0,1)</f>
        <v>105</v>
      </c>
      <c r="C3809" s="3" t="str">
        <f>B3809 &amp; "-" &amp; COUNTIF($B$2:B3809, B3809)</f>
        <v>105-7</v>
      </c>
      <c r="D3809" s="10">
        <v>4358</v>
      </c>
      <c r="E3809" s="1" t="s">
        <v>9062</v>
      </c>
      <c r="F3809" s="1" t="s">
        <v>9063</v>
      </c>
      <c r="H3809" s="1" t="s">
        <v>5458</v>
      </c>
      <c r="I3809" s="10" t="str">
        <f>IF(H3809="T43",1,IF(H3809="T43",3,IF(H3809="T59",6,IF(H3809="T59",10,IF(H3809="T91",14,IF(H3809="T91",18,IF(H3809="T59",22,"")))))))</f>
        <v/>
      </c>
      <c r="J3809" s="3" t="s">
        <v>5447</v>
      </c>
      <c r="K3809" s="10">
        <v>1</v>
      </c>
      <c r="L3809" s="10">
        <v>1</v>
      </c>
      <c r="O3809" s="6">
        <v>30</v>
      </c>
      <c r="S3809" s="1"/>
    </row>
    <row r="3810" spans="1:19" ht="18.75" hidden="1" customHeight="1" x14ac:dyDescent="0.3">
      <c r="A3810" s="10">
        <v>3809</v>
      </c>
      <c r="B3810" s="10">
        <f>_xlfn.XLOOKUP(1,(VALUE(D3810)&gt;=VALUE(block!$C$3:$C$500))*(VALUE(D3810)&lt;VALUE(block!$C$3:$C$500)+VALUE(block!$D$3:$D$500)),block!$A$3:$A$500,"无匹配",0,1)</f>
        <v>105</v>
      </c>
      <c r="C3810" s="3" t="str">
        <f>B3810 &amp; "-" &amp; COUNTIF($B$2:B3810, B3810)</f>
        <v>105-8</v>
      </c>
      <c r="D3810" s="10">
        <v>4359</v>
      </c>
      <c r="E3810" s="1" t="s">
        <v>9064</v>
      </c>
      <c r="F3810" s="1" t="s">
        <v>9065</v>
      </c>
      <c r="H3810" s="1" t="s">
        <v>5458</v>
      </c>
      <c r="I3810" s="10" t="str">
        <f>IF(H3810="T44",1,IF(H3810="T44",3,IF(H3810="T60",6,IF(H3810="T60",10,IF(H3810="T92",14,IF(H3810="T92",18,IF(H3810="T60",22,"")))))))</f>
        <v/>
      </c>
      <c r="J3810" s="3" t="s">
        <v>5447</v>
      </c>
      <c r="K3810" s="10">
        <v>1</v>
      </c>
      <c r="L3810" s="10">
        <v>1</v>
      </c>
      <c r="O3810" s="6">
        <v>30</v>
      </c>
      <c r="S3810" s="1"/>
    </row>
    <row r="3811" spans="1:19" ht="18.75" hidden="1" customHeight="1" x14ac:dyDescent="0.3">
      <c r="A3811" s="10">
        <v>3810</v>
      </c>
      <c r="B3811" s="10">
        <f>_xlfn.XLOOKUP(1,(VALUE(D3811)&gt;=VALUE(block!$C$3:$C$500))*(VALUE(D3811)&lt;VALUE(block!$C$3:$C$500)+VALUE(block!$D$3:$D$500)),block!$A$3:$A$500,"无匹配",0,1)</f>
        <v>105</v>
      </c>
      <c r="C3811" s="3" t="str">
        <f>B3811 &amp; "-" &amp; COUNTIF($B$2:B3811, B3811)</f>
        <v>105-9</v>
      </c>
      <c r="D3811" s="10">
        <v>4360</v>
      </c>
      <c r="E3811" s="1" t="s">
        <v>9066</v>
      </c>
      <c r="F3811" s="1" t="s">
        <v>9067</v>
      </c>
      <c r="H3811" s="1" t="s">
        <v>5458</v>
      </c>
      <c r="I3811" s="10" t="str">
        <f>IF(H3811="T45",1,IF(H3811="T45",3,IF(H3811="T61",6,IF(H3811="T61",10,IF(H3811="T93",14,IF(H3811="T93",18,IF(H3811="T61",22,"")))))))</f>
        <v/>
      </c>
      <c r="J3811" s="3" t="s">
        <v>5447</v>
      </c>
      <c r="K3811" s="10">
        <v>1</v>
      </c>
      <c r="L3811" s="10">
        <v>1</v>
      </c>
      <c r="O3811" s="6">
        <v>30</v>
      </c>
      <c r="Q3811" s="42" t="s">
        <v>5449</v>
      </c>
      <c r="R3811" s="42"/>
      <c r="S3811" s="1"/>
    </row>
    <row r="3812" spans="1:19" ht="18.75" hidden="1" customHeight="1" x14ac:dyDescent="0.3">
      <c r="A3812" s="10">
        <v>3811</v>
      </c>
      <c r="B3812" s="10">
        <f>_xlfn.XLOOKUP(1,(VALUE(D3812)&gt;=VALUE(block!$C$3:$C$500))*(VALUE(D3812)&lt;VALUE(block!$C$3:$C$500)+VALUE(block!$D$3:$D$500)),block!$A$3:$A$500,"无匹配",0,1)</f>
        <v>105</v>
      </c>
      <c r="C3812" s="3" t="str">
        <f>B3812 &amp; "-" &amp; COUNTIF($B$2:B3812, B3812)</f>
        <v>105-10</v>
      </c>
      <c r="D3812" s="10">
        <v>4361</v>
      </c>
      <c r="E3812" s="1" t="s">
        <v>9068</v>
      </c>
      <c r="F3812" s="1" t="s">
        <v>9069</v>
      </c>
      <c r="H3812" s="1" t="s">
        <v>5458</v>
      </c>
      <c r="I3812" s="10" t="str">
        <f>IF(H3812="T46",1,IF(H3812="T46",3,IF(H3812="T62",6,IF(H3812="T62",10,IF(H3812="T94",14,IF(H3812="T94",18,IF(H3812="T62",22,"")))))))</f>
        <v/>
      </c>
      <c r="J3812" s="3" t="s">
        <v>5447</v>
      </c>
      <c r="K3812" s="10">
        <v>1</v>
      </c>
      <c r="L3812" s="10">
        <v>1</v>
      </c>
      <c r="O3812" s="6">
        <v>30</v>
      </c>
      <c r="S3812" s="1"/>
    </row>
    <row r="3813" spans="1:19" ht="18.75" hidden="1" customHeight="1" x14ac:dyDescent="0.3">
      <c r="A3813" s="10">
        <v>3812</v>
      </c>
      <c r="B3813" s="10">
        <f>_xlfn.XLOOKUP(1,(VALUE(D3813)&gt;=VALUE(block!$C$3:$C$500))*(VALUE(D3813)&lt;VALUE(block!$C$3:$C$500)+VALUE(block!$D$3:$D$500)),block!$A$3:$A$500,"无匹配",0,1)</f>
        <v>105</v>
      </c>
      <c r="C3813" s="3" t="str">
        <f>B3813 &amp; "-" &amp; COUNTIF($B$2:B3813, B3813)</f>
        <v>105-11</v>
      </c>
      <c r="D3813" s="10">
        <v>4362</v>
      </c>
      <c r="E3813" s="1" t="s">
        <v>9070</v>
      </c>
      <c r="F3813" s="1" t="s">
        <v>9071</v>
      </c>
      <c r="H3813" s="1" t="s">
        <v>5458</v>
      </c>
      <c r="I3813" s="10" t="str">
        <f>IF(H3813="T47",1,IF(H3813="T47",3,IF(H3813="T63",6,IF(H3813="T63",10,IF(H3813="T95",14,IF(H3813="T95",18,IF(H3813="T63",22,"")))))))</f>
        <v/>
      </c>
      <c r="J3813" s="3" t="s">
        <v>5447</v>
      </c>
      <c r="K3813" s="10">
        <v>1</v>
      </c>
      <c r="L3813" s="10">
        <v>1</v>
      </c>
      <c r="O3813" s="6">
        <v>30</v>
      </c>
      <c r="S3813" s="1"/>
    </row>
    <row r="3814" spans="1:19" ht="18.75" hidden="1" customHeight="1" x14ac:dyDescent="0.3">
      <c r="A3814" s="10">
        <v>3813</v>
      </c>
      <c r="B3814" s="10">
        <f>_xlfn.XLOOKUP(1,(VALUE(D3814)&gt;=VALUE(block!$C$3:$C$500))*(VALUE(D3814)&lt;VALUE(block!$C$3:$C$500)+VALUE(block!$D$3:$D$500)),block!$A$3:$A$500,"无匹配",0,1)</f>
        <v>105</v>
      </c>
      <c r="C3814" s="3" t="str">
        <f>B3814 &amp; "-" &amp; COUNTIF($B$2:B3814, B3814)</f>
        <v>105-12</v>
      </c>
      <c r="D3814" s="10">
        <v>4363</v>
      </c>
      <c r="E3814" s="1" t="s">
        <v>9072</v>
      </c>
      <c r="F3814" s="1" t="s">
        <v>9073</v>
      </c>
      <c r="H3814" s="1" t="s">
        <v>5458</v>
      </c>
      <c r="I3814" s="10" t="str">
        <f>IF(H3814="T48",1,IF(H3814="T48",3,IF(H3814="T64",6,IF(H3814="T64",10,IF(H3814="T96",14,IF(H3814="T96",18,IF(H3814="T64",22,"")))))))</f>
        <v/>
      </c>
      <c r="J3814" s="3" t="s">
        <v>5447</v>
      </c>
      <c r="K3814" s="10">
        <v>1</v>
      </c>
      <c r="L3814" s="10">
        <v>1</v>
      </c>
      <c r="O3814" s="6">
        <v>30</v>
      </c>
      <c r="Q3814" s="42" t="s">
        <v>5449</v>
      </c>
      <c r="R3814" s="42"/>
      <c r="S3814" s="1"/>
    </row>
    <row r="3815" spans="1:19" ht="18.75" hidden="1" customHeight="1" x14ac:dyDescent="0.3">
      <c r="A3815" s="10">
        <v>3814</v>
      </c>
      <c r="B3815" s="10">
        <f>_xlfn.XLOOKUP(1,(VALUE(D3815)&gt;=VALUE(block!$C$3:$C$500))*(VALUE(D3815)&lt;VALUE(block!$C$3:$C$500)+VALUE(block!$D$3:$D$500)),block!$A$3:$A$500,"无匹配",0,1)</f>
        <v>105</v>
      </c>
      <c r="C3815" s="3" t="str">
        <f>B3815 &amp; "-" &amp; COUNTIF($B$2:B3815, B3815)</f>
        <v>105-13</v>
      </c>
      <c r="D3815" s="10">
        <v>4364</v>
      </c>
      <c r="E3815" s="1" t="s">
        <v>9074</v>
      </c>
      <c r="F3815" s="1" t="s">
        <v>9075</v>
      </c>
      <c r="H3815" s="1" t="s">
        <v>5458</v>
      </c>
      <c r="I3815" s="10" t="str">
        <f>IF(H3815="T49",1,IF(H3815="T49",3,IF(H3815="T65",6,IF(H3815="T65",10,IF(H3815="T97",14,IF(H3815="T97",18,IF(H3815="T65",22,"")))))))</f>
        <v/>
      </c>
      <c r="J3815" s="3" t="s">
        <v>5447</v>
      </c>
      <c r="K3815" s="10">
        <v>1</v>
      </c>
      <c r="L3815" s="10">
        <v>1</v>
      </c>
      <c r="O3815" s="6">
        <v>30</v>
      </c>
      <c r="S3815" s="1"/>
    </row>
    <row r="3816" spans="1:19" ht="18.75" hidden="1" customHeight="1" x14ac:dyDescent="0.3">
      <c r="A3816" s="10">
        <v>3815</v>
      </c>
      <c r="B3816" s="10">
        <f>_xlfn.XLOOKUP(1,(VALUE(D3816)&gt;=VALUE(block!$C$3:$C$500))*(VALUE(D3816)&lt;VALUE(block!$C$3:$C$500)+VALUE(block!$D$3:$D$500)),block!$A$3:$A$500,"无匹配",0,1)</f>
        <v>105</v>
      </c>
      <c r="C3816" s="3" t="str">
        <f>B3816 &amp; "-" &amp; COUNTIF($B$2:B3816, B3816)</f>
        <v>105-14</v>
      </c>
      <c r="D3816" s="10">
        <v>4365</v>
      </c>
      <c r="E3816" s="1" t="s">
        <v>9076</v>
      </c>
      <c r="F3816" s="1" t="s">
        <v>9077</v>
      </c>
      <c r="H3816" s="1" t="s">
        <v>5458</v>
      </c>
      <c r="I3816" s="10" t="str">
        <f>IF(H3816="T50",1,IF(H3816="T50",3,IF(H3816="T66",6,IF(H3816="T66",10,IF(H3816="T98",14,IF(H3816="T98",18,IF(H3816="T66",22,"")))))))</f>
        <v/>
      </c>
      <c r="J3816" s="3" t="s">
        <v>5447</v>
      </c>
      <c r="K3816" s="10">
        <v>1</v>
      </c>
      <c r="L3816" s="10">
        <v>1</v>
      </c>
      <c r="O3816" s="6">
        <v>30</v>
      </c>
      <c r="S3816" s="1"/>
    </row>
    <row r="3817" spans="1:19" ht="18.75" hidden="1" customHeight="1" x14ac:dyDescent="0.3">
      <c r="A3817" s="10">
        <v>3816</v>
      </c>
      <c r="B3817" s="10">
        <f>_xlfn.XLOOKUP(1,(VALUE(D3817)&gt;=VALUE(block!$C$3:$C$500))*(VALUE(D3817)&lt;VALUE(block!$C$3:$C$500)+VALUE(block!$D$3:$D$500)),block!$A$3:$A$500,"无匹配",0,1)</f>
        <v>105</v>
      </c>
      <c r="C3817" s="3" t="str">
        <f>B3817 &amp; "-" &amp; COUNTIF($B$2:B3817, B3817)</f>
        <v>105-15</v>
      </c>
      <c r="D3817" s="10">
        <v>4366</v>
      </c>
      <c r="E3817" s="1" t="s">
        <v>9078</v>
      </c>
      <c r="F3817" s="1" t="s">
        <v>9079</v>
      </c>
      <c r="H3817" s="1" t="s">
        <v>5458</v>
      </c>
      <c r="I3817" s="10" t="str">
        <f>IF(H3817="T51",1,IF(H3817="T51",3,IF(H3817="T67",6,IF(H3817="T67",10,IF(H3817="T99",14,IF(H3817="T99",18,IF(H3817="T67",22,"")))))))</f>
        <v/>
      </c>
      <c r="J3817" s="3" t="s">
        <v>5447</v>
      </c>
      <c r="K3817" s="10">
        <v>1</v>
      </c>
      <c r="L3817" s="10">
        <v>1</v>
      </c>
      <c r="O3817" s="6">
        <v>30</v>
      </c>
      <c r="Q3817" s="42" t="s">
        <v>5449</v>
      </c>
      <c r="R3817" s="42"/>
      <c r="S3817" s="1"/>
    </row>
    <row r="3818" spans="1:19" ht="18.75" hidden="1" customHeight="1" x14ac:dyDescent="0.3">
      <c r="A3818" s="10">
        <v>3817</v>
      </c>
      <c r="B3818" s="10">
        <f>_xlfn.XLOOKUP(1,(VALUE(D3818)&gt;=VALUE(block!$C$3:$C$500))*(VALUE(D3818)&lt;VALUE(block!$C$3:$C$500)+VALUE(block!$D$3:$D$500)),block!$A$3:$A$500,"无匹配",0,1)</f>
        <v>105</v>
      </c>
      <c r="C3818" s="3" t="str">
        <f>B3818 &amp; "-" &amp; COUNTIF($B$2:B3818, B3818)</f>
        <v>105-16</v>
      </c>
      <c r="D3818" s="10">
        <v>4367</v>
      </c>
      <c r="E3818" s="1" t="s">
        <v>9080</v>
      </c>
      <c r="F3818" s="1" t="s">
        <v>9081</v>
      </c>
      <c r="H3818" s="1" t="s">
        <v>5458</v>
      </c>
      <c r="I3818" s="10" t="str">
        <f>IF(H3818="T52",1,IF(H3818="T52",3,IF(H3818="T68",6,IF(H3818="T68",10,IF(H3818="T100",14,IF(H3818="T100",18,IF(H3818="T68",22,"")))))))</f>
        <v/>
      </c>
      <c r="J3818" s="3" t="s">
        <v>5447</v>
      </c>
      <c r="K3818" s="10">
        <v>1</v>
      </c>
      <c r="L3818" s="10">
        <v>1</v>
      </c>
      <c r="O3818" s="6">
        <v>30</v>
      </c>
      <c r="S3818" s="1"/>
    </row>
    <row r="3819" spans="1:19" ht="18.75" hidden="1" customHeight="1" x14ac:dyDescent="0.3">
      <c r="A3819" s="10">
        <v>3818</v>
      </c>
      <c r="B3819" s="10">
        <f>_xlfn.XLOOKUP(1,(VALUE(D3819)&gt;=VALUE(block!$C$3:$C$500))*(VALUE(D3819)&lt;VALUE(block!$C$3:$C$500)+VALUE(block!$D$3:$D$500)),block!$A$3:$A$500,"无匹配",0,1)</f>
        <v>105</v>
      </c>
      <c r="C3819" s="3" t="str">
        <f>B3819 &amp; "-" &amp; COUNTIF($B$2:B3819, B3819)</f>
        <v>105-17</v>
      </c>
      <c r="D3819" s="10">
        <v>4368</v>
      </c>
      <c r="E3819" s="1" t="s">
        <v>9082</v>
      </c>
      <c r="F3819" s="1" t="s">
        <v>9083</v>
      </c>
      <c r="H3819" s="1" t="s">
        <v>5458</v>
      </c>
      <c r="I3819" s="10" t="str">
        <f>IF(H3819="T53",1,IF(H3819="T53",3,IF(H3819="T69",6,IF(H3819="T69",10,IF(H3819="T101",14,IF(H3819="T101",18,IF(H3819="T69",22,"")))))))</f>
        <v/>
      </c>
      <c r="J3819" s="3" t="s">
        <v>5447</v>
      </c>
      <c r="K3819" s="10">
        <v>1</v>
      </c>
      <c r="L3819" s="10">
        <v>1</v>
      </c>
      <c r="O3819" s="6">
        <v>30</v>
      </c>
      <c r="S3819" s="1"/>
    </row>
    <row r="3820" spans="1:19" ht="18.75" hidden="1" customHeight="1" x14ac:dyDescent="0.3">
      <c r="A3820" s="10">
        <v>3819</v>
      </c>
      <c r="B3820" s="10">
        <f>_xlfn.XLOOKUP(1,(VALUE(D3820)&gt;=VALUE(block!$C$3:$C$500))*(VALUE(D3820)&lt;VALUE(block!$C$3:$C$500)+VALUE(block!$D$3:$D$500)),block!$A$3:$A$500,"无匹配",0,1)</f>
        <v>105</v>
      </c>
      <c r="C3820" s="3" t="str">
        <f>B3820 &amp; "-" &amp; COUNTIF($B$2:B3820, B3820)</f>
        <v>105-18</v>
      </c>
      <c r="D3820" s="10">
        <v>4369</v>
      </c>
      <c r="E3820" s="1" t="s">
        <v>9084</v>
      </c>
      <c r="F3820" s="1" t="s">
        <v>9085</v>
      </c>
      <c r="H3820" s="1" t="s">
        <v>5458</v>
      </c>
      <c r="I3820" s="10" t="str">
        <f>IF(H3820="T54",1,IF(H3820="T54",3,IF(H3820="T70",6,IF(H3820="T70",10,IF(H3820="T102",14,IF(H3820="T102",18,IF(H3820="T70",22,"")))))))</f>
        <v/>
      </c>
      <c r="J3820" s="3" t="s">
        <v>5447</v>
      </c>
      <c r="K3820" s="10">
        <v>1</v>
      </c>
      <c r="L3820" s="10">
        <v>1</v>
      </c>
      <c r="O3820" s="6">
        <v>30</v>
      </c>
      <c r="Q3820" s="42" t="s">
        <v>5449</v>
      </c>
      <c r="R3820" s="42"/>
      <c r="S3820" s="1"/>
    </row>
    <row r="3821" spans="1:19" ht="18.75" hidden="1" customHeight="1" x14ac:dyDescent="0.3">
      <c r="A3821" s="10">
        <v>3820</v>
      </c>
      <c r="B3821" s="10">
        <f>_xlfn.XLOOKUP(1,(VALUE(D3821)&gt;=VALUE(block!$C$3:$C$500))*(VALUE(D3821)&lt;VALUE(block!$C$3:$C$500)+VALUE(block!$D$3:$D$500)),block!$A$3:$A$500,"无匹配",0,1)</f>
        <v>105</v>
      </c>
      <c r="C3821" s="3" t="str">
        <f>B3821 &amp; "-" &amp; COUNTIF($B$2:B3821, B3821)</f>
        <v>105-19</v>
      </c>
      <c r="D3821" s="10">
        <v>4370</v>
      </c>
      <c r="E3821" s="1" t="s">
        <v>9086</v>
      </c>
      <c r="F3821" s="1" t="s">
        <v>9087</v>
      </c>
      <c r="H3821" s="1" t="s">
        <v>5458</v>
      </c>
      <c r="I3821" s="10" t="str">
        <f>IF(H3821="T55",1,IF(H3821="T55",3,IF(H3821="T71",6,IF(H3821="T71",10,IF(H3821="T103",14,IF(H3821="T103",18,IF(H3821="T71",22,"")))))))</f>
        <v/>
      </c>
      <c r="J3821" s="3" t="s">
        <v>5447</v>
      </c>
      <c r="K3821" s="10">
        <v>1</v>
      </c>
      <c r="L3821" s="10">
        <v>1</v>
      </c>
      <c r="O3821" s="6">
        <v>30</v>
      </c>
      <c r="S3821" s="1"/>
    </row>
    <row r="3822" spans="1:19" ht="18.75" hidden="1" customHeight="1" x14ac:dyDescent="0.3">
      <c r="A3822" s="10">
        <v>3821</v>
      </c>
      <c r="B3822" s="10">
        <f>_xlfn.XLOOKUP(1,(VALUE(D3822)&gt;=VALUE(block!$C$3:$C$500))*(VALUE(D3822)&lt;VALUE(block!$C$3:$C$500)+VALUE(block!$D$3:$D$500)),block!$A$3:$A$500,"无匹配",0,1)</f>
        <v>105</v>
      </c>
      <c r="C3822" s="3" t="str">
        <f>B3822 &amp; "-" &amp; COUNTIF($B$2:B3822, B3822)</f>
        <v>105-20</v>
      </c>
      <c r="D3822" s="10">
        <v>4371</v>
      </c>
      <c r="E3822" s="1" t="s">
        <v>9088</v>
      </c>
      <c r="F3822" s="1" t="s">
        <v>9089</v>
      </c>
      <c r="H3822" s="1" t="s">
        <v>5458</v>
      </c>
      <c r="I3822" s="10" t="str">
        <f>IF(H3822="T56",1,IF(H3822="T56",3,IF(H3822="T72",6,IF(H3822="T72",10,IF(H3822="T104",14,IF(H3822="T104",18,IF(H3822="T72",22,"")))))))</f>
        <v/>
      </c>
      <c r="J3822" s="3" t="s">
        <v>5447</v>
      </c>
      <c r="K3822" s="10">
        <v>1</v>
      </c>
      <c r="L3822" s="10">
        <v>1</v>
      </c>
      <c r="O3822" s="6">
        <v>30</v>
      </c>
      <c r="S3822" s="1"/>
    </row>
    <row r="3823" spans="1:19" ht="18.75" hidden="1" customHeight="1" x14ac:dyDescent="0.3">
      <c r="A3823" s="10">
        <v>3822</v>
      </c>
      <c r="B3823" s="10">
        <f>_xlfn.XLOOKUP(1,(VALUE(D3823)&gt;=VALUE(block!$C$3:$C$500))*(VALUE(D3823)&lt;VALUE(block!$C$3:$C$500)+VALUE(block!$D$3:$D$500)),block!$A$3:$A$500,"无匹配",0,1)</f>
        <v>105</v>
      </c>
      <c r="C3823" s="3" t="str">
        <f>B3823 &amp; "-" &amp; COUNTIF($B$2:B3823, B3823)</f>
        <v>105-21</v>
      </c>
      <c r="D3823" s="10">
        <v>4372</v>
      </c>
      <c r="E3823" s="1" t="s">
        <v>9090</v>
      </c>
      <c r="F3823" s="1" t="s">
        <v>9091</v>
      </c>
      <c r="H3823" s="1" t="s">
        <v>5458</v>
      </c>
      <c r="I3823" s="10" t="str">
        <f>IF(H3823="T57",1,IF(H3823="T57",3,IF(H3823="T73",6,IF(H3823="T73",10,IF(H3823="T105",14,IF(H3823="T105",18,IF(H3823="T73",22,"")))))))</f>
        <v/>
      </c>
      <c r="J3823" s="3" t="s">
        <v>5447</v>
      </c>
      <c r="K3823" s="10">
        <v>1</v>
      </c>
      <c r="L3823" s="10">
        <v>1</v>
      </c>
      <c r="O3823" s="6">
        <v>30</v>
      </c>
      <c r="Q3823" s="42" t="s">
        <v>5449</v>
      </c>
      <c r="R3823" s="42"/>
      <c r="S3823" s="1"/>
    </row>
    <row r="3824" spans="1:19" ht="18.75" hidden="1" customHeight="1" x14ac:dyDescent="0.3">
      <c r="A3824" s="10">
        <v>3823</v>
      </c>
      <c r="B3824" s="10">
        <f>_xlfn.XLOOKUP(1,(VALUE(D3824)&gt;=VALUE(block!$C$3:$C$500))*(VALUE(D3824)&lt;VALUE(block!$C$3:$C$500)+VALUE(block!$D$3:$D$500)),block!$A$3:$A$500,"无匹配",0,1)</f>
        <v>105</v>
      </c>
      <c r="C3824" s="3" t="str">
        <f>B3824 &amp; "-" &amp; COUNTIF($B$2:B3824, B3824)</f>
        <v>105-22</v>
      </c>
      <c r="D3824" s="10">
        <v>4373</v>
      </c>
      <c r="E3824" s="1" t="s">
        <v>9092</v>
      </c>
      <c r="F3824" s="1" t="s">
        <v>9093</v>
      </c>
      <c r="H3824" s="1" t="s">
        <v>5458</v>
      </c>
      <c r="I3824" s="10" t="str">
        <f>IF(H3824="T58",1,IF(H3824="T58",3,IF(H3824="T74",6,IF(H3824="T74",10,IF(H3824="T106",14,IF(H3824="T106",18,IF(H3824="T74",22,"")))))))</f>
        <v/>
      </c>
      <c r="J3824" s="3" t="s">
        <v>5447</v>
      </c>
      <c r="K3824" s="10">
        <v>1</v>
      </c>
      <c r="L3824" s="10">
        <v>1</v>
      </c>
      <c r="O3824" s="6">
        <v>30</v>
      </c>
      <c r="S3824" s="1"/>
    </row>
    <row r="3825" spans="1:19" ht="18.75" hidden="1" customHeight="1" x14ac:dyDescent="0.3">
      <c r="A3825" s="10">
        <v>3824</v>
      </c>
      <c r="B3825" s="10">
        <f>_xlfn.XLOOKUP(1,(VALUE(D3825)&gt;=VALUE(block!$C$3:$C$500))*(VALUE(D3825)&lt;VALUE(block!$C$3:$C$500)+VALUE(block!$D$3:$D$500)),block!$A$3:$A$500,"无匹配",0,1)</f>
        <v>105</v>
      </c>
      <c r="C3825" s="3" t="str">
        <f>B3825 &amp; "-" &amp; COUNTIF($B$2:B3825, B3825)</f>
        <v>105-23</v>
      </c>
      <c r="D3825" s="10">
        <v>4374</v>
      </c>
      <c r="E3825" s="1" t="s">
        <v>9094</v>
      </c>
      <c r="F3825" s="1" t="s">
        <v>9095</v>
      </c>
      <c r="H3825" s="1" t="s">
        <v>5458</v>
      </c>
      <c r="I3825" s="10" t="str">
        <f>IF(H3825="T59",1,IF(H3825="T59",3,IF(H3825="T75",6,IF(H3825="T75",10,IF(H3825="T107",14,IF(H3825="T107",18,IF(H3825="T75",22,"")))))))</f>
        <v/>
      </c>
      <c r="J3825" s="3" t="s">
        <v>5447</v>
      </c>
      <c r="K3825" s="10">
        <v>1</v>
      </c>
      <c r="L3825" s="10">
        <v>1</v>
      </c>
      <c r="O3825" s="6">
        <v>30</v>
      </c>
      <c r="S3825" s="1"/>
    </row>
    <row r="3826" spans="1:19" ht="18.75" hidden="1" customHeight="1" x14ac:dyDescent="0.3">
      <c r="A3826" s="10">
        <v>3825</v>
      </c>
      <c r="B3826" s="10">
        <f>_xlfn.XLOOKUP(1,(VALUE(D3826)&gt;=VALUE(block!$C$3:$C$500))*(VALUE(D3826)&lt;VALUE(block!$C$3:$C$500)+VALUE(block!$D$3:$D$500)),block!$A$3:$A$500,"无匹配",0,1)</f>
        <v>105</v>
      </c>
      <c r="C3826" s="3" t="str">
        <f>B3826 &amp; "-" &amp; COUNTIF($B$2:B3826, B3826)</f>
        <v>105-24</v>
      </c>
      <c r="D3826" s="10">
        <v>4375</v>
      </c>
      <c r="E3826" s="1" t="s">
        <v>9096</v>
      </c>
      <c r="F3826" s="1" t="s">
        <v>9097</v>
      </c>
      <c r="H3826" s="1" t="s">
        <v>5458</v>
      </c>
      <c r="I3826" s="10" t="str">
        <f>IF(H3826="T60",1,IF(H3826="T60",3,IF(H3826="T76",6,IF(H3826="T76",10,IF(H3826="T108",14,IF(H3826="T108",18,IF(H3826="T76",22,"")))))))</f>
        <v/>
      </c>
      <c r="J3826" s="3" t="s">
        <v>5447</v>
      </c>
      <c r="K3826" s="10">
        <v>1</v>
      </c>
      <c r="L3826" s="10">
        <v>1</v>
      </c>
      <c r="O3826" s="6">
        <v>30</v>
      </c>
      <c r="Q3826" s="42" t="s">
        <v>5449</v>
      </c>
      <c r="R3826" s="42"/>
      <c r="S3826" s="1"/>
    </row>
    <row r="3827" spans="1:19" ht="18.75" hidden="1" customHeight="1" x14ac:dyDescent="0.3">
      <c r="A3827" s="10">
        <v>3826</v>
      </c>
      <c r="B3827" s="10">
        <f>_xlfn.XLOOKUP(1,(VALUE(D3827)&gt;=VALUE(block!$C$3:$C$500))*(VALUE(D3827)&lt;VALUE(block!$C$3:$C$500)+VALUE(block!$D$3:$D$500)),block!$A$3:$A$500,"无匹配",0,1)</f>
        <v>105</v>
      </c>
      <c r="C3827" s="3" t="str">
        <f>B3827 &amp; "-" &amp; COUNTIF($B$2:B3827, B3827)</f>
        <v>105-25</v>
      </c>
      <c r="D3827" s="10">
        <v>4376</v>
      </c>
      <c r="E3827" s="1" t="s">
        <v>9098</v>
      </c>
      <c r="F3827" s="1" t="s">
        <v>9099</v>
      </c>
      <c r="H3827" s="1" t="s">
        <v>5458</v>
      </c>
      <c r="I3827" s="10" t="str">
        <f>IF(H3827="T61",1,IF(H3827="T61",3,IF(H3827="T77",6,IF(H3827="T77",10,IF(H3827="T109",14,IF(H3827="T109",18,IF(H3827="T77",22,"")))))))</f>
        <v/>
      </c>
      <c r="J3827" s="3" t="s">
        <v>5447</v>
      </c>
      <c r="K3827" s="10">
        <v>1</v>
      </c>
      <c r="L3827" s="10">
        <v>1</v>
      </c>
      <c r="O3827" s="6">
        <v>30</v>
      </c>
      <c r="Q3827" s="42" t="s">
        <v>5449</v>
      </c>
      <c r="R3827" s="42"/>
      <c r="S3827" s="1"/>
    </row>
    <row r="3828" spans="1:19" ht="18.75" hidden="1" customHeight="1" x14ac:dyDescent="0.3">
      <c r="A3828" s="10">
        <v>3827</v>
      </c>
      <c r="B3828" s="10">
        <f>_xlfn.XLOOKUP(1,(VALUE(D3828)&gt;=VALUE(block!$C$3:$C$500))*(VALUE(D3828)&lt;VALUE(block!$C$3:$C$500)+VALUE(block!$D$3:$D$500)),block!$A$3:$A$500,"无匹配",0,1)</f>
        <v>105</v>
      </c>
      <c r="C3828" s="3" t="str">
        <f>B3828 &amp; "-" &amp; COUNTIF($B$2:B3828, B3828)</f>
        <v>105-26</v>
      </c>
      <c r="D3828" s="10">
        <v>4377</v>
      </c>
      <c r="E3828" s="1" t="s">
        <v>9100</v>
      </c>
      <c r="F3828" s="1" t="s">
        <v>9101</v>
      </c>
      <c r="H3828" s="1" t="s">
        <v>1838</v>
      </c>
      <c r="I3828" s="10" t="str">
        <f>IF(H3828="T62",1,IF(H3828="T62",3,IF(H3828="T78",6,IF(H3828="T78",10,IF(H3828="T110",14,IF(H3828="T110",18,IF(H3828="T78",22,"")))))))</f>
        <v/>
      </c>
      <c r="J3828" s="3" t="s">
        <v>5447</v>
      </c>
      <c r="K3828" s="10">
        <v>2</v>
      </c>
      <c r="L3828" s="71">
        <v>1E-3</v>
      </c>
      <c r="O3828" s="6">
        <v>30</v>
      </c>
      <c r="Q3828" s="42" t="s">
        <v>5449</v>
      </c>
      <c r="R3828" s="42"/>
      <c r="S3828" s="1"/>
    </row>
    <row r="3829" spans="1:19" ht="18.75" hidden="1" customHeight="1" x14ac:dyDescent="0.3">
      <c r="A3829" s="10">
        <v>3828</v>
      </c>
      <c r="B3829" s="10">
        <f>_xlfn.XLOOKUP(1,(VALUE(D3829)&gt;=VALUE(block!$C$3:$C$500))*(VALUE(D3829)&lt;VALUE(block!$C$3:$C$500)+VALUE(block!$D$3:$D$500)),block!$A$3:$A$500,"无匹配",0,1)</f>
        <v>105</v>
      </c>
      <c r="C3829" s="3" t="str">
        <f>B3829 &amp; "-" &amp; COUNTIF($B$2:B3829, B3829)</f>
        <v>105-27</v>
      </c>
      <c r="D3829" s="10">
        <v>4379</v>
      </c>
      <c r="E3829" s="1" t="s">
        <v>9102</v>
      </c>
      <c r="F3829" s="1" t="s">
        <v>9103</v>
      </c>
      <c r="H3829" s="1" t="s">
        <v>5458</v>
      </c>
      <c r="I3829" s="10" t="str">
        <f>IF(H3829="T63",1,IF(H3829="T63",3,IF(H3829="T79",6,IF(H3829="T79",10,IF(H3829="T111",14,IF(H3829="T111",18,IF(H3829="T79",22,"")))))))</f>
        <v/>
      </c>
      <c r="J3829" s="3" t="s">
        <v>5447</v>
      </c>
      <c r="K3829" s="10">
        <v>1</v>
      </c>
      <c r="L3829" s="10">
        <v>1</v>
      </c>
      <c r="O3829" s="6">
        <v>30</v>
      </c>
      <c r="Q3829" s="42" t="s">
        <v>5449</v>
      </c>
      <c r="R3829" s="42"/>
      <c r="S3829" s="1"/>
    </row>
    <row r="3830" spans="1:19" ht="18.75" hidden="1" customHeight="1" x14ac:dyDescent="0.3">
      <c r="A3830" s="10">
        <v>3829</v>
      </c>
      <c r="B3830" s="10">
        <f>_xlfn.XLOOKUP(1,(VALUE(D3830)&gt;=VALUE(block!$C$3:$C$500))*(VALUE(D3830)&lt;VALUE(block!$C$3:$C$500)+VALUE(block!$D$3:$D$500)),block!$A$3:$A$500,"无匹配",0,1)</f>
        <v>105</v>
      </c>
      <c r="C3830" s="3" t="str">
        <f>B3830 &amp; "-" &amp; COUNTIF($B$2:B3830, B3830)</f>
        <v>105-28</v>
      </c>
      <c r="D3830" s="10">
        <v>4380</v>
      </c>
      <c r="E3830" s="1" t="s">
        <v>9104</v>
      </c>
      <c r="F3830" s="1" t="s">
        <v>9105</v>
      </c>
      <c r="H3830" s="1" t="s">
        <v>1838</v>
      </c>
      <c r="I3830" s="10" t="str">
        <f>IF(H3830="T64",1,IF(H3830="T64",3,IF(H3830="T80",6,IF(H3830="T80",10,IF(H3830="T112",14,IF(H3830="T112",18,IF(H3830="T80",22,"")))))))</f>
        <v/>
      </c>
      <c r="J3830" s="3" t="s">
        <v>5447</v>
      </c>
      <c r="K3830" s="10">
        <v>2</v>
      </c>
      <c r="L3830" s="71">
        <v>1E-3</v>
      </c>
      <c r="O3830" s="6">
        <v>30</v>
      </c>
      <c r="Q3830" s="42" t="s">
        <v>5449</v>
      </c>
      <c r="R3830" s="42"/>
      <c r="S3830" s="1"/>
    </row>
    <row r="3831" spans="1:19" ht="18.75" hidden="1" customHeight="1" x14ac:dyDescent="0.3">
      <c r="A3831" s="10">
        <v>3830</v>
      </c>
      <c r="B3831" s="10">
        <f>_xlfn.XLOOKUP(1,(VALUE(D3831)&gt;=VALUE(block!$C$3:$C$500))*(VALUE(D3831)&lt;VALUE(block!$C$3:$C$500)+VALUE(block!$D$3:$D$500)),block!$A$3:$A$500,"无匹配",0,1)</f>
        <v>105</v>
      </c>
      <c r="C3831" s="3" t="str">
        <f>B3831 &amp; "-" &amp; COUNTIF($B$2:B3831, B3831)</f>
        <v>105-29</v>
      </c>
      <c r="D3831" s="10">
        <v>4382</v>
      </c>
      <c r="E3831" s="1" t="s">
        <v>9106</v>
      </c>
      <c r="F3831" s="1" t="s">
        <v>9107</v>
      </c>
      <c r="H3831" s="1" t="s">
        <v>5458</v>
      </c>
      <c r="I3831" s="10" t="str">
        <f>IF(H3831="T65",1,IF(H3831="T65",3,IF(H3831="T81",6,IF(H3831="T81",10,IF(H3831="T113",14,IF(H3831="T113",18,IF(H3831="T81",22,"")))))))</f>
        <v/>
      </c>
      <c r="J3831" s="3" t="s">
        <v>5447</v>
      </c>
      <c r="K3831" s="10">
        <v>1</v>
      </c>
      <c r="L3831" s="10">
        <v>1</v>
      </c>
      <c r="O3831" s="6">
        <v>30</v>
      </c>
      <c r="Q3831" s="42" t="s">
        <v>5449</v>
      </c>
      <c r="R3831" s="42"/>
      <c r="S3831" s="1"/>
    </row>
    <row r="3832" spans="1:19" ht="18.75" hidden="1" customHeight="1" x14ac:dyDescent="0.3">
      <c r="A3832" s="10">
        <v>3831</v>
      </c>
      <c r="B3832" s="10">
        <f>_xlfn.XLOOKUP(1,(VALUE(D3832)&gt;=VALUE(block!$C$3:$C$500))*(VALUE(D3832)&lt;VALUE(block!$C$3:$C$500)+VALUE(block!$D$3:$D$500)),block!$A$3:$A$500,"无匹配",0,1)</f>
        <v>105</v>
      </c>
      <c r="C3832" s="3" t="str">
        <f>B3832 &amp; "-" &amp; COUNTIF($B$2:B3832, B3832)</f>
        <v>105-30</v>
      </c>
      <c r="D3832" s="10">
        <v>4383</v>
      </c>
      <c r="E3832" s="1" t="s">
        <v>9108</v>
      </c>
      <c r="F3832" s="1" t="s">
        <v>9109</v>
      </c>
      <c r="H3832" s="1" t="s">
        <v>1838</v>
      </c>
      <c r="I3832" s="10" t="str">
        <f>IF(H3832="T66",1,IF(H3832="T66",3,IF(H3832="T82",6,IF(H3832="T82",10,IF(H3832="T114",14,IF(H3832="T114",18,IF(H3832="T82",22,"")))))))</f>
        <v/>
      </c>
      <c r="J3832" s="3" t="s">
        <v>5447</v>
      </c>
      <c r="K3832" s="10">
        <v>2</v>
      </c>
      <c r="L3832" s="71">
        <v>1E-3</v>
      </c>
      <c r="O3832" s="6">
        <v>30</v>
      </c>
      <c r="Q3832" s="42" t="s">
        <v>5449</v>
      </c>
      <c r="R3832" s="42"/>
      <c r="S3832" s="1"/>
    </row>
    <row r="3833" spans="1:19" ht="18.75" hidden="1" customHeight="1" x14ac:dyDescent="0.3">
      <c r="A3833" s="10">
        <v>3832</v>
      </c>
      <c r="B3833" s="10">
        <f>_xlfn.XLOOKUP(1,(VALUE(D3833)&gt;=VALUE(block!$C$3:$C$500))*(VALUE(D3833)&lt;VALUE(block!$C$3:$C$500)+VALUE(block!$D$3:$D$500)),block!$A$3:$A$500,"无匹配",0,1)</f>
        <v>105</v>
      </c>
      <c r="C3833" s="3" t="str">
        <f>B3833 &amp; "-" &amp; COUNTIF($B$2:B3833, B3833)</f>
        <v>105-31</v>
      </c>
      <c r="D3833" s="10">
        <v>4385</v>
      </c>
      <c r="E3833" s="1" t="s">
        <v>9110</v>
      </c>
      <c r="F3833" s="1" t="s">
        <v>9111</v>
      </c>
      <c r="H3833" s="1" t="s">
        <v>5458</v>
      </c>
      <c r="I3833" s="10" t="str">
        <f>IF(H3833="T67",1,IF(H3833="T67",3,IF(H3833="T83",6,IF(H3833="T83",10,IF(H3833="T115",14,IF(H3833="T115",18,IF(H3833="T83",22,"")))))))</f>
        <v/>
      </c>
      <c r="J3833" s="3" t="s">
        <v>5447</v>
      </c>
      <c r="K3833" s="10">
        <v>1</v>
      </c>
      <c r="L3833" s="10">
        <v>1</v>
      </c>
      <c r="O3833" s="6">
        <v>30</v>
      </c>
      <c r="Q3833" s="42" t="s">
        <v>5449</v>
      </c>
      <c r="R3833" s="42"/>
      <c r="S3833" s="1"/>
    </row>
    <row r="3834" spans="1:19" ht="18.75" hidden="1" customHeight="1" x14ac:dyDescent="0.3">
      <c r="A3834" s="10">
        <v>3833</v>
      </c>
      <c r="B3834" s="10">
        <f>_xlfn.XLOOKUP(1,(VALUE(D3834)&gt;=VALUE(block!$C$3:$C$500))*(VALUE(D3834)&lt;VALUE(block!$C$3:$C$500)+VALUE(block!$D$3:$D$500)),block!$A$3:$A$500,"无匹配",0,1)</f>
        <v>105</v>
      </c>
      <c r="C3834" s="3" t="str">
        <f>B3834 &amp; "-" &amp; COUNTIF($B$2:B3834, B3834)</f>
        <v>105-32</v>
      </c>
      <c r="D3834" s="10">
        <v>4386</v>
      </c>
      <c r="E3834" s="1" t="s">
        <v>9112</v>
      </c>
      <c r="F3834" s="1" t="s">
        <v>9113</v>
      </c>
      <c r="H3834" s="1" t="s">
        <v>1838</v>
      </c>
      <c r="I3834" s="10" t="str">
        <f>IF(H3834="T68",1,IF(H3834="T68",3,IF(H3834="T84",6,IF(H3834="T84",10,IF(H3834="T116",14,IF(H3834="T116",18,IF(H3834="T84",22,"")))))))</f>
        <v/>
      </c>
      <c r="J3834" s="3" t="s">
        <v>5447</v>
      </c>
      <c r="K3834" s="10">
        <v>2</v>
      </c>
      <c r="L3834" s="71">
        <v>1E-3</v>
      </c>
      <c r="O3834" s="6">
        <v>30</v>
      </c>
      <c r="Q3834" s="42" t="s">
        <v>5449</v>
      </c>
      <c r="R3834" s="42"/>
      <c r="S3834" s="1"/>
    </row>
    <row r="3835" spans="1:19" ht="18.75" hidden="1" customHeight="1" x14ac:dyDescent="0.3">
      <c r="A3835" s="10">
        <v>3834</v>
      </c>
      <c r="B3835" s="10">
        <f>_xlfn.XLOOKUP(1,(VALUE(D3835)&gt;=VALUE(block!$C$3:$C$500))*(VALUE(D3835)&lt;VALUE(block!$C$3:$C$500)+VALUE(block!$D$3:$D$500)),block!$A$3:$A$500,"无匹配",0,1)</f>
        <v>105</v>
      </c>
      <c r="C3835" s="3" t="str">
        <f>B3835 &amp; "-" &amp; COUNTIF($B$2:B3835, B3835)</f>
        <v>105-33</v>
      </c>
      <c r="D3835" s="10">
        <v>4388</v>
      </c>
      <c r="E3835" s="1" t="s">
        <v>9114</v>
      </c>
      <c r="F3835" s="1" t="s">
        <v>9115</v>
      </c>
      <c r="H3835" s="1" t="s">
        <v>5458</v>
      </c>
      <c r="I3835" s="10" t="str">
        <f>IF(H3835="T69",1,IF(H3835="T69",3,IF(H3835="T85",6,IF(H3835="T85",10,IF(H3835="T117",14,IF(H3835="T117",18,IF(H3835="T85",22,"")))))))</f>
        <v/>
      </c>
      <c r="J3835" s="3" t="s">
        <v>5447</v>
      </c>
      <c r="K3835" s="10">
        <v>1</v>
      </c>
      <c r="L3835" s="10">
        <v>1</v>
      </c>
      <c r="O3835" s="6">
        <v>30</v>
      </c>
      <c r="S3835" s="1"/>
    </row>
    <row r="3836" spans="1:19" ht="18.75" hidden="1" customHeight="1" x14ac:dyDescent="0.3">
      <c r="A3836" s="10">
        <v>3835</v>
      </c>
      <c r="B3836" s="10">
        <f>_xlfn.XLOOKUP(1,(VALUE(D3836)&gt;=VALUE(block!$C$3:$C$500))*(VALUE(D3836)&lt;VALUE(block!$C$3:$C$500)+VALUE(block!$D$3:$D$500)),block!$A$3:$A$500,"无匹配",0,1)</f>
        <v>105</v>
      </c>
      <c r="C3836" s="3" t="str">
        <f>B3836 &amp; "-" &amp; COUNTIF($B$2:B3836, B3836)</f>
        <v>105-34</v>
      </c>
      <c r="D3836" s="10">
        <v>4389</v>
      </c>
      <c r="E3836" s="1" t="s">
        <v>9116</v>
      </c>
      <c r="F3836" s="1" t="s">
        <v>9117</v>
      </c>
      <c r="H3836" s="1" t="s">
        <v>5458</v>
      </c>
      <c r="I3836" s="10" t="str">
        <f>IF(H3836="T70",1,IF(H3836="T70",3,IF(H3836="T86",6,IF(H3836="T86",10,IF(H3836="T118",14,IF(H3836="T118",18,IF(H3836="T86",22,"")))))))</f>
        <v/>
      </c>
      <c r="J3836" s="3" t="s">
        <v>5447</v>
      </c>
      <c r="K3836" s="10">
        <v>1</v>
      </c>
      <c r="L3836" s="10">
        <v>1</v>
      </c>
      <c r="O3836" s="6">
        <v>30</v>
      </c>
      <c r="S3836" s="1"/>
    </row>
    <row r="3837" spans="1:19" ht="18.75" hidden="1" customHeight="1" x14ac:dyDescent="0.3">
      <c r="A3837" s="10">
        <v>3836</v>
      </c>
      <c r="B3837" s="10">
        <f>_xlfn.XLOOKUP(1,(VALUE(D3837)&gt;=VALUE(block!$C$3:$C$500))*(VALUE(D3837)&lt;VALUE(block!$C$3:$C$500)+VALUE(block!$D$3:$D$500)),block!$A$3:$A$500,"无匹配",0,1)</f>
        <v>105</v>
      </c>
      <c r="C3837" s="3" t="str">
        <f>B3837 &amp; "-" &amp; COUNTIF($B$2:B3837, B3837)</f>
        <v>105-35</v>
      </c>
      <c r="D3837" s="10">
        <v>4390</v>
      </c>
      <c r="E3837" s="1" t="s">
        <v>9118</v>
      </c>
      <c r="F3837" s="1" t="s">
        <v>9119</v>
      </c>
      <c r="H3837" s="1" t="s">
        <v>5458</v>
      </c>
      <c r="I3837" s="10" t="str">
        <f>IF(H3837="T71",1,IF(H3837="T71",3,IF(H3837="T87",6,IF(H3837="T87",10,IF(H3837="T119",14,IF(H3837="T119",18,IF(H3837="T87",22,"")))))))</f>
        <v/>
      </c>
      <c r="J3837" s="3" t="s">
        <v>5447</v>
      </c>
      <c r="K3837" s="10">
        <v>1</v>
      </c>
      <c r="L3837" s="10">
        <v>1</v>
      </c>
      <c r="O3837" s="6">
        <v>30</v>
      </c>
      <c r="S3837" s="1"/>
    </row>
    <row r="3838" spans="1:19" ht="18.75" hidden="1" customHeight="1" x14ac:dyDescent="0.3">
      <c r="A3838" s="10">
        <v>3837</v>
      </c>
      <c r="B3838" s="10">
        <f>_xlfn.XLOOKUP(1,(VALUE(D3838)&gt;=VALUE(block!$C$3:$C$500))*(VALUE(D3838)&lt;VALUE(block!$C$3:$C$500)+VALUE(block!$D$3:$D$500)),block!$A$3:$A$500,"无匹配",0,1)</f>
        <v>105</v>
      </c>
      <c r="C3838" s="3" t="str">
        <f>B3838 &amp; "-" &amp; COUNTIF($B$2:B3838, B3838)</f>
        <v>105-36</v>
      </c>
      <c r="D3838" s="10">
        <v>4391</v>
      </c>
      <c r="E3838" s="1" t="s">
        <v>9120</v>
      </c>
      <c r="F3838" s="1" t="s">
        <v>9121</v>
      </c>
      <c r="H3838" s="1" t="s">
        <v>5458</v>
      </c>
      <c r="I3838" s="10" t="str">
        <f>IF(H3838="T72",1,IF(H3838="T72",3,IF(H3838="T88",6,IF(H3838="T88",10,IF(H3838="T120",14,IF(H3838="T120",18,IF(H3838="T88",22,"")))))))</f>
        <v/>
      </c>
      <c r="J3838" s="3" t="s">
        <v>5447</v>
      </c>
      <c r="K3838" s="10">
        <v>1</v>
      </c>
      <c r="L3838" s="10">
        <v>1</v>
      </c>
      <c r="O3838" s="6">
        <v>30</v>
      </c>
      <c r="S3838" s="1"/>
    </row>
    <row r="3839" spans="1:19" ht="18.75" hidden="1" customHeight="1" x14ac:dyDescent="0.3">
      <c r="A3839" s="10">
        <v>3838</v>
      </c>
      <c r="B3839" s="10">
        <f>_xlfn.XLOOKUP(1,(VALUE(D3839)&gt;=VALUE(block!$C$3:$C$500))*(VALUE(D3839)&lt;VALUE(block!$C$3:$C$500)+VALUE(block!$D$3:$D$500)),block!$A$3:$A$500,"无匹配",0,1)</f>
        <v>105</v>
      </c>
      <c r="C3839" s="3" t="str">
        <f>B3839 &amp; "-" &amp; COUNTIF($B$2:B3839, B3839)</f>
        <v>105-37</v>
      </c>
      <c r="D3839" s="10">
        <v>4392</v>
      </c>
      <c r="E3839" s="1" t="s">
        <v>9122</v>
      </c>
      <c r="F3839" s="1" t="s">
        <v>9123</v>
      </c>
      <c r="H3839" s="1" t="s">
        <v>5458</v>
      </c>
      <c r="I3839" s="10" t="str">
        <f>IF(H3839="T73",1,IF(H3839="T73",3,IF(H3839="T89",6,IF(H3839="T89",10,IF(H3839="T121",14,IF(H3839="T121",18,IF(H3839="T89",22,"")))))))</f>
        <v/>
      </c>
      <c r="J3839" s="3" t="s">
        <v>5447</v>
      </c>
      <c r="K3839" s="10">
        <v>1</v>
      </c>
      <c r="L3839" s="10">
        <v>1</v>
      </c>
      <c r="O3839" s="6">
        <v>30</v>
      </c>
      <c r="S3839" s="1"/>
    </row>
    <row r="3840" spans="1:19" ht="18.75" hidden="1" customHeight="1" x14ac:dyDescent="0.3">
      <c r="A3840" s="10">
        <v>3839</v>
      </c>
      <c r="B3840" s="10">
        <f>_xlfn.XLOOKUP(1,(VALUE(D3840)&gt;=VALUE(block!$C$3:$C$500))*(VALUE(D3840)&lt;VALUE(block!$C$3:$C$500)+VALUE(block!$D$3:$D$500)),block!$A$3:$A$500,"无匹配",0,1)</f>
        <v>105</v>
      </c>
      <c r="C3840" s="3" t="str">
        <f>B3840 &amp; "-" &amp; COUNTIF($B$2:B3840, B3840)</f>
        <v>105-38</v>
      </c>
      <c r="D3840" s="10">
        <v>4393</v>
      </c>
      <c r="E3840" s="1" t="s">
        <v>9124</v>
      </c>
      <c r="F3840" s="1" t="s">
        <v>9125</v>
      </c>
      <c r="H3840" s="1" t="s">
        <v>5458</v>
      </c>
      <c r="I3840" s="10" t="str">
        <f>IF(H3840="T74",1,IF(H3840="T74",3,IF(H3840="T90",6,IF(H3840="T90",10,IF(H3840="T122",14,IF(H3840="T122",18,IF(H3840="T90",22,"")))))))</f>
        <v/>
      </c>
      <c r="J3840" s="3" t="s">
        <v>5447</v>
      </c>
      <c r="K3840" s="10">
        <v>1</v>
      </c>
      <c r="L3840" s="10">
        <v>1</v>
      </c>
      <c r="O3840" s="6">
        <v>30</v>
      </c>
      <c r="S3840" s="1"/>
    </row>
    <row r="3841" spans="1:19" ht="18.75" hidden="1" customHeight="1" x14ac:dyDescent="0.3">
      <c r="A3841" s="10">
        <v>3840</v>
      </c>
      <c r="B3841" s="10">
        <f>_xlfn.XLOOKUP(1,(VALUE(D3841)&gt;=VALUE(block!$C$3:$C$500))*(VALUE(D3841)&lt;VALUE(block!$C$3:$C$500)+VALUE(block!$D$3:$D$500)),block!$A$3:$A$500,"无匹配",0,1)</f>
        <v>106</v>
      </c>
      <c r="C3841" s="3" t="str">
        <f>B3841 &amp; "-" &amp; COUNTIF($B$2:B3841, B3841)</f>
        <v>106-1</v>
      </c>
      <c r="D3841" s="10">
        <v>4400</v>
      </c>
      <c r="E3841" s="1" t="s">
        <v>9126</v>
      </c>
      <c r="F3841" s="1" t="s">
        <v>9127</v>
      </c>
      <c r="H3841" s="1" t="s">
        <v>5458</v>
      </c>
      <c r="I3841" s="10" t="str">
        <f>IF(H3841="T75",1,IF(H3841="T75",3,IF(H3841="T91",6,IF(H3841="T91",10,IF(H3841="T123",14,IF(H3841="T123",18,IF(H3841="T91",22,"")))))))</f>
        <v/>
      </c>
      <c r="J3841" s="1" t="s">
        <v>9128</v>
      </c>
      <c r="K3841" s="10">
        <v>1</v>
      </c>
      <c r="L3841" s="10">
        <v>1</v>
      </c>
      <c r="S3841" s="1"/>
    </row>
    <row r="3842" spans="1:19" ht="18.75" hidden="1" customHeight="1" x14ac:dyDescent="0.3">
      <c r="A3842" s="10">
        <v>3841</v>
      </c>
      <c r="B3842" s="10">
        <f>_xlfn.XLOOKUP(1,(VALUE(D3842)&gt;=VALUE(block!$C$3:$C$500))*(VALUE(D3842)&lt;VALUE(block!$C$3:$C$500)+VALUE(block!$D$3:$D$500)),block!$A$3:$A$500,"无匹配",0,1)</f>
        <v>106</v>
      </c>
      <c r="C3842" s="3" t="str">
        <f>B3842 &amp; "-" &amp; COUNTIF($B$2:B3842, B3842)</f>
        <v>106-2</v>
      </c>
      <c r="D3842" s="10">
        <v>4401</v>
      </c>
      <c r="E3842" s="1" t="s">
        <v>9129</v>
      </c>
      <c r="F3842" s="1" t="s">
        <v>9130</v>
      </c>
      <c r="H3842" s="1" t="s">
        <v>5458</v>
      </c>
      <c r="I3842" s="10" t="str">
        <f>IF(H3842="T76",1,IF(H3842="T76",3,IF(H3842="T92",6,IF(H3842="T92",10,IF(H3842="T124",14,IF(H3842="T124",18,IF(H3842="T92",22,"")))))))</f>
        <v/>
      </c>
      <c r="J3842" s="1" t="s">
        <v>9128</v>
      </c>
      <c r="K3842" s="10">
        <v>1</v>
      </c>
      <c r="L3842" s="10">
        <v>1</v>
      </c>
      <c r="S3842" s="1"/>
    </row>
    <row r="3843" spans="1:19" ht="18.75" hidden="1" customHeight="1" x14ac:dyDescent="0.3">
      <c r="A3843" s="10">
        <v>3842</v>
      </c>
      <c r="B3843" s="10">
        <f>_xlfn.XLOOKUP(1,(VALUE(D3843)&gt;=VALUE(block!$C$3:$C$500))*(VALUE(D3843)&lt;VALUE(block!$C$3:$C$500)+VALUE(block!$D$3:$D$500)),block!$A$3:$A$500,"无匹配",0,1)</f>
        <v>106</v>
      </c>
      <c r="C3843" s="3" t="str">
        <f>B3843 &amp; "-" &amp; COUNTIF($B$2:B3843, B3843)</f>
        <v>106-3</v>
      </c>
      <c r="D3843" s="10">
        <v>4402</v>
      </c>
      <c r="E3843" s="1" t="s">
        <v>9131</v>
      </c>
      <c r="F3843" s="1" t="s">
        <v>9132</v>
      </c>
      <c r="H3843" s="1" t="s">
        <v>5458</v>
      </c>
      <c r="I3843" s="10" t="str">
        <f>IF(H3843="T77",1,IF(H3843="T77",3,IF(H3843="T93",6,IF(H3843="T93",10,IF(H3843="T125",14,IF(H3843="T125",18,IF(H3843="T93",22,"")))))))</f>
        <v/>
      </c>
      <c r="J3843" s="1" t="s">
        <v>9128</v>
      </c>
      <c r="K3843" s="10">
        <v>1</v>
      </c>
      <c r="L3843" s="10">
        <v>1</v>
      </c>
      <c r="O3843" s="45">
        <v>30</v>
      </c>
      <c r="S3843" s="1"/>
    </row>
    <row r="3844" spans="1:19" ht="18.75" hidden="1" customHeight="1" x14ac:dyDescent="0.3">
      <c r="A3844" s="10">
        <v>3843</v>
      </c>
      <c r="B3844" s="10">
        <f>_xlfn.XLOOKUP(1,(VALUE(D3844)&gt;=VALUE(block!$C$3:$C$500))*(VALUE(D3844)&lt;VALUE(block!$C$3:$C$500)+VALUE(block!$D$3:$D$500)),block!$A$3:$A$500,"无匹配",0,1)</f>
        <v>106</v>
      </c>
      <c r="C3844" s="3" t="str">
        <f>B3844 &amp; "-" &amp; COUNTIF($B$2:B3844, B3844)</f>
        <v>106-4</v>
      </c>
      <c r="D3844" s="10">
        <v>4403</v>
      </c>
      <c r="E3844" s="1" t="s">
        <v>9133</v>
      </c>
      <c r="F3844" s="1" t="s">
        <v>9134</v>
      </c>
      <c r="H3844" s="1" t="s">
        <v>5458</v>
      </c>
      <c r="I3844" s="10" t="str">
        <f>IF(H3844="T78",1,IF(H3844="T78",3,IF(H3844="T94",6,IF(H3844="T94",10,IF(H3844="T126",14,IF(H3844="T126",18,IF(H3844="T94",22,"")))))))</f>
        <v/>
      </c>
      <c r="J3844" s="1" t="s">
        <v>9128</v>
      </c>
      <c r="K3844" s="10">
        <v>1</v>
      </c>
      <c r="L3844" s="10">
        <v>1</v>
      </c>
      <c r="S3844" s="1"/>
    </row>
    <row r="3845" spans="1:19" ht="18.75" hidden="1" customHeight="1" x14ac:dyDescent="0.3">
      <c r="A3845" s="10">
        <v>3844</v>
      </c>
      <c r="B3845" s="10">
        <f>_xlfn.XLOOKUP(1,(VALUE(D3845)&gt;=VALUE(block!$C$3:$C$500))*(VALUE(D3845)&lt;VALUE(block!$C$3:$C$500)+VALUE(block!$D$3:$D$500)),block!$A$3:$A$500,"无匹配",0,1)</f>
        <v>106</v>
      </c>
      <c r="C3845" s="3" t="str">
        <f>B3845 &amp; "-" &amp; COUNTIF($B$2:B3845, B3845)</f>
        <v>106-5</v>
      </c>
      <c r="D3845" s="10">
        <v>4404</v>
      </c>
      <c r="E3845" s="1" t="s">
        <v>9135</v>
      </c>
      <c r="F3845" s="1" t="s">
        <v>9136</v>
      </c>
      <c r="H3845" s="1" t="s">
        <v>5458</v>
      </c>
      <c r="I3845" s="10" t="str">
        <f>IF(H3845="T79",1,IF(H3845="T79",3,IF(H3845="T95",6,IF(H3845="T95",10,IF(H3845="T127",14,IF(H3845="T127",18,IF(H3845="T95",22,"")))))))</f>
        <v/>
      </c>
      <c r="J3845" s="1" t="s">
        <v>9128</v>
      </c>
      <c r="K3845" s="10">
        <v>1</v>
      </c>
      <c r="L3845" s="10">
        <v>1</v>
      </c>
      <c r="S3845" s="1"/>
    </row>
    <row r="3846" spans="1:19" ht="18.75" hidden="1" customHeight="1" x14ac:dyDescent="0.3">
      <c r="A3846" s="10">
        <v>3845</v>
      </c>
      <c r="B3846" s="10">
        <f>_xlfn.XLOOKUP(1,(VALUE(D3846)&gt;=VALUE(block!$C$3:$C$500))*(VALUE(D3846)&lt;VALUE(block!$C$3:$C$500)+VALUE(block!$D$3:$D$500)),block!$A$3:$A$500,"无匹配",0,1)</f>
        <v>106</v>
      </c>
      <c r="C3846" s="3" t="str">
        <f>B3846 &amp; "-" &amp; COUNTIF($B$2:B3846, B3846)</f>
        <v>106-6</v>
      </c>
      <c r="D3846" s="10">
        <v>4405</v>
      </c>
      <c r="E3846" s="1" t="s">
        <v>9137</v>
      </c>
      <c r="F3846" s="1" t="s">
        <v>9138</v>
      </c>
      <c r="H3846" s="1" t="s">
        <v>5458</v>
      </c>
      <c r="I3846" s="10">
        <f>IF(H3846="uint16",1,IF(H3846="int16",3,IF(H3846="uint32",6,IF(H3846="int32",10,IF(H3846="uint64",14,IF(H3846="int64",18,IF(H3846="float32",22,"")))))))</f>
        <v>1</v>
      </c>
      <c r="J3846" s="1" t="s">
        <v>9128</v>
      </c>
      <c r="K3846" s="10">
        <v>1</v>
      </c>
      <c r="L3846" s="10">
        <v>1</v>
      </c>
      <c r="S3846" s="1"/>
    </row>
    <row r="3847" spans="1:19" ht="18.75" hidden="1" customHeight="1" x14ac:dyDescent="0.3">
      <c r="A3847" s="10">
        <v>3846</v>
      </c>
      <c r="B3847" s="10">
        <f>_xlfn.XLOOKUP(1,(VALUE(D3847)&gt;=VALUE(block!$C$3:$C$500))*(VALUE(D3847)&lt;VALUE(block!$C$3:$C$500)+VALUE(block!$D$3:$D$500)),block!$A$3:$A$500,"无匹配",0,1)</f>
        <v>106</v>
      </c>
      <c r="C3847" s="3" t="str">
        <f>B3847 &amp; "-" &amp; COUNTIF($B$2:B3847, B3847)</f>
        <v>106-7</v>
      </c>
      <c r="D3847" s="10">
        <v>4406</v>
      </c>
      <c r="E3847" s="1" t="s">
        <v>9139</v>
      </c>
      <c r="F3847" s="1" t="s">
        <v>9140</v>
      </c>
      <c r="H3847" s="1" t="s">
        <v>5458</v>
      </c>
      <c r="I3847" s="10" t="str">
        <f>IF(H3847="T17",1,IF(H3847="T17",3,IF(H3847="T33",6,IF(H3847="T33",10,IF(H3847="T65",14,IF(H3847="T65",18,IF(H3847="T33",22,"")))))))</f>
        <v/>
      </c>
      <c r="J3847" s="1" t="s">
        <v>9128</v>
      </c>
      <c r="K3847" s="10">
        <v>1</v>
      </c>
      <c r="L3847" s="10">
        <v>1</v>
      </c>
      <c r="S3847" s="1"/>
    </row>
    <row r="3848" spans="1:19" ht="18.75" hidden="1" customHeight="1" x14ac:dyDescent="0.3">
      <c r="A3848" s="10">
        <v>3847</v>
      </c>
      <c r="B3848" s="10">
        <f>_xlfn.XLOOKUP(1,(VALUE(D3848)&gt;=VALUE(block!$C$3:$C$500))*(VALUE(D3848)&lt;VALUE(block!$C$3:$C$500)+VALUE(block!$D$3:$D$500)),block!$A$3:$A$500,"无匹配",0,1)</f>
        <v>106</v>
      </c>
      <c r="C3848" s="3" t="str">
        <f>B3848 &amp; "-" &amp; COUNTIF($B$2:B3848, B3848)</f>
        <v>106-8</v>
      </c>
      <c r="D3848" s="10">
        <v>4407</v>
      </c>
      <c r="E3848" s="1" t="s">
        <v>9141</v>
      </c>
      <c r="F3848" s="1" t="s">
        <v>9142</v>
      </c>
      <c r="H3848" s="1" t="s">
        <v>5458</v>
      </c>
      <c r="I3848" s="10" t="str">
        <f>IF(H3848="T18",1,IF(H3848="T18",3,IF(H3848="T34",6,IF(H3848="T34",10,IF(H3848="T66",14,IF(H3848="T66",18,IF(H3848="T34",22,"")))))))</f>
        <v/>
      </c>
      <c r="J3848" s="1" t="s">
        <v>9128</v>
      </c>
      <c r="K3848" s="10">
        <v>1</v>
      </c>
      <c r="L3848" s="10">
        <v>1</v>
      </c>
      <c r="S3848" s="1"/>
    </row>
    <row r="3849" spans="1:19" ht="18.75" hidden="1" customHeight="1" x14ac:dyDescent="0.3">
      <c r="A3849" s="10">
        <v>3848</v>
      </c>
      <c r="B3849" s="10">
        <f>_xlfn.XLOOKUP(1,(VALUE(D3849)&gt;=VALUE(block!$C$3:$C$500))*(VALUE(D3849)&lt;VALUE(block!$C$3:$C$500)+VALUE(block!$D$3:$D$500)),block!$A$3:$A$500,"无匹配",0,1)</f>
        <v>106</v>
      </c>
      <c r="C3849" s="3" t="str">
        <f>B3849 &amp; "-" &amp; COUNTIF($B$2:B3849, B3849)</f>
        <v>106-9</v>
      </c>
      <c r="D3849" s="10">
        <v>4408</v>
      </c>
      <c r="E3849" s="1" t="s">
        <v>9143</v>
      </c>
      <c r="F3849" s="1" t="s">
        <v>9144</v>
      </c>
      <c r="H3849" s="1" t="s">
        <v>5458</v>
      </c>
      <c r="I3849" s="10" t="str">
        <f>IF(H3849="T19",1,IF(H3849="T19",3,IF(H3849="T35",6,IF(H3849="T35",10,IF(H3849="T67",14,IF(H3849="T67",18,IF(H3849="T35",22,"")))))))</f>
        <v/>
      </c>
      <c r="J3849" s="1" t="s">
        <v>9128</v>
      </c>
      <c r="K3849" s="10">
        <v>1</v>
      </c>
      <c r="L3849" s="10">
        <v>1</v>
      </c>
      <c r="S3849" s="1"/>
    </row>
    <row r="3850" spans="1:19" ht="18.75" hidden="1" customHeight="1" x14ac:dyDescent="0.3">
      <c r="A3850" s="10">
        <v>3849</v>
      </c>
      <c r="B3850" s="10">
        <f>_xlfn.XLOOKUP(1,(VALUE(D3850)&gt;=VALUE(block!$C$3:$C$500))*(VALUE(D3850)&lt;VALUE(block!$C$3:$C$500)+VALUE(block!$D$3:$D$500)),block!$A$3:$A$500,"无匹配",0,1)</f>
        <v>106</v>
      </c>
      <c r="C3850" s="3" t="str">
        <f>B3850 &amp; "-" &amp; COUNTIF($B$2:B3850, B3850)</f>
        <v>106-10</v>
      </c>
      <c r="D3850" s="10">
        <v>4409</v>
      </c>
      <c r="E3850" s="1" t="s">
        <v>9145</v>
      </c>
      <c r="F3850" s="1" t="s">
        <v>9146</v>
      </c>
      <c r="H3850" s="1" t="s">
        <v>5458</v>
      </c>
      <c r="I3850" s="10" t="str">
        <f>IF(H3850="T20",1,IF(H3850="T20",3,IF(H3850="T36",6,IF(H3850="T36",10,IF(H3850="T68",14,IF(H3850="T68",18,IF(H3850="T36",22,"")))))))</f>
        <v/>
      </c>
      <c r="J3850" s="1" t="s">
        <v>9128</v>
      </c>
      <c r="K3850" s="10">
        <v>1</v>
      </c>
      <c r="L3850" s="10">
        <v>1</v>
      </c>
      <c r="S3850" s="1"/>
    </row>
    <row r="3851" spans="1:19" ht="18.75" hidden="1" customHeight="1" x14ac:dyDescent="0.3">
      <c r="A3851" s="10">
        <v>3850</v>
      </c>
      <c r="B3851" s="10">
        <f>_xlfn.XLOOKUP(1,(VALUE(D3851)&gt;=VALUE(block!$C$3:$C$500))*(VALUE(D3851)&lt;VALUE(block!$C$3:$C$500)+VALUE(block!$D$3:$D$500)),block!$A$3:$A$500,"无匹配",0,1)</f>
        <v>106</v>
      </c>
      <c r="C3851" s="3" t="str">
        <f>B3851 &amp; "-" &amp; COUNTIF($B$2:B3851, B3851)</f>
        <v>106-11</v>
      </c>
      <c r="D3851" s="10">
        <v>4410</v>
      </c>
      <c r="E3851" s="1" t="s">
        <v>9147</v>
      </c>
      <c r="F3851" s="3" t="s">
        <v>9148</v>
      </c>
      <c r="H3851" s="1" t="s">
        <v>5458</v>
      </c>
      <c r="I3851" s="10" t="str">
        <f>IF(H3851="T21",1,IF(H3851="T21",3,IF(H3851="T37",6,IF(H3851="T37",10,IF(H3851="T69",14,IF(H3851="T69",18,IF(H3851="T37",22,"")))))))</f>
        <v/>
      </c>
      <c r="J3851" s="1" t="s">
        <v>9128</v>
      </c>
      <c r="K3851" s="10">
        <v>1</v>
      </c>
      <c r="L3851" s="10">
        <v>1</v>
      </c>
      <c r="S3851" s="3"/>
    </row>
    <row r="3852" spans="1:19" ht="18.75" hidden="1" customHeight="1" x14ac:dyDescent="0.3">
      <c r="A3852" s="10">
        <v>3851</v>
      </c>
      <c r="B3852" s="10">
        <f>_xlfn.XLOOKUP(1,(VALUE(D3852)&gt;=VALUE(block!$C$3:$C$500))*(VALUE(D3852)&lt;VALUE(block!$C$3:$C$500)+VALUE(block!$D$3:$D$500)),block!$A$3:$A$500,"无匹配",0,1)</f>
        <v>106</v>
      </c>
      <c r="C3852" s="3" t="str">
        <f>B3852 &amp; "-" &amp; COUNTIF($B$2:B3852, B3852)</f>
        <v>106-12</v>
      </c>
      <c r="D3852" s="10">
        <v>4411</v>
      </c>
      <c r="E3852" s="1" t="s">
        <v>9149</v>
      </c>
      <c r="F3852" s="1" t="s">
        <v>9150</v>
      </c>
      <c r="H3852" s="1" t="s">
        <v>5458</v>
      </c>
      <c r="I3852" s="10" t="str">
        <f>IF(H3852="T22",1,IF(H3852="T22",3,IF(H3852="T38",6,IF(H3852="T38",10,IF(H3852="T70",14,IF(H3852="T70",18,IF(H3852="T38",22,"")))))))</f>
        <v/>
      </c>
      <c r="J3852" s="1" t="s">
        <v>9128</v>
      </c>
      <c r="K3852" s="10">
        <v>1</v>
      </c>
      <c r="L3852" s="10">
        <v>1</v>
      </c>
      <c r="S3852" s="1"/>
    </row>
    <row r="3853" spans="1:19" ht="18.75" hidden="1" customHeight="1" x14ac:dyDescent="0.3">
      <c r="A3853" s="10">
        <v>3852</v>
      </c>
      <c r="B3853" s="10">
        <f>_xlfn.XLOOKUP(1,(VALUE(D3853)&gt;=VALUE(block!$C$3:$C$500))*(VALUE(D3853)&lt;VALUE(block!$C$3:$C$500)+VALUE(block!$D$3:$D$500)),block!$A$3:$A$500,"无匹配",0,1)</f>
        <v>106</v>
      </c>
      <c r="C3853" s="3" t="str">
        <f>B3853 &amp; "-" &amp; COUNTIF($B$2:B3853, B3853)</f>
        <v>106-13</v>
      </c>
      <c r="D3853" s="10">
        <v>4412</v>
      </c>
      <c r="E3853" s="1" t="s">
        <v>9151</v>
      </c>
      <c r="F3853" s="1" t="s">
        <v>9152</v>
      </c>
      <c r="H3853" s="1" t="s">
        <v>5458</v>
      </c>
      <c r="I3853" s="10" t="str">
        <f>IF(H3853="T23",1,IF(H3853="T23",3,IF(H3853="T39",6,IF(H3853="T39",10,IF(H3853="T71",14,IF(H3853="T71",18,IF(H3853="T39",22,"")))))))</f>
        <v/>
      </c>
      <c r="J3853" s="1" t="s">
        <v>9128</v>
      </c>
      <c r="K3853" s="10">
        <v>1</v>
      </c>
      <c r="L3853" s="10">
        <v>1</v>
      </c>
      <c r="S3853" s="1"/>
    </row>
    <row r="3854" spans="1:19" ht="18.75" hidden="1" customHeight="1" x14ac:dyDescent="0.3">
      <c r="A3854" s="10">
        <v>3853</v>
      </c>
      <c r="B3854" s="10">
        <f>_xlfn.XLOOKUP(1,(VALUE(D3854)&gt;=VALUE(block!$C$3:$C$500))*(VALUE(D3854)&lt;VALUE(block!$C$3:$C$500)+VALUE(block!$D$3:$D$500)),block!$A$3:$A$500,"无匹配",0,1)</f>
        <v>106</v>
      </c>
      <c r="C3854" s="3" t="str">
        <f>B3854 &amp; "-" &amp; COUNTIF($B$2:B3854, B3854)</f>
        <v>106-14</v>
      </c>
      <c r="D3854" s="10">
        <v>4413</v>
      </c>
      <c r="E3854" s="1" t="s">
        <v>9153</v>
      </c>
      <c r="F3854" s="1" t="s">
        <v>9154</v>
      </c>
      <c r="H3854" s="1" t="s">
        <v>5458</v>
      </c>
      <c r="I3854" s="10" t="str">
        <f>IF(H3854="T24",1,IF(H3854="T24",3,IF(H3854="T40",6,IF(H3854="T40",10,IF(H3854="T72",14,IF(H3854="T72",18,IF(H3854="T40",22,"")))))))</f>
        <v/>
      </c>
      <c r="J3854" s="1" t="s">
        <v>9128</v>
      </c>
      <c r="K3854" s="10">
        <v>1</v>
      </c>
      <c r="L3854" s="10">
        <v>1</v>
      </c>
      <c r="S3854" s="1"/>
    </row>
    <row r="3855" spans="1:19" ht="18.75" hidden="1" customHeight="1" x14ac:dyDescent="0.3">
      <c r="A3855" s="10">
        <v>3854</v>
      </c>
      <c r="B3855" s="10">
        <f>_xlfn.XLOOKUP(1,(VALUE(D3855)&gt;=VALUE(block!$C$3:$C$500))*(VALUE(D3855)&lt;VALUE(block!$C$3:$C$500)+VALUE(block!$D$3:$D$500)),block!$A$3:$A$500,"无匹配",0,1)</f>
        <v>106</v>
      </c>
      <c r="C3855" s="3" t="str">
        <f>B3855 &amp; "-" &amp; COUNTIF($B$2:B3855, B3855)</f>
        <v>106-15</v>
      </c>
      <c r="D3855" s="10">
        <v>4414</v>
      </c>
      <c r="E3855" s="1" t="s">
        <v>9155</v>
      </c>
      <c r="F3855" s="1" t="s">
        <v>9156</v>
      </c>
      <c r="H3855" s="1" t="s">
        <v>5458</v>
      </c>
      <c r="I3855" s="10" t="str">
        <f>IF(H3855="T25",1,IF(H3855="T25",3,IF(H3855="T41",6,IF(H3855="T41",10,IF(H3855="T73",14,IF(H3855="T73",18,IF(H3855="T41",22,"")))))))</f>
        <v/>
      </c>
      <c r="J3855" s="1" t="s">
        <v>9128</v>
      </c>
      <c r="K3855" s="10">
        <v>1</v>
      </c>
      <c r="L3855" s="10">
        <v>1</v>
      </c>
      <c r="S3855" s="1"/>
    </row>
    <row r="3856" spans="1:19" ht="18.75" hidden="1" customHeight="1" x14ac:dyDescent="0.3">
      <c r="A3856" s="10">
        <v>3855</v>
      </c>
      <c r="B3856" s="10">
        <f>_xlfn.XLOOKUP(1,(VALUE(D3856)&gt;=VALUE(block!$C$3:$C$500))*(VALUE(D3856)&lt;VALUE(block!$C$3:$C$500)+VALUE(block!$D$3:$D$500)),block!$A$3:$A$500,"无匹配",0,1)</f>
        <v>106</v>
      </c>
      <c r="C3856" s="3" t="str">
        <f>B3856 &amp; "-" &amp; COUNTIF($B$2:B3856, B3856)</f>
        <v>106-16</v>
      </c>
      <c r="D3856" s="10">
        <v>4415</v>
      </c>
      <c r="E3856" s="1" t="s">
        <v>9157</v>
      </c>
      <c r="F3856" s="1" t="s">
        <v>9158</v>
      </c>
      <c r="H3856" s="1" t="s">
        <v>5458</v>
      </c>
      <c r="I3856" s="10" t="str">
        <f>IF(H3856="T26",1,IF(H3856="T26",3,IF(H3856="T42",6,IF(H3856="T42",10,IF(H3856="T74",14,IF(H3856="T74",18,IF(H3856="T42",22,"")))))))</f>
        <v/>
      </c>
      <c r="J3856" s="1" t="s">
        <v>9128</v>
      </c>
      <c r="K3856" s="10">
        <v>1</v>
      </c>
      <c r="L3856" s="10">
        <v>1</v>
      </c>
      <c r="S3856" s="1"/>
    </row>
    <row r="3857" spans="1:19" ht="18.75" hidden="1" customHeight="1" x14ac:dyDescent="0.3">
      <c r="A3857" s="10">
        <v>3856</v>
      </c>
      <c r="B3857" s="10">
        <f>_xlfn.XLOOKUP(1,(VALUE(D3857)&gt;=VALUE(block!$C$3:$C$500))*(VALUE(D3857)&lt;VALUE(block!$C$3:$C$500)+VALUE(block!$D$3:$D$500)),block!$A$3:$A$500,"无匹配",0,1)</f>
        <v>106</v>
      </c>
      <c r="C3857" s="3" t="str">
        <f>B3857 &amp; "-" &amp; COUNTIF($B$2:B3857, B3857)</f>
        <v>106-17</v>
      </c>
      <c r="D3857" s="10">
        <v>4416</v>
      </c>
      <c r="E3857" s="1" t="s">
        <v>9159</v>
      </c>
      <c r="F3857" s="1" t="s">
        <v>9160</v>
      </c>
      <c r="H3857" s="1" t="s">
        <v>5458</v>
      </c>
      <c r="I3857" s="10" t="str">
        <f>IF(H3857="T27",1,IF(H3857="T27",3,IF(H3857="T43",6,IF(H3857="T43",10,IF(H3857="T75",14,IF(H3857="T75",18,IF(H3857="T43",22,"")))))))</f>
        <v/>
      </c>
      <c r="J3857" s="1" t="s">
        <v>9128</v>
      </c>
      <c r="K3857" s="10">
        <v>1</v>
      </c>
      <c r="L3857" s="10">
        <v>1</v>
      </c>
      <c r="S3857" s="1"/>
    </row>
    <row r="3858" spans="1:19" ht="18.75" hidden="1" customHeight="1" x14ac:dyDescent="0.3">
      <c r="A3858" s="10">
        <v>3857</v>
      </c>
      <c r="B3858" s="10">
        <f>_xlfn.XLOOKUP(1,(VALUE(D3858)&gt;=VALUE(block!$C$3:$C$500))*(VALUE(D3858)&lt;VALUE(block!$C$3:$C$500)+VALUE(block!$D$3:$D$500)),block!$A$3:$A$500,"无匹配",0,1)</f>
        <v>106</v>
      </c>
      <c r="C3858" s="3" t="str">
        <f>B3858 &amp; "-" &amp; COUNTIF($B$2:B3858, B3858)</f>
        <v>106-18</v>
      </c>
      <c r="D3858" s="10">
        <v>4417</v>
      </c>
      <c r="E3858" s="1" t="s">
        <v>9161</v>
      </c>
      <c r="F3858" s="1" t="s">
        <v>9162</v>
      </c>
      <c r="H3858" s="1" t="s">
        <v>5458</v>
      </c>
      <c r="I3858" s="10" t="str">
        <f>IF(H3858="T28",1,IF(H3858="T28",3,IF(H3858="T44",6,IF(H3858="T44",10,IF(H3858="T76",14,IF(H3858="T76",18,IF(H3858="T44",22,"")))))))</f>
        <v/>
      </c>
      <c r="J3858" s="1" t="s">
        <v>9128</v>
      </c>
      <c r="K3858" s="10">
        <v>1</v>
      </c>
      <c r="L3858" s="10">
        <v>1</v>
      </c>
      <c r="S3858" s="1"/>
    </row>
    <row r="3859" spans="1:19" ht="18.75" hidden="1" customHeight="1" x14ac:dyDescent="0.3">
      <c r="A3859" s="10">
        <v>3858</v>
      </c>
      <c r="B3859" s="10">
        <f>_xlfn.XLOOKUP(1,(VALUE(D3859)&gt;=VALUE(block!$C$3:$C$500))*(VALUE(D3859)&lt;VALUE(block!$C$3:$C$500)+VALUE(block!$D$3:$D$500)),block!$A$3:$A$500,"无匹配",0,1)</f>
        <v>106</v>
      </c>
      <c r="C3859" s="3" t="str">
        <f>B3859 &amp; "-" &amp; COUNTIF($B$2:B3859, B3859)</f>
        <v>106-19</v>
      </c>
      <c r="D3859" s="10">
        <v>4418</v>
      </c>
      <c r="E3859" s="1" t="s">
        <v>9163</v>
      </c>
      <c r="F3859" s="1" t="s">
        <v>9164</v>
      </c>
      <c r="H3859" s="1" t="s">
        <v>5458</v>
      </c>
      <c r="I3859" s="10" t="str">
        <f>IF(H3859="T29",1,IF(H3859="T29",3,IF(H3859="T45",6,IF(H3859="T45",10,IF(H3859="T77",14,IF(H3859="T77",18,IF(H3859="T45",22,"")))))))</f>
        <v/>
      </c>
      <c r="J3859" s="1" t="s">
        <v>9128</v>
      </c>
      <c r="K3859" s="10">
        <v>1</v>
      </c>
      <c r="L3859" s="10">
        <v>1</v>
      </c>
      <c r="S3859" s="1"/>
    </row>
    <row r="3860" spans="1:19" ht="18.75" hidden="1" customHeight="1" x14ac:dyDescent="0.3">
      <c r="A3860" s="10">
        <v>3859</v>
      </c>
      <c r="B3860" s="10">
        <f>_xlfn.XLOOKUP(1,(VALUE(D3860)&gt;=VALUE(block!$C$3:$C$500))*(VALUE(D3860)&lt;VALUE(block!$C$3:$C$500)+VALUE(block!$D$3:$D$500)),block!$A$3:$A$500,"无匹配",0,1)</f>
        <v>106</v>
      </c>
      <c r="C3860" s="3" t="str">
        <f>B3860 &amp; "-" &amp; COUNTIF($B$2:B3860, B3860)</f>
        <v>106-20</v>
      </c>
      <c r="D3860" s="10">
        <v>4419</v>
      </c>
      <c r="E3860" s="1" t="s">
        <v>9165</v>
      </c>
      <c r="F3860" s="1" t="s">
        <v>9166</v>
      </c>
      <c r="H3860" s="1" t="s">
        <v>5458</v>
      </c>
      <c r="I3860" s="10" t="str">
        <f>IF(H3860="T30",1,IF(H3860="T30",3,IF(H3860="T46",6,IF(H3860="T46",10,IF(H3860="T78",14,IF(H3860="T78",18,IF(H3860="T46",22,"")))))))</f>
        <v/>
      </c>
      <c r="J3860" s="1" t="s">
        <v>9128</v>
      </c>
      <c r="K3860" s="10">
        <v>1</v>
      </c>
      <c r="L3860" s="10">
        <v>1</v>
      </c>
      <c r="S3860" s="1"/>
    </row>
    <row r="3861" spans="1:19" ht="18.75" hidden="1" customHeight="1" x14ac:dyDescent="0.3">
      <c r="A3861" s="10">
        <v>3860</v>
      </c>
      <c r="B3861" s="10">
        <f>_xlfn.XLOOKUP(1,(VALUE(D3861)&gt;=VALUE(block!$C$3:$C$500))*(VALUE(D3861)&lt;VALUE(block!$C$3:$C$500)+VALUE(block!$D$3:$D$500)),block!$A$3:$A$500,"无匹配",0,1)</f>
        <v>106</v>
      </c>
      <c r="C3861" s="3" t="str">
        <f>B3861 &amp; "-" &amp; COUNTIF($B$2:B3861, B3861)</f>
        <v>106-21</v>
      </c>
      <c r="D3861" s="10">
        <v>4420</v>
      </c>
      <c r="E3861" s="1" t="s">
        <v>9167</v>
      </c>
      <c r="F3861" s="1" t="s">
        <v>9168</v>
      </c>
      <c r="H3861" s="1" t="s">
        <v>5458</v>
      </c>
      <c r="I3861" s="10" t="str">
        <f>IF(H3861="T31",1,IF(H3861="T31",3,IF(H3861="T47",6,IF(H3861="T47",10,IF(H3861="T79",14,IF(H3861="T79",18,IF(H3861="T47",22,"")))))))</f>
        <v/>
      </c>
      <c r="J3861" s="1" t="s">
        <v>9128</v>
      </c>
      <c r="K3861" s="10">
        <v>1</v>
      </c>
      <c r="L3861" s="10">
        <v>1</v>
      </c>
      <c r="S3861" s="1"/>
    </row>
    <row r="3862" spans="1:19" ht="18.75" hidden="1" customHeight="1" x14ac:dyDescent="0.3">
      <c r="A3862" s="10">
        <v>3861</v>
      </c>
      <c r="B3862" s="10">
        <f>_xlfn.XLOOKUP(1,(VALUE(D3862)&gt;=VALUE(block!$C$3:$C$500))*(VALUE(D3862)&lt;VALUE(block!$C$3:$C$500)+VALUE(block!$D$3:$D$500)),block!$A$3:$A$500,"无匹配",0,1)</f>
        <v>107</v>
      </c>
      <c r="C3862" s="3" t="str">
        <f>B3862 &amp; "-" &amp; COUNTIF($B$2:B3862, B3862)</f>
        <v>107-1</v>
      </c>
      <c r="D3862" s="10">
        <v>25344</v>
      </c>
      <c r="E3862" s="72" t="s">
        <v>9169</v>
      </c>
      <c r="F3862" s="3" t="s">
        <v>9170</v>
      </c>
      <c r="H3862" s="3" t="s">
        <v>5458</v>
      </c>
      <c r="I3862" s="10" t="str">
        <f>IF(H3862="T32",1,IF(H3862="T32",3,IF(H3862="T48",6,IF(H3862="T48",10,IF(H3862="T80",14,IF(H3862="T80",18,IF(H3862="T48",22,"")))))))</f>
        <v/>
      </c>
      <c r="J3862" s="3" t="s">
        <v>1808</v>
      </c>
      <c r="K3862" s="10">
        <v>1</v>
      </c>
      <c r="L3862" s="10">
        <v>1</v>
      </c>
      <c r="Q3862" s="42" t="s">
        <v>9171</v>
      </c>
      <c r="R3862" s="42"/>
      <c r="S3862" s="3"/>
    </row>
    <row r="3863" spans="1:19" ht="18.75" hidden="1" customHeight="1" x14ac:dyDescent="0.3">
      <c r="A3863" s="10">
        <v>3862</v>
      </c>
      <c r="B3863" s="10">
        <f>_xlfn.XLOOKUP(1,(VALUE(D3863)&gt;=VALUE(block!$C$3:$C$500))*(VALUE(D3863)&lt;VALUE(block!$C$3:$C$500)+VALUE(block!$D$3:$D$500)),block!$A$3:$A$500,"无匹配",0,1)</f>
        <v>107</v>
      </c>
      <c r="C3863" s="3" t="str">
        <f>B3863 &amp; "-" &amp; COUNTIF($B$2:B3863, B3863)</f>
        <v>107-2</v>
      </c>
      <c r="D3863" s="10">
        <v>25345</v>
      </c>
      <c r="E3863" s="72" t="s">
        <v>9172</v>
      </c>
      <c r="F3863" s="3" t="s">
        <v>9173</v>
      </c>
      <c r="H3863" s="1" t="s">
        <v>5458</v>
      </c>
      <c r="I3863" s="10" t="str">
        <f>IF(H3863="T33",1,IF(H3863="T33",3,IF(H3863="T49",6,IF(H3863="T49",10,IF(H3863="T81",14,IF(H3863="T81",18,IF(H3863="T49",22,"")))))))</f>
        <v/>
      </c>
      <c r="J3863" s="3" t="s">
        <v>1808</v>
      </c>
      <c r="K3863" s="10">
        <v>1</v>
      </c>
      <c r="L3863" s="10">
        <v>1</v>
      </c>
      <c r="Q3863" s="42" t="s">
        <v>9171</v>
      </c>
      <c r="R3863" s="42"/>
      <c r="S3863" s="3"/>
    </row>
  </sheetData>
  <autoFilter ref="A1:S3863" xr:uid="{00000000-0001-0000-0100-000000000000}">
    <filterColumn colId="18">
      <customFilters>
        <customFilter operator="notEqual" val=" "/>
      </customFilters>
    </filterColumn>
  </autoFilter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1"/>
  <sheetViews>
    <sheetView workbookViewId="0"/>
  </sheetViews>
  <sheetFormatPr defaultRowHeight="14.4" x14ac:dyDescent="0.25"/>
  <cols>
    <col min="1" max="1" width="12.6640625" bestFit="1" customWidth="1"/>
    <col min="2" max="2" width="23" bestFit="1" customWidth="1"/>
  </cols>
  <sheetData>
    <row r="1" spans="1:2" ht="18.75" customHeight="1" x14ac:dyDescent="0.3">
      <c r="A1" s="1" t="s">
        <v>117</v>
      </c>
      <c r="B1" s="1" t="s">
        <v>1793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515"/>
  <sheetViews>
    <sheetView workbookViewId="0"/>
  </sheetViews>
  <sheetFormatPr defaultRowHeight="14.4" x14ac:dyDescent="0.25"/>
  <cols>
    <col min="1" max="1" width="24.44140625" bestFit="1" customWidth="1"/>
    <col min="2" max="2" width="28" bestFit="1" customWidth="1"/>
    <col min="3" max="5" width="24.44140625" bestFit="1" customWidth="1"/>
  </cols>
  <sheetData>
    <row r="1" spans="1:5" ht="18.75" customHeight="1" x14ac:dyDescent="0.25">
      <c r="A1" s="36" t="s">
        <v>124</v>
      </c>
      <c r="B1" s="36" t="s">
        <v>124</v>
      </c>
      <c r="C1" s="36" t="s">
        <v>124</v>
      </c>
      <c r="D1" s="36" t="s">
        <v>124</v>
      </c>
      <c r="E1" s="36" t="s">
        <v>124</v>
      </c>
    </row>
    <row r="2" spans="1:5" ht="18.75" customHeight="1" x14ac:dyDescent="0.25">
      <c r="A2" s="36" t="s">
        <v>119</v>
      </c>
      <c r="B2" s="36" t="s">
        <v>120</v>
      </c>
      <c r="C2" s="36" t="s">
        <v>121</v>
      </c>
      <c r="D2" s="36" t="s">
        <v>122</v>
      </c>
      <c r="E2" s="36" t="s">
        <v>123</v>
      </c>
    </row>
    <row r="3" spans="1:5" ht="18.75" customHeight="1" x14ac:dyDescent="0.25">
      <c r="A3" s="37" t="s">
        <v>125</v>
      </c>
      <c r="B3" s="37" t="s">
        <v>126</v>
      </c>
      <c r="C3" s="37" t="s">
        <v>127</v>
      </c>
      <c r="D3" s="37" t="s">
        <v>128</v>
      </c>
      <c r="E3" s="37" t="s">
        <v>129</v>
      </c>
    </row>
    <row r="4" spans="1:5" ht="18.75" customHeight="1" x14ac:dyDescent="0.25">
      <c r="A4" s="37" t="s">
        <v>130</v>
      </c>
      <c r="B4" s="37" t="s">
        <v>131</v>
      </c>
      <c r="C4" s="37" t="s">
        <v>132</v>
      </c>
      <c r="D4" s="37" t="s">
        <v>133</v>
      </c>
      <c r="E4" s="37" t="s">
        <v>134</v>
      </c>
    </row>
    <row r="5" spans="1:5" ht="18.75" customHeight="1" x14ac:dyDescent="0.25">
      <c r="A5" s="37" t="s">
        <v>135</v>
      </c>
      <c r="B5" s="37" t="s">
        <v>136</v>
      </c>
      <c r="C5" s="37" t="s">
        <v>137</v>
      </c>
      <c r="D5" s="37" t="s">
        <v>138</v>
      </c>
      <c r="E5" s="37" t="s">
        <v>139</v>
      </c>
    </row>
    <row r="6" spans="1:5" ht="18.75" customHeight="1" x14ac:dyDescent="0.25">
      <c r="A6" s="37" t="s">
        <v>140</v>
      </c>
      <c r="B6" s="37" t="s">
        <v>141</v>
      </c>
      <c r="C6" s="37" t="s">
        <v>142</v>
      </c>
      <c r="D6" s="37" t="s">
        <v>143</v>
      </c>
      <c r="E6" s="37" t="s">
        <v>144</v>
      </c>
    </row>
    <row r="7" spans="1:5" ht="18.75" customHeight="1" x14ac:dyDescent="0.25">
      <c r="A7" s="37" t="s">
        <v>145</v>
      </c>
      <c r="B7" s="37" t="s">
        <v>146</v>
      </c>
      <c r="C7" s="37" t="s">
        <v>147</v>
      </c>
      <c r="D7" s="37" t="s">
        <v>148</v>
      </c>
      <c r="E7" s="37" t="s">
        <v>149</v>
      </c>
    </row>
    <row r="8" spans="1:5" ht="18.75" customHeight="1" x14ac:dyDescent="0.25">
      <c r="A8" s="37" t="s">
        <v>150</v>
      </c>
      <c r="B8" s="37" t="s">
        <v>151</v>
      </c>
      <c r="C8" s="37" t="s">
        <v>152</v>
      </c>
      <c r="D8" s="37" t="s">
        <v>153</v>
      </c>
      <c r="E8" s="37" t="s">
        <v>154</v>
      </c>
    </row>
    <row r="9" spans="1:5" ht="18.75" customHeight="1" x14ac:dyDescent="0.25">
      <c r="A9" s="37" t="s">
        <v>155</v>
      </c>
      <c r="B9" s="37" t="s">
        <v>156</v>
      </c>
      <c r="C9" s="37" t="s">
        <v>157</v>
      </c>
      <c r="D9" s="37" t="s">
        <v>158</v>
      </c>
      <c r="E9" s="37" t="s">
        <v>159</v>
      </c>
    </row>
    <row r="10" spans="1:5" ht="18.75" customHeight="1" x14ac:dyDescent="0.25">
      <c r="A10" s="37" t="s">
        <v>160</v>
      </c>
      <c r="B10" s="37" t="s">
        <v>161</v>
      </c>
      <c r="C10" s="37" t="s">
        <v>162</v>
      </c>
      <c r="D10" s="37" t="s">
        <v>163</v>
      </c>
      <c r="E10" s="37" t="s">
        <v>164</v>
      </c>
    </row>
    <row r="11" spans="1:5" ht="18.75" customHeight="1" x14ac:dyDescent="0.25">
      <c r="A11" s="37" t="s">
        <v>165</v>
      </c>
      <c r="B11" s="37" t="s">
        <v>166</v>
      </c>
      <c r="C11" s="37" t="s">
        <v>167</v>
      </c>
      <c r="D11" s="37" t="s">
        <v>168</v>
      </c>
      <c r="E11" s="37" t="s">
        <v>169</v>
      </c>
    </row>
    <row r="12" spans="1:5" ht="18.75" customHeight="1" x14ac:dyDescent="0.25">
      <c r="A12" s="37" t="s">
        <v>170</v>
      </c>
      <c r="B12" s="37" t="s">
        <v>171</v>
      </c>
      <c r="C12" s="37" t="s">
        <v>172</v>
      </c>
      <c r="D12" s="37" t="s">
        <v>173</v>
      </c>
      <c r="E12" s="37" t="s">
        <v>174</v>
      </c>
    </row>
    <row r="13" spans="1:5" ht="18.75" customHeight="1" x14ac:dyDescent="0.25">
      <c r="A13" s="37" t="s">
        <v>175</v>
      </c>
      <c r="B13" s="37" t="s">
        <v>176</v>
      </c>
      <c r="C13" s="37" t="s">
        <v>177</v>
      </c>
      <c r="D13" s="37" t="s">
        <v>178</v>
      </c>
      <c r="E13" s="37" t="s">
        <v>179</v>
      </c>
    </row>
    <row r="14" spans="1:5" ht="18.75" customHeight="1" x14ac:dyDescent="0.25">
      <c r="A14" s="37" t="s">
        <v>180</v>
      </c>
      <c r="B14" s="37" t="s">
        <v>181</v>
      </c>
      <c r="C14" s="37" t="s">
        <v>182</v>
      </c>
      <c r="D14" s="37" t="s">
        <v>183</v>
      </c>
      <c r="E14" s="37" t="s">
        <v>184</v>
      </c>
    </row>
    <row r="15" spans="1:5" ht="18.75" customHeight="1" x14ac:dyDescent="0.25">
      <c r="A15" s="37" t="s">
        <v>185</v>
      </c>
      <c r="B15" s="37" t="s">
        <v>186</v>
      </c>
      <c r="C15" s="37" t="s">
        <v>187</v>
      </c>
      <c r="D15" s="37" t="s">
        <v>188</v>
      </c>
      <c r="E15" s="37" t="s">
        <v>189</v>
      </c>
    </row>
    <row r="16" spans="1:5" ht="18.75" customHeight="1" x14ac:dyDescent="0.25">
      <c r="A16" s="37" t="s">
        <v>190</v>
      </c>
      <c r="B16" s="37" t="s">
        <v>191</v>
      </c>
      <c r="C16" s="37" t="s">
        <v>192</v>
      </c>
      <c r="D16" s="37" t="s">
        <v>193</v>
      </c>
      <c r="E16" s="37" t="s">
        <v>194</v>
      </c>
    </row>
    <row r="17" spans="1:5" ht="18.75" customHeight="1" x14ac:dyDescent="0.25">
      <c r="A17" s="37" t="s">
        <v>195</v>
      </c>
      <c r="B17" s="37" t="s">
        <v>196</v>
      </c>
      <c r="C17" s="37" t="s">
        <v>197</v>
      </c>
      <c r="D17" s="37" t="s">
        <v>198</v>
      </c>
      <c r="E17" s="37" t="s">
        <v>199</v>
      </c>
    </row>
    <row r="18" spans="1:5" ht="18.75" customHeight="1" x14ac:dyDescent="0.25">
      <c r="A18" s="37" t="s">
        <v>200</v>
      </c>
      <c r="B18" s="37" t="s">
        <v>201</v>
      </c>
      <c r="C18" s="37" t="s">
        <v>202</v>
      </c>
      <c r="D18" s="37" t="s">
        <v>203</v>
      </c>
      <c r="E18" s="37" t="s">
        <v>204</v>
      </c>
    </row>
    <row r="19" spans="1:5" ht="18.75" customHeight="1" x14ac:dyDescent="0.25">
      <c r="A19" s="37" t="s">
        <v>205</v>
      </c>
      <c r="B19" s="37" t="s">
        <v>206</v>
      </c>
      <c r="C19" s="37" t="s">
        <v>207</v>
      </c>
      <c r="D19" s="37" t="s">
        <v>208</v>
      </c>
      <c r="E19" s="37"/>
    </row>
    <row r="20" spans="1:5" ht="18.75" customHeight="1" x14ac:dyDescent="0.25">
      <c r="A20" s="37" t="s">
        <v>209</v>
      </c>
      <c r="B20" s="37" t="s">
        <v>210</v>
      </c>
      <c r="C20" s="37" t="s">
        <v>211</v>
      </c>
      <c r="D20" s="37" t="s">
        <v>212</v>
      </c>
      <c r="E20" s="37"/>
    </row>
    <row r="21" spans="1:5" ht="18.75" customHeight="1" x14ac:dyDescent="0.25">
      <c r="A21" s="37" t="s">
        <v>213</v>
      </c>
      <c r="B21" s="37" t="s">
        <v>214</v>
      </c>
      <c r="C21" s="37" t="s">
        <v>215</v>
      </c>
      <c r="D21" s="37" t="s">
        <v>216</v>
      </c>
      <c r="E21" s="37"/>
    </row>
    <row r="22" spans="1:5" ht="18.75" customHeight="1" x14ac:dyDescent="0.25">
      <c r="A22" s="37" t="s">
        <v>217</v>
      </c>
      <c r="B22" s="37" t="s">
        <v>218</v>
      </c>
      <c r="C22" s="37" t="s">
        <v>219</v>
      </c>
      <c r="D22" s="37" t="s">
        <v>220</v>
      </c>
      <c r="E22" s="37"/>
    </row>
    <row r="23" spans="1:5" ht="18.75" customHeight="1" x14ac:dyDescent="0.25">
      <c r="A23" s="37" t="s">
        <v>221</v>
      </c>
      <c r="B23" s="37" t="s">
        <v>222</v>
      </c>
      <c r="C23" s="37" t="s">
        <v>223</v>
      </c>
      <c r="D23" s="37" t="s">
        <v>224</v>
      </c>
      <c r="E23" s="37"/>
    </row>
    <row r="24" spans="1:5" ht="18.75" customHeight="1" x14ac:dyDescent="0.25">
      <c r="A24" s="37" t="s">
        <v>225</v>
      </c>
      <c r="B24" s="37" t="s">
        <v>226</v>
      </c>
      <c r="C24" s="37" t="s">
        <v>227</v>
      </c>
      <c r="D24" s="37" t="s">
        <v>228</v>
      </c>
      <c r="E24" s="37"/>
    </row>
    <row r="25" spans="1:5" ht="18.75" customHeight="1" x14ac:dyDescent="0.25">
      <c r="A25" s="37" t="s">
        <v>229</v>
      </c>
      <c r="B25" s="37" t="s">
        <v>230</v>
      </c>
      <c r="C25" s="37" t="s">
        <v>231</v>
      </c>
      <c r="D25" s="37" t="s">
        <v>232</v>
      </c>
      <c r="E25" s="37"/>
    </row>
    <row r="26" spans="1:5" ht="18.75" customHeight="1" x14ac:dyDescent="0.25">
      <c r="A26" s="37" t="s">
        <v>233</v>
      </c>
      <c r="B26" s="37" t="s">
        <v>234</v>
      </c>
      <c r="C26" s="37" t="s">
        <v>235</v>
      </c>
      <c r="D26" s="37" t="s">
        <v>236</v>
      </c>
      <c r="E26" s="37"/>
    </row>
    <row r="27" spans="1:5" ht="18.75" customHeight="1" x14ac:dyDescent="0.25">
      <c r="A27" s="37" t="s">
        <v>237</v>
      </c>
      <c r="B27" s="37" t="s">
        <v>238</v>
      </c>
      <c r="C27" s="37" t="s">
        <v>239</v>
      </c>
      <c r="D27" s="37" t="s">
        <v>240</v>
      </c>
      <c r="E27" s="37"/>
    </row>
    <row r="28" spans="1:5" ht="18.75" customHeight="1" x14ac:dyDescent="0.25">
      <c r="A28" s="37" t="s">
        <v>241</v>
      </c>
      <c r="B28" s="37" t="s">
        <v>242</v>
      </c>
      <c r="C28" s="37" t="s">
        <v>243</v>
      </c>
      <c r="D28" s="37" t="s">
        <v>244</v>
      </c>
      <c r="E28" s="37"/>
    </row>
    <row r="29" spans="1:5" ht="18.75" customHeight="1" x14ac:dyDescent="0.25">
      <c r="A29" s="37" t="s">
        <v>245</v>
      </c>
      <c r="B29" s="37" t="s">
        <v>246</v>
      </c>
      <c r="C29" s="37" t="s">
        <v>247</v>
      </c>
      <c r="D29" s="37" t="s">
        <v>248</v>
      </c>
      <c r="E29" s="37"/>
    </row>
    <row r="30" spans="1:5" ht="18.75" customHeight="1" x14ac:dyDescent="0.25">
      <c r="A30" s="37" t="s">
        <v>249</v>
      </c>
      <c r="B30" s="37" t="s">
        <v>250</v>
      </c>
      <c r="C30" s="37" t="s">
        <v>251</v>
      </c>
      <c r="D30" s="37" t="s">
        <v>252</v>
      </c>
      <c r="E30" s="37"/>
    </row>
    <row r="31" spans="1:5" ht="18.75" customHeight="1" x14ac:dyDescent="0.25">
      <c r="A31" s="37" t="s">
        <v>253</v>
      </c>
      <c r="B31" s="37" t="s">
        <v>254</v>
      </c>
      <c r="C31" s="37" t="s">
        <v>255</v>
      </c>
      <c r="D31" s="37" t="s">
        <v>256</v>
      </c>
      <c r="E31" s="37"/>
    </row>
    <row r="32" spans="1:5" ht="18.75" customHeight="1" x14ac:dyDescent="0.25">
      <c r="A32" s="37" t="s">
        <v>257</v>
      </c>
      <c r="B32" s="37" t="s">
        <v>258</v>
      </c>
      <c r="C32" s="37" t="s">
        <v>259</v>
      </c>
      <c r="D32" s="37" t="s">
        <v>260</v>
      </c>
      <c r="E32" s="37"/>
    </row>
    <row r="33" spans="1:5" ht="18.75" customHeight="1" x14ac:dyDescent="0.25">
      <c r="A33" s="37" t="s">
        <v>261</v>
      </c>
      <c r="B33" s="37" t="s">
        <v>262</v>
      </c>
      <c r="C33" s="37" t="s">
        <v>263</v>
      </c>
      <c r="D33" s="37" t="s">
        <v>264</v>
      </c>
      <c r="E33" s="37"/>
    </row>
    <row r="34" spans="1:5" ht="18.75" customHeight="1" x14ac:dyDescent="0.25">
      <c r="A34" s="37" t="s">
        <v>265</v>
      </c>
      <c r="B34" s="37" t="s">
        <v>266</v>
      </c>
      <c r="C34" s="37" t="s">
        <v>267</v>
      </c>
      <c r="D34" s="37" t="s">
        <v>268</v>
      </c>
      <c r="E34" s="37"/>
    </row>
    <row r="35" spans="1:5" ht="18.75" customHeight="1" x14ac:dyDescent="0.25">
      <c r="A35" s="37" t="s">
        <v>269</v>
      </c>
      <c r="B35" s="37" t="s">
        <v>270</v>
      </c>
      <c r="C35" s="37" t="s">
        <v>271</v>
      </c>
      <c r="D35" s="37" t="s">
        <v>272</v>
      </c>
      <c r="E35" s="37"/>
    </row>
    <row r="36" spans="1:5" ht="18.75" customHeight="1" x14ac:dyDescent="0.25">
      <c r="A36" s="37" t="s">
        <v>273</v>
      </c>
      <c r="B36" s="37" t="s">
        <v>274</v>
      </c>
      <c r="C36" s="37" t="s">
        <v>275</v>
      </c>
      <c r="D36" s="37" t="s">
        <v>276</v>
      </c>
      <c r="E36" s="37"/>
    </row>
    <row r="37" spans="1:5" ht="18.75" customHeight="1" x14ac:dyDescent="0.25">
      <c r="A37" s="37" t="s">
        <v>277</v>
      </c>
      <c r="B37" s="37" t="s">
        <v>278</v>
      </c>
      <c r="C37" s="37" t="s">
        <v>279</v>
      </c>
      <c r="D37" s="37" t="s">
        <v>280</v>
      </c>
      <c r="E37" s="37"/>
    </row>
    <row r="38" spans="1:5" ht="18.75" customHeight="1" x14ac:dyDescent="0.25">
      <c r="A38" s="37" t="s">
        <v>281</v>
      </c>
      <c r="B38" s="37" t="s">
        <v>282</v>
      </c>
      <c r="C38" s="37" t="s">
        <v>283</v>
      </c>
      <c r="D38" s="37" t="s">
        <v>284</v>
      </c>
      <c r="E38" s="37"/>
    </row>
    <row r="39" spans="1:5" ht="18.75" customHeight="1" x14ac:dyDescent="0.25">
      <c r="A39" s="37" t="s">
        <v>285</v>
      </c>
      <c r="B39" s="37" t="s">
        <v>286</v>
      </c>
      <c r="C39" s="37" t="s">
        <v>287</v>
      </c>
      <c r="D39" s="37" t="s">
        <v>288</v>
      </c>
      <c r="E39" s="37"/>
    </row>
    <row r="40" spans="1:5" ht="18.75" customHeight="1" x14ac:dyDescent="0.25">
      <c r="A40" s="37" t="s">
        <v>289</v>
      </c>
      <c r="B40" s="37" t="s">
        <v>290</v>
      </c>
      <c r="C40" s="37" t="s">
        <v>291</v>
      </c>
      <c r="D40" s="37" t="s">
        <v>292</v>
      </c>
      <c r="E40" s="37"/>
    </row>
    <row r="41" spans="1:5" ht="18.75" customHeight="1" x14ac:dyDescent="0.25">
      <c r="A41" s="37" t="s">
        <v>293</v>
      </c>
      <c r="B41" s="38" t="s">
        <v>294</v>
      </c>
      <c r="C41" s="37" t="s">
        <v>295</v>
      </c>
      <c r="D41" s="37" t="s">
        <v>296</v>
      </c>
      <c r="E41" s="37"/>
    </row>
    <row r="42" spans="1:5" ht="18.75" customHeight="1" x14ac:dyDescent="0.25">
      <c r="A42" s="37" t="s">
        <v>297</v>
      </c>
      <c r="B42" s="37" t="s">
        <v>298</v>
      </c>
      <c r="C42" s="37" t="s">
        <v>299</v>
      </c>
      <c r="D42" s="37" t="s">
        <v>300</v>
      </c>
      <c r="E42" s="37"/>
    </row>
    <row r="43" spans="1:5" ht="18.75" customHeight="1" x14ac:dyDescent="0.25">
      <c r="A43" s="37" t="s">
        <v>301</v>
      </c>
      <c r="B43" s="37" t="s">
        <v>302</v>
      </c>
      <c r="C43" s="37"/>
      <c r="D43" s="37" t="s">
        <v>303</v>
      </c>
      <c r="E43" s="37"/>
    </row>
    <row r="44" spans="1:5" ht="18.75" customHeight="1" x14ac:dyDescent="0.25">
      <c r="A44" s="37" t="s">
        <v>304</v>
      </c>
      <c r="B44" s="38" t="s">
        <v>305</v>
      </c>
      <c r="C44" s="37"/>
      <c r="D44" s="37" t="s">
        <v>306</v>
      </c>
      <c r="E44" s="37"/>
    </row>
    <row r="45" spans="1:5" ht="18.75" customHeight="1" x14ac:dyDescent="0.25">
      <c r="A45" s="37" t="s">
        <v>307</v>
      </c>
      <c r="B45" s="37" t="s">
        <v>308</v>
      </c>
      <c r="C45" s="37"/>
      <c r="D45" s="37" t="s">
        <v>309</v>
      </c>
      <c r="E45" s="37"/>
    </row>
    <row r="46" spans="1:5" ht="18.75" customHeight="1" x14ac:dyDescent="0.25">
      <c r="A46" s="37" t="s">
        <v>310</v>
      </c>
      <c r="B46" s="37" t="s">
        <v>311</v>
      </c>
      <c r="C46" s="37"/>
      <c r="D46" s="37" t="s">
        <v>312</v>
      </c>
      <c r="E46" s="37"/>
    </row>
    <row r="47" spans="1:5" ht="18.75" customHeight="1" x14ac:dyDescent="0.25">
      <c r="A47" s="37" t="s">
        <v>313</v>
      </c>
      <c r="B47" s="38" t="s">
        <v>314</v>
      </c>
      <c r="C47" s="37"/>
      <c r="D47" s="37" t="s">
        <v>315</v>
      </c>
      <c r="E47" s="37"/>
    </row>
    <row r="48" spans="1:5" ht="18.75" customHeight="1" x14ac:dyDescent="0.25">
      <c r="A48" s="37" t="s">
        <v>316</v>
      </c>
      <c r="B48" s="37" t="s">
        <v>317</v>
      </c>
      <c r="C48" s="37"/>
      <c r="D48" s="37" t="s">
        <v>318</v>
      </c>
      <c r="E48" s="37"/>
    </row>
    <row r="49" spans="1:5" ht="18.75" customHeight="1" x14ac:dyDescent="0.25">
      <c r="A49" s="37" t="s">
        <v>319</v>
      </c>
      <c r="B49" s="37" t="s">
        <v>320</v>
      </c>
      <c r="C49" s="37"/>
      <c r="D49" s="37" t="s">
        <v>321</v>
      </c>
      <c r="E49" s="37"/>
    </row>
    <row r="50" spans="1:5" ht="18.75" customHeight="1" x14ac:dyDescent="0.25">
      <c r="A50" s="37" t="s">
        <v>322</v>
      </c>
      <c r="B50" s="38" t="s">
        <v>323</v>
      </c>
      <c r="C50" s="37"/>
      <c r="D50" s="37" t="s">
        <v>324</v>
      </c>
      <c r="E50" s="37"/>
    </row>
    <row r="51" spans="1:5" ht="18.75" customHeight="1" x14ac:dyDescent="0.25">
      <c r="A51" s="37" t="s">
        <v>325</v>
      </c>
      <c r="B51" s="37"/>
      <c r="C51" s="37"/>
      <c r="D51" s="37" t="s">
        <v>326</v>
      </c>
      <c r="E51" s="37"/>
    </row>
    <row r="52" spans="1:5" ht="18.75" customHeight="1" x14ac:dyDescent="0.25">
      <c r="A52" s="37" t="s">
        <v>327</v>
      </c>
      <c r="B52" s="37"/>
      <c r="C52" s="37"/>
      <c r="D52" s="37" t="s">
        <v>328</v>
      </c>
      <c r="E52" s="37"/>
    </row>
    <row r="53" spans="1:5" ht="18.75" customHeight="1" x14ac:dyDescent="0.25">
      <c r="A53" s="37" t="s">
        <v>329</v>
      </c>
      <c r="B53" s="37"/>
      <c r="C53" s="37"/>
      <c r="D53" s="37" t="s">
        <v>330</v>
      </c>
      <c r="E53" s="37"/>
    </row>
    <row r="54" spans="1:5" ht="18.75" customHeight="1" x14ac:dyDescent="0.25">
      <c r="A54" s="37"/>
      <c r="B54" s="37"/>
      <c r="C54" s="37"/>
      <c r="D54" s="37" t="s">
        <v>331</v>
      </c>
      <c r="E54" s="37"/>
    </row>
    <row r="55" spans="1:5" ht="18.75" customHeight="1" x14ac:dyDescent="0.25">
      <c r="A55" s="37"/>
      <c r="B55" s="37"/>
      <c r="C55" s="37"/>
      <c r="D55" s="37" t="s">
        <v>332</v>
      </c>
      <c r="E55" s="37"/>
    </row>
    <row r="56" spans="1:5" ht="18.75" customHeight="1" x14ac:dyDescent="0.25">
      <c r="A56" s="37"/>
      <c r="B56" s="37"/>
      <c r="C56" s="37"/>
      <c r="D56" s="37" t="s">
        <v>333</v>
      </c>
      <c r="E56" s="37"/>
    </row>
    <row r="57" spans="1:5" ht="18.75" customHeight="1" x14ac:dyDescent="0.25">
      <c r="A57" s="37"/>
      <c r="B57" s="37"/>
      <c r="C57" s="37"/>
      <c r="D57" s="37" t="s">
        <v>334</v>
      </c>
      <c r="E57" s="37"/>
    </row>
    <row r="58" spans="1:5" ht="18.75" customHeight="1" x14ac:dyDescent="0.25">
      <c r="A58" s="37"/>
      <c r="B58" s="37"/>
      <c r="C58" s="37"/>
      <c r="D58" s="37" t="s">
        <v>335</v>
      </c>
      <c r="E58" s="37"/>
    </row>
    <row r="59" spans="1:5" ht="18.75" customHeight="1" x14ac:dyDescent="0.25">
      <c r="A59" s="37"/>
      <c r="B59" s="37"/>
      <c r="C59" s="37"/>
      <c r="D59" s="37" t="s">
        <v>336</v>
      </c>
      <c r="E59" s="37"/>
    </row>
    <row r="60" spans="1:5" ht="18.75" customHeight="1" x14ac:dyDescent="0.25">
      <c r="A60" s="37"/>
      <c r="B60" s="37"/>
      <c r="C60" s="37"/>
      <c r="D60" s="37" t="s">
        <v>337</v>
      </c>
      <c r="E60" s="37"/>
    </row>
    <row r="61" spans="1:5" ht="18.75" customHeight="1" x14ac:dyDescent="0.25">
      <c r="A61" s="37"/>
      <c r="B61" s="37"/>
      <c r="C61" s="37"/>
      <c r="D61" s="37" t="s">
        <v>338</v>
      </c>
      <c r="E61" s="37"/>
    </row>
    <row r="62" spans="1:5" ht="18.75" customHeight="1" x14ac:dyDescent="0.25">
      <c r="A62" s="37"/>
      <c r="B62" s="37"/>
      <c r="C62" s="37"/>
      <c r="D62" s="37" t="s">
        <v>339</v>
      </c>
      <c r="E62" s="37"/>
    </row>
    <row r="63" spans="1:5" ht="18.75" customHeight="1" x14ac:dyDescent="0.25">
      <c r="A63" s="37"/>
      <c r="B63" s="37"/>
      <c r="C63" s="37"/>
      <c r="D63" s="37" t="s">
        <v>340</v>
      </c>
      <c r="E63" s="37"/>
    </row>
    <row r="64" spans="1:5" ht="18.75" customHeight="1" x14ac:dyDescent="0.25">
      <c r="A64" s="37"/>
      <c r="B64" s="37"/>
      <c r="C64" s="37"/>
      <c r="D64" s="37" t="s">
        <v>341</v>
      </c>
      <c r="E64" s="37"/>
    </row>
    <row r="65" spans="1:5" ht="18.75" customHeight="1" x14ac:dyDescent="0.25">
      <c r="A65" s="37"/>
      <c r="B65" s="37"/>
      <c r="C65" s="37"/>
      <c r="D65" s="37" t="s">
        <v>342</v>
      </c>
      <c r="E65" s="37"/>
    </row>
    <row r="66" spans="1:5" ht="18.75" customHeight="1" x14ac:dyDescent="0.25">
      <c r="A66" s="37"/>
      <c r="B66" s="37"/>
      <c r="C66" s="37"/>
      <c r="D66" s="37" t="s">
        <v>343</v>
      </c>
      <c r="E66" s="37"/>
    </row>
    <row r="67" spans="1:5" ht="18.75" customHeight="1" x14ac:dyDescent="0.25">
      <c r="A67" s="37"/>
      <c r="B67" s="37"/>
      <c r="C67" s="37"/>
      <c r="D67" s="37" t="s">
        <v>344</v>
      </c>
      <c r="E67" s="37"/>
    </row>
    <row r="68" spans="1:5" ht="18.75" customHeight="1" x14ac:dyDescent="0.25">
      <c r="A68" s="37"/>
      <c r="B68" s="37"/>
      <c r="C68" s="37"/>
      <c r="D68" s="37" t="s">
        <v>345</v>
      </c>
      <c r="E68" s="37"/>
    </row>
    <row r="69" spans="1:5" ht="18.75" customHeight="1" x14ac:dyDescent="0.25">
      <c r="A69" s="37"/>
      <c r="B69" s="37"/>
      <c r="C69" s="37"/>
      <c r="D69" s="37" t="s">
        <v>346</v>
      </c>
      <c r="E69" s="37"/>
    </row>
    <row r="70" spans="1:5" ht="18.75" customHeight="1" x14ac:dyDescent="0.25">
      <c r="A70" s="37"/>
      <c r="B70" s="37"/>
      <c r="C70" s="37"/>
      <c r="D70" s="37" t="s">
        <v>347</v>
      </c>
      <c r="E70" s="37"/>
    </row>
    <row r="71" spans="1:5" ht="18.75" customHeight="1" x14ac:dyDescent="0.25">
      <c r="A71" s="37"/>
      <c r="B71" s="37"/>
      <c r="C71" s="37"/>
      <c r="D71" s="37" t="s">
        <v>348</v>
      </c>
      <c r="E71" s="37"/>
    </row>
    <row r="72" spans="1:5" ht="18.75" customHeight="1" x14ac:dyDescent="0.25">
      <c r="A72" s="37"/>
      <c r="B72" s="37"/>
      <c r="C72" s="37"/>
      <c r="D72" s="37" t="s">
        <v>349</v>
      </c>
      <c r="E72" s="37"/>
    </row>
    <row r="73" spans="1:5" ht="18.75" customHeight="1" x14ac:dyDescent="0.25">
      <c r="A73" s="37"/>
      <c r="B73" s="37"/>
      <c r="C73" s="37"/>
      <c r="D73" s="37" t="s">
        <v>350</v>
      </c>
      <c r="E73" s="37"/>
    </row>
    <row r="74" spans="1:5" ht="18.75" customHeight="1" x14ac:dyDescent="0.25">
      <c r="A74" s="37"/>
      <c r="B74" s="37"/>
      <c r="C74" s="37"/>
      <c r="D74" s="37" t="s">
        <v>351</v>
      </c>
      <c r="E74" s="37"/>
    </row>
    <row r="75" spans="1:5" ht="18.75" customHeight="1" x14ac:dyDescent="0.25">
      <c r="A75" s="37"/>
      <c r="B75" s="37"/>
      <c r="C75" s="37"/>
      <c r="D75" s="37" t="s">
        <v>352</v>
      </c>
      <c r="E75" s="37"/>
    </row>
    <row r="76" spans="1:5" ht="18.75" customHeight="1" x14ac:dyDescent="0.25">
      <c r="A76" s="37"/>
      <c r="B76" s="37"/>
      <c r="C76" s="37"/>
      <c r="D76" s="37" t="s">
        <v>353</v>
      </c>
      <c r="E76" s="37"/>
    </row>
    <row r="77" spans="1:5" ht="18.75" customHeight="1" x14ac:dyDescent="0.25">
      <c r="A77" s="37"/>
      <c r="B77" s="37"/>
      <c r="C77" s="37"/>
      <c r="D77" s="37" t="s">
        <v>354</v>
      </c>
      <c r="E77" s="37"/>
    </row>
    <row r="78" spans="1:5" ht="18.75" customHeight="1" x14ac:dyDescent="0.25">
      <c r="A78" s="37"/>
      <c r="B78" s="37"/>
      <c r="C78" s="37"/>
      <c r="D78" s="37" t="s">
        <v>355</v>
      </c>
      <c r="E78" s="37"/>
    </row>
    <row r="79" spans="1:5" ht="18.75" customHeight="1" x14ac:dyDescent="0.25">
      <c r="A79" s="37"/>
      <c r="B79" s="37"/>
      <c r="C79" s="37"/>
      <c r="D79" s="37" t="s">
        <v>356</v>
      </c>
      <c r="E79" s="37"/>
    </row>
    <row r="80" spans="1:5" ht="18.75" customHeight="1" x14ac:dyDescent="0.25">
      <c r="A80" s="37"/>
      <c r="B80" s="37"/>
      <c r="C80" s="37"/>
      <c r="D80" s="37" t="s">
        <v>357</v>
      </c>
      <c r="E80" s="37"/>
    </row>
    <row r="81" spans="1:5" ht="18.75" customHeight="1" x14ac:dyDescent="0.25">
      <c r="A81" s="37"/>
      <c r="B81" s="37"/>
      <c r="C81" s="37"/>
      <c r="D81" s="37" t="s">
        <v>358</v>
      </c>
      <c r="E81" s="37"/>
    </row>
    <row r="82" spans="1:5" ht="18.75" customHeight="1" x14ac:dyDescent="0.25">
      <c r="A82" s="37"/>
      <c r="B82" s="37"/>
      <c r="C82" s="37"/>
      <c r="D82" s="37" t="s">
        <v>359</v>
      </c>
      <c r="E82" s="37"/>
    </row>
    <row r="83" spans="1:5" ht="18.75" customHeight="1" x14ac:dyDescent="0.25">
      <c r="A83" s="37"/>
      <c r="B83" s="37"/>
      <c r="C83" s="37"/>
      <c r="D83" s="37" t="s">
        <v>360</v>
      </c>
      <c r="E83" s="37"/>
    </row>
    <row r="84" spans="1:5" ht="18.75" customHeight="1" x14ac:dyDescent="0.25">
      <c r="A84" s="37"/>
      <c r="B84" s="37"/>
      <c r="C84" s="37"/>
      <c r="D84" s="37" t="s">
        <v>361</v>
      </c>
      <c r="E84" s="37"/>
    </row>
    <row r="85" spans="1:5" ht="18.75" customHeight="1" x14ac:dyDescent="0.25">
      <c r="A85" s="37"/>
      <c r="B85" s="37"/>
      <c r="C85" s="37"/>
      <c r="D85" s="37" t="s">
        <v>362</v>
      </c>
      <c r="E85" s="37"/>
    </row>
    <row r="86" spans="1:5" ht="18.75" customHeight="1" x14ac:dyDescent="0.25">
      <c r="A86" s="37"/>
      <c r="B86" s="37"/>
      <c r="C86" s="37"/>
      <c r="D86" s="37" t="s">
        <v>363</v>
      </c>
      <c r="E86" s="37"/>
    </row>
    <row r="87" spans="1:5" ht="18.75" customHeight="1" x14ac:dyDescent="0.25">
      <c r="A87" s="37"/>
      <c r="B87" s="37"/>
      <c r="C87" s="37"/>
      <c r="D87" s="37" t="s">
        <v>364</v>
      </c>
      <c r="E87" s="37"/>
    </row>
    <row r="88" spans="1:5" ht="18.75" customHeight="1" x14ac:dyDescent="0.25">
      <c r="A88" s="37"/>
      <c r="B88" s="37"/>
      <c r="C88" s="37"/>
      <c r="D88" s="37" t="s">
        <v>365</v>
      </c>
      <c r="E88" s="37"/>
    </row>
    <row r="89" spans="1:5" ht="18.75" customHeight="1" x14ac:dyDescent="0.25">
      <c r="A89" s="37"/>
      <c r="B89" s="37"/>
      <c r="C89" s="37"/>
      <c r="D89" s="37" t="s">
        <v>366</v>
      </c>
      <c r="E89" s="37"/>
    </row>
    <row r="90" spans="1:5" ht="18.75" customHeight="1" x14ac:dyDescent="0.25">
      <c r="A90" s="37"/>
      <c r="B90" s="37"/>
      <c r="C90" s="37"/>
      <c r="D90" s="37" t="s">
        <v>367</v>
      </c>
      <c r="E90" s="37"/>
    </row>
    <row r="91" spans="1:5" ht="18.75" customHeight="1" x14ac:dyDescent="0.25">
      <c r="A91" s="37"/>
      <c r="B91" s="37"/>
      <c r="C91" s="37"/>
      <c r="D91" s="37" t="s">
        <v>368</v>
      </c>
      <c r="E91" s="37"/>
    </row>
    <row r="92" spans="1:5" ht="18.75" customHeight="1" x14ac:dyDescent="0.25">
      <c r="A92" s="37"/>
      <c r="B92" s="37"/>
      <c r="C92" s="37"/>
      <c r="D92" s="37" t="s">
        <v>369</v>
      </c>
      <c r="E92" s="37"/>
    </row>
    <row r="93" spans="1:5" ht="18.75" customHeight="1" x14ac:dyDescent="0.25">
      <c r="A93" s="37"/>
      <c r="B93" s="37"/>
      <c r="C93" s="37"/>
      <c r="D93" s="37" t="s">
        <v>370</v>
      </c>
      <c r="E93" s="37"/>
    </row>
    <row r="94" spans="1:5" ht="18.75" customHeight="1" x14ac:dyDescent="0.25">
      <c r="A94" s="37"/>
      <c r="B94" s="37"/>
      <c r="C94" s="37"/>
      <c r="D94" s="37" t="s">
        <v>371</v>
      </c>
      <c r="E94" s="37"/>
    </row>
    <row r="95" spans="1:5" ht="18.75" customHeight="1" x14ac:dyDescent="0.25">
      <c r="A95" s="37"/>
      <c r="B95" s="37"/>
      <c r="C95" s="37"/>
      <c r="D95" s="37" t="s">
        <v>372</v>
      </c>
      <c r="E95" s="37"/>
    </row>
    <row r="96" spans="1:5" ht="18.75" customHeight="1" x14ac:dyDescent="0.25">
      <c r="A96" s="37"/>
      <c r="B96" s="37"/>
      <c r="C96" s="37"/>
      <c r="D96" s="37" t="s">
        <v>373</v>
      </c>
      <c r="E96" s="37"/>
    </row>
    <row r="97" spans="1:5" ht="18.75" customHeight="1" x14ac:dyDescent="0.25">
      <c r="A97" s="37"/>
      <c r="B97" s="37"/>
      <c r="C97" s="37"/>
      <c r="D97" s="37" t="s">
        <v>374</v>
      </c>
      <c r="E97" s="37"/>
    </row>
    <row r="98" spans="1:5" ht="18.75" customHeight="1" x14ac:dyDescent="0.25">
      <c r="A98" s="37"/>
      <c r="B98" s="37"/>
      <c r="C98" s="37"/>
      <c r="D98" s="37" t="s">
        <v>375</v>
      </c>
      <c r="E98" s="37"/>
    </row>
    <row r="99" spans="1:5" ht="18.75" customHeight="1" x14ac:dyDescent="0.25">
      <c r="A99" s="37"/>
      <c r="B99" s="37"/>
      <c r="C99" s="37"/>
      <c r="D99" s="37" t="s">
        <v>376</v>
      </c>
      <c r="E99" s="37"/>
    </row>
    <row r="100" spans="1:5" ht="18.75" customHeight="1" x14ac:dyDescent="0.25">
      <c r="A100" s="37"/>
      <c r="B100" s="37"/>
      <c r="C100" s="37"/>
      <c r="D100" s="37" t="s">
        <v>377</v>
      </c>
      <c r="E100" s="37"/>
    </row>
    <row r="101" spans="1:5" ht="18.75" customHeight="1" x14ac:dyDescent="0.25">
      <c r="A101" s="37"/>
      <c r="B101" s="37"/>
      <c r="C101" s="37"/>
      <c r="D101" s="37" t="s">
        <v>378</v>
      </c>
      <c r="E101" s="37"/>
    </row>
    <row r="102" spans="1:5" ht="18.75" customHeight="1" x14ac:dyDescent="0.25">
      <c r="A102" s="37"/>
      <c r="B102" s="37"/>
      <c r="C102" s="37"/>
      <c r="D102" s="37" t="s">
        <v>379</v>
      </c>
      <c r="E102" s="37"/>
    </row>
    <row r="103" spans="1:5" ht="18.75" customHeight="1" x14ac:dyDescent="0.25">
      <c r="A103" s="37"/>
      <c r="B103" s="37"/>
      <c r="C103" s="37"/>
      <c r="D103" s="37" t="s">
        <v>380</v>
      </c>
      <c r="E103" s="37"/>
    </row>
    <row r="104" spans="1:5" ht="18.75" customHeight="1" x14ac:dyDescent="0.25">
      <c r="A104" s="37"/>
      <c r="B104" s="37"/>
      <c r="C104" s="37"/>
      <c r="D104" s="37" t="s">
        <v>381</v>
      </c>
      <c r="E104" s="37"/>
    </row>
    <row r="105" spans="1:5" ht="18.75" customHeight="1" x14ac:dyDescent="0.25">
      <c r="A105" s="37"/>
      <c r="B105" s="37"/>
      <c r="C105" s="37"/>
      <c r="D105" s="37" t="s">
        <v>382</v>
      </c>
      <c r="E105" s="37"/>
    </row>
    <row r="106" spans="1:5" ht="18.75" customHeight="1" x14ac:dyDescent="0.25">
      <c r="A106" s="37"/>
      <c r="B106" s="37"/>
      <c r="C106" s="37"/>
      <c r="D106" s="37" t="s">
        <v>383</v>
      </c>
      <c r="E106" s="37"/>
    </row>
    <row r="107" spans="1:5" ht="18.75" customHeight="1" x14ac:dyDescent="0.25">
      <c r="A107" s="37"/>
      <c r="B107" s="37"/>
      <c r="C107" s="37"/>
      <c r="D107" s="37" t="s">
        <v>384</v>
      </c>
      <c r="E107" s="37"/>
    </row>
    <row r="108" spans="1:5" ht="18.75" customHeight="1" x14ac:dyDescent="0.25">
      <c r="A108" s="37"/>
      <c r="B108" s="37"/>
      <c r="C108" s="37"/>
      <c r="D108" s="37" t="s">
        <v>385</v>
      </c>
      <c r="E108" s="37"/>
    </row>
    <row r="109" spans="1:5" ht="18.75" customHeight="1" x14ac:dyDescent="0.25">
      <c r="A109" s="37"/>
      <c r="B109" s="37"/>
      <c r="C109" s="37"/>
      <c r="D109" s="37" t="s">
        <v>386</v>
      </c>
      <c r="E109" s="37"/>
    </row>
    <row r="110" spans="1:5" ht="18.75" customHeight="1" x14ac:dyDescent="0.25">
      <c r="A110" s="37"/>
      <c r="B110" s="37"/>
      <c r="C110" s="37"/>
      <c r="D110" s="37" t="s">
        <v>387</v>
      </c>
      <c r="E110" s="37"/>
    </row>
    <row r="111" spans="1:5" ht="18.75" customHeight="1" x14ac:dyDescent="0.25">
      <c r="A111" s="37"/>
      <c r="B111" s="37"/>
      <c r="C111" s="37"/>
      <c r="D111" s="37" t="s">
        <v>388</v>
      </c>
      <c r="E111" s="37"/>
    </row>
    <row r="112" spans="1:5" ht="18.75" customHeight="1" x14ac:dyDescent="0.25">
      <c r="A112" s="37"/>
      <c r="B112" s="37"/>
      <c r="C112" s="37"/>
      <c r="D112" s="37" t="s">
        <v>389</v>
      </c>
      <c r="E112" s="37"/>
    </row>
    <row r="113" spans="1:5" ht="18.75" customHeight="1" x14ac:dyDescent="0.25">
      <c r="A113" s="37"/>
      <c r="B113" s="37"/>
      <c r="C113" s="37"/>
      <c r="D113" s="37" t="s">
        <v>390</v>
      </c>
      <c r="E113" s="37"/>
    </row>
    <row r="114" spans="1:5" ht="18.75" customHeight="1" x14ac:dyDescent="0.25">
      <c r="A114" s="37"/>
      <c r="B114" s="37"/>
      <c r="C114" s="37"/>
      <c r="D114" s="37" t="s">
        <v>391</v>
      </c>
      <c r="E114" s="37"/>
    </row>
    <row r="115" spans="1:5" ht="18.75" customHeight="1" x14ac:dyDescent="0.25">
      <c r="A115" s="37"/>
      <c r="B115" s="37"/>
      <c r="C115" s="37"/>
      <c r="D115" s="37" t="s">
        <v>392</v>
      </c>
      <c r="E115" s="37"/>
    </row>
    <row r="116" spans="1:5" ht="18.75" customHeight="1" x14ac:dyDescent="0.25">
      <c r="A116" s="37"/>
      <c r="B116" s="37"/>
      <c r="C116" s="37"/>
      <c r="D116" s="37" t="s">
        <v>393</v>
      </c>
      <c r="E116" s="37"/>
    </row>
    <row r="117" spans="1:5" ht="18.75" customHeight="1" x14ac:dyDescent="0.25">
      <c r="A117" s="37"/>
      <c r="B117" s="37"/>
      <c r="C117" s="37"/>
      <c r="D117" s="37" t="s">
        <v>394</v>
      </c>
      <c r="E117" s="37"/>
    </row>
    <row r="118" spans="1:5" ht="18.75" customHeight="1" x14ac:dyDescent="0.25">
      <c r="A118" s="37"/>
      <c r="B118" s="37"/>
      <c r="C118" s="37"/>
      <c r="D118" s="37" t="s">
        <v>395</v>
      </c>
      <c r="E118" s="37"/>
    </row>
    <row r="119" spans="1:5" ht="18.75" customHeight="1" x14ac:dyDescent="0.25">
      <c r="A119" s="37"/>
      <c r="B119" s="37"/>
      <c r="C119" s="37"/>
      <c r="D119" s="37" t="s">
        <v>396</v>
      </c>
      <c r="E119" s="37"/>
    </row>
    <row r="120" spans="1:5" ht="18.75" customHeight="1" x14ac:dyDescent="0.25">
      <c r="A120" s="37"/>
      <c r="B120" s="37"/>
      <c r="C120" s="37"/>
      <c r="D120" s="37" t="s">
        <v>397</v>
      </c>
      <c r="E120" s="37"/>
    </row>
    <row r="121" spans="1:5" ht="18.75" customHeight="1" x14ac:dyDescent="0.25">
      <c r="A121" s="37"/>
      <c r="B121" s="37"/>
      <c r="C121" s="37"/>
      <c r="D121" s="37" t="s">
        <v>398</v>
      </c>
      <c r="E121" s="37"/>
    </row>
    <row r="122" spans="1:5" ht="18.75" customHeight="1" x14ac:dyDescent="0.25">
      <c r="A122" s="37"/>
      <c r="B122" s="37"/>
      <c r="C122" s="37"/>
      <c r="D122" s="37" t="s">
        <v>399</v>
      </c>
      <c r="E122" s="37"/>
    </row>
    <row r="123" spans="1:5" ht="18.75" customHeight="1" x14ac:dyDescent="0.25">
      <c r="A123" s="37"/>
      <c r="B123" s="37"/>
      <c r="C123" s="37"/>
      <c r="D123" s="37" t="s">
        <v>400</v>
      </c>
      <c r="E123" s="37"/>
    </row>
    <row r="124" spans="1:5" ht="18.75" customHeight="1" x14ac:dyDescent="0.25">
      <c r="A124" s="37"/>
      <c r="B124" s="37"/>
      <c r="C124" s="37"/>
      <c r="D124" s="37" t="s">
        <v>401</v>
      </c>
      <c r="E124" s="37"/>
    </row>
    <row r="125" spans="1:5" ht="18.75" customHeight="1" x14ac:dyDescent="0.25">
      <c r="A125" s="37"/>
      <c r="B125" s="37"/>
      <c r="C125" s="37"/>
      <c r="D125" s="37" t="s">
        <v>402</v>
      </c>
      <c r="E125" s="37"/>
    </row>
    <row r="126" spans="1:5" ht="18.75" customHeight="1" x14ac:dyDescent="0.25">
      <c r="A126" s="37"/>
      <c r="B126" s="37"/>
      <c r="C126" s="37"/>
      <c r="D126" s="37" t="s">
        <v>403</v>
      </c>
      <c r="E126" s="37"/>
    </row>
    <row r="127" spans="1:5" ht="18.75" customHeight="1" x14ac:dyDescent="0.25">
      <c r="A127" s="37"/>
      <c r="B127" s="37"/>
      <c r="C127" s="37"/>
      <c r="D127" s="37" t="s">
        <v>404</v>
      </c>
      <c r="E127" s="37"/>
    </row>
    <row r="128" spans="1:5" ht="18.75" customHeight="1" x14ac:dyDescent="0.25">
      <c r="A128" s="37"/>
      <c r="B128" s="37"/>
      <c r="C128" s="37"/>
      <c r="D128" s="37" t="s">
        <v>405</v>
      </c>
      <c r="E128" s="37"/>
    </row>
    <row r="129" spans="1:5" ht="18.75" customHeight="1" x14ac:dyDescent="0.25">
      <c r="A129" s="37"/>
      <c r="B129" s="37"/>
      <c r="C129" s="37"/>
      <c r="D129" s="37" t="s">
        <v>406</v>
      </c>
      <c r="E129" s="37"/>
    </row>
    <row r="130" spans="1:5" ht="18.75" customHeight="1" x14ac:dyDescent="0.25">
      <c r="A130" s="37"/>
      <c r="B130" s="37"/>
      <c r="C130" s="37"/>
      <c r="D130" s="37" t="s">
        <v>407</v>
      </c>
      <c r="E130" s="37"/>
    </row>
    <row r="131" spans="1:5" ht="18.75" customHeight="1" x14ac:dyDescent="0.25">
      <c r="A131" s="37"/>
      <c r="B131" s="37"/>
      <c r="C131" s="37"/>
      <c r="D131" s="37" t="s">
        <v>408</v>
      </c>
      <c r="E131" s="37"/>
    </row>
    <row r="132" spans="1:5" ht="18.75" customHeight="1" x14ac:dyDescent="0.25">
      <c r="A132" s="37"/>
      <c r="B132" s="37"/>
      <c r="C132" s="37"/>
      <c r="D132" s="37" t="s">
        <v>409</v>
      </c>
      <c r="E132" s="37"/>
    </row>
    <row r="133" spans="1:5" ht="18.75" customHeight="1" x14ac:dyDescent="0.25">
      <c r="A133" s="37"/>
      <c r="B133" s="37"/>
      <c r="C133" s="37"/>
      <c r="D133" s="37" t="s">
        <v>410</v>
      </c>
      <c r="E133" s="37"/>
    </row>
    <row r="134" spans="1:5" ht="18.75" customHeight="1" x14ac:dyDescent="0.25">
      <c r="A134" s="37"/>
      <c r="B134" s="37"/>
      <c r="C134" s="37"/>
      <c r="D134" s="37" t="s">
        <v>411</v>
      </c>
      <c r="E134" s="37"/>
    </row>
    <row r="135" spans="1:5" ht="18.75" customHeight="1" x14ac:dyDescent="0.25">
      <c r="A135" s="37"/>
      <c r="B135" s="37"/>
      <c r="C135" s="37"/>
      <c r="D135" s="37" t="s">
        <v>412</v>
      </c>
      <c r="E135" s="37"/>
    </row>
    <row r="136" spans="1:5" ht="18.75" customHeight="1" x14ac:dyDescent="0.25">
      <c r="A136" s="37"/>
      <c r="B136" s="37"/>
      <c r="C136" s="37"/>
      <c r="D136" s="37" t="s">
        <v>413</v>
      </c>
      <c r="E136" s="37"/>
    </row>
    <row r="137" spans="1:5" ht="18.75" customHeight="1" x14ac:dyDescent="0.25">
      <c r="A137" s="37"/>
      <c r="B137" s="37"/>
      <c r="C137" s="37"/>
      <c r="D137" s="37" t="s">
        <v>414</v>
      </c>
      <c r="E137" s="37"/>
    </row>
    <row r="138" spans="1:5" ht="18.75" customHeight="1" x14ac:dyDescent="0.25">
      <c r="A138" s="37"/>
      <c r="B138" s="37"/>
      <c r="C138" s="37"/>
      <c r="D138" s="37" t="s">
        <v>415</v>
      </c>
      <c r="E138" s="37"/>
    </row>
    <row r="139" spans="1:5" ht="18.75" customHeight="1" x14ac:dyDescent="0.25">
      <c r="A139" s="37"/>
      <c r="B139" s="37"/>
      <c r="C139" s="37"/>
      <c r="D139" s="37" t="s">
        <v>416</v>
      </c>
      <c r="E139" s="37"/>
    </row>
    <row r="140" spans="1:5" ht="18.75" customHeight="1" x14ac:dyDescent="0.25">
      <c r="A140" s="37"/>
      <c r="B140" s="37"/>
      <c r="C140" s="37"/>
      <c r="D140" s="37" t="s">
        <v>417</v>
      </c>
      <c r="E140" s="37"/>
    </row>
    <row r="141" spans="1:5" ht="18.75" customHeight="1" x14ac:dyDescent="0.25">
      <c r="A141" s="37"/>
      <c r="B141" s="37"/>
      <c r="C141" s="37"/>
      <c r="D141" s="37" t="s">
        <v>418</v>
      </c>
      <c r="E141" s="37"/>
    </row>
    <row r="142" spans="1:5" ht="18.75" customHeight="1" x14ac:dyDescent="0.25">
      <c r="A142" s="37"/>
      <c r="B142" s="37"/>
      <c r="C142" s="37"/>
      <c r="D142" s="37" t="s">
        <v>419</v>
      </c>
      <c r="E142" s="37"/>
    </row>
    <row r="143" spans="1:5" ht="18.75" customHeight="1" x14ac:dyDescent="0.25">
      <c r="A143" s="37"/>
      <c r="B143" s="37"/>
      <c r="C143" s="37"/>
      <c r="D143" s="37" t="s">
        <v>420</v>
      </c>
      <c r="E143" s="37"/>
    </row>
    <row r="144" spans="1:5" ht="18.75" customHeight="1" x14ac:dyDescent="0.25">
      <c r="A144" s="37"/>
      <c r="B144" s="37"/>
      <c r="C144" s="37"/>
      <c r="D144" s="37" t="s">
        <v>421</v>
      </c>
      <c r="E144" s="37"/>
    </row>
    <row r="145" spans="1:5" ht="18.75" customHeight="1" x14ac:dyDescent="0.25">
      <c r="A145" s="37"/>
      <c r="B145" s="37"/>
      <c r="C145" s="37"/>
      <c r="D145" s="37" t="s">
        <v>422</v>
      </c>
      <c r="E145" s="37"/>
    </row>
    <row r="146" spans="1:5" ht="18.75" customHeight="1" x14ac:dyDescent="0.25">
      <c r="A146" s="37"/>
      <c r="B146" s="37"/>
      <c r="C146" s="37"/>
      <c r="D146" s="37" t="s">
        <v>423</v>
      </c>
      <c r="E146" s="37"/>
    </row>
    <row r="147" spans="1:5" ht="18.75" customHeight="1" x14ac:dyDescent="0.25">
      <c r="A147" s="37"/>
      <c r="B147" s="37"/>
      <c r="C147" s="37"/>
      <c r="D147" s="37" t="s">
        <v>424</v>
      </c>
      <c r="E147" s="37"/>
    </row>
    <row r="148" spans="1:5" ht="18.75" customHeight="1" x14ac:dyDescent="0.25">
      <c r="A148" s="37"/>
      <c r="B148" s="37"/>
      <c r="C148" s="37"/>
      <c r="D148" s="37" t="s">
        <v>425</v>
      </c>
      <c r="E148" s="37"/>
    </row>
    <row r="149" spans="1:5" ht="18.75" customHeight="1" x14ac:dyDescent="0.25">
      <c r="A149" s="37"/>
      <c r="B149" s="37"/>
      <c r="C149" s="37"/>
      <c r="D149" s="37" t="s">
        <v>426</v>
      </c>
      <c r="E149" s="37"/>
    </row>
    <row r="150" spans="1:5" ht="18.75" customHeight="1" x14ac:dyDescent="0.25">
      <c r="A150" s="37"/>
      <c r="B150" s="37"/>
      <c r="C150" s="37"/>
      <c r="D150" s="37" t="s">
        <v>427</v>
      </c>
      <c r="E150" s="37"/>
    </row>
    <row r="151" spans="1:5" ht="18.75" customHeight="1" x14ac:dyDescent="0.25">
      <c r="A151" s="37"/>
      <c r="B151" s="37"/>
      <c r="C151" s="37"/>
      <c r="D151" s="37" t="s">
        <v>428</v>
      </c>
      <c r="E151" s="37"/>
    </row>
    <row r="152" spans="1:5" ht="18.75" customHeight="1" x14ac:dyDescent="0.25">
      <c r="A152" s="37"/>
      <c r="B152" s="37"/>
      <c r="C152" s="37"/>
      <c r="D152" s="37" t="s">
        <v>429</v>
      </c>
      <c r="E152" s="37"/>
    </row>
    <row r="153" spans="1:5" ht="18.75" customHeight="1" x14ac:dyDescent="0.25">
      <c r="A153" s="37"/>
      <c r="B153" s="37"/>
      <c r="C153" s="37"/>
      <c r="D153" s="37" t="s">
        <v>430</v>
      </c>
      <c r="E153" s="37"/>
    </row>
    <row r="154" spans="1:5" ht="18.75" customHeight="1" x14ac:dyDescent="0.25">
      <c r="A154" s="37"/>
      <c r="B154" s="37"/>
      <c r="C154" s="37"/>
      <c r="D154" s="37" t="s">
        <v>431</v>
      </c>
      <c r="E154" s="37"/>
    </row>
    <row r="155" spans="1:5" ht="18.75" customHeight="1" x14ac:dyDescent="0.25">
      <c r="A155" s="37"/>
      <c r="B155" s="37"/>
      <c r="C155" s="37"/>
      <c r="D155" s="37" t="s">
        <v>432</v>
      </c>
      <c r="E155" s="37"/>
    </row>
    <row r="156" spans="1:5" ht="18.75" customHeight="1" x14ac:dyDescent="0.25">
      <c r="A156" s="37"/>
      <c r="B156" s="37"/>
      <c r="C156" s="37"/>
      <c r="D156" s="37" t="s">
        <v>433</v>
      </c>
      <c r="E156" s="37"/>
    </row>
    <row r="157" spans="1:5" ht="18.75" customHeight="1" x14ac:dyDescent="0.25">
      <c r="A157" s="37"/>
      <c r="B157" s="37"/>
      <c r="C157" s="37"/>
      <c r="D157" s="37" t="s">
        <v>434</v>
      </c>
      <c r="E157" s="37"/>
    </row>
    <row r="158" spans="1:5" ht="18.75" customHeight="1" x14ac:dyDescent="0.25">
      <c r="A158" s="37"/>
      <c r="B158" s="37"/>
      <c r="C158" s="37"/>
      <c r="D158" s="37" t="s">
        <v>435</v>
      </c>
      <c r="E158" s="37"/>
    </row>
    <row r="159" spans="1:5" ht="18.75" customHeight="1" x14ac:dyDescent="0.25">
      <c r="A159" s="37"/>
      <c r="B159" s="37"/>
      <c r="C159" s="37"/>
      <c r="D159" s="37" t="s">
        <v>436</v>
      </c>
      <c r="E159" s="37"/>
    </row>
    <row r="160" spans="1:5" ht="18.75" customHeight="1" x14ac:dyDescent="0.25">
      <c r="A160" s="37"/>
      <c r="B160" s="37"/>
      <c r="C160" s="37"/>
      <c r="D160" s="37" t="s">
        <v>437</v>
      </c>
      <c r="E160" s="37"/>
    </row>
    <row r="161" spans="1:5" ht="18.75" customHeight="1" x14ac:dyDescent="0.25">
      <c r="A161" s="37"/>
      <c r="B161" s="37"/>
      <c r="C161" s="37"/>
      <c r="D161" s="37" t="s">
        <v>438</v>
      </c>
      <c r="E161" s="37"/>
    </row>
    <row r="162" spans="1:5" ht="18.75" customHeight="1" x14ac:dyDescent="0.25">
      <c r="A162" s="37"/>
      <c r="B162" s="37"/>
      <c r="C162" s="37"/>
      <c r="D162" s="37" t="s">
        <v>439</v>
      </c>
      <c r="E162" s="37"/>
    </row>
    <row r="163" spans="1:5" ht="18.75" customHeight="1" x14ac:dyDescent="0.25">
      <c r="A163" s="37"/>
      <c r="B163" s="37"/>
      <c r="C163" s="37"/>
      <c r="D163" s="37" t="s">
        <v>440</v>
      </c>
      <c r="E163" s="37"/>
    </row>
    <row r="164" spans="1:5" ht="18.75" customHeight="1" x14ac:dyDescent="0.25">
      <c r="A164" s="37"/>
      <c r="B164" s="37"/>
      <c r="C164" s="37"/>
      <c r="D164" s="37" t="s">
        <v>441</v>
      </c>
      <c r="E164" s="37"/>
    </row>
    <row r="165" spans="1:5" ht="18.75" customHeight="1" x14ac:dyDescent="0.25">
      <c r="A165" s="37"/>
      <c r="B165" s="37"/>
      <c r="C165" s="37"/>
      <c r="D165" s="37" t="s">
        <v>442</v>
      </c>
      <c r="E165" s="37"/>
    </row>
    <row r="166" spans="1:5" ht="18.75" customHeight="1" x14ac:dyDescent="0.25">
      <c r="A166" s="37"/>
      <c r="B166" s="37"/>
      <c r="C166" s="37"/>
      <c r="D166" s="37" t="s">
        <v>443</v>
      </c>
      <c r="E166" s="37"/>
    </row>
    <row r="167" spans="1:5" ht="18.75" customHeight="1" x14ac:dyDescent="0.25">
      <c r="A167" s="37"/>
      <c r="B167" s="37"/>
      <c r="C167" s="37"/>
      <c r="D167" s="37" t="s">
        <v>444</v>
      </c>
      <c r="E167" s="37"/>
    </row>
    <row r="168" spans="1:5" ht="18.75" customHeight="1" x14ac:dyDescent="0.25">
      <c r="A168" s="37"/>
      <c r="B168" s="37"/>
      <c r="C168" s="37"/>
      <c r="D168" s="37" t="s">
        <v>445</v>
      </c>
      <c r="E168" s="37"/>
    </row>
    <row r="169" spans="1:5" ht="18.75" customHeight="1" x14ac:dyDescent="0.25">
      <c r="A169" s="37"/>
      <c r="B169" s="37"/>
      <c r="C169" s="37"/>
      <c r="D169" s="37" t="s">
        <v>446</v>
      </c>
      <c r="E169" s="37"/>
    </row>
    <row r="170" spans="1:5" ht="18.75" customHeight="1" x14ac:dyDescent="0.25">
      <c r="A170" s="37"/>
      <c r="B170" s="37"/>
      <c r="C170" s="37"/>
      <c r="D170" s="37" t="s">
        <v>447</v>
      </c>
      <c r="E170" s="37"/>
    </row>
    <row r="171" spans="1:5" ht="18.75" customHeight="1" x14ac:dyDescent="0.25">
      <c r="A171" s="37"/>
      <c r="B171" s="37"/>
      <c r="C171" s="37"/>
      <c r="D171" s="37" t="s">
        <v>448</v>
      </c>
      <c r="E171" s="37"/>
    </row>
    <row r="172" spans="1:5" ht="18.75" customHeight="1" x14ac:dyDescent="0.25">
      <c r="A172" s="37"/>
      <c r="B172" s="37"/>
      <c r="C172" s="37"/>
      <c r="D172" s="37" t="s">
        <v>449</v>
      </c>
      <c r="E172" s="37"/>
    </row>
    <row r="173" spans="1:5" ht="18.75" customHeight="1" x14ac:dyDescent="0.25">
      <c r="A173" s="37"/>
      <c r="B173" s="37"/>
      <c r="C173" s="37"/>
      <c r="D173" s="37" t="s">
        <v>450</v>
      </c>
      <c r="E173" s="37"/>
    </row>
    <row r="174" spans="1:5" ht="18.75" customHeight="1" x14ac:dyDescent="0.25">
      <c r="A174" s="37"/>
      <c r="B174" s="37"/>
      <c r="C174" s="37"/>
      <c r="D174" s="37" t="s">
        <v>451</v>
      </c>
      <c r="E174" s="37"/>
    </row>
    <row r="175" spans="1:5" ht="18.75" customHeight="1" x14ac:dyDescent="0.25">
      <c r="A175" s="37"/>
      <c r="B175" s="37"/>
      <c r="C175" s="37"/>
      <c r="D175" s="37" t="s">
        <v>452</v>
      </c>
      <c r="E175" s="37"/>
    </row>
    <row r="176" spans="1:5" ht="18.75" customHeight="1" x14ac:dyDescent="0.25">
      <c r="A176" s="37"/>
      <c r="B176" s="37"/>
      <c r="C176" s="37"/>
      <c r="D176" s="37" t="s">
        <v>453</v>
      </c>
      <c r="E176" s="37"/>
    </row>
    <row r="177" spans="1:5" ht="18.75" customHeight="1" x14ac:dyDescent="0.25">
      <c r="A177" s="37"/>
      <c r="B177" s="37"/>
      <c r="C177" s="37"/>
      <c r="D177" s="37" t="s">
        <v>454</v>
      </c>
      <c r="E177" s="37"/>
    </row>
    <row r="178" spans="1:5" ht="18.75" customHeight="1" x14ac:dyDescent="0.25">
      <c r="A178" s="37"/>
      <c r="B178" s="37"/>
      <c r="C178" s="37"/>
      <c r="D178" s="37" t="s">
        <v>455</v>
      </c>
      <c r="E178" s="37"/>
    </row>
    <row r="179" spans="1:5" ht="18.75" customHeight="1" x14ac:dyDescent="0.25">
      <c r="A179" s="37"/>
      <c r="B179" s="37"/>
      <c r="C179" s="37"/>
      <c r="D179" s="37" t="s">
        <v>456</v>
      </c>
      <c r="E179" s="37"/>
    </row>
    <row r="180" spans="1:5" ht="18.75" customHeight="1" x14ac:dyDescent="0.25">
      <c r="A180" s="37"/>
      <c r="B180" s="37"/>
      <c r="C180" s="37"/>
      <c r="D180" s="37" t="s">
        <v>457</v>
      </c>
      <c r="E180" s="37"/>
    </row>
    <row r="181" spans="1:5" ht="18.75" customHeight="1" x14ac:dyDescent="0.25">
      <c r="A181" s="37"/>
      <c r="B181" s="37"/>
      <c r="C181" s="37"/>
      <c r="D181" s="37" t="s">
        <v>458</v>
      </c>
      <c r="E181" s="37"/>
    </row>
    <row r="182" spans="1:5" ht="18.75" customHeight="1" x14ac:dyDescent="0.25">
      <c r="A182" s="37"/>
      <c r="B182" s="37"/>
      <c r="C182" s="37"/>
      <c r="D182" s="37" t="s">
        <v>459</v>
      </c>
      <c r="E182" s="37"/>
    </row>
    <row r="183" spans="1:5" ht="18.75" customHeight="1" x14ac:dyDescent="0.25">
      <c r="A183" s="37"/>
      <c r="B183" s="37"/>
      <c r="C183" s="37"/>
      <c r="D183" s="37" t="s">
        <v>460</v>
      </c>
      <c r="E183" s="37"/>
    </row>
    <row r="184" spans="1:5" ht="18.75" customHeight="1" x14ac:dyDescent="0.25">
      <c r="A184" s="37"/>
      <c r="B184" s="37"/>
      <c r="C184" s="37"/>
      <c r="D184" s="37" t="s">
        <v>461</v>
      </c>
      <c r="E184" s="37"/>
    </row>
    <row r="185" spans="1:5" ht="18.75" customHeight="1" x14ac:dyDescent="0.25">
      <c r="A185" s="37"/>
      <c r="B185" s="37"/>
      <c r="C185" s="37"/>
      <c r="D185" s="37" t="s">
        <v>462</v>
      </c>
      <c r="E185" s="37"/>
    </row>
    <row r="186" spans="1:5" ht="18.75" customHeight="1" x14ac:dyDescent="0.25">
      <c r="A186" s="37"/>
      <c r="B186" s="37"/>
      <c r="C186" s="37"/>
      <c r="D186" s="37" t="s">
        <v>463</v>
      </c>
      <c r="E186" s="37"/>
    </row>
    <row r="187" spans="1:5" ht="18.75" customHeight="1" x14ac:dyDescent="0.25">
      <c r="A187" s="37"/>
      <c r="B187" s="37"/>
      <c r="C187" s="37"/>
      <c r="D187" s="37" t="s">
        <v>464</v>
      </c>
      <c r="E187" s="37"/>
    </row>
    <row r="188" spans="1:5" ht="18.75" customHeight="1" x14ac:dyDescent="0.25">
      <c r="A188" s="37"/>
      <c r="B188" s="37"/>
      <c r="C188" s="37"/>
      <c r="D188" s="37" t="s">
        <v>465</v>
      </c>
      <c r="E188" s="37"/>
    </row>
    <row r="189" spans="1:5" ht="18.75" customHeight="1" x14ac:dyDescent="0.25">
      <c r="A189" s="37"/>
      <c r="B189" s="37"/>
      <c r="C189" s="37"/>
      <c r="D189" s="37" t="s">
        <v>466</v>
      </c>
      <c r="E189" s="37"/>
    </row>
    <row r="190" spans="1:5" ht="18.75" customHeight="1" x14ac:dyDescent="0.25">
      <c r="A190" s="37"/>
      <c r="B190" s="37"/>
      <c r="C190" s="37"/>
      <c r="D190" s="37" t="s">
        <v>467</v>
      </c>
      <c r="E190" s="37"/>
    </row>
    <row r="191" spans="1:5" ht="18.75" customHeight="1" x14ac:dyDescent="0.25">
      <c r="A191" s="37"/>
      <c r="B191" s="37"/>
      <c r="C191" s="37"/>
      <c r="D191" s="37" t="s">
        <v>468</v>
      </c>
      <c r="E191" s="37"/>
    </row>
    <row r="192" spans="1:5" ht="18.75" customHeight="1" x14ac:dyDescent="0.25">
      <c r="A192" s="37"/>
      <c r="B192" s="37"/>
      <c r="C192" s="37"/>
      <c r="D192" s="37" t="s">
        <v>469</v>
      </c>
      <c r="E192" s="37"/>
    </row>
    <row r="193" spans="1:5" ht="18.75" customHeight="1" x14ac:dyDescent="0.25">
      <c r="A193" s="37"/>
      <c r="B193" s="37"/>
      <c r="C193" s="37"/>
      <c r="D193" s="37" t="s">
        <v>470</v>
      </c>
      <c r="E193" s="37"/>
    </row>
    <row r="194" spans="1:5" ht="18.75" customHeight="1" x14ac:dyDescent="0.25">
      <c r="A194" s="37"/>
      <c r="B194" s="37"/>
      <c r="C194" s="37"/>
      <c r="D194" s="37" t="s">
        <v>471</v>
      </c>
      <c r="E194" s="37"/>
    </row>
    <row r="195" spans="1:5" ht="18.75" customHeight="1" x14ac:dyDescent="0.25">
      <c r="A195" s="37"/>
      <c r="B195" s="37"/>
      <c r="C195" s="37"/>
      <c r="D195" s="37" t="s">
        <v>472</v>
      </c>
      <c r="E195" s="37"/>
    </row>
    <row r="196" spans="1:5" ht="18.75" customHeight="1" x14ac:dyDescent="0.25">
      <c r="A196" s="37"/>
      <c r="B196" s="37"/>
      <c r="C196" s="37"/>
      <c r="D196" s="37" t="s">
        <v>473</v>
      </c>
      <c r="E196" s="37"/>
    </row>
    <row r="197" spans="1:5" ht="18.75" customHeight="1" x14ac:dyDescent="0.25">
      <c r="A197" s="37"/>
      <c r="B197" s="37"/>
      <c r="C197" s="37"/>
      <c r="D197" s="37" t="s">
        <v>474</v>
      </c>
      <c r="E197" s="37"/>
    </row>
    <row r="198" spans="1:5" ht="18.75" customHeight="1" x14ac:dyDescent="0.25">
      <c r="A198" s="37"/>
      <c r="B198" s="37"/>
      <c r="C198" s="37"/>
      <c r="D198" s="37" t="s">
        <v>475</v>
      </c>
      <c r="E198" s="37"/>
    </row>
    <row r="199" spans="1:5" ht="18.75" customHeight="1" x14ac:dyDescent="0.25">
      <c r="A199" s="37"/>
      <c r="B199" s="37"/>
      <c r="C199" s="37"/>
      <c r="D199" s="37" t="s">
        <v>476</v>
      </c>
      <c r="E199" s="37"/>
    </row>
    <row r="200" spans="1:5" ht="18.75" customHeight="1" x14ac:dyDescent="0.25">
      <c r="A200" s="37"/>
      <c r="B200" s="37"/>
      <c r="C200" s="37"/>
      <c r="D200" s="37" t="s">
        <v>477</v>
      </c>
      <c r="E200" s="37"/>
    </row>
    <row r="201" spans="1:5" ht="18.75" customHeight="1" x14ac:dyDescent="0.25">
      <c r="A201" s="37"/>
      <c r="B201" s="37"/>
      <c r="C201" s="37"/>
      <c r="D201" s="37" t="s">
        <v>478</v>
      </c>
      <c r="E201" s="37"/>
    </row>
    <row r="202" spans="1:5" ht="18.75" customHeight="1" x14ac:dyDescent="0.25">
      <c r="A202" s="37"/>
      <c r="B202" s="37"/>
      <c r="C202" s="37"/>
      <c r="D202" s="37" t="s">
        <v>479</v>
      </c>
      <c r="E202" s="37"/>
    </row>
    <row r="203" spans="1:5" ht="18.75" customHeight="1" x14ac:dyDescent="0.25">
      <c r="A203" s="37"/>
      <c r="B203" s="37"/>
      <c r="C203" s="37"/>
      <c r="D203" s="37" t="s">
        <v>480</v>
      </c>
      <c r="E203" s="37"/>
    </row>
    <row r="204" spans="1:5" ht="18.75" customHeight="1" x14ac:dyDescent="0.25">
      <c r="A204" s="37"/>
      <c r="B204" s="37"/>
      <c r="C204" s="37"/>
      <c r="D204" s="37" t="s">
        <v>481</v>
      </c>
      <c r="E204" s="37"/>
    </row>
    <row r="205" spans="1:5" ht="18.75" customHeight="1" x14ac:dyDescent="0.25">
      <c r="A205" s="37"/>
      <c r="B205" s="37"/>
      <c r="C205" s="37"/>
      <c r="D205" s="37" t="s">
        <v>482</v>
      </c>
      <c r="E205" s="37"/>
    </row>
    <row r="206" spans="1:5" ht="18.75" customHeight="1" x14ac:dyDescent="0.25">
      <c r="A206" s="37"/>
      <c r="B206" s="37"/>
      <c r="C206" s="37"/>
      <c r="D206" s="37" t="s">
        <v>483</v>
      </c>
      <c r="E206" s="37"/>
    </row>
    <row r="207" spans="1:5" ht="18.75" customHeight="1" x14ac:dyDescent="0.25">
      <c r="A207" s="37"/>
      <c r="B207" s="37"/>
      <c r="C207" s="37"/>
      <c r="D207" s="37" t="s">
        <v>484</v>
      </c>
      <c r="E207" s="37"/>
    </row>
    <row r="208" spans="1:5" ht="18.75" customHeight="1" x14ac:dyDescent="0.25">
      <c r="A208" s="37"/>
      <c r="B208" s="37"/>
      <c r="C208" s="37"/>
      <c r="D208" s="37" t="s">
        <v>485</v>
      </c>
      <c r="E208" s="37"/>
    </row>
    <row r="209" spans="1:5" ht="18.75" customHeight="1" x14ac:dyDescent="0.25">
      <c r="A209" s="37"/>
      <c r="B209" s="37"/>
      <c r="C209" s="37"/>
      <c r="D209" s="37" t="s">
        <v>486</v>
      </c>
      <c r="E209" s="37"/>
    </row>
    <row r="210" spans="1:5" ht="18.75" customHeight="1" x14ac:dyDescent="0.25">
      <c r="A210" s="37"/>
      <c r="B210" s="37"/>
      <c r="C210" s="37"/>
      <c r="D210" s="37" t="s">
        <v>487</v>
      </c>
      <c r="E210" s="37"/>
    </row>
    <row r="211" spans="1:5" ht="18.75" customHeight="1" x14ac:dyDescent="0.25">
      <c r="A211" s="37"/>
      <c r="B211" s="37"/>
      <c r="C211" s="37"/>
      <c r="D211" s="37" t="s">
        <v>488</v>
      </c>
      <c r="E211" s="37"/>
    </row>
    <row r="212" spans="1:5" ht="18.75" customHeight="1" x14ac:dyDescent="0.25">
      <c r="A212" s="37"/>
      <c r="B212" s="37"/>
      <c r="C212" s="37"/>
      <c r="D212" s="37" t="s">
        <v>489</v>
      </c>
      <c r="E212" s="37"/>
    </row>
    <row r="213" spans="1:5" ht="18.75" customHeight="1" x14ac:dyDescent="0.25">
      <c r="A213" s="37"/>
      <c r="B213" s="37"/>
      <c r="C213" s="37"/>
      <c r="D213" s="37" t="s">
        <v>490</v>
      </c>
      <c r="E213" s="37"/>
    </row>
    <row r="214" spans="1:5" ht="18.75" customHeight="1" x14ac:dyDescent="0.25">
      <c r="A214" s="37"/>
      <c r="B214" s="37"/>
      <c r="C214" s="37"/>
      <c r="D214" s="37" t="s">
        <v>491</v>
      </c>
      <c r="E214" s="37"/>
    </row>
    <row r="215" spans="1:5" ht="18.75" customHeight="1" x14ac:dyDescent="0.25">
      <c r="A215" s="37"/>
      <c r="B215" s="37"/>
      <c r="C215" s="37"/>
      <c r="D215" s="37" t="s">
        <v>492</v>
      </c>
      <c r="E215" s="37"/>
    </row>
    <row r="216" spans="1:5" ht="18.75" customHeight="1" x14ac:dyDescent="0.25">
      <c r="A216" s="37"/>
      <c r="B216" s="37"/>
      <c r="C216" s="37"/>
      <c r="D216" s="37" t="s">
        <v>493</v>
      </c>
      <c r="E216" s="37"/>
    </row>
    <row r="217" spans="1:5" ht="18.75" customHeight="1" x14ac:dyDescent="0.25">
      <c r="A217" s="37"/>
      <c r="B217" s="37"/>
      <c r="C217" s="37"/>
      <c r="D217" s="37" t="s">
        <v>494</v>
      </c>
      <c r="E217" s="37"/>
    </row>
    <row r="218" spans="1:5" ht="18.75" customHeight="1" x14ac:dyDescent="0.25">
      <c r="A218" s="37"/>
      <c r="B218" s="37"/>
      <c r="C218" s="37"/>
      <c r="D218" s="37" t="s">
        <v>495</v>
      </c>
      <c r="E218" s="37"/>
    </row>
    <row r="219" spans="1:5" ht="18.75" customHeight="1" x14ac:dyDescent="0.25">
      <c r="A219" s="37"/>
      <c r="B219" s="37"/>
      <c r="C219" s="37"/>
      <c r="D219" s="37" t="s">
        <v>496</v>
      </c>
      <c r="E219" s="37"/>
    </row>
    <row r="220" spans="1:5" ht="18.75" customHeight="1" x14ac:dyDescent="0.25">
      <c r="A220" s="37"/>
      <c r="B220" s="37"/>
      <c r="C220" s="37"/>
      <c r="D220" s="37" t="s">
        <v>497</v>
      </c>
      <c r="E220" s="37"/>
    </row>
    <row r="221" spans="1:5" ht="18.75" customHeight="1" x14ac:dyDescent="0.25">
      <c r="A221" s="37"/>
      <c r="B221" s="37"/>
      <c r="C221" s="37"/>
      <c r="D221" s="37" t="s">
        <v>498</v>
      </c>
      <c r="E221" s="37"/>
    </row>
    <row r="222" spans="1:5" ht="18.75" customHeight="1" x14ac:dyDescent="0.25">
      <c r="A222" s="37"/>
      <c r="B222" s="37"/>
      <c r="C222" s="37"/>
      <c r="D222" s="37" t="s">
        <v>499</v>
      </c>
      <c r="E222" s="37"/>
    </row>
    <row r="223" spans="1:5" ht="18.75" customHeight="1" x14ac:dyDescent="0.25">
      <c r="A223" s="37"/>
      <c r="B223" s="37"/>
      <c r="C223" s="37"/>
      <c r="D223" s="37" t="s">
        <v>500</v>
      </c>
      <c r="E223" s="37"/>
    </row>
    <row r="224" spans="1:5" ht="18.75" customHeight="1" x14ac:dyDescent="0.25">
      <c r="A224" s="37"/>
      <c r="B224" s="37"/>
      <c r="C224" s="37"/>
      <c r="D224" s="37" t="s">
        <v>501</v>
      </c>
      <c r="E224" s="37"/>
    </row>
    <row r="225" spans="1:5" ht="18.75" customHeight="1" x14ac:dyDescent="0.25">
      <c r="A225" s="37"/>
      <c r="B225" s="37"/>
      <c r="C225" s="37"/>
      <c r="D225" s="37" t="s">
        <v>502</v>
      </c>
      <c r="E225" s="37"/>
    </row>
    <row r="226" spans="1:5" ht="18.75" customHeight="1" x14ac:dyDescent="0.25">
      <c r="A226" s="37"/>
      <c r="B226" s="37"/>
      <c r="C226" s="37"/>
      <c r="D226" s="37" t="s">
        <v>503</v>
      </c>
      <c r="E226" s="37"/>
    </row>
    <row r="227" spans="1:5" ht="18.75" customHeight="1" x14ac:dyDescent="0.25">
      <c r="A227" s="37"/>
      <c r="B227" s="37"/>
      <c r="C227" s="37"/>
      <c r="D227" s="37" t="s">
        <v>504</v>
      </c>
      <c r="E227" s="37"/>
    </row>
    <row r="228" spans="1:5" ht="18.75" customHeight="1" x14ac:dyDescent="0.25">
      <c r="A228" s="37"/>
      <c r="B228" s="37"/>
      <c r="C228" s="37"/>
      <c r="D228" s="37" t="s">
        <v>505</v>
      </c>
      <c r="E228" s="37"/>
    </row>
    <row r="229" spans="1:5" ht="18.75" customHeight="1" x14ac:dyDescent="0.25">
      <c r="A229" s="37"/>
      <c r="B229" s="37"/>
      <c r="C229" s="37"/>
      <c r="D229" s="37" t="s">
        <v>506</v>
      </c>
      <c r="E229" s="37"/>
    </row>
    <row r="230" spans="1:5" ht="18.75" customHeight="1" x14ac:dyDescent="0.25">
      <c r="A230" s="37"/>
      <c r="B230" s="37"/>
      <c r="C230" s="37"/>
      <c r="D230" s="37" t="s">
        <v>507</v>
      </c>
      <c r="E230" s="37"/>
    </row>
    <row r="231" spans="1:5" ht="18.75" customHeight="1" x14ac:dyDescent="0.25">
      <c r="A231" s="37"/>
      <c r="B231" s="37"/>
      <c r="C231" s="37"/>
      <c r="D231" s="37" t="s">
        <v>508</v>
      </c>
      <c r="E231" s="37"/>
    </row>
    <row r="232" spans="1:5" ht="18.75" customHeight="1" x14ac:dyDescent="0.25">
      <c r="A232" s="37"/>
      <c r="B232" s="37"/>
      <c r="C232" s="37"/>
      <c r="D232" s="37" t="s">
        <v>509</v>
      </c>
      <c r="E232" s="37"/>
    </row>
    <row r="233" spans="1:5" ht="18.75" customHeight="1" x14ac:dyDescent="0.25">
      <c r="A233" s="37"/>
      <c r="B233" s="37"/>
      <c r="C233" s="37"/>
      <c r="D233" s="37" t="s">
        <v>510</v>
      </c>
      <c r="E233" s="37"/>
    </row>
    <row r="234" spans="1:5" ht="18.75" customHeight="1" x14ac:dyDescent="0.25">
      <c r="A234" s="37"/>
      <c r="B234" s="37"/>
      <c r="C234" s="37"/>
      <c r="D234" s="37" t="s">
        <v>511</v>
      </c>
      <c r="E234" s="37"/>
    </row>
    <row r="235" spans="1:5" ht="18.75" customHeight="1" x14ac:dyDescent="0.25">
      <c r="A235" s="37"/>
      <c r="B235" s="37"/>
      <c r="C235" s="37"/>
      <c r="D235" s="37" t="s">
        <v>512</v>
      </c>
      <c r="E235" s="37"/>
    </row>
    <row r="236" spans="1:5" ht="18.75" customHeight="1" x14ac:dyDescent="0.25">
      <c r="A236" s="37"/>
      <c r="B236" s="37"/>
      <c r="C236" s="37"/>
      <c r="D236" s="37" t="s">
        <v>513</v>
      </c>
      <c r="E236" s="37"/>
    </row>
    <row r="237" spans="1:5" ht="18.75" customHeight="1" x14ac:dyDescent="0.25">
      <c r="A237" s="37"/>
      <c r="B237" s="37"/>
      <c r="C237" s="37"/>
      <c r="D237" s="37" t="s">
        <v>514</v>
      </c>
      <c r="E237" s="37"/>
    </row>
    <row r="238" spans="1:5" ht="18.75" customHeight="1" x14ac:dyDescent="0.25">
      <c r="A238" s="37"/>
      <c r="B238" s="37"/>
      <c r="C238" s="37"/>
      <c r="D238" s="37" t="s">
        <v>515</v>
      </c>
      <c r="E238" s="37"/>
    </row>
    <row r="239" spans="1:5" ht="18.75" customHeight="1" x14ac:dyDescent="0.25">
      <c r="A239" s="37"/>
      <c r="B239" s="37"/>
      <c r="C239" s="37"/>
      <c r="D239" s="37" t="s">
        <v>516</v>
      </c>
      <c r="E239" s="37"/>
    </row>
    <row r="240" spans="1:5" ht="18.75" customHeight="1" x14ac:dyDescent="0.25">
      <c r="A240" s="37"/>
      <c r="B240" s="37"/>
      <c r="C240" s="37"/>
      <c r="D240" s="37" t="s">
        <v>517</v>
      </c>
      <c r="E240" s="37"/>
    </row>
    <row r="241" spans="1:5" ht="18.75" customHeight="1" x14ac:dyDescent="0.25">
      <c r="A241" s="37"/>
      <c r="B241" s="37"/>
      <c r="C241" s="37"/>
      <c r="D241" s="37" t="s">
        <v>518</v>
      </c>
      <c r="E241" s="37"/>
    </row>
    <row r="242" spans="1:5" ht="18.75" customHeight="1" x14ac:dyDescent="0.25">
      <c r="A242" s="37"/>
      <c r="B242" s="37"/>
      <c r="C242" s="37"/>
      <c r="D242" s="37" t="s">
        <v>519</v>
      </c>
      <c r="E242" s="37"/>
    </row>
    <row r="243" spans="1:5" ht="18.75" customHeight="1" x14ac:dyDescent="0.25">
      <c r="A243" s="37"/>
      <c r="B243" s="37"/>
      <c r="C243" s="37"/>
      <c r="D243" s="37" t="s">
        <v>520</v>
      </c>
      <c r="E243" s="37"/>
    </row>
    <row r="244" spans="1:5" ht="18.75" customHeight="1" x14ac:dyDescent="0.25">
      <c r="A244" s="37"/>
      <c r="B244" s="37"/>
      <c r="C244" s="37"/>
      <c r="D244" s="37" t="s">
        <v>521</v>
      </c>
      <c r="E244" s="37"/>
    </row>
    <row r="245" spans="1:5" ht="18.75" customHeight="1" x14ac:dyDescent="0.25">
      <c r="A245" s="37"/>
      <c r="B245" s="37"/>
      <c r="C245" s="37"/>
      <c r="D245" s="37" t="s">
        <v>522</v>
      </c>
      <c r="E245" s="37"/>
    </row>
    <row r="246" spans="1:5" ht="18.75" customHeight="1" x14ac:dyDescent="0.25">
      <c r="A246" s="37"/>
      <c r="B246" s="37"/>
      <c r="C246" s="37"/>
      <c r="D246" s="37" t="s">
        <v>523</v>
      </c>
      <c r="E246" s="37"/>
    </row>
    <row r="247" spans="1:5" ht="18.75" customHeight="1" x14ac:dyDescent="0.25">
      <c r="A247" s="37"/>
      <c r="B247" s="37"/>
      <c r="C247" s="37"/>
      <c r="D247" s="37" t="s">
        <v>524</v>
      </c>
      <c r="E247" s="37"/>
    </row>
    <row r="248" spans="1:5" ht="18.75" customHeight="1" x14ac:dyDescent="0.25">
      <c r="A248" s="37"/>
      <c r="B248" s="37"/>
      <c r="C248" s="37"/>
      <c r="D248" s="37" t="s">
        <v>525</v>
      </c>
      <c r="E248" s="37"/>
    </row>
    <row r="249" spans="1:5" ht="18.75" customHeight="1" x14ac:dyDescent="0.25">
      <c r="A249" s="37"/>
      <c r="B249" s="37"/>
      <c r="C249" s="37"/>
      <c r="D249" s="37" t="s">
        <v>526</v>
      </c>
      <c r="E249" s="37"/>
    </row>
    <row r="250" spans="1:5" ht="18.75" customHeight="1" x14ac:dyDescent="0.25">
      <c r="A250" s="37"/>
      <c r="B250" s="37"/>
      <c r="C250" s="37"/>
      <c r="D250" s="37" t="s">
        <v>527</v>
      </c>
      <c r="E250" s="37"/>
    </row>
    <row r="251" spans="1:5" ht="18.75" customHeight="1" x14ac:dyDescent="0.25">
      <c r="A251" s="37"/>
      <c r="B251" s="37"/>
      <c r="C251" s="37"/>
      <c r="D251" s="37" t="s">
        <v>528</v>
      </c>
      <c r="E251" s="37"/>
    </row>
    <row r="252" spans="1:5" ht="18.75" customHeight="1" x14ac:dyDescent="0.25">
      <c r="A252" s="37"/>
      <c r="B252" s="37"/>
      <c r="C252" s="37"/>
      <c r="D252" s="37" t="s">
        <v>529</v>
      </c>
      <c r="E252" s="37"/>
    </row>
    <row r="253" spans="1:5" ht="18.75" customHeight="1" x14ac:dyDescent="0.25">
      <c r="A253" s="37"/>
      <c r="B253" s="37"/>
      <c r="C253" s="37"/>
      <c r="D253" s="37" t="s">
        <v>530</v>
      </c>
      <c r="E253" s="37"/>
    </row>
    <row r="254" spans="1:5" ht="18.75" customHeight="1" x14ac:dyDescent="0.25">
      <c r="A254" s="37"/>
      <c r="B254" s="37"/>
      <c r="C254" s="37"/>
      <c r="D254" s="37" t="s">
        <v>531</v>
      </c>
      <c r="E254" s="37"/>
    </row>
    <row r="255" spans="1:5" ht="18.75" customHeight="1" x14ac:dyDescent="0.25">
      <c r="A255" s="37"/>
      <c r="B255" s="37"/>
      <c r="C255" s="37"/>
      <c r="D255" s="37" t="s">
        <v>532</v>
      </c>
      <c r="E255" s="37"/>
    </row>
    <row r="256" spans="1:5" ht="18.75" customHeight="1" x14ac:dyDescent="0.25">
      <c r="A256" s="37"/>
      <c r="B256" s="37"/>
      <c r="C256" s="37"/>
      <c r="D256" s="37" t="s">
        <v>533</v>
      </c>
      <c r="E256" s="37"/>
    </row>
    <row r="257" spans="1:5" ht="18.75" customHeight="1" x14ac:dyDescent="0.25">
      <c r="A257" s="37"/>
      <c r="B257" s="37"/>
      <c r="C257" s="37"/>
      <c r="D257" s="37" t="s">
        <v>534</v>
      </c>
      <c r="E257" s="37"/>
    </row>
    <row r="258" spans="1:5" ht="18.75" customHeight="1" x14ac:dyDescent="0.25">
      <c r="A258" s="37"/>
      <c r="B258" s="37"/>
      <c r="C258" s="37"/>
      <c r="D258" s="37" t="s">
        <v>535</v>
      </c>
      <c r="E258" s="37"/>
    </row>
    <row r="259" spans="1:5" ht="18.75" customHeight="1" x14ac:dyDescent="0.25">
      <c r="A259" s="37"/>
      <c r="B259" s="37"/>
      <c r="C259" s="37"/>
      <c r="D259" s="37" t="s">
        <v>536</v>
      </c>
      <c r="E259" s="37"/>
    </row>
    <row r="260" spans="1:5" ht="18.75" customHeight="1" x14ac:dyDescent="0.25">
      <c r="A260" s="37"/>
      <c r="B260" s="37"/>
      <c r="C260" s="37"/>
      <c r="D260" s="37" t="s">
        <v>537</v>
      </c>
      <c r="E260" s="37"/>
    </row>
    <row r="261" spans="1:5" ht="18.75" customHeight="1" x14ac:dyDescent="0.25">
      <c r="A261" s="37"/>
      <c r="B261" s="37"/>
      <c r="C261" s="37"/>
      <c r="D261" s="37" t="s">
        <v>538</v>
      </c>
      <c r="E261" s="37"/>
    </row>
    <row r="262" spans="1:5" ht="18.75" customHeight="1" x14ac:dyDescent="0.25">
      <c r="A262" s="37"/>
      <c r="B262" s="37"/>
      <c r="C262" s="37"/>
      <c r="D262" s="37" t="s">
        <v>539</v>
      </c>
      <c r="E262" s="37"/>
    </row>
    <row r="263" spans="1:5" ht="18.75" customHeight="1" x14ac:dyDescent="0.25">
      <c r="A263" s="37"/>
      <c r="B263" s="37"/>
      <c r="C263" s="37"/>
      <c r="D263" s="37" t="s">
        <v>540</v>
      </c>
      <c r="E263" s="37"/>
    </row>
    <row r="264" spans="1:5" ht="18.75" customHeight="1" x14ac:dyDescent="0.25">
      <c r="A264" s="37"/>
      <c r="B264" s="37"/>
      <c r="C264" s="37"/>
      <c r="D264" s="37" t="s">
        <v>541</v>
      </c>
      <c r="E264" s="37"/>
    </row>
    <row r="265" spans="1:5" ht="18.75" customHeight="1" x14ac:dyDescent="0.25">
      <c r="A265" s="37"/>
      <c r="B265" s="37"/>
      <c r="C265" s="37"/>
      <c r="D265" s="37" t="s">
        <v>542</v>
      </c>
      <c r="E265" s="37"/>
    </row>
    <row r="266" spans="1:5" ht="18.75" customHeight="1" x14ac:dyDescent="0.25">
      <c r="A266" s="37"/>
      <c r="B266" s="37"/>
      <c r="C266" s="37"/>
      <c r="D266" s="37" t="s">
        <v>543</v>
      </c>
      <c r="E266" s="37"/>
    </row>
    <row r="267" spans="1:5" ht="18.75" customHeight="1" x14ac:dyDescent="0.25">
      <c r="A267" s="37"/>
      <c r="B267" s="37"/>
      <c r="C267" s="37"/>
      <c r="D267" s="37" t="s">
        <v>544</v>
      </c>
      <c r="E267" s="37"/>
    </row>
    <row r="268" spans="1:5" ht="18.75" customHeight="1" x14ac:dyDescent="0.25">
      <c r="A268" s="37"/>
      <c r="B268" s="37"/>
      <c r="C268" s="37"/>
      <c r="D268" s="37" t="s">
        <v>545</v>
      </c>
      <c r="E268" s="37"/>
    </row>
    <row r="269" spans="1:5" ht="18.75" customHeight="1" x14ac:dyDescent="0.25">
      <c r="A269" s="37"/>
      <c r="B269" s="37"/>
      <c r="C269" s="37"/>
      <c r="D269" s="37" t="s">
        <v>546</v>
      </c>
      <c r="E269" s="37"/>
    </row>
    <row r="270" spans="1:5" ht="18.75" customHeight="1" x14ac:dyDescent="0.25">
      <c r="A270" s="37"/>
      <c r="B270" s="37"/>
      <c r="C270" s="37"/>
      <c r="D270" s="37" t="s">
        <v>547</v>
      </c>
      <c r="E270" s="37"/>
    </row>
    <row r="271" spans="1:5" ht="18.75" customHeight="1" x14ac:dyDescent="0.25">
      <c r="A271" s="37"/>
      <c r="B271" s="37"/>
      <c r="C271" s="37"/>
      <c r="D271" s="37" t="s">
        <v>548</v>
      </c>
      <c r="E271" s="37"/>
    </row>
    <row r="272" spans="1:5" ht="18.75" customHeight="1" x14ac:dyDescent="0.25">
      <c r="A272" s="37"/>
      <c r="B272" s="37"/>
      <c r="C272" s="37"/>
      <c r="D272" s="37" t="s">
        <v>549</v>
      </c>
      <c r="E272" s="37"/>
    </row>
    <row r="273" spans="1:5" ht="18.75" customHeight="1" x14ac:dyDescent="0.25">
      <c r="A273" s="37"/>
      <c r="B273" s="37"/>
      <c r="C273" s="37"/>
      <c r="D273" s="37" t="s">
        <v>550</v>
      </c>
      <c r="E273" s="37"/>
    </row>
    <row r="274" spans="1:5" ht="18.75" customHeight="1" x14ac:dyDescent="0.25">
      <c r="A274" s="37"/>
      <c r="B274" s="37"/>
      <c r="C274" s="37"/>
      <c r="D274" s="37" t="s">
        <v>551</v>
      </c>
      <c r="E274" s="37"/>
    </row>
    <row r="275" spans="1:5" ht="18.75" customHeight="1" x14ac:dyDescent="0.25">
      <c r="A275" s="37"/>
      <c r="B275" s="37"/>
      <c r="C275" s="37"/>
      <c r="D275" s="37" t="s">
        <v>552</v>
      </c>
      <c r="E275" s="37"/>
    </row>
    <row r="276" spans="1:5" ht="18.75" customHeight="1" x14ac:dyDescent="0.25">
      <c r="A276" s="37"/>
      <c r="B276" s="37"/>
      <c r="C276" s="37"/>
      <c r="D276" s="37" t="s">
        <v>553</v>
      </c>
      <c r="E276" s="37"/>
    </row>
    <row r="277" spans="1:5" ht="18.75" customHeight="1" x14ac:dyDescent="0.25">
      <c r="A277" s="37"/>
      <c r="B277" s="37"/>
      <c r="C277" s="37"/>
      <c r="D277" s="37" t="s">
        <v>554</v>
      </c>
      <c r="E277" s="37"/>
    </row>
    <row r="278" spans="1:5" ht="18.75" customHeight="1" x14ac:dyDescent="0.25">
      <c r="A278" s="37"/>
      <c r="B278" s="37"/>
      <c r="C278" s="37"/>
      <c r="D278" s="37" t="s">
        <v>555</v>
      </c>
      <c r="E278" s="37"/>
    </row>
    <row r="279" spans="1:5" ht="18.75" customHeight="1" x14ac:dyDescent="0.25">
      <c r="A279" s="37"/>
      <c r="B279" s="37"/>
      <c r="C279" s="37"/>
      <c r="D279" s="37" t="s">
        <v>556</v>
      </c>
      <c r="E279" s="37"/>
    </row>
    <row r="280" spans="1:5" ht="18.75" customHeight="1" x14ac:dyDescent="0.25">
      <c r="A280" s="37"/>
      <c r="B280" s="37"/>
      <c r="C280" s="37"/>
      <c r="D280" s="37" t="s">
        <v>557</v>
      </c>
      <c r="E280" s="37"/>
    </row>
    <row r="281" spans="1:5" ht="18.75" customHeight="1" x14ac:dyDescent="0.25">
      <c r="A281" s="37"/>
      <c r="B281" s="37"/>
      <c r="C281" s="37"/>
      <c r="D281" s="37" t="s">
        <v>558</v>
      </c>
      <c r="E281" s="37"/>
    </row>
    <row r="282" spans="1:5" ht="18.75" customHeight="1" x14ac:dyDescent="0.25">
      <c r="A282" s="37"/>
      <c r="B282" s="37"/>
      <c r="C282" s="37"/>
      <c r="D282" s="37" t="s">
        <v>559</v>
      </c>
      <c r="E282" s="37"/>
    </row>
    <row r="283" spans="1:5" ht="18.75" customHeight="1" x14ac:dyDescent="0.25">
      <c r="A283" s="37"/>
      <c r="B283" s="37"/>
      <c r="C283" s="37"/>
      <c r="D283" s="37" t="s">
        <v>560</v>
      </c>
      <c r="E283" s="37"/>
    </row>
    <row r="284" spans="1:5" ht="18.75" customHeight="1" x14ac:dyDescent="0.25">
      <c r="A284" s="37"/>
      <c r="B284" s="37"/>
      <c r="C284" s="37"/>
      <c r="D284" s="37" t="s">
        <v>561</v>
      </c>
      <c r="E284" s="37"/>
    </row>
    <row r="285" spans="1:5" ht="18.75" customHeight="1" x14ac:dyDescent="0.25">
      <c r="A285" s="37"/>
      <c r="B285" s="37"/>
      <c r="C285" s="37"/>
      <c r="D285" s="37" t="s">
        <v>562</v>
      </c>
      <c r="E285" s="37"/>
    </row>
    <row r="286" spans="1:5" ht="18.75" customHeight="1" x14ac:dyDescent="0.25">
      <c r="A286" s="37"/>
      <c r="B286" s="37"/>
      <c r="C286" s="37"/>
      <c r="D286" s="37" t="s">
        <v>563</v>
      </c>
      <c r="E286" s="37"/>
    </row>
    <row r="287" spans="1:5" ht="18.75" customHeight="1" x14ac:dyDescent="0.25">
      <c r="A287" s="37"/>
      <c r="B287" s="37"/>
      <c r="C287" s="37"/>
      <c r="D287" s="37" t="s">
        <v>564</v>
      </c>
      <c r="E287" s="37"/>
    </row>
    <row r="288" spans="1:5" ht="18.75" customHeight="1" x14ac:dyDescent="0.25">
      <c r="A288" s="37"/>
      <c r="B288" s="37"/>
      <c r="C288" s="37"/>
      <c r="D288" s="37" t="s">
        <v>565</v>
      </c>
      <c r="E288" s="37"/>
    </row>
    <row r="289" spans="1:5" ht="18.75" customHeight="1" x14ac:dyDescent="0.25">
      <c r="A289" s="37"/>
      <c r="B289" s="37"/>
      <c r="C289" s="37"/>
      <c r="D289" s="37" t="s">
        <v>566</v>
      </c>
      <c r="E289" s="37"/>
    </row>
    <row r="290" spans="1:5" ht="18.75" customHeight="1" x14ac:dyDescent="0.25">
      <c r="A290" s="37"/>
      <c r="B290" s="37"/>
      <c r="C290" s="37"/>
      <c r="D290" s="37" t="s">
        <v>567</v>
      </c>
      <c r="E290" s="37"/>
    </row>
    <row r="291" spans="1:5" ht="18.75" customHeight="1" x14ac:dyDescent="0.25">
      <c r="A291" s="37"/>
      <c r="B291" s="37"/>
      <c r="C291" s="37"/>
      <c r="D291" s="37" t="s">
        <v>568</v>
      </c>
      <c r="E291" s="37"/>
    </row>
    <row r="292" spans="1:5" ht="18.75" customHeight="1" x14ac:dyDescent="0.25">
      <c r="A292" s="37"/>
      <c r="B292" s="37"/>
      <c r="C292" s="37"/>
      <c r="D292" s="37" t="s">
        <v>569</v>
      </c>
      <c r="E292" s="37"/>
    </row>
    <row r="293" spans="1:5" ht="18.75" customHeight="1" x14ac:dyDescent="0.25">
      <c r="A293" s="37"/>
      <c r="B293" s="37"/>
      <c r="C293" s="37"/>
      <c r="D293" s="37" t="s">
        <v>570</v>
      </c>
      <c r="E293" s="37"/>
    </row>
    <row r="294" spans="1:5" ht="18.75" customHeight="1" x14ac:dyDescent="0.25">
      <c r="A294" s="37"/>
      <c r="B294" s="37"/>
      <c r="C294" s="37"/>
      <c r="D294" s="37" t="s">
        <v>571</v>
      </c>
      <c r="E294" s="37"/>
    </row>
    <row r="295" spans="1:5" ht="18.75" customHeight="1" x14ac:dyDescent="0.25">
      <c r="A295" s="37"/>
      <c r="B295" s="37"/>
      <c r="C295" s="37"/>
      <c r="D295" s="37" t="s">
        <v>572</v>
      </c>
      <c r="E295" s="37"/>
    </row>
    <row r="296" spans="1:5" ht="18.75" customHeight="1" x14ac:dyDescent="0.25">
      <c r="A296" s="37"/>
      <c r="B296" s="37"/>
      <c r="C296" s="37"/>
      <c r="D296" s="37" t="s">
        <v>573</v>
      </c>
      <c r="E296" s="37"/>
    </row>
    <row r="297" spans="1:5" ht="18.75" customHeight="1" x14ac:dyDescent="0.25">
      <c r="A297" s="37"/>
      <c r="B297" s="37"/>
      <c r="C297" s="37"/>
      <c r="D297" s="37" t="s">
        <v>574</v>
      </c>
      <c r="E297" s="37"/>
    </row>
    <row r="298" spans="1:5" ht="18.75" customHeight="1" x14ac:dyDescent="0.25">
      <c r="A298" s="37"/>
      <c r="B298" s="37"/>
      <c r="C298" s="37"/>
      <c r="D298" s="37" t="s">
        <v>575</v>
      </c>
      <c r="E298" s="37"/>
    </row>
    <row r="299" spans="1:5" ht="18.75" customHeight="1" x14ac:dyDescent="0.25">
      <c r="A299" s="37"/>
      <c r="B299" s="37"/>
      <c r="C299" s="37"/>
      <c r="D299" s="37" t="s">
        <v>576</v>
      </c>
      <c r="E299" s="37"/>
    </row>
    <row r="300" spans="1:5" ht="18.75" customHeight="1" x14ac:dyDescent="0.25">
      <c r="A300" s="37"/>
      <c r="B300" s="37"/>
      <c r="C300" s="37"/>
      <c r="D300" s="37" t="s">
        <v>577</v>
      </c>
      <c r="E300" s="37"/>
    </row>
    <row r="301" spans="1:5" ht="18.75" customHeight="1" x14ac:dyDescent="0.25">
      <c r="A301" s="37"/>
      <c r="B301" s="37"/>
      <c r="C301" s="37"/>
      <c r="D301" s="37" t="s">
        <v>578</v>
      </c>
      <c r="E301" s="37"/>
    </row>
    <row r="302" spans="1:5" ht="18.75" customHeight="1" x14ac:dyDescent="0.25">
      <c r="A302" s="37"/>
      <c r="B302" s="37"/>
      <c r="C302" s="37"/>
      <c r="D302" s="37" t="s">
        <v>579</v>
      </c>
      <c r="E302" s="37"/>
    </row>
    <row r="303" spans="1:5" ht="18.75" customHeight="1" x14ac:dyDescent="0.25">
      <c r="A303" s="37"/>
      <c r="B303" s="37"/>
      <c r="C303" s="37"/>
      <c r="D303" s="37" t="s">
        <v>580</v>
      </c>
      <c r="E303" s="37"/>
    </row>
    <row r="304" spans="1:5" ht="18.75" customHeight="1" x14ac:dyDescent="0.25">
      <c r="A304" s="37"/>
      <c r="B304" s="37"/>
      <c r="C304" s="37"/>
      <c r="D304" s="37" t="s">
        <v>581</v>
      </c>
      <c r="E304" s="37"/>
    </row>
    <row r="305" spans="1:5" ht="18.75" customHeight="1" x14ac:dyDescent="0.25">
      <c r="A305" s="37"/>
      <c r="B305" s="37"/>
      <c r="C305" s="37"/>
      <c r="D305" s="37" t="s">
        <v>582</v>
      </c>
      <c r="E305" s="37"/>
    </row>
    <row r="306" spans="1:5" ht="18.75" customHeight="1" x14ac:dyDescent="0.25">
      <c r="A306" s="37"/>
      <c r="B306" s="37"/>
      <c r="C306" s="37"/>
      <c r="D306" s="37" t="s">
        <v>583</v>
      </c>
      <c r="E306" s="37"/>
    </row>
    <row r="307" spans="1:5" ht="18.75" customHeight="1" x14ac:dyDescent="0.25">
      <c r="A307" s="37"/>
      <c r="B307" s="37"/>
      <c r="C307" s="37"/>
      <c r="D307" s="37" t="s">
        <v>584</v>
      </c>
      <c r="E307" s="37"/>
    </row>
    <row r="308" spans="1:5" ht="18.75" customHeight="1" x14ac:dyDescent="0.25">
      <c r="A308" s="37"/>
      <c r="B308" s="37"/>
      <c r="C308" s="37"/>
      <c r="D308" s="37" t="s">
        <v>585</v>
      </c>
      <c r="E308" s="37"/>
    </row>
    <row r="309" spans="1:5" ht="18.75" customHeight="1" x14ac:dyDescent="0.25">
      <c r="A309" s="37"/>
      <c r="B309" s="37"/>
      <c r="C309" s="37"/>
      <c r="D309" s="37" t="s">
        <v>586</v>
      </c>
      <c r="E309" s="37"/>
    </row>
    <row r="310" spans="1:5" ht="18.75" customHeight="1" x14ac:dyDescent="0.25">
      <c r="A310" s="37"/>
      <c r="B310" s="37"/>
      <c r="C310" s="37"/>
      <c r="D310" s="37" t="s">
        <v>587</v>
      </c>
      <c r="E310" s="37"/>
    </row>
    <row r="311" spans="1:5" ht="18.75" customHeight="1" x14ac:dyDescent="0.25">
      <c r="A311" s="37"/>
      <c r="B311" s="37"/>
      <c r="C311" s="37"/>
      <c r="D311" s="37" t="s">
        <v>588</v>
      </c>
      <c r="E311" s="37"/>
    </row>
    <row r="312" spans="1:5" ht="18.75" customHeight="1" x14ac:dyDescent="0.25">
      <c r="A312" s="37"/>
      <c r="B312" s="37"/>
      <c r="C312" s="37"/>
      <c r="D312" s="37" t="s">
        <v>589</v>
      </c>
      <c r="E312" s="37"/>
    </row>
    <row r="313" spans="1:5" ht="18.75" customHeight="1" x14ac:dyDescent="0.25">
      <c r="A313" s="37"/>
      <c r="B313" s="37"/>
      <c r="C313" s="37"/>
      <c r="D313" s="37" t="s">
        <v>590</v>
      </c>
      <c r="E313" s="37"/>
    </row>
    <row r="314" spans="1:5" ht="18.75" customHeight="1" x14ac:dyDescent="0.25">
      <c r="A314" s="37"/>
      <c r="B314" s="37"/>
      <c r="C314" s="37"/>
      <c r="D314" s="37" t="s">
        <v>591</v>
      </c>
      <c r="E314" s="37"/>
    </row>
    <row r="315" spans="1:5" ht="18.75" customHeight="1" x14ac:dyDescent="0.25">
      <c r="A315" s="37"/>
      <c r="B315" s="37"/>
      <c r="C315" s="37"/>
      <c r="D315" s="37" t="s">
        <v>592</v>
      </c>
      <c r="E315" s="37"/>
    </row>
    <row r="316" spans="1:5" ht="18.75" customHeight="1" x14ac:dyDescent="0.25">
      <c r="A316" s="37"/>
      <c r="B316" s="37"/>
      <c r="C316" s="37"/>
      <c r="D316" s="37" t="s">
        <v>593</v>
      </c>
      <c r="E316" s="37"/>
    </row>
    <row r="317" spans="1:5" ht="18.75" customHeight="1" x14ac:dyDescent="0.25">
      <c r="A317" s="37"/>
      <c r="B317" s="37"/>
      <c r="C317" s="37"/>
      <c r="D317" s="37" t="s">
        <v>594</v>
      </c>
      <c r="E317" s="37"/>
    </row>
    <row r="318" spans="1:5" ht="18.75" customHeight="1" x14ac:dyDescent="0.25">
      <c r="A318" s="37"/>
      <c r="B318" s="37"/>
      <c r="C318" s="37"/>
      <c r="D318" s="37" t="s">
        <v>595</v>
      </c>
      <c r="E318" s="37"/>
    </row>
    <row r="319" spans="1:5" ht="18.75" customHeight="1" x14ac:dyDescent="0.25">
      <c r="A319" s="37"/>
      <c r="B319" s="37"/>
      <c r="C319" s="37"/>
      <c r="D319" s="37" t="s">
        <v>596</v>
      </c>
      <c r="E319" s="37"/>
    </row>
    <row r="320" spans="1:5" ht="18.75" customHeight="1" x14ac:dyDescent="0.25">
      <c r="A320" s="37"/>
      <c r="B320" s="37"/>
      <c r="C320" s="37"/>
      <c r="D320" s="37" t="s">
        <v>597</v>
      </c>
      <c r="E320" s="37"/>
    </row>
    <row r="321" spans="1:5" ht="18.75" customHeight="1" x14ac:dyDescent="0.25">
      <c r="A321" s="37"/>
      <c r="B321" s="37"/>
      <c r="C321" s="37"/>
      <c r="D321" s="37" t="s">
        <v>598</v>
      </c>
      <c r="E321" s="37"/>
    </row>
    <row r="322" spans="1:5" ht="18.75" customHeight="1" x14ac:dyDescent="0.25">
      <c r="A322" s="37"/>
      <c r="B322" s="37"/>
      <c r="C322" s="37"/>
      <c r="D322" s="37" t="s">
        <v>599</v>
      </c>
      <c r="E322" s="37"/>
    </row>
    <row r="323" spans="1:5" ht="18.75" customHeight="1" x14ac:dyDescent="0.25">
      <c r="A323" s="37"/>
      <c r="B323" s="37"/>
      <c r="C323" s="37"/>
      <c r="D323" s="37" t="s">
        <v>600</v>
      </c>
      <c r="E323" s="37"/>
    </row>
    <row r="324" spans="1:5" ht="18.75" customHeight="1" x14ac:dyDescent="0.25">
      <c r="A324" s="37"/>
      <c r="B324" s="37"/>
      <c r="C324" s="37"/>
      <c r="D324" s="37" t="s">
        <v>601</v>
      </c>
      <c r="E324" s="37"/>
    </row>
    <row r="325" spans="1:5" ht="18.75" customHeight="1" x14ac:dyDescent="0.25">
      <c r="A325" s="37"/>
      <c r="B325" s="37"/>
      <c r="C325" s="37"/>
      <c r="D325" s="37" t="s">
        <v>602</v>
      </c>
      <c r="E325" s="37"/>
    </row>
    <row r="326" spans="1:5" ht="18.75" customHeight="1" x14ac:dyDescent="0.25">
      <c r="A326" s="37"/>
      <c r="B326" s="37"/>
      <c r="C326" s="37"/>
      <c r="D326" s="37" t="s">
        <v>603</v>
      </c>
      <c r="E326" s="37"/>
    </row>
    <row r="327" spans="1:5" ht="18.75" customHeight="1" x14ac:dyDescent="0.25">
      <c r="A327" s="37"/>
      <c r="B327" s="37"/>
      <c r="C327" s="37"/>
      <c r="D327" s="37" t="s">
        <v>604</v>
      </c>
      <c r="E327" s="37"/>
    </row>
    <row r="328" spans="1:5" ht="18.75" customHeight="1" x14ac:dyDescent="0.25">
      <c r="A328" s="37"/>
      <c r="B328" s="37"/>
      <c r="C328" s="37"/>
      <c r="D328" s="37" t="s">
        <v>605</v>
      </c>
      <c r="E328" s="37"/>
    </row>
    <row r="329" spans="1:5" ht="18.75" customHeight="1" x14ac:dyDescent="0.25">
      <c r="A329" s="37"/>
      <c r="B329" s="37"/>
      <c r="C329" s="37"/>
      <c r="D329" s="37" t="s">
        <v>606</v>
      </c>
      <c r="E329" s="37"/>
    </row>
    <row r="330" spans="1:5" ht="18.75" customHeight="1" x14ac:dyDescent="0.25">
      <c r="A330" s="37"/>
      <c r="B330" s="37"/>
      <c r="C330" s="37"/>
      <c r="D330" s="37" t="s">
        <v>607</v>
      </c>
      <c r="E330" s="37"/>
    </row>
    <row r="331" spans="1:5" ht="18.75" customHeight="1" x14ac:dyDescent="0.25">
      <c r="A331" s="37"/>
      <c r="B331" s="37"/>
      <c r="C331" s="37"/>
      <c r="D331" s="37" t="s">
        <v>608</v>
      </c>
      <c r="E331" s="37"/>
    </row>
    <row r="332" spans="1:5" ht="18.75" customHeight="1" x14ac:dyDescent="0.25">
      <c r="A332" s="37"/>
      <c r="B332" s="37"/>
      <c r="C332" s="37"/>
      <c r="D332" s="37" t="s">
        <v>609</v>
      </c>
      <c r="E332" s="37"/>
    </row>
    <row r="333" spans="1:5" ht="18.75" customHeight="1" x14ac:dyDescent="0.25">
      <c r="A333" s="37"/>
      <c r="B333" s="37"/>
      <c r="C333" s="37"/>
      <c r="D333" s="37" t="s">
        <v>610</v>
      </c>
      <c r="E333" s="37"/>
    </row>
    <row r="334" spans="1:5" ht="18.75" customHeight="1" x14ac:dyDescent="0.25">
      <c r="A334" s="37"/>
      <c r="B334" s="37"/>
      <c r="C334" s="37"/>
      <c r="D334" s="37" t="s">
        <v>611</v>
      </c>
      <c r="E334" s="37"/>
    </row>
    <row r="335" spans="1:5" ht="18.75" customHeight="1" x14ac:dyDescent="0.25">
      <c r="A335" s="37"/>
      <c r="B335" s="37"/>
      <c r="C335" s="37"/>
      <c r="D335" s="37" t="s">
        <v>612</v>
      </c>
      <c r="E335" s="37"/>
    </row>
    <row r="336" spans="1:5" ht="18.75" customHeight="1" x14ac:dyDescent="0.25">
      <c r="A336" s="37"/>
      <c r="B336" s="37"/>
      <c r="C336" s="37"/>
      <c r="D336" s="37" t="s">
        <v>613</v>
      </c>
      <c r="E336" s="37"/>
    </row>
    <row r="337" spans="1:5" ht="18.75" customHeight="1" x14ac:dyDescent="0.25">
      <c r="A337" s="37"/>
      <c r="B337" s="37"/>
      <c r="C337" s="37"/>
      <c r="D337" s="37" t="s">
        <v>614</v>
      </c>
      <c r="E337" s="37"/>
    </row>
    <row r="338" spans="1:5" ht="18.75" customHeight="1" x14ac:dyDescent="0.25">
      <c r="A338" s="37"/>
      <c r="B338" s="37"/>
      <c r="C338" s="37"/>
      <c r="D338" s="37" t="s">
        <v>615</v>
      </c>
      <c r="E338" s="37"/>
    </row>
    <row r="339" spans="1:5" ht="18.75" customHeight="1" x14ac:dyDescent="0.25">
      <c r="A339" s="37"/>
      <c r="B339" s="37"/>
      <c r="C339" s="37"/>
      <c r="D339" s="37" t="s">
        <v>616</v>
      </c>
      <c r="E339" s="37"/>
    </row>
    <row r="340" spans="1:5" ht="18.75" customHeight="1" x14ac:dyDescent="0.25">
      <c r="A340" s="37"/>
      <c r="B340" s="37"/>
      <c r="C340" s="37"/>
      <c r="D340" s="37" t="s">
        <v>617</v>
      </c>
      <c r="E340" s="37"/>
    </row>
    <row r="341" spans="1:5" ht="18.75" customHeight="1" x14ac:dyDescent="0.25">
      <c r="A341" s="37"/>
      <c r="B341" s="37"/>
      <c r="C341" s="37"/>
      <c r="D341" s="37" t="s">
        <v>618</v>
      </c>
      <c r="E341" s="37"/>
    </row>
    <row r="342" spans="1:5" ht="18.75" customHeight="1" x14ac:dyDescent="0.25">
      <c r="A342" s="37"/>
      <c r="B342" s="37"/>
      <c r="C342" s="37"/>
      <c r="D342" s="37" t="s">
        <v>619</v>
      </c>
      <c r="E342" s="37"/>
    </row>
    <row r="343" spans="1:5" ht="18.75" customHeight="1" x14ac:dyDescent="0.25">
      <c r="A343" s="37"/>
      <c r="B343" s="37"/>
      <c r="C343" s="37"/>
      <c r="D343" s="37" t="s">
        <v>620</v>
      </c>
      <c r="E343" s="37"/>
    </row>
    <row r="344" spans="1:5" ht="18.75" customHeight="1" x14ac:dyDescent="0.25">
      <c r="A344" s="37"/>
      <c r="B344" s="37"/>
      <c r="C344" s="37"/>
      <c r="D344" s="37" t="s">
        <v>621</v>
      </c>
      <c r="E344" s="37"/>
    </row>
    <row r="345" spans="1:5" ht="18.75" customHeight="1" x14ac:dyDescent="0.25">
      <c r="A345" s="37"/>
      <c r="B345" s="37"/>
      <c r="C345" s="37"/>
      <c r="D345" s="37" t="s">
        <v>622</v>
      </c>
      <c r="E345" s="37"/>
    </row>
    <row r="346" spans="1:5" ht="18.75" customHeight="1" x14ac:dyDescent="0.25">
      <c r="A346" s="37"/>
      <c r="B346" s="37"/>
      <c r="C346" s="37"/>
      <c r="D346" s="37" t="s">
        <v>623</v>
      </c>
      <c r="E346" s="37"/>
    </row>
    <row r="347" spans="1:5" ht="18.75" customHeight="1" x14ac:dyDescent="0.25">
      <c r="A347" s="37"/>
      <c r="B347" s="37"/>
      <c r="C347" s="37"/>
      <c r="D347" s="37" t="s">
        <v>624</v>
      </c>
      <c r="E347" s="37"/>
    </row>
    <row r="348" spans="1:5" ht="18.75" customHeight="1" x14ac:dyDescent="0.25">
      <c r="A348" s="37"/>
      <c r="B348" s="37"/>
      <c r="C348" s="37"/>
      <c r="D348" s="37" t="s">
        <v>625</v>
      </c>
      <c r="E348" s="37"/>
    </row>
    <row r="349" spans="1:5" ht="18.75" customHeight="1" x14ac:dyDescent="0.25">
      <c r="A349" s="37"/>
      <c r="B349" s="37"/>
      <c r="C349" s="37"/>
      <c r="D349" s="37" t="s">
        <v>626</v>
      </c>
      <c r="E349" s="37"/>
    </row>
    <row r="350" spans="1:5" ht="18.75" customHeight="1" x14ac:dyDescent="0.25">
      <c r="A350" s="37"/>
      <c r="B350" s="37"/>
      <c r="C350" s="37"/>
      <c r="D350" s="37" t="s">
        <v>627</v>
      </c>
      <c r="E350" s="37"/>
    </row>
    <row r="351" spans="1:5" ht="18.75" customHeight="1" x14ac:dyDescent="0.25">
      <c r="A351" s="37"/>
      <c r="B351" s="37"/>
      <c r="C351" s="37"/>
      <c r="D351" s="37" t="s">
        <v>628</v>
      </c>
      <c r="E351" s="37"/>
    </row>
    <row r="352" spans="1:5" ht="18.75" customHeight="1" x14ac:dyDescent="0.25">
      <c r="A352" s="37"/>
      <c r="B352" s="37"/>
      <c r="C352" s="37"/>
      <c r="D352" s="37" t="s">
        <v>629</v>
      </c>
      <c r="E352" s="37"/>
    </row>
    <row r="353" spans="1:5" ht="18.75" customHeight="1" x14ac:dyDescent="0.25">
      <c r="A353" s="37"/>
      <c r="B353" s="37"/>
      <c r="C353" s="37"/>
      <c r="D353" s="37" t="s">
        <v>630</v>
      </c>
      <c r="E353" s="37"/>
    </row>
    <row r="354" spans="1:5" ht="18.75" customHeight="1" x14ac:dyDescent="0.25">
      <c r="A354" s="37"/>
      <c r="B354" s="37"/>
      <c r="C354" s="37"/>
      <c r="D354" s="37" t="s">
        <v>631</v>
      </c>
      <c r="E354" s="37"/>
    </row>
    <row r="355" spans="1:5" ht="18.75" customHeight="1" x14ac:dyDescent="0.25">
      <c r="A355" s="37"/>
      <c r="B355" s="37"/>
      <c r="C355" s="37"/>
      <c r="D355" s="37" t="s">
        <v>632</v>
      </c>
      <c r="E355" s="37"/>
    </row>
    <row r="356" spans="1:5" ht="18.75" customHeight="1" x14ac:dyDescent="0.25">
      <c r="A356" s="37"/>
      <c r="B356" s="37"/>
      <c r="C356" s="37"/>
      <c r="D356" s="37" t="s">
        <v>633</v>
      </c>
      <c r="E356" s="37"/>
    </row>
    <row r="357" spans="1:5" ht="18.75" customHeight="1" x14ac:dyDescent="0.25">
      <c r="A357" s="37"/>
      <c r="B357" s="37"/>
      <c r="C357" s="37"/>
      <c r="D357" s="37" t="s">
        <v>634</v>
      </c>
      <c r="E357" s="37"/>
    </row>
    <row r="358" spans="1:5" ht="18.75" customHeight="1" x14ac:dyDescent="0.25">
      <c r="A358" s="37"/>
      <c r="B358" s="37"/>
      <c r="C358" s="37"/>
      <c r="D358" s="37" t="s">
        <v>635</v>
      </c>
      <c r="E358" s="37"/>
    </row>
    <row r="359" spans="1:5" ht="18.75" customHeight="1" x14ac:dyDescent="0.25">
      <c r="A359" s="37"/>
      <c r="B359" s="37"/>
      <c r="C359" s="37"/>
      <c r="D359" s="37" t="s">
        <v>636</v>
      </c>
      <c r="E359" s="37"/>
    </row>
    <row r="360" spans="1:5" ht="18.75" customHeight="1" x14ac:dyDescent="0.25">
      <c r="A360" s="37"/>
      <c r="B360" s="37"/>
      <c r="C360" s="37"/>
      <c r="D360" s="37" t="s">
        <v>637</v>
      </c>
      <c r="E360" s="37"/>
    </row>
    <row r="361" spans="1:5" ht="18.75" customHeight="1" x14ac:dyDescent="0.25">
      <c r="A361" s="37"/>
      <c r="B361" s="37"/>
      <c r="C361" s="37"/>
      <c r="D361" s="37" t="s">
        <v>638</v>
      </c>
      <c r="E361" s="37"/>
    </row>
    <row r="362" spans="1:5" ht="18.75" customHeight="1" x14ac:dyDescent="0.25">
      <c r="A362" s="37"/>
      <c r="B362" s="37"/>
      <c r="C362" s="37"/>
      <c r="D362" s="37" t="s">
        <v>639</v>
      </c>
      <c r="E362" s="37"/>
    </row>
    <row r="363" spans="1:5" ht="18.75" customHeight="1" x14ac:dyDescent="0.25">
      <c r="A363" s="37"/>
      <c r="B363" s="37"/>
      <c r="C363" s="37"/>
      <c r="D363" s="37" t="s">
        <v>640</v>
      </c>
      <c r="E363" s="37"/>
    </row>
    <row r="364" spans="1:5" ht="18.75" customHeight="1" x14ac:dyDescent="0.25">
      <c r="A364" s="37"/>
      <c r="B364" s="37"/>
      <c r="C364" s="37"/>
      <c r="D364" s="37" t="s">
        <v>641</v>
      </c>
      <c r="E364" s="37"/>
    </row>
    <row r="365" spans="1:5" ht="18.75" customHeight="1" x14ac:dyDescent="0.25">
      <c r="A365" s="37"/>
      <c r="B365" s="37"/>
      <c r="C365" s="37"/>
      <c r="D365" s="37" t="s">
        <v>642</v>
      </c>
      <c r="E365" s="37"/>
    </row>
    <row r="366" spans="1:5" ht="18.75" customHeight="1" x14ac:dyDescent="0.25">
      <c r="A366" s="37"/>
      <c r="B366" s="37"/>
      <c r="C366" s="37"/>
      <c r="D366" s="37" t="s">
        <v>643</v>
      </c>
      <c r="E366" s="37"/>
    </row>
    <row r="367" spans="1:5" ht="18.75" customHeight="1" x14ac:dyDescent="0.25">
      <c r="A367" s="37"/>
      <c r="B367" s="37"/>
      <c r="C367" s="37"/>
      <c r="D367" s="37" t="s">
        <v>644</v>
      </c>
      <c r="E367" s="37"/>
    </row>
    <row r="368" spans="1:5" ht="18.75" customHeight="1" x14ac:dyDescent="0.25">
      <c r="A368" s="37"/>
      <c r="B368" s="37"/>
      <c r="C368" s="37"/>
      <c r="D368" s="37" t="s">
        <v>645</v>
      </c>
      <c r="E368" s="37"/>
    </row>
    <row r="369" spans="1:5" ht="18.75" customHeight="1" x14ac:dyDescent="0.25">
      <c r="A369" s="37"/>
      <c r="B369" s="37"/>
      <c r="C369" s="37"/>
      <c r="D369" s="37" t="s">
        <v>646</v>
      </c>
      <c r="E369" s="37"/>
    </row>
    <row r="370" spans="1:5" ht="18.75" customHeight="1" x14ac:dyDescent="0.25">
      <c r="A370" s="37"/>
      <c r="B370" s="37"/>
      <c r="C370" s="37"/>
      <c r="D370" s="37" t="s">
        <v>647</v>
      </c>
      <c r="E370" s="37"/>
    </row>
    <row r="371" spans="1:5" ht="18.75" customHeight="1" x14ac:dyDescent="0.25">
      <c r="A371" s="37"/>
      <c r="B371" s="37"/>
      <c r="C371" s="37"/>
      <c r="D371" s="37" t="s">
        <v>648</v>
      </c>
      <c r="E371" s="37"/>
    </row>
    <row r="372" spans="1:5" ht="18.75" customHeight="1" x14ac:dyDescent="0.25">
      <c r="A372" s="37"/>
      <c r="B372" s="37"/>
      <c r="C372" s="37"/>
      <c r="D372" s="37" t="s">
        <v>649</v>
      </c>
      <c r="E372" s="37"/>
    </row>
    <row r="373" spans="1:5" ht="18.75" customHeight="1" x14ac:dyDescent="0.25">
      <c r="A373" s="37"/>
      <c r="B373" s="37"/>
      <c r="C373" s="37"/>
      <c r="D373" s="37" t="s">
        <v>650</v>
      </c>
      <c r="E373" s="37"/>
    </row>
    <row r="374" spans="1:5" ht="18.75" customHeight="1" x14ac:dyDescent="0.25">
      <c r="A374" s="37"/>
      <c r="B374" s="37"/>
      <c r="C374" s="37"/>
      <c r="D374" s="37" t="s">
        <v>651</v>
      </c>
      <c r="E374" s="37"/>
    </row>
    <row r="375" spans="1:5" ht="18.75" customHeight="1" x14ac:dyDescent="0.25">
      <c r="A375" s="37"/>
      <c r="B375" s="37"/>
      <c r="C375" s="37"/>
      <c r="D375" s="37" t="s">
        <v>652</v>
      </c>
      <c r="E375" s="37"/>
    </row>
    <row r="376" spans="1:5" ht="18.75" customHeight="1" x14ac:dyDescent="0.25">
      <c r="A376" s="37"/>
      <c r="B376" s="37"/>
      <c r="C376" s="37"/>
      <c r="D376" s="37" t="s">
        <v>653</v>
      </c>
      <c r="E376" s="37"/>
    </row>
    <row r="377" spans="1:5" ht="18.75" customHeight="1" x14ac:dyDescent="0.25">
      <c r="A377" s="37"/>
      <c r="B377" s="37"/>
      <c r="C377" s="37"/>
      <c r="D377" s="37" t="s">
        <v>654</v>
      </c>
      <c r="E377" s="37"/>
    </row>
    <row r="378" spans="1:5" ht="18.75" customHeight="1" x14ac:dyDescent="0.25">
      <c r="A378" s="37"/>
      <c r="B378" s="37"/>
      <c r="C378" s="37"/>
      <c r="D378" s="37" t="s">
        <v>655</v>
      </c>
      <c r="E378" s="37"/>
    </row>
    <row r="379" spans="1:5" ht="18.75" customHeight="1" x14ac:dyDescent="0.25">
      <c r="A379" s="37"/>
      <c r="B379" s="37"/>
      <c r="C379" s="37"/>
      <c r="D379" s="37" t="s">
        <v>656</v>
      </c>
      <c r="E379" s="37"/>
    </row>
    <row r="380" spans="1:5" ht="18.75" customHeight="1" x14ac:dyDescent="0.25">
      <c r="A380" s="37"/>
      <c r="B380" s="37"/>
      <c r="C380" s="37"/>
      <c r="D380" s="37" t="s">
        <v>657</v>
      </c>
      <c r="E380" s="37"/>
    </row>
    <row r="381" spans="1:5" ht="18.75" customHeight="1" x14ac:dyDescent="0.25">
      <c r="A381" s="37"/>
      <c r="B381" s="37"/>
      <c r="C381" s="37"/>
      <c r="D381" s="37" t="s">
        <v>658</v>
      </c>
      <c r="E381" s="37"/>
    </row>
    <row r="382" spans="1:5" ht="18.75" customHeight="1" x14ac:dyDescent="0.25">
      <c r="A382" s="37"/>
      <c r="B382" s="37"/>
      <c r="C382" s="37"/>
      <c r="D382" s="37" t="s">
        <v>659</v>
      </c>
      <c r="E382" s="37"/>
    </row>
    <row r="383" spans="1:5" ht="18.75" customHeight="1" x14ac:dyDescent="0.25">
      <c r="A383" s="37"/>
      <c r="B383" s="37"/>
      <c r="C383" s="37"/>
      <c r="D383" s="37" t="s">
        <v>660</v>
      </c>
      <c r="E383" s="37"/>
    </row>
    <row r="384" spans="1:5" ht="18.75" customHeight="1" x14ac:dyDescent="0.25">
      <c r="A384" s="37"/>
      <c r="B384" s="37"/>
      <c r="C384" s="37"/>
      <c r="D384" s="37" t="s">
        <v>661</v>
      </c>
      <c r="E384" s="37"/>
    </row>
    <row r="385" spans="1:5" ht="18.75" customHeight="1" x14ac:dyDescent="0.25">
      <c r="A385" s="37"/>
      <c r="B385" s="37"/>
      <c r="C385" s="37"/>
      <c r="D385" s="37" t="s">
        <v>662</v>
      </c>
      <c r="E385" s="37"/>
    </row>
    <row r="386" spans="1:5" ht="18.75" customHeight="1" x14ac:dyDescent="0.25">
      <c r="A386" s="37"/>
      <c r="B386" s="37"/>
      <c r="C386" s="37"/>
      <c r="D386" s="37" t="s">
        <v>663</v>
      </c>
      <c r="E386" s="37"/>
    </row>
    <row r="387" spans="1:5" ht="18.75" customHeight="1" x14ac:dyDescent="0.25">
      <c r="A387" s="37"/>
      <c r="B387" s="37"/>
      <c r="C387" s="37"/>
      <c r="D387" s="37" t="s">
        <v>664</v>
      </c>
      <c r="E387" s="37"/>
    </row>
    <row r="388" spans="1:5" ht="18.75" customHeight="1" x14ac:dyDescent="0.25">
      <c r="A388" s="37"/>
      <c r="B388" s="37"/>
      <c r="C388" s="37"/>
      <c r="D388" s="37" t="s">
        <v>665</v>
      </c>
      <c r="E388" s="37"/>
    </row>
    <row r="389" spans="1:5" ht="18.75" customHeight="1" x14ac:dyDescent="0.25">
      <c r="A389" s="37"/>
      <c r="B389" s="37"/>
      <c r="C389" s="37"/>
      <c r="D389" s="37" t="s">
        <v>666</v>
      </c>
      <c r="E389" s="37"/>
    </row>
    <row r="390" spans="1:5" ht="18.75" customHeight="1" x14ac:dyDescent="0.25">
      <c r="A390" s="37"/>
      <c r="B390" s="37"/>
      <c r="C390" s="37"/>
      <c r="D390" s="37" t="s">
        <v>667</v>
      </c>
      <c r="E390" s="37"/>
    </row>
    <row r="391" spans="1:5" ht="18.75" customHeight="1" x14ac:dyDescent="0.25">
      <c r="A391" s="37"/>
      <c r="B391" s="37"/>
      <c r="C391" s="37"/>
      <c r="D391" s="37" t="s">
        <v>668</v>
      </c>
      <c r="E391" s="37"/>
    </row>
    <row r="392" spans="1:5" ht="18.75" customHeight="1" x14ac:dyDescent="0.25">
      <c r="A392" s="37"/>
      <c r="B392" s="37"/>
      <c r="C392" s="37"/>
      <c r="D392" s="37" t="s">
        <v>669</v>
      </c>
      <c r="E392" s="37"/>
    </row>
    <row r="393" spans="1:5" ht="18.75" customHeight="1" x14ac:dyDescent="0.25">
      <c r="A393" s="37"/>
      <c r="B393" s="37"/>
      <c r="C393" s="37"/>
      <c r="D393" s="37" t="s">
        <v>670</v>
      </c>
      <c r="E393" s="37"/>
    </row>
    <row r="394" spans="1:5" ht="18.75" customHeight="1" x14ac:dyDescent="0.25">
      <c r="A394" s="37"/>
      <c r="B394" s="37"/>
      <c r="C394" s="37"/>
      <c r="D394" s="37" t="s">
        <v>671</v>
      </c>
      <c r="E394" s="37"/>
    </row>
    <row r="395" spans="1:5" ht="18.75" customHeight="1" x14ac:dyDescent="0.25">
      <c r="A395" s="37"/>
      <c r="B395" s="37"/>
      <c r="C395" s="37"/>
      <c r="D395" s="37" t="s">
        <v>672</v>
      </c>
      <c r="E395" s="37"/>
    </row>
    <row r="396" spans="1:5" ht="18.75" customHeight="1" x14ac:dyDescent="0.25">
      <c r="A396" s="37"/>
      <c r="B396" s="37"/>
      <c r="C396" s="37"/>
      <c r="D396" s="37" t="s">
        <v>673</v>
      </c>
      <c r="E396" s="37"/>
    </row>
    <row r="397" spans="1:5" ht="18.75" customHeight="1" x14ac:dyDescent="0.25">
      <c r="A397" s="37"/>
      <c r="B397" s="37"/>
      <c r="C397" s="37"/>
      <c r="D397" s="37" t="s">
        <v>674</v>
      </c>
      <c r="E397" s="37"/>
    </row>
    <row r="398" spans="1:5" ht="18.75" customHeight="1" x14ac:dyDescent="0.25">
      <c r="A398" s="37"/>
      <c r="B398" s="37"/>
      <c r="C398" s="37"/>
      <c r="D398" s="37" t="s">
        <v>675</v>
      </c>
      <c r="E398" s="37"/>
    </row>
    <row r="399" spans="1:5" ht="18.75" customHeight="1" x14ac:dyDescent="0.25">
      <c r="A399" s="37"/>
      <c r="B399" s="37"/>
      <c r="C399" s="37"/>
      <c r="D399" s="37" t="s">
        <v>676</v>
      </c>
      <c r="E399" s="37"/>
    </row>
    <row r="400" spans="1:5" ht="18.75" customHeight="1" x14ac:dyDescent="0.25">
      <c r="A400" s="37"/>
      <c r="B400" s="37"/>
      <c r="C400" s="37"/>
      <c r="D400" s="37" t="s">
        <v>677</v>
      </c>
      <c r="E400" s="37"/>
    </row>
    <row r="401" spans="1:5" ht="18.75" customHeight="1" x14ac:dyDescent="0.25">
      <c r="A401" s="37"/>
      <c r="B401" s="37"/>
      <c r="C401" s="37"/>
      <c r="D401" s="37" t="s">
        <v>678</v>
      </c>
      <c r="E401" s="37"/>
    </row>
    <row r="402" spans="1:5" ht="18.75" customHeight="1" x14ac:dyDescent="0.25">
      <c r="A402" s="37"/>
      <c r="B402" s="37"/>
      <c r="C402" s="37"/>
      <c r="D402" s="37" t="s">
        <v>679</v>
      </c>
      <c r="E402" s="37"/>
    </row>
    <row r="403" spans="1:5" ht="18.75" customHeight="1" x14ac:dyDescent="0.25">
      <c r="A403" s="37"/>
      <c r="B403" s="37"/>
      <c r="C403" s="37"/>
      <c r="D403" s="37" t="s">
        <v>680</v>
      </c>
      <c r="E403" s="37"/>
    </row>
    <row r="404" spans="1:5" ht="18.75" customHeight="1" x14ac:dyDescent="0.25">
      <c r="A404" s="37"/>
      <c r="B404" s="37"/>
      <c r="C404" s="37"/>
      <c r="D404" s="37" t="s">
        <v>681</v>
      </c>
      <c r="E404" s="37"/>
    </row>
    <row r="405" spans="1:5" ht="18.75" customHeight="1" x14ac:dyDescent="0.25">
      <c r="A405" s="37"/>
      <c r="B405" s="37"/>
      <c r="C405" s="37"/>
      <c r="D405" s="37" t="s">
        <v>682</v>
      </c>
      <c r="E405" s="37"/>
    </row>
    <row r="406" spans="1:5" ht="18.75" customHeight="1" x14ac:dyDescent="0.25">
      <c r="A406" s="37"/>
      <c r="B406" s="37"/>
      <c r="C406" s="37"/>
      <c r="D406" s="37" t="s">
        <v>683</v>
      </c>
      <c r="E406" s="37"/>
    </row>
    <row r="407" spans="1:5" ht="18.75" customHeight="1" x14ac:dyDescent="0.25">
      <c r="A407" s="37"/>
      <c r="B407" s="37"/>
      <c r="C407" s="37"/>
      <c r="D407" s="37" t="s">
        <v>684</v>
      </c>
      <c r="E407" s="37"/>
    </row>
    <row r="408" spans="1:5" ht="18.75" customHeight="1" x14ac:dyDescent="0.25">
      <c r="A408" s="37"/>
      <c r="B408" s="37"/>
      <c r="C408" s="37"/>
      <c r="D408" s="37" t="s">
        <v>685</v>
      </c>
      <c r="E408" s="37"/>
    </row>
    <row r="409" spans="1:5" ht="18.75" customHeight="1" x14ac:dyDescent="0.25">
      <c r="A409" s="37"/>
      <c r="B409" s="37"/>
      <c r="C409" s="37"/>
      <c r="D409" s="37" t="s">
        <v>686</v>
      </c>
      <c r="E409" s="37"/>
    </row>
    <row r="410" spans="1:5" ht="18.75" customHeight="1" x14ac:dyDescent="0.25">
      <c r="A410" s="37"/>
      <c r="B410" s="37"/>
      <c r="C410" s="37"/>
      <c r="D410" s="37" t="s">
        <v>687</v>
      </c>
      <c r="E410" s="37"/>
    </row>
    <row r="411" spans="1:5" ht="18.75" customHeight="1" x14ac:dyDescent="0.25">
      <c r="A411" s="37"/>
      <c r="B411" s="37"/>
      <c r="C411" s="37"/>
      <c r="D411" s="37" t="s">
        <v>688</v>
      </c>
      <c r="E411" s="37"/>
    </row>
    <row r="412" spans="1:5" ht="18.75" customHeight="1" x14ac:dyDescent="0.25">
      <c r="A412" s="37"/>
      <c r="B412" s="37"/>
      <c r="C412" s="37"/>
      <c r="D412" s="37" t="s">
        <v>689</v>
      </c>
      <c r="E412" s="37"/>
    </row>
    <row r="413" spans="1:5" ht="18.75" customHeight="1" x14ac:dyDescent="0.25">
      <c r="A413" s="37"/>
      <c r="B413" s="37"/>
      <c r="C413" s="37"/>
      <c r="D413" s="37" t="s">
        <v>690</v>
      </c>
      <c r="E413" s="37"/>
    </row>
    <row r="414" spans="1:5" ht="18.75" customHeight="1" x14ac:dyDescent="0.25">
      <c r="A414" s="37"/>
      <c r="B414" s="37"/>
      <c r="C414" s="37"/>
      <c r="D414" s="37" t="s">
        <v>691</v>
      </c>
      <c r="E414" s="37"/>
    </row>
    <row r="415" spans="1:5" ht="18.75" customHeight="1" x14ac:dyDescent="0.25">
      <c r="A415" s="37"/>
      <c r="B415" s="37"/>
      <c r="C415" s="37"/>
      <c r="D415" s="37" t="s">
        <v>692</v>
      </c>
      <c r="E415" s="37"/>
    </row>
    <row r="416" spans="1:5" ht="18.75" customHeight="1" x14ac:dyDescent="0.25">
      <c r="A416" s="37"/>
      <c r="B416" s="37"/>
      <c r="C416" s="37"/>
      <c r="D416" s="37" t="s">
        <v>693</v>
      </c>
      <c r="E416" s="37"/>
    </row>
    <row r="417" spans="1:5" ht="18.75" customHeight="1" x14ac:dyDescent="0.25">
      <c r="A417" s="37"/>
      <c r="B417" s="37"/>
      <c r="C417" s="37"/>
      <c r="D417" s="37" t="s">
        <v>694</v>
      </c>
      <c r="E417" s="37"/>
    </row>
    <row r="418" spans="1:5" ht="18.75" customHeight="1" x14ac:dyDescent="0.25">
      <c r="A418" s="37"/>
      <c r="B418" s="37"/>
      <c r="C418" s="37"/>
      <c r="D418" s="37" t="s">
        <v>695</v>
      </c>
      <c r="E418" s="37"/>
    </row>
    <row r="419" spans="1:5" ht="18.75" customHeight="1" x14ac:dyDescent="0.25">
      <c r="A419" s="37"/>
      <c r="B419" s="37"/>
      <c r="C419" s="37"/>
      <c r="D419" s="37" t="s">
        <v>696</v>
      </c>
      <c r="E419" s="37"/>
    </row>
    <row r="420" spans="1:5" ht="18.75" customHeight="1" x14ac:dyDescent="0.25">
      <c r="A420" s="37"/>
      <c r="B420" s="37"/>
      <c r="C420" s="37"/>
      <c r="D420" s="37" t="s">
        <v>697</v>
      </c>
      <c r="E420" s="37"/>
    </row>
    <row r="421" spans="1:5" ht="18.75" customHeight="1" x14ac:dyDescent="0.25">
      <c r="A421" s="37"/>
      <c r="B421" s="37"/>
      <c r="C421" s="37"/>
      <c r="D421" s="37" t="s">
        <v>698</v>
      </c>
      <c r="E421" s="37"/>
    </row>
    <row r="422" spans="1:5" ht="18.75" customHeight="1" x14ac:dyDescent="0.25">
      <c r="A422" s="37"/>
      <c r="B422" s="37"/>
      <c r="C422" s="37"/>
      <c r="D422" s="37" t="s">
        <v>699</v>
      </c>
      <c r="E422" s="37"/>
    </row>
    <row r="423" spans="1:5" ht="18.75" customHeight="1" x14ac:dyDescent="0.25">
      <c r="A423" s="37"/>
      <c r="B423" s="37"/>
      <c r="C423" s="37"/>
      <c r="D423" s="37" t="s">
        <v>700</v>
      </c>
      <c r="E423" s="37"/>
    </row>
    <row r="424" spans="1:5" ht="18.75" customHeight="1" x14ac:dyDescent="0.25">
      <c r="A424" s="37"/>
      <c r="B424" s="37"/>
      <c r="C424" s="37"/>
      <c r="D424" s="37" t="s">
        <v>701</v>
      </c>
      <c r="E424" s="37"/>
    </row>
    <row r="425" spans="1:5" ht="18.75" customHeight="1" x14ac:dyDescent="0.25">
      <c r="A425" s="37"/>
      <c r="B425" s="37"/>
      <c r="C425" s="37"/>
      <c r="D425" s="37" t="s">
        <v>702</v>
      </c>
      <c r="E425" s="37"/>
    </row>
    <row r="426" spans="1:5" ht="18.75" customHeight="1" x14ac:dyDescent="0.25">
      <c r="A426" s="37"/>
      <c r="B426" s="37"/>
      <c r="C426" s="37"/>
      <c r="D426" s="37" t="s">
        <v>703</v>
      </c>
      <c r="E426" s="37"/>
    </row>
    <row r="427" spans="1:5" ht="18.75" customHeight="1" x14ac:dyDescent="0.25">
      <c r="A427" s="37"/>
      <c r="B427" s="37"/>
      <c r="C427" s="37"/>
      <c r="D427" s="37" t="s">
        <v>704</v>
      </c>
      <c r="E427" s="37"/>
    </row>
    <row r="428" spans="1:5" ht="18.75" customHeight="1" x14ac:dyDescent="0.25">
      <c r="A428" s="37"/>
      <c r="B428" s="37"/>
      <c r="C428" s="37"/>
      <c r="D428" s="37" t="s">
        <v>705</v>
      </c>
      <c r="E428" s="37"/>
    </row>
    <row r="429" spans="1:5" ht="18.75" customHeight="1" x14ac:dyDescent="0.25">
      <c r="A429" s="37"/>
      <c r="B429" s="37"/>
      <c r="C429" s="37"/>
      <c r="D429" s="37" t="s">
        <v>706</v>
      </c>
      <c r="E429" s="37"/>
    </row>
    <row r="430" spans="1:5" ht="18.75" customHeight="1" x14ac:dyDescent="0.25">
      <c r="A430" s="37"/>
      <c r="B430" s="37"/>
      <c r="C430" s="37"/>
      <c r="D430" s="37" t="s">
        <v>707</v>
      </c>
      <c r="E430" s="37"/>
    </row>
    <row r="431" spans="1:5" ht="18.75" customHeight="1" x14ac:dyDescent="0.25">
      <c r="A431" s="37"/>
      <c r="B431" s="37"/>
      <c r="C431" s="37"/>
      <c r="D431" s="37" t="s">
        <v>708</v>
      </c>
      <c r="E431" s="37"/>
    </row>
    <row r="432" spans="1:5" ht="18.75" customHeight="1" x14ac:dyDescent="0.25">
      <c r="A432" s="37"/>
      <c r="B432" s="37"/>
      <c r="C432" s="37"/>
      <c r="D432" s="37" t="s">
        <v>709</v>
      </c>
      <c r="E432" s="37"/>
    </row>
    <row r="433" spans="1:5" ht="18.75" customHeight="1" x14ac:dyDescent="0.25">
      <c r="A433" s="37"/>
      <c r="B433" s="37"/>
      <c r="C433" s="37"/>
      <c r="D433" s="37" t="s">
        <v>710</v>
      </c>
      <c r="E433" s="37"/>
    </row>
    <row r="434" spans="1:5" ht="18.75" customHeight="1" x14ac:dyDescent="0.25">
      <c r="A434" s="37"/>
      <c r="B434" s="37"/>
      <c r="C434" s="37"/>
      <c r="D434" s="37" t="s">
        <v>711</v>
      </c>
      <c r="E434" s="37"/>
    </row>
    <row r="435" spans="1:5" ht="18.75" customHeight="1" x14ac:dyDescent="0.25">
      <c r="A435" s="37"/>
      <c r="B435" s="37"/>
      <c r="C435" s="37"/>
      <c r="D435" s="37" t="s">
        <v>712</v>
      </c>
      <c r="E435" s="37"/>
    </row>
    <row r="436" spans="1:5" ht="18.75" customHeight="1" x14ac:dyDescent="0.25">
      <c r="A436" s="37"/>
      <c r="B436" s="37"/>
      <c r="C436" s="37"/>
      <c r="D436" s="37" t="s">
        <v>713</v>
      </c>
      <c r="E436" s="37"/>
    </row>
    <row r="437" spans="1:5" ht="18.75" customHeight="1" x14ac:dyDescent="0.25">
      <c r="A437" s="37"/>
      <c r="B437" s="37"/>
      <c r="C437" s="37"/>
      <c r="D437" s="37" t="s">
        <v>714</v>
      </c>
      <c r="E437" s="37"/>
    </row>
    <row r="438" spans="1:5" ht="18.75" customHeight="1" x14ac:dyDescent="0.25">
      <c r="A438" s="37"/>
      <c r="B438" s="37"/>
      <c r="C438" s="37"/>
      <c r="D438" s="37" t="s">
        <v>715</v>
      </c>
      <c r="E438" s="37"/>
    </row>
    <row r="439" spans="1:5" ht="18.75" customHeight="1" x14ac:dyDescent="0.25">
      <c r="A439" s="37"/>
      <c r="B439" s="37"/>
      <c r="C439" s="37"/>
      <c r="D439" s="37" t="s">
        <v>716</v>
      </c>
      <c r="E439" s="37"/>
    </row>
    <row r="440" spans="1:5" ht="18.75" customHeight="1" x14ac:dyDescent="0.25">
      <c r="A440" s="37"/>
      <c r="B440" s="37"/>
      <c r="C440" s="37"/>
      <c r="D440" s="37" t="s">
        <v>717</v>
      </c>
      <c r="E440" s="37"/>
    </row>
    <row r="441" spans="1:5" ht="18.75" customHeight="1" x14ac:dyDescent="0.25">
      <c r="A441" s="37"/>
      <c r="B441" s="37"/>
      <c r="C441" s="37"/>
      <c r="D441" s="37" t="s">
        <v>718</v>
      </c>
      <c r="E441" s="37"/>
    </row>
    <row r="442" spans="1:5" ht="18.75" customHeight="1" x14ac:dyDescent="0.25">
      <c r="A442" s="37"/>
      <c r="B442" s="37"/>
      <c r="C442" s="37"/>
      <c r="D442" s="37" t="s">
        <v>719</v>
      </c>
      <c r="E442" s="37"/>
    </row>
    <row r="443" spans="1:5" ht="18.75" customHeight="1" x14ac:dyDescent="0.25">
      <c r="A443" s="37"/>
      <c r="B443" s="37"/>
      <c r="C443" s="37"/>
      <c r="D443" s="37" t="s">
        <v>720</v>
      </c>
      <c r="E443" s="37"/>
    </row>
    <row r="444" spans="1:5" ht="18.75" customHeight="1" x14ac:dyDescent="0.25">
      <c r="A444" s="37"/>
      <c r="B444" s="37"/>
      <c r="C444" s="37"/>
      <c r="D444" s="37" t="s">
        <v>721</v>
      </c>
      <c r="E444" s="37"/>
    </row>
    <row r="445" spans="1:5" ht="18.75" customHeight="1" x14ac:dyDescent="0.25">
      <c r="A445" s="37"/>
      <c r="B445" s="37"/>
      <c r="C445" s="37"/>
      <c r="D445" s="37" t="s">
        <v>722</v>
      </c>
      <c r="E445" s="37"/>
    </row>
    <row r="446" spans="1:5" ht="18.75" customHeight="1" x14ac:dyDescent="0.25">
      <c r="A446" s="37"/>
      <c r="B446" s="37"/>
      <c r="C446" s="37"/>
      <c r="D446" s="37" t="s">
        <v>723</v>
      </c>
      <c r="E446" s="37"/>
    </row>
    <row r="447" spans="1:5" ht="18.75" customHeight="1" x14ac:dyDescent="0.25">
      <c r="A447" s="37"/>
      <c r="B447" s="37"/>
      <c r="C447" s="37"/>
      <c r="D447" s="37" t="s">
        <v>724</v>
      </c>
      <c r="E447" s="37"/>
    </row>
    <row r="448" spans="1:5" ht="18.75" customHeight="1" x14ac:dyDescent="0.25">
      <c r="A448" s="37"/>
      <c r="B448" s="37"/>
      <c r="C448" s="37"/>
      <c r="D448" s="37" t="s">
        <v>725</v>
      </c>
      <c r="E448" s="37"/>
    </row>
    <row r="449" spans="1:5" ht="18.75" customHeight="1" x14ac:dyDescent="0.25">
      <c r="A449" s="37"/>
      <c r="B449" s="37"/>
      <c r="C449" s="37"/>
      <c r="D449" s="37" t="s">
        <v>726</v>
      </c>
      <c r="E449" s="37"/>
    </row>
    <row r="450" spans="1:5" ht="18.75" customHeight="1" x14ac:dyDescent="0.25">
      <c r="A450" s="37"/>
      <c r="B450" s="37"/>
      <c r="C450" s="37"/>
      <c r="D450" s="37" t="s">
        <v>727</v>
      </c>
      <c r="E450" s="37"/>
    </row>
    <row r="451" spans="1:5" ht="18.75" customHeight="1" x14ac:dyDescent="0.25">
      <c r="A451" s="37"/>
      <c r="B451" s="37"/>
      <c r="C451" s="37"/>
      <c r="D451" s="37" t="s">
        <v>728</v>
      </c>
      <c r="E451" s="37"/>
    </row>
    <row r="452" spans="1:5" ht="18.75" customHeight="1" x14ac:dyDescent="0.25">
      <c r="A452" s="37"/>
      <c r="B452" s="37"/>
      <c r="C452" s="37"/>
      <c r="D452" s="37" t="s">
        <v>729</v>
      </c>
      <c r="E452" s="37"/>
    </row>
    <row r="453" spans="1:5" ht="18.75" customHeight="1" x14ac:dyDescent="0.25">
      <c r="A453" s="37"/>
      <c r="B453" s="37"/>
      <c r="C453" s="37"/>
      <c r="D453" s="37" t="s">
        <v>730</v>
      </c>
      <c r="E453" s="37"/>
    </row>
    <row r="454" spans="1:5" ht="18.75" customHeight="1" x14ac:dyDescent="0.25">
      <c r="A454" s="37"/>
      <c r="B454" s="37"/>
      <c r="C454" s="37"/>
      <c r="D454" s="37" t="s">
        <v>731</v>
      </c>
      <c r="E454" s="37"/>
    </row>
    <row r="455" spans="1:5" ht="18.75" customHeight="1" x14ac:dyDescent="0.25">
      <c r="A455" s="37"/>
      <c r="B455" s="37"/>
      <c r="C455" s="37"/>
      <c r="D455" s="37" t="s">
        <v>732</v>
      </c>
      <c r="E455" s="37"/>
    </row>
    <row r="456" spans="1:5" ht="18.75" customHeight="1" x14ac:dyDescent="0.25">
      <c r="A456" s="37"/>
      <c r="B456" s="37"/>
      <c r="C456" s="37"/>
      <c r="D456" s="37" t="s">
        <v>733</v>
      </c>
      <c r="E456" s="37"/>
    </row>
    <row r="457" spans="1:5" ht="18.75" customHeight="1" x14ac:dyDescent="0.25">
      <c r="A457" s="37"/>
      <c r="B457" s="37"/>
      <c r="C457" s="37"/>
      <c r="D457" s="37" t="s">
        <v>734</v>
      </c>
      <c r="E457" s="37"/>
    </row>
    <row r="458" spans="1:5" ht="18.75" customHeight="1" x14ac:dyDescent="0.25">
      <c r="A458" s="37"/>
      <c r="B458" s="37"/>
      <c r="C458" s="37"/>
      <c r="D458" s="37" t="s">
        <v>735</v>
      </c>
      <c r="E458" s="37"/>
    </row>
    <row r="459" spans="1:5" ht="18.75" customHeight="1" x14ac:dyDescent="0.25">
      <c r="A459" s="37"/>
      <c r="B459" s="37"/>
      <c r="C459" s="37"/>
      <c r="D459" s="37" t="s">
        <v>736</v>
      </c>
      <c r="E459" s="37"/>
    </row>
    <row r="460" spans="1:5" ht="18.75" customHeight="1" x14ac:dyDescent="0.25">
      <c r="A460" s="37"/>
      <c r="B460" s="37"/>
      <c r="C460" s="37"/>
      <c r="D460" s="37" t="s">
        <v>737</v>
      </c>
      <c r="E460" s="37"/>
    </row>
    <row r="461" spans="1:5" ht="18.75" customHeight="1" x14ac:dyDescent="0.25">
      <c r="A461" s="37"/>
      <c r="B461" s="37"/>
      <c r="C461" s="37"/>
      <c r="D461" s="37" t="s">
        <v>738</v>
      </c>
      <c r="E461" s="37"/>
    </row>
    <row r="462" spans="1:5" ht="18.75" customHeight="1" x14ac:dyDescent="0.25">
      <c r="A462" s="37"/>
      <c r="B462" s="37"/>
      <c r="C462" s="37"/>
      <c r="D462" s="37" t="s">
        <v>739</v>
      </c>
      <c r="E462" s="37"/>
    </row>
    <row r="463" spans="1:5" ht="18.75" customHeight="1" x14ac:dyDescent="0.25">
      <c r="A463" s="37"/>
      <c r="B463" s="37"/>
      <c r="C463" s="37"/>
      <c r="D463" s="37" t="s">
        <v>740</v>
      </c>
      <c r="E463" s="37"/>
    </row>
    <row r="464" spans="1:5" ht="18.75" customHeight="1" x14ac:dyDescent="0.25">
      <c r="A464" s="37"/>
      <c r="B464" s="37"/>
      <c r="C464" s="37"/>
      <c r="D464" s="37" t="s">
        <v>741</v>
      </c>
      <c r="E464" s="37"/>
    </row>
    <row r="465" spans="1:5" ht="18.75" customHeight="1" x14ac:dyDescent="0.25">
      <c r="A465" s="37"/>
      <c r="B465" s="37"/>
      <c r="C465" s="37"/>
      <c r="D465" s="37" t="s">
        <v>742</v>
      </c>
      <c r="E465" s="37"/>
    </row>
    <row r="466" spans="1:5" ht="18.75" customHeight="1" x14ac:dyDescent="0.25">
      <c r="A466" s="37"/>
      <c r="B466" s="37"/>
      <c r="C466" s="37"/>
      <c r="D466" s="37" t="s">
        <v>743</v>
      </c>
      <c r="E466" s="37"/>
    </row>
    <row r="467" spans="1:5" ht="18.75" customHeight="1" x14ac:dyDescent="0.25">
      <c r="A467" s="37"/>
      <c r="B467" s="37"/>
      <c r="C467" s="37"/>
      <c r="D467" s="37" t="s">
        <v>744</v>
      </c>
      <c r="E467" s="37"/>
    </row>
    <row r="468" spans="1:5" ht="18.75" customHeight="1" x14ac:dyDescent="0.25">
      <c r="A468" s="37"/>
      <c r="B468" s="37"/>
      <c r="C468" s="37"/>
      <c r="D468" s="37" t="s">
        <v>745</v>
      </c>
      <c r="E468" s="37"/>
    </row>
    <row r="469" spans="1:5" ht="18.75" customHeight="1" x14ac:dyDescent="0.25">
      <c r="A469" s="37"/>
      <c r="B469" s="37"/>
      <c r="C469" s="37"/>
      <c r="D469" s="37" t="s">
        <v>746</v>
      </c>
      <c r="E469" s="37"/>
    </row>
    <row r="470" spans="1:5" ht="18.75" customHeight="1" x14ac:dyDescent="0.25">
      <c r="A470" s="37"/>
      <c r="B470" s="37"/>
      <c r="C470" s="37"/>
      <c r="D470" s="37" t="s">
        <v>747</v>
      </c>
      <c r="E470" s="37"/>
    </row>
    <row r="471" spans="1:5" ht="18.75" customHeight="1" x14ac:dyDescent="0.25">
      <c r="A471" s="37"/>
      <c r="B471" s="37"/>
      <c r="C471" s="37"/>
      <c r="D471" s="37" t="s">
        <v>748</v>
      </c>
      <c r="E471" s="37"/>
    </row>
    <row r="472" spans="1:5" ht="18.75" customHeight="1" x14ac:dyDescent="0.25">
      <c r="A472" s="37"/>
      <c r="B472" s="37"/>
      <c r="C472" s="37"/>
      <c r="D472" s="37" t="s">
        <v>749</v>
      </c>
      <c r="E472" s="37"/>
    </row>
    <row r="473" spans="1:5" ht="18.75" customHeight="1" x14ac:dyDescent="0.25">
      <c r="A473" s="37"/>
      <c r="B473" s="37"/>
      <c r="C473" s="37"/>
      <c r="D473" s="37" t="s">
        <v>750</v>
      </c>
      <c r="E473" s="37"/>
    </row>
    <row r="474" spans="1:5" ht="18.75" customHeight="1" x14ac:dyDescent="0.25">
      <c r="A474" s="37"/>
      <c r="B474" s="37"/>
      <c r="C474" s="37"/>
      <c r="D474" s="37" t="s">
        <v>751</v>
      </c>
      <c r="E474" s="37"/>
    </row>
    <row r="475" spans="1:5" ht="18.75" customHeight="1" x14ac:dyDescent="0.25">
      <c r="A475" s="37"/>
      <c r="B475" s="37"/>
      <c r="C475" s="37"/>
      <c r="D475" s="37" t="s">
        <v>752</v>
      </c>
      <c r="E475" s="37"/>
    </row>
    <row r="476" spans="1:5" ht="18.75" customHeight="1" x14ac:dyDescent="0.25">
      <c r="A476" s="37"/>
      <c r="B476" s="37"/>
      <c r="C476" s="37"/>
      <c r="D476" s="37" t="s">
        <v>753</v>
      </c>
      <c r="E476" s="37"/>
    </row>
    <row r="477" spans="1:5" ht="18.75" customHeight="1" x14ac:dyDescent="0.25">
      <c r="A477" s="37"/>
      <c r="B477" s="37"/>
      <c r="C477" s="37"/>
      <c r="D477" s="37" t="s">
        <v>754</v>
      </c>
      <c r="E477" s="37"/>
    </row>
    <row r="478" spans="1:5" ht="18.75" customHeight="1" x14ac:dyDescent="0.25">
      <c r="A478" s="37"/>
      <c r="B478" s="37"/>
      <c r="C478" s="37"/>
      <c r="D478" s="37" t="s">
        <v>755</v>
      </c>
      <c r="E478" s="37"/>
    </row>
    <row r="479" spans="1:5" ht="18.75" customHeight="1" x14ac:dyDescent="0.25">
      <c r="A479" s="37"/>
      <c r="B479" s="37"/>
      <c r="C479" s="37"/>
      <c r="D479" s="37" t="s">
        <v>756</v>
      </c>
      <c r="E479" s="37"/>
    </row>
    <row r="480" spans="1:5" ht="18.75" customHeight="1" x14ac:dyDescent="0.25">
      <c r="A480" s="37"/>
      <c r="B480" s="37"/>
      <c r="C480" s="37"/>
      <c r="D480" s="37" t="s">
        <v>757</v>
      </c>
      <c r="E480" s="37"/>
    </row>
    <row r="481" spans="1:5" ht="18.75" customHeight="1" x14ac:dyDescent="0.25">
      <c r="A481" s="37"/>
      <c r="B481" s="37"/>
      <c r="C481" s="37"/>
      <c r="D481" s="37" t="s">
        <v>758</v>
      </c>
      <c r="E481" s="37"/>
    </row>
    <row r="482" spans="1:5" ht="18.75" customHeight="1" x14ac:dyDescent="0.25">
      <c r="A482" s="37"/>
      <c r="B482" s="37"/>
      <c r="C482" s="37"/>
      <c r="D482" s="37" t="s">
        <v>759</v>
      </c>
      <c r="E482" s="37"/>
    </row>
    <row r="483" spans="1:5" ht="18.75" customHeight="1" x14ac:dyDescent="0.25">
      <c r="A483" s="37"/>
      <c r="B483" s="37"/>
      <c r="C483" s="37"/>
      <c r="D483" s="37" t="s">
        <v>760</v>
      </c>
      <c r="E483" s="37"/>
    </row>
    <row r="484" spans="1:5" ht="18.75" customHeight="1" x14ac:dyDescent="0.25">
      <c r="A484" s="37"/>
      <c r="B484" s="37"/>
      <c r="C484" s="37"/>
      <c r="D484" s="37" t="s">
        <v>761</v>
      </c>
      <c r="E484" s="37"/>
    </row>
    <row r="485" spans="1:5" ht="18.75" customHeight="1" x14ac:dyDescent="0.25">
      <c r="A485" s="37"/>
      <c r="B485" s="37"/>
      <c r="C485" s="37"/>
      <c r="D485" s="37" t="s">
        <v>762</v>
      </c>
      <c r="E485" s="37"/>
    </row>
    <row r="486" spans="1:5" ht="18.75" customHeight="1" x14ac:dyDescent="0.25">
      <c r="A486" s="37"/>
      <c r="B486" s="37"/>
      <c r="C486" s="37"/>
      <c r="D486" s="37" t="s">
        <v>763</v>
      </c>
      <c r="E486" s="37"/>
    </row>
    <row r="487" spans="1:5" ht="18.75" customHeight="1" x14ac:dyDescent="0.25">
      <c r="A487" s="37"/>
      <c r="B487" s="37"/>
      <c r="C487" s="37"/>
      <c r="D487" s="37" t="s">
        <v>764</v>
      </c>
      <c r="E487" s="37"/>
    </row>
    <row r="488" spans="1:5" ht="18.75" customHeight="1" x14ac:dyDescent="0.25">
      <c r="A488" s="37"/>
      <c r="B488" s="37"/>
      <c r="C488" s="37"/>
      <c r="D488" s="37" t="s">
        <v>765</v>
      </c>
      <c r="E488" s="37"/>
    </row>
    <row r="489" spans="1:5" ht="18.75" customHeight="1" x14ac:dyDescent="0.25">
      <c r="A489" s="37"/>
      <c r="B489" s="37"/>
      <c r="C489" s="37"/>
      <c r="D489" s="37" t="s">
        <v>766</v>
      </c>
      <c r="E489" s="37"/>
    </row>
    <row r="490" spans="1:5" ht="18.75" customHeight="1" x14ac:dyDescent="0.25">
      <c r="A490" s="37"/>
      <c r="B490" s="37"/>
      <c r="C490" s="37"/>
      <c r="D490" s="37" t="s">
        <v>767</v>
      </c>
      <c r="E490" s="37"/>
    </row>
    <row r="491" spans="1:5" ht="18.75" customHeight="1" x14ac:dyDescent="0.25">
      <c r="A491" s="37"/>
      <c r="B491" s="37"/>
      <c r="C491" s="37"/>
      <c r="D491" s="37" t="s">
        <v>768</v>
      </c>
      <c r="E491" s="37"/>
    </row>
    <row r="492" spans="1:5" ht="18.75" customHeight="1" x14ac:dyDescent="0.25">
      <c r="A492" s="37"/>
      <c r="B492" s="37"/>
      <c r="C492" s="37"/>
      <c r="D492" s="37" t="s">
        <v>769</v>
      </c>
      <c r="E492" s="37"/>
    </row>
    <row r="493" spans="1:5" ht="18.75" customHeight="1" x14ac:dyDescent="0.25">
      <c r="A493" s="37"/>
      <c r="B493" s="37"/>
      <c r="C493" s="37"/>
      <c r="D493" s="37" t="s">
        <v>770</v>
      </c>
      <c r="E493" s="37"/>
    </row>
    <row r="494" spans="1:5" ht="18.75" customHeight="1" x14ac:dyDescent="0.25">
      <c r="A494" s="37"/>
      <c r="B494" s="37"/>
      <c r="C494" s="37"/>
      <c r="D494" s="37" t="s">
        <v>771</v>
      </c>
      <c r="E494" s="37"/>
    </row>
    <row r="495" spans="1:5" ht="18.75" customHeight="1" x14ac:dyDescent="0.25">
      <c r="A495" s="37"/>
      <c r="B495" s="37"/>
      <c r="C495" s="37"/>
      <c r="D495" s="37" t="s">
        <v>772</v>
      </c>
      <c r="E495" s="37"/>
    </row>
    <row r="496" spans="1:5" ht="18.75" customHeight="1" x14ac:dyDescent="0.25">
      <c r="A496" s="37"/>
      <c r="B496" s="37"/>
      <c r="C496" s="37"/>
      <c r="D496" s="37" t="s">
        <v>773</v>
      </c>
      <c r="E496" s="37"/>
    </row>
    <row r="497" spans="1:5" ht="18.75" customHeight="1" x14ac:dyDescent="0.25">
      <c r="A497" s="37"/>
      <c r="B497" s="37"/>
      <c r="C497" s="37"/>
      <c r="D497" s="37" t="s">
        <v>774</v>
      </c>
      <c r="E497" s="37"/>
    </row>
    <row r="498" spans="1:5" ht="18.75" customHeight="1" x14ac:dyDescent="0.25">
      <c r="A498" s="37"/>
      <c r="B498" s="37"/>
      <c r="C498" s="37"/>
      <c r="D498" s="37" t="s">
        <v>775</v>
      </c>
      <c r="E498" s="37"/>
    </row>
    <row r="499" spans="1:5" ht="18.75" customHeight="1" x14ac:dyDescent="0.25">
      <c r="A499" s="37"/>
      <c r="B499" s="37"/>
      <c r="C499" s="37"/>
      <c r="D499" s="37" t="s">
        <v>776</v>
      </c>
      <c r="E499" s="37"/>
    </row>
    <row r="500" spans="1:5" ht="18.75" customHeight="1" x14ac:dyDescent="0.25">
      <c r="A500" s="37"/>
      <c r="B500" s="37"/>
      <c r="C500" s="37"/>
      <c r="D500" s="37" t="s">
        <v>777</v>
      </c>
      <c r="E500" s="37"/>
    </row>
    <row r="501" spans="1:5" ht="18.75" customHeight="1" x14ac:dyDescent="0.25">
      <c r="A501" s="37"/>
      <c r="B501" s="37"/>
      <c r="C501" s="37"/>
      <c r="D501" s="37" t="s">
        <v>778</v>
      </c>
      <c r="E501" s="37"/>
    </row>
    <row r="502" spans="1:5" ht="18.75" customHeight="1" x14ac:dyDescent="0.25">
      <c r="A502" s="37"/>
      <c r="B502" s="37"/>
      <c r="C502" s="37"/>
      <c r="D502" s="37" t="s">
        <v>779</v>
      </c>
      <c r="E502" s="37"/>
    </row>
    <row r="503" spans="1:5" ht="18.75" customHeight="1" x14ac:dyDescent="0.25">
      <c r="A503" s="37"/>
      <c r="B503" s="37"/>
      <c r="C503" s="37"/>
      <c r="D503" s="37" t="s">
        <v>780</v>
      </c>
      <c r="E503" s="37"/>
    </row>
    <row r="504" spans="1:5" ht="18.75" customHeight="1" x14ac:dyDescent="0.25">
      <c r="A504" s="37"/>
      <c r="B504" s="37"/>
      <c r="C504" s="37"/>
      <c r="D504" s="37" t="s">
        <v>781</v>
      </c>
      <c r="E504" s="37"/>
    </row>
    <row r="505" spans="1:5" ht="18.75" customHeight="1" x14ac:dyDescent="0.25">
      <c r="A505" s="37"/>
      <c r="B505" s="37"/>
      <c r="C505" s="37"/>
      <c r="D505" s="37" t="s">
        <v>782</v>
      </c>
      <c r="E505" s="37"/>
    </row>
    <row r="506" spans="1:5" ht="18.75" customHeight="1" x14ac:dyDescent="0.25">
      <c r="A506" s="37"/>
      <c r="B506" s="37"/>
      <c r="C506" s="37"/>
      <c r="D506" s="37" t="s">
        <v>783</v>
      </c>
      <c r="E506" s="37"/>
    </row>
    <row r="507" spans="1:5" ht="18.75" customHeight="1" x14ac:dyDescent="0.25">
      <c r="A507" s="37"/>
      <c r="B507" s="37"/>
      <c r="C507" s="37"/>
      <c r="D507" s="37" t="s">
        <v>784</v>
      </c>
      <c r="E507" s="37"/>
    </row>
    <row r="508" spans="1:5" ht="18.75" customHeight="1" x14ac:dyDescent="0.25">
      <c r="A508" s="37"/>
      <c r="B508" s="37"/>
      <c r="C508" s="37"/>
      <c r="D508" s="37" t="s">
        <v>785</v>
      </c>
      <c r="E508" s="37"/>
    </row>
    <row r="509" spans="1:5" ht="18.75" customHeight="1" x14ac:dyDescent="0.25">
      <c r="A509" s="37"/>
      <c r="B509" s="37"/>
      <c r="C509" s="37"/>
      <c r="D509" s="37" t="s">
        <v>786</v>
      </c>
      <c r="E509" s="37"/>
    </row>
    <row r="510" spans="1:5" ht="18.75" customHeight="1" x14ac:dyDescent="0.25">
      <c r="A510" s="37"/>
      <c r="B510" s="37"/>
      <c r="C510" s="37"/>
      <c r="D510" s="37" t="s">
        <v>787</v>
      </c>
      <c r="E510" s="37"/>
    </row>
    <row r="511" spans="1:5" ht="18.75" customHeight="1" x14ac:dyDescent="0.25">
      <c r="A511" s="37"/>
      <c r="B511" s="37"/>
      <c r="C511" s="37"/>
      <c r="D511" s="37" t="s">
        <v>788</v>
      </c>
      <c r="E511" s="37"/>
    </row>
    <row r="512" spans="1:5" ht="18.75" customHeight="1" x14ac:dyDescent="0.25">
      <c r="A512" s="37"/>
      <c r="B512" s="37"/>
      <c r="C512" s="37"/>
      <c r="D512" s="37" t="s">
        <v>789</v>
      </c>
      <c r="E512" s="37"/>
    </row>
    <row r="513" spans="1:5" ht="18.75" customHeight="1" x14ac:dyDescent="0.25">
      <c r="A513" s="37"/>
      <c r="B513" s="37"/>
      <c r="C513" s="37"/>
      <c r="D513" s="37" t="s">
        <v>790</v>
      </c>
      <c r="E513" s="37"/>
    </row>
    <row r="514" spans="1:5" ht="18.75" customHeight="1" x14ac:dyDescent="0.25">
      <c r="A514" s="37"/>
      <c r="B514" s="37"/>
      <c r="C514" s="37"/>
      <c r="D514" s="37" t="s">
        <v>791</v>
      </c>
      <c r="E514" s="37"/>
    </row>
    <row r="515" spans="1:5" ht="18.75" customHeight="1" x14ac:dyDescent="0.25">
      <c r="A515" s="37"/>
      <c r="B515" s="37"/>
      <c r="C515" s="37"/>
      <c r="D515" s="37" t="s">
        <v>792</v>
      </c>
      <c r="E515" s="37"/>
    </row>
    <row r="516" spans="1:5" ht="18.75" customHeight="1" x14ac:dyDescent="0.25">
      <c r="A516" s="37"/>
      <c r="B516" s="37"/>
      <c r="C516" s="37"/>
      <c r="D516" s="37" t="s">
        <v>793</v>
      </c>
      <c r="E516" s="37"/>
    </row>
    <row r="517" spans="1:5" ht="18.75" customHeight="1" x14ac:dyDescent="0.25">
      <c r="A517" s="37"/>
      <c r="B517" s="37"/>
      <c r="C517" s="37"/>
      <c r="D517" s="37" t="s">
        <v>794</v>
      </c>
      <c r="E517" s="37"/>
    </row>
    <row r="518" spans="1:5" ht="18.75" customHeight="1" x14ac:dyDescent="0.25">
      <c r="A518" s="37"/>
      <c r="B518" s="37"/>
      <c r="C518" s="37"/>
      <c r="D518" s="37" t="s">
        <v>795</v>
      </c>
      <c r="E518" s="37"/>
    </row>
    <row r="519" spans="1:5" ht="18.75" customHeight="1" x14ac:dyDescent="0.25">
      <c r="A519" s="37"/>
      <c r="B519" s="37"/>
      <c r="C519" s="37"/>
      <c r="D519" s="37" t="s">
        <v>796</v>
      </c>
      <c r="E519" s="37"/>
    </row>
    <row r="520" spans="1:5" ht="18.75" customHeight="1" x14ac:dyDescent="0.25">
      <c r="A520" s="37"/>
      <c r="B520" s="37"/>
      <c r="C520" s="37"/>
      <c r="D520" s="37" t="s">
        <v>797</v>
      </c>
      <c r="E520" s="37"/>
    </row>
    <row r="521" spans="1:5" ht="18.75" customHeight="1" x14ac:dyDescent="0.25">
      <c r="A521" s="37"/>
      <c r="B521" s="37"/>
      <c r="C521" s="37"/>
      <c r="D521" s="37" t="s">
        <v>798</v>
      </c>
      <c r="E521" s="37"/>
    </row>
    <row r="522" spans="1:5" ht="18.75" customHeight="1" x14ac:dyDescent="0.25">
      <c r="A522" s="37"/>
      <c r="B522" s="37"/>
      <c r="C522" s="37"/>
      <c r="D522" s="37" t="s">
        <v>799</v>
      </c>
      <c r="E522" s="37"/>
    </row>
    <row r="523" spans="1:5" ht="18.75" customHeight="1" x14ac:dyDescent="0.25">
      <c r="A523" s="37"/>
      <c r="B523" s="37"/>
      <c r="C523" s="37"/>
      <c r="D523" s="37" t="s">
        <v>800</v>
      </c>
      <c r="E523" s="37"/>
    </row>
    <row r="524" spans="1:5" ht="18.75" customHeight="1" x14ac:dyDescent="0.25">
      <c r="A524" s="37"/>
      <c r="B524" s="37"/>
      <c r="C524" s="37"/>
      <c r="D524" s="37" t="s">
        <v>801</v>
      </c>
      <c r="E524" s="37"/>
    </row>
    <row r="525" spans="1:5" ht="18.75" customHeight="1" x14ac:dyDescent="0.25">
      <c r="A525" s="37"/>
      <c r="B525" s="37"/>
      <c r="C525" s="37"/>
      <c r="D525" s="37" t="s">
        <v>802</v>
      </c>
      <c r="E525" s="37"/>
    </row>
    <row r="526" spans="1:5" ht="18.75" customHeight="1" x14ac:dyDescent="0.25">
      <c r="A526" s="37"/>
      <c r="B526" s="37"/>
      <c r="C526" s="37"/>
      <c r="D526" s="37" t="s">
        <v>803</v>
      </c>
      <c r="E526" s="37"/>
    </row>
    <row r="527" spans="1:5" ht="18.75" customHeight="1" x14ac:dyDescent="0.25">
      <c r="A527" s="37"/>
      <c r="B527" s="37"/>
      <c r="C527" s="37"/>
      <c r="D527" s="37" t="s">
        <v>804</v>
      </c>
      <c r="E527" s="37"/>
    </row>
    <row r="528" spans="1:5" ht="18.75" customHeight="1" x14ac:dyDescent="0.25">
      <c r="A528" s="37"/>
      <c r="B528" s="37"/>
      <c r="C528" s="37"/>
      <c r="D528" s="37" t="s">
        <v>805</v>
      </c>
      <c r="E528" s="37"/>
    </row>
    <row r="529" spans="1:5" ht="18.75" customHeight="1" x14ac:dyDescent="0.25">
      <c r="A529" s="37"/>
      <c r="B529" s="37"/>
      <c r="C529" s="37"/>
      <c r="D529" s="37" t="s">
        <v>806</v>
      </c>
      <c r="E529" s="37"/>
    </row>
    <row r="530" spans="1:5" ht="18.75" customHeight="1" x14ac:dyDescent="0.25">
      <c r="A530" s="37"/>
      <c r="B530" s="37"/>
      <c r="C530" s="37"/>
      <c r="D530" s="37" t="s">
        <v>807</v>
      </c>
      <c r="E530" s="37"/>
    </row>
    <row r="531" spans="1:5" ht="18.75" customHeight="1" x14ac:dyDescent="0.25">
      <c r="A531" s="37"/>
      <c r="B531" s="37"/>
      <c r="C531" s="37"/>
      <c r="D531" s="37" t="s">
        <v>808</v>
      </c>
      <c r="E531" s="37"/>
    </row>
    <row r="532" spans="1:5" ht="18.75" customHeight="1" x14ac:dyDescent="0.25">
      <c r="A532" s="37"/>
      <c r="B532" s="37"/>
      <c r="C532" s="37"/>
      <c r="D532" s="37" t="s">
        <v>809</v>
      </c>
      <c r="E532" s="37"/>
    </row>
    <row r="533" spans="1:5" ht="18.75" customHeight="1" x14ac:dyDescent="0.25">
      <c r="A533" s="37"/>
      <c r="B533" s="37"/>
      <c r="C533" s="37"/>
      <c r="D533" s="37" t="s">
        <v>810</v>
      </c>
      <c r="E533" s="37"/>
    </row>
    <row r="534" spans="1:5" ht="18.75" customHeight="1" x14ac:dyDescent="0.25">
      <c r="A534" s="37"/>
      <c r="B534" s="37"/>
      <c r="C534" s="37"/>
      <c r="D534" s="37" t="s">
        <v>811</v>
      </c>
      <c r="E534" s="37"/>
    </row>
    <row r="535" spans="1:5" ht="18.75" customHeight="1" x14ac:dyDescent="0.25">
      <c r="A535" s="37"/>
      <c r="B535" s="37"/>
      <c r="C535" s="37"/>
      <c r="D535" s="37" t="s">
        <v>812</v>
      </c>
      <c r="E535" s="37"/>
    </row>
    <row r="536" spans="1:5" ht="18.75" customHeight="1" x14ac:dyDescent="0.25">
      <c r="A536" s="37"/>
      <c r="B536" s="37"/>
      <c r="C536" s="37"/>
      <c r="D536" s="37" t="s">
        <v>813</v>
      </c>
      <c r="E536" s="37"/>
    </row>
    <row r="537" spans="1:5" ht="18.75" customHeight="1" x14ac:dyDescent="0.25">
      <c r="A537" s="37"/>
      <c r="B537" s="37"/>
      <c r="C537" s="37"/>
      <c r="D537" s="37" t="s">
        <v>814</v>
      </c>
      <c r="E537" s="37"/>
    </row>
    <row r="538" spans="1:5" ht="18.75" customHeight="1" x14ac:dyDescent="0.25">
      <c r="A538" s="37"/>
      <c r="B538" s="37"/>
      <c r="C538" s="37"/>
      <c r="D538" s="37" t="s">
        <v>815</v>
      </c>
      <c r="E538" s="37"/>
    </row>
    <row r="539" spans="1:5" ht="18.75" customHeight="1" x14ac:dyDescent="0.25">
      <c r="A539" s="37"/>
      <c r="B539" s="37"/>
      <c r="C539" s="37"/>
      <c r="D539" s="37" t="s">
        <v>816</v>
      </c>
      <c r="E539" s="37"/>
    </row>
    <row r="540" spans="1:5" ht="18.75" customHeight="1" x14ac:dyDescent="0.25">
      <c r="A540" s="37"/>
      <c r="B540" s="37"/>
      <c r="C540" s="37"/>
      <c r="D540" s="37" t="s">
        <v>817</v>
      </c>
      <c r="E540" s="37"/>
    </row>
    <row r="541" spans="1:5" ht="18.75" customHeight="1" x14ac:dyDescent="0.25">
      <c r="A541" s="37"/>
      <c r="B541" s="37"/>
      <c r="C541" s="37"/>
      <c r="D541" s="37" t="s">
        <v>818</v>
      </c>
      <c r="E541" s="37"/>
    </row>
    <row r="542" spans="1:5" ht="18.75" customHeight="1" x14ac:dyDescent="0.25">
      <c r="A542" s="37"/>
      <c r="B542" s="37"/>
      <c r="C542" s="37"/>
      <c r="D542" s="37" t="s">
        <v>819</v>
      </c>
      <c r="E542" s="37"/>
    </row>
    <row r="543" spans="1:5" ht="18.75" customHeight="1" x14ac:dyDescent="0.25">
      <c r="A543" s="37"/>
      <c r="B543" s="37"/>
      <c r="C543" s="37"/>
      <c r="D543" s="37" t="s">
        <v>820</v>
      </c>
      <c r="E543" s="37"/>
    </row>
    <row r="544" spans="1:5" ht="18.75" customHeight="1" x14ac:dyDescent="0.25">
      <c r="A544" s="37"/>
      <c r="B544" s="37"/>
      <c r="C544" s="37"/>
      <c r="D544" s="37" t="s">
        <v>821</v>
      </c>
      <c r="E544" s="37"/>
    </row>
    <row r="545" spans="1:5" ht="18.75" customHeight="1" x14ac:dyDescent="0.25">
      <c r="A545" s="37"/>
      <c r="B545" s="37"/>
      <c r="C545" s="37"/>
      <c r="D545" s="37" t="s">
        <v>822</v>
      </c>
      <c r="E545" s="37"/>
    </row>
    <row r="546" spans="1:5" ht="18.75" customHeight="1" x14ac:dyDescent="0.25">
      <c r="A546" s="37"/>
      <c r="B546" s="37"/>
      <c r="C546" s="37"/>
      <c r="D546" s="37" t="s">
        <v>823</v>
      </c>
      <c r="E546" s="37"/>
    </row>
    <row r="547" spans="1:5" ht="18.75" customHeight="1" x14ac:dyDescent="0.25">
      <c r="A547" s="37"/>
      <c r="B547" s="37"/>
      <c r="C547" s="37"/>
      <c r="D547" s="37" t="s">
        <v>824</v>
      </c>
      <c r="E547" s="37"/>
    </row>
    <row r="548" spans="1:5" ht="18.75" customHeight="1" x14ac:dyDescent="0.25">
      <c r="A548" s="37"/>
      <c r="B548" s="37"/>
      <c r="C548" s="37"/>
      <c r="D548" s="37" t="s">
        <v>825</v>
      </c>
      <c r="E548" s="37"/>
    </row>
    <row r="549" spans="1:5" ht="18.75" customHeight="1" x14ac:dyDescent="0.25">
      <c r="A549" s="37"/>
      <c r="B549" s="37"/>
      <c r="C549" s="37"/>
      <c r="D549" s="37" t="s">
        <v>826</v>
      </c>
      <c r="E549" s="37"/>
    </row>
    <row r="550" spans="1:5" ht="18.75" customHeight="1" x14ac:dyDescent="0.25">
      <c r="A550" s="37"/>
      <c r="B550" s="37"/>
      <c r="C550" s="37"/>
      <c r="D550" s="37" t="s">
        <v>827</v>
      </c>
      <c r="E550" s="37"/>
    </row>
    <row r="551" spans="1:5" ht="18.75" customHeight="1" x14ac:dyDescent="0.25">
      <c r="A551" s="37"/>
      <c r="B551" s="37"/>
      <c r="C551" s="37"/>
      <c r="D551" s="37" t="s">
        <v>828</v>
      </c>
      <c r="E551" s="37"/>
    </row>
    <row r="552" spans="1:5" ht="18.75" customHeight="1" x14ac:dyDescent="0.25">
      <c r="A552" s="37"/>
      <c r="B552" s="37"/>
      <c r="C552" s="37"/>
      <c r="D552" s="37" t="s">
        <v>829</v>
      </c>
      <c r="E552" s="37"/>
    </row>
    <row r="553" spans="1:5" ht="18.75" customHeight="1" x14ac:dyDescent="0.25">
      <c r="A553" s="37"/>
      <c r="B553" s="37"/>
      <c r="C553" s="37"/>
      <c r="D553" s="37" t="s">
        <v>830</v>
      </c>
      <c r="E553" s="37"/>
    </row>
    <row r="554" spans="1:5" ht="18.75" customHeight="1" x14ac:dyDescent="0.25">
      <c r="A554" s="37"/>
      <c r="B554" s="37"/>
      <c r="C554" s="37"/>
      <c r="D554" s="37" t="s">
        <v>831</v>
      </c>
      <c r="E554" s="37"/>
    </row>
    <row r="555" spans="1:5" ht="18.75" customHeight="1" x14ac:dyDescent="0.25">
      <c r="A555" s="37"/>
      <c r="B555" s="37"/>
      <c r="C555" s="37"/>
      <c r="D555" s="37" t="s">
        <v>832</v>
      </c>
      <c r="E555" s="37"/>
    </row>
    <row r="556" spans="1:5" ht="18.75" customHeight="1" x14ac:dyDescent="0.25">
      <c r="A556" s="37"/>
      <c r="B556" s="37"/>
      <c r="C556" s="37"/>
      <c r="D556" s="37" t="s">
        <v>833</v>
      </c>
      <c r="E556" s="37"/>
    </row>
    <row r="557" spans="1:5" ht="18.75" customHeight="1" x14ac:dyDescent="0.25">
      <c r="A557" s="37"/>
      <c r="B557" s="37"/>
      <c r="C557" s="37"/>
      <c r="D557" s="37" t="s">
        <v>834</v>
      </c>
      <c r="E557" s="37"/>
    </row>
    <row r="558" spans="1:5" ht="18.75" customHeight="1" x14ac:dyDescent="0.25">
      <c r="A558" s="37"/>
      <c r="B558" s="37"/>
      <c r="C558" s="37"/>
      <c r="D558" s="37" t="s">
        <v>835</v>
      </c>
      <c r="E558" s="37"/>
    </row>
    <row r="559" spans="1:5" ht="18.75" customHeight="1" x14ac:dyDescent="0.25">
      <c r="A559" s="37"/>
      <c r="B559" s="37"/>
      <c r="C559" s="37"/>
      <c r="D559" s="37" t="s">
        <v>836</v>
      </c>
      <c r="E559" s="37"/>
    </row>
    <row r="560" spans="1:5" ht="18.75" customHeight="1" x14ac:dyDescent="0.25">
      <c r="A560" s="37"/>
      <c r="B560" s="37"/>
      <c r="C560" s="37"/>
      <c r="D560" s="37" t="s">
        <v>837</v>
      </c>
      <c r="E560" s="37"/>
    </row>
    <row r="561" spans="1:5" ht="18.75" customHeight="1" x14ac:dyDescent="0.25">
      <c r="A561" s="37"/>
      <c r="B561" s="37"/>
      <c r="C561" s="37"/>
      <c r="D561" s="37" t="s">
        <v>838</v>
      </c>
      <c r="E561" s="37"/>
    </row>
    <row r="562" spans="1:5" ht="18.75" customHeight="1" x14ac:dyDescent="0.25">
      <c r="A562" s="37"/>
      <c r="B562" s="37"/>
      <c r="C562" s="37"/>
      <c r="D562" s="37" t="s">
        <v>839</v>
      </c>
      <c r="E562" s="37"/>
    </row>
    <row r="563" spans="1:5" ht="18.75" customHeight="1" x14ac:dyDescent="0.25">
      <c r="A563" s="37"/>
      <c r="B563" s="37"/>
      <c r="C563" s="37"/>
      <c r="D563" s="37" t="s">
        <v>840</v>
      </c>
      <c r="E563" s="37"/>
    </row>
    <row r="564" spans="1:5" ht="18.75" customHeight="1" x14ac:dyDescent="0.25">
      <c r="A564" s="37"/>
      <c r="B564" s="37"/>
      <c r="C564" s="37"/>
      <c r="D564" s="37" t="s">
        <v>841</v>
      </c>
      <c r="E564" s="37"/>
    </row>
    <row r="565" spans="1:5" ht="18.75" customHeight="1" x14ac:dyDescent="0.25">
      <c r="A565" s="37"/>
      <c r="B565" s="37"/>
      <c r="C565" s="37"/>
      <c r="D565" s="37" t="s">
        <v>842</v>
      </c>
      <c r="E565" s="37"/>
    </row>
    <row r="566" spans="1:5" ht="18.75" customHeight="1" x14ac:dyDescent="0.25">
      <c r="A566" s="37"/>
      <c r="B566" s="37"/>
      <c r="C566" s="37"/>
      <c r="D566" s="37" t="s">
        <v>843</v>
      </c>
      <c r="E566" s="37"/>
    </row>
    <row r="567" spans="1:5" ht="18.75" customHeight="1" x14ac:dyDescent="0.25">
      <c r="A567" s="37"/>
      <c r="B567" s="37"/>
      <c r="C567" s="37"/>
      <c r="D567" s="37" t="s">
        <v>844</v>
      </c>
      <c r="E567" s="37"/>
    </row>
    <row r="568" spans="1:5" ht="18.75" customHeight="1" x14ac:dyDescent="0.25">
      <c r="A568" s="37"/>
      <c r="B568" s="37"/>
      <c r="C568" s="37"/>
      <c r="D568" s="37" t="s">
        <v>845</v>
      </c>
      <c r="E568" s="37"/>
    </row>
    <row r="569" spans="1:5" ht="18.75" customHeight="1" x14ac:dyDescent="0.25">
      <c r="A569" s="37"/>
      <c r="B569" s="37"/>
      <c r="C569" s="37"/>
      <c r="D569" s="37" t="s">
        <v>846</v>
      </c>
      <c r="E569" s="37"/>
    </row>
    <row r="570" spans="1:5" ht="18.75" customHeight="1" x14ac:dyDescent="0.25">
      <c r="A570" s="37"/>
      <c r="B570" s="37"/>
      <c r="C570" s="37"/>
      <c r="D570" s="37" t="s">
        <v>847</v>
      </c>
      <c r="E570" s="37"/>
    </row>
    <row r="571" spans="1:5" ht="18.75" customHeight="1" x14ac:dyDescent="0.25">
      <c r="A571" s="37"/>
      <c r="B571" s="37"/>
      <c r="C571" s="37"/>
      <c r="D571" s="37" t="s">
        <v>848</v>
      </c>
      <c r="E571" s="37"/>
    </row>
    <row r="572" spans="1:5" ht="18.75" customHeight="1" x14ac:dyDescent="0.25">
      <c r="A572" s="37"/>
      <c r="B572" s="37"/>
      <c r="C572" s="37"/>
      <c r="D572" s="37" t="s">
        <v>849</v>
      </c>
      <c r="E572" s="37"/>
    </row>
    <row r="573" spans="1:5" ht="18.75" customHeight="1" x14ac:dyDescent="0.25">
      <c r="A573" s="37"/>
      <c r="B573" s="37"/>
      <c r="C573" s="37"/>
      <c r="D573" s="37" t="s">
        <v>850</v>
      </c>
      <c r="E573" s="37"/>
    </row>
    <row r="574" spans="1:5" ht="18.75" customHeight="1" x14ac:dyDescent="0.25">
      <c r="A574" s="37"/>
      <c r="B574" s="37"/>
      <c r="C574" s="37"/>
      <c r="D574" s="37" t="s">
        <v>851</v>
      </c>
      <c r="E574" s="37"/>
    </row>
    <row r="575" spans="1:5" ht="18.75" customHeight="1" x14ac:dyDescent="0.25">
      <c r="A575" s="37"/>
      <c r="B575" s="37"/>
      <c r="C575" s="37"/>
      <c r="D575" s="37" t="s">
        <v>852</v>
      </c>
      <c r="E575" s="37"/>
    </row>
    <row r="576" spans="1:5" ht="18.75" customHeight="1" x14ac:dyDescent="0.25">
      <c r="A576" s="37"/>
      <c r="B576" s="37"/>
      <c r="C576" s="37"/>
      <c r="D576" s="37" t="s">
        <v>853</v>
      </c>
      <c r="E576" s="37"/>
    </row>
    <row r="577" spans="1:5" ht="18.75" customHeight="1" x14ac:dyDescent="0.25">
      <c r="A577" s="37"/>
      <c r="B577" s="37"/>
      <c r="C577" s="37"/>
      <c r="D577" s="37" t="s">
        <v>854</v>
      </c>
      <c r="E577" s="37"/>
    </row>
    <row r="578" spans="1:5" ht="18.75" customHeight="1" x14ac:dyDescent="0.25">
      <c r="A578" s="37"/>
      <c r="B578" s="37"/>
      <c r="C578" s="37"/>
      <c r="D578" s="37" t="s">
        <v>855</v>
      </c>
      <c r="E578" s="37"/>
    </row>
    <row r="579" spans="1:5" ht="18.75" customHeight="1" x14ac:dyDescent="0.25">
      <c r="A579" s="37"/>
      <c r="B579" s="37"/>
      <c r="C579" s="37"/>
      <c r="D579" s="37" t="s">
        <v>856</v>
      </c>
      <c r="E579" s="37"/>
    </row>
    <row r="580" spans="1:5" ht="18.75" customHeight="1" x14ac:dyDescent="0.25">
      <c r="A580" s="37"/>
      <c r="B580" s="37"/>
      <c r="C580" s="37"/>
      <c r="D580" s="37" t="s">
        <v>857</v>
      </c>
      <c r="E580" s="37"/>
    </row>
    <row r="581" spans="1:5" ht="18.75" customHeight="1" x14ac:dyDescent="0.25">
      <c r="A581" s="37"/>
      <c r="B581" s="37"/>
      <c r="C581" s="37"/>
      <c r="D581" s="37" t="s">
        <v>858</v>
      </c>
      <c r="E581" s="37"/>
    </row>
    <row r="582" spans="1:5" ht="18.75" customHeight="1" x14ac:dyDescent="0.25">
      <c r="A582" s="37"/>
      <c r="B582" s="37"/>
      <c r="C582" s="37"/>
      <c r="D582" s="37" t="s">
        <v>859</v>
      </c>
      <c r="E582" s="37"/>
    </row>
    <row r="583" spans="1:5" ht="18.75" customHeight="1" x14ac:dyDescent="0.25">
      <c r="A583" s="37"/>
      <c r="B583" s="37"/>
      <c r="C583" s="37"/>
      <c r="D583" s="37" t="s">
        <v>860</v>
      </c>
      <c r="E583" s="37"/>
    </row>
    <row r="584" spans="1:5" ht="18.75" customHeight="1" x14ac:dyDescent="0.25">
      <c r="A584" s="37"/>
      <c r="B584" s="37"/>
      <c r="C584" s="37"/>
      <c r="D584" s="37" t="s">
        <v>861</v>
      </c>
      <c r="E584" s="37"/>
    </row>
    <row r="585" spans="1:5" ht="18.75" customHeight="1" x14ac:dyDescent="0.25">
      <c r="A585" s="37"/>
      <c r="B585" s="37"/>
      <c r="C585" s="37"/>
      <c r="D585" s="37" t="s">
        <v>862</v>
      </c>
      <c r="E585" s="37"/>
    </row>
    <row r="586" spans="1:5" ht="18.75" customHeight="1" x14ac:dyDescent="0.25">
      <c r="A586" s="37"/>
      <c r="B586" s="37"/>
      <c r="C586" s="37"/>
      <c r="D586" s="37" t="s">
        <v>863</v>
      </c>
      <c r="E586" s="37"/>
    </row>
    <row r="587" spans="1:5" ht="18.75" customHeight="1" x14ac:dyDescent="0.25">
      <c r="A587" s="37"/>
      <c r="B587" s="37"/>
      <c r="C587" s="37"/>
      <c r="D587" s="37" t="s">
        <v>864</v>
      </c>
      <c r="E587" s="37"/>
    </row>
    <row r="588" spans="1:5" ht="18.75" customHeight="1" x14ac:dyDescent="0.25">
      <c r="A588" s="37"/>
      <c r="B588" s="37"/>
      <c r="C588" s="37"/>
      <c r="D588" s="37" t="s">
        <v>865</v>
      </c>
      <c r="E588" s="37"/>
    </row>
    <row r="589" spans="1:5" ht="18.75" customHeight="1" x14ac:dyDescent="0.25">
      <c r="A589" s="37"/>
      <c r="B589" s="37"/>
      <c r="C589" s="37"/>
      <c r="D589" s="37" t="s">
        <v>866</v>
      </c>
      <c r="E589" s="37"/>
    </row>
    <row r="590" spans="1:5" ht="18.75" customHeight="1" x14ac:dyDescent="0.25">
      <c r="A590" s="37"/>
      <c r="B590" s="37"/>
      <c r="C590" s="37"/>
      <c r="D590" s="37" t="s">
        <v>867</v>
      </c>
      <c r="E590" s="37"/>
    </row>
    <row r="591" spans="1:5" ht="18.75" customHeight="1" x14ac:dyDescent="0.25">
      <c r="A591" s="37"/>
      <c r="B591" s="37"/>
      <c r="C591" s="37"/>
      <c r="D591" s="37" t="s">
        <v>868</v>
      </c>
      <c r="E591" s="37"/>
    </row>
    <row r="592" spans="1:5" ht="18.75" customHeight="1" x14ac:dyDescent="0.25">
      <c r="A592" s="37"/>
      <c r="B592" s="37"/>
      <c r="C592" s="37"/>
      <c r="D592" s="37" t="s">
        <v>869</v>
      </c>
      <c r="E592" s="37"/>
    </row>
    <row r="593" spans="1:5" ht="18.75" customHeight="1" x14ac:dyDescent="0.25">
      <c r="A593" s="37"/>
      <c r="B593" s="37"/>
      <c r="C593" s="37"/>
      <c r="D593" s="37" t="s">
        <v>870</v>
      </c>
      <c r="E593" s="37"/>
    </row>
    <row r="594" spans="1:5" ht="18.75" customHeight="1" x14ac:dyDescent="0.25">
      <c r="A594" s="37"/>
      <c r="B594" s="37"/>
      <c r="C594" s="37"/>
      <c r="D594" s="37" t="s">
        <v>871</v>
      </c>
      <c r="E594" s="37"/>
    </row>
    <row r="595" spans="1:5" ht="18.75" customHeight="1" x14ac:dyDescent="0.25">
      <c r="A595" s="37"/>
      <c r="B595" s="37"/>
      <c r="C595" s="37"/>
      <c r="D595" s="37" t="s">
        <v>872</v>
      </c>
      <c r="E595" s="37"/>
    </row>
    <row r="596" spans="1:5" ht="18.75" customHeight="1" x14ac:dyDescent="0.25">
      <c r="A596" s="37"/>
      <c r="B596" s="37"/>
      <c r="C596" s="37"/>
      <c r="D596" s="37" t="s">
        <v>873</v>
      </c>
      <c r="E596" s="37"/>
    </row>
    <row r="597" spans="1:5" ht="18.75" customHeight="1" x14ac:dyDescent="0.25">
      <c r="A597" s="37"/>
      <c r="B597" s="37"/>
      <c r="C597" s="37"/>
      <c r="D597" s="37" t="s">
        <v>874</v>
      </c>
      <c r="E597" s="37"/>
    </row>
    <row r="598" spans="1:5" ht="18.75" customHeight="1" x14ac:dyDescent="0.25">
      <c r="A598" s="37"/>
      <c r="B598" s="37"/>
      <c r="C598" s="37"/>
      <c r="D598" s="37" t="s">
        <v>875</v>
      </c>
      <c r="E598" s="37"/>
    </row>
    <row r="599" spans="1:5" ht="18.75" customHeight="1" x14ac:dyDescent="0.25">
      <c r="A599" s="37"/>
      <c r="B599" s="37"/>
      <c r="C599" s="37"/>
      <c r="D599" s="37" t="s">
        <v>876</v>
      </c>
      <c r="E599" s="37"/>
    </row>
    <row r="600" spans="1:5" ht="18.75" customHeight="1" x14ac:dyDescent="0.25">
      <c r="A600" s="37"/>
      <c r="B600" s="37"/>
      <c r="C600" s="37"/>
      <c r="D600" s="37" t="s">
        <v>877</v>
      </c>
      <c r="E600" s="37"/>
    </row>
    <row r="601" spans="1:5" ht="18.75" customHeight="1" x14ac:dyDescent="0.25">
      <c r="A601" s="37"/>
      <c r="B601" s="37"/>
      <c r="C601" s="37"/>
      <c r="D601" s="37" t="s">
        <v>878</v>
      </c>
      <c r="E601" s="37"/>
    </row>
    <row r="602" spans="1:5" ht="18.75" customHeight="1" x14ac:dyDescent="0.25">
      <c r="A602" s="37"/>
      <c r="B602" s="37"/>
      <c r="C602" s="37"/>
      <c r="D602" s="37" t="s">
        <v>879</v>
      </c>
      <c r="E602" s="37"/>
    </row>
    <row r="603" spans="1:5" ht="18.75" customHeight="1" x14ac:dyDescent="0.25">
      <c r="A603" s="37"/>
      <c r="B603" s="37"/>
      <c r="C603" s="37"/>
      <c r="D603" s="37" t="s">
        <v>880</v>
      </c>
      <c r="E603" s="37"/>
    </row>
    <row r="604" spans="1:5" ht="18.75" customHeight="1" x14ac:dyDescent="0.25">
      <c r="A604" s="37"/>
      <c r="B604" s="37"/>
      <c r="C604" s="37"/>
      <c r="D604" s="37" t="s">
        <v>881</v>
      </c>
      <c r="E604" s="37"/>
    </row>
    <row r="605" spans="1:5" ht="18.75" customHeight="1" x14ac:dyDescent="0.25">
      <c r="A605" s="37"/>
      <c r="B605" s="37"/>
      <c r="C605" s="37"/>
      <c r="D605" s="37" t="s">
        <v>882</v>
      </c>
      <c r="E605" s="37"/>
    </row>
    <row r="606" spans="1:5" ht="18.75" customHeight="1" x14ac:dyDescent="0.25">
      <c r="A606" s="37"/>
      <c r="B606" s="37"/>
      <c r="C606" s="37"/>
      <c r="D606" s="37" t="s">
        <v>883</v>
      </c>
      <c r="E606" s="37"/>
    </row>
    <row r="607" spans="1:5" ht="18.75" customHeight="1" x14ac:dyDescent="0.25">
      <c r="A607" s="37"/>
      <c r="B607" s="37"/>
      <c r="C607" s="37"/>
      <c r="D607" s="37" t="s">
        <v>884</v>
      </c>
      <c r="E607" s="37"/>
    </row>
    <row r="608" spans="1:5" ht="18.75" customHeight="1" x14ac:dyDescent="0.25">
      <c r="A608" s="37"/>
      <c r="B608" s="37"/>
      <c r="C608" s="37"/>
      <c r="D608" s="37" t="s">
        <v>885</v>
      </c>
      <c r="E608" s="37"/>
    </row>
    <row r="609" spans="1:5" ht="18.75" customHeight="1" x14ac:dyDescent="0.25">
      <c r="A609" s="37"/>
      <c r="B609" s="37"/>
      <c r="C609" s="37"/>
      <c r="D609" s="37" t="s">
        <v>886</v>
      </c>
      <c r="E609" s="37"/>
    </row>
    <row r="610" spans="1:5" ht="18.75" customHeight="1" x14ac:dyDescent="0.25">
      <c r="A610" s="37"/>
      <c r="B610" s="37"/>
      <c r="C610" s="37"/>
      <c r="D610" s="37" t="s">
        <v>887</v>
      </c>
      <c r="E610" s="37"/>
    </row>
    <row r="611" spans="1:5" ht="18.75" customHeight="1" x14ac:dyDescent="0.25">
      <c r="A611" s="37"/>
      <c r="B611" s="37"/>
      <c r="C611" s="37"/>
      <c r="D611" s="37" t="s">
        <v>888</v>
      </c>
      <c r="E611" s="37"/>
    </row>
    <row r="612" spans="1:5" ht="18.75" customHeight="1" x14ac:dyDescent="0.25">
      <c r="A612" s="37"/>
      <c r="B612" s="37"/>
      <c r="C612" s="37"/>
      <c r="D612" s="37" t="s">
        <v>889</v>
      </c>
      <c r="E612" s="37"/>
    </row>
    <row r="613" spans="1:5" ht="18.75" customHeight="1" x14ac:dyDescent="0.25">
      <c r="A613" s="37"/>
      <c r="B613" s="37"/>
      <c r="C613" s="37"/>
      <c r="D613" s="37" t="s">
        <v>890</v>
      </c>
      <c r="E613" s="37"/>
    </row>
    <row r="614" spans="1:5" ht="18.75" customHeight="1" x14ac:dyDescent="0.25">
      <c r="A614" s="37"/>
      <c r="B614" s="37"/>
      <c r="C614" s="37"/>
      <c r="D614" s="37" t="s">
        <v>891</v>
      </c>
      <c r="E614" s="37"/>
    </row>
    <row r="615" spans="1:5" ht="18.75" customHeight="1" x14ac:dyDescent="0.25">
      <c r="A615" s="37"/>
      <c r="B615" s="37"/>
      <c r="C615" s="37"/>
      <c r="D615" s="37" t="s">
        <v>892</v>
      </c>
      <c r="E615" s="37"/>
    </row>
    <row r="616" spans="1:5" ht="18.75" customHeight="1" x14ac:dyDescent="0.25">
      <c r="A616" s="37"/>
      <c r="B616" s="37"/>
      <c r="C616" s="37"/>
      <c r="D616" s="37" t="s">
        <v>893</v>
      </c>
      <c r="E616" s="37"/>
    </row>
    <row r="617" spans="1:5" ht="18.75" customHeight="1" x14ac:dyDescent="0.25">
      <c r="A617" s="37"/>
      <c r="B617" s="37"/>
      <c r="C617" s="37"/>
      <c r="D617" s="37" t="s">
        <v>894</v>
      </c>
      <c r="E617" s="37"/>
    </row>
    <row r="618" spans="1:5" ht="18.75" customHeight="1" x14ac:dyDescent="0.25">
      <c r="A618" s="37"/>
      <c r="B618" s="37"/>
      <c r="C618" s="37"/>
      <c r="D618" s="37" t="s">
        <v>895</v>
      </c>
      <c r="E618" s="37"/>
    </row>
    <row r="619" spans="1:5" ht="18.75" customHeight="1" x14ac:dyDescent="0.25">
      <c r="A619" s="37"/>
      <c r="B619" s="37"/>
      <c r="C619" s="37"/>
      <c r="D619" s="37" t="s">
        <v>896</v>
      </c>
      <c r="E619" s="37"/>
    </row>
    <row r="620" spans="1:5" ht="18.75" customHeight="1" x14ac:dyDescent="0.25">
      <c r="A620" s="37"/>
      <c r="B620" s="37"/>
      <c r="C620" s="37"/>
      <c r="D620" s="37" t="s">
        <v>897</v>
      </c>
      <c r="E620" s="37"/>
    </row>
    <row r="621" spans="1:5" ht="18.75" customHeight="1" x14ac:dyDescent="0.25">
      <c r="A621" s="37"/>
      <c r="B621" s="37"/>
      <c r="C621" s="37"/>
      <c r="D621" s="37" t="s">
        <v>898</v>
      </c>
      <c r="E621" s="37"/>
    </row>
    <row r="622" spans="1:5" ht="18.75" customHeight="1" x14ac:dyDescent="0.25">
      <c r="A622" s="37"/>
      <c r="B622" s="37"/>
      <c r="C622" s="37"/>
      <c r="D622" s="37" t="s">
        <v>899</v>
      </c>
      <c r="E622" s="37"/>
    </row>
    <row r="623" spans="1:5" ht="18.75" customHeight="1" x14ac:dyDescent="0.25">
      <c r="A623" s="37"/>
      <c r="B623" s="37"/>
      <c r="C623" s="37"/>
      <c r="D623" s="37" t="s">
        <v>900</v>
      </c>
      <c r="E623" s="37"/>
    </row>
    <row r="624" spans="1:5" ht="18.75" customHeight="1" x14ac:dyDescent="0.25">
      <c r="A624" s="37"/>
      <c r="B624" s="37"/>
      <c r="C624" s="37"/>
      <c r="D624" s="37" t="s">
        <v>901</v>
      </c>
      <c r="E624" s="37"/>
    </row>
    <row r="625" spans="1:5" ht="18.75" customHeight="1" x14ac:dyDescent="0.25">
      <c r="A625" s="37"/>
      <c r="B625" s="37"/>
      <c r="C625" s="37"/>
      <c r="D625" s="37" t="s">
        <v>902</v>
      </c>
      <c r="E625" s="37"/>
    </row>
    <row r="626" spans="1:5" ht="18.75" customHeight="1" x14ac:dyDescent="0.25">
      <c r="A626" s="37"/>
      <c r="B626" s="37"/>
      <c r="C626" s="37"/>
      <c r="D626" s="37" t="s">
        <v>903</v>
      </c>
      <c r="E626" s="37"/>
    </row>
    <row r="627" spans="1:5" ht="18.75" customHeight="1" x14ac:dyDescent="0.25">
      <c r="A627" s="37"/>
      <c r="B627" s="37"/>
      <c r="C627" s="37"/>
      <c r="D627" s="37" t="s">
        <v>904</v>
      </c>
      <c r="E627" s="37"/>
    </row>
    <row r="628" spans="1:5" ht="18.75" customHeight="1" x14ac:dyDescent="0.25">
      <c r="A628" s="37"/>
      <c r="B628" s="37"/>
      <c r="C628" s="37"/>
      <c r="D628" s="37" t="s">
        <v>905</v>
      </c>
      <c r="E628" s="37"/>
    </row>
    <row r="629" spans="1:5" ht="18.75" customHeight="1" x14ac:dyDescent="0.25">
      <c r="A629" s="37"/>
      <c r="B629" s="37"/>
      <c r="C629" s="37"/>
      <c r="D629" s="37" t="s">
        <v>906</v>
      </c>
      <c r="E629" s="37"/>
    </row>
    <row r="630" spans="1:5" ht="18.75" customHeight="1" x14ac:dyDescent="0.25">
      <c r="A630" s="37"/>
      <c r="B630" s="37"/>
      <c r="C630" s="37"/>
      <c r="D630" s="37" t="s">
        <v>907</v>
      </c>
      <c r="E630" s="37"/>
    </row>
    <row r="631" spans="1:5" ht="18.75" customHeight="1" x14ac:dyDescent="0.25">
      <c r="A631" s="37"/>
      <c r="B631" s="37"/>
      <c r="C631" s="37"/>
      <c r="D631" s="37" t="s">
        <v>908</v>
      </c>
      <c r="E631" s="37"/>
    </row>
    <row r="632" spans="1:5" ht="18.75" customHeight="1" x14ac:dyDescent="0.25">
      <c r="A632" s="37"/>
      <c r="B632" s="37"/>
      <c r="C632" s="37"/>
      <c r="D632" s="37" t="s">
        <v>909</v>
      </c>
      <c r="E632" s="37"/>
    </row>
    <row r="633" spans="1:5" ht="18.75" customHeight="1" x14ac:dyDescent="0.25">
      <c r="A633" s="37"/>
      <c r="B633" s="37"/>
      <c r="C633" s="37"/>
      <c r="D633" s="37" t="s">
        <v>910</v>
      </c>
      <c r="E633" s="37"/>
    </row>
    <row r="634" spans="1:5" ht="18.75" customHeight="1" x14ac:dyDescent="0.25">
      <c r="A634" s="37"/>
      <c r="B634" s="37"/>
      <c r="C634" s="37"/>
      <c r="D634" s="37" t="s">
        <v>911</v>
      </c>
      <c r="E634" s="37"/>
    </row>
    <row r="635" spans="1:5" ht="18.75" customHeight="1" x14ac:dyDescent="0.25">
      <c r="A635" s="37"/>
      <c r="B635" s="37"/>
      <c r="C635" s="37"/>
      <c r="D635" s="37" t="s">
        <v>912</v>
      </c>
      <c r="E635" s="37"/>
    </row>
    <row r="636" spans="1:5" ht="18.75" customHeight="1" x14ac:dyDescent="0.25">
      <c r="A636" s="37"/>
      <c r="B636" s="37"/>
      <c r="C636" s="37"/>
      <c r="D636" s="37" t="s">
        <v>913</v>
      </c>
      <c r="E636" s="37"/>
    </row>
    <row r="637" spans="1:5" ht="18.75" customHeight="1" x14ac:dyDescent="0.25">
      <c r="A637" s="37"/>
      <c r="B637" s="37"/>
      <c r="C637" s="37"/>
      <c r="D637" s="37" t="s">
        <v>914</v>
      </c>
      <c r="E637" s="37"/>
    </row>
    <row r="638" spans="1:5" ht="18.75" customHeight="1" x14ac:dyDescent="0.25">
      <c r="A638" s="37"/>
      <c r="B638" s="37"/>
      <c r="C638" s="37"/>
      <c r="D638" s="37" t="s">
        <v>915</v>
      </c>
      <c r="E638" s="37"/>
    </row>
    <row r="639" spans="1:5" ht="18.75" customHeight="1" x14ac:dyDescent="0.25">
      <c r="A639" s="37"/>
      <c r="B639" s="37"/>
      <c r="C639" s="37"/>
      <c r="D639" s="37" t="s">
        <v>916</v>
      </c>
      <c r="E639" s="37"/>
    </row>
    <row r="640" spans="1:5" ht="18.75" customHeight="1" x14ac:dyDescent="0.25">
      <c r="A640" s="37"/>
      <c r="B640" s="37"/>
      <c r="C640" s="37"/>
      <c r="D640" s="37" t="s">
        <v>917</v>
      </c>
      <c r="E640" s="37"/>
    </row>
    <row r="641" spans="1:5" ht="18.75" customHeight="1" x14ac:dyDescent="0.25">
      <c r="A641" s="37"/>
      <c r="B641" s="37"/>
      <c r="C641" s="37"/>
      <c r="D641" s="37" t="s">
        <v>918</v>
      </c>
      <c r="E641" s="37"/>
    </row>
    <row r="642" spans="1:5" ht="18.75" customHeight="1" x14ac:dyDescent="0.25">
      <c r="A642" s="37"/>
      <c r="B642" s="37"/>
      <c r="C642" s="37"/>
      <c r="D642" s="37" t="s">
        <v>919</v>
      </c>
      <c r="E642" s="37"/>
    </row>
    <row r="643" spans="1:5" ht="18.75" customHeight="1" x14ac:dyDescent="0.25">
      <c r="A643" s="37"/>
      <c r="B643" s="37"/>
      <c r="C643" s="37"/>
      <c r="D643" s="37" t="s">
        <v>920</v>
      </c>
      <c r="E643" s="37"/>
    </row>
    <row r="644" spans="1:5" ht="18.75" customHeight="1" x14ac:dyDescent="0.25">
      <c r="A644" s="37"/>
      <c r="B644" s="37"/>
      <c r="C644" s="37"/>
      <c r="D644" s="37" t="s">
        <v>921</v>
      </c>
      <c r="E644" s="37"/>
    </row>
    <row r="645" spans="1:5" ht="18.75" customHeight="1" x14ac:dyDescent="0.25">
      <c r="A645" s="37"/>
      <c r="B645" s="37"/>
      <c r="C645" s="37"/>
      <c r="D645" s="37" t="s">
        <v>922</v>
      </c>
      <c r="E645" s="37"/>
    </row>
    <row r="646" spans="1:5" ht="18.75" customHeight="1" x14ac:dyDescent="0.25">
      <c r="A646" s="37"/>
      <c r="B646" s="37"/>
      <c r="C646" s="37"/>
      <c r="D646" s="37" t="s">
        <v>923</v>
      </c>
      <c r="E646" s="37"/>
    </row>
    <row r="647" spans="1:5" ht="18.75" customHeight="1" x14ac:dyDescent="0.25">
      <c r="A647" s="37"/>
      <c r="B647" s="37"/>
      <c r="C647" s="37"/>
      <c r="D647" s="37" t="s">
        <v>924</v>
      </c>
      <c r="E647" s="37"/>
    </row>
    <row r="648" spans="1:5" ht="18.75" customHeight="1" x14ac:dyDescent="0.25">
      <c r="A648" s="37"/>
      <c r="B648" s="37"/>
      <c r="C648" s="37"/>
      <c r="D648" s="37" t="s">
        <v>925</v>
      </c>
      <c r="E648" s="37"/>
    </row>
    <row r="649" spans="1:5" ht="18.75" customHeight="1" x14ac:dyDescent="0.25">
      <c r="A649" s="37"/>
      <c r="B649" s="37"/>
      <c r="C649" s="37"/>
      <c r="D649" s="37" t="s">
        <v>926</v>
      </c>
      <c r="E649" s="37"/>
    </row>
    <row r="650" spans="1:5" ht="18.75" customHeight="1" x14ac:dyDescent="0.25">
      <c r="A650" s="37"/>
      <c r="B650" s="37"/>
      <c r="C650" s="37"/>
      <c r="D650" s="37" t="s">
        <v>927</v>
      </c>
      <c r="E650" s="37"/>
    </row>
    <row r="651" spans="1:5" ht="18.75" customHeight="1" x14ac:dyDescent="0.25">
      <c r="A651" s="37"/>
      <c r="B651" s="37"/>
      <c r="C651" s="37"/>
      <c r="D651" s="37" t="s">
        <v>928</v>
      </c>
      <c r="E651" s="37"/>
    </row>
    <row r="652" spans="1:5" ht="18.75" customHeight="1" x14ac:dyDescent="0.25">
      <c r="A652" s="37"/>
      <c r="B652" s="37"/>
      <c r="C652" s="37"/>
      <c r="D652" s="37" t="s">
        <v>929</v>
      </c>
      <c r="E652" s="37"/>
    </row>
    <row r="653" spans="1:5" ht="18.75" customHeight="1" x14ac:dyDescent="0.25">
      <c r="A653" s="37"/>
      <c r="B653" s="37"/>
      <c r="C653" s="37"/>
      <c r="D653" s="37" t="s">
        <v>930</v>
      </c>
      <c r="E653" s="37"/>
    </row>
    <row r="654" spans="1:5" ht="18.75" customHeight="1" x14ac:dyDescent="0.25">
      <c r="A654" s="37"/>
      <c r="B654" s="37"/>
      <c r="C654" s="37"/>
      <c r="D654" s="37" t="s">
        <v>931</v>
      </c>
      <c r="E654" s="37"/>
    </row>
    <row r="655" spans="1:5" ht="18.75" customHeight="1" x14ac:dyDescent="0.25">
      <c r="A655" s="37"/>
      <c r="B655" s="37"/>
      <c r="C655" s="37"/>
      <c r="D655" s="37" t="s">
        <v>932</v>
      </c>
      <c r="E655" s="37"/>
    </row>
    <row r="656" spans="1:5" ht="18.75" customHeight="1" x14ac:dyDescent="0.25">
      <c r="A656" s="37"/>
      <c r="B656" s="37"/>
      <c r="C656" s="37"/>
      <c r="D656" s="37" t="s">
        <v>933</v>
      </c>
      <c r="E656" s="37"/>
    </row>
    <row r="657" spans="1:5" ht="18.75" customHeight="1" x14ac:dyDescent="0.25">
      <c r="A657" s="37"/>
      <c r="B657" s="37"/>
      <c r="C657" s="37"/>
      <c r="D657" s="37" t="s">
        <v>934</v>
      </c>
      <c r="E657" s="37"/>
    </row>
    <row r="658" spans="1:5" ht="18.75" customHeight="1" x14ac:dyDescent="0.25">
      <c r="A658" s="37"/>
      <c r="B658" s="37"/>
      <c r="C658" s="37"/>
      <c r="D658" s="37" t="s">
        <v>935</v>
      </c>
      <c r="E658" s="37"/>
    </row>
    <row r="659" spans="1:5" ht="18.75" customHeight="1" x14ac:dyDescent="0.25">
      <c r="A659" s="37"/>
      <c r="B659" s="37"/>
      <c r="C659" s="37"/>
      <c r="D659" s="37" t="s">
        <v>936</v>
      </c>
      <c r="E659" s="37"/>
    </row>
    <row r="660" spans="1:5" ht="18.75" customHeight="1" x14ac:dyDescent="0.25">
      <c r="A660" s="37"/>
      <c r="B660" s="37"/>
      <c r="C660" s="37"/>
      <c r="D660" s="37" t="s">
        <v>937</v>
      </c>
      <c r="E660" s="37"/>
    </row>
    <row r="661" spans="1:5" ht="18.75" customHeight="1" x14ac:dyDescent="0.25">
      <c r="A661" s="37"/>
      <c r="B661" s="37"/>
      <c r="C661" s="37"/>
      <c r="D661" s="37" t="s">
        <v>938</v>
      </c>
      <c r="E661" s="37"/>
    </row>
    <row r="662" spans="1:5" ht="18.75" customHeight="1" x14ac:dyDescent="0.25">
      <c r="A662" s="37"/>
      <c r="B662" s="37"/>
      <c r="C662" s="37"/>
      <c r="D662" s="37" t="s">
        <v>939</v>
      </c>
      <c r="E662" s="37"/>
    </row>
    <row r="663" spans="1:5" ht="18.75" customHeight="1" x14ac:dyDescent="0.25">
      <c r="A663" s="37"/>
      <c r="B663" s="37"/>
      <c r="C663" s="37"/>
      <c r="D663" s="37" t="s">
        <v>940</v>
      </c>
      <c r="E663" s="37"/>
    </row>
    <row r="664" spans="1:5" ht="18.75" customHeight="1" x14ac:dyDescent="0.25">
      <c r="A664" s="37"/>
      <c r="B664" s="37"/>
      <c r="C664" s="37"/>
      <c r="D664" s="37" t="s">
        <v>941</v>
      </c>
      <c r="E664" s="37"/>
    </row>
    <row r="665" spans="1:5" ht="18.75" customHeight="1" x14ac:dyDescent="0.25">
      <c r="A665" s="37"/>
      <c r="B665" s="37"/>
      <c r="C665" s="37"/>
      <c r="D665" s="37" t="s">
        <v>942</v>
      </c>
      <c r="E665" s="37"/>
    </row>
    <row r="666" spans="1:5" ht="18.75" customHeight="1" x14ac:dyDescent="0.25">
      <c r="A666" s="37"/>
      <c r="B666" s="37"/>
      <c r="C666" s="37"/>
      <c r="D666" s="37" t="s">
        <v>943</v>
      </c>
      <c r="E666" s="37"/>
    </row>
    <row r="667" spans="1:5" ht="18.75" customHeight="1" x14ac:dyDescent="0.25">
      <c r="A667" s="37"/>
      <c r="B667" s="37"/>
      <c r="C667" s="37"/>
      <c r="D667" s="37" t="s">
        <v>944</v>
      </c>
      <c r="E667" s="37"/>
    </row>
    <row r="668" spans="1:5" ht="18.75" customHeight="1" x14ac:dyDescent="0.25">
      <c r="A668" s="37"/>
      <c r="B668" s="37"/>
      <c r="C668" s="37"/>
      <c r="D668" s="37" t="s">
        <v>945</v>
      </c>
      <c r="E668" s="37"/>
    </row>
    <row r="669" spans="1:5" ht="18.75" customHeight="1" x14ac:dyDescent="0.25">
      <c r="A669" s="37"/>
      <c r="B669" s="37"/>
      <c r="C669" s="37"/>
      <c r="D669" s="37" t="s">
        <v>946</v>
      </c>
      <c r="E669" s="37"/>
    </row>
    <row r="670" spans="1:5" ht="18.75" customHeight="1" x14ac:dyDescent="0.25">
      <c r="A670" s="37"/>
      <c r="B670" s="37"/>
      <c r="C670" s="37"/>
      <c r="D670" s="37" t="s">
        <v>947</v>
      </c>
      <c r="E670" s="37"/>
    </row>
    <row r="671" spans="1:5" ht="18.75" customHeight="1" x14ac:dyDescent="0.25">
      <c r="A671" s="37"/>
      <c r="B671" s="37"/>
      <c r="C671" s="37"/>
      <c r="D671" s="37" t="s">
        <v>948</v>
      </c>
      <c r="E671" s="37"/>
    </row>
    <row r="672" spans="1:5" ht="18.75" customHeight="1" x14ac:dyDescent="0.25">
      <c r="A672" s="37"/>
      <c r="B672" s="37"/>
      <c r="C672" s="37"/>
      <c r="D672" s="37" t="s">
        <v>949</v>
      </c>
      <c r="E672" s="37"/>
    </row>
    <row r="673" spans="1:5" ht="18.75" customHeight="1" x14ac:dyDescent="0.25">
      <c r="A673" s="37"/>
      <c r="B673" s="37"/>
      <c r="C673" s="37"/>
      <c r="D673" s="37" t="s">
        <v>950</v>
      </c>
      <c r="E673" s="37"/>
    </row>
    <row r="674" spans="1:5" ht="18.75" customHeight="1" x14ac:dyDescent="0.25">
      <c r="A674" s="37"/>
      <c r="B674" s="37"/>
      <c r="C674" s="37"/>
      <c r="D674" s="37" t="s">
        <v>951</v>
      </c>
      <c r="E674" s="37"/>
    </row>
    <row r="675" spans="1:5" ht="18.75" customHeight="1" x14ac:dyDescent="0.25">
      <c r="A675" s="37"/>
      <c r="B675" s="37"/>
      <c r="C675" s="37"/>
      <c r="D675" s="37" t="s">
        <v>952</v>
      </c>
      <c r="E675" s="37"/>
    </row>
    <row r="676" spans="1:5" ht="18.75" customHeight="1" x14ac:dyDescent="0.25">
      <c r="A676" s="37"/>
      <c r="B676" s="37"/>
      <c r="C676" s="37"/>
      <c r="D676" s="37" t="s">
        <v>953</v>
      </c>
      <c r="E676" s="37"/>
    </row>
    <row r="677" spans="1:5" ht="18.75" customHeight="1" x14ac:dyDescent="0.25">
      <c r="A677" s="37"/>
      <c r="B677" s="37"/>
      <c r="C677" s="37"/>
      <c r="D677" s="37" t="s">
        <v>954</v>
      </c>
      <c r="E677" s="37"/>
    </row>
    <row r="678" spans="1:5" ht="18.75" customHeight="1" x14ac:dyDescent="0.25">
      <c r="A678" s="37"/>
      <c r="B678" s="37"/>
      <c r="C678" s="37"/>
      <c r="D678" s="37" t="s">
        <v>955</v>
      </c>
      <c r="E678" s="37"/>
    </row>
    <row r="679" spans="1:5" ht="18.75" customHeight="1" x14ac:dyDescent="0.25">
      <c r="A679" s="37"/>
      <c r="B679" s="37"/>
      <c r="C679" s="37"/>
      <c r="D679" s="37" t="s">
        <v>956</v>
      </c>
      <c r="E679" s="37"/>
    </row>
    <row r="680" spans="1:5" ht="18.75" customHeight="1" x14ac:dyDescent="0.25">
      <c r="A680" s="37"/>
      <c r="B680" s="37"/>
      <c r="C680" s="37"/>
      <c r="D680" s="37" t="s">
        <v>957</v>
      </c>
      <c r="E680" s="37"/>
    </row>
    <row r="681" spans="1:5" ht="18.75" customHeight="1" x14ac:dyDescent="0.25">
      <c r="A681" s="37"/>
      <c r="B681" s="37"/>
      <c r="C681" s="37"/>
      <c r="D681" s="37" t="s">
        <v>958</v>
      </c>
      <c r="E681" s="37"/>
    </row>
    <row r="682" spans="1:5" ht="18.75" customHeight="1" x14ac:dyDescent="0.25">
      <c r="A682" s="37"/>
      <c r="B682" s="37"/>
      <c r="C682" s="37"/>
      <c r="D682" s="37" t="s">
        <v>959</v>
      </c>
      <c r="E682" s="37"/>
    </row>
    <row r="683" spans="1:5" ht="18.75" customHeight="1" x14ac:dyDescent="0.25">
      <c r="A683" s="37"/>
      <c r="B683" s="37"/>
      <c r="C683" s="37"/>
      <c r="D683" s="37" t="s">
        <v>960</v>
      </c>
      <c r="E683" s="37"/>
    </row>
    <row r="684" spans="1:5" ht="18.75" customHeight="1" x14ac:dyDescent="0.25">
      <c r="A684" s="37"/>
      <c r="B684" s="37"/>
      <c r="C684" s="37"/>
      <c r="D684" s="37" t="s">
        <v>961</v>
      </c>
      <c r="E684" s="37"/>
    </row>
    <row r="685" spans="1:5" ht="18.75" customHeight="1" x14ac:dyDescent="0.25">
      <c r="A685" s="37"/>
      <c r="B685" s="37"/>
      <c r="C685" s="37"/>
      <c r="D685" s="37" t="s">
        <v>962</v>
      </c>
      <c r="E685" s="37"/>
    </row>
    <row r="686" spans="1:5" ht="18.75" customHeight="1" x14ac:dyDescent="0.25">
      <c r="A686" s="37"/>
      <c r="B686" s="37"/>
      <c r="C686" s="37"/>
      <c r="D686" s="37" t="s">
        <v>963</v>
      </c>
      <c r="E686" s="37"/>
    </row>
    <row r="687" spans="1:5" ht="18.75" customHeight="1" x14ac:dyDescent="0.25">
      <c r="A687" s="37"/>
      <c r="B687" s="37"/>
      <c r="C687" s="37"/>
      <c r="D687" s="37" t="s">
        <v>964</v>
      </c>
      <c r="E687" s="37"/>
    </row>
    <row r="688" spans="1:5" ht="18.75" customHeight="1" x14ac:dyDescent="0.25">
      <c r="A688" s="37"/>
      <c r="B688" s="37"/>
      <c r="C688" s="37"/>
      <c r="D688" s="37" t="s">
        <v>965</v>
      </c>
      <c r="E688" s="37"/>
    </row>
    <row r="689" spans="1:5" ht="18.75" customHeight="1" x14ac:dyDescent="0.25">
      <c r="A689" s="37"/>
      <c r="B689" s="37"/>
      <c r="C689" s="37"/>
      <c r="D689" s="37" t="s">
        <v>966</v>
      </c>
      <c r="E689" s="37"/>
    </row>
    <row r="690" spans="1:5" ht="18.75" customHeight="1" x14ac:dyDescent="0.25">
      <c r="A690" s="37"/>
      <c r="B690" s="37"/>
      <c r="C690" s="37"/>
      <c r="D690" s="37" t="s">
        <v>967</v>
      </c>
      <c r="E690" s="37"/>
    </row>
    <row r="691" spans="1:5" ht="18.75" customHeight="1" x14ac:dyDescent="0.25">
      <c r="A691" s="37"/>
      <c r="B691" s="37"/>
      <c r="C691" s="37"/>
      <c r="D691" s="37" t="s">
        <v>968</v>
      </c>
      <c r="E691" s="37"/>
    </row>
    <row r="692" spans="1:5" ht="18.75" customHeight="1" x14ac:dyDescent="0.25">
      <c r="A692" s="37"/>
      <c r="B692" s="37"/>
      <c r="C692" s="37"/>
      <c r="D692" s="37" t="s">
        <v>969</v>
      </c>
      <c r="E692" s="37"/>
    </row>
    <row r="693" spans="1:5" ht="18.75" customHeight="1" x14ac:dyDescent="0.25">
      <c r="A693" s="37"/>
      <c r="B693" s="37"/>
      <c r="C693" s="37"/>
      <c r="D693" s="37" t="s">
        <v>970</v>
      </c>
      <c r="E693" s="37"/>
    </row>
    <row r="694" spans="1:5" ht="18.75" customHeight="1" x14ac:dyDescent="0.25">
      <c r="A694" s="37"/>
      <c r="B694" s="37"/>
      <c r="C694" s="37"/>
      <c r="D694" s="37" t="s">
        <v>971</v>
      </c>
      <c r="E694" s="37"/>
    </row>
    <row r="695" spans="1:5" ht="18.75" customHeight="1" x14ac:dyDescent="0.25">
      <c r="A695" s="37"/>
      <c r="B695" s="37"/>
      <c r="C695" s="37"/>
      <c r="D695" s="37" t="s">
        <v>972</v>
      </c>
      <c r="E695" s="37"/>
    </row>
    <row r="696" spans="1:5" ht="18.75" customHeight="1" x14ac:dyDescent="0.25">
      <c r="A696" s="37"/>
      <c r="B696" s="37"/>
      <c r="C696" s="37"/>
      <c r="D696" s="37" t="s">
        <v>973</v>
      </c>
      <c r="E696" s="37"/>
    </row>
    <row r="697" spans="1:5" ht="18.75" customHeight="1" x14ac:dyDescent="0.25">
      <c r="A697" s="37"/>
      <c r="B697" s="37"/>
      <c r="C697" s="37"/>
      <c r="D697" s="37" t="s">
        <v>974</v>
      </c>
      <c r="E697" s="37"/>
    </row>
    <row r="698" spans="1:5" ht="18.75" customHeight="1" x14ac:dyDescent="0.25">
      <c r="A698" s="37"/>
      <c r="B698" s="37"/>
      <c r="C698" s="37"/>
      <c r="D698" s="37" t="s">
        <v>975</v>
      </c>
      <c r="E698" s="37"/>
    </row>
    <row r="699" spans="1:5" ht="18.75" customHeight="1" x14ac:dyDescent="0.25">
      <c r="A699" s="37"/>
      <c r="B699" s="37"/>
      <c r="C699" s="37"/>
      <c r="D699" s="37" t="s">
        <v>976</v>
      </c>
      <c r="E699" s="37"/>
    </row>
    <row r="700" spans="1:5" ht="18.75" customHeight="1" x14ac:dyDescent="0.25">
      <c r="A700" s="37"/>
      <c r="B700" s="37"/>
      <c r="C700" s="37"/>
      <c r="D700" s="37" t="s">
        <v>977</v>
      </c>
      <c r="E700" s="37"/>
    </row>
    <row r="701" spans="1:5" ht="18.75" customHeight="1" x14ac:dyDescent="0.25">
      <c r="A701" s="37"/>
      <c r="B701" s="37"/>
      <c r="C701" s="37"/>
      <c r="D701" s="37" t="s">
        <v>978</v>
      </c>
      <c r="E701" s="37"/>
    </row>
    <row r="702" spans="1:5" ht="18.75" customHeight="1" x14ac:dyDescent="0.25">
      <c r="A702" s="37"/>
      <c r="B702" s="37"/>
      <c r="C702" s="37"/>
      <c r="D702" s="37" t="s">
        <v>979</v>
      </c>
      <c r="E702" s="37"/>
    </row>
    <row r="703" spans="1:5" ht="18.75" customHeight="1" x14ac:dyDescent="0.25">
      <c r="A703" s="37"/>
      <c r="B703" s="37"/>
      <c r="C703" s="37"/>
      <c r="D703" s="37" t="s">
        <v>980</v>
      </c>
      <c r="E703" s="37"/>
    </row>
    <row r="704" spans="1:5" ht="18.75" customHeight="1" x14ac:dyDescent="0.25">
      <c r="A704" s="37"/>
      <c r="B704" s="37"/>
      <c r="C704" s="37"/>
      <c r="D704" s="37" t="s">
        <v>981</v>
      </c>
      <c r="E704" s="37"/>
    </row>
    <row r="705" spans="1:5" ht="18.75" customHeight="1" x14ac:dyDescent="0.25">
      <c r="A705" s="37"/>
      <c r="B705" s="37"/>
      <c r="C705" s="37"/>
      <c r="D705" s="37" t="s">
        <v>982</v>
      </c>
      <c r="E705" s="37"/>
    </row>
    <row r="706" spans="1:5" ht="18.75" customHeight="1" x14ac:dyDescent="0.25">
      <c r="A706" s="37"/>
      <c r="B706" s="37"/>
      <c r="C706" s="37"/>
      <c r="D706" s="37" t="s">
        <v>983</v>
      </c>
      <c r="E706" s="37"/>
    </row>
    <row r="707" spans="1:5" ht="18.75" customHeight="1" x14ac:dyDescent="0.25">
      <c r="A707" s="37"/>
      <c r="B707" s="37"/>
      <c r="C707" s="37"/>
      <c r="D707" s="37" t="s">
        <v>984</v>
      </c>
      <c r="E707" s="37"/>
    </row>
    <row r="708" spans="1:5" ht="18.75" customHeight="1" x14ac:dyDescent="0.25">
      <c r="A708" s="37"/>
      <c r="B708" s="37"/>
      <c r="C708" s="37"/>
      <c r="D708" s="37" t="s">
        <v>985</v>
      </c>
      <c r="E708" s="37"/>
    </row>
    <row r="709" spans="1:5" ht="18.75" customHeight="1" x14ac:dyDescent="0.25">
      <c r="A709" s="37"/>
      <c r="B709" s="37"/>
      <c r="C709" s="37"/>
      <c r="D709" s="37" t="s">
        <v>986</v>
      </c>
      <c r="E709" s="37"/>
    </row>
    <row r="710" spans="1:5" ht="18.75" customHeight="1" x14ac:dyDescent="0.25">
      <c r="A710" s="37"/>
      <c r="B710" s="37"/>
      <c r="C710" s="37"/>
      <c r="D710" s="37" t="s">
        <v>987</v>
      </c>
      <c r="E710" s="37"/>
    </row>
    <row r="711" spans="1:5" ht="18.75" customHeight="1" x14ac:dyDescent="0.25">
      <c r="A711" s="37"/>
      <c r="B711" s="37"/>
      <c r="C711" s="37"/>
      <c r="D711" s="37" t="s">
        <v>988</v>
      </c>
      <c r="E711" s="37"/>
    </row>
    <row r="712" spans="1:5" ht="18.75" customHeight="1" x14ac:dyDescent="0.25">
      <c r="A712" s="37"/>
      <c r="B712" s="37"/>
      <c r="C712" s="37"/>
      <c r="D712" s="37" t="s">
        <v>989</v>
      </c>
      <c r="E712" s="37"/>
    </row>
    <row r="713" spans="1:5" ht="18.75" customHeight="1" x14ac:dyDescent="0.25">
      <c r="A713" s="37"/>
      <c r="B713" s="37"/>
      <c r="C713" s="37"/>
      <c r="D713" s="37" t="s">
        <v>990</v>
      </c>
      <c r="E713" s="37"/>
    </row>
    <row r="714" spans="1:5" ht="18.75" customHeight="1" x14ac:dyDescent="0.25">
      <c r="A714" s="37"/>
      <c r="B714" s="37"/>
      <c r="C714" s="37"/>
      <c r="D714" s="37" t="s">
        <v>991</v>
      </c>
      <c r="E714" s="37"/>
    </row>
    <row r="715" spans="1:5" ht="18.75" customHeight="1" x14ac:dyDescent="0.25">
      <c r="A715" s="37"/>
      <c r="B715" s="37"/>
      <c r="C715" s="37"/>
      <c r="D715" s="37" t="s">
        <v>992</v>
      </c>
      <c r="E715" s="37"/>
    </row>
    <row r="716" spans="1:5" ht="18.75" customHeight="1" x14ac:dyDescent="0.25">
      <c r="A716" s="37"/>
      <c r="B716" s="37"/>
      <c r="C716" s="37"/>
      <c r="D716" s="37" t="s">
        <v>993</v>
      </c>
      <c r="E716" s="37"/>
    </row>
    <row r="717" spans="1:5" ht="18.75" customHeight="1" x14ac:dyDescent="0.25">
      <c r="A717" s="37"/>
      <c r="B717" s="37"/>
      <c r="C717" s="37"/>
      <c r="D717" s="37" t="s">
        <v>994</v>
      </c>
      <c r="E717" s="37"/>
    </row>
    <row r="718" spans="1:5" ht="18.75" customHeight="1" x14ac:dyDescent="0.25">
      <c r="A718" s="37"/>
      <c r="B718" s="37"/>
      <c r="C718" s="37"/>
      <c r="D718" s="37" t="s">
        <v>995</v>
      </c>
      <c r="E718" s="37"/>
    </row>
    <row r="719" spans="1:5" ht="18.75" customHeight="1" x14ac:dyDescent="0.25">
      <c r="A719" s="37"/>
      <c r="B719" s="37"/>
      <c r="C719" s="37"/>
      <c r="D719" s="37" t="s">
        <v>996</v>
      </c>
      <c r="E719" s="37"/>
    </row>
    <row r="720" spans="1:5" ht="18.75" customHeight="1" x14ac:dyDescent="0.25">
      <c r="A720" s="37"/>
      <c r="B720" s="37"/>
      <c r="C720" s="37"/>
      <c r="D720" s="37" t="s">
        <v>997</v>
      </c>
      <c r="E720" s="37"/>
    </row>
    <row r="721" spans="1:5" ht="18.75" customHeight="1" x14ac:dyDescent="0.25">
      <c r="A721" s="37"/>
      <c r="B721" s="37"/>
      <c r="C721" s="37"/>
      <c r="D721" s="37" t="s">
        <v>998</v>
      </c>
      <c r="E721" s="37"/>
    </row>
    <row r="722" spans="1:5" ht="18.75" customHeight="1" x14ac:dyDescent="0.25">
      <c r="A722" s="37"/>
      <c r="B722" s="37"/>
      <c r="C722" s="37"/>
      <c r="D722" s="37" t="s">
        <v>999</v>
      </c>
      <c r="E722" s="37"/>
    </row>
    <row r="723" spans="1:5" ht="18.75" customHeight="1" x14ac:dyDescent="0.25">
      <c r="A723" s="37"/>
      <c r="B723" s="37"/>
      <c r="C723" s="37"/>
      <c r="D723" s="37" t="s">
        <v>1000</v>
      </c>
      <c r="E723" s="37"/>
    </row>
    <row r="724" spans="1:5" ht="18.75" customHeight="1" x14ac:dyDescent="0.25">
      <c r="A724" s="37"/>
      <c r="B724" s="37"/>
      <c r="C724" s="37"/>
      <c r="D724" s="37" t="s">
        <v>1001</v>
      </c>
      <c r="E724" s="37"/>
    </row>
    <row r="725" spans="1:5" ht="18.75" customHeight="1" x14ac:dyDescent="0.25">
      <c r="A725" s="37"/>
      <c r="B725" s="37"/>
      <c r="C725" s="37"/>
      <c r="D725" s="37" t="s">
        <v>1002</v>
      </c>
      <c r="E725" s="37"/>
    </row>
    <row r="726" spans="1:5" ht="18.75" customHeight="1" x14ac:dyDescent="0.25">
      <c r="A726" s="37"/>
      <c r="B726" s="37"/>
      <c r="C726" s="37"/>
      <c r="D726" s="37" t="s">
        <v>1003</v>
      </c>
      <c r="E726" s="37"/>
    </row>
    <row r="727" spans="1:5" ht="18.75" customHeight="1" x14ac:dyDescent="0.25">
      <c r="A727" s="37"/>
      <c r="B727" s="37"/>
      <c r="C727" s="37"/>
      <c r="D727" s="37" t="s">
        <v>1004</v>
      </c>
      <c r="E727" s="37"/>
    </row>
    <row r="728" spans="1:5" ht="18.75" customHeight="1" x14ac:dyDescent="0.25">
      <c r="A728" s="37"/>
      <c r="B728" s="37"/>
      <c r="C728" s="37"/>
      <c r="D728" s="37" t="s">
        <v>1005</v>
      </c>
      <c r="E728" s="37"/>
    </row>
    <row r="729" spans="1:5" ht="18.75" customHeight="1" x14ac:dyDescent="0.25">
      <c r="A729" s="37"/>
      <c r="B729" s="37"/>
      <c r="C729" s="37"/>
      <c r="D729" s="37" t="s">
        <v>1006</v>
      </c>
      <c r="E729" s="37"/>
    </row>
    <row r="730" spans="1:5" ht="18.75" customHeight="1" x14ac:dyDescent="0.25">
      <c r="A730" s="37"/>
      <c r="B730" s="37"/>
      <c r="C730" s="37"/>
      <c r="D730" s="37" t="s">
        <v>1007</v>
      </c>
      <c r="E730" s="37"/>
    </row>
    <row r="731" spans="1:5" ht="18.75" customHeight="1" x14ac:dyDescent="0.25">
      <c r="A731" s="37"/>
      <c r="B731" s="37"/>
      <c r="C731" s="37"/>
      <c r="D731" s="37" t="s">
        <v>1008</v>
      </c>
      <c r="E731" s="37"/>
    </row>
    <row r="732" spans="1:5" ht="18.75" customHeight="1" x14ac:dyDescent="0.25">
      <c r="A732" s="37"/>
      <c r="B732" s="37"/>
      <c r="C732" s="37"/>
      <c r="D732" s="37" t="s">
        <v>1009</v>
      </c>
      <c r="E732" s="37"/>
    </row>
    <row r="733" spans="1:5" ht="18.75" customHeight="1" x14ac:dyDescent="0.25">
      <c r="A733" s="37"/>
      <c r="B733" s="37"/>
      <c r="C733" s="37"/>
      <c r="D733" s="37" t="s">
        <v>1010</v>
      </c>
      <c r="E733" s="37"/>
    </row>
    <row r="734" spans="1:5" ht="18.75" customHeight="1" x14ac:dyDescent="0.25">
      <c r="A734" s="37"/>
      <c r="B734" s="37"/>
      <c r="C734" s="37"/>
      <c r="D734" s="37" t="s">
        <v>1011</v>
      </c>
      <c r="E734" s="37"/>
    </row>
    <row r="735" spans="1:5" ht="18.75" customHeight="1" x14ac:dyDescent="0.25">
      <c r="A735" s="37"/>
      <c r="B735" s="37"/>
      <c r="C735" s="37"/>
      <c r="D735" s="37" t="s">
        <v>1012</v>
      </c>
      <c r="E735" s="37"/>
    </row>
    <row r="736" spans="1:5" ht="18.75" customHeight="1" x14ac:dyDescent="0.25">
      <c r="A736" s="37"/>
      <c r="B736" s="37"/>
      <c r="C736" s="37"/>
      <c r="D736" s="37" t="s">
        <v>1013</v>
      </c>
      <c r="E736" s="37"/>
    </row>
    <row r="737" spans="1:5" ht="18.75" customHeight="1" x14ac:dyDescent="0.25">
      <c r="A737" s="37"/>
      <c r="B737" s="37"/>
      <c r="C737" s="37"/>
      <c r="D737" s="37" t="s">
        <v>1014</v>
      </c>
      <c r="E737" s="37"/>
    </row>
    <row r="738" spans="1:5" ht="18.75" customHeight="1" x14ac:dyDescent="0.25">
      <c r="A738" s="37"/>
      <c r="B738" s="37"/>
      <c r="C738" s="37"/>
      <c r="D738" s="37" t="s">
        <v>1015</v>
      </c>
      <c r="E738" s="37"/>
    </row>
    <row r="739" spans="1:5" ht="18.75" customHeight="1" x14ac:dyDescent="0.25">
      <c r="A739" s="37"/>
      <c r="B739" s="37"/>
      <c r="C739" s="37"/>
      <c r="D739" s="37" t="s">
        <v>1016</v>
      </c>
      <c r="E739" s="37"/>
    </row>
    <row r="740" spans="1:5" ht="18.75" customHeight="1" x14ac:dyDescent="0.25">
      <c r="A740" s="37"/>
      <c r="B740" s="37"/>
      <c r="C740" s="37"/>
      <c r="D740" s="37" t="s">
        <v>1017</v>
      </c>
      <c r="E740" s="37"/>
    </row>
    <row r="741" spans="1:5" ht="18.75" customHeight="1" x14ac:dyDescent="0.25">
      <c r="A741" s="37"/>
      <c r="B741" s="37"/>
      <c r="C741" s="37"/>
      <c r="D741" s="37" t="s">
        <v>1018</v>
      </c>
      <c r="E741" s="37"/>
    </row>
    <row r="742" spans="1:5" ht="18.75" customHeight="1" x14ac:dyDescent="0.25">
      <c r="A742" s="37"/>
      <c r="B742" s="37"/>
      <c r="C742" s="37"/>
      <c r="D742" s="37" t="s">
        <v>1019</v>
      </c>
      <c r="E742" s="37"/>
    </row>
    <row r="743" spans="1:5" ht="18.75" customHeight="1" x14ac:dyDescent="0.25">
      <c r="A743" s="37"/>
      <c r="B743" s="37"/>
      <c r="C743" s="37"/>
      <c r="D743" s="37" t="s">
        <v>1020</v>
      </c>
      <c r="E743" s="37"/>
    </row>
    <row r="744" spans="1:5" ht="18.75" customHeight="1" x14ac:dyDescent="0.25">
      <c r="A744" s="37"/>
      <c r="B744" s="37"/>
      <c r="C744" s="37"/>
      <c r="D744" s="37" t="s">
        <v>1021</v>
      </c>
      <c r="E744" s="37"/>
    </row>
    <row r="745" spans="1:5" ht="18.75" customHeight="1" x14ac:dyDescent="0.25">
      <c r="A745" s="37"/>
      <c r="B745" s="37"/>
      <c r="C745" s="37"/>
      <c r="D745" s="37" t="s">
        <v>1022</v>
      </c>
      <c r="E745" s="37"/>
    </row>
    <row r="746" spans="1:5" ht="18.75" customHeight="1" x14ac:dyDescent="0.25">
      <c r="A746" s="37"/>
      <c r="B746" s="37"/>
      <c r="C746" s="37"/>
      <c r="D746" s="37" t="s">
        <v>1023</v>
      </c>
      <c r="E746" s="37"/>
    </row>
    <row r="747" spans="1:5" ht="18.75" customHeight="1" x14ac:dyDescent="0.25">
      <c r="A747" s="37"/>
      <c r="B747" s="37"/>
      <c r="C747" s="37"/>
      <c r="D747" s="37" t="s">
        <v>1024</v>
      </c>
      <c r="E747" s="37"/>
    </row>
    <row r="748" spans="1:5" ht="18.75" customHeight="1" x14ac:dyDescent="0.25">
      <c r="A748" s="37"/>
      <c r="B748" s="37"/>
      <c r="C748" s="37"/>
      <c r="D748" s="37" t="s">
        <v>1025</v>
      </c>
      <c r="E748" s="37"/>
    </row>
    <row r="749" spans="1:5" ht="18.75" customHeight="1" x14ac:dyDescent="0.25">
      <c r="A749" s="37"/>
      <c r="B749" s="37"/>
      <c r="C749" s="37"/>
      <c r="D749" s="37" t="s">
        <v>1026</v>
      </c>
      <c r="E749" s="37"/>
    </row>
    <row r="750" spans="1:5" ht="18.75" customHeight="1" x14ac:dyDescent="0.25">
      <c r="A750" s="37"/>
      <c r="B750" s="37"/>
      <c r="C750" s="37"/>
      <c r="D750" s="37" t="s">
        <v>1027</v>
      </c>
      <c r="E750" s="37"/>
    </row>
    <row r="751" spans="1:5" ht="18.75" customHeight="1" x14ac:dyDescent="0.25">
      <c r="A751" s="37"/>
      <c r="B751" s="37"/>
      <c r="C751" s="37"/>
      <c r="D751" s="37" t="s">
        <v>1028</v>
      </c>
      <c r="E751" s="37"/>
    </row>
    <row r="752" spans="1:5" ht="18.75" customHeight="1" x14ac:dyDescent="0.25">
      <c r="A752" s="37"/>
      <c r="B752" s="37"/>
      <c r="C752" s="37"/>
      <c r="D752" s="37" t="s">
        <v>1029</v>
      </c>
      <c r="E752" s="37"/>
    </row>
    <row r="753" spans="1:5" ht="18.75" customHeight="1" x14ac:dyDescent="0.25">
      <c r="A753" s="37"/>
      <c r="B753" s="37"/>
      <c r="C753" s="37"/>
      <c r="D753" s="37" t="s">
        <v>1030</v>
      </c>
      <c r="E753" s="37"/>
    </row>
    <row r="754" spans="1:5" ht="18.75" customHeight="1" x14ac:dyDescent="0.25">
      <c r="A754" s="37"/>
      <c r="B754" s="37"/>
      <c r="C754" s="37"/>
      <c r="D754" s="37" t="s">
        <v>1031</v>
      </c>
      <c r="E754" s="37"/>
    </row>
    <row r="755" spans="1:5" ht="18.75" customHeight="1" x14ac:dyDescent="0.25">
      <c r="A755" s="37"/>
      <c r="B755" s="37"/>
      <c r="C755" s="37"/>
      <c r="D755" s="37" t="s">
        <v>1032</v>
      </c>
      <c r="E755" s="37"/>
    </row>
    <row r="756" spans="1:5" ht="18.75" customHeight="1" x14ac:dyDescent="0.25">
      <c r="A756" s="37"/>
      <c r="B756" s="37"/>
      <c r="C756" s="37"/>
      <c r="D756" s="37" t="s">
        <v>1033</v>
      </c>
      <c r="E756" s="37"/>
    </row>
    <row r="757" spans="1:5" ht="18.75" customHeight="1" x14ac:dyDescent="0.25">
      <c r="A757" s="37"/>
      <c r="B757" s="37"/>
      <c r="C757" s="37"/>
      <c r="D757" s="37" t="s">
        <v>1034</v>
      </c>
      <c r="E757" s="37"/>
    </row>
    <row r="758" spans="1:5" ht="18.75" customHeight="1" x14ac:dyDescent="0.25">
      <c r="A758" s="37"/>
      <c r="B758" s="37"/>
      <c r="C758" s="37"/>
      <c r="D758" s="37" t="s">
        <v>1035</v>
      </c>
      <c r="E758" s="37"/>
    </row>
    <row r="759" spans="1:5" ht="18.75" customHeight="1" x14ac:dyDescent="0.25">
      <c r="A759" s="37"/>
      <c r="B759" s="37"/>
      <c r="C759" s="37"/>
      <c r="D759" s="37" t="s">
        <v>1036</v>
      </c>
      <c r="E759" s="37"/>
    </row>
    <row r="760" spans="1:5" ht="18.75" customHeight="1" x14ac:dyDescent="0.25">
      <c r="A760" s="37"/>
      <c r="B760" s="37"/>
      <c r="C760" s="37"/>
      <c r="D760" s="37" t="s">
        <v>1037</v>
      </c>
      <c r="E760" s="37"/>
    </row>
    <row r="761" spans="1:5" ht="18.75" customHeight="1" x14ac:dyDescent="0.25">
      <c r="A761" s="37"/>
      <c r="B761" s="37"/>
      <c r="C761" s="37"/>
      <c r="D761" s="37" t="s">
        <v>1038</v>
      </c>
      <c r="E761" s="37"/>
    </row>
    <row r="762" spans="1:5" ht="18.75" customHeight="1" x14ac:dyDescent="0.25">
      <c r="A762" s="37"/>
      <c r="B762" s="37"/>
      <c r="C762" s="37"/>
      <c r="D762" s="37" t="s">
        <v>1039</v>
      </c>
      <c r="E762" s="37"/>
    </row>
    <row r="763" spans="1:5" ht="18.75" customHeight="1" x14ac:dyDescent="0.25">
      <c r="A763" s="37"/>
      <c r="B763" s="37"/>
      <c r="C763" s="37"/>
      <c r="D763" s="37" t="s">
        <v>1040</v>
      </c>
      <c r="E763" s="37"/>
    </row>
    <row r="764" spans="1:5" ht="18.75" customHeight="1" x14ac:dyDescent="0.25">
      <c r="A764" s="37"/>
      <c r="B764" s="37"/>
      <c r="C764" s="37"/>
      <c r="D764" s="37" t="s">
        <v>1041</v>
      </c>
      <c r="E764" s="37"/>
    </row>
    <row r="765" spans="1:5" ht="18.75" customHeight="1" x14ac:dyDescent="0.25">
      <c r="A765" s="37"/>
      <c r="B765" s="37"/>
      <c r="C765" s="37"/>
      <c r="D765" s="37" t="s">
        <v>1042</v>
      </c>
      <c r="E765" s="37"/>
    </row>
    <row r="766" spans="1:5" ht="18.75" customHeight="1" x14ac:dyDescent="0.25">
      <c r="A766" s="37"/>
      <c r="B766" s="37"/>
      <c r="C766" s="37"/>
      <c r="D766" s="37" t="s">
        <v>1043</v>
      </c>
      <c r="E766" s="37"/>
    </row>
    <row r="767" spans="1:5" ht="18.75" customHeight="1" x14ac:dyDescent="0.25">
      <c r="A767" s="37"/>
      <c r="B767" s="37"/>
      <c r="C767" s="37"/>
      <c r="D767" s="37" t="s">
        <v>1044</v>
      </c>
      <c r="E767" s="37"/>
    </row>
    <row r="768" spans="1:5" ht="18.75" customHeight="1" x14ac:dyDescent="0.25">
      <c r="A768" s="37"/>
      <c r="B768" s="37"/>
      <c r="C768" s="37"/>
      <c r="D768" s="37" t="s">
        <v>1045</v>
      </c>
      <c r="E768" s="37"/>
    </row>
    <row r="769" spans="1:5" ht="18.75" customHeight="1" x14ac:dyDescent="0.25">
      <c r="A769" s="37"/>
      <c r="B769" s="37"/>
      <c r="C769" s="37"/>
      <c r="D769" s="37" t="s">
        <v>1046</v>
      </c>
      <c r="E769" s="37"/>
    </row>
    <row r="770" spans="1:5" ht="18.75" customHeight="1" x14ac:dyDescent="0.25">
      <c r="A770" s="37"/>
      <c r="B770" s="37"/>
      <c r="C770" s="37"/>
      <c r="D770" s="37" t="s">
        <v>1047</v>
      </c>
      <c r="E770" s="37"/>
    </row>
    <row r="771" spans="1:5" ht="18.75" customHeight="1" x14ac:dyDescent="0.25">
      <c r="A771" s="37"/>
      <c r="B771" s="37"/>
      <c r="C771" s="37"/>
      <c r="D771" s="37" t="s">
        <v>1048</v>
      </c>
      <c r="E771" s="37"/>
    </row>
    <row r="772" spans="1:5" ht="18.75" customHeight="1" x14ac:dyDescent="0.25">
      <c r="A772" s="37"/>
      <c r="B772" s="37"/>
      <c r="C772" s="37"/>
      <c r="D772" s="37" t="s">
        <v>1049</v>
      </c>
      <c r="E772" s="37"/>
    </row>
    <row r="773" spans="1:5" ht="18.75" customHeight="1" x14ac:dyDescent="0.25">
      <c r="A773" s="37"/>
      <c r="B773" s="37"/>
      <c r="C773" s="37"/>
      <c r="D773" s="37" t="s">
        <v>1050</v>
      </c>
      <c r="E773" s="37"/>
    </row>
    <row r="774" spans="1:5" ht="18.75" customHeight="1" x14ac:dyDescent="0.25">
      <c r="A774" s="37"/>
      <c r="B774" s="37"/>
      <c r="C774" s="37"/>
      <c r="D774" s="37" t="s">
        <v>1051</v>
      </c>
      <c r="E774" s="37"/>
    </row>
    <row r="775" spans="1:5" ht="18.75" customHeight="1" x14ac:dyDescent="0.25">
      <c r="A775" s="37"/>
      <c r="B775" s="37"/>
      <c r="C775" s="37"/>
      <c r="D775" s="37" t="s">
        <v>1052</v>
      </c>
      <c r="E775" s="37"/>
    </row>
    <row r="776" spans="1:5" ht="18.75" customHeight="1" x14ac:dyDescent="0.25">
      <c r="A776" s="37"/>
      <c r="B776" s="37"/>
      <c r="C776" s="37"/>
      <c r="D776" s="37" t="s">
        <v>1053</v>
      </c>
      <c r="E776" s="37"/>
    </row>
    <row r="777" spans="1:5" ht="18.75" customHeight="1" x14ac:dyDescent="0.25">
      <c r="A777" s="37"/>
      <c r="B777" s="37"/>
      <c r="C777" s="37"/>
      <c r="D777" s="37" t="s">
        <v>1054</v>
      </c>
      <c r="E777" s="37"/>
    </row>
    <row r="778" spans="1:5" ht="18.75" customHeight="1" x14ac:dyDescent="0.25">
      <c r="A778" s="37"/>
      <c r="B778" s="37"/>
      <c r="C778" s="37"/>
      <c r="D778" s="37" t="s">
        <v>1055</v>
      </c>
      <c r="E778" s="37"/>
    </row>
    <row r="779" spans="1:5" ht="18.75" customHeight="1" x14ac:dyDescent="0.25">
      <c r="A779" s="37"/>
      <c r="B779" s="37"/>
      <c r="C779" s="37"/>
      <c r="D779" s="37" t="s">
        <v>1056</v>
      </c>
      <c r="E779" s="37"/>
    </row>
    <row r="780" spans="1:5" ht="18.75" customHeight="1" x14ac:dyDescent="0.25">
      <c r="A780" s="37"/>
      <c r="B780" s="37"/>
      <c r="C780" s="37"/>
      <c r="D780" s="37" t="s">
        <v>1057</v>
      </c>
      <c r="E780" s="37"/>
    </row>
    <row r="781" spans="1:5" ht="18.75" customHeight="1" x14ac:dyDescent="0.25">
      <c r="A781" s="37"/>
      <c r="B781" s="37"/>
      <c r="C781" s="37"/>
      <c r="D781" s="37" t="s">
        <v>1058</v>
      </c>
      <c r="E781" s="37"/>
    </row>
    <row r="782" spans="1:5" ht="18.75" customHeight="1" x14ac:dyDescent="0.25">
      <c r="A782" s="37"/>
      <c r="B782" s="37"/>
      <c r="C782" s="37"/>
      <c r="D782" s="37" t="s">
        <v>1059</v>
      </c>
      <c r="E782" s="37"/>
    </row>
    <row r="783" spans="1:5" ht="18.75" customHeight="1" x14ac:dyDescent="0.25">
      <c r="A783" s="37"/>
      <c r="B783" s="37"/>
      <c r="C783" s="37"/>
      <c r="D783" s="37" t="s">
        <v>1060</v>
      </c>
      <c r="E783" s="37"/>
    </row>
    <row r="784" spans="1:5" ht="18.75" customHeight="1" x14ac:dyDescent="0.25">
      <c r="A784" s="37"/>
      <c r="B784" s="37"/>
      <c r="C784" s="37"/>
      <c r="D784" s="37" t="s">
        <v>1061</v>
      </c>
      <c r="E784" s="37"/>
    </row>
    <row r="785" spans="1:5" ht="18.75" customHeight="1" x14ac:dyDescent="0.25">
      <c r="A785" s="37"/>
      <c r="B785" s="37"/>
      <c r="C785" s="37"/>
      <c r="D785" s="37" t="s">
        <v>1062</v>
      </c>
      <c r="E785" s="37"/>
    </row>
    <row r="786" spans="1:5" ht="18.75" customHeight="1" x14ac:dyDescent="0.25">
      <c r="A786" s="37"/>
      <c r="B786" s="37"/>
      <c r="C786" s="37"/>
      <c r="D786" s="37" t="s">
        <v>1063</v>
      </c>
      <c r="E786" s="37"/>
    </row>
    <row r="787" spans="1:5" ht="18.75" customHeight="1" x14ac:dyDescent="0.25">
      <c r="A787" s="37"/>
      <c r="B787" s="37"/>
      <c r="C787" s="37"/>
      <c r="D787" s="37" t="s">
        <v>1064</v>
      </c>
      <c r="E787" s="37"/>
    </row>
    <row r="788" spans="1:5" ht="18.75" customHeight="1" x14ac:dyDescent="0.25">
      <c r="A788" s="37"/>
      <c r="B788" s="37"/>
      <c r="C788" s="37"/>
      <c r="D788" s="37" t="s">
        <v>1065</v>
      </c>
      <c r="E788" s="37"/>
    </row>
    <row r="789" spans="1:5" ht="18.75" customHeight="1" x14ac:dyDescent="0.25">
      <c r="A789" s="37"/>
      <c r="B789" s="37"/>
      <c r="C789" s="37"/>
      <c r="D789" s="37" t="s">
        <v>1066</v>
      </c>
      <c r="E789" s="37"/>
    </row>
    <row r="790" spans="1:5" ht="18.75" customHeight="1" x14ac:dyDescent="0.25">
      <c r="A790" s="37"/>
      <c r="B790" s="37"/>
      <c r="C790" s="37"/>
      <c r="D790" s="37" t="s">
        <v>1067</v>
      </c>
      <c r="E790" s="37"/>
    </row>
    <row r="791" spans="1:5" ht="18.75" customHeight="1" x14ac:dyDescent="0.25">
      <c r="A791" s="37"/>
      <c r="B791" s="37"/>
      <c r="C791" s="37"/>
      <c r="D791" s="37" t="s">
        <v>1068</v>
      </c>
      <c r="E791" s="37"/>
    </row>
    <row r="792" spans="1:5" ht="18.75" customHeight="1" x14ac:dyDescent="0.25">
      <c r="A792" s="37"/>
      <c r="B792" s="37"/>
      <c r="C792" s="37"/>
      <c r="D792" s="37" t="s">
        <v>1069</v>
      </c>
      <c r="E792" s="37"/>
    </row>
    <row r="793" spans="1:5" ht="18.75" customHeight="1" x14ac:dyDescent="0.25">
      <c r="A793" s="37"/>
      <c r="B793" s="37"/>
      <c r="C793" s="37"/>
      <c r="D793" s="37" t="s">
        <v>1070</v>
      </c>
      <c r="E793" s="37"/>
    </row>
    <row r="794" spans="1:5" ht="18.75" customHeight="1" x14ac:dyDescent="0.25">
      <c r="A794" s="37"/>
      <c r="B794" s="37"/>
      <c r="C794" s="37"/>
      <c r="D794" s="37" t="s">
        <v>1071</v>
      </c>
      <c r="E794" s="37"/>
    </row>
    <row r="795" spans="1:5" ht="18.75" customHeight="1" x14ac:dyDescent="0.25">
      <c r="A795" s="37"/>
      <c r="B795" s="37"/>
      <c r="C795" s="37"/>
      <c r="D795" s="37" t="s">
        <v>1072</v>
      </c>
      <c r="E795" s="37"/>
    </row>
    <row r="796" spans="1:5" ht="18.75" customHeight="1" x14ac:dyDescent="0.25">
      <c r="A796" s="37"/>
      <c r="B796" s="37"/>
      <c r="C796" s="37"/>
      <c r="D796" s="37" t="s">
        <v>1073</v>
      </c>
      <c r="E796" s="37"/>
    </row>
    <row r="797" spans="1:5" ht="18.75" customHeight="1" x14ac:dyDescent="0.25">
      <c r="A797" s="37"/>
      <c r="B797" s="37"/>
      <c r="C797" s="37"/>
      <c r="D797" s="37" t="s">
        <v>1074</v>
      </c>
      <c r="E797" s="37"/>
    </row>
    <row r="798" spans="1:5" ht="18.75" customHeight="1" x14ac:dyDescent="0.25">
      <c r="A798" s="37"/>
      <c r="B798" s="37"/>
      <c r="C798" s="37"/>
      <c r="D798" s="37" t="s">
        <v>1075</v>
      </c>
      <c r="E798" s="37"/>
    </row>
    <row r="799" spans="1:5" ht="18.75" customHeight="1" x14ac:dyDescent="0.25">
      <c r="A799" s="37"/>
      <c r="B799" s="37"/>
      <c r="C799" s="37"/>
      <c r="D799" s="37" t="s">
        <v>1076</v>
      </c>
      <c r="E799" s="37"/>
    </row>
    <row r="800" spans="1:5" ht="18.75" customHeight="1" x14ac:dyDescent="0.25">
      <c r="A800" s="37"/>
      <c r="B800" s="37"/>
      <c r="C800" s="37"/>
      <c r="D800" s="37" t="s">
        <v>1077</v>
      </c>
      <c r="E800" s="37"/>
    </row>
    <row r="801" spans="1:5" ht="18.75" customHeight="1" x14ac:dyDescent="0.25">
      <c r="A801" s="37"/>
      <c r="B801" s="37"/>
      <c r="C801" s="37"/>
      <c r="D801" s="37" t="s">
        <v>1078</v>
      </c>
      <c r="E801" s="37"/>
    </row>
    <row r="802" spans="1:5" ht="18.75" customHeight="1" x14ac:dyDescent="0.25">
      <c r="A802" s="37"/>
      <c r="B802" s="37"/>
      <c r="C802" s="37"/>
      <c r="D802" s="37" t="s">
        <v>1079</v>
      </c>
      <c r="E802" s="37"/>
    </row>
    <row r="803" spans="1:5" ht="18.75" customHeight="1" x14ac:dyDescent="0.25">
      <c r="A803" s="37"/>
      <c r="B803" s="37"/>
      <c r="C803" s="37"/>
      <c r="D803" s="37" t="s">
        <v>1080</v>
      </c>
      <c r="E803" s="37"/>
    </row>
    <row r="804" spans="1:5" ht="18.75" customHeight="1" x14ac:dyDescent="0.25">
      <c r="A804" s="37"/>
      <c r="B804" s="37"/>
      <c r="C804" s="37"/>
      <c r="D804" s="37" t="s">
        <v>1081</v>
      </c>
      <c r="E804" s="37"/>
    </row>
    <row r="805" spans="1:5" ht="18.75" customHeight="1" x14ac:dyDescent="0.25">
      <c r="A805" s="37"/>
      <c r="B805" s="37"/>
      <c r="C805" s="37"/>
      <c r="D805" s="37" t="s">
        <v>1082</v>
      </c>
      <c r="E805" s="37"/>
    </row>
    <row r="806" spans="1:5" ht="18.75" customHeight="1" x14ac:dyDescent="0.25">
      <c r="A806" s="37"/>
      <c r="B806" s="37"/>
      <c r="C806" s="37"/>
      <c r="D806" s="37" t="s">
        <v>1083</v>
      </c>
      <c r="E806" s="37"/>
    </row>
    <row r="807" spans="1:5" ht="18.75" customHeight="1" x14ac:dyDescent="0.25">
      <c r="A807" s="37"/>
      <c r="B807" s="37"/>
      <c r="C807" s="37"/>
      <c r="D807" s="37" t="s">
        <v>1084</v>
      </c>
      <c r="E807" s="37"/>
    </row>
    <row r="808" spans="1:5" ht="18.75" customHeight="1" x14ac:dyDescent="0.25">
      <c r="A808" s="37"/>
      <c r="B808" s="37"/>
      <c r="C808" s="37"/>
      <c r="D808" s="37" t="s">
        <v>1085</v>
      </c>
      <c r="E808" s="37"/>
    </row>
    <row r="809" spans="1:5" ht="18.75" customHeight="1" x14ac:dyDescent="0.25">
      <c r="A809" s="37"/>
      <c r="B809" s="37"/>
      <c r="C809" s="37"/>
      <c r="D809" s="37" t="s">
        <v>1086</v>
      </c>
      <c r="E809" s="37"/>
    </row>
    <row r="810" spans="1:5" ht="18.75" customHeight="1" x14ac:dyDescent="0.25">
      <c r="A810" s="37"/>
      <c r="B810" s="37"/>
      <c r="C810" s="37"/>
      <c r="D810" s="37" t="s">
        <v>1087</v>
      </c>
      <c r="E810" s="37"/>
    </row>
    <row r="811" spans="1:5" ht="18.75" customHeight="1" x14ac:dyDescent="0.25">
      <c r="A811" s="37"/>
      <c r="B811" s="37"/>
      <c r="C811" s="37"/>
      <c r="D811" s="37" t="s">
        <v>1088</v>
      </c>
      <c r="E811" s="37"/>
    </row>
    <row r="812" spans="1:5" ht="18.75" customHeight="1" x14ac:dyDescent="0.25">
      <c r="A812" s="37"/>
      <c r="B812" s="37"/>
      <c r="C812" s="37"/>
      <c r="D812" s="37" t="s">
        <v>1089</v>
      </c>
      <c r="E812" s="37"/>
    </row>
    <row r="813" spans="1:5" ht="18.75" customHeight="1" x14ac:dyDescent="0.25">
      <c r="A813" s="37"/>
      <c r="B813" s="37"/>
      <c r="C813" s="37"/>
      <c r="D813" s="37" t="s">
        <v>1090</v>
      </c>
      <c r="E813" s="37"/>
    </row>
    <row r="814" spans="1:5" ht="18.75" customHeight="1" x14ac:dyDescent="0.25">
      <c r="A814" s="37"/>
      <c r="B814" s="37"/>
      <c r="C814" s="37"/>
      <c r="D814" s="37" t="s">
        <v>1091</v>
      </c>
      <c r="E814" s="37"/>
    </row>
    <row r="815" spans="1:5" ht="18.75" customHeight="1" x14ac:dyDescent="0.25">
      <c r="A815" s="37"/>
      <c r="B815" s="37"/>
      <c r="C815" s="37"/>
      <c r="D815" s="37" t="s">
        <v>1092</v>
      </c>
      <c r="E815" s="37"/>
    </row>
    <row r="816" spans="1:5" ht="18.75" customHeight="1" x14ac:dyDescent="0.25">
      <c r="A816" s="37"/>
      <c r="B816" s="37"/>
      <c r="C816" s="37"/>
      <c r="D816" s="37" t="s">
        <v>1093</v>
      </c>
      <c r="E816" s="37"/>
    </row>
    <row r="817" spans="1:5" ht="18.75" customHeight="1" x14ac:dyDescent="0.25">
      <c r="A817" s="37"/>
      <c r="B817" s="37"/>
      <c r="C817" s="37"/>
      <c r="D817" s="37" t="s">
        <v>1094</v>
      </c>
      <c r="E817" s="37"/>
    </row>
    <row r="818" spans="1:5" ht="18.75" customHeight="1" x14ac:dyDescent="0.25">
      <c r="A818" s="37"/>
      <c r="B818" s="37"/>
      <c r="C818" s="37"/>
      <c r="D818" s="37" t="s">
        <v>1095</v>
      </c>
      <c r="E818" s="37"/>
    </row>
    <row r="819" spans="1:5" ht="18.75" customHeight="1" x14ac:dyDescent="0.25">
      <c r="A819" s="37"/>
      <c r="B819" s="37"/>
      <c r="C819" s="37"/>
      <c r="D819" s="37" t="s">
        <v>1096</v>
      </c>
      <c r="E819" s="37"/>
    </row>
    <row r="820" spans="1:5" ht="18.75" customHeight="1" x14ac:dyDescent="0.25">
      <c r="A820" s="37"/>
      <c r="B820" s="37"/>
      <c r="C820" s="37"/>
      <c r="D820" s="37" t="s">
        <v>1097</v>
      </c>
      <c r="E820" s="37"/>
    </row>
    <row r="821" spans="1:5" ht="18.75" customHeight="1" x14ac:dyDescent="0.25">
      <c r="A821" s="37"/>
      <c r="B821" s="37"/>
      <c r="C821" s="37"/>
      <c r="D821" s="37" t="s">
        <v>1098</v>
      </c>
      <c r="E821" s="37"/>
    </row>
    <row r="822" spans="1:5" ht="18.75" customHeight="1" x14ac:dyDescent="0.25">
      <c r="A822" s="37"/>
      <c r="B822" s="37"/>
      <c r="C822" s="37"/>
      <c r="D822" s="37" t="s">
        <v>1099</v>
      </c>
      <c r="E822" s="37"/>
    </row>
    <row r="823" spans="1:5" ht="18.75" customHeight="1" x14ac:dyDescent="0.25">
      <c r="A823" s="37"/>
      <c r="B823" s="37"/>
      <c r="C823" s="37"/>
      <c r="D823" s="37" t="s">
        <v>1100</v>
      </c>
      <c r="E823" s="37"/>
    </row>
    <row r="824" spans="1:5" ht="18.75" customHeight="1" x14ac:dyDescent="0.25">
      <c r="A824" s="37"/>
      <c r="B824" s="37"/>
      <c r="C824" s="37"/>
      <c r="D824" s="37" t="s">
        <v>1101</v>
      </c>
      <c r="E824" s="37"/>
    </row>
    <row r="825" spans="1:5" ht="18.75" customHeight="1" x14ac:dyDescent="0.25">
      <c r="A825" s="37"/>
      <c r="B825" s="37"/>
      <c r="C825" s="37"/>
      <c r="D825" s="37" t="s">
        <v>1102</v>
      </c>
      <c r="E825" s="37"/>
    </row>
    <row r="826" spans="1:5" ht="18.75" customHeight="1" x14ac:dyDescent="0.25">
      <c r="A826" s="37"/>
      <c r="B826" s="37"/>
      <c r="C826" s="37"/>
      <c r="D826" s="37" t="s">
        <v>1103</v>
      </c>
      <c r="E826" s="37"/>
    </row>
    <row r="827" spans="1:5" ht="18.75" customHeight="1" x14ac:dyDescent="0.25">
      <c r="A827" s="37"/>
      <c r="B827" s="37"/>
      <c r="C827" s="37"/>
      <c r="D827" s="37" t="s">
        <v>1104</v>
      </c>
      <c r="E827" s="37"/>
    </row>
    <row r="828" spans="1:5" ht="18.75" customHeight="1" x14ac:dyDescent="0.25">
      <c r="A828" s="37"/>
      <c r="B828" s="37"/>
      <c r="C828" s="37"/>
      <c r="D828" s="37" t="s">
        <v>1105</v>
      </c>
      <c r="E828" s="37"/>
    </row>
    <row r="829" spans="1:5" ht="18.75" customHeight="1" x14ac:dyDescent="0.25">
      <c r="A829" s="37"/>
      <c r="B829" s="37"/>
      <c r="C829" s="37"/>
      <c r="D829" s="37" t="s">
        <v>1106</v>
      </c>
      <c r="E829" s="37"/>
    </row>
    <row r="830" spans="1:5" ht="18.75" customHeight="1" x14ac:dyDescent="0.25">
      <c r="A830" s="37"/>
      <c r="B830" s="37"/>
      <c r="C830" s="37"/>
      <c r="D830" s="37" t="s">
        <v>1107</v>
      </c>
      <c r="E830" s="37"/>
    </row>
    <row r="831" spans="1:5" ht="18.75" customHeight="1" x14ac:dyDescent="0.25">
      <c r="A831" s="37"/>
      <c r="B831" s="37"/>
      <c r="C831" s="37"/>
      <c r="D831" s="37" t="s">
        <v>1108</v>
      </c>
      <c r="E831" s="37"/>
    </row>
    <row r="832" spans="1:5" ht="18.75" customHeight="1" x14ac:dyDescent="0.25">
      <c r="A832" s="37"/>
      <c r="B832" s="37"/>
      <c r="C832" s="37"/>
      <c r="D832" s="37" t="s">
        <v>1109</v>
      </c>
      <c r="E832" s="37"/>
    </row>
    <row r="833" spans="1:5" ht="18.75" customHeight="1" x14ac:dyDescent="0.25">
      <c r="A833" s="37"/>
      <c r="B833" s="37"/>
      <c r="C833" s="37"/>
      <c r="D833" s="37" t="s">
        <v>1110</v>
      </c>
      <c r="E833" s="37"/>
    </row>
    <row r="834" spans="1:5" ht="18.75" customHeight="1" x14ac:dyDescent="0.25">
      <c r="A834" s="37"/>
      <c r="B834" s="37"/>
      <c r="C834" s="37"/>
      <c r="D834" s="37" t="s">
        <v>1111</v>
      </c>
      <c r="E834" s="37"/>
    </row>
    <row r="835" spans="1:5" ht="18.75" customHeight="1" x14ac:dyDescent="0.25">
      <c r="A835" s="37"/>
      <c r="B835" s="37"/>
      <c r="C835" s="37"/>
      <c r="D835" s="37" t="s">
        <v>1112</v>
      </c>
      <c r="E835" s="37"/>
    </row>
    <row r="836" spans="1:5" ht="18.75" customHeight="1" x14ac:dyDescent="0.25">
      <c r="A836" s="37"/>
      <c r="B836" s="37"/>
      <c r="C836" s="37"/>
      <c r="D836" s="37" t="s">
        <v>1113</v>
      </c>
      <c r="E836" s="37"/>
    </row>
    <row r="837" spans="1:5" ht="18.75" customHeight="1" x14ac:dyDescent="0.25">
      <c r="A837" s="37"/>
      <c r="B837" s="37"/>
      <c r="C837" s="37"/>
      <c r="D837" s="37" t="s">
        <v>1114</v>
      </c>
      <c r="E837" s="37"/>
    </row>
    <row r="838" spans="1:5" ht="18.75" customHeight="1" x14ac:dyDescent="0.25">
      <c r="A838" s="37"/>
      <c r="B838" s="37"/>
      <c r="C838" s="37"/>
      <c r="D838" s="37" t="s">
        <v>1115</v>
      </c>
      <c r="E838" s="37"/>
    </row>
    <row r="839" spans="1:5" ht="18.75" customHeight="1" x14ac:dyDescent="0.25">
      <c r="A839" s="37"/>
      <c r="B839" s="37"/>
      <c r="C839" s="37"/>
      <c r="D839" s="37" t="s">
        <v>1116</v>
      </c>
      <c r="E839" s="37"/>
    </row>
    <row r="840" spans="1:5" ht="18.75" customHeight="1" x14ac:dyDescent="0.25">
      <c r="A840" s="37"/>
      <c r="B840" s="37"/>
      <c r="C840" s="37"/>
      <c r="D840" s="37" t="s">
        <v>1117</v>
      </c>
      <c r="E840" s="37"/>
    </row>
    <row r="841" spans="1:5" ht="18.75" customHeight="1" x14ac:dyDescent="0.25">
      <c r="A841" s="37"/>
      <c r="B841" s="37"/>
      <c r="C841" s="37"/>
      <c r="D841" s="37" t="s">
        <v>1118</v>
      </c>
      <c r="E841" s="37"/>
    </row>
    <row r="842" spans="1:5" ht="18.75" customHeight="1" x14ac:dyDescent="0.25">
      <c r="A842" s="37"/>
      <c r="B842" s="37"/>
      <c r="C842" s="37"/>
      <c r="D842" s="37" t="s">
        <v>1119</v>
      </c>
      <c r="E842" s="37"/>
    </row>
    <row r="843" spans="1:5" ht="18.75" customHeight="1" x14ac:dyDescent="0.25">
      <c r="A843" s="37"/>
      <c r="B843" s="37"/>
      <c r="C843" s="37"/>
      <c r="D843" s="37" t="s">
        <v>1120</v>
      </c>
      <c r="E843" s="37"/>
    </row>
    <row r="844" spans="1:5" ht="18.75" customHeight="1" x14ac:dyDescent="0.25">
      <c r="A844" s="37"/>
      <c r="B844" s="37"/>
      <c r="C844" s="37"/>
      <c r="D844" s="37" t="s">
        <v>1121</v>
      </c>
      <c r="E844" s="37"/>
    </row>
    <row r="845" spans="1:5" ht="18.75" customHeight="1" x14ac:dyDescent="0.25">
      <c r="A845" s="37"/>
      <c r="B845" s="37"/>
      <c r="C845" s="37"/>
      <c r="D845" s="37" t="s">
        <v>1122</v>
      </c>
      <c r="E845" s="37"/>
    </row>
    <row r="846" spans="1:5" ht="18.75" customHeight="1" x14ac:dyDescent="0.25">
      <c r="A846" s="37"/>
      <c r="B846" s="37"/>
      <c r="C846" s="37"/>
      <c r="D846" s="37" t="s">
        <v>1123</v>
      </c>
      <c r="E846" s="37"/>
    </row>
    <row r="847" spans="1:5" ht="18.75" customHeight="1" x14ac:dyDescent="0.25">
      <c r="A847" s="37"/>
      <c r="B847" s="37"/>
      <c r="C847" s="37"/>
      <c r="D847" s="37" t="s">
        <v>1124</v>
      </c>
      <c r="E847" s="37"/>
    </row>
    <row r="848" spans="1:5" ht="18.75" customHeight="1" x14ac:dyDescent="0.25">
      <c r="A848" s="37"/>
      <c r="B848" s="37"/>
      <c r="C848" s="37"/>
      <c r="D848" s="37" t="s">
        <v>1125</v>
      </c>
      <c r="E848" s="37"/>
    </row>
    <row r="849" spans="1:5" ht="18.75" customHeight="1" x14ac:dyDescent="0.25">
      <c r="A849" s="37"/>
      <c r="B849" s="37"/>
      <c r="C849" s="37"/>
      <c r="D849" s="37" t="s">
        <v>1126</v>
      </c>
      <c r="E849" s="37"/>
    </row>
    <row r="850" spans="1:5" ht="18.75" customHeight="1" x14ac:dyDescent="0.25">
      <c r="A850" s="37"/>
      <c r="B850" s="37"/>
      <c r="C850" s="37"/>
      <c r="D850" s="37" t="s">
        <v>1127</v>
      </c>
      <c r="E850" s="37"/>
    </row>
    <row r="851" spans="1:5" ht="18.75" customHeight="1" x14ac:dyDescent="0.25">
      <c r="A851" s="37"/>
      <c r="B851" s="37"/>
      <c r="C851" s="37"/>
      <c r="D851" s="37" t="s">
        <v>1128</v>
      </c>
      <c r="E851" s="37"/>
    </row>
    <row r="852" spans="1:5" ht="18.75" customHeight="1" x14ac:dyDescent="0.25">
      <c r="A852" s="37"/>
      <c r="B852" s="37"/>
      <c r="C852" s="37"/>
      <c r="D852" s="37" t="s">
        <v>1129</v>
      </c>
      <c r="E852" s="37"/>
    </row>
    <row r="853" spans="1:5" ht="18.75" customHeight="1" x14ac:dyDescent="0.25">
      <c r="A853" s="37"/>
      <c r="B853" s="37"/>
      <c r="C853" s="37"/>
      <c r="D853" s="37" t="s">
        <v>1130</v>
      </c>
      <c r="E853" s="37"/>
    </row>
    <row r="854" spans="1:5" ht="18.75" customHeight="1" x14ac:dyDescent="0.25">
      <c r="A854" s="37"/>
      <c r="B854" s="37"/>
      <c r="C854" s="37"/>
      <c r="D854" s="37" t="s">
        <v>1131</v>
      </c>
      <c r="E854" s="37"/>
    </row>
    <row r="855" spans="1:5" ht="18.75" customHeight="1" x14ac:dyDescent="0.25">
      <c r="A855" s="37"/>
      <c r="B855" s="37"/>
      <c r="C855" s="37"/>
      <c r="D855" s="37" t="s">
        <v>1132</v>
      </c>
      <c r="E855" s="37"/>
    </row>
    <row r="856" spans="1:5" ht="18.75" customHeight="1" x14ac:dyDescent="0.25">
      <c r="A856" s="37"/>
      <c r="B856" s="37"/>
      <c r="C856" s="37"/>
      <c r="D856" s="37" t="s">
        <v>1133</v>
      </c>
      <c r="E856" s="37"/>
    </row>
    <row r="857" spans="1:5" ht="18.75" customHeight="1" x14ac:dyDescent="0.25">
      <c r="A857" s="37"/>
      <c r="B857" s="37"/>
      <c r="C857" s="37"/>
      <c r="D857" s="37" t="s">
        <v>1134</v>
      </c>
      <c r="E857" s="37"/>
    </row>
    <row r="858" spans="1:5" ht="18.75" customHeight="1" x14ac:dyDescent="0.25">
      <c r="A858" s="37"/>
      <c r="B858" s="37"/>
      <c r="C858" s="37"/>
      <c r="D858" s="37" t="s">
        <v>1135</v>
      </c>
      <c r="E858" s="37"/>
    </row>
    <row r="859" spans="1:5" ht="18.75" customHeight="1" x14ac:dyDescent="0.25">
      <c r="A859" s="37"/>
      <c r="B859" s="37"/>
      <c r="C859" s="37"/>
      <c r="D859" s="37" t="s">
        <v>1136</v>
      </c>
      <c r="E859" s="37"/>
    </row>
    <row r="860" spans="1:5" ht="18.75" customHeight="1" x14ac:dyDescent="0.25">
      <c r="A860" s="37"/>
      <c r="B860" s="37"/>
      <c r="C860" s="37"/>
      <c r="D860" s="37" t="s">
        <v>1137</v>
      </c>
      <c r="E860" s="37"/>
    </row>
    <row r="861" spans="1:5" ht="18.75" customHeight="1" x14ac:dyDescent="0.25">
      <c r="A861" s="37"/>
      <c r="B861" s="37"/>
      <c r="C861" s="37"/>
      <c r="D861" s="37" t="s">
        <v>1138</v>
      </c>
      <c r="E861" s="37"/>
    </row>
    <row r="862" spans="1:5" ht="18.75" customHeight="1" x14ac:dyDescent="0.25">
      <c r="A862" s="37"/>
      <c r="B862" s="37"/>
      <c r="C862" s="37"/>
      <c r="D862" s="37" t="s">
        <v>1139</v>
      </c>
      <c r="E862" s="37"/>
    </row>
    <row r="863" spans="1:5" ht="18.75" customHeight="1" x14ac:dyDescent="0.25">
      <c r="A863" s="37"/>
      <c r="B863" s="37"/>
      <c r="C863" s="37"/>
      <c r="D863" s="37" t="s">
        <v>1140</v>
      </c>
      <c r="E863" s="37"/>
    </row>
    <row r="864" spans="1:5" ht="18.75" customHeight="1" x14ac:dyDescent="0.25">
      <c r="A864" s="37"/>
      <c r="B864" s="37"/>
      <c r="C864" s="37"/>
      <c r="D864" s="37" t="s">
        <v>1141</v>
      </c>
      <c r="E864" s="37"/>
    </row>
    <row r="865" spans="1:5" ht="18.75" customHeight="1" x14ac:dyDescent="0.25">
      <c r="A865" s="37"/>
      <c r="B865" s="37"/>
      <c r="C865" s="37"/>
      <c r="D865" s="37" t="s">
        <v>1142</v>
      </c>
      <c r="E865" s="37"/>
    </row>
    <row r="866" spans="1:5" ht="18.75" customHeight="1" x14ac:dyDescent="0.25">
      <c r="A866" s="37"/>
      <c r="B866" s="37"/>
      <c r="C866" s="37"/>
      <c r="D866" s="37" t="s">
        <v>1143</v>
      </c>
      <c r="E866" s="37"/>
    </row>
    <row r="867" spans="1:5" ht="18.75" customHeight="1" x14ac:dyDescent="0.25">
      <c r="A867" s="37"/>
      <c r="B867" s="37"/>
      <c r="C867" s="37"/>
      <c r="D867" s="37" t="s">
        <v>1144</v>
      </c>
      <c r="E867" s="37"/>
    </row>
    <row r="868" spans="1:5" ht="18.75" customHeight="1" x14ac:dyDescent="0.25">
      <c r="A868" s="37"/>
      <c r="B868" s="37"/>
      <c r="C868" s="37"/>
      <c r="D868" s="37" t="s">
        <v>1145</v>
      </c>
      <c r="E868" s="37"/>
    </row>
    <row r="869" spans="1:5" ht="18.75" customHeight="1" x14ac:dyDescent="0.25">
      <c r="A869" s="37"/>
      <c r="B869" s="37"/>
      <c r="C869" s="37"/>
      <c r="D869" s="37" t="s">
        <v>1146</v>
      </c>
      <c r="E869" s="37"/>
    </row>
    <row r="870" spans="1:5" ht="18.75" customHeight="1" x14ac:dyDescent="0.25">
      <c r="A870" s="37"/>
      <c r="B870" s="37"/>
      <c r="C870" s="37"/>
      <c r="D870" s="37" t="s">
        <v>1147</v>
      </c>
      <c r="E870" s="37"/>
    </row>
    <row r="871" spans="1:5" ht="18.75" customHeight="1" x14ac:dyDescent="0.25">
      <c r="A871" s="37"/>
      <c r="B871" s="37"/>
      <c r="C871" s="37"/>
      <c r="D871" s="37" t="s">
        <v>1148</v>
      </c>
      <c r="E871" s="37"/>
    </row>
    <row r="872" spans="1:5" ht="18.75" customHeight="1" x14ac:dyDescent="0.25">
      <c r="A872" s="37"/>
      <c r="B872" s="37"/>
      <c r="C872" s="37"/>
      <c r="D872" s="37" t="s">
        <v>1149</v>
      </c>
      <c r="E872" s="37"/>
    </row>
    <row r="873" spans="1:5" ht="18.75" customHeight="1" x14ac:dyDescent="0.25">
      <c r="A873" s="37"/>
      <c r="B873" s="37"/>
      <c r="C873" s="37"/>
      <c r="D873" s="37" t="s">
        <v>1150</v>
      </c>
      <c r="E873" s="37"/>
    </row>
    <row r="874" spans="1:5" ht="18.75" customHeight="1" x14ac:dyDescent="0.25">
      <c r="A874" s="37"/>
      <c r="B874" s="37"/>
      <c r="C874" s="37"/>
      <c r="D874" s="37" t="s">
        <v>1151</v>
      </c>
      <c r="E874" s="37"/>
    </row>
    <row r="875" spans="1:5" ht="18.75" customHeight="1" x14ac:dyDescent="0.25">
      <c r="A875" s="37"/>
      <c r="B875" s="37"/>
      <c r="C875" s="37"/>
      <c r="D875" s="37" t="s">
        <v>1152</v>
      </c>
      <c r="E875" s="37"/>
    </row>
    <row r="876" spans="1:5" ht="18.75" customHeight="1" x14ac:dyDescent="0.25">
      <c r="A876" s="37"/>
      <c r="B876" s="37"/>
      <c r="C876" s="37"/>
      <c r="D876" s="37" t="s">
        <v>1153</v>
      </c>
      <c r="E876" s="37"/>
    </row>
    <row r="877" spans="1:5" ht="18.75" customHeight="1" x14ac:dyDescent="0.25">
      <c r="A877" s="37"/>
      <c r="B877" s="37"/>
      <c r="C877" s="37"/>
      <c r="D877" s="37" t="s">
        <v>1154</v>
      </c>
      <c r="E877" s="37"/>
    </row>
    <row r="878" spans="1:5" ht="18.75" customHeight="1" x14ac:dyDescent="0.25">
      <c r="A878" s="37"/>
      <c r="B878" s="37"/>
      <c r="C878" s="37"/>
      <c r="D878" s="37" t="s">
        <v>1155</v>
      </c>
      <c r="E878" s="37"/>
    </row>
    <row r="879" spans="1:5" ht="18.75" customHeight="1" x14ac:dyDescent="0.25">
      <c r="A879" s="37"/>
      <c r="B879" s="37"/>
      <c r="C879" s="37"/>
      <c r="D879" s="37" t="s">
        <v>1156</v>
      </c>
      <c r="E879" s="37"/>
    </row>
    <row r="880" spans="1:5" ht="18.75" customHeight="1" x14ac:dyDescent="0.25">
      <c r="A880" s="37"/>
      <c r="B880" s="37"/>
      <c r="C880" s="37"/>
      <c r="D880" s="37" t="s">
        <v>1157</v>
      </c>
      <c r="E880" s="37"/>
    </row>
    <row r="881" spans="1:5" ht="18.75" customHeight="1" x14ac:dyDescent="0.25">
      <c r="A881" s="37"/>
      <c r="B881" s="37"/>
      <c r="C881" s="37"/>
      <c r="D881" s="37" t="s">
        <v>1158</v>
      </c>
      <c r="E881" s="37"/>
    </row>
    <row r="882" spans="1:5" ht="18.75" customHeight="1" x14ac:dyDescent="0.25">
      <c r="A882" s="37"/>
      <c r="B882" s="37"/>
      <c r="C882" s="37"/>
      <c r="D882" s="37" t="s">
        <v>1159</v>
      </c>
      <c r="E882" s="37"/>
    </row>
    <row r="883" spans="1:5" ht="18.75" customHeight="1" x14ac:dyDescent="0.25">
      <c r="A883" s="37"/>
      <c r="B883" s="37"/>
      <c r="C883" s="37"/>
      <c r="D883" s="37" t="s">
        <v>1160</v>
      </c>
      <c r="E883" s="37"/>
    </row>
    <row r="884" spans="1:5" ht="18.75" customHeight="1" x14ac:dyDescent="0.25">
      <c r="A884" s="37"/>
      <c r="B884" s="37"/>
      <c r="C884" s="37"/>
      <c r="D884" s="37" t="s">
        <v>1161</v>
      </c>
      <c r="E884" s="37"/>
    </row>
    <row r="885" spans="1:5" ht="18.75" customHeight="1" x14ac:dyDescent="0.25">
      <c r="A885" s="37"/>
      <c r="B885" s="37"/>
      <c r="C885" s="37"/>
      <c r="D885" s="37" t="s">
        <v>1162</v>
      </c>
      <c r="E885" s="37"/>
    </row>
    <row r="886" spans="1:5" ht="18.75" customHeight="1" x14ac:dyDescent="0.25">
      <c r="A886" s="37"/>
      <c r="B886" s="37"/>
      <c r="C886" s="37"/>
      <c r="D886" s="37" t="s">
        <v>1163</v>
      </c>
      <c r="E886" s="37"/>
    </row>
    <row r="887" spans="1:5" ht="18.75" customHeight="1" x14ac:dyDescent="0.25">
      <c r="A887" s="37"/>
      <c r="B887" s="37"/>
      <c r="C887" s="37"/>
      <c r="D887" s="37" t="s">
        <v>1164</v>
      </c>
      <c r="E887" s="37"/>
    </row>
    <row r="888" spans="1:5" ht="18.75" customHeight="1" x14ac:dyDescent="0.25">
      <c r="A888" s="37"/>
      <c r="B888" s="37"/>
      <c r="C888" s="37"/>
      <c r="D888" s="37" t="s">
        <v>1165</v>
      </c>
      <c r="E888" s="37"/>
    </row>
    <row r="889" spans="1:5" ht="18.75" customHeight="1" x14ac:dyDescent="0.25">
      <c r="A889" s="37"/>
      <c r="B889" s="37"/>
      <c r="C889" s="37"/>
      <c r="D889" s="37" t="s">
        <v>1166</v>
      </c>
      <c r="E889" s="37"/>
    </row>
    <row r="890" spans="1:5" ht="18.75" customHeight="1" x14ac:dyDescent="0.25">
      <c r="A890" s="37"/>
      <c r="B890" s="37"/>
      <c r="C890" s="37"/>
      <c r="D890" s="37" t="s">
        <v>1167</v>
      </c>
      <c r="E890" s="37"/>
    </row>
    <row r="891" spans="1:5" ht="18.75" customHeight="1" x14ac:dyDescent="0.25">
      <c r="A891" s="37"/>
      <c r="B891" s="37"/>
      <c r="C891" s="37"/>
      <c r="D891" s="37" t="s">
        <v>1168</v>
      </c>
      <c r="E891" s="37"/>
    </row>
    <row r="892" spans="1:5" ht="18.75" customHeight="1" x14ac:dyDescent="0.25">
      <c r="A892" s="37"/>
      <c r="B892" s="37"/>
      <c r="C892" s="37"/>
      <c r="D892" s="37" t="s">
        <v>1169</v>
      </c>
      <c r="E892" s="37"/>
    </row>
    <row r="893" spans="1:5" ht="18.75" customHeight="1" x14ac:dyDescent="0.25">
      <c r="A893" s="37"/>
      <c r="B893" s="37"/>
      <c r="C893" s="37"/>
      <c r="D893" s="37" t="s">
        <v>1170</v>
      </c>
      <c r="E893" s="37"/>
    </row>
    <row r="894" spans="1:5" ht="18.75" customHeight="1" x14ac:dyDescent="0.25">
      <c r="A894" s="37"/>
      <c r="B894" s="37"/>
      <c r="C894" s="37"/>
      <c r="D894" s="37" t="s">
        <v>1171</v>
      </c>
      <c r="E894" s="37"/>
    </row>
    <row r="895" spans="1:5" ht="18.75" customHeight="1" x14ac:dyDescent="0.25">
      <c r="A895" s="37"/>
      <c r="B895" s="37"/>
      <c r="C895" s="37"/>
      <c r="D895" s="37" t="s">
        <v>1172</v>
      </c>
      <c r="E895" s="37"/>
    </row>
    <row r="896" spans="1:5" ht="18.75" customHeight="1" x14ac:dyDescent="0.25">
      <c r="A896" s="37"/>
      <c r="B896" s="37"/>
      <c r="C896" s="37"/>
      <c r="D896" s="37" t="s">
        <v>1173</v>
      </c>
      <c r="E896" s="37"/>
    </row>
    <row r="897" spans="1:5" ht="18.75" customHeight="1" x14ac:dyDescent="0.25">
      <c r="A897" s="37"/>
      <c r="B897" s="37"/>
      <c r="C897" s="37"/>
      <c r="D897" s="37" t="s">
        <v>1174</v>
      </c>
      <c r="E897" s="37"/>
    </row>
    <row r="898" spans="1:5" ht="18.75" customHeight="1" x14ac:dyDescent="0.25">
      <c r="A898" s="37"/>
      <c r="B898" s="37"/>
      <c r="C898" s="37"/>
      <c r="D898" s="37" t="s">
        <v>1175</v>
      </c>
      <c r="E898" s="37"/>
    </row>
    <row r="899" spans="1:5" ht="18.75" customHeight="1" x14ac:dyDescent="0.25">
      <c r="A899" s="37"/>
      <c r="B899" s="37"/>
      <c r="C899" s="37"/>
      <c r="D899" s="37" t="s">
        <v>1176</v>
      </c>
      <c r="E899" s="37"/>
    </row>
    <row r="900" spans="1:5" ht="18.75" customHeight="1" x14ac:dyDescent="0.25">
      <c r="A900" s="37"/>
      <c r="B900" s="37"/>
      <c r="C900" s="37"/>
      <c r="D900" s="37" t="s">
        <v>1177</v>
      </c>
      <c r="E900" s="37"/>
    </row>
    <row r="901" spans="1:5" ht="18.75" customHeight="1" x14ac:dyDescent="0.25">
      <c r="A901" s="37"/>
      <c r="B901" s="37"/>
      <c r="C901" s="37"/>
      <c r="D901" s="37" t="s">
        <v>1178</v>
      </c>
      <c r="E901" s="37"/>
    </row>
    <row r="902" spans="1:5" ht="18.75" customHeight="1" x14ac:dyDescent="0.25">
      <c r="A902" s="37"/>
      <c r="B902" s="37"/>
      <c r="C902" s="37"/>
      <c r="D902" s="37" t="s">
        <v>1179</v>
      </c>
      <c r="E902" s="37"/>
    </row>
    <row r="903" spans="1:5" ht="18.75" customHeight="1" x14ac:dyDescent="0.25">
      <c r="A903" s="37"/>
      <c r="B903" s="37"/>
      <c r="C903" s="37"/>
      <c r="D903" s="37" t="s">
        <v>1180</v>
      </c>
      <c r="E903" s="37"/>
    </row>
    <row r="904" spans="1:5" ht="18.75" customHeight="1" x14ac:dyDescent="0.25">
      <c r="A904" s="37"/>
      <c r="B904" s="37"/>
      <c r="C904" s="37"/>
      <c r="D904" s="37" t="s">
        <v>1181</v>
      </c>
      <c r="E904" s="37"/>
    </row>
    <row r="905" spans="1:5" ht="18.75" customHeight="1" x14ac:dyDescent="0.25">
      <c r="A905" s="37"/>
      <c r="B905" s="37"/>
      <c r="C905" s="37"/>
      <c r="D905" s="37" t="s">
        <v>1182</v>
      </c>
      <c r="E905" s="37"/>
    </row>
    <row r="906" spans="1:5" ht="18.75" customHeight="1" x14ac:dyDescent="0.25">
      <c r="A906" s="37"/>
      <c r="B906" s="37"/>
      <c r="C906" s="37"/>
      <c r="D906" s="37" t="s">
        <v>1183</v>
      </c>
      <c r="E906" s="37"/>
    </row>
    <row r="907" spans="1:5" ht="18.75" customHeight="1" x14ac:dyDescent="0.25">
      <c r="A907" s="37"/>
      <c r="B907" s="37"/>
      <c r="C907" s="37"/>
      <c r="D907" s="37" t="s">
        <v>1184</v>
      </c>
      <c r="E907" s="37"/>
    </row>
    <row r="908" spans="1:5" ht="18.75" customHeight="1" x14ac:dyDescent="0.25">
      <c r="A908" s="37"/>
      <c r="B908" s="37"/>
      <c r="C908" s="37"/>
      <c r="D908" s="37" t="s">
        <v>1185</v>
      </c>
      <c r="E908" s="37"/>
    </row>
    <row r="909" spans="1:5" ht="18.75" customHeight="1" x14ac:dyDescent="0.25">
      <c r="A909" s="37"/>
      <c r="B909" s="37"/>
      <c r="C909" s="37"/>
      <c r="D909" s="37" t="s">
        <v>1186</v>
      </c>
      <c r="E909" s="37"/>
    </row>
    <row r="910" spans="1:5" ht="18.75" customHeight="1" x14ac:dyDescent="0.25">
      <c r="A910" s="37"/>
      <c r="B910" s="37"/>
      <c r="C910" s="37"/>
      <c r="D910" s="37" t="s">
        <v>1187</v>
      </c>
      <c r="E910" s="37"/>
    </row>
    <row r="911" spans="1:5" ht="18.75" customHeight="1" x14ac:dyDescent="0.25">
      <c r="A911" s="37"/>
      <c r="B911" s="37"/>
      <c r="C911" s="37"/>
      <c r="D911" s="37" t="s">
        <v>1188</v>
      </c>
      <c r="E911" s="37"/>
    </row>
    <row r="912" spans="1:5" ht="18.75" customHeight="1" x14ac:dyDescent="0.25">
      <c r="A912" s="37"/>
      <c r="B912" s="37"/>
      <c r="C912" s="37"/>
      <c r="D912" s="37" t="s">
        <v>1189</v>
      </c>
      <c r="E912" s="37"/>
    </row>
    <row r="913" spans="1:5" ht="18.75" customHeight="1" x14ac:dyDescent="0.25">
      <c r="A913" s="37"/>
      <c r="B913" s="37"/>
      <c r="C913" s="37"/>
      <c r="D913" s="37" t="s">
        <v>1190</v>
      </c>
      <c r="E913" s="37"/>
    </row>
    <row r="914" spans="1:5" ht="18.75" customHeight="1" x14ac:dyDescent="0.25">
      <c r="A914" s="37"/>
      <c r="B914" s="37"/>
      <c r="C914" s="37"/>
      <c r="D914" s="37" t="s">
        <v>1191</v>
      </c>
      <c r="E914" s="37"/>
    </row>
    <row r="915" spans="1:5" ht="18.75" customHeight="1" x14ac:dyDescent="0.25">
      <c r="A915" s="37"/>
      <c r="B915" s="37"/>
      <c r="C915" s="37"/>
      <c r="D915" s="37" t="s">
        <v>1192</v>
      </c>
      <c r="E915" s="37"/>
    </row>
    <row r="916" spans="1:5" ht="18.75" customHeight="1" x14ac:dyDescent="0.25">
      <c r="A916" s="37"/>
      <c r="B916" s="37"/>
      <c r="C916" s="37"/>
      <c r="D916" s="37" t="s">
        <v>1193</v>
      </c>
      <c r="E916" s="37"/>
    </row>
    <row r="917" spans="1:5" ht="18.75" customHeight="1" x14ac:dyDescent="0.25">
      <c r="A917" s="37"/>
      <c r="B917" s="37"/>
      <c r="C917" s="37"/>
      <c r="D917" s="37" t="s">
        <v>1194</v>
      </c>
      <c r="E917" s="37"/>
    </row>
    <row r="918" spans="1:5" ht="18.75" customHeight="1" x14ac:dyDescent="0.25">
      <c r="A918" s="37"/>
      <c r="B918" s="37"/>
      <c r="C918" s="37"/>
      <c r="D918" s="37" t="s">
        <v>1195</v>
      </c>
      <c r="E918" s="37"/>
    </row>
    <row r="919" spans="1:5" ht="18.75" customHeight="1" x14ac:dyDescent="0.25">
      <c r="A919" s="37"/>
      <c r="B919" s="37"/>
      <c r="C919" s="37"/>
      <c r="D919" s="37" t="s">
        <v>1196</v>
      </c>
      <c r="E919" s="37"/>
    </row>
    <row r="920" spans="1:5" ht="18.75" customHeight="1" x14ac:dyDescent="0.25">
      <c r="A920" s="37"/>
      <c r="B920" s="37"/>
      <c r="C920" s="37"/>
      <c r="D920" s="37" t="s">
        <v>1197</v>
      </c>
      <c r="E920" s="37"/>
    </row>
    <row r="921" spans="1:5" ht="18.75" customHeight="1" x14ac:dyDescent="0.25">
      <c r="A921" s="37"/>
      <c r="B921" s="37"/>
      <c r="C921" s="37"/>
      <c r="D921" s="37" t="s">
        <v>1198</v>
      </c>
      <c r="E921" s="37"/>
    </row>
    <row r="922" spans="1:5" ht="18.75" customHeight="1" x14ac:dyDescent="0.25">
      <c r="A922" s="37"/>
      <c r="B922" s="37"/>
      <c r="C922" s="37"/>
      <c r="D922" s="37" t="s">
        <v>1199</v>
      </c>
      <c r="E922" s="37"/>
    </row>
    <row r="923" spans="1:5" ht="18.75" customHeight="1" x14ac:dyDescent="0.25">
      <c r="A923" s="37"/>
      <c r="B923" s="37"/>
      <c r="C923" s="37"/>
      <c r="D923" s="37" t="s">
        <v>1200</v>
      </c>
      <c r="E923" s="37"/>
    </row>
    <row r="924" spans="1:5" ht="18.75" customHeight="1" x14ac:dyDescent="0.25">
      <c r="A924" s="37"/>
      <c r="B924" s="37"/>
      <c r="C924" s="37"/>
      <c r="D924" s="37" t="s">
        <v>1201</v>
      </c>
      <c r="E924" s="37"/>
    </row>
    <row r="925" spans="1:5" ht="18.75" customHeight="1" x14ac:dyDescent="0.25">
      <c r="A925" s="37"/>
      <c r="B925" s="37"/>
      <c r="C925" s="37"/>
      <c r="D925" s="37" t="s">
        <v>1202</v>
      </c>
      <c r="E925" s="37"/>
    </row>
    <row r="926" spans="1:5" ht="18.75" customHeight="1" x14ac:dyDescent="0.25">
      <c r="A926" s="37"/>
      <c r="B926" s="37"/>
      <c r="C926" s="37"/>
      <c r="D926" s="37" t="s">
        <v>1203</v>
      </c>
      <c r="E926" s="37"/>
    </row>
    <row r="927" spans="1:5" ht="18.75" customHeight="1" x14ac:dyDescent="0.25">
      <c r="A927" s="37"/>
      <c r="B927" s="37"/>
      <c r="C927" s="37"/>
      <c r="D927" s="37" t="s">
        <v>1204</v>
      </c>
      <c r="E927" s="37"/>
    </row>
    <row r="928" spans="1:5" ht="18.75" customHeight="1" x14ac:dyDescent="0.25">
      <c r="A928" s="37"/>
      <c r="B928" s="37"/>
      <c r="C928" s="37"/>
      <c r="D928" s="37" t="s">
        <v>1205</v>
      </c>
      <c r="E928" s="37"/>
    </row>
    <row r="929" spans="1:5" ht="18.75" customHeight="1" x14ac:dyDescent="0.25">
      <c r="A929" s="37"/>
      <c r="B929" s="37"/>
      <c r="C929" s="37"/>
      <c r="D929" s="37" t="s">
        <v>1206</v>
      </c>
      <c r="E929" s="37"/>
    </row>
    <row r="930" spans="1:5" ht="18.75" customHeight="1" x14ac:dyDescent="0.25">
      <c r="A930" s="37"/>
      <c r="B930" s="37"/>
      <c r="C930" s="37"/>
      <c r="D930" s="37" t="s">
        <v>1207</v>
      </c>
      <c r="E930" s="37"/>
    </row>
    <row r="931" spans="1:5" ht="18.75" customHeight="1" x14ac:dyDescent="0.25">
      <c r="A931" s="37"/>
      <c r="B931" s="37"/>
      <c r="C931" s="37"/>
      <c r="D931" s="37" t="s">
        <v>1208</v>
      </c>
      <c r="E931" s="37"/>
    </row>
    <row r="932" spans="1:5" ht="18.75" customHeight="1" x14ac:dyDescent="0.25">
      <c r="A932" s="37"/>
      <c r="B932" s="37"/>
      <c r="C932" s="37"/>
      <c r="D932" s="37" t="s">
        <v>1209</v>
      </c>
      <c r="E932" s="37"/>
    </row>
    <row r="933" spans="1:5" ht="18.75" customHeight="1" x14ac:dyDescent="0.25">
      <c r="A933" s="37"/>
      <c r="B933" s="37"/>
      <c r="C933" s="37"/>
      <c r="D933" s="37" t="s">
        <v>1210</v>
      </c>
      <c r="E933" s="37"/>
    </row>
    <row r="934" spans="1:5" ht="18.75" customHeight="1" x14ac:dyDescent="0.25">
      <c r="A934" s="37"/>
      <c r="B934" s="37"/>
      <c r="C934" s="37"/>
      <c r="D934" s="37" t="s">
        <v>1211</v>
      </c>
      <c r="E934" s="37"/>
    </row>
    <row r="935" spans="1:5" ht="18.75" customHeight="1" x14ac:dyDescent="0.25">
      <c r="A935" s="37"/>
      <c r="B935" s="37"/>
      <c r="C935" s="37"/>
      <c r="D935" s="37" t="s">
        <v>1212</v>
      </c>
      <c r="E935" s="37"/>
    </row>
    <row r="936" spans="1:5" ht="18.75" customHeight="1" x14ac:dyDescent="0.25">
      <c r="A936" s="37"/>
      <c r="B936" s="37"/>
      <c r="C936" s="37"/>
      <c r="D936" s="37" t="s">
        <v>1213</v>
      </c>
      <c r="E936" s="37"/>
    </row>
    <row r="937" spans="1:5" ht="18.75" customHeight="1" x14ac:dyDescent="0.25">
      <c r="A937" s="37"/>
      <c r="B937" s="37"/>
      <c r="C937" s="37"/>
      <c r="D937" s="37" t="s">
        <v>1214</v>
      </c>
      <c r="E937" s="37"/>
    </row>
    <row r="938" spans="1:5" ht="18.75" customHeight="1" x14ac:dyDescent="0.25">
      <c r="A938" s="37"/>
      <c r="B938" s="37"/>
      <c r="C938" s="37"/>
      <c r="D938" s="37" t="s">
        <v>1215</v>
      </c>
      <c r="E938" s="37"/>
    </row>
    <row r="939" spans="1:5" ht="18.75" customHeight="1" x14ac:dyDescent="0.25">
      <c r="A939" s="37"/>
      <c r="B939" s="37"/>
      <c r="C939" s="37"/>
      <c r="D939" s="37" t="s">
        <v>1216</v>
      </c>
      <c r="E939" s="37"/>
    </row>
    <row r="940" spans="1:5" ht="18.75" customHeight="1" x14ac:dyDescent="0.25">
      <c r="A940" s="37"/>
      <c r="B940" s="37"/>
      <c r="C940" s="37"/>
      <c r="D940" s="37" t="s">
        <v>1217</v>
      </c>
      <c r="E940" s="37"/>
    </row>
    <row r="941" spans="1:5" ht="18.75" customHeight="1" x14ac:dyDescent="0.25">
      <c r="A941" s="37"/>
      <c r="B941" s="37"/>
      <c r="C941" s="37"/>
      <c r="D941" s="37" t="s">
        <v>1218</v>
      </c>
      <c r="E941" s="37"/>
    </row>
    <row r="942" spans="1:5" ht="18.75" customHeight="1" x14ac:dyDescent="0.25">
      <c r="A942" s="37"/>
      <c r="B942" s="37"/>
      <c r="C942" s="37"/>
      <c r="D942" s="37" t="s">
        <v>1219</v>
      </c>
      <c r="E942" s="37"/>
    </row>
    <row r="943" spans="1:5" ht="18.75" customHeight="1" x14ac:dyDescent="0.25">
      <c r="A943" s="37"/>
      <c r="B943" s="37"/>
      <c r="C943" s="37"/>
      <c r="D943" s="37" t="s">
        <v>1220</v>
      </c>
      <c r="E943" s="37"/>
    </row>
    <row r="944" spans="1:5" ht="18.75" customHeight="1" x14ac:dyDescent="0.25">
      <c r="A944" s="37"/>
      <c r="B944" s="37"/>
      <c r="C944" s="37"/>
      <c r="D944" s="37" t="s">
        <v>1221</v>
      </c>
      <c r="E944" s="37"/>
    </row>
    <row r="945" spans="1:5" ht="18.75" customHeight="1" x14ac:dyDescent="0.25">
      <c r="A945" s="37"/>
      <c r="B945" s="37"/>
      <c r="C945" s="37"/>
      <c r="D945" s="37" t="s">
        <v>1222</v>
      </c>
      <c r="E945" s="37"/>
    </row>
    <row r="946" spans="1:5" ht="18.75" customHeight="1" x14ac:dyDescent="0.25">
      <c r="A946" s="37"/>
      <c r="B946" s="37"/>
      <c r="C946" s="37"/>
      <c r="D946" s="37" t="s">
        <v>1223</v>
      </c>
      <c r="E946" s="37"/>
    </row>
    <row r="947" spans="1:5" ht="18.75" customHeight="1" x14ac:dyDescent="0.25">
      <c r="A947" s="37"/>
      <c r="B947" s="37"/>
      <c r="C947" s="37"/>
      <c r="D947" s="37" t="s">
        <v>1224</v>
      </c>
      <c r="E947" s="37"/>
    </row>
    <row r="948" spans="1:5" ht="18.75" customHeight="1" x14ac:dyDescent="0.25">
      <c r="A948" s="37"/>
      <c r="B948" s="37"/>
      <c r="C948" s="37"/>
      <c r="D948" s="37" t="s">
        <v>1225</v>
      </c>
      <c r="E948" s="37"/>
    </row>
    <row r="949" spans="1:5" ht="18.75" customHeight="1" x14ac:dyDescent="0.25">
      <c r="A949" s="37"/>
      <c r="B949" s="37"/>
      <c r="C949" s="37"/>
      <c r="D949" s="37" t="s">
        <v>1226</v>
      </c>
      <c r="E949" s="37"/>
    </row>
    <row r="950" spans="1:5" ht="18.75" customHeight="1" x14ac:dyDescent="0.25">
      <c r="A950" s="37"/>
      <c r="B950" s="37"/>
      <c r="C950" s="37"/>
      <c r="D950" s="37" t="s">
        <v>1227</v>
      </c>
      <c r="E950" s="37"/>
    </row>
    <row r="951" spans="1:5" ht="18.75" customHeight="1" x14ac:dyDescent="0.25">
      <c r="A951" s="37"/>
      <c r="B951" s="37"/>
      <c r="C951" s="37"/>
      <c r="D951" s="37" t="s">
        <v>1228</v>
      </c>
      <c r="E951" s="37"/>
    </row>
    <row r="952" spans="1:5" ht="18.75" customHeight="1" x14ac:dyDescent="0.25">
      <c r="A952" s="37"/>
      <c r="B952" s="37"/>
      <c r="C952" s="37"/>
      <c r="D952" s="37" t="s">
        <v>1229</v>
      </c>
      <c r="E952" s="37"/>
    </row>
    <row r="953" spans="1:5" ht="18.75" customHeight="1" x14ac:dyDescent="0.25">
      <c r="A953" s="37"/>
      <c r="B953" s="37"/>
      <c r="C953" s="37"/>
      <c r="D953" s="37" t="s">
        <v>1230</v>
      </c>
      <c r="E953" s="37"/>
    </row>
    <row r="954" spans="1:5" ht="18.75" customHeight="1" x14ac:dyDescent="0.25">
      <c r="A954" s="37"/>
      <c r="B954" s="37"/>
      <c r="C954" s="37"/>
      <c r="D954" s="37" t="s">
        <v>1231</v>
      </c>
      <c r="E954" s="37"/>
    </row>
    <row r="955" spans="1:5" ht="18.75" customHeight="1" x14ac:dyDescent="0.25">
      <c r="A955" s="37"/>
      <c r="B955" s="37"/>
      <c r="C955" s="37"/>
      <c r="D955" s="37" t="s">
        <v>1232</v>
      </c>
      <c r="E955" s="37"/>
    </row>
    <row r="956" spans="1:5" ht="18.75" customHeight="1" x14ac:dyDescent="0.25">
      <c r="A956" s="37"/>
      <c r="B956" s="37"/>
      <c r="C956" s="37"/>
      <c r="D956" s="37" t="s">
        <v>1233</v>
      </c>
      <c r="E956" s="37"/>
    </row>
    <row r="957" spans="1:5" ht="18.75" customHeight="1" x14ac:dyDescent="0.25">
      <c r="A957" s="37"/>
      <c r="B957" s="37"/>
      <c r="C957" s="37"/>
      <c r="D957" s="37" t="s">
        <v>1234</v>
      </c>
      <c r="E957" s="37"/>
    </row>
    <row r="958" spans="1:5" ht="18.75" customHeight="1" x14ac:dyDescent="0.25">
      <c r="A958" s="37"/>
      <c r="B958" s="37"/>
      <c r="C958" s="37"/>
      <c r="D958" s="37" t="s">
        <v>1235</v>
      </c>
      <c r="E958" s="37"/>
    </row>
    <row r="959" spans="1:5" ht="18.75" customHeight="1" x14ac:dyDescent="0.25">
      <c r="A959" s="37"/>
      <c r="B959" s="37"/>
      <c r="C959" s="37"/>
      <c r="D959" s="37" t="s">
        <v>1236</v>
      </c>
      <c r="E959" s="37"/>
    </row>
    <row r="960" spans="1:5" ht="18.75" customHeight="1" x14ac:dyDescent="0.25">
      <c r="A960" s="37"/>
      <c r="B960" s="37"/>
      <c r="C960" s="37"/>
      <c r="D960" s="37" t="s">
        <v>1237</v>
      </c>
      <c r="E960" s="37"/>
    </row>
    <row r="961" spans="1:5" ht="18.75" customHeight="1" x14ac:dyDescent="0.25">
      <c r="A961" s="37"/>
      <c r="B961" s="37"/>
      <c r="C961" s="37"/>
      <c r="D961" s="37" t="s">
        <v>1238</v>
      </c>
      <c r="E961" s="37"/>
    </row>
    <row r="962" spans="1:5" ht="18.75" customHeight="1" x14ac:dyDescent="0.25">
      <c r="A962" s="37"/>
      <c r="B962" s="37"/>
      <c r="C962" s="37"/>
      <c r="D962" s="37" t="s">
        <v>1239</v>
      </c>
      <c r="E962" s="37"/>
    </row>
    <row r="963" spans="1:5" ht="18.75" customHeight="1" x14ac:dyDescent="0.25">
      <c r="A963" s="37"/>
      <c r="B963" s="37"/>
      <c r="C963" s="37"/>
      <c r="D963" s="37" t="s">
        <v>1240</v>
      </c>
      <c r="E963" s="37"/>
    </row>
    <row r="964" spans="1:5" ht="18.75" customHeight="1" x14ac:dyDescent="0.25">
      <c r="A964" s="37"/>
      <c r="B964" s="37"/>
      <c r="C964" s="37"/>
      <c r="D964" s="37" t="s">
        <v>1241</v>
      </c>
      <c r="E964" s="37"/>
    </row>
    <row r="965" spans="1:5" ht="18.75" customHeight="1" x14ac:dyDescent="0.25">
      <c r="A965" s="37"/>
      <c r="B965" s="37"/>
      <c r="C965" s="37"/>
      <c r="D965" s="37" t="s">
        <v>1242</v>
      </c>
      <c r="E965" s="37"/>
    </row>
    <row r="966" spans="1:5" ht="18.75" customHeight="1" x14ac:dyDescent="0.25">
      <c r="A966" s="37"/>
      <c r="B966" s="37"/>
      <c r="C966" s="37"/>
      <c r="D966" s="37" t="s">
        <v>1243</v>
      </c>
      <c r="E966" s="37"/>
    </row>
    <row r="967" spans="1:5" ht="18.75" customHeight="1" x14ac:dyDescent="0.25">
      <c r="A967" s="37"/>
      <c r="B967" s="37"/>
      <c r="C967" s="37"/>
      <c r="D967" s="37" t="s">
        <v>1244</v>
      </c>
      <c r="E967" s="37"/>
    </row>
    <row r="968" spans="1:5" ht="18.75" customHeight="1" x14ac:dyDescent="0.25">
      <c r="A968" s="37"/>
      <c r="B968" s="37"/>
      <c r="C968" s="37"/>
      <c r="D968" s="37" t="s">
        <v>1245</v>
      </c>
      <c r="E968" s="37"/>
    </row>
    <row r="969" spans="1:5" ht="18.75" customHeight="1" x14ac:dyDescent="0.25">
      <c r="A969" s="37"/>
      <c r="B969" s="37"/>
      <c r="C969" s="37"/>
      <c r="D969" s="37" t="s">
        <v>1246</v>
      </c>
      <c r="E969" s="37"/>
    </row>
    <row r="970" spans="1:5" ht="18.75" customHeight="1" x14ac:dyDescent="0.25">
      <c r="A970" s="37"/>
      <c r="B970" s="37"/>
      <c r="C970" s="37"/>
      <c r="D970" s="37" t="s">
        <v>1247</v>
      </c>
      <c r="E970" s="37"/>
    </row>
    <row r="971" spans="1:5" ht="18.75" customHeight="1" x14ac:dyDescent="0.25">
      <c r="A971" s="37"/>
      <c r="B971" s="37"/>
      <c r="C971" s="37"/>
      <c r="D971" s="37" t="s">
        <v>1248</v>
      </c>
      <c r="E971" s="37"/>
    </row>
    <row r="972" spans="1:5" ht="18.75" customHeight="1" x14ac:dyDescent="0.25">
      <c r="A972" s="37"/>
      <c r="B972" s="37"/>
      <c r="C972" s="37"/>
      <c r="D972" s="37" t="s">
        <v>1249</v>
      </c>
      <c r="E972" s="37"/>
    </row>
    <row r="973" spans="1:5" ht="18.75" customHeight="1" x14ac:dyDescent="0.25">
      <c r="A973" s="37"/>
      <c r="B973" s="37"/>
      <c r="C973" s="37"/>
      <c r="D973" s="37" t="s">
        <v>1250</v>
      </c>
      <c r="E973" s="37"/>
    </row>
    <row r="974" spans="1:5" ht="18.75" customHeight="1" x14ac:dyDescent="0.25">
      <c r="A974" s="37"/>
      <c r="B974" s="37"/>
      <c r="C974" s="37"/>
      <c r="D974" s="37" t="s">
        <v>1251</v>
      </c>
      <c r="E974" s="37"/>
    </row>
    <row r="975" spans="1:5" ht="18.75" customHeight="1" x14ac:dyDescent="0.25">
      <c r="A975" s="37"/>
      <c r="B975" s="37"/>
      <c r="C975" s="37"/>
      <c r="D975" s="37" t="s">
        <v>1252</v>
      </c>
      <c r="E975" s="37"/>
    </row>
    <row r="976" spans="1:5" ht="18.75" customHeight="1" x14ac:dyDescent="0.25">
      <c r="A976" s="37"/>
      <c r="B976" s="37"/>
      <c r="C976" s="37"/>
      <c r="D976" s="37" t="s">
        <v>1253</v>
      </c>
      <c r="E976" s="37"/>
    </row>
    <row r="977" spans="1:5" ht="18.75" customHeight="1" x14ac:dyDescent="0.25">
      <c r="A977" s="37"/>
      <c r="B977" s="37"/>
      <c r="C977" s="37"/>
      <c r="D977" s="37" t="s">
        <v>1254</v>
      </c>
      <c r="E977" s="37"/>
    </row>
    <row r="978" spans="1:5" ht="18.75" customHeight="1" x14ac:dyDescent="0.25">
      <c r="A978" s="37"/>
      <c r="B978" s="37"/>
      <c r="C978" s="37"/>
      <c r="D978" s="37" t="s">
        <v>1255</v>
      </c>
      <c r="E978" s="37"/>
    </row>
    <row r="979" spans="1:5" ht="18.75" customHeight="1" x14ac:dyDescent="0.25">
      <c r="A979" s="37"/>
      <c r="B979" s="37"/>
      <c r="C979" s="37"/>
      <c r="D979" s="37" t="s">
        <v>1256</v>
      </c>
      <c r="E979" s="37"/>
    </row>
    <row r="980" spans="1:5" ht="18.75" customHeight="1" x14ac:dyDescent="0.25">
      <c r="A980" s="37"/>
      <c r="B980" s="37"/>
      <c r="C980" s="37"/>
      <c r="D980" s="37" t="s">
        <v>1257</v>
      </c>
      <c r="E980" s="37"/>
    </row>
    <row r="981" spans="1:5" ht="18.75" customHeight="1" x14ac:dyDescent="0.25">
      <c r="A981" s="37"/>
      <c r="B981" s="37"/>
      <c r="C981" s="37"/>
      <c r="D981" s="37" t="s">
        <v>1258</v>
      </c>
      <c r="E981" s="37"/>
    </row>
    <row r="982" spans="1:5" ht="18.75" customHeight="1" x14ac:dyDescent="0.25">
      <c r="A982" s="37"/>
      <c r="B982" s="37"/>
      <c r="C982" s="37"/>
      <c r="D982" s="37" t="s">
        <v>1259</v>
      </c>
      <c r="E982" s="37"/>
    </row>
    <row r="983" spans="1:5" ht="18.75" customHeight="1" x14ac:dyDescent="0.25">
      <c r="A983" s="37"/>
      <c r="B983" s="37"/>
      <c r="C983" s="37"/>
      <c r="D983" s="37" t="s">
        <v>1260</v>
      </c>
      <c r="E983" s="37"/>
    </row>
    <row r="984" spans="1:5" ht="18.75" customHeight="1" x14ac:dyDescent="0.25">
      <c r="A984" s="37"/>
      <c r="B984" s="37"/>
      <c r="C984" s="37"/>
      <c r="D984" s="37" t="s">
        <v>1261</v>
      </c>
      <c r="E984" s="37"/>
    </row>
    <row r="985" spans="1:5" ht="18.75" customHeight="1" x14ac:dyDescent="0.25">
      <c r="A985" s="37"/>
      <c r="B985" s="37"/>
      <c r="C985" s="37"/>
      <c r="D985" s="37" t="s">
        <v>1262</v>
      </c>
      <c r="E985" s="37"/>
    </row>
    <row r="986" spans="1:5" ht="18.75" customHeight="1" x14ac:dyDescent="0.25">
      <c r="A986" s="37"/>
      <c r="B986" s="37"/>
      <c r="C986" s="37"/>
      <c r="D986" s="37" t="s">
        <v>1263</v>
      </c>
      <c r="E986" s="37"/>
    </row>
    <row r="987" spans="1:5" ht="18.75" customHeight="1" x14ac:dyDescent="0.25">
      <c r="A987" s="37"/>
      <c r="B987" s="37"/>
      <c r="C987" s="37"/>
      <c r="D987" s="37" t="s">
        <v>1264</v>
      </c>
      <c r="E987" s="37"/>
    </row>
    <row r="988" spans="1:5" ht="18.75" customHeight="1" x14ac:dyDescent="0.25">
      <c r="A988" s="37"/>
      <c r="B988" s="37"/>
      <c r="C988" s="37"/>
      <c r="D988" s="37" t="s">
        <v>1265</v>
      </c>
      <c r="E988" s="37"/>
    </row>
    <row r="989" spans="1:5" ht="18.75" customHeight="1" x14ac:dyDescent="0.25">
      <c r="A989" s="37"/>
      <c r="B989" s="37"/>
      <c r="C989" s="37"/>
      <c r="D989" s="37" t="s">
        <v>1266</v>
      </c>
      <c r="E989" s="37"/>
    </row>
    <row r="990" spans="1:5" ht="18.75" customHeight="1" x14ac:dyDescent="0.25">
      <c r="A990" s="37"/>
      <c r="B990" s="37"/>
      <c r="C990" s="37"/>
      <c r="D990" s="37" t="s">
        <v>1267</v>
      </c>
      <c r="E990" s="37"/>
    </row>
    <row r="991" spans="1:5" ht="18.75" customHeight="1" x14ac:dyDescent="0.25">
      <c r="A991" s="37"/>
      <c r="B991" s="37"/>
      <c r="C991" s="37"/>
      <c r="D991" s="37" t="s">
        <v>1268</v>
      </c>
      <c r="E991" s="37"/>
    </row>
    <row r="992" spans="1:5" ht="18.75" customHeight="1" x14ac:dyDescent="0.25">
      <c r="A992" s="37"/>
      <c r="B992" s="37"/>
      <c r="C992" s="37"/>
      <c r="D992" s="37" t="s">
        <v>1269</v>
      </c>
      <c r="E992" s="37"/>
    </row>
    <row r="993" spans="1:5" ht="18.75" customHeight="1" x14ac:dyDescent="0.25">
      <c r="A993" s="37"/>
      <c r="B993" s="37"/>
      <c r="C993" s="37"/>
      <c r="D993" s="37" t="s">
        <v>1270</v>
      </c>
      <c r="E993" s="37"/>
    </row>
    <row r="994" spans="1:5" ht="18.75" customHeight="1" x14ac:dyDescent="0.25">
      <c r="A994" s="37"/>
      <c r="B994" s="37"/>
      <c r="C994" s="37"/>
      <c r="D994" s="37" t="s">
        <v>1271</v>
      </c>
      <c r="E994" s="37"/>
    </row>
    <row r="995" spans="1:5" ht="18.75" customHeight="1" x14ac:dyDescent="0.25">
      <c r="A995" s="37"/>
      <c r="B995" s="37"/>
      <c r="C995" s="37"/>
      <c r="D995" s="37" t="s">
        <v>1272</v>
      </c>
      <c r="E995" s="37"/>
    </row>
    <row r="996" spans="1:5" ht="18.75" customHeight="1" x14ac:dyDescent="0.25">
      <c r="A996" s="37"/>
      <c r="B996" s="37"/>
      <c r="C996" s="37"/>
      <c r="D996" s="37" t="s">
        <v>1273</v>
      </c>
      <c r="E996" s="37"/>
    </row>
    <row r="997" spans="1:5" ht="18.75" customHeight="1" x14ac:dyDescent="0.25">
      <c r="A997" s="37"/>
      <c r="B997" s="37"/>
      <c r="C997" s="37"/>
      <c r="D997" s="37" t="s">
        <v>1274</v>
      </c>
      <c r="E997" s="37"/>
    </row>
    <row r="998" spans="1:5" ht="18.75" customHeight="1" x14ac:dyDescent="0.25">
      <c r="A998" s="37"/>
      <c r="B998" s="37"/>
      <c r="C998" s="37"/>
      <c r="D998" s="37" t="s">
        <v>1275</v>
      </c>
      <c r="E998" s="37"/>
    </row>
    <row r="999" spans="1:5" ht="18.75" customHeight="1" x14ac:dyDescent="0.25">
      <c r="A999" s="37"/>
      <c r="B999" s="37"/>
      <c r="C999" s="37"/>
      <c r="D999" s="37" t="s">
        <v>1276</v>
      </c>
      <c r="E999" s="37"/>
    </row>
    <row r="1000" spans="1:5" ht="18.75" customHeight="1" x14ac:dyDescent="0.25">
      <c r="A1000" s="37"/>
      <c r="B1000" s="37"/>
      <c r="C1000" s="37"/>
      <c r="D1000" s="37" t="s">
        <v>1277</v>
      </c>
      <c r="E1000" s="37"/>
    </row>
    <row r="1001" spans="1:5" ht="18.75" customHeight="1" x14ac:dyDescent="0.25">
      <c r="A1001" s="37"/>
      <c r="B1001" s="37"/>
      <c r="C1001" s="37"/>
      <c r="D1001" s="37" t="s">
        <v>1278</v>
      </c>
      <c r="E1001" s="37"/>
    </row>
    <row r="1002" spans="1:5" ht="18.75" customHeight="1" x14ac:dyDescent="0.25">
      <c r="A1002" s="37"/>
      <c r="B1002" s="37"/>
      <c r="C1002" s="37"/>
      <c r="D1002" s="37" t="s">
        <v>1279</v>
      </c>
      <c r="E1002" s="37"/>
    </row>
    <row r="1003" spans="1:5" ht="18.75" customHeight="1" x14ac:dyDescent="0.25">
      <c r="A1003" s="37"/>
      <c r="B1003" s="37"/>
      <c r="C1003" s="37"/>
      <c r="D1003" s="37" t="s">
        <v>1280</v>
      </c>
      <c r="E1003" s="37"/>
    </row>
    <row r="1004" spans="1:5" ht="18.75" customHeight="1" x14ac:dyDescent="0.25">
      <c r="A1004" s="37"/>
      <c r="B1004" s="37"/>
      <c r="C1004" s="37"/>
      <c r="D1004" s="37" t="s">
        <v>1281</v>
      </c>
      <c r="E1004" s="37"/>
    </row>
    <row r="1005" spans="1:5" ht="18.75" customHeight="1" x14ac:dyDescent="0.25">
      <c r="A1005" s="37"/>
      <c r="B1005" s="37"/>
      <c r="C1005" s="37"/>
      <c r="D1005" s="37" t="s">
        <v>1282</v>
      </c>
      <c r="E1005" s="37"/>
    </row>
    <row r="1006" spans="1:5" ht="18.75" customHeight="1" x14ac:dyDescent="0.25">
      <c r="A1006" s="37"/>
      <c r="B1006" s="37"/>
      <c r="C1006" s="37"/>
      <c r="D1006" s="37" t="s">
        <v>1283</v>
      </c>
      <c r="E1006" s="37"/>
    </row>
    <row r="1007" spans="1:5" ht="18.75" customHeight="1" x14ac:dyDescent="0.25">
      <c r="A1007" s="37"/>
      <c r="B1007" s="37"/>
      <c r="C1007" s="37"/>
      <c r="D1007" s="37" t="s">
        <v>1284</v>
      </c>
      <c r="E1007" s="37"/>
    </row>
    <row r="1008" spans="1:5" ht="18.75" customHeight="1" x14ac:dyDescent="0.25">
      <c r="A1008" s="37"/>
      <c r="B1008" s="37"/>
      <c r="C1008" s="37"/>
      <c r="D1008" s="37" t="s">
        <v>1285</v>
      </c>
      <c r="E1008" s="37"/>
    </row>
    <row r="1009" spans="1:5" ht="18.75" customHeight="1" x14ac:dyDescent="0.25">
      <c r="A1009" s="37"/>
      <c r="B1009" s="37"/>
      <c r="C1009" s="37"/>
      <c r="D1009" s="37" t="s">
        <v>1286</v>
      </c>
      <c r="E1009" s="37"/>
    </row>
    <row r="1010" spans="1:5" ht="18.75" customHeight="1" x14ac:dyDescent="0.25">
      <c r="A1010" s="37"/>
      <c r="B1010" s="37"/>
      <c r="C1010" s="37"/>
      <c r="D1010" s="37" t="s">
        <v>1287</v>
      </c>
      <c r="E1010" s="37"/>
    </row>
    <row r="1011" spans="1:5" ht="18.75" customHeight="1" x14ac:dyDescent="0.25">
      <c r="A1011" s="37"/>
      <c r="B1011" s="37"/>
      <c r="C1011" s="37"/>
      <c r="D1011" s="37" t="s">
        <v>1288</v>
      </c>
      <c r="E1011" s="37"/>
    </row>
    <row r="1012" spans="1:5" ht="18.75" customHeight="1" x14ac:dyDescent="0.25">
      <c r="A1012" s="37"/>
      <c r="B1012" s="37"/>
      <c r="C1012" s="37"/>
      <c r="D1012" s="37" t="s">
        <v>1289</v>
      </c>
      <c r="E1012" s="37"/>
    </row>
    <row r="1013" spans="1:5" ht="18.75" customHeight="1" x14ac:dyDescent="0.25">
      <c r="A1013" s="37"/>
      <c r="B1013" s="37"/>
      <c r="C1013" s="37"/>
      <c r="D1013" s="37" t="s">
        <v>1290</v>
      </c>
      <c r="E1013" s="37"/>
    </row>
    <row r="1014" spans="1:5" ht="18.75" customHeight="1" x14ac:dyDescent="0.25">
      <c r="A1014" s="37"/>
      <c r="B1014" s="37"/>
      <c r="C1014" s="37"/>
      <c r="D1014" s="37" t="s">
        <v>1291</v>
      </c>
      <c r="E1014" s="37"/>
    </row>
    <row r="1015" spans="1:5" ht="18.75" customHeight="1" x14ac:dyDescent="0.25">
      <c r="A1015" s="37"/>
      <c r="B1015" s="37"/>
      <c r="C1015" s="37"/>
      <c r="D1015" s="37" t="s">
        <v>1292</v>
      </c>
      <c r="E1015" s="37"/>
    </row>
    <row r="1016" spans="1:5" ht="18.75" customHeight="1" x14ac:dyDescent="0.25">
      <c r="A1016" s="37"/>
      <c r="B1016" s="37"/>
      <c r="C1016" s="37"/>
      <c r="D1016" s="37" t="s">
        <v>1293</v>
      </c>
      <c r="E1016" s="37"/>
    </row>
    <row r="1017" spans="1:5" ht="18.75" customHeight="1" x14ac:dyDescent="0.25">
      <c r="A1017" s="37"/>
      <c r="B1017" s="37"/>
      <c r="C1017" s="37"/>
      <c r="D1017" s="37" t="s">
        <v>1294</v>
      </c>
      <c r="E1017" s="37"/>
    </row>
    <row r="1018" spans="1:5" ht="18.75" customHeight="1" x14ac:dyDescent="0.25">
      <c r="A1018" s="37"/>
      <c r="B1018" s="37"/>
      <c r="C1018" s="37"/>
      <c r="D1018" s="37" t="s">
        <v>1295</v>
      </c>
      <c r="E1018" s="37"/>
    </row>
    <row r="1019" spans="1:5" ht="18.75" customHeight="1" x14ac:dyDescent="0.25">
      <c r="A1019" s="37"/>
      <c r="B1019" s="37"/>
      <c r="C1019" s="37"/>
      <c r="D1019" s="37" t="s">
        <v>1296</v>
      </c>
      <c r="E1019" s="37"/>
    </row>
    <row r="1020" spans="1:5" ht="18.75" customHeight="1" x14ac:dyDescent="0.25">
      <c r="A1020" s="37"/>
      <c r="B1020" s="37"/>
      <c r="C1020" s="37"/>
      <c r="D1020" s="37" t="s">
        <v>1297</v>
      </c>
      <c r="E1020" s="37"/>
    </row>
    <row r="1021" spans="1:5" ht="18.75" customHeight="1" x14ac:dyDescent="0.25">
      <c r="A1021" s="37"/>
      <c r="B1021" s="37"/>
      <c r="C1021" s="37"/>
      <c r="D1021" s="37" t="s">
        <v>1298</v>
      </c>
      <c r="E1021" s="37"/>
    </row>
    <row r="1022" spans="1:5" ht="18.75" customHeight="1" x14ac:dyDescent="0.25">
      <c r="A1022" s="37"/>
      <c r="B1022" s="37"/>
      <c r="C1022" s="37"/>
      <c r="D1022" s="37" t="s">
        <v>1299</v>
      </c>
      <c r="E1022" s="37"/>
    </row>
    <row r="1023" spans="1:5" ht="18.75" customHeight="1" x14ac:dyDescent="0.25">
      <c r="A1023" s="37"/>
      <c r="B1023" s="37"/>
      <c r="C1023" s="37"/>
      <c r="D1023" s="37" t="s">
        <v>1300</v>
      </c>
      <c r="E1023" s="37"/>
    </row>
    <row r="1024" spans="1:5" ht="18.75" customHeight="1" x14ac:dyDescent="0.25">
      <c r="A1024" s="37"/>
      <c r="B1024" s="37"/>
      <c r="C1024" s="37"/>
      <c r="D1024" s="37" t="s">
        <v>1301</v>
      </c>
      <c r="E1024" s="37"/>
    </row>
    <row r="1025" spans="1:5" ht="18.75" customHeight="1" x14ac:dyDescent="0.25">
      <c r="A1025" s="37"/>
      <c r="B1025" s="37"/>
      <c r="C1025" s="37"/>
      <c r="D1025" s="37" t="s">
        <v>1302</v>
      </c>
      <c r="E1025" s="37"/>
    </row>
    <row r="1026" spans="1:5" ht="18.75" customHeight="1" x14ac:dyDescent="0.25">
      <c r="A1026" s="37"/>
      <c r="B1026" s="37"/>
      <c r="C1026" s="37"/>
      <c r="D1026" s="37" t="s">
        <v>1303</v>
      </c>
      <c r="E1026" s="37"/>
    </row>
    <row r="1027" spans="1:5" ht="18.75" customHeight="1" x14ac:dyDescent="0.25">
      <c r="A1027" s="37"/>
      <c r="B1027" s="37"/>
      <c r="C1027" s="37"/>
      <c r="D1027" s="37" t="s">
        <v>1304</v>
      </c>
      <c r="E1027" s="37"/>
    </row>
    <row r="1028" spans="1:5" ht="18.75" customHeight="1" x14ac:dyDescent="0.25">
      <c r="A1028" s="37"/>
      <c r="B1028" s="37"/>
      <c r="C1028" s="37"/>
      <c r="D1028" s="37" t="s">
        <v>1305</v>
      </c>
      <c r="E1028" s="37"/>
    </row>
    <row r="1029" spans="1:5" ht="18.75" customHeight="1" x14ac:dyDescent="0.25">
      <c r="A1029" s="37"/>
      <c r="B1029" s="37"/>
      <c r="C1029" s="37"/>
      <c r="D1029" s="37" t="s">
        <v>1306</v>
      </c>
      <c r="E1029" s="37"/>
    </row>
    <row r="1030" spans="1:5" ht="18.75" customHeight="1" x14ac:dyDescent="0.25">
      <c r="A1030" s="37"/>
      <c r="B1030" s="37"/>
      <c r="C1030" s="37"/>
      <c r="D1030" s="37" t="s">
        <v>1307</v>
      </c>
      <c r="E1030" s="37"/>
    </row>
    <row r="1031" spans="1:5" ht="18.75" customHeight="1" x14ac:dyDescent="0.25">
      <c r="A1031" s="37"/>
      <c r="B1031" s="37"/>
      <c r="C1031" s="37"/>
      <c r="D1031" s="37" t="s">
        <v>1308</v>
      </c>
      <c r="E1031" s="37"/>
    </row>
    <row r="1032" spans="1:5" ht="18.75" customHeight="1" x14ac:dyDescent="0.25">
      <c r="A1032" s="37"/>
      <c r="B1032" s="37"/>
      <c r="C1032" s="37"/>
      <c r="D1032" s="37" t="s">
        <v>1309</v>
      </c>
      <c r="E1032" s="37"/>
    </row>
    <row r="1033" spans="1:5" ht="18.75" customHeight="1" x14ac:dyDescent="0.25">
      <c r="A1033" s="37"/>
      <c r="B1033" s="37"/>
      <c r="C1033" s="37"/>
      <c r="D1033" s="37" t="s">
        <v>1310</v>
      </c>
      <c r="E1033" s="37"/>
    </row>
    <row r="1034" spans="1:5" ht="18.75" customHeight="1" x14ac:dyDescent="0.25">
      <c r="A1034" s="37"/>
      <c r="B1034" s="37"/>
      <c r="C1034" s="37"/>
      <c r="D1034" s="37" t="s">
        <v>1311</v>
      </c>
      <c r="E1034" s="37"/>
    </row>
    <row r="1035" spans="1:5" ht="18.75" customHeight="1" x14ac:dyDescent="0.25">
      <c r="A1035" s="37"/>
      <c r="B1035" s="37"/>
      <c r="C1035" s="37"/>
      <c r="D1035" s="37" t="s">
        <v>1312</v>
      </c>
      <c r="E1035" s="37"/>
    </row>
    <row r="1036" spans="1:5" ht="18.75" customHeight="1" x14ac:dyDescent="0.25">
      <c r="A1036" s="37"/>
      <c r="B1036" s="37"/>
      <c r="C1036" s="37"/>
      <c r="D1036" s="37" t="s">
        <v>1313</v>
      </c>
      <c r="E1036" s="37"/>
    </row>
    <row r="1037" spans="1:5" ht="18.75" customHeight="1" x14ac:dyDescent="0.25">
      <c r="A1037" s="37"/>
      <c r="B1037" s="37"/>
      <c r="C1037" s="37"/>
      <c r="D1037" s="37" t="s">
        <v>1314</v>
      </c>
      <c r="E1037" s="37"/>
    </row>
    <row r="1038" spans="1:5" ht="18.75" customHeight="1" x14ac:dyDescent="0.25">
      <c r="A1038" s="37"/>
      <c r="B1038" s="37"/>
      <c r="C1038" s="37"/>
      <c r="D1038" s="37" t="s">
        <v>1315</v>
      </c>
      <c r="E1038" s="37"/>
    </row>
    <row r="1039" spans="1:5" ht="18.75" customHeight="1" x14ac:dyDescent="0.25">
      <c r="A1039" s="37"/>
      <c r="B1039" s="37"/>
      <c r="C1039" s="37"/>
      <c r="D1039" s="37" t="s">
        <v>1316</v>
      </c>
      <c r="E1039" s="37"/>
    </row>
    <row r="1040" spans="1:5" ht="18.75" customHeight="1" x14ac:dyDescent="0.25">
      <c r="A1040" s="37"/>
      <c r="B1040" s="37"/>
      <c r="C1040" s="37"/>
      <c r="D1040" s="37" t="s">
        <v>1317</v>
      </c>
      <c r="E1040" s="37"/>
    </row>
    <row r="1041" spans="1:5" ht="18.75" customHeight="1" x14ac:dyDescent="0.25">
      <c r="A1041" s="37"/>
      <c r="B1041" s="37"/>
      <c r="C1041" s="37"/>
      <c r="D1041" s="37" t="s">
        <v>1318</v>
      </c>
      <c r="E1041" s="37"/>
    </row>
    <row r="1042" spans="1:5" ht="18.75" customHeight="1" x14ac:dyDescent="0.25">
      <c r="A1042" s="37"/>
      <c r="B1042" s="37"/>
      <c r="C1042" s="37"/>
      <c r="D1042" s="37" t="s">
        <v>1319</v>
      </c>
      <c r="E1042" s="37"/>
    </row>
    <row r="1043" spans="1:5" ht="18.75" customHeight="1" x14ac:dyDescent="0.25">
      <c r="A1043" s="37"/>
      <c r="B1043" s="37"/>
      <c r="C1043" s="37"/>
      <c r="D1043" s="37" t="s">
        <v>1320</v>
      </c>
      <c r="E1043" s="37"/>
    </row>
    <row r="1044" spans="1:5" ht="18.75" customHeight="1" x14ac:dyDescent="0.25">
      <c r="A1044" s="37"/>
      <c r="B1044" s="37"/>
      <c r="C1044" s="37"/>
      <c r="D1044" s="37" t="s">
        <v>1321</v>
      </c>
      <c r="E1044" s="37"/>
    </row>
    <row r="1045" spans="1:5" ht="18.75" customHeight="1" x14ac:dyDescent="0.25">
      <c r="A1045" s="37"/>
      <c r="B1045" s="37"/>
      <c r="C1045" s="37"/>
      <c r="D1045" s="37" t="s">
        <v>1322</v>
      </c>
      <c r="E1045" s="37"/>
    </row>
    <row r="1046" spans="1:5" ht="18.75" customHeight="1" x14ac:dyDescent="0.25">
      <c r="A1046" s="37"/>
      <c r="B1046" s="37"/>
      <c r="C1046" s="37"/>
      <c r="D1046" s="37" t="s">
        <v>1323</v>
      </c>
      <c r="E1046" s="37"/>
    </row>
    <row r="1047" spans="1:5" ht="18.75" customHeight="1" x14ac:dyDescent="0.25">
      <c r="A1047" s="37"/>
      <c r="B1047" s="37"/>
      <c r="C1047" s="37"/>
      <c r="D1047" s="37" t="s">
        <v>1324</v>
      </c>
      <c r="E1047" s="37"/>
    </row>
    <row r="1048" spans="1:5" ht="18.75" customHeight="1" x14ac:dyDescent="0.25">
      <c r="A1048" s="37"/>
      <c r="B1048" s="37"/>
      <c r="C1048" s="37"/>
      <c r="D1048" s="37" t="s">
        <v>1325</v>
      </c>
      <c r="E1048" s="37"/>
    </row>
    <row r="1049" spans="1:5" ht="18.75" customHeight="1" x14ac:dyDescent="0.25">
      <c r="A1049" s="37"/>
      <c r="B1049" s="37"/>
      <c r="C1049" s="37"/>
      <c r="D1049" s="37" t="s">
        <v>1326</v>
      </c>
      <c r="E1049" s="37"/>
    </row>
    <row r="1050" spans="1:5" ht="18.75" customHeight="1" x14ac:dyDescent="0.25">
      <c r="A1050" s="37"/>
      <c r="B1050" s="37"/>
      <c r="C1050" s="37"/>
      <c r="D1050" s="37" t="s">
        <v>1327</v>
      </c>
      <c r="E1050" s="37"/>
    </row>
    <row r="1051" spans="1:5" ht="18.75" customHeight="1" x14ac:dyDescent="0.25">
      <c r="A1051" s="37"/>
      <c r="B1051" s="37"/>
      <c r="C1051" s="37"/>
      <c r="D1051" s="37" t="s">
        <v>1328</v>
      </c>
      <c r="E1051" s="37"/>
    </row>
    <row r="1052" spans="1:5" ht="18.75" customHeight="1" x14ac:dyDescent="0.25">
      <c r="A1052" s="37"/>
      <c r="B1052" s="37"/>
      <c r="C1052" s="37"/>
      <c r="D1052" s="37" t="s">
        <v>1329</v>
      </c>
      <c r="E1052" s="37"/>
    </row>
    <row r="1053" spans="1:5" ht="18.75" customHeight="1" x14ac:dyDescent="0.25">
      <c r="A1053" s="37"/>
      <c r="B1053" s="37"/>
      <c r="C1053" s="37"/>
      <c r="D1053" s="37" t="s">
        <v>1330</v>
      </c>
      <c r="E1053" s="37"/>
    </row>
    <row r="1054" spans="1:5" ht="18.75" customHeight="1" x14ac:dyDescent="0.25">
      <c r="A1054" s="37"/>
      <c r="B1054" s="37"/>
      <c r="C1054" s="37"/>
      <c r="D1054" s="37" t="s">
        <v>1331</v>
      </c>
      <c r="E1054" s="37"/>
    </row>
    <row r="1055" spans="1:5" ht="18.75" customHeight="1" x14ac:dyDescent="0.25">
      <c r="A1055" s="37"/>
      <c r="B1055" s="37"/>
      <c r="C1055" s="37"/>
      <c r="D1055" s="37" t="s">
        <v>1332</v>
      </c>
      <c r="E1055" s="37"/>
    </row>
    <row r="1056" spans="1:5" ht="18.75" customHeight="1" x14ac:dyDescent="0.25">
      <c r="A1056" s="37"/>
      <c r="B1056" s="37"/>
      <c r="C1056" s="37"/>
      <c r="D1056" s="37" t="s">
        <v>1333</v>
      </c>
      <c r="E1056" s="37"/>
    </row>
    <row r="1057" spans="1:5" ht="18.75" customHeight="1" x14ac:dyDescent="0.25">
      <c r="A1057" s="37"/>
      <c r="B1057" s="37"/>
      <c r="C1057" s="37"/>
      <c r="D1057" s="37" t="s">
        <v>1334</v>
      </c>
      <c r="E1057" s="37"/>
    </row>
    <row r="1058" spans="1:5" ht="18.75" customHeight="1" x14ac:dyDescent="0.25">
      <c r="A1058" s="37"/>
      <c r="B1058" s="37"/>
      <c r="C1058" s="37"/>
      <c r="D1058" s="37" t="s">
        <v>1335</v>
      </c>
      <c r="E1058" s="37"/>
    </row>
    <row r="1059" spans="1:5" ht="18.75" customHeight="1" x14ac:dyDescent="0.25">
      <c r="A1059" s="37"/>
      <c r="B1059" s="37"/>
      <c r="C1059" s="37"/>
      <c r="D1059" s="37" t="s">
        <v>1336</v>
      </c>
      <c r="E1059" s="37"/>
    </row>
    <row r="1060" spans="1:5" ht="18.75" customHeight="1" x14ac:dyDescent="0.25">
      <c r="A1060" s="37"/>
      <c r="B1060" s="37"/>
      <c r="C1060" s="37"/>
      <c r="D1060" s="37" t="s">
        <v>1337</v>
      </c>
      <c r="E1060" s="37"/>
    </row>
    <row r="1061" spans="1:5" ht="18.75" customHeight="1" x14ac:dyDescent="0.25">
      <c r="A1061" s="37"/>
      <c r="B1061" s="37"/>
      <c r="C1061" s="37"/>
      <c r="D1061" s="37" t="s">
        <v>1338</v>
      </c>
      <c r="E1061" s="37"/>
    </row>
    <row r="1062" spans="1:5" ht="18.75" customHeight="1" x14ac:dyDescent="0.25">
      <c r="A1062" s="37"/>
      <c r="B1062" s="37"/>
      <c r="C1062" s="37"/>
      <c r="D1062" s="37" t="s">
        <v>1339</v>
      </c>
      <c r="E1062" s="37"/>
    </row>
    <row r="1063" spans="1:5" ht="18.75" customHeight="1" x14ac:dyDescent="0.25">
      <c r="A1063" s="37"/>
      <c r="B1063" s="37"/>
      <c r="C1063" s="37"/>
      <c r="D1063" s="37" t="s">
        <v>1340</v>
      </c>
      <c r="E1063" s="37"/>
    </row>
    <row r="1064" spans="1:5" ht="18.75" customHeight="1" x14ac:dyDescent="0.25">
      <c r="A1064" s="37"/>
      <c r="B1064" s="37"/>
      <c r="C1064" s="37"/>
      <c r="D1064" s="37" t="s">
        <v>1341</v>
      </c>
      <c r="E1064" s="37"/>
    </row>
    <row r="1065" spans="1:5" ht="18.75" customHeight="1" x14ac:dyDescent="0.25">
      <c r="A1065" s="37"/>
      <c r="B1065" s="37"/>
      <c r="C1065" s="37"/>
      <c r="D1065" s="37" t="s">
        <v>1342</v>
      </c>
      <c r="E1065" s="37"/>
    </row>
    <row r="1066" spans="1:5" ht="18.75" customHeight="1" x14ac:dyDescent="0.25">
      <c r="A1066" s="37"/>
      <c r="B1066" s="37"/>
      <c r="C1066" s="37"/>
      <c r="D1066" s="37" t="s">
        <v>1343</v>
      </c>
      <c r="E1066" s="37"/>
    </row>
    <row r="1067" spans="1:5" ht="18.75" customHeight="1" x14ac:dyDescent="0.25">
      <c r="A1067" s="37"/>
      <c r="B1067" s="37"/>
      <c r="C1067" s="37"/>
      <c r="D1067" s="37" t="s">
        <v>1344</v>
      </c>
      <c r="E1067" s="37"/>
    </row>
    <row r="1068" spans="1:5" ht="18.75" customHeight="1" x14ac:dyDescent="0.25">
      <c r="A1068" s="37"/>
      <c r="B1068" s="37"/>
      <c r="C1068" s="37"/>
      <c r="D1068" s="37" t="s">
        <v>1345</v>
      </c>
      <c r="E1068" s="37"/>
    </row>
    <row r="1069" spans="1:5" ht="18.75" customHeight="1" x14ac:dyDescent="0.25">
      <c r="A1069" s="37"/>
      <c r="B1069" s="37"/>
      <c r="C1069" s="37"/>
      <c r="D1069" s="37" t="s">
        <v>1346</v>
      </c>
      <c r="E1069" s="37"/>
    </row>
    <row r="1070" spans="1:5" ht="18.75" customHeight="1" x14ac:dyDescent="0.25">
      <c r="A1070" s="37"/>
      <c r="B1070" s="37"/>
      <c r="C1070" s="37"/>
      <c r="D1070" s="37" t="s">
        <v>1347</v>
      </c>
      <c r="E1070" s="37"/>
    </row>
    <row r="1071" spans="1:5" ht="18.75" customHeight="1" x14ac:dyDescent="0.25">
      <c r="A1071" s="37"/>
      <c r="B1071" s="37"/>
      <c r="C1071" s="37"/>
      <c r="D1071" s="37" t="s">
        <v>1348</v>
      </c>
      <c r="E1071" s="37"/>
    </row>
    <row r="1072" spans="1:5" ht="18.75" customHeight="1" x14ac:dyDescent="0.25">
      <c r="A1072" s="37"/>
      <c r="B1072" s="37"/>
      <c r="C1072" s="37"/>
      <c r="D1072" s="37" t="s">
        <v>1349</v>
      </c>
      <c r="E1072" s="37"/>
    </row>
    <row r="1073" spans="1:5" ht="18.75" customHeight="1" x14ac:dyDescent="0.25">
      <c r="A1073" s="37"/>
      <c r="B1073" s="37"/>
      <c r="C1073" s="37"/>
      <c r="D1073" s="37" t="s">
        <v>1350</v>
      </c>
      <c r="E1073" s="37"/>
    </row>
    <row r="1074" spans="1:5" ht="18.75" customHeight="1" x14ac:dyDescent="0.25">
      <c r="A1074" s="37"/>
      <c r="B1074" s="37"/>
      <c r="C1074" s="37"/>
      <c r="D1074" s="37" t="s">
        <v>1351</v>
      </c>
      <c r="E1074" s="37"/>
    </row>
    <row r="1075" spans="1:5" ht="18.75" customHeight="1" x14ac:dyDescent="0.25">
      <c r="A1075" s="37"/>
      <c r="B1075" s="37"/>
      <c r="C1075" s="37"/>
      <c r="D1075" s="37" t="s">
        <v>1352</v>
      </c>
      <c r="E1075" s="37"/>
    </row>
    <row r="1076" spans="1:5" ht="18.75" customHeight="1" x14ac:dyDescent="0.25">
      <c r="A1076" s="37"/>
      <c r="B1076" s="37"/>
      <c r="C1076" s="37"/>
      <c r="D1076" s="37" t="s">
        <v>1353</v>
      </c>
      <c r="E1076" s="37"/>
    </row>
    <row r="1077" spans="1:5" ht="18.75" customHeight="1" x14ac:dyDescent="0.25">
      <c r="A1077" s="37"/>
      <c r="B1077" s="37"/>
      <c r="C1077" s="37"/>
      <c r="D1077" s="37" t="s">
        <v>1354</v>
      </c>
      <c r="E1077" s="37"/>
    </row>
    <row r="1078" spans="1:5" ht="18.75" customHeight="1" x14ac:dyDescent="0.25">
      <c r="A1078" s="37"/>
      <c r="B1078" s="37"/>
      <c r="C1078" s="37"/>
      <c r="D1078" s="37" t="s">
        <v>1355</v>
      </c>
      <c r="E1078" s="37"/>
    </row>
    <row r="1079" spans="1:5" ht="18.75" customHeight="1" x14ac:dyDescent="0.25">
      <c r="A1079" s="37"/>
      <c r="B1079" s="37"/>
      <c r="C1079" s="37"/>
      <c r="D1079" s="37" t="s">
        <v>1356</v>
      </c>
      <c r="E1079" s="37"/>
    </row>
    <row r="1080" spans="1:5" ht="18.75" customHeight="1" x14ac:dyDescent="0.25">
      <c r="A1080" s="37"/>
      <c r="B1080" s="37"/>
      <c r="C1080" s="37"/>
      <c r="D1080" s="37" t="s">
        <v>1357</v>
      </c>
      <c r="E1080" s="37"/>
    </row>
    <row r="1081" spans="1:5" ht="18.75" customHeight="1" x14ac:dyDescent="0.25">
      <c r="A1081" s="37"/>
      <c r="B1081" s="37"/>
      <c r="C1081" s="37"/>
      <c r="D1081" s="37" t="s">
        <v>1358</v>
      </c>
      <c r="E1081" s="37"/>
    </row>
    <row r="1082" spans="1:5" ht="18.75" customHeight="1" x14ac:dyDescent="0.25">
      <c r="A1082" s="37"/>
      <c r="B1082" s="37"/>
      <c r="C1082" s="37"/>
      <c r="D1082" s="37" t="s">
        <v>1359</v>
      </c>
      <c r="E1082" s="37"/>
    </row>
    <row r="1083" spans="1:5" ht="18.75" customHeight="1" x14ac:dyDescent="0.25">
      <c r="A1083" s="37"/>
      <c r="B1083" s="37"/>
      <c r="C1083" s="37"/>
      <c r="D1083" s="37" t="s">
        <v>1360</v>
      </c>
      <c r="E1083" s="37"/>
    </row>
    <row r="1084" spans="1:5" ht="18.75" customHeight="1" x14ac:dyDescent="0.25">
      <c r="A1084" s="37"/>
      <c r="B1084" s="37"/>
      <c r="C1084" s="37"/>
      <c r="D1084" s="37" t="s">
        <v>1361</v>
      </c>
      <c r="E1084" s="37"/>
    </row>
    <row r="1085" spans="1:5" ht="18.75" customHeight="1" x14ac:dyDescent="0.25">
      <c r="A1085" s="37"/>
      <c r="B1085" s="37"/>
      <c r="C1085" s="37"/>
      <c r="D1085" s="37" t="s">
        <v>1362</v>
      </c>
      <c r="E1085" s="37"/>
    </row>
    <row r="1086" spans="1:5" ht="18.75" customHeight="1" x14ac:dyDescent="0.25">
      <c r="A1086" s="37"/>
      <c r="B1086" s="37"/>
      <c r="C1086" s="37"/>
      <c r="D1086" s="37" t="s">
        <v>1363</v>
      </c>
      <c r="E1086" s="37"/>
    </row>
    <row r="1087" spans="1:5" ht="18.75" customHeight="1" x14ac:dyDescent="0.25">
      <c r="A1087" s="37"/>
      <c r="B1087" s="37"/>
      <c r="C1087" s="37"/>
      <c r="D1087" s="37" t="s">
        <v>1364</v>
      </c>
      <c r="E1087" s="37"/>
    </row>
    <row r="1088" spans="1:5" ht="18.75" customHeight="1" x14ac:dyDescent="0.25">
      <c r="A1088" s="37"/>
      <c r="B1088" s="37"/>
      <c r="C1088" s="37"/>
      <c r="D1088" s="37" t="s">
        <v>1365</v>
      </c>
      <c r="E1088" s="37"/>
    </row>
    <row r="1089" spans="1:5" ht="18.75" customHeight="1" x14ac:dyDescent="0.25">
      <c r="A1089" s="37"/>
      <c r="B1089" s="37"/>
      <c r="C1089" s="37"/>
      <c r="D1089" s="37" t="s">
        <v>1366</v>
      </c>
      <c r="E1089" s="37"/>
    </row>
    <row r="1090" spans="1:5" ht="18.75" customHeight="1" x14ac:dyDescent="0.25">
      <c r="A1090" s="37"/>
      <c r="B1090" s="37"/>
      <c r="C1090" s="37"/>
      <c r="D1090" s="37" t="s">
        <v>1367</v>
      </c>
      <c r="E1090" s="37"/>
    </row>
    <row r="1091" spans="1:5" ht="18.75" customHeight="1" x14ac:dyDescent="0.25">
      <c r="A1091" s="37"/>
      <c r="B1091" s="37"/>
      <c r="C1091" s="37"/>
      <c r="D1091" s="37" t="s">
        <v>1368</v>
      </c>
      <c r="E1091" s="37"/>
    </row>
    <row r="1092" spans="1:5" ht="18.75" customHeight="1" x14ac:dyDescent="0.25">
      <c r="A1092" s="37"/>
      <c r="B1092" s="37"/>
      <c r="C1092" s="37"/>
      <c r="D1092" s="37" t="s">
        <v>1369</v>
      </c>
      <c r="E1092" s="37"/>
    </row>
    <row r="1093" spans="1:5" ht="18.75" customHeight="1" x14ac:dyDescent="0.25">
      <c r="A1093" s="37"/>
      <c r="B1093" s="37"/>
      <c r="C1093" s="37"/>
      <c r="D1093" s="37" t="s">
        <v>1370</v>
      </c>
      <c r="E1093" s="37"/>
    </row>
    <row r="1094" spans="1:5" ht="18.75" customHeight="1" x14ac:dyDescent="0.25">
      <c r="A1094" s="37"/>
      <c r="B1094" s="37"/>
      <c r="C1094" s="37"/>
      <c r="D1094" s="37" t="s">
        <v>1371</v>
      </c>
      <c r="E1094" s="37"/>
    </row>
    <row r="1095" spans="1:5" ht="18.75" customHeight="1" x14ac:dyDescent="0.25">
      <c r="A1095" s="37"/>
      <c r="B1095" s="37"/>
      <c r="C1095" s="37"/>
      <c r="D1095" s="37" t="s">
        <v>1372</v>
      </c>
      <c r="E1095" s="37"/>
    </row>
    <row r="1096" spans="1:5" ht="18.75" customHeight="1" x14ac:dyDescent="0.25">
      <c r="A1096" s="37"/>
      <c r="B1096" s="37"/>
      <c r="C1096" s="37"/>
      <c r="D1096" s="37" t="s">
        <v>1373</v>
      </c>
      <c r="E1096" s="37"/>
    </row>
    <row r="1097" spans="1:5" ht="18.75" customHeight="1" x14ac:dyDescent="0.25">
      <c r="A1097" s="37"/>
      <c r="B1097" s="37"/>
      <c r="C1097" s="37"/>
      <c r="D1097" s="37" t="s">
        <v>1374</v>
      </c>
      <c r="E1097" s="37"/>
    </row>
    <row r="1098" spans="1:5" ht="18.75" customHeight="1" x14ac:dyDescent="0.25">
      <c r="A1098" s="37"/>
      <c r="B1098" s="37"/>
      <c r="C1098" s="37"/>
      <c r="D1098" s="37" t="s">
        <v>1375</v>
      </c>
      <c r="E1098" s="37"/>
    </row>
    <row r="1099" spans="1:5" ht="18.75" customHeight="1" x14ac:dyDescent="0.25">
      <c r="A1099" s="37"/>
      <c r="B1099" s="37"/>
      <c r="C1099" s="37"/>
      <c r="D1099" s="37" t="s">
        <v>1376</v>
      </c>
      <c r="E1099" s="37"/>
    </row>
    <row r="1100" spans="1:5" ht="18.75" customHeight="1" x14ac:dyDescent="0.25">
      <c r="A1100" s="37"/>
      <c r="B1100" s="37"/>
      <c r="C1100" s="37"/>
      <c r="D1100" s="37" t="s">
        <v>1377</v>
      </c>
      <c r="E1100" s="37"/>
    </row>
    <row r="1101" spans="1:5" ht="18.75" customHeight="1" x14ac:dyDescent="0.25">
      <c r="A1101" s="37"/>
      <c r="B1101" s="37"/>
      <c r="C1101" s="37"/>
      <c r="D1101" s="37" t="s">
        <v>1378</v>
      </c>
      <c r="E1101" s="37"/>
    </row>
    <row r="1102" spans="1:5" ht="18.75" customHeight="1" x14ac:dyDescent="0.25">
      <c r="A1102" s="37"/>
      <c r="B1102" s="37"/>
      <c r="C1102" s="37"/>
      <c r="D1102" s="37" t="s">
        <v>1379</v>
      </c>
      <c r="E1102" s="37"/>
    </row>
    <row r="1103" spans="1:5" ht="18.75" customHeight="1" x14ac:dyDescent="0.25">
      <c r="A1103" s="37"/>
      <c r="B1103" s="37"/>
      <c r="C1103" s="37"/>
      <c r="D1103" s="37" t="s">
        <v>1380</v>
      </c>
      <c r="E1103" s="37"/>
    </row>
    <row r="1104" spans="1:5" ht="18.75" customHeight="1" x14ac:dyDescent="0.25">
      <c r="A1104" s="37"/>
      <c r="B1104" s="37"/>
      <c r="C1104" s="37"/>
      <c r="D1104" s="37" t="s">
        <v>1381</v>
      </c>
      <c r="E1104" s="37"/>
    </row>
    <row r="1105" spans="1:5" ht="18.75" customHeight="1" x14ac:dyDescent="0.25">
      <c r="A1105" s="37"/>
      <c r="B1105" s="37"/>
      <c r="C1105" s="37"/>
      <c r="D1105" s="37" t="s">
        <v>1382</v>
      </c>
      <c r="E1105" s="37"/>
    </row>
    <row r="1106" spans="1:5" ht="18.75" customHeight="1" x14ac:dyDescent="0.25">
      <c r="A1106" s="37"/>
      <c r="B1106" s="37"/>
      <c r="C1106" s="37"/>
      <c r="D1106" s="37" t="s">
        <v>1383</v>
      </c>
      <c r="E1106" s="37"/>
    </row>
    <row r="1107" spans="1:5" ht="18.75" customHeight="1" x14ac:dyDescent="0.25">
      <c r="A1107" s="37"/>
      <c r="B1107" s="37"/>
      <c r="C1107" s="37"/>
      <c r="D1107" s="37" t="s">
        <v>1384</v>
      </c>
      <c r="E1107" s="37"/>
    </row>
    <row r="1108" spans="1:5" ht="18.75" customHeight="1" x14ac:dyDescent="0.25">
      <c r="A1108" s="37"/>
      <c r="B1108" s="37"/>
      <c r="C1108" s="37"/>
      <c r="D1108" s="37" t="s">
        <v>1385</v>
      </c>
      <c r="E1108" s="37"/>
    </row>
    <row r="1109" spans="1:5" ht="18.75" customHeight="1" x14ac:dyDescent="0.25">
      <c r="A1109" s="37"/>
      <c r="B1109" s="37"/>
      <c r="C1109" s="37"/>
      <c r="D1109" s="37" t="s">
        <v>1386</v>
      </c>
      <c r="E1109" s="37"/>
    </row>
    <row r="1110" spans="1:5" ht="18.75" customHeight="1" x14ac:dyDescent="0.25">
      <c r="A1110" s="37"/>
      <c r="B1110" s="37"/>
      <c r="C1110" s="37"/>
      <c r="D1110" s="37" t="s">
        <v>1387</v>
      </c>
      <c r="E1110" s="37"/>
    </row>
    <row r="1111" spans="1:5" ht="18.75" customHeight="1" x14ac:dyDescent="0.25">
      <c r="A1111" s="37"/>
      <c r="B1111" s="37"/>
      <c r="C1111" s="37"/>
      <c r="D1111" s="37" t="s">
        <v>1388</v>
      </c>
      <c r="E1111" s="37"/>
    </row>
    <row r="1112" spans="1:5" ht="18.75" customHeight="1" x14ac:dyDescent="0.25">
      <c r="A1112" s="37"/>
      <c r="B1112" s="37"/>
      <c r="C1112" s="37"/>
      <c r="D1112" s="37" t="s">
        <v>1389</v>
      </c>
      <c r="E1112" s="37"/>
    </row>
    <row r="1113" spans="1:5" ht="18.75" customHeight="1" x14ac:dyDescent="0.25">
      <c r="A1113" s="37"/>
      <c r="B1113" s="37"/>
      <c r="C1113" s="37"/>
      <c r="D1113" s="37" t="s">
        <v>1390</v>
      </c>
      <c r="E1113" s="37"/>
    </row>
    <row r="1114" spans="1:5" ht="18.75" customHeight="1" x14ac:dyDescent="0.25">
      <c r="A1114" s="37"/>
      <c r="B1114" s="37"/>
      <c r="C1114" s="37"/>
      <c r="D1114" s="37" t="s">
        <v>1391</v>
      </c>
      <c r="E1114" s="37"/>
    </row>
    <row r="1115" spans="1:5" ht="18.75" customHeight="1" x14ac:dyDescent="0.25">
      <c r="A1115" s="37"/>
      <c r="B1115" s="37"/>
      <c r="C1115" s="37"/>
      <c r="D1115" s="37" t="s">
        <v>1392</v>
      </c>
      <c r="E1115" s="37"/>
    </row>
    <row r="1116" spans="1:5" ht="18.75" customHeight="1" x14ac:dyDescent="0.25">
      <c r="A1116" s="37"/>
      <c r="B1116" s="37"/>
      <c r="C1116" s="37"/>
      <c r="D1116" s="37" t="s">
        <v>1393</v>
      </c>
      <c r="E1116" s="37"/>
    </row>
    <row r="1117" spans="1:5" ht="18.75" customHeight="1" x14ac:dyDescent="0.25">
      <c r="A1117" s="37"/>
      <c r="B1117" s="37"/>
      <c r="C1117" s="37"/>
      <c r="D1117" s="37" t="s">
        <v>1394</v>
      </c>
      <c r="E1117" s="37"/>
    </row>
    <row r="1118" spans="1:5" ht="18.75" customHeight="1" x14ac:dyDescent="0.25">
      <c r="A1118" s="37"/>
      <c r="B1118" s="37"/>
      <c r="C1118" s="37"/>
      <c r="D1118" s="37" t="s">
        <v>1395</v>
      </c>
      <c r="E1118" s="37"/>
    </row>
    <row r="1119" spans="1:5" ht="18.75" customHeight="1" x14ac:dyDescent="0.25">
      <c r="A1119" s="37"/>
      <c r="B1119" s="37"/>
      <c r="C1119" s="37"/>
      <c r="D1119" s="37" t="s">
        <v>1396</v>
      </c>
      <c r="E1119" s="37"/>
    </row>
    <row r="1120" spans="1:5" ht="18.75" customHeight="1" x14ac:dyDescent="0.25">
      <c r="A1120" s="37"/>
      <c r="B1120" s="37"/>
      <c r="C1120" s="37"/>
      <c r="D1120" s="37" t="s">
        <v>1397</v>
      </c>
      <c r="E1120" s="37"/>
    </row>
    <row r="1121" spans="1:5" ht="18.75" customHeight="1" x14ac:dyDescent="0.25">
      <c r="A1121" s="37"/>
      <c r="B1121" s="37"/>
      <c r="C1121" s="37"/>
      <c r="D1121" s="37" t="s">
        <v>1398</v>
      </c>
      <c r="E1121" s="37"/>
    </row>
    <row r="1122" spans="1:5" ht="18.75" customHeight="1" x14ac:dyDescent="0.25">
      <c r="A1122" s="37"/>
      <c r="B1122" s="37"/>
      <c r="C1122" s="37"/>
      <c r="D1122" s="37" t="s">
        <v>1399</v>
      </c>
      <c r="E1122" s="37"/>
    </row>
    <row r="1123" spans="1:5" ht="18.75" customHeight="1" x14ac:dyDescent="0.25">
      <c r="A1123" s="37"/>
      <c r="B1123" s="37"/>
      <c r="C1123" s="37"/>
      <c r="D1123" s="37" t="s">
        <v>1400</v>
      </c>
      <c r="E1123" s="37"/>
    </row>
    <row r="1124" spans="1:5" ht="18.75" customHeight="1" x14ac:dyDescent="0.25">
      <c r="A1124" s="37"/>
      <c r="B1124" s="37"/>
      <c r="C1124" s="37"/>
      <c r="D1124" s="37" t="s">
        <v>1401</v>
      </c>
      <c r="E1124" s="37"/>
    </row>
    <row r="1125" spans="1:5" ht="18.75" customHeight="1" x14ac:dyDescent="0.25">
      <c r="A1125" s="37"/>
      <c r="B1125" s="37"/>
      <c r="C1125" s="37"/>
      <c r="D1125" s="37" t="s">
        <v>1402</v>
      </c>
      <c r="E1125" s="37"/>
    </row>
    <row r="1126" spans="1:5" ht="18.75" customHeight="1" x14ac:dyDescent="0.25">
      <c r="A1126" s="37"/>
      <c r="B1126" s="37"/>
      <c r="C1126" s="37"/>
      <c r="D1126" s="37" t="s">
        <v>1403</v>
      </c>
      <c r="E1126" s="37"/>
    </row>
    <row r="1127" spans="1:5" ht="18.75" customHeight="1" x14ac:dyDescent="0.25">
      <c r="A1127" s="37"/>
      <c r="B1127" s="37"/>
      <c r="C1127" s="37"/>
      <c r="D1127" s="37" t="s">
        <v>1404</v>
      </c>
      <c r="E1127" s="37"/>
    </row>
    <row r="1128" spans="1:5" ht="18.75" customHeight="1" x14ac:dyDescent="0.25">
      <c r="A1128" s="37"/>
      <c r="B1128" s="37"/>
      <c r="C1128" s="37"/>
      <c r="D1128" s="37" t="s">
        <v>1405</v>
      </c>
      <c r="E1128" s="37"/>
    </row>
    <row r="1129" spans="1:5" ht="18.75" customHeight="1" x14ac:dyDescent="0.25">
      <c r="A1129" s="37"/>
      <c r="B1129" s="37"/>
      <c r="C1129" s="37"/>
      <c r="D1129" s="37" t="s">
        <v>1406</v>
      </c>
      <c r="E1129" s="37"/>
    </row>
    <row r="1130" spans="1:5" ht="18.75" customHeight="1" x14ac:dyDescent="0.25">
      <c r="A1130" s="37"/>
      <c r="B1130" s="37"/>
      <c r="C1130" s="37"/>
      <c r="D1130" s="37" t="s">
        <v>1407</v>
      </c>
      <c r="E1130" s="37"/>
    </row>
    <row r="1131" spans="1:5" ht="18.75" customHeight="1" x14ac:dyDescent="0.25">
      <c r="A1131" s="37"/>
      <c r="B1131" s="37"/>
      <c r="C1131" s="37"/>
      <c r="D1131" s="37" t="s">
        <v>1408</v>
      </c>
      <c r="E1131" s="37"/>
    </row>
    <row r="1132" spans="1:5" ht="18.75" customHeight="1" x14ac:dyDescent="0.25">
      <c r="A1132" s="37"/>
      <c r="B1132" s="37"/>
      <c r="C1132" s="37"/>
      <c r="D1132" s="37" t="s">
        <v>1409</v>
      </c>
      <c r="E1132" s="37"/>
    </row>
    <row r="1133" spans="1:5" ht="18.75" customHeight="1" x14ac:dyDescent="0.25">
      <c r="A1133" s="37"/>
      <c r="B1133" s="37"/>
      <c r="C1133" s="37"/>
      <c r="D1133" s="37" t="s">
        <v>1410</v>
      </c>
      <c r="E1133" s="37"/>
    </row>
    <row r="1134" spans="1:5" ht="18.75" customHeight="1" x14ac:dyDescent="0.25">
      <c r="A1134" s="37"/>
      <c r="B1134" s="37"/>
      <c r="C1134" s="37"/>
      <c r="D1134" s="37" t="s">
        <v>1411</v>
      </c>
      <c r="E1134" s="37"/>
    </row>
    <row r="1135" spans="1:5" ht="18.75" customHeight="1" x14ac:dyDescent="0.25">
      <c r="A1135" s="37"/>
      <c r="B1135" s="37"/>
      <c r="C1135" s="37"/>
      <c r="D1135" s="37" t="s">
        <v>1412</v>
      </c>
      <c r="E1135" s="37"/>
    </row>
    <row r="1136" spans="1:5" ht="18.75" customHeight="1" x14ac:dyDescent="0.25">
      <c r="A1136" s="37"/>
      <c r="B1136" s="37"/>
      <c r="C1136" s="37"/>
      <c r="D1136" s="37" t="s">
        <v>1413</v>
      </c>
      <c r="E1136" s="37"/>
    </row>
    <row r="1137" spans="1:5" ht="18.75" customHeight="1" x14ac:dyDescent="0.25">
      <c r="A1137" s="37"/>
      <c r="B1137" s="37"/>
      <c r="C1137" s="37"/>
      <c r="D1137" s="37" t="s">
        <v>1414</v>
      </c>
      <c r="E1137" s="37"/>
    </row>
    <row r="1138" spans="1:5" ht="18.75" customHeight="1" x14ac:dyDescent="0.25">
      <c r="A1138" s="37"/>
      <c r="B1138" s="37"/>
      <c r="C1138" s="37"/>
      <c r="D1138" s="37" t="s">
        <v>1415</v>
      </c>
      <c r="E1138" s="37"/>
    </row>
    <row r="1139" spans="1:5" ht="18.75" customHeight="1" x14ac:dyDescent="0.25">
      <c r="A1139" s="37"/>
      <c r="B1139" s="37"/>
      <c r="C1139" s="37"/>
      <c r="D1139" s="37" t="s">
        <v>1416</v>
      </c>
      <c r="E1139" s="37"/>
    </row>
    <row r="1140" spans="1:5" ht="18.75" customHeight="1" x14ac:dyDescent="0.25">
      <c r="A1140" s="37"/>
      <c r="B1140" s="37"/>
      <c r="C1140" s="37"/>
      <c r="D1140" s="37" t="s">
        <v>1417</v>
      </c>
      <c r="E1140" s="37"/>
    </row>
    <row r="1141" spans="1:5" ht="18.75" customHeight="1" x14ac:dyDescent="0.25">
      <c r="A1141" s="37"/>
      <c r="B1141" s="37"/>
      <c r="C1141" s="37"/>
      <c r="D1141" s="37" t="s">
        <v>1418</v>
      </c>
      <c r="E1141" s="37"/>
    </row>
    <row r="1142" spans="1:5" ht="18.75" customHeight="1" x14ac:dyDescent="0.25">
      <c r="A1142" s="37"/>
      <c r="B1142" s="37"/>
      <c r="C1142" s="37"/>
      <c r="D1142" s="37" t="s">
        <v>1419</v>
      </c>
      <c r="E1142" s="37"/>
    </row>
    <row r="1143" spans="1:5" ht="18.75" customHeight="1" x14ac:dyDescent="0.25">
      <c r="A1143" s="37"/>
      <c r="B1143" s="37"/>
      <c r="C1143" s="37"/>
      <c r="D1143" s="37" t="s">
        <v>1420</v>
      </c>
      <c r="E1143" s="37"/>
    </row>
    <row r="1144" spans="1:5" ht="18.75" customHeight="1" x14ac:dyDescent="0.25">
      <c r="A1144" s="37"/>
      <c r="B1144" s="37"/>
      <c r="C1144" s="37"/>
      <c r="D1144" s="37" t="s">
        <v>1421</v>
      </c>
      <c r="E1144" s="37"/>
    </row>
    <row r="1145" spans="1:5" ht="18.75" customHeight="1" x14ac:dyDescent="0.25">
      <c r="A1145" s="37"/>
      <c r="B1145" s="37"/>
      <c r="C1145" s="37"/>
      <c r="D1145" s="37" t="s">
        <v>1422</v>
      </c>
      <c r="E1145" s="37"/>
    </row>
    <row r="1146" spans="1:5" ht="18.75" customHeight="1" x14ac:dyDescent="0.25">
      <c r="A1146" s="37"/>
      <c r="B1146" s="37"/>
      <c r="C1146" s="37"/>
      <c r="D1146" s="37" t="s">
        <v>1423</v>
      </c>
      <c r="E1146" s="37"/>
    </row>
    <row r="1147" spans="1:5" ht="18.75" customHeight="1" x14ac:dyDescent="0.25">
      <c r="A1147" s="37"/>
      <c r="B1147" s="37"/>
      <c r="C1147" s="37"/>
      <c r="D1147" s="37" t="s">
        <v>1424</v>
      </c>
      <c r="E1147" s="37"/>
    </row>
    <row r="1148" spans="1:5" ht="18.75" customHeight="1" x14ac:dyDescent="0.25">
      <c r="A1148" s="37"/>
      <c r="B1148" s="37"/>
      <c r="C1148" s="37"/>
      <c r="D1148" s="37" t="s">
        <v>1425</v>
      </c>
      <c r="E1148" s="37"/>
    </row>
    <row r="1149" spans="1:5" ht="18.75" customHeight="1" x14ac:dyDescent="0.25">
      <c r="A1149" s="37"/>
      <c r="B1149" s="37"/>
      <c r="C1149" s="37"/>
      <c r="D1149" s="37" t="s">
        <v>1426</v>
      </c>
      <c r="E1149" s="37"/>
    </row>
    <row r="1150" spans="1:5" ht="18.75" customHeight="1" x14ac:dyDescent="0.25">
      <c r="A1150" s="37"/>
      <c r="B1150" s="37"/>
      <c r="C1150" s="37"/>
      <c r="D1150" s="37" t="s">
        <v>1427</v>
      </c>
      <c r="E1150" s="37"/>
    </row>
    <row r="1151" spans="1:5" ht="18.75" customHeight="1" x14ac:dyDescent="0.25">
      <c r="A1151" s="37"/>
      <c r="B1151" s="37"/>
      <c r="C1151" s="37"/>
      <c r="D1151" s="37" t="s">
        <v>1428</v>
      </c>
      <c r="E1151" s="37"/>
    </row>
    <row r="1152" spans="1:5" ht="18.75" customHeight="1" x14ac:dyDescent="0.25">
      <c r="A1152" s="37"/>
      <c r="B1152" s="37"/>
      <c r="C1152" s="37"/>
      <c r="D1152" s="37" t="s">
        <v>1429</v>
      </c>
      <c r="E1152" s="37"/>
    </row>
    <row r="1153" spans="1:5" ht="18.75" customHeight="1" x14ac:dyDescent="0.25">
      <c r="A1153" s="37"/>
      <c r="B1153" s="37"/>
      <c r="C1153" s="37"/>
      <c r="D1153" s="37" t="s">
        <v>1430</v>
      </c>
      <c r="E1153" s="37"/>
    </row>
    <row r="1154" spans="1:5" ht="18.75" customHeight="1" x14ac:dyDescent="0.25">
      <c r="A1154" s="37"/>
      <c r="B1154" s="37"/>
      <c r="C1154" s="37"/>
      <c r="D1154" s="37" t="s">
        <v>1431</v>
      </c>
      <c r="E1154" s="37"/>
    </row>
    <row r="1155" spans="1:5" ht="18.75" customHeight="1" x14ac:dyDescent="0.25">
      <c r="A1155" s="37"/>
      <c r="B1155" s="37"/>
      <c r="C1155" s="37"/>
      <c r="D1155" s="37" t="s">
        <v>1432</v>
      </c>
      <c r="E1155" s="37"/>
    </row>
    <row r="1156" spans="1:5" ht="18.75" customHeight="1" x14ac:dyDescent="0.25">
      <c r="A1156" s="37"/>
      <c r="B1156" s="37"/>
      <c r="C1156" s="37"/>
      <c r="D1156" s="37" t="s">
        <v>1433</v>
      </c>
      <c r="E1156" s="37"/>
    </row>
    <row r="1157" spans="1:5" ht="18.75" customHeight="1" x14ac:dyDescent="0.25">
      <c r="A1157" s="37"/>
      <c r="B1157" s="37"/>
      <c r="C1157" s="37"/>
      <c r="D1157" s="37" t="s">
        <v>1434</v>
      </c>
      <c r="E1157" s="37"/>
    </row>
    <row r="1158" spans="1:5" ht="18.75" customHeight="1" x14ac:dyDescent="0.25">
      <c r="A1158" s="37"/>
      <c r="B1158" s="37"/>
      <c r="C1158" s="37"/>
      <c r="D1158" s="37" t="s">
        <v>1435</v>
      </c>
      <c r="E1158" s="37"/>
    </row>
    <row r="1159" spans="1:5" ht="18.75" customHeight="1" x14ac:dyDescent="0.25">
      <c r="A1159" s="37"/>
      <c r="B1159" s="37"/>
      <c r="C1159" s="37"/>
      <c r="D1159" s="37" t="s">
        <v>1436</v>
      </c>
      <c r="E1159" s="37"/>
    </row>
    <row r="1160" spans="1:5" ht="18.75" customHeight="1" x14ac:dyDescent="0.25">
      <c r="A1160" s="37"/>
      <c r="B1160" s="37"/>
      <c r="C1160" s="37"/>
      <c r="D1160" s="37" t="s">
        <v>1437</v>
      </c>
      <c r="E1160" s="37"/>
    </row>
    <row r="1161" spans="1:5" ht="18.75" customHeight="1" x14ac:dyDescent="0.25">
      <c r="A1161" s="37"/>
      <c r="B1161" s="37"/>
      <c r="C1161" s="37"/>
      <c r="D1161" s="37" t="s">
        <v>1438</v>
      </c>
      <c r="E1161" s="37"/>
    </row>
    <row r="1162" spans="1:5" ht="18.75" customHeight="1" x14ac:dyDescent="0.25">
      <c r="A1162" s="37"/>
      <c r="B1162" s="37"/>
      <c r="C1162" s="37"/>
      <c r="D1162" s="37" t="s">
        <v>1439</v>
      </c>
      <c r="E1162" s="37"/>
    </row>
    <row r="1163" spans="1:5" ht="18.75" customHeight="1" x14ac:dyDescent="0.25">
      <c r="A1163" s="37"/>
      <c r="B1163" s="37"/>
      <c r="C1163" s="37"/>
      <c r="D1163" s="37" t="s">
        <v>1440</v>
      </c>
      <c r="E1163" s="37"/>
    </row>
    <row r="1164" spans="1:5" ht="18.75" customHeight="1" x14ac:dyDescent="0.25">
      <c r="A1164" s="37"/>
      <c r="B1164" s="37"/>
      <c r="C1164" s="37"/>
      <c r="D1164" s="37" t="s">
        <v>1441</v>
      </c>
      <c r="E1164" s="37"/>
    </row>
    <row r="1165" spans="1:5" ht="18.75" customHeight="1" x14ac:dyDescent="0.25">
      <c r="A1165" s="37"/>
      <c r="B1165" s="37"/>
      <c r="C1165" s="37"/>
      <c r="D1165" s="37" t="s">
        <v>1442</v>
      </c>
      <c r="E1165" s="37"/>
    </row>
    <row r="1166" spans="1:5" ht="18.75" customHeight="1" x14ac:dyDescent="0.25">
      <c r="A1166" s="37"/>
      <c r="B1166" s="37"/>
      <c r="C1166" s="37"/>
      <c r="D1166" s="37" t="s">
        <v>1443</v>
      </c>
      <c r="E1166" s="37"/>
    </row>
    <row r="1167" spans="1:5" ht="18.75" customHeight="1" x14ac:dyDescent="0.25">
      <c r="A1167" s="37"/>
      <c r="B1167" s="37"/>
      <c r="C1167" s="37"/>
      <c r="D1167" s="37" t="s">
        <v>1444</v>
      </c>
      <c r="E1167" s="37"/>
    </row>
    <row r="1168" spans="1:5" ht="18.75" customHeight="1" x14ac:dyDescent="0.25">
      <c r="A1168" s="37"/>
      <c r="B1168" s="37"/>
      <c r="C1168" s="37"/>
      <c r="D1168" s="37" t="s">
        <v>1445</v>
      </c>
      <c r="E1168" s="37"/>
    </row>
    <row r="1169" spans="1:5" ht="18.75" customHeight="1" x14ac:dyDescent="0.25">
      <c r="A1169" s="37"/>
      <c r="B1169" s="37"/>
      <c r="C1169" s="37"/>
      <c r="D1169" s="37" t="s">
        <v>1446</v>
      </c>
      <c r="E1169" s="37"/>
    </row>
    <row r="1170" spans="1:5" ht="18.75" customHeight="1" x14ac:dyDescent="0.25">
      <c r="A1170" s="37"/>
      <c r="B1170" s="37"/>
      <c r="C1170" s="37"/>
      <c r="D1170" s="37" t="s">
        <v>1447</v>
      </c>
      <c r="E1170" s="37"/>
    </row>
    <row r="1171" spans="1:5" ht="18.75" customHeight="1" x14ac:dyDescent="0.25">
      <c r="A1171" s="37"/>
      <c r="B1171" s="37"/>
      <c r="C1171" s="37"/>
      <c r="D1171" s="37" t="s">
        <v>1448</v>
      </c>
      <c r="E1171" s="37"/>
    </row>
    <row r="1172" spans="1:5" ht="18.75" customHeight="1" x14ac:dyDescent="0.25">
      <c r="A1172" s="37"/>
      <c r="B1172" s="37"/>
      <c r="C1172" s="37"/>
      <c r="D1172" s="37" t="s">
        <v>1449</v>
      </c>
      <c r="E1172" s="37"/>
    </row>
    <row r="1173" spans="1:5" ht="18.75" customHeight="1" x14ac:dyDescent="0.25">
      <c r="A1173" s="37"/>
      <c r="B1173" s="37"/>
      <c r="C1173" s="37"/>
      <c r="D1173" s="37" t="s">
        <v>1450</v>
      </c>
      <c r="E1173" s="37"/>
    </row>
    <row r="1174" spans="1:5" ht="18.75" customHeight="1" x14ac:dyDescent="0.25">
      <c r="A1174" s="37"/>
      <c r="B1174" s="37"/>
      <c r="C1174" s="37"/>
      <c r="D1174" s="37" t="s">
        <v>1451</v>
      </c>
      <c r="E1174" s="37"/>
    </row>
    <row r="1175" spans="1:5" ht="18.75" customHeight="1" x14ac:dyDescent="0.25">
      <c r="A1175" s="37"/>
      <c r="B1175" s="37"/>
      <c r="C1175" s="37"/>
      <c r="D1175" s="37" t="s">
        <v>1452</v>
      </c>
      <c r="E1175" s="37"/>
    </row>
    <row r="1176" spans="1:5" ht="18.75" customHeight="1" x14ac:dyDescent="0.25">
      <c r="A1176" s="37"/>
      <c r="B1176" s="37"/>
      <c r="C1176" s="37"/>
      <c r="D1176" s="37" t="s">
        <v>1453</v>
      </c>
      <c r="E1176" s="37"/>
    </row>
    <row r="1177" spans="1:5" ht="18.75" customHeight="1" x14ac:dyDescent="0.25">
      <c r="A1177" s="37"/>
      <c r="B1177" s="37"/>
      <c r="C1177" s="37"/>
      <c r="D1177" s="37" t="s">
        <v>1454</v>
      </c>
      <c r="E1177" s="37"/>
    </row>
    <row r="1178" spans="1:5" ht="18.75" customHeight="1" x14ac:dyDescent="0.25">
      <c r="A1178" s="37"/>
      <c r="B1178" s="37"/>
      <c r="C1178" s="37"/>
      <c r="D1178" s="37" t="s">
        <v>1455</v>
      </c>
      <c r="E1178" s="37"/>
    </row>
    <row r="1179" spans="1:5" ht="18.75" customHeight="1" x14ac:dyDescent="0.25">
      <c r="A1179" s="37"/>
      <c r="B1179" s="37"/>
      <c r="C1179" s="37"/>
      <c r="D1179" s="37" t="s">
        <v>1456</v>
      </c>
      <c r="E1179" s="37"/>
    </row>
    <row r="1180" spans="1:5" ht="18.75" customHeight="1" x14ac:dyDescent="0.25">
      <c r="A1180" s="37"/>
      <c r="B1180" s="37"/>
      <c r="C1180" s="37"/>
      <c r="D1180" s="37" t="s">
        <v>1457</v>
      </c>
      <c r="E1180" s="37"/>
    </row>
    <row r="1181" spans="1:5" ht="18.75" customHeight="1" x14ac:dyDescent="0.25">
      <c r="A1181" s="37"/>
      <c r="B1181" s="37"/>
      <c r="C1181" s="37"/>
      <c r="D1181" s="37" t="s">
        <v>1458</v>
      </c>
      <c r="E1181" s="37"/>
    </row>
    <row r="1182" spans="1:5" ht="18.75" customHeight="1" x14ac:dyDescent="0.25">
      <c r="A1182" s="37"/>
      <c r="B1182" s="37"/>
      <c r="C1182" s="37"/>
      <c r="D1182" s="37" t="s">
        <v>1459</v>
      </c>
      <c r="E1182" s="37"/>
    </row>
    <row r="1183" spans="1:5" ht="18.75" customHeight="1" x14ac:dyDescent="0.25">
      <c r="A1183" s="37"/>
      <c r="B1183" s="37"/>
      <c r="C1183" s="37"/>
      <c r="D1183" s="37" t="s">
        <v>1460</v>
      </c>
      <c r="E1183" s="37"/>
    </row>
    <row r="1184" spans="1:5" ht="18.75" customHeight="1" x14ac:dyDescent="0.25">
      <c r="A1184" s="37"/>
      <c r="B1184" s="37"/>
      <c r="C1184" s="37"/>
      <c r="D1184" s="37" t="s">
        <v>1461</v>
      </c>
      <c r="E1184" s="37"/>
    </row>
    <row r="1185" spans="1:5" ht="18.75" customHeight="1" x14ac:dyDescent="0.25">
      <c r="A1185" s="37"/>
      <c r="B1185" s="37"/>
      <c r="C1185" s="37"/>
      <c r="D1185" s="37" t="s">
        <v>1462</v>
      </c>
      <c r="E1185" s="37"/>
    </row>
    <row r="1186" spans="1:5" ht="18.75" customHeight="1" x14ac:dyDescent="0.25">
      <c r="A1186" s="37"/>
      <c r="B1186" s="37"/>
      <c r="C1186" s="37"/>
      <c r="D1186" s="37" t="s">
        <v>1463</v>
      </c>
      <c r="E1186" s="37"/>
    </row>
    <row r="1187" spans="1:5" ht="18.75" customHeight="1" x14ac:dyDescent="0.25">
      <c r="A1187" s="37"/>
      <c r="B1187" s="37"/>
      <c r="C1187" s="37"/>
      <c r="D1187" s="37" t="s">
        <v>1464</v>
      </c>
      <c r="E1187" s="37"/>
    </row>
    <row r="1188" spans="1:5" ht="18.75" customHeight="1" x14ac:dyDescent="0.25">
      <c r="A1188" s="37"/>
      <c r="B1188" s="37"/>
      <c r="C1188" s="37"/>
      <c r="D1188" s="37" t="s">
        <v>1465</v>
      </c>
      <c r="E1188" s="37"/>
    </row>
    <row r="1189" spans="1:5" ht="18.75" customHeight="1" x14ac:dyDescent="0.25">
      <c r="A1189" s="37"/>
      <c r="B1189" s="37"/>
      <c r="C1189" s="37"/>
      <c r="D1189" s="37" t="s">
        <v>1466</v>
      </c>
      <c r="E1189" s="37"/>
    </row>
    <row r="1190" spans="1:5" ht="18.75" customHeight="1" x14ac:dyDescent="0.25">
      <c r="A1190" s="37"/>
      <c r="B1190" s="37"/>
      <c r="C1190" s="37"/>
      <c r="D1190" s="37" t="s">
        <v>1467</v>
      </c>
      <c r="E1190" s="37"/>
    </row>
    <row r="1191" spans="1:5" ht="18.75" customHeight="1" x14ac:dyDescent="0.25">
      <c r="A1191" s="37"/>
      <c r="B1191" s="37"/>
      <c r="C1191" s="37"/>
      <c r="D1191" s="37" t="s">
        <v>1468</v>
      </c>
      <c r="E1191" s="37"/>
    </row>
    <row r="1192" spans="1:5" ht="18.75" customHeight="1" x14ac:dyDescent="0.25">
      <c r="A1192" s="37"/>
      <c r="B1192" s="37"/>
      <c r="C1192" s="37"/>
      <c r="D1192" s="37" t="s">
        <v>1469</v>
      </c>
      <c r="E1192" s="37"/>
    </row>
    <row r="1193" spans="1:5" ht="18.75" customHeight="1" x14ac:dyDescent="0.25">
      <c r="A1193" s="37"/>
      <c r="B1193" s="37"/>
      <c r="C1193" s="37"/>
      <c r="D1193" s="37" t="s">
        <v>1470</v>
      </c>
      <c r="E1193" s="37"/>
    </row>
    <row r="1194" spans="1:5" ht="18.75" customHeight="1" x14ac:dyDescent="0.25">
      <c r="A1194" s="37"/>
      <c r="B1194" s="37"/>
      <c r="C1194" s="37"/>
      <c r="D1194" s="37" t="s">
        <v>1471</v>
      </c>
      <c r="E1194" s="37"/>
    </row>
    <row r="1195" spans="1:5" ht="18.75" customHeight="1" x14ac:dyDescent="0.25">
      <c r="A1195" s="37"/>
      <c r="B1195" s="37"/>
      <c r="C1195" s="37"/>
      <c r="D1195" s="37" t="s">
        <v>1472</v>
      </c>
      <c r="E1195" s="37"/>
    </row>
    <row r="1196" spans="1:5" ht="18.75" customHeight="1" x14ac:dyDescent="0.25">
      <c r="A1196" s="37"/>
      <c r="B1196" s="37"/>
      <c r="C1196" s="37"/>
      <c r="D1196" s="37" t="s">
        <v>1473</v>
      </c>
      <c r="E1196" s="37"/>
    </row>
    <row r="1197" spans="1:5" ht="18.75" customHeight="1" x14ac:dyDescent="0.25">
      <c r="A1197" s="37"/>
      <c r="B1197" s="37"/>
      <c r="C1197" s="37"/>
      <c r="D1197" s="37" t="s">
        <v>1474</v>
      </c>
      <c r="E1197" s="37"/>
    </row>
    <row r="1198" spans="1:5" ht="18.75" customHeight="1" x14ac:dyDescent="0.25">
      <c r="A1198" s="37"/>
      <c r="B1198" s="37"/>
      <c r="C1198" s="37"/>
      <c r="D1198" s="37" t="s">
        <v>1475</v>
      </c>
      <c r="E1198" s="37"/>
    </row>
    <row r="1199" spans="1:5" ht="18.75" customHeight="1" x14ac:dyDescent="0.25">
      <c r="A1199" s="37"/>
      <c r="B1199" s="37"/>
      <c r="C1199" s="37"/>
      <c r="D1199" s="37" t="s">
        <v>1476</v>
      </c>
      <c r="E1199" s="37"/>
    </row>
    <row r="1200" spans="1:5" ht="18.75" customHeight="1" x14ac:dyDescent="0.25">
      <c r="A1200" s="37"/>
      <c r="B1200" s="37"/>
      <c r="C1200" s="37"/>
      <c r="D1200" s="37" t="s">
        <v>1477</v>
      </c>
      <c r="E1200" s="37"/>
    </row>
    <row r="1201" spans="1:5" ht="18.75" customHeight="1" x14ac:dyDescent="0.25">
      <c r="A1201" s="37"/>
      <c r="B1201" s="37"/>
      <c r="C1201" s="37"/>
      <c r="D1201" s="37" t="s">
        <v>1478</v>
      </c>
      <c r="E1201" s="37"/>
    </row>
    <row r="1202" spans="1:5" ht="18.75" customHeight="1" x14ac:dyDescent="0.25">
      <c r="A1202" s="37"/>
      <c r="B1202" s="37"/>
      <c r="C1202" s="37"/>
      <c r="D1202" s="37" t="s">
        <v>1479</v>
      </c>
      <c r="E1202" s="37"/>
    </row>
    <row r="1203" spans="1:5" ht="18.75" customHeight="1" x14ac:dyDescent="0.25">
      <c r="A1203" s="37"/>
      <c r="B1203" s="37"/>
      <c r="C1203" s="37"/>
      <c r="D1203" s="37" t="s">
        <v>1480</v>
      </c>
      <c r="E1203" s="37"/>
    </row>
    <row r="1204" spans="1:5" ht="18.75" customHeight="1" x14ac:dyDescent="0.25">
      <c r="A1204" s="37"/>
      <c r="B1204" s="37"/>
      <c r="C1204" s="37"/>
      <c r="D1204" s="37" t="s">
        <v>1481</v>
      </c>
      <c r="E1204" s="37"/>
    </row>
    <row r="1205" spans="1:5" ht="18.75" customHeight="1" x14ac:dyDescent="0.25">
      <c r="A1205" s="37"/>
      <c r="B1205" s="37"/>
      <c r="C1205" s="37"/>
      <c r="D1205" s="37" t="s">
        <v>1482</v>
      </c>
      <c r="E1205" s="37"/>
    </row>
    <row r="1206" spans="1:5" ht="18.75" customHeight="1" x14ac:dyDescent="0.25">
      <c r="A1206" s="37"/>
      <c r="B1206" s="37"/>
      <c r="C1206" s="37"/>
      <c r="D1206" s="37" t="s">
        <v>1483</v>
      </c>
      <c r="E1206" s="37"/>
    </row>
    <row r="1207" spans="1:5" ht="18.75" customHeight="1" x14ac:dyDescent="0.25">
      <c r="A1207" s="37"/>
      <c r="B1207" s="37"/>
      <c r="C1207" s="37"/>
      <c r="D1207" s="37" t="s">
        <v>1484</v>
      </c>
      <c r="E1207" s="37"/>
    </row>
    <row r="1208" spans="1:5" ht="18.75" customHeight="1" x14ac:dyDescent="0.25">
      <c r="A1208" s="37"/>
      <c r="B1208" s="37"/>
      <c r="C1208" s="37"/>
      <c r="D1208" s="37" t="s">
        <v>1485</v>
      </c>
      <c r="E1208" s="37"/>
    </row>
    <row r="1209" spans="1:5" ht="18.75" customHeight="1" x14ac:dyDescent="0.25">
      <c r="A1209" s="37"/>
      <c r="B1209" s="37"/>
      <c r="C1209" s="37"/>
      <c r="D1209" s="37" t="s">
        <v>1486</v>
      </c>
      <c r="E1209" s="37"/>
    </row>
    <row r="1210" spans="1:5" ht="18.75" customHeight="1" x14ac:dyDescent="0.25">
      <c r="A1210" s="37"/>
      <c r="B1210" s="37"/>
      <c r="C1210" s="37"/>
      <c r="D1210" s="37" t="s">
        <v>1487</v>
      </c>
      <c r="E1210" s="37"/>
    </row>
    <row r="1211" spans="1:5" ht="18.75" customHeight="1" x14ac:dyDescent="0.25">
      <c r="A1211" s="37"/>
      <c r="B1211" s="37"/>
      <c r="C1211" s="37"/>
      <c r="D1211" s="37" t="s">
        <v>1488</v>
      </c>
      <c r="E1211" s="37"/>
    </row>
    <row r="1212" spans="1:5" ht="18.75" customHeight="1" x14ac:dyDescent="0.25">
      <c r="A1212" s="37"/>
      <c r="B1212" s="37"/>
      <c r="C1212" s="37"/>
      <c r="D1212" s="37" t="s">
        <v>1489</v>
      </c>
      <c r="E1212" s="37"/>
    </row>
    <row r="1213" spans="1:5" ht="18.75" customHeight="1" x14ac:dyDescent="0.25">
      <c r="A1213" s="37"/>
      <c r="B1213" s="37"/>
      <c r="C1213" s="37"/>
      <c r="D1213" s="37" t="s">
        <v>1490</v>
      </c>
      <c r="E1213" s="37"/>
    </row>
    <row r="1214" spans="1:5" ht="18.75" customHeight="1" x14ac:dyDescent="0.25">
      <c r="A1214" s="37"/>
      <c r="B1214" s="37"/>
      <c r="C1214" s="37"/>
      <c r="D1214" s="37" t="s">
        <v>1491</v>
      </c>
      <c r="E1214" s="37"/>
    </row>
    <row r="1215" spans="1:5" ht="18.75" customHeight="1" x14ac:dyDescent="0.25">
      <c r="A1215" s="37"/>
      <c r="B1215" s="37"/>
      <c r="C1215" s="37"/>
      <c r="D1215" s="37" t="s">
        <v>1492</v>
      </c>
      <c r="E1215" s="37"/>
    </row>
    <row r="1216" spans="1:5" ht="18.75" customHeight="1" x14ac:dyDescent="0.25">
      <c r="A1216" s="37"/>
      <c r="B1216" s="37"/>
      <c r="C1216" s="37"/>
      <c r="D1216" s="37" t="s">
        <v>1493</v>
      </c>
      <c r="E1216" s="37"/>
    </row>
    <row r="1217" spans="1:5" ht="18.75" customHeight="1" x14ac:dyDescent="0.25">
      <c r="A1217" s="37"/>
      <c r="B1217" s="37"/>
      <c r="C1217" s="37"/>
      <c r="D1217" s="37" t="s">
        <v>1494</v>
      </c>
      <c r="E1217" s="37"/>
    </row>
    <row r="1218" spans="1:5" ht="18.75" customHeight="1" x14ac:dyDescent="0.25">
      <c r="A1218" s="37"/>
      <c r="B1218" s="37"/>
      <c r="C1218" s="37"/>
      <c r="D1218" s="37" t="s">
        <v>1495</v>
      </c>
      <c r="E1218" s="37"/>
    </row>
    <row r="1219" spans="1:5" ht="18.75" customHeight="1" x14ac:dyDescent="0.25">
      <c r="A1219" s="37"/>
      <c r="B1219" s="37"/>
      <c r="C1219" s="37"/>
      <c r="D1219" s="37" t="s">
        <v>1496</v>
      </c>
      <c r="E1219" s="37"/>
    </row>
    <row r="1220" spans="1:5" ht="18.75" customHeight="1" x14ac:dyDescent="0.25">
      <c r="A1220" s="37"/>
      <c r="B1220" s="37"/>
      <c r="C1220" s="37"/>
      <c r="D1220" s="37" t="s">
        <v>1497</v>
      </c>
      <c r="E1220" s="37"/>
    </row>
    <row r="1221" spans="1:5" ht="18.75" customHeight="1" x14ac:dyDescent="0.25">
      <c r="A1221" s="37"/>
      <c r="B1221" s="37"/>
      <c r="C1221" s="37"/>
      <c r="D1221" s="37" t="s">
        <v>1498</v>
      </c>
      <c r="E1221" s="37"/>
    </row>
    <row r="1222" spans="1:5" ht="18.75" customHeight="1" x14ac:dyDescent="0.25">
      <c r="A1222" s="37"/>
      <c r="B1222" s="37"/>
      <c r="C1222" s="37"/>
      <c r="D1222" s="37" t="s">
        <v>1499</v>
      </c>
      <c r="E1222" s="37"/>
    </row>
    <row r="1223" spans="1:5" ht="18.75" customHeight="1" x14ac:dyDescent="0.25">
      <c r="A1223" s="37"/>
      <c r="B1223" s="37"/>
      <c r="C1223" s="37"/>
      <c r="D1223" s="37" t="s">
        <v>1500</v>
      </c>
      <c r="E1223" s="37"/>
    </row>
    <row r="1224" spans="1:5" ht="18.75" customHeight="1" x14ac:dyDescent="0.25">
      <c r="A1224" s="37"/>
      <c r="B1224" s="37"/>
      <c r="C1224" s="37"/>
      <c r="D1224" s="37" t="s">
        <v>1501</v>
      </c>
      <c r="E1224" s="37"/>
    </row>
    <row r="1225" spans="1:5" ht="18.75" customHeight="1" x14ac:dyDescent="0.25">
      <c r="A1225" s="37"/>
      <c r="B1225" s="37"/>
      <c r="C1225" s="37"/>
      <c r="D1225" s="37" t="s">
        <v>1502</v>
      </c>
      <c r="E1225" s="37"/>
    </row>
    <row r="1226" spans="1:5" ht="18.75" customHeight="1" x14ac:dyDescent="0.25">
      <c r="A1226" s="37"/>
      <c r="B1226" s="37"/>
      <c r="C1226" s="37"/>
      <c r="D1226" s="37" t="s">
        <v>1503</v>
      </c>
      <c r="E1226" s="37"/>
    </row>
    <row r="1227" spans="1:5" ht="18.75" customHeight="1" x14ac:dyDescent="0.25">
      <c r="A1227" s="37"/>
      <c r="B1227" s="37"/>
      <c r="C1227" s="37"/>
      <c r="D1227" s="37" t="s">
        <v>1504</v>
      </c>
      <c r="E1227" s="37"/>
    </row>
    <row r="1228" spans="1:5" ht="18.75" customHeight="1" x14ac:dyDescent="0.25">
      <c r="A1228" s="37"/>
      <c r="B1228" s="37"/>
      <c r="C1228" s="37"/>
      <c r="D1228" s="37" t="s">
        <v>1505</v>
      </c>
      <c r="E1228" s="37"/>
    </row>
    <row r="1229" spans="1:5" ht="18.75" customHeight="1" x14ac:dyDescent="0.25">
      <c r="A1229" s="37"/>
      <c r="B1229" s="37"/>
      <c r="C1229" s="37"/>
      <c r="D1229" s="37" t="s">
        <v>1506</v>
      </c>
      <c r="E1229" s="37"/>
    </row>
    <row r="1230" spans="1:5" ht="18.75" customHeight="1" x14ac:dyDescent="0.25">
      <c r="A1230" s="37"/>
      <c r="B1230" s="37"/>
      <c r="C1230" s="37"/>
      <c r="D1230" s="37" t="s">
        <v>1507</v>
      </c>
      <c r="E1230" s="37"/>
    </row>
    <row r="1231" spans="1:5" ht="18.75" customHeight="1" x14ac:dyDescent="0.25">
      <c r="A1231" s="37"/>
      <c r="B1231" s="37"/>
      <c r="C1231" s="37"/>
      <c r="D1231" s="37" t="s">
        <v>1508</v>
      </c>
      <c r="E1231" s="37"/>
    </row>
    <row r="1232" spans="1:5" ht="18.75" customHeight="1" x14ac:dyDescent="0.25">
      <c r="A1232" s="37"/>
      <c r="B1232" s="37"/>
      <c r="C1232" s="37"/>
      <c r="D1232" s="37" t="s">
        <v>1509</v>
      </c>
      <c r="E1232" s="37"/>
    </row>
    <row r="1233" spans="1:5" ht="18.75" customHeight="1" x14ac:dyDescent="0.25">
      <c r="A1233" s="37"/>
      <c r="B1233" s="37"/>
      <c r="C1233" s="37"/>
      <c r="D1233" s="37" t="s">
        <v>1510</v>
      </c>
      <c r="E1233" s="37"/>
    </row>
    <row r="1234" spans="1:5" ht="18.75" customHeight="1" x14ac:dyDescent="0.25">
      <c r="A1234" s="37"/>
      <c r="B1234" s="37"/>
      <c r="C1234" s="37"/>
      <c r="D1234" s="37" t="s">
        <v>1511</v>
      </c>
      <c r="E1234" s="37"/>
    </row>
    <row r="1235" spans="1:5" ht="18.75" customHeight="1" x14ac:dyDescent="0.25">
      <c r="A1235" s="37"/>
      <c r="B1235" s="37"/>
      <c r="C1235" s="37"/>
      <c r="D1235" s="37" t="s">
        <v>1512</v>
      </c>
      <c r="E1235" s="37"/>
    </row>
    <row r="1236" spans="1:5" ht="18.75" customHeight="1" x14ac:dyDescent="0.25">
      <c r="A1236" s="37"/>
      <c r="B1236" s="37"/>
      <c r="C1236" s="37"/>
      <c r="D1236" s="37" t="s">
        <v>1513</v>
      </c>
      <c r="E1236" s="37"/>
    </row>
    <row r="1237" spans="1:5" ht="18.75" customHeight="1" x14ac:dyDescent="0.25">
      <c r="A1237" s="37"/>
      <c r="B1237" s="37"/>
      <c r="C1237" s="37"/>
      <c r="D1237" s="37" t="s">
        <v>1514</v>
      </c>
      <c r="E1237" s="37"/>
    </row>
    <row r="1238" spans="1:5" ht="18.75" customHeight="1" x14ac:dyDescent="0.25">
      <c r="A1238" s="37"/>
      <c r="B1238" s="37"/>
      <c r="C1238" s="37"/>
      <c r="D1238" s="37" t="s">
        <v>1515</v>
      </c>
      <c r="E1238" s="37"/>
    </row>
    <row r="1239" spans="1:5" ht="18.75" customHeight="1" x14ac:dyDescent="0.25">
      <c r="A1239" s="37"/>
      <c r="B1239" s="37"/>
      <c r="C1239" s="37"/>
      <c r="D1239" s="37" t="s">
        <v>1516</v>
      </c>
      <c r="E1239" s="37"/>
    </row>
    <row r="1240" spans="1:5" ht="18.75" customHeight="1" x14ac:dyDescent="0.25">
      <c r="A1240" s="37"/>
      <c r="B1240" s="37"/>
      <c r="C1240" s="37"/>
      <c r="D1240" s="37" t="s">
        <v>1517</v>
      </c>
      <c r="E1240" s="37"/>
    </row>
    <row r="1241" spans="1:5" ht="18.75" customHeight="1" x14ac:dyDescent="0.25">
      <c r="A1241" s="37"/>
      <c r="B1241" s="37"/>
      <c r="C1241" s="37"/>
      <c r="D1241" s="37" t="s">
        <v>1518</v>
      </c>
      <c r="E1241" s="37"/>
    </row>
    <row r="1242" spans="1:5" ht="18.75" customHeight="1" x14ac:dyDescent="0.25">
      <c r="A1242" s="37"/>
      <c r="B1242" s="37"/>
      <c r="C1242" s="37"/>
      <c r="D1242" s="37" t="s">
        <v>1519</v>
      </c>
      <c r="E1242" s="37"/>
    </row>
    <row r="1243" spans="1:5" ht="18.75" customHeight="1" x14ac:dyDescent="0.25">
      <c r="A1243" s="37"/>
      <c r="B1243" s="37"/>
      <c r="C1243" s="37"/>
      <c r="D1243" s="37" t="s">
        <v>1520</v>
      </c>
      <c r="E1243" s="37"/>
    </row>
    <row r="1244" spans="1:5" ht="18.75" customHeight="1" x14ac:dyDescent="0.25">
      <c r="A1244" s="37"/>
      <c r="B1244" s="37"/>
      <c r="C1244" s="37"/>
      <c r="D1244" s="37" t="s">
        <v>1521</v>
      </c>
      <c r="E1244" s="37"/>
    </row>
    <row r="1245" spans="1:5" ht="18.75" customHeight="1" x14ac:dyDescent="0.25">
      <c r="A1245" s="37"/>
      <c r="B1245" s="37"/>
      <c r="C1245" s="37"/>
      <c r="D1245" s="37" t="s">
        <v>1522</v>
      </c>
      <c r="E1245" s="37"/>
    </row>
    <row r="1246" spans="1:5" ht="18.75" customHeight="1" x14ac:dyDescent="0.25">
      <c r="A1246" s="37"/>
      <c r="B1246" s="37"/>
      <c r="C1246" s="37"/>
      <c r="D1246" s="37" t="s">
        <v>1523</v>
      </c>
      <c r="E1246" s="37"/>
    </row>
    <row r="1247" spans="1:5" ht="18.75" customHeight="1" x14ac:dyDescent="0.25">
      <c r="A1247" s="37"/>
      <c r="B1247" s="37"/>
      <c r="C1247" s="37"/>
      <c r="D1247" s="37" t="s">
        <v>1524</v>
      </c>
      <c r="E1247" s="37"/>
    </row>
    <row r="1248" spans="1:5" ht="18.75" customHeight="1" x14ac:dyDescent="0.25">
      <c r="A1248" s="37"/>
      <c r="B1248" s="37"/>
      <c r="C1248" s="37"/>
      <c r="D1248" s="37" t="s">
        <v>1525</v>
      </c>
      <c r="E1248" s="37"/>
    </row>
    <row r="1249" spans="1:5" ht="18.75" customHeight="1" x14ac:dyDescent="0.25">
      <c r="A1249" s="37"/>
      <c r="B1249" s="37"/>
      <c r="C1249" s="37"/>
      <c r="D1249" s="37" t="s">
        <v>1526</v>
      </c>
      <c r="E1249" s="37"/>
    </row>
    <row r="1250" spans="1:5" ht="18.75" customHeight="1" x14ac:dyDescent="0.25">
      <c r="A1250" s="37"/>
      <c r="B1250" s="37"/>
      <c r="C1250" s="37"/>
      <c r="D1250" s="37" t="s">
        <v>1527</v>
      </c>
      <c r="E1250" s="37"/>
    </row>
    <row r="1251" spans="1:5" ht="18.75" customHeight="1" x14ac:dyDescent="0.25">
      <c r="A1251" s="37"/>
      <c r="B1251" s="37"/>
      <c r="C1251" s="37"/>
      <c r="D1251" s="37" t="s">
        <v>1528</v>
      </c>
      <c r="E1251" s="37"/>
    </row>
    <row r="1252" spans="1:5" ht="18.75" customHeight="1" x14ac:dyDescent="0.25">
      <c r="A1252" s="37"/>
      <c r="B1252" s="37"/>
      <c r="C1252" s="37"/>
      <c r="D1252" s="37" t="s">
        <v>1529</v>
      </c>
      <c r="E1252" s="37"/>
    </row>
    <row r="1253" spans="1:5" ht="18.75" customHeight="1" x14ac:dyDescent="0.25">
      <c r="A1253" s="37"/>
      <c r="B1253" s="37"/>
      <c r="C1253" s="37"/>
      <c r="D1253" s="37" t="s">
        <v>1530</v>
      </c>
      <c r="E1253" s="37"/>
    </row>
    <row r="1254" spans="1:5" ht="18.75" customHeight="1" x14ac:dyDescent="0.25">
      <c r="A1254" s="37"/>
      <c r="B1254" s="37"/>
      <c r="C1254" s="37"/>
      <c r="D1254" s="37" t="s">
        <v>1531</v>
      </c>
      <c r="E1254" s="37"/>
    </row>
    <row r="1255" spans="1:5" ht="18.75" customHeight="1" x14ac:dyDescent="0.25">
      <c r="A1255" s="37"/>
      <c r="B1255" s="37"/>
      <c r="C1255" s="37"/>
      <c r="D1255" s="37" t="s">
        <v>1532</v>
      </c>
      <c r="E1255" s="37"/>
    </row>
    <row r="1256" spans="1:5" ht="18.75" customHeight="1" x14ac:dyDescent="0.25">
      <c r="A1256" s="37"/>
      <c r="B1256" s="37"/>
      <c r="C1256" s="37"/>
      <c r="D1256" s="37" t="s">
        <v>1533</v>
      </c>
      <c r="E1256" s="37"/>
    </row>
    <row r="1257" spans="1:5" ht="18.75" customHeight="1" x14ac:dyDescent="0.25">
      <c r="A1257" s="37"/>
      <c r="B1257" s="37"/>
      <c r="C1257" s="37"/>
      <c r="D1257" s="37" t="s">
        <v>1534</v>
      </c>
      <c r="E1257" s="37"/>
    </row>
    <row r="1258" spans="1:5" ht="18.75" customHeight="1" x14ac:dyDescent="0.25">
      <c r="A1258" s="37"/>
      <c r="B1258" s="37"/>
      <c r="C1258" s="37"/>
      <c r="D1258" s="37" t="s">
        <v>1535</v>
      </c>
      <c r="E1258" s="37"/>
    </row>
    <row r="1259" spans="1:5" ht="18.75" customHeight="1" x14ac:dyDescent="0.25">
      <c r="A1259" s="37"/>
      <c r="B1259" s="37"/>
      <c r="C1259" s="37"/>
      <c r="D1259" s="37" t="s">
        <v>1536</v>
      </c>
      <c r="E1259" s="37"/>
    </row>
    <row r="1260" spans="1:5" ht="18.75" customHeight="1" x14ac:dyDescent="0.25">
      <c r="A1260" s="37"/>
      <c r="B1260" s="37"/>
      <c r="C1260" s="37"/>
      <c r="D1260" s="37" t="s">
        <v>1537</v>
      </c>
      <c r="E1260" s="37"/>
    </row>
    <row r="1261" spans="1:5" ht="18.75" customHeight="1" x14ac:dyDescent="0.25">
      <c r="A1261" s="37"/>
      <c r="B1261" s="37"/>
      <c r="C1261" s="37"/>
      <c r="D1261" s="37" t="s">
        <v>1538</v>
      </c>
      <c r="E1261" s="37"/>
    </row>
    <row r="1262" spans="1:5" ht="18.75" customHeight="1" x14ac:dyDescent="0.25">
      <c r="A1262" s="37"/>
      <c r="B1262" s="37"/>
      <c r="C1262" s="37"/>
      <c r="D1262" s="37" t="s">
        <v>1539</v>
      </c>
      <c r="E1262" s="37"/>
    </row>
    <row r="1263" spans="1:5" ht="18.75" customHeight="1" x14ac:dyDescent="0.25">
      <c r="A1263" s="37"/>
      <c r="B1263" s="37"/>
      <c r="C1263" s="37"/>
      <c r="D1263" s="37" t="s">
        <v>1540</v>
      </c>
      <c r="E1263" s="37"/>
    </row>
    <row r="1264" spans="1:5" ht="18.75" customHeight="1" x14ac:dyDescent="0.25">
      <c r="A1264" s="37"/>
      <c r="B1264" s="37"/>
      <c r="C1264" s="37"/>
      <c r="D1264" s="37" t="s">
        <v>1541</v>
      </c>
      <c r="E1264" s="37"/>
    </row>
    <row r="1265" spans="1:5" ht="18.75" customHeight="1" x14ac:dyDescent="0.25">
      <c r="A1265" s="37"/>
      <c r="B1265" s="37"/>
      <c r="C1265" s="37"/>
      <c r="D1265" s="37" t="s">
        <v>1542</v>
      </c>
      <c r="E1265" s="37"/>
    </row>
    <row r="1266" spans="1:5" ht="18.75" customHeight="1" x14ac:dyDescent="0.25">
      <c r="A1266" s="37"/>
      <c r="B1266" s="37"/>
      <c r="C1266" s="37"/>
      <c r="D1266" s="37" t="s">
        <v>1543</v>
      </c>
      <c r="E1266" s="37"/>
    </row>
    <row r="1267" spans="1:5" ht="18.75" customHeight="1" x14ac:dyDescent="0.25">
      <c r="A1267" s="37"/>
      <c r="B1267" s="37"/>
      <c r="C1267" s="37"/>
      <c r="D1267" s="37" t="s">
        <v>1544</v>
      </c>
      <c r="E1267" s="37"/>
    </row>
    <row r="1268" spans="1:5" ht="18.75" customHeight="1" x14ac:dyDescent="0.25">
      <c r="A1268" s="37"/>
      <c r="B1268" s="37"/>
      <c r="C1268" s="37"/>
      <c r="D1268" s="37" t="s">
        <v>1545</v>
      </c>
      <c r="E1268" s="37"/>
    </row>
    <row r="1269" spans="1:5" ht="18.75" customHeight="1" x14ac:dyDescent="0.25">
      <c r="A1269" s="37"/>
      <c r="B1269" s="37"/>
      <c r="C1269" s="37"/>
      <c r="D1269" s="37" t="s">
        <v>1546</v>
      </c>
      <c r="E1269" s="37"/>
    </row>
    <row r="1270" spans="1:5" ht="18.75" customHeight="1" x14ac:dyDescent="0.25">
      <c r="A1270" s="37"/>
      <c r="B1270" s="37"/>
      <c r="C1270" s="37"/>
      <c r="D1270" s="37" t="s">
        <v>1547</v>
      </c>
      <c r="E1270" s="37"/>
    </row>
    <row r="1271" spans="1:5" ht="18.75" customHeight="1" x14ac:dyDescent="0.25">
      <c r="A1271" s="37"/>
      <c r="B1271" s="37"/>
      <c r="C1271" s="37"/>
      <c r="D1271" s="37" t="s">
        <v>1548</v>
      </c>
      <c r="E1271" s="37"/>
    </row>
    <row r="1272" spans="1:5" ht="18.75" customHeight="1" x14ac:dyDescent="0.25">
      <c r="A1272" s="37"/>
      <c r="B1272" s="37"/>
      <c r="C1272" s="37"/>
      <c r="D1272" s="37" t="s">
        <v>1549</v>
      </c>
      <c r="E1272" s="37"/>
    </row>
    <row r="1273" spans="1:5" ht="18.75" customHeight="1" x14ac:dyDescent="0.25">
      <c r="A1273" s="37"/>
      <c r="B1273" s="37"/>
      <c r="C1273" s="37"/>
      <c r="D1273" s="37" t="s">
        <v>1550</v>
      </c>
      <c r="E1273" s="37"/>
    </row>
    <row r="1274" spans="1:5" ht="18.75" customHeight="1" x14ac:dyDescent="0.25">
      <c r="A1274" s="37"/>
      <c r="B1274" s="37"/>
      <c r="C1274" s="37"/>
      <c r="D1274" s="37" t="s">
        <v>1551</v>
      </c>
      <c r="E1274" s="37"/>
    </row>
    <row r="1275" spans="1:5" ht="18.75" customHeight="1" x14ac:dyDescent="0.25">
      <c r="A1275" s="37"/>
      <c r="B1275" s="37"/>
      <c r="C1275" s="37"/>
      <c r="D1275" s="37" t="s">
        <v>1552</v>
      </c>
      <c r="E1275" s="37"/>
    </row>
    <row r="1276" spans="1:5" ht="18.75" customHeight="1" x14ac:dyDescent="0.25">
      <c r="A1276" s="37"/>
      <c r="B1276" s="37"/>
      <c r="C1276" s="37"/>
      <c r="D1276" s="37" t="s">
        <v>1553</v>
      </c>
      <c r="E1276" s="37"/>
    </row>
    <row r="1277" spans="1:5" ht="18.75" customHeight="1" x14ac:dyDescent="0.25">
      <c r="A1277" s="37"/>
      <c r="B1277" s="37"/>
      <c r="C1277" s="37"/>
      <c r="D1277" s="37" t="s">
        <v>1554</v>
      </c>
      <c r="E1277" s="37"/>
    </row>
    <row r="1278" spans="1:5" ht="18.75" customHeight="1" x14ac:dyDescent="0.25">
      <c r="A1278" s="37"/>
      <c r="B1278" s="37"/>
      <c r="C1278" s="37"/>
      <c r="D1278" s="37" t="s">
        <v>1555</v>
      </c>
      <c r="E1278" s="37"/>
    </row>
    <row r="1279" spans="1:5" ht="18.75" customHeight="1" x14ac:dyDescent="0.25">
      <c r="A1279" s="37"/>
      <c r="B1279" s="37"/>
      <c r="C1279" s="37"/>
      <c r="D1279" s="37" t="s">
        <v>1556</v>
      </c>
      <c r="E1279" s="37"/>
    </row>
    <row r="1280" spans="1:5" ht="18.75" customHeight="1" x14ac:dyDescent="0.25">
      <c r="A1280" s="37"/>
      <c r="B1280" s="37"/>
      <c r="C1280" s="37"/>
      <c r="D1280" s="37" t="s">
        <v>1557</v>
      </c>
      <c r="E1280" s="37"/>
    </row>
    <row r="1281" spans="1:5" ht="18.75" customHeight="1" x14ac:dyDescent="0.25">
      <c r="A1281" s="37"/>
      <c r="B1281" s="37"/>
      <c r="C1281" s="37"/>
      <c r="D1281" s="37" t="s">
        <v>1558</v>
      </c>
      <c r="E1281" s="37"/>
    </row>
    <row r="1282" spans="1:5" ht="18.75" customHeight="1" x14ac:dyDescent="0.25">
      <c r="A1282" s="37"/>
      <c r="B1282" s="37"/>
      <c r="C1282" s="37"/>
      <c r="D1282" s="37" t="s">
        <v>1559</v>
      </c>
      <c r="E1282" s="37"/>
    </row>
    <row r="1283" spans="1:5" ht="18.75" customHeight="1" x14ac:dyDescent="0.25">
      <c r="A1283" s="37"/>
      <c r="B1283" s="37"/>
      <c r="C1283" s="37"/>
      <c r="D1283" s="37" t="s">
        <v>1560</v>
      </c>
      <c r="E1283" s="37"/>
    </row>
    <row r="1284" spans="1:5" ht="18.75" customHeight="1" x14ac:dyDescent="0.25">
      <c r="A1284" s="37"/>
      <c r="B1284" s="37"/>
      <c r="C1284" s="37"/>
      <c r="D1284" s="37" t="s">
        <v>1561</v>
      </c>
      <c r="E1284" s="37"/>
    </row>
    <row r="1285" spans="1:5" ht="18.75" customHeight="1" x14ac:dyDescent="0.25">
      <c r="A1285" s="37"/>
      <c r="B1285" s="37"/>
      <c r="C1285" s="37"/>
      <c r="D1285" s="37" t="s">
        <v>1562</v>
      </c>
      <c r="E1285" s="37"/>
    </row>
    <row r="1286" spans="1:5" ht="18.75" customHeight="1" x14ac:dyDescent="0.25">
      <c r="A1286" s="37"/>
      <c r="B1286" s="37"/>
      <c r="C1286" s="37"/>
      <c r="D1286" s="37" t="s">
        <v>1563</v>
      </c>
      <c r="E1286" s="37"/>
    </row>
    <row r="1287" spans="1:5" ht="18.75" customHeight="1" x14ac:dyDescent="0.25">
      <c r="A1287" s="37"/>
      <c r="B1287" s="37"/>
      <c r="C1287" s="37"/>
      <c r="D1287" s="37" t="s">
        <v>1564</v>
      </c>
      <c r="E1287" s="37"/>
    </row>
    <row r="1288" spans="1:5" ht="18.75" customHeight="1" x14ac:dyDescent="0.25">
      <c r="A1288" s="37"/>
      <c r="B1288" s="37"/>
      <c r="C1288" s="37"/>
      <c r="D1288" s="37" t="s">
        <v>1565</v>
      </c>
      <c r="E1288" s="37"/>
    </row>
    <row r="1289" spans="1:5" ht="18.75" customHeight="1" x14ac:dyDescent="0.25">
      <c r="A1289" s="37"/>
      <c r="B1289" s="37"/>
      <c r="C1289" s="37"/>
      <c r="D1289" s="37" t="s">
        <v>1566</v>
      </c>
      <c r="E1289" s="37"/>
    </row>
    <row r="1290" spans="1:5" ht="18.75" customHeight="1" x14ac:dyDescent="0.25">
      <c r="A1290" s="37"/>
      <c r="B1290" s="37"/>
      <c r="C1290" s="37"/>
      <c r="D1290" s="37" t="s">
        <v>1567</v>
      </c>
      <c r="E1290" s="37"/>
    </row>
    <row r="1291" spans="1:5" ht="18.75" customHeight="1" x14ac:dyDescent="0.25">
      <c r="A1291" s="37"/>
      <c r="B1291" s="37"/>
      <c r="C1291" s="37"/>
      <c r="D1291" s="37" t="s">
        <v>1568</v>
      </c>
      <c r="E1291" s="37"/>
    </row>
    <row r="1292" spans="1:5" ht="18.75" customHeight="1" x14ac:dyDescent="0.25">
      <c r="A1292" s="37"/>
      <c r="B1292" s="37"/>
      <c r="C1292" s="37"/>
      <c r="D1292" s="37" t="s">
        <v>1569</v>
      </c>
      <c r="E1292" s="37"/>
    </row>
    <row r="1293" spans="1:5" ht="18.75" customHeight="1" x14ac:dyDescent="0.25">
      <c r="A1293" s="37"/>
      <c r="B1293" s="37"/>
      <c r="C1293" s="37"/>
      <c r="D1293" s="37" t="s">
        <v>1570</v>
      </c>
      <c r="E1293" s="37"/>
    </row>
    <row r="1294" spans="1:5" ht="18.75" customHeight="1" x14ac:dyDescent="0.25">
      <c r="A1294" s="37"/>
      <c r="B1294" s="37"/>
      <c r="C1294" s="37"/>
      <c r="D1294" s="37" t="s">
        <v>1571</v>
      </c>
      <c r="E1294" s="37"/>
    </row>
    <row r="1295" spans="1:5" ht="18.75" customHeight="1" x14ac:dyDescent="0.25">
      <c r="A1295" s="37"/>
      <c r="B1295" s="37"/>
      <c r="C1295" s="37"/>
      <c r="D1295" s="37" t="s">
        <v>1572</v>
      </c>
      <c r="E1295" s="37"/>
    </row>
    <row r="1296" spans="1:5" ht="18.75" customHeight="1" x14ac:dyDescent="0.25">
      <c r="A1296" s="37"/>
      <c r="B1296" s="37"/>
      <c r="C1296" s="37"/>
      <c r="D1296" s="37" t="s">
        <v>1573</v>
      </c>
      <c r="E1296" s="37"/>
    </row>
    <row r="1297" spans="1:5" ht="18.75" customHeight="1" x14ac:dyDescent="0.25">
      <c r="A1297" s="37"/>
      <c r="B1297" s="37"/>
      <c r="C1297" s="37"/>
      <c r="D1297" s="37" t="s">
        <v>1574</v>
      </c>
      <c r="E1297" s="37"/>
    </row>
    <row r="1298" spans="1:5" ht="18.75" customHeight="1" x14ac:dyDescent="0.25">
      <c r="A1298" s="37"/>
      <c r="B1298" s="37"/>
      <c r="C1298" s="37"/>
      <c r="D1298" s="37" t="s">
        <v>1575</v>
      </c>
      <c r="E1298" s="37"/>
    </row>
    <row r="1299" spans="1:5" ht="18.75" customHeight="1" x14ac:dyDescent="0.25">
      <c r="A1299" s="37"/>
      <c r="B1299" s="37"/>
      <c r="C1299" s="37"/>
      <c r="D1299" s="37" t="s">
        <v>1576</v>
      </c>
      <c r="E1299" s="37"/>
    </row>
    <row r="1300" spans="1:5" ht="18.75" customHeight="1" x14ac:dyDescent="0.25">
      <c r="A1300" s="37"/>
      <c r="B1300" s="37"/>
      <c r="C1300" s="37"/>
      <c r="D1300" s="37" t="s">
        <v>1577</v>
      </c>
      <c r="E1300" s="37"/>
    </row>
    <row r="1301" spans="1:5" ht="18.75" customHeight="1" x14ac:dyDescent="0.25">
      <c r="A1301" s="37"/>
      <c r="B1301" s="37"/>
      <c r="C1301" s="37"/>
      <c r="D1301" s="37" t="s">
        <v>1578</v>
      </c>
      <c r="E1301" s="37"/>
    </row>
    <row r="1302" spans="1:5" ht="18.75" customHeight="1" x14ac:dyDescent="0.25">
      <c r="A1302" s="37"/>
      <c r="B1302" s="37"/>
      <c r="C1302" s="37"/>
      <c r="D1302" s="37" t="s">
        <v>1579</v>
      </c>
      <c r="E1302" s="37"/>
    </row>
    <row r="1303" spans="1:5" ht="18.75" customHeight="1" x14ac:dyDescent="0.25">
      <c r="A1303" s="37"/>
      <c r="B1303" s="37"/>
      <c r="C1303" s="37"/>
      <c r="D1303" s="37" t="s">
        <v>1580</v>
      </c>
      <c r="E1303" s="37"/>
    </row>
    <row r="1304" spans="1:5" ht="18.75" customHeight="1" x14ac:dyDescent="0.25">
      <c r="A1304" s="37"/>
      <c r="B1304" s="37"/>
      <c r="C1304" s="37"/>
      <c r="D1304" s="37" t="s">
        <v>1581</v>
      </c>
      <c r="E1304" s="37"/>
    </row>
    <row r="1305" spans="1:5" ht="18.75" customHeight="1" x14ac:dyDescent="0.25">
      <c r="A1305" s="37"/>
      <c r="B1305" s="37"/>
      <c r="C1305" s="37"/>
      <c r="D1305" s="37" t="s">
        <v>1582</v>
      </c>
      <c r="E1305" s="37"/>
    </row>
    <row r="1306" spans="1:5" ht="18.75" customHeight="1" x14ac:dyDescent="0.25">
      <c r="A1306" s="37"/>
      <c r="B1306" s="37"/>
      <c r="C1306" s="37"/>
      <c r="D1306" s="37" t="s">
        <v>1583</v>
      </c>
      <c r="E1306" s="37"/>
    </row>
    <row r="1307" spans="1:5" ht="18.75" customHeight="1" x14ac:dyDescent="0.25">
      <c r="A1307" s="37"/>
      <c r="B1307" s="37"/>
      <c r="C1307" s="37"/>
      <c r="D1307" s="37" t="s">
        <v>1584</v>
      </c>
      <c r="E1307" s="37"/>
    </row>
    <row r="1308" spans="1:5" ht="18.75" customHeight="1" x14ac:dyDescent="0.25">
      <c r="A1308" s="37"/>
      <c r="B1308" s="37"/>
      <c r="C1308" s="37"/>
      <c r="D1308" s="37" t="s">
        <v>1585</v>
      </c>
      <c r="E1308" s="37"/>
    </row>
    <row r="1309" spans="1:5" ht="18.75" customHeight="1" x14ac:dyDescent="0.25">
      <c r="A1309" s="37"/>
      <c r="B1309" s="37"/>
      <c r="C1309" s="37"/>
      <c r="D1309" s="37" t="s">
        <v>1586</v>
      </c>
      <c r="E1309" s="37"/>
    </row>
    <row r="1310" spans="1:5" ht="18.75" customHeight="1" x14ac:dyDescent="0.25">
      <c r="A1310" s="37"/>
      <c r="B1310" s="37"/>
      <c r="C1310" s="37"/>
      <c r="D1310" s="37" t="s">
        <v>1587</v>
      </c>
      <c r="E1310" s="37"/>
    </row>
    <row r="1311" spans="1:5" ht="18.75" customHeight="1" x14ac:dyDescent="0.25">
      <c r="A1311" s="37"/>
      <c r="B1311" s="37"/>
      <c r="C1311" s="37"/>
      <c r="D1311" s="37" t="s">
        <v>1588</v>
      </c>
      <c r="E1311" s="37"/>
    </row>
    <row r="1312" spans="1:5" ht="18.75" customHeight="1" x14ac:dyDescent="0.25">
      <c r="A1312" s="37"/>
      <c r="B1312" s="37"/>
      <c r="C1312" s="37"/>
      <c r="D1312" s="37" t="s">
        <v>1589</v>
      </c>
      <c r="E1312" s="37"/>
    </row>
    <row r="1313" spans="1:5" ht="18.75" customHeight="1" x14ac:dyDescent="0.25">
      <c r="A1313" s="37"/>
      <c r="B1313" s="37"/>
      <c r="C1313" s="37"/>
      <c r="D1313" s="37" t="s">
        <v>1590</v>
      </c>
      <c r="E1313" s="37"/>
    </row>
    <row r="1314" spans="1:5" ht="18.75" customHeight="1" x14ac:dyDescent="0.25">
      <c r="A1314" s="37"/>
      <c r="B1314" s="37"/>
      <c r="C1314" s="37"/>
      <c r="D1314" s="37" t="s">
        <v>1591</v>
      </c>
      <c r="E1314" s="37"/>
    </row>
    <row r="1315" spans="1:5" ht="18.75" customHeight="1" x14ac:dyDescent="0.25">
      <c r="A1315" s="37"/>
      <c r="B1315" s="37"/>
      <c r="C1315" s="37"/>
      <c r="D1315" s="37" t="s">
        <v>1592</v>
      </c>
      <c r="E1315" s="37"/>
    </row>
    <row r="1316" spans="1:5" ht="18.75" customHeight="1" x14ac:dyDescent="0.25">
      <c r="A1316" s="37"/>
      <c r="B1316" s="37"/>
      <c r="C1316" s="37"/>
      <c r="D1316" s="37" t="s">
        <v>1593</v>
      </c>
      <c r="E1316" s="37"/>
    </row>
    <row r="1317" spans="1:5" ht="18.75" customHeight="1" x14ac:dyDescent="0.25">
      <c r="A1317" s="37"/>
      <c r="B1317" s="37"/>
      <c r="C1317" s="37"/>
      <c r="D1317" s="37" t="s">
        <v>1594</v>
      </c>
      <c r="E1317" s="37"/>
    </row>
    <row r="1318" spans="1:5" ht="18.75" customHeight="1" x14ac:dyDescent="0.25">
      <c r="A1318" s="37"/>
      <c r="B1318" s="37"/>
      <c r="C1318" s="37"/>
      <c r="D1318" s="37" t="s">
        <v>1595</v>
      </c>
      <c r="E1318" s="37"/>
    </row>
    <row r="1319" spans="1:5" ht="18.75" customHeight="1" x14ac:dyDescent="0.25">
      <c r="A1319" s="37"/>
      <c r="B1319" s="37"/>
      <c r="C1319" s="37"/>
      <c r="D1319" s="37" t="s">
        <v>1596</v>
      </c>
      <c r="E1319" s="37"/>
    </row>
    <row r="1320" spans="1:5" ht="18.75" customHeight="1" x14ac:dyDescent="0.25">
      <c r="A1320" s="37"/>
      <c r="B1320" s="37"/>
      <c r="C1320" s="37"/>
      <c r="D1320" s="37" t="s">
        <v>1597</v>
      </c>
      <c r="E1320" s="37"/>
    </row>
    <row r="1321" spans="1:5" ht="18.75" customHeight="1" x14ac:dyDescent="0.25">
      <c r="A1321" s="37"/>
      <c r="B1321" s="37"/>
      <c r="C1321" s="37"/>
      <c r="D1321" s="37" t="s">
        <v>1598</v>
      </c>
      <c r="E1321" s="37"/>
    </row>
    <row r="1322" spans="1:5" ht="18.75" customHeight="1" x14ac:dyDescent="0.25">
      <c r="A1322" s="37"/>
      <c r="B1322" s="37"/>
      <c r="C1322" s="37"/>
      <c r="D1322" s="37" t="s">
        <v>1599</v>
      </c>
      <c r="E1322" s="37"/>
    </row>
    <row r="1323" spans="1:5" ht="18.75" customHeight="1" x14ac:dyDescent="0.25">
      <c r="A1323" s="37"/>
      <c r="B1323" s="37"/>
      <c r="C1323" s="37"/>
      <c r="D1323" s="37" t="s">
        <v>1600</v>
      </c>
      <c r="E1323" s="37"/>
    </row>
    <row r="1324" spans="1:5" ht="18.75" customHeight="1" x14ac:dyDescent="0.25">
      <c r="A1324" s="37"/>
      <c r="B1324" s="37"/>
      <c r="C1324" s="37"/>
      <c r="D1324" s="37" t="s">
        <v>1601</v>
      </c>
      <c r="E1324" s="37"/>
    </row>
    <row r="1325" spans="1:5" ht="18.75" customHeight="1" x14ac:dyDescent="0.25">
      <c r="A1325" s="37"/>
      <c r="B1325" s="37"/>
      <c r="C1325" s="37"/>
      <c r="D1325" s="37" t="s">
        <v>1602</v>
      </c>
      <c r="E1325" s="37"/>
    </row>
    <row r="1326" spans="1:5" ht="18.75" customHeight="1" x14ac:dyDescent="0.25">
      <c r="A1326" s="37"/>
      <c r="B1326" s="37"/>
      <c r="C1326" s="37"/>
      <c r="D1326" s="37" t="s">
        <v>1603</v>
      </c>
      <c r="E1326" s="37"/>
    </row>
    <row r="1327" spans="1:5" ht="18.75" customHeight="1" x14ac:dyDescent="0.25">
      <c r="A1327" s="37"/>
      <c r="B1327" s="37"/>
      <c r="C1327" s="37"/>
      <c r="D1327" s="37" t="s">
        <v>1604</v>
      </c>
      <c r="E1327" s="37"/>
    </row>
    <row r="1328" spans="1:5" ht="18.75" customHeight="1" x14ac:dyDescent="0.25">
      <c r="A1328" s="37"/>
      <c r="B1328" s="37"/>
      <c r="C1328" s="37"/>
      <c r="D1328" s="37" t="s">
        <v>1605</v>
      </c>
      <c r="E1328" s="37"/>
    </row>
    <row r="1329" spans="1:5" ht="18.75" customHeight="1" x14ac:dyDescent="0.25">
      <c r="A1329" s="37"/>
      <c r="B1329" s="37"/>
      <c r="C1329" s="37"/>
      <c r="D1329" s="37" t="s">
        <v>1606</v>
      </c>
      <c r="E1329" s="37"/>
    </row>
    <row r="1330" spans="1:5" ht="18.75" customHeight="1" x14ac:dyDescent="0.25">
      <c r="A1330" s="37"/>
      <c r="B1330" s="37"/>
      <c r="C1330" s="37"/>
      <c r="D1330" s="37" t="s">
        <v>1607</v>
      </c>
      <c r="E1330" s="37"/>
    </row>
    <row r="1331" spans="1:5" ht="18.75" customHeight="1" x14ac:dyDescent="0.25">
      <c r="A1331" s="37"/>
      <c r="B1331" s="37"/>
      <c r="C1331" s="37"/>
      <c r="D1331" s="37" t="s">
        <v>1608</v>
      </c>
      <c r="E1331" s="37"/>
    </row>
    <row r="1332" spans="1:5" ht="18.75" customHeight="1" x14ac:dyDescent="0.25">
      <c r="A1332" s="37"/>
      <c r="B1332" s="37"/>
      <c r="C1332" s="37"/>
      <c r="D1332" s="37" t="s">
        <v>1609</v>
      </c>
      <c r="E1332" s="37"/>
    </row>
    <row r="1333" spans="1:5" ht="18.75" customHeight="1" x14ac:dyDescent="0.25">
      <c r="A1333" s="37"/>
      <c r="B1333" s="37"/>
      <c r="C1333" s="37"/>
      <c r="D1333" s="37" t="s">
        <v>1610</v>
      </c>
      <c r="E1333" s="37"/>
    </row>
    <row r="1334" spans="1:5" ht="18.75" customHeight="1" x14ac:dyDescent="0.25">
      <c r="A1334" s="37"/>
      <c r="B1334" s="37"/>
      <c r="C1334" s="37"/>
      <c r="D1334" s="37" t="s">
        <v>1611</v>
      </c>
      <c r="E1334" s="37"/>
    </row>
    <row r="1335" spans="1:5" ht="18.75" customHeight="1" x14ac:dyDescent="0.25">
      <c r="A1335" s="37"/>
      <c r="B1335" s="37"/>
      <c r="C1335" s="37"/>
      <c r="D1335" s="37" t="s">
        <v>1612</v>
      </c>
      <c r="E1335" s="37"/>
    </row>
    <row r="1336" spans="1:5" ht="18.75" customHeight="1" x14ac:dyDescent="0.25">
      <c r="A1336" s="37"/>
      <c r="B1336" s="37"/>
      <c r="C1336" s="37"/>
      <c r="D1336" s="37" t="s">
        <v>1613</v>
      </c>
      <c r="E1336" s="37"/>
    </row>
    <row r="1337" spans="1:5" ht="18.75" customHeight="1" x14ac:dyDescent="0.25">
      <c r="A1337" s="37"/>
      <c r="B1337" s="37"/>
      <c r="C1337" s="37"/>
      <c r="D1337" s="37" t="s">
        <v>1614</v>
      </c>
      <c r="E1337" s="37"/>
    </row>
    <row r="1338" spans="1:5" ht="18.75" customHeight="1" x14ac:dyDescent="0.25">
      <c r="A1338" s="37"/>
      <c r="B1338" s="37"/>
      <c r="C1338" s="37"/>
      <c r="D1338" s="37" t="s">
        <v>1615</v>
      </c>
      <c r="E1338" s="37"/>
    </row>
    <row r="1339" spans="1:5" ht="18.75" customHeight="1" x14ac:dyDescent="0.25">
      <c r="A1339" s="37"/>
      <c r="B1339" s="37"/>
      <c r="C1339" s="37"/>
      <c r="D1339" s="37" t="s">
        <v>1616</v>
      </c>
      <c r="E1339" s="37"/>
    </row>
    <row r="1340" spans="1:5" ht="18.75" customHeight="1" x14ac:dyDescent="0.25">
      <c r="A1340" s="37"/>
      <c r="B1340" s="37"/>
      <c r="C1340" s="37"/>
      <c r="D1340" s="37" t="s">
        <v>1617</v>
      </c>
      <c r="E1340" s="37"/>
    </row>
    <row r="1341" spans="1:5" ht="18.75" customHeight="1" x14ac:dyDescent="0.25">
      <c r="A1341" s="37"/>
      <c r="B1341" s="37"/>
      <c r="C1341" s="37"/>
      <c r="D1341" s="37" t="s">
        <v>1618</v>
      </c>
      <c r="E1341" s="37"/>
    </row>
    <row r="1342" spans="1:5" ht="18.75" customHeight="1" x14ac:dyDescent="0.25">
      <c r="A1342" s="37"/>
      <c r="B1342" s="37"/>
      <c r="C1342" s="37"/>
      <c r="D1342" s="37" t="s">
        <v>1619</v>
      </c>
      <c r="E1342" s="37"/>
    </row>
    <row r="1343" spans="1:5" ht="18.75" customHeight="1" x14ac:dyDescent="0.25">
      <c r="A1343" s="37"/>
      <c r="B1343" s="37"/>
      <c r="C1343" s="37"/>
      <c r="D1343" s="37" t="s">
        <v>1620</v>
      </c>
      <c r="E1343" s="37"/>
    </row>
    <row r="1344" spans="1:5" ht="18.75" customHeight="1" x14ac:dyDescent="0.25">
      <c r="A1344" s="37"/>
      <c r="B1344" s="37"/>
      <c r="C1344" s="37"/>
      <c r="D1344" s="37" t="s">
        <v>1621</v>
      </c>
      <c r="E1344" s="37"/>
    </row>
    <row r="1345" spans="1:5" ht="18.75" customHeight="1" x14ac:dyDescent="0.25">
      <c r="A1345" s="37"/>
      <c r="B1345" s="37"/>
      <c r="C1345" s="37"/>
      <c r="D1345" s="37" t="s">
        <v>1622</v>
      </c>
      <c r="E1345" s="37"/>
    </row>
    <row r="1346" spans="1:5" ht="18.75" customHeight="1" x14ac:dyDescent="0.25">
      <c r="A1346" s="37"/>
      <c r="B1346" s="37"/>
      <c r="C1346" s="37"/>
      <c r="D1346" s="37" t="s">
        <v>1623</v>
      </c>
      <c r="E1346" s="37"/>
    </row>
    <row r="1347" spans="1:5" ht="18.75" customHeight="1" x14ac:dyDescent="0.25">
      <c r="A1347" s="37"/>
      <c r="B1347" s="37"/>
      <c r="C1347" s="37"/>
      <c r="D1347" s="37" t="s">
        <v>1624</v>
      </c>
      <c r="E1347" s="37"/>
    </row>
    <row r="1348" spans="1:5" ht="18.75" customHeight="1" x14ac:dyDescent="0.25">
      <c r="A1348" s="37"/>
      <c r="B1348" s="37"/>
      <c r="C1348" s="37"/>
      <c r="D1348" s="37" t="s">
        <v>1625</v>
      </c>
      <c r="E1348" s="37"/>
    </row>
    <row r="1349" spans="1:5" ht="18.75" customHeight="1" x14ac:dyDescent="0.25">
      <c r="A1349" s="37"/>
      <c r="B1349" s="37"/>
      <c r="C1349" s="37"/>
      <c r="D1349" s="37" t="s">
        <v>1626</v>
      </c>
      <c r="E1349" s="37"/>
    </row>
    <row r="1350" spans="1:5" ht="18.75" customHeight="1" x14ac:dyDescent="0.25">
      <c r="A1350" s="37"/>
      <c r="B1350" s="37"/>
      <c r="C1350" s="37"/>
      <c r="D1350" s="37" t="s">
        <v>1627</v>
      </c>
      <c r="E1350" s="37"/>
    </row>
    <row r="1351" spans="1:5" ht="18.75" customHeight="1" x14ac:dyDescent="0.25">
      <c r="A1351" s="37"/>
      <c r="B1351" s="37"/>
      <c r="C1351" s="37"/>
      <c r="D1351" s="37" t="s">
        <v>1628</v>
      </c>
      <c r="E1351" s="37"/>
    </row>
    <row r="1352" spans="1:5" ht="18.75" customHeight="1" x14ac:dyDescent="0.25">
      <c r="A1352" s="37"/>
      <c r="B1352" s="37"/>
      <c r="C1352" s="37"/>
      <c r="D1352" s="37" t="s">
        <v>1629</v>
      </c>
      <c r="E1352" s="37"/>
    </row>
    <row r="1353" spans="1:5" ht="18.75" customHeight="1" x14ac:dyDescent="0.25">
      <c r="A1353" s="37"/>
      <c r="B1353" s="37"/>
      <c r="C1353" s="37"/>
      <c r="D1353" s="37" t="s">
        <v>1630</v>
      </c>
      <c r="E1353" s="37"/>
    </row>
    <row r="1354" spans="1:5" ht="18.75" customHeight="1" x14ac:dyDescent="0.25">
      <c r="A1354" s="37"/>
      <c r="B1354" s="37"/>
      <c r="C1354" s="37"/>
      <c r="D1354" s="37" t="s">
        <v>1631</v>
      </c>
      <c r="E1354" s="37"/>
    </row>
    <row r="1355" spans="1:5" ht="18.75" customHeight="1" x14ac:dyDescent="0.25">
      <c r="A1355" s="37"/>
      <c r="B1355" s="37"/>
      <c r="C1355" s="37"/>
      <c r="D1355" s="37" t="s">
        <v>1632</v>
      </c>
      <c r="E1355" s="37"/>
    </row>
    <row r="1356" spans="1:5" ht="18.75" customHeight="1" x14ac:dyDescent="0.25">
      <c r="A1356" s="37"/>
      <c r="B1356" s="37"/>
      <c r="C1356" s="37"/>
      <c r="D1356" s="37" t="s">
        <v>1633</v>
      </c>
      <c r="E1356" s="37"/>
    </row>
    <row r="1357" spans="1:5" ht="18.75" customHeight="1" x14ac:dyDescent="0.25">
      <c r="A1357" s="37"/>
      <c r="B1357" s="37"/>
      <c r="C1357" s="37"/>
      <c r="D1357" s="37" t="s">
        <v>1634</v>
      </c>
      <c r="E1357" s="37"/>
    </row>
    <row r="1358" spans="1:5" ht="18.75" customHeight="1" x14ac:dyDescent="0.25">
      <c r="A1358" s="37"/>
      <c r="B1358" s="37"/>
      <c r="C1358" s="37"/>
      <c r="D1358" s="37" t="s">
        <v>1635</v>
      </c>
      <c r="E1358" s="37"/>
    </row>
    <row r="1359" spans="1:5" ht="18.75" customHeight="1" x14ac:dyDescent="0.25">
      <c r="A1359" s="37"/>
      <c r="B1359" s="37"/>
      <c r="C1359" s="37"/>
      <c r="D1359" s="37" t="s">
        <v>1636</v>
      </c>
      <c r="E1359" s="37"/>
    </row>
    <row r="1360" spans="1:5" ht="18.75" customHeight="1" x14ac:dyDescent="0.25">
      <c r="A1360" s="37"/>
      <c r="B1360" s="37"/>
      <c r="C1360" s="37"/>
      <c r="D1360" s="37" t="s">
        <v>1637</v>
      </c>
      <c r="E1360" s="37"/>
    </row>
    <row r="1361" spans="1:5" ht="18.75" customHeight="1" x14ac:dyDescent="0.25">
      <c r="A1361" s="37"/>
      <c r="B1361" s="37"/>
      <c r="C1361" s="37"/>
      <c r="D1361" s="37" t="s">
        <v>1638</v>
      </c>
      <c r="E1361" s="37"/>
    </row>
    <row r="1362" spans="1:5" ht="18.75" customHeight="1" x14ac:dyDescent="0.25">
      <c r="A1362" s="37"/>
      <c r="B1362" s="37"/>
      <c r="C1362" s="37"/>
      <c r="D1362" s="37" t="s">
        <v>1639</v>
      </c>
      <c r="E1362" s="37"/>
    </row>
    <row r="1363" spans="1:5" ht="18.75" customHeight="1" x14ac:dyDescent="0.25">
      <c r="A1363" s="37"/>
      <c r="B1363" s="37"/>
      <c r="C1363" s="37"/>
      <c r="D1363" s="37" t="s">
        <v>1640</v>
      </c>
      <c r="E1363" s="37"/>
    </row>
    <row r="1364" spans="1:5" ht="18.75" customHeight="1" x14ac:dyDescent="0.25">
      <c r="A1364" s="37"/>
      <c r="B1364" s="37"/>
      <c r="C1364" s="37"/>
      <c r="D1364" s="37" t="s">
        <v>1641</v>
      </c>
      <c r="E1364" s="37"/>
    </row>
    <row r="1365" spans="1:5" ht="18.75" customHeight="1" x14ac:dyDescent="0.25">
      <c r="A1365" s="37"/>
      <c r="B1365" s="37"/>
      <c r="C1365" s="37"/>
      <c r="D1365" s="37" t="s">
        <v>1642</v>
      </c>
      <c r="E1365" s="37"/>
    </row>
    <row r="1366" spans="1:5" ht="18.75" customHeight="1" x14ac:dyDescent="0.25">
      <c r="A1366" s="37"/>
      <c r="B1366" s="37"/>
      <c r="C1366" s="37"/>
      <c r="D1366" s="37" t="s">
        <v>1643</v>
      </c>
      <c r="E1366" s="37"/>
    </row>
    <row r="1367" spans="1:5" ht="18.75" customHeight="1" x14ac:dyDescent="0.25">
      <c r="A1367" s="37"/>
      <c r="B1367" s="37"/>
      <c r="C1367" s="37"/>
      <c r="D1367" s="37" t="s">
        <v>1644</v>
      </c>
      <c r="E1367" s="37"/>
    </row>
    <row r="1368" spans="1:5" ht="18.75" customHeight="1" x14ac:dyDescent="0.25">
      <c r="A1368" s="37"/>
      <c r="B1368" s="37"/>
      <c r="C1368" s="37"/>
      <c r="D1368" s="37" t="s">
        <v>1645</v>
      </c>
      <c r="E1368" s="37"/>
    </row>
    <row r="1369" spans="1:5" ht="18.75" customHeight="1" x14ac:dyDescent="0.25">
      <c r="A1369" s="37"/>
      <c r="B1369" s="37"/>
      <c r="C1369" s="37"/>
      <c r="D1369" s="37" t="s">
        <v>1646</v>
      </c>
      <c r="E1369" s="37"/>
    </row>
    <row r="1370" spans="1:5" ht="18.75" customHeight="1" x14ac:dyDescent="0.25">
      <c r="A1370" s="37"/>
      <c r="B1370" s="37"/>
      <c r="C1370" s="37"/>
      <c r="D1370" s="37" t="s">
        <v>1647</v>
      </c>
      <c r="E1370" s="37"/>
    </row>
    <row r="1371" spans="1:5" ht="18.75" customHeight="1" x14ac:dyDescent="0.25">
      <c r="A1371" s="37"/>
      <c r="B1371" s="37"/>
      <c r="C1371" s="37"/>
      <c r="D1371" s="37" t="s">
        <v>1648</v>
      </c>
      <c r="E1371" s="37"/>
    </row>
    <row r="1372" spans="1:5" ht="18.75" customHeight="1" x14ac:dyDescent="0.25">
      <c r="A1372" s="37"/>
      <c r="B1372" s="37"/>
      <c r="C1372" s="37"/>
      <c r="D1372" s="37" t="s">
        <v>1649</v>
      </c>
      <c r="E1372" s="37"/>
    </row>
    <row r="1373" spans="1:5" ht="18.75" customHeight="1" x14ac:dyDescent="0.25">
      <c r="A1373" s="37"/>
      <c r="B1373" s="37"/>
      <c r="C1373" s="37"/>
      <c r="D1373" s="37" t="s">
        <v>1650</v>
      </c>
      <c r="E1373" s="37"/>
    </row>
    <row r="1374" spans="1:5" ht="18.75" customHeight="1" x14ac:dyDescent="0.25">
      <c r="A1374" s="37"/>
      <c r="B1374" s="37"/>
      <c r="C1374" s="37"/>
      <c r="D1374" s="37" t="s">
        <v>1651</v>
      </c>
      <c r="E1374" s="37"/>
    </row>
    <row r="1375" spans="1:5" ht="18.75" customHeight="1" x14ac:dyDescent="0.25">
      <c r="A1375" s="37"/>
      <c r="B1375" s="37"/>
      <c r="C1375" s="37"/>
      <c r="D1375" s="37" t="s">
        <v>1652</v>
      </c>
      <c r="E1375" s="37"/>
    </row>
    <row r="1376" spans="1:5" ht="18.75" customHeight="1" x14ac:dyDescent="0.25">
      <c r="A1376" s="37"/>
      <c r="B1376" s="37"/>
      <c r="C1376" s="37"/>
      <c r="D1376" s="37" t="s">
        <v>1653</v>
      </c>
      <c r="E1376" s="37"/>
    </row>
    <row r="1377" spans="1:5" ht="18.75" customHeight="1" x14ac:dyDescent="0.25">
      <c r="A1377" s="37"/>
      <c r="B1377" s="37"/>
      <c r="C1377" s="37"/>
      <c r="D1377" s="37" t="s">
        <v>1654</v>
      </c>
      <c r="E1377" s="37"/>
    </row>
    <row r="1378" spans="1:5" ht="18.75" customHeight="1" x14ac:dyDescent="0.25">
      <c r="A1378" s="37"/>
      <c r="B1378" s="37"/>
      <c r="C1378" s="37"/>
      <c r="D1378" s="37" t="s">
        <v>1655</v>
      </c>
      <c r="E1378" s="37"/>
    </row>
    <row r="1379" spans="1:5" ht="18.75" customHeight="1" x14ac:dyDescent="0.25">
      <c r="A1379" s="37"/>
      <c r="B1379" s="37"/>
      <c r="C1379" s="37"/>
      <c r="D1379" s="37" t="s">
        <v>1656</v>
      </c>
      <c r="E1379" s="37"/>
    </row>
    <row r="1380" spans="1:5" ht="18.75" customHeight="1" x14ac:dyDescent="0.25">
      <c r="A1380" s="37"/>
      <c r="B1380" s="37"/>
      <c r="C1380" s="37"/>
      <c r="D1380" s="37" t="s">
        <v>1657</v>
      </c>
      <c r="E1380" s="37"/>
    </row>
    <row r="1381" spans="1:5" ht="18.75" customHeight="1" x14ac:dyDescent="0.25">
      <c r="A1381" s="37"/>
      <c r="B1381" s="37"/>
      <c r="C1381" s="37"/>
      <c r="D1381" s="37" t="s">
        <v>1658</v>
      </c>
      <c r="E1381" s="37"/>
    </row>
    <row r="1382" spans="1:5" ht="18.75" customHeight="1" x14ac:dyDescent="0.25">
      <c r="A1382" s="37"/>
      <c r="B1382" s="37"/>
      <c r="C1382" s="37"/>
      <c r="D1382" s="37" t="s">
        <v>1659</v>
      </c>
      <c r="E1382" s="37"/>
    </row>
    <row r="1383" spans="1:5" ht="18.75" customHeight="1" x14ac:dyDescent="0.25">
      <c r="A1383" s="37"/>
      <c r="B1383" s="37"/>
      <c r="C1383" s="37"/>
      <c r="D1383" s="37" t="s">
        <v>1660</v>
      </c>
      <c r="E1383" s="37"/>
    </row>
    <row r="1384" spans="1:5" ht="18.75" customHeight="1" x14ac:dyDescent="0.25">
      <c r="A1384" s="37"/>
      <c r="B1384" s="37"/>
      <c r="C1384" s="37"/>
      <c r="D1384" s="37" t="s">
        <v>1661</v>
      </c>
      <c r="E1384" s="37"/>
    </row>
    <row r="1385" spans="1:5" ht="18.75" customHeight="1" x14ac:dyDescent="0.25">
      <c r="A1385" s="37"/>
      <c r="B1385" s="37"/>
      <c r="C1385" s="37"/>
      <c r="D1385" s="37" t="s">
        <v>1662</v>
      </c>
      <c r="E1385" s="37"/>
    </row>
    <row r="1386" spans="1:5" ht="18.75" customHeight="1" x14ac:dyDescent="0.25">
      <c r="A1386" s="37"/>
      <c r="B1386" s="37"/>
      <c r="C1386" s="37"/>
      <c r="D1386" s="37" t="s">
        <v>1663</v>
      </c>
      <c r="E1386" s="37"/>
    </row>
    <row r="1387" spans="1:5" ht="18.75" customHeight="1" x14ac:dyDescent="0.25">
      <c r="A1387" s="37"/>
      <c r="B1387" s="37"/>
      <c r="C1387" s="37"/>
      <c r="D1387" s="37" t="s">
        <v>1664</v>
      </c>
      <c r="E1387" s="37"/>
    </row>
    <row r="1388" spans="1:5" ht="18.75" customHeight="1" x14ac:dyDescent="0.25">
      <c r="A1388" s="37"/>
      <c r="B1388" s="37"/>
      <c r="C1388" s="37"/>
      <c r="D1388" s="37" t="s">
        <v>1665</v>
      </c>
      <c r="E1388" s="37"/>
    </row>
    <row r="1389" spans="1:5" ht="18.75" customHeight="1" x14ac:dyDescent="0.25">
      <c r="A1389" s="37"/>
      <c r="B1389" s="37"/>
      <c r="C1389" s="37"/>
      <c r="D1389" s="37" t="s">
        <v>1666</v>
      </c>
      <c r="E1389" s="37"/>
    </row>
    <row r="1390" spans="1:5" ht="18.75" customHeight="1" x14ac:dyDescent="0.25">
      <c r="A1390" s="37"/>
      <c r="B1390" s="37"/>
      <c r="C1390" s="37"/>
      <c r="D1390" s="37" t="s">
        <v>1667</v>
      </c>
      <c r="E1390" s="37"/>
    </row>
    <row r="1391" spans="1:5" ht="18.75" customHeight="1" x14ac:dyDescent="0.25">
      <c r="A1391" s="37"/>
      <c r="B1391" s="37"/>
      <c r="C1391" s="37"/>
      <c r="D1391" s="37" t="s">
        <v>1668</v>
      </c>
      <c r="E1391" s="37"/>
    </row>
    <row r="1392" spans="1:5" ht="18.75" customHeight="1" x14ac:dyDescent="0.25">
      <c r="A1392" s="37"/>
      <c r="B1392" s="37"/>
      <c r="C1392" s="37"/>
      <c r="D1392" s="37" t="s">
        <v>1669</v>
      </c>
      <c r="E1392" s="37"/>
    </row>
    <row r="1393" spans="1:5" ht="18.75" customHeight="1" x14ac:dyDescent="0.25">
      <c r="A1393" s="37"/>
      <c r="B1393" s="37"/>
      <c r="C1393" s="37"/>
      <c r="D1393" s="37" t="s">
        <v>1670</v>
      </c>
      <c r="E1393" s="37"/>
    </row>
    <row r="1394" spans="1:5" ht="18.75" customHeight="1" x14ac:dyDescent="0.25">
      <c r="A1394" s="37"/>
      <c r="B1394" s="37"/>
      <c r="C1394" s="37"/>
      <c r="D1394" s="37" t="s">
        <v>1671</v>
      </c>
      <c r="E1394" s="37"/>
    </row>
    <row r="1395" spans="1:5" ht="18.75" customHeight="1" x14ac:dyDescent="0.25">
      <c r="A1395" s="37"/>
      <c r="B1395" s="37"/>
      <c r="C1395" s="37"/>
      <c r="D1395" s="37" t="s">
        <v>1672</v>
      </c>
      <c r="E1395" s="37"/>
    </row>
    <row r="1396" spans="1:5" ht="18.75" customHeight="1" x14ac:dyDescent="0.25">
      <c r="A1396" s="37"/>
      <c r="B1396" s="37"/>
      <c r="C1396" s="37"/>
      <c r="D1396" s="37" t="s">
        <v>1673</v>
      </c>
      <c r="E1396" s="37"/>
    </row>
    <row r="1397" spans="1:5" ht="18.75" customHeight="1" x14ac:dyDescent="0.25">
      <c r="A1397" s="37"/>
      <c r="B1397" s="37"/>
      <c r="C1397" s="37"/>
      <c r="D1397" s="37" t="s">
        <v>1674</v>
      </c>
      <c r="E1397" s="37"/>
    </row>
    <row r="1398" spans="1:5" ht="18.75" customHeight="1" x14ac:dyDescent="0.25">
      <c r="A1398" s="37"/>
      <c r="B1398" s="37"/>
      <c r="C1398" s="37"/>
      <c r="D1398" s="37" t="s">
        <v>1675</v>
      </c>
      <c r="E1398" s="37"/>
    </row>
    <row r="1399" spans="1:5" ht="18.75" customHeight="1" x14ac:dyDescent="0.25">
      <c r="A1399" s="37"/>
      <c r="B1399" s="37"/>
      <c r="C1399" s="37"/>
      <c r="D1399" s="37" t="s">
        <v>1676</v>
      </c>
      <c r="E1399" s="37"/>
    </row>
    <row r="1400" spans="1:5" ht="18.75" customHeight="1" x14ac:dyDescent="0.25">
      <c r="A1400" s="37"/>
      <c r="B1400" s="37"/>
      <c r="C1400" s="37"/>
      <c r="D1400" s="37" t="s">
        <v>1677</v>
      </c>
      <c r="E1400" s="37"/>
    </row>
    <row r="1401" spans="1:5" ht="18.75" customHeight="1" x14ac:dyDescent="0.25">
      <c r="A1401" s="37"/>
      <c r="B1401" s="37"/>
      <c r="C1401" s="37"/>
      <c r="D1401" s="37" t="s">
        <v>1678</v>
      </c>
      <c r="E1401" s="37"/>
    </row>
    <row r="1402" spans="1:5" ht="18.75" customHeight="1" x14ac:dyDescent="0.25">
      <c r="A1402" s="37"/>
      <c r="B1402" s="37"/>
      <c r="C1402" s="37"/>
      <c r="D1402" s="37" t="s">
        <v>1679</v>
      </c>
      <c r="E1402" s="37"/>
    </row>
    <row r="1403" spans="1:5" ht="18.75" customHeight="1" x14ac:dyDescent="0.25">
      <c r="A1403" s="37"/>
      <c r="B1403" s="37"/>
      <c r="C1403" s="37"/>
      <c r="D1403" s="37" t="s">
        <v>1680</v>
      </c>
      <c r="E1403" s="37"/>
    </row>
    <row r="1404" spans="1:5" ht="18.75" customHeight="1" x14ac:dyDescent="0.25">
      <c r="A1404" s="37"/>
      <c r="B1404" s="37"/>
      <c r="C1404" s="37"/>
      <c r="D1404" s="37" t="s">
        <v>1681</v>
      </c>
      <c r="E1404" s="37"/>
    </row>
    <row r="1405" spans="1:5" ht="18.75" customHeight="1" x14ac:dyDescent="0.25">
      <c r="A1405" s="37"/>
      <c r="B1405" s="37"/>
      <c r="C1405" s="37"/>
      <c r="D1405" s="37" t="s">
        <v>1682</v>
      </c>
      <c r="E1405" s="37"/>
    </row>
    <row r="1406" spans="1:5" ht="18.75" customHeight="1" x14ac:dyDescent="0.25">
      <c r="A1406" s="37"/>
      <c r="B1406" s="37"/>
      <c r="C1406" s="37"/>
      <c r="D1406" s="37" t="s">
        <v>1683</v>
      </c>
      <c r="E1406" s="37"/>
    </row>
    <row r="1407" spans="1:5" ht="18.75" customHeight="1" x14ac:dyDescent="0.25">
      <c r="A1407" s="37"/>
      <c r="B1407" s="37"/>
      <c r="C1407" s="37"/>
      <c r="D1407" s="37" t="s">
        <v>1684</v>
      </c>
      <c r="E1407" s="37"/>
    </row>
    <row r="1408" spans="1:5" ht="18.75" customHeight="1" x14ac:dyDescent="0.25">
      <c r="A1408" s="37"/>
      <c r="B1408" s="37"/>
      <c r="C1408" s="37"/>
      <c r="D1408" s="37" t="s">
        <v>1685</v>
      </c>
      <c r="E1408" s="37"/>
    </row>
    <row r="1409" spans="1:5" ht="18.75" customHeight="1" x14ac:dyDescent="0.25">
      <c r="A1409" s="37"/>
      <c r="B1409" s="37"/>
      <c r="C1409" s="37"/>
      <c r="D1409" s="37" t="s">
        <v>1686</v>
      </c>
      <c r="E1409" s="37"/>
    </row>
    <row r="1410" spans="1:5" ht="18.75" customHeight="1" x14ac:dyDescent="0.25">
      <c r="A1410" s="37"/>
      <c r="B1410" s="37"/>
      <c r="C1410" s="37"/>
      <c r="D1410" s="37" t="s">
        <v>1687</v>
      </c>
      <c r="E1410" s="37"/>
    </row>
    <row r="1411" spans="1:5" ht="18.75" customHeight="1" x14ac:dyDescent="0.25">
      <c r="A1411" s="37"/>
      <c r="B1411" s="37"/>
      <c r="C1411" s="37"/>
      <c r="D1411" s="37" t="s">
        <v>1688</v>
      </c>
      <c r="E1411" s="37"/>
    </row>
    <row r="1412" spans="1:5" ht="18.75" customHeight="1" x14ac:dyDescent="0.25">
      <c r="A1412" s="37"/>
      <c r="B1412" s="37"/>
      <c r="C1412" s="37"/>
      <c r="D1412" s="37" t="s">
        <v>1689</v>
      </c>
      <c r="E1412" s="37"/>
    </row>
    <row r="1413" spans="1:5" ht="18.75" customHeight="1" x14ac:dyDescent="0.25">
      <c r="A1413" s="37"/>
      <c r="B1413" s="37"/>
      <c r="C1413" s="37"/>
      <c r="D1413" s="37" t="s">
        <v>1690</v>
      </c>
      <c r="E1413" s="37"/>
    </row>
    <row r="1414" spans="1:5" ht="18.75" customHeight="1" x14ac:dyDescent="0.25">
      <c r="A1414" s="37"/>
      <c r="B1414" s="37"/>
      <c r="C1414" s="37"/>
      <c r="D1414" s="37" t="s">
        <v>1691</v>
      </c>
      <c r="E1414" s="37"/>
    </row>
    <row r="1415" spans="1:5" ht="18.75" customHeight="1" x14ac:dyDescent="0.25">
      <c r="A1415" s="37"/>
      <c r="B1415" s="37"/>
      <c r="C1415" s="37"/>
      <c r="D1415" s="37" t="s">
        <v>1692</v>
      </c>
      <c r="E1415" s="37"/>
    </row>
    <row r="1416" spans="1:5" ht="18.75" customHeight="1" x14ac:dyDescent="0.25">
      <c r="A1416" s="37"/>
      <c r="B1416" s="37"/>
      <c r="C1416" s="37"/>
      <c r="D1416" s="37" t="s">
        <v>1693</v>
      </c>
      <c r="E1416" s="37"/>
    </row>
    <row r="1417" spans="1:5" ht="18.75" customHeight="1" x14ac:dyDescent="0.25">
      <c r="A1417" s="37"/>
      <c r="B1417" s="37"/>
      <c r="C1417" s="37"/>
      <c r="D1417" s="37" t="s">
        <v>1694</v>
      </c>
      <c r="E1417" s="37"/>
    </row>
    <row r="1418" spans="1:5" ht="18.75" customHeight="1" x14ac:dyDescent="0.25">
      <c r="A1418" s="37"/>
      <c r="B1418" s="37"/>
      <c r="C1418" s="37"/>
      <c r="D1418" s="37" t="s">
        <v>1695</v>
      </c>
      <c r="E1418" s="37"/>
    </row>
    <row r="1419" spans="1:5" ht="18.75" customHeight="1" x14ac:dyDescent="0.25">
      <c r="A1419" s="37"/>
      <c r="B1419" s="37"/>
      <c r="C1419" s="37"/>
      <c r="D1419" s="37" t="s">
        <v>1696</v>
      </c>
      <c r="E1419" s="37"/>
    </row>
    <row r="1420" spans="1:5" ht="18.75" customHeight="1" x14ac:dyDescent="0.25">
      <c r="A1420" s="37"/>
      <c r="B1420" s="37"/>
      <c r="C1420" s="37"/>
      <c r="D1420" s="37" t="s">
        <v>1697</v>
      </c>
      <c r="E1420" s="37"/>
    </row>
    <row r="1421" spans="1:5" ht="18.75" customHeight="1" x14ac:dyDescent="0.25">
      <c r="A1421" s="37"/>
      <c r="B1421" s="37"/>
      <c r="C1421" s="37"/>
      <c r="D1421" s="37" t="s">
        <v>1698</v>
      </c>
      <c r="E1421" s="37"/>
    </row>
    <row r="1422" spans="1:5" ht="18.75" customHeight="1" x14ac:dyDescent="0.25">
      <c r="A1422" s="37"/>
      <c r="B1422" s="37"/>
      <c r="C1422" s="37"/>
      <c r="D1422" s="37" t="s">
        <v>1699</v>
      </c>
      <c r="E1422" s="37"/>
    </row>
    <row r="1423" spans="1:5" ht="18.75" customHeight="1" x14ac:dyDescent="0.25">
      <c r="A1423" s="37"/>
      <c r="B1423" s="37"/>
      <c r="C1423" s="37"/>
      <c r="D1423" s="37" t="s">
        <v>1700</v>
      </c>
      <c r="E1423" s="37"/>
    </row>
    <row r="1424" spans="1:5" ht="18.75" customHeight="1" x14ac:dyDescent="0.25">
      <c r="A1424" s="37"/>
      <c r="B1424" s="37"/>
      <c r="C1424" s="37"/>
      <c r="D1424" s="37" t="s">
        <v>1701</v>
      </c>
      <c r="E1424" s="37"/>
    </row>
    <row r="1425" spans="1:5" ht="18.75" customHeight="1" x14ac:dyDescent="0.25">
      <c r="A1425" s="37"/>
      <c r="B1425" s="37"/>
      <c r="C1425" s="37"/>
      <c r="D1425" s="37" t="s">
        <v>1702</v>
      </c>
      <c r="E1425" s="37"/>
    </row>
    <row r="1426" spans="1:5" ht="18.75" customHeight="1" x14ac:dyDescent="0.25">
      <c r="A1426" s="37"/>
      <c r="B1426" s="37"/>
      <c r="C1426" s="37"/>
      <c r="D1426" s="37" t="s">
        <v>1703</v>
      </c>
      <c r="E1426" s="37"/>
    </row>
    <row r="1427" spans="1:5" ht="18.75" customHeight="1" x14ac:dyDescent="0.25">
      <c r="A1427" s="37"/>
      <c r="B1427" s="37"/>
      <c r="C1427" s="37"/>
      <c r="D1427" s="37" t="s">
        <v>1704</v>
      </c>
      <c r="E1427" s="37"/>
    </row>
    <row r="1428" spans="1:5" ht="18.75" customHeight="1" x14ac:dyDescent="0.25">
      <c r="A1428" s="37"/>
      <c r="B1428" s="37"/>
      <c r="C1428" s="37"/>
      <c r="D1428" s="37" t="s">
        <v>1705</v>
      </c>
      <c r="E1428" s="37"/>
    </row>
    <row r="1429" spans="1:5" ht="18.75" customHeight="1" x14ac:dyDescent="0.25">
      <c r="A1429" s="37"/>
      <c r="B1429" s="37"/>
      <c r="C1429" s="37"/>
      <c r="D1429" s="37" t="s">
        <v>1706</v>
      </c>
      <c r="E1429" s="37"/>
    </row>
    <row r="1430" spans="1:5" ht="18.75" customHeight="1" x14ac:dyDescent="0.25">
      <c r="A1430" s="37"/>
      <c r="B1430" s="37"/>
      <c r="C1430" s="37"/>
      <c r="D1430" s="37" t="s">
        <v>1707</v>
      </c>
      <c r="E1430" s="37"/>
    </row>
    <row r="1431" spans="1:5" ht="18.75" customHeight="1" x14ac:dyDescent="0.25">
      <c r="A1431" s="37"/>
      <c r="B1431" s="37"/>
      <c r="C1431" s="37"/>
      <c r="D1431" s="37" t="s">
        <v>1708</v>
      </c>
      <c r="E1431" s="37"/>
    </row>
    <row r="1432" spans="1:5" ht="18.75" customHeight="1" x14ac:dyDescent="0.25">
      <c r="A1432" s="37"/>
      <c r="B1432" s="37"/>
      <c r="C1432" s="37"/>
      <c r="D1432" s="37" t="s">
        <v>1709</v>
      </c>
      <c r="E1432" s="37"/>
    </row>
    <row r="1433" spans="1:5" ht="18.75" customHeight="1" x14ac:dyDescent="0.25">
      <c r="A1433" s="37"/>
      <c r="B1433" s="37"/>
      <c r="C1433" s="37"/>
      <c r="D1433" s="37" t="s">
        <v>1710</v>
      </c>
      <c r="E1433" s="37"/>
    </row>
    <row r="1434" spans="1:5" ht="18.75" customHeight="1" x14ac:dyDescent="0.25">
      <c r="A1434" s="37"/>
      <c r="B1434" s="37"/>
      <c r="C1434" s="37"/>
      <c r="D1434" s="37" t="s">
        <v>1711</v>
      </c>
      <c r="E1434" s="37"/>
    </row>
    <row r="1435" spans="1:5" ht="18.75" customHeight="1" x14ac:dyDescent="0.25">
      <c r="A1435" s="37"/>
      <c r="B1435" s="37"/>
      <c r="C1435" s="37"/>
      <c r="D1435" s="37" t="s">
        <v>1712</v>
      </c>
      <c r="E1435" s="37"/>
    </row>
    <row r="1436" spans="1:5" ht="18.75" customHeight="1" x14ac:dyDescent="0.25">
      <c r="A1436" s="37"/>
      <c r="B1436" s="37"/>
      <c r="C1436" s="37"/>
      <c r="D1436" s="37" t="s">
        <v>1713</v>
      </c>
      <c r="E1436" s="37"/>
    </row>
    <row r="1437" spans="1:5" ht="18.75" customHeight="1" x14ac:dyDescent="0.25">
      <c r="A1437" s="37"/>
      <c r="B1437" s="37"/>
      <c r="C1437" s="37"/>
      <c r="D1437" s="37" t="s">
        <v>1714</v>
      </c>
      <c r="E1437" s="37"/>
    </row>
    <row r="1438" spans="1:5" ht="18.75" customHeight="1" x14ac:dyDescent="0.25">
      <c r="A1438" s="37"/>
      <c r="B1438" s="37"/>
      <c r="C1438" s="37"/>
      <c r="D1438" s="37" t="s">
        <v>1715</v>
      </c>
      <c r="E1438" s="37"/>
    </row>
    <row r="1439" spans="1:5" ht="18.75" customHeight="1" x14ac:dyDescent="0.25">
      <c r="A1439" s="37"/>
      <c r="B1439" s="37"/>
      <c r="C1439" s="37"/>
      <c r="D1439" s="37" t="s">
        <v>1716</v>
      </c>
      <c r="E1439" s="37"/>
    </row>
    <row r="1440" spans="1:5" ht="18.75" customHeight="1" x14ac:dyDescent="0.25">
      <c r="A1440" s="37"/>
      <c r="B1440" s="37"/>
      <c r="C1440" s="37"/>
      <c r="D1440" s="37" t="s">
        <v>1717</v>
      </c>
      <c r="E1440" s="37"/>
    </row>
    <row r="1441" spans="1:5" ht="18.75" customHeight="1" x14ac:dyDescent="0.25">
      <c r="A1441" s="37"/>
      <c r="B1441" s="37"/>
      <c r="C1441" s="37"/>
      <c r="D1441" s="37" t="s">
        <v>1718</v>
      </c>
      <c r="E1441" s="37"/>
    </row>
    <row r="1442" spans="1:5" ht="18.75" customHeight="1" x14ac:dyDescent="0.25">
      <c r="A1442" s="37"/>
      <c r="B1442" s="37"/>
      <c r="C1442" s="37"/>
      <c r="D1442" s="37" t="s">
        <v>1719</v>
      </c>
      <c r="E1442" s="37"/>
    </row>
    <row r="1443" spans="1:5" ht="18.75" customHeight="1" x14ac:dyDescent="0.25">
      <c r="A1443" s="37"/>
      <c r="B1443" s="37"/>
      <c r="C1443" s="37"/>
      <c r="D1443" s="37" t="s">
        <v>1720</v>
      </c>
      <c r="E1443" s="37"/>
    </row>
    <row r="1444" spans="1:5" ht="18.75" customHeight="1" x14ac:dyDescent="0.25">
      <c r="A1444" s="37"/>
      <c r="B1444" s="37"/>
      <c r="C1444" s="37"/>
      <c r="D1444" s="37" t="s">
        <v>1721</v>
      </c>
      <c r="E1444" s="37"/>
    </row>
    <row r="1445" spans="1:5" ht="18.75" customHeight="1" x14ac:dyDescent="0.25">
      <c r="A1445" s="37"/>
      <c r="B1445" s="37"/>
      <c r="C1445" s="37"/>
      <c r="D1445" s="37" t="s">
        <v>1722</v>
      </c>
      <c r="E1445" s="37"/>
    </row>
    <row r="1446" spans="1:5" ht="18.75" customHeight="1" x14ac:dyDescent="0.25">
      <c r="A1446" s="37"/>
      <c r="B1446" s="37"/>
      <c r="C1446" s="37"/>
      <c r="D1446" s="37" t="s">
        <v>1723</v>
      </c>
      <c r="E1446" s="37"/>
    </row>
    <row r="1447" spans="1:5" ht="18.75" customHeight="1" x14ac:dyDescent="0.25">
      <c r="A1447" s="37"/>
      <c r="B1447" s="37"/>
      <c r="C1447" s="37"/>
      <c r="D1447" s="37" t="s">
        <v>1724</v>
      </c>
      <c r="E1447" s="37"/>
    </row>
    <row r="1448" spans="1:5" ht="18.75" customHeight="1" x14ac:dyDescent="0.25">
      <c r="A1448" s="37"/>
      <c r="B1448" s="37"/>
      <c r="C1448" s="37"/>
      <c r="D1448" s="37" t="s">
        <v>1725</v>
      </c>
      <c r="E1448" s="37"/>
    </row>
    <row r="1449" spans="1:5" ht="18.75" customHeight="1" x14ac:dyDescent="0.25">
      <c r="A1449" s="37"/>
      <c r="B1449" s="37"/>
      <c r="C1449" s="37"/>
      <c r="D1449" s="37" t="s">
        <v>1726</v>
      </c>
      <c r="E1449" s="37"/>
    </row>
    <row r="1450" spans="1:5" ht="18.75" customHeight="1" x14ac:dyDescent="0.25">
      <c r="A1450" s="37"/>
      <c r="B1450" s="37"/>
      <c r="C1450" s="37"/>
      <c r="D1450" s="37" t="s">
        <v>1727</v>
      </c>
      <c r="E1450" s="37"/>
    </row>
    <row r="1451" spans="1:5" ht="18.75" customHeight="1" x14ac:dyDescent="0.25">
      <c r="A1451" s="37"/>
      <c r="B1451" s="37"/>
      <c r="C1451" s="37"/>
      <c r="D1451" s="37" t="s">
        <v>1728</v>
      </c>
      <c r="E1451" s="37"/>
    </row>
    <row r="1452" spans="1:5" ht="18.75" customHeight="1" x14ac:dyDescent="0.25">
      <c r="A1452" s="37"/>
      <c r="B1452" s="37"/>
      <c r="C1452" s="37"/>
      <c r="D1452" s="37" t="s">
        <v>1729</v>
      </c>
      <c r="E1452" s="37"/>
    </row>
    <row r="1453" spans="1:5" ht="18.75" customHeight="1" x14ac:dyDescent="0.25">
      <c r="A1453" s="37"/>
      <c r="B1453" s="37"/>
      <c r="C1453" s="37"/>
      <c r="D1453" s="37" t="s">
        <v>1730</v>
      </c>
      <c r="E1453" s="37"/>
    </row>
    <row r="1454" spans="1:5" ht="18.75" customHeight="1" x14ac:dyDescent="0.25">
      <c r="A1454" s="37"/>
      <c r="B1454" s="37"/>
      <c r="C1454" s="37"/>
      <c r="D1454" s="37" t="s">
        <v>1731</v>
      </c>
      <c r="E1454" s="37"/>
    </row>
    <row r="1455" spans="1:5" ht="18.75" customHeight="1" x14ac:dyDescent="0.25">
      <c r="A1455" s="37"/>
      <c r="B1455" s="37"/>
      <c r="C1455" s="37"/>
      <c r="D1455" s="37" t="s">
        <v>1732</v>
      </c>
      <c r="E1455" s="37"/>
    </row>
    <row r="1456" spans="1:5" ht="18.75" customHeight="1" x14ac:dyDescent="0.25">
      <c r="A1456" s="37"/>
      <c r="B1456" s="37"/>
      <c r="C1456" s="37"/>
      <c r="D1456" s="37" t="s">
        <v>1733</v>
      </c>
      <c r="E1456" s="37"/>
    </row>
    <row r="1457" spans="1:5" ht="18.75" customHeight="1" x14ac:dyDescent="0.25">
      <c r="A1457" s="37"/>
      <c r="B1457" s="37"/>
      <c r="C1457" s="37"/>
      <c r="D1457" s="37" t="s">
        <v>1734</v>
      </c>
      <c r="E1457" s="37"/>
    </row>
    <row r="1458" spans="1:5" ht="18.75" customHeight="1" x14ac:dyDescent="0.25">
      <c r="A1458" s="37"/>
      <c r="B1458" s="37"/>
      <c r="C1458" s="37"/>
      <c r="D1458" s="37" t="s">
        <v>1735</v>
      </c>
      <c r="E1458" s="37"/>
    </row>
    <row r="1459" spans="1:5" ht="18.75" customHeight="1" x14ac:dyDescent="0.25">
      <c r="A1459" s="37"/>
      <c r="B1459" s="37"/>
      <c r="C1459" s="37"/>
      <c r="D1459" s="37" t="s">
        <v>1736</v>
      </c>
      <c r="E1459" s="37"/>
    </row>
    <row r="1460" spans="1:5" ht="18.75" customHeight="1" x14ac:dyDescent="0.25">
      <c r="A1460" s="37"/>
      <c r="B1460" s="37"/>
      <c r="C1460" s="37"/>
      <c r="D1460" s="37" t="s">
        <v>1737</v>
      </c>
      <c r="E1460" s="37"/>
    </row>
    <row r="1461" spans="1:5" ht="18.75" customHeight="1" x14ac:dyDescent="0.25">
      <c r="A1461" s="37"/>
      <c r="B1461" s="37"/>
      <c r="C1461" s="37"/>
      <c r="D1461" s="37" t="s">
        <v>1738</v>
      </c>
      <c r="E1461" s="37"/>
    </row>
    <row r="1462" spans="1:5" ht="18.75" customHeight="1" x14ac:dyDescent="0.25">
      <c r="A1462" s="37"/>
      <c r="B1462" s="37"/>
      <c r="C1462" s="37"/>
      <c r="D1462" s="37" t="s">
        <v>1739</v>
      </c>
      <c r="E1462" s="37"/>
    </row>
    <row r="1463" spans="1:5" ht="18.75" customHeight="1" x14ac:dyDescent="0.25">
      <c r="A1463" s="37"/>
      <c r="B1463" s="37"/>
      <c r="C1463" s="37"/>
      <c r="D1463" s="37" t="s">
        <v>1740</v>
      </c>
      <c r="E1463" s="37"/>
    </row>
    <row r="1464" spans="1:5" ht="18.75" customHeight="1" x14ac:dyDescent="0.25">
      <c r="A1464" s="37"/>
      <c r="B1464" s="37"/>
      <c r="C1464" s="37"/>
      <c r="D1464" s="37" t="s">
        <v>1741</v>
      </c>
      <c r="E1464" s="37"/>
    </row>
    <row r="1465" spans="1:5" ht="18.75" customHeight="1" x14ac:dyDescent="0.25">
      <c r="A1465" s="37"/>
      <c r="B1465" s="37"/>
      <c r="C1465" s="37"/>
      <c r="D1465" s="37" t="s">
        <v>1742</v>
      </c>
      <c r="E1465" s="37"/>
    </row>
    <row r="1466" spans="1:5" ht="18.75" customHeight="1" x14ac:dyDescent="0.25">
      <c r="A1466" s="37"/>
      <c r="B1466" s="37"/>
      <c r="C1466" s="37"/>
      <c r="D1466" s="37" t="s">
        <v>1743</v>
      </c>
      <c r="E1466" s="37"/>
    </row>
    <row r="1467" spans="1:5" ht="18.75" customHeight="1" x14ac:dyDescent="0.25">
      <c r="A1467" s="37"/>
      <c r="B1467" s="37"/>
      <c r="C1467" s="37"/>
      <c r="D1467" s="37" t="s">
        <v>1744</v>
      </c>
      <c r="E1467" s="37"/>
    </row>
    <row r="1468" spans="1:5" ht="18.75" customHeight="1" x14ac:dyDescent="0.25">
      <c r="A1468" s="37"/>
      <c r="B1468" s="37"/>
      <c r="C1468" s="37"/>
      <c r="D1468" s="37" t="s">
        <v>1745</v>
      </c>
      <c r="E1468" s="37"/>
    </row>
    <row r="1469" spans="1:5" ht="18.75" customHeight="1" x14ac:dyDescent="0.25">
      <c r="A1469" s="37"/>
      <c r="B1469" s="37"/>
      <c r="C1469" s="37"/>
      <c r="D1469" s="37" t="s">
        <v>1746</v>
      </c>
      <c r="E1469" s="37"/>
    </row>
    <row r="1470" spans="1:5" ht="18.75" customHeight="1" x14ac:dyDescent="0.25">
      <c r="A1470" s="37"/>
      <c r="B1470" s="37"/>
      <c r="C1470" s="37"/>
      <c r="D1470" s="37" t="s">
        <v>1747</v>
      </c>
      <c r="E1470" s="37"/>
    </row>
    <row r="1471" spans="1:5" ht="18.75" customHeight="1" x14ac:dyDescent="0.25">
      <c r="A1471" s="37"/>
      <c r="B1471" s="37"/>
      <c r="C1471" s="37"/>
      <c r="D1471" s="37" t="s">
        <v>1748</v>
      </c>
      <c r="E1471" s="37"/>
    </row>
    <row r="1472" spans="1:5" ht="18.75" customHeight="1" x14ac:dyDescent="0.25">
      <c r="A1472" s="37"/>
      <c r="B1472" s="37"/>
      <c r="C1472" s="37"/>
      <c r="D1472" s="37" t="s">
        <v>1749</v>
      </c>
      <c r="E1472" s="37"/>
    </row>
    <row r="1473" spans="1:5" ht="18.75" customHeight="1" x14ac:dyDescent="0.25">
      <c r="A1473" s="37"/>
      <c r="B1473" s="37"/>
      <c r="C1473" s="37"/>
      <c r="D1473" s="37" t="s">
        <v>1750</v>
      </c>
      <c r="E1473" s="37"/>
    </row>
    <row r="1474" spans="1:5" ht="18.75" customHeight="1" x14ac:dyDescent="0.25">
      <c r="A1474" s="37"/>
      <c r="B1474" s="37"/>
      <c r="C1474" s="37"/>
      <c r="D1474" s="37" t="s">
        <v>1751</v>
      </c>
      <c r="E1474" s="37"/>
    </row>
    <row r="1475" spans="1:5" ht="18.75" customHeight="1" x14ac:dyDescent="0.25">
      <c r="A1475" s="37"/>
      <c r="B1475" s="37"/>
      <c r="C1475" s="37"/>
      <c r="D1475" s="37" t="s">
        <v>1752</v>
      </c>
      <c r="E1475" s="37"/>
    </row>
    <row r="1476" spans="1:5" ht="18.75" customHeight="1" x14ac:dyDescent="0.25">
      <c r="A1476" s="37"/>
      <c r="B1476" s="37"/>
      <c r="C1476" s="37"/>
      <c r="D1476" s="37" t="s">
        <v>1753</v>
      </c>
      <c r="E1476" s="37"/>
    </row>
    <row r="1477" spans="1:5" ht="18.75" customHeight="1" x14ac:dyDescent="0.25">
      <c r="A1477" s="37"/>
      <c r="B1477" s="37"/>
      <c r="C1477" s="37"/>
      <c r="D1477" s="37" t="s">
        <v>1754</v>
      </c>
      <c r="E1477" s="37"/>
    </row>
    <row r="1478" spans="1:5" ht="18.75" customHeight="1" x14ac:dyDescent="0.25">
      <c r="A1478" s="37"/>
      <c r="B1478" s="37"/>
      <c r="C1478" s="37"/>
      <c r="D1478" s="37" t="s">
        <v>1755</v>
      </c>
      <c r="E1478" s="37"/>
    </row>
    <row r="1479" spans="1:5" ht="18.75" customHeight="1" x14ac:dyDescent="0.25">
      <c r="A1479" s="37"/>
      <c r="B1479" s="37"/>
      <c r="C1479" s="37"/>
      <c r="D1479" s="37" t="s">
        <v>1756</v>
      </c>
      <c r="E1479" s="37"/>
    </row>
    <row r="1480" spans="1:5" ht="18.75" customHeight="1" x14ac:dyDescent="0.25">
      <c r="A1480" s="37"/>
      <c r="B1480" s="37"/>
      <c r="C1480" s="37"/>
      <c r="D1480" s="37" t="s">
        <v>1757</v>
      </c>
      <c r="E1480" s="37"/>
    </row>
    <row r="1481" spans="1:5" ht="18.75" customHeight="1" x14ac:dyDescent="0.25">
      <c r="A1481" s="37"/>
      <c r="B1481" s="37"/>
      <c r="C1481" s="37"/>
      <c r="D1481" s="37" t="s">
        <v>1758</v>
      </c>
      <c r="E1481" s="37"/>
    </row>
    <row r="1482" spans="1:5" ht="18.75" customHeight="1" x14ac:dyDescent="0.25">
      <c r="A1482" s="37"/>
      <c r="B1482" s="37"/>
      <c r="C1482" s="37"/>
      <c r="D1482" s="37" t="s">
        <v>1759</v>
      </c>
      <c r="E1482" s="37"/>
    </row>
    <row r="1483" spans="1:5" ht="18.75" customHeight="1" x14ac:dyDescent="0.25">
      <c r="A1483" s="37"/>
      <c r="B1483" s="37"/>
      <c r="C1483" s="37"/>
      <c r="D1483" s="37" t="s">
        <v>1760</v>
      </c>
      <c r="E1483" s="37"/>
    </row>
    <row r="1484" spans="1:5" ht="18.75" customHeight="1" x14ac:dyDescent="0.25">
      <c r="A1484" s="37"/>
      <c r="B1484" s="37"/>
      <c r="C1484" s="37"/>
      <c r="D1484" s="37" t="s">
        <v>1761</v>
      </c>
      <c r="E1484" s="37"/>
    </row>
    <row r="1485" spans="1:5" ht="18.75" customHeight="1" x14ac:dyDescent="0.25">
      <c r="A1485" s="37"/>
      <c r="B1485" s="37"/>
      <c r="C1485" s="37"/>
      <c r="D1485" s="37" t="s">
        <v>1762</v>
      </c>
      <c r="E1485" s="37"/>
    </row>
    <row r="1486" spans="1:5" ht="18.75" customHeight="1" x14ac:dyDescent="0.25">
      <c r="A1486" s="37"/>
      <c r="B1486" s="37"/>
      <c r="C1486" s="37"/>
      <c r="D1486" s="37" t="s">
        <v>1763</v>
      </c>
      <c r="E1486" s="37"/>
    </row>
    <row r="1487" spans="1:5" ht="18.75" customHeight="1" x14ac:dyDescent="0.25">
      <c r="A1487" s="37"/>
      <c r="B1487" s="37"/>
      <c r="C1487" s="37"/>
      <c r="D1487" s="37" t="s">
        <v>1764</v>
      </c>
      <c r="E1487" s="37"/>
    </row>
    <row r="1488" spans="1:5" ht="18.75" customHeight="1" x14ac:dyDescent="0.25">
      <c r="A1488" s="37"/>
      <c r="B1488" s="37"/>
      <c r="C1488" s="37"/>
      <c r="D1488" s="37" t="s">
        <v>1765</v>
      </c>
      <c r="E1488" s="37"/>
    </row>
    <row r="1489" spans="1:5" ht="18.75" customHeight="1" x14ac:dyDescent="0.25">
      <c r="A1489" s="37"/>
      <c r="B1489" s="37"/>
      <c r="C1489" s="37"/>
      <c r="D1489" s="37" t="s">
        <v>1766</v>
      </c>
      <c r="E1489" s="37"/>
    </row>
    <row r="1490" spans="1:5" ht="18.75" customHeight="1" x14ac:dyDescent="0.25">
      <c r="A1490" s="37"/>
      <c r="B1490" s="37"/>
      <c r="C1490" s="37"/>
      <c r="D1490" s="37" t="s">
        <v>1767</v>
      </c>
      <c r="E1490" s="37"/>
    </row>
    <row r="1491" spans="1:5" ht="18.75" customHeight="1" x14ac:dyDescent="0.25">
      <c r="A1491" s="37"/>
      <c r="B1491" s="37"/>
      <c r="C1491" s="37"/>
      <c r="D1491" s="37" t="s">
        <v>1768</v>
      </c>
      <c r="E1491" s="37"/>
    </row>
    <row r="1492" spans="1:5" ht="18.75" customHeight="1" x14ac:dyDescent="0.25">
      <c r="A1492" s="37"/>
      <c r="B1492" s="37"/>
      <c r="C1492" s="37"/>
      <c r="D1492" s="37" t="s">
        <v>1769</v>
      </c>
      <c r="E1492" s="37"/>
    </row>
    <row r="1493" spans="1:5" ht="18.75" customHeight="1" x14ac:dyDescent="0.25">
      <c r="A1493" s="37"/>
      <c r="B1493" s="37"/>
      <c r="C1493" s="37"/>
      <c r="D1493" s="37" t="s">
        <v>1770</v>
      </c>
      <c r="E1493" s="37"/>
    </row>
    <row r="1494" spans="1:5" ht="18.75" customHeight="1" x14ac:dyDescent="0.25">
      <c r="A1494" s="37"/>
      <c r="B1494" s="37"/>
      <c r="C1494" s="37"/>
      <c r="D1494" s="37" t="s">
        <v>1771</v>
      </c>
      <c r="E1494" s="37"/>
    </row>
    <row r="1495" spans="1:5" ht="18.75" customHeight="1" x14ac:dyDescent="0.25">
      <c r="A1495" s="37"/>
      <c r="B1495" s="37"/>
      <c r="C1495" s="37"/>
      <c r="D1495" s="37" t="s">
        <v>1772</v>
      </c>
      <c r="E1495" s="37"/>
    </row>
    <row r="1496" spans="1:5" ht="18.75" customHeight="1" x14ac:dyDescent="0.25">
      <c r="A1496" s="37"/>
      <c r="B1496" s="37"/>
      <c r="C1496" s="37"/>
      <c r="D1496" s="37" t="s">
        <v>1773</v>
      </c>
      <c r="E1496" s="37"/>
    </row>
    <row r="1497" spans="1:5" ht="18.75" customHeight="1" x14ac:dyDescent="0.25">
      <c r="A1497" s="37"/>
      <c r="B1497" s="37"/>
      <c r="C1497" s="37"/>
      <c r="D1497" s="37" t="s">
        <v>1774</v>
      </c>
      <c r="E1497" s="37"/>
    </row>
    <row r="1498" spans="1:5" ht="18.75" customHeight="1" x14ac:dyDescent="0.25">
      <c r="A1498" s="37"/>
      <c r="B1498" s="37"/>
      <c r="C1498" s="37"/>
      <c r="D1498" s="37" t="s">
        <v>1775</v>
      </c>
      <c r="E1498" s="37"/>
    </row>
    <row r="1499" spans="1:5" ht="18.75" customHeight="1" x14ac:dyDescent="0.25">
      <c r="A1499" s="37"/>
      <c r="B1499" s="37"/>
      <c r="C1499" s="37"/>
      <c r="D1499" s="37" t="s">
        <v>1776</v>
      </c>
      <c r="E1499" s="37"/>
    </row>
    <row r="1500" spans="1:5" ht="18.75" customHeight="1" x14ac:dyDescent="0.25">
      <c r="A1500" s="37"/>
      <c r="B1500" s="37"/>
      <c r="C1500" s="37"/>
      <c r="D1500" s="37" t="s">
        <v>1777</v>
      </c>
      <c r="E1500" s="37"/>
    </row>
    <row r="1501" spans="1:5" ht="18.75" customHeight="1" x14ac:dyDescent="0.25">
      <c r="A1501" s="37"/>
      <c r="B1501" s="37"/>
      <c r="C1501" s="37"/>
      <c r="D1501" s="37" t="s">
        <v>1778</v>
      </c>
      <c r="E1501" s="37"/>
    </row>
    <row r="1502" spans="1:5" ht="18.75" customHeight="1" x14ac:dyDescent="0.25">
      <c r="A1502" s="37"/>
      <c r="B1502" s="37"/>
      <c r="C1502" s="37"/>
      <c r="D1502" s="37" t="s">
        <v>1779</v>
      </c>
      <c r="E1502" s="37"/>
    </row>
    <row r="1503" spans="1:5" ht="18.75" customHeight="1" x14ac:dyDescent="0.25">
      <c r="A1503" s="37"/>
      <c r="B1503" s="37"/>
      <c r="C1503" s="37"/>
      <c r="D1503" s="37" t="s">
        <v>1780</v>
      </c>
      <c r="E1503" s="37"/>
    </row>
    <row r="1504" spans="1:5" ht="18.75" customHeight="1" x14ac:dyDescent="0.25">
      <c r="A1504" s="37"/>
      <c r="B1504" s="37"/>
      <c r="C1504" s="37"/>
      <c r="D1504" s="37" t="s">
        <v>1781</v>
      </c>
      <c r="E1504" s="37"/>
    </row>
    <row r="1505" spans="1:5" ht="18.75" customHeight="1" x14ac:dyDescent="0.25">
      <c r="A1505" s="37"/>
      <c r="B1505" s="37"/>
      <c r="C1505" s="37"/>
      <c r="D1505" s="37" t="s">
        <v>1782</v>
      </c>
      <c r="E1505" s="37"/>
    </row>
    <row r="1506" spans="1:5" ht="18.75" customHeight="1" x14ac:dyDescent="0.25">
      <c r="A1506" s="37"/>
      <c r="B1506" s="37"/>
      <c r="C1506" s="37"/>
      <c r="D1506" s="37" t="s">
        <v>1783</v>
      </c>
      <c r="E1506" s="37"/>
    </row>
    <row r="1507" spans="1:5" ht="18.75" customHeight="1" x14ac:dyDescent="0.25">
      <c r="A1507" s="37"/>
      <c r="B1507" s="37"/>
      <c r="C1507" s="37"/>
      <c r="D1507" s="37" t="s">
        <v>1784</v>
      </c>
      <c r="E1507" s="37"/>
    </row>
    <row r="1508" spans="1:5" ht="18.75" customHeight="1" x14ac:dyDescent="0.25">
      <c r="A1508" s="37"/>
      <c r="B1508" s="37"/>
      <c r="C1508" s="37"/>
      <c r="D1508" s="37" t="s">
        <v>1785</v>
      </c>
      <c r="E1508" s="37"/>
    </row>
    <row r="1509" spans="1:5" ht="18.75" customHeight="1" x14ac:dyDescent="0.25">
      <c r="A1509" s="37"/>
      <c r="B1509" s="37"/>
      <c r="C1509" s="37"/>
      <c r="D1509" s="37" t="s">
        <v>1786</v>
      </c>
      <c r="E1509" s="37"/>
    </row>
    <row r="1510" spans="1:5" ht="18.75" customHeight="1" x14ac:dyDescent="0.25">
      <c r="A1510" s="37"/>
      <c r="B1510" s="37"/>
      <c r="C1510" s="37"/>
      <c r="D1510" s="37" t="s">
        <v>1787</v>
      </c>
      <c r="E1510" s="37"/>
    </row>
    <row r="1511" spans="1:5" ht="18.75" customHeight="1" x14ac:dyDescent="0.25">
      <c r="A1511" s="37"/>
      <c r="B1511" s="37"/>
      <c r="C1511" s="37"/>
      <c r="D1511" s="37" t="s">
        <v>1788</v>
      </c>
      <c r="E1511" s="37"/>
    </row>
    <row r="1512" spans="1:5" ht="18.75" customHeight="1" x14ac:dyDescent="0.25">
      <c r="A1512" s="37"/>
      <c r="B1512" s="37"/>
      <c r="C1512" s="37"/>
      <c r="D1512" s="37" t="s">
        <v>1789</v>
      </c>
      <c r="E1512" s="37"/>
    </row>
    <row r="1513" spans="1:5" ht="18.75" customHeight="1" x14ac:dyDescent="0.25">
      <c r="A1513" s="37"/>
      <c r="B1513" s="37"/>
      <c r="C1513" s="37"/>
      <c r="D1513" s="37" t="s">
        <v>1790</v>
      </c>
      <c r="E1513" s="37"/>
    </row>
    <row r="1514" spans="1:5" ht="18.75" customHeight="1" x14ac:dyDescent="0.25">
      <c r="A1514" s="37"/>
      <c r="B1514" s="37"/>
      <c r="C1514" s="37"/>
      <c r="D1514" s="37" t="s">
        <v>1791</v>
      </c>
      <c r="E1514" s="37"/>
    </row>
    <row r="1515" spans="1:5" ht="18.75" customHeight="1" x14ac:dyDescent="0.25">
      <c r="A1515" s="37"/>
      <c r="B1515" s="37"/>
      <c r="C1515" s="37"/>
      <c r="D1515" s="37" t="s">
        <v>1792</v>
      </c>
      <c r="E1515" s="37"/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6"/>
  <sheetViews>
    <sheetView workbookViewId="0"/>
  </sheetViews>
  <sheetFormatPr defaultRowHeight="14.4" x14ac:dyDescent="0.25"/>
  <cols>
    <col min="1" max="2" width="12.6640625" style="24" bestFit="1" customWidth="1"/>
    <col min="3" max="3" width="27" bestFit="1" customWidth="1"/>
  </cols>
  <sheetData>
    <row r="1" spans="1:3" ht="18.75" customHeight="1" x14ac:dyDescent="0.3">
      <c r="A1" s="6" t="s">
        <v>116</v>
      </c>
      <c r="B1" s="6" t="s">
        <v>117</v>
      </c>
      <c r="C1" s="1" t="s">
        <v>118</v>
      </c>
    </row>
    <row r="2" spans="1:3" ht="18.75" customHeight="1" x14ac:dyDescent="0.3">
      <c r="A2" s="10">
        <v>1</v>
      </c>
      <c r="B2" s="10">
        <v>1</v>
      </c>
      <c r="C2" s="25" t="s">
        <v>119</v>
      </c>
    </row>
    <row r="3" spans="1:3" ht="18.75" customHeight="1" x14ac:dyDescent="0.3">
      <c r="A3" s="10">
        <v>2</v>
      </c>
      <c r="B3" s="10">
        <v>1</v>
      </c>
      <c r="C3" s="1" t="s">
        <v>120</v>
      </c>
    </row>
    <row r="4" spans="1:3" ht="18.75" customHeight="1" x14ac:dyDescent="0.3">
      <c r="A4" s="10">
        <v>3</v>
      </c>
      <c r="B4" s="10">
        <v>1</v>
      </c>
      <c r="C4" s="1" t="s">
        <v>121</v>
      </c>
    </row>
    <row r="5" spans="1:3" ht="18.75" customHeight="1" x14ac:dyDescent="0.3">
      <c r="A5" s="10">
        <v>4</v>
      </c>
      <c r="B5" s="10">
        <v>1</v>
      </c>
      <c r="C5" s="1" t="s">
        <v>122</v>
      </c>
    </row>
    <row r="6" spans="1:3" ht="18.75" customHeight="1" x14ac:dyDescent="0.3">
      <c r="A6" s="10">
        <v>5</v>
      </c>
      <c r="B6" s="10">
        <v>1</v>
      </c>
      <c r="C6" s="1" t="s">
        <v>123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41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3.5546875" style="24" bestFit="1" customWidth="1"/>
    <col min="2" max="2" width="27" bestFit="1" customWidth="1"/>
    <col min="3" max="3" width="13.5546875" style="35" bestFit="1" customWidth="1"/>
    <col min="4" max="4" width="8.44140625" style="24" bestFit="1" customWidth="1"/>
    <col min="5" max="5" width="8" style="24" bestFit="1" customWidth="1"/>
    <col min="6" max="6" width="8.5546875" bestFit="1" customWidth="1"/>
    <col min="7" max="7" width="10" bestFit="1" customWidth="1"/>
    <col min="8" max="8" width="13.5546875" style="24" bestFit="1" customWidth="1"/>
    <col min="9" max="9" width="157.5546875" bestFit="1" customWidth="1"/>
  </cols>
  <sheetData>
    <row r="1" spans="1:9" ht="18.75" customHeight="1" x14ac:dyDescent="0.3">
      <c r="A1" s="6" t="s">
        <v>82</v>
      </c>
      <c r="B1" s="25" t="s">
        <v>83</v>
      </c>
      <c r="C1" s="25" t="s">
        <v>84</v>
      </c>
      <c r="D1" s="26" t="s">
        <v>19</v>
      </c>
      <c r="E1" s="27" t="s">
        <v>85</v>
      </c>
      <c r="F1" s="25" t="s">
        <v>86</v>
      </c>
      <c r="G1" s="1" t="s">
        <v>87</v>
      </c>
      <c r="H1" s="26" t="s">
        <v>88</v>
      </c>
      <c r="I1" s="25" t="s">
        <v>89</v>
      </c>
    </row>
    <row r="2" spans="1:9" ht="18.75" customHeight="1" x14ac:dyDescent="0.3">
      <c r="A2" s="28">
        <v>1</v>
      </c>
      <c r="B2" s="22" t="s">
        <v>90</v>
      </c>
      <c r="C2" s="21" t="s">
        <v>16</v>
      </c>
      <c r="D2" s="28">
        <v>4</v>
      </c>
      <c r="E2" s="29">
        <v>5000</v>
      </c>
      <c r="F2" s="30" t="s">
        <v>16</v>
      </c>
      <c r="G2" s="21" t="s">
        <v>91</v>
      </c>
      <c r="H2" s="28">
        <v>2</v>
      </c>
      <c r="I2" s="9" t="s">
        <v>92</v>
      </c>
    </row>
    <row r="3" spans="1:9" ht="18.75" customHeight="1" x14ac:dyDescent="0.3">
      <c r="A3" s="28">
        <v>2</v>
      </c>
      <c r="B3" s="3" t="s">
        <v>93</v>
      </c>
      <c r="C3" s="1" t="s">
        <v>16</v>
      </c>
      <c r="D3" s="10">
        <v>0</v>
      </c>
      <c r="E3" s="31">
        <v>0</v>
      </c>
      <c r="F3" s="4" t="s">
        <v>16</v>
      </c>
      <c r="G3" s="1" t="s">
        <v>91</v>
      </c>
      <c r="H3" s="10">
        <v>2</v>
      </c>
      <c r="I3" s="3" t="s">
        <v>94</v>
      </c>
    </row>
    <row r="4" spans="1:9" ht="18.75" customHeight="1" x14ac:dyDescent="0.3">
      <c r="A4" s="32">
        <v>3</v>
      </c>
      <c r="B4" s="22" t="s">
        <v>37</v>
      </c>
      <c r="C4" s="22" t="s">
        <v>16</v>
      </c>
      <c r="D4" s="32">
        <v>8</v>
      </c>
      <c r="E4" s="29">
        <v>1000</v>
      </c>
      <c r="F4" s="4" t="s">
        <v>16</v>
      </c>
      <c r="G4" s="22" t="s">
        <v>91</v>
      </c>
      <c r="H4" s="32">
        <v>2</v>
      </c>
      <c r="I4" s="9" t="s">
        <v>95</v>
      </c>
    </row>
    <row r="5" spans="1:9" ht="18.75" customHeight="1" x14ac:dyDescent="0.3">
      <c r="A5" s="28">
        <v>4</v>
      </c>
      <c r="B5" s="33" t="s">
        <v>96</v>
      </c>
      <c r="C5" s="22" t="s">
        <v>16</v>
      </c>
      <c r="D5" s="28">
        <v>4</v>
      </c>
      <c r="E5" s="29">
        <v>60000</v>
      </c>
      <c r="F5" s="4" t="s">
        <v>16</v>
      </c>
      <c r="G5" s="21" t="s">
        <v>91</v>
      </c>
      <c r="H5" s="28">
        <v>2</v>
      </c>
      <c r="I5" s="9" t="s">
        <v>92</v>
      </c>
    </row>
    <row r="6" spans="1:9" ht="18.75" customHeight="1" x14ac:dyDescent="0.3">
      <c r="A6" s="28">
        <v>5</v>
      </c>
      <c r="B6" s="1" t="s">
        <v>39</v>
      </c>
      <c r="C6" s="1" t="s">
        <v>16</v>
      </c>
      <c r="D6" s="10">
        <v>9</v>
      </c>
      <c r="E6" s="31">
        <v>200</v>
      </c>
      <c r="F6" s="4" t="s">
        <v>16</v>
      </c>
      <c r="G6" s="1" t="s">
        <v>91</v>
      </c>
      <c r="H6" s="10">
        <v>1</v>
      </c>
    </row>
    <row r="7" spans="1:9" ht="18.75" customHeight="1" x14ac:dyDescent="0.3">
      <c r="A7" s="28">
        <v>6</v>
      </c>
      <c r="B7" s="1" t="s">
        <v>41</v>
      </c>
      <c r="C7" s="1" t="s">
        <v>16</v>
      </c>
      <c r="D7" s="10">
        <v>10</v>
      </c>
      <c r="E7" s="31">
        <v>200</v>
      </c>
      <c r="F7" s="4" t="s">
        <v>16</v>
      </c>
      <c r="G7" s="1" t="s">
        <v>91</v>
      </c>
      <c r="H7" s="10">
        <v>1</v>
      </c>
    </row>
    <row r="8" spans="1:9" ht="18.75" customHeight="1" x14ac:dyDescent="0.3">
      <c r="A8" s="28">
        <v>7</v>
      </c>
      <c r="B8" s="3" t="s">
        <v>42</v>
      </c>
      <c r="C8" s="1" t="s">
        <v>16</v>
      </c>
      <c r="D8" s="10">
        <v>11</v>
      </c>
      <c r="E8" s="31">
        <v>3000</v>
      </c>
      <c r="F8" s="4" t="s">
        <v>16</v>
      </c>
      <c r="G8" s="1" t="s">
        <v>91</v>
      </c>
      <c r="H8" s="10">
        <v>1</v>
      </c>
    </row>
    <row r="9" spans="1:9" ht="18.75" customHeight="1" x14ac:dyDescent="0.3">
      <c r="A9" s="28">
        <v>8</v>
      </c>
      <c r="B9" s="3" t="s">
        <v>43</v>
      </c>
      <c r="C9" s="1" t="s">
        <v>16</v>
      </c>
      <c r="D9" s="10">
        <v>12</v>
      </c>
      <c r="E9" s="31">
        <v>3000</v>
      </c>
      <c r="F9" s="4" t="s">
        <v>16</v>
      </c>
      <c r="G9" s="1" t="s">
        <v>91</v>
      </c>
      <c r="H9" s="10">
        <v>1</v>
      </c>
    </row>
    <row r="10" spans="1:9" ht="18.75" customHeight="1" x14ac:dyDescent="0.3">
      <c r="A10" s="28">
        <v>9</v>
      </c>
      <c r="B10" s="1" t="s">
        <v>44</v>
      </c>
      <c r="C10" s="1" t="s">
        <v>16</v>
      </c>
      <c r="D10" s="10">
        <v>13</v>
      </c>
      <c r="E10" s="31">
        <v>3000</v>
      </c>
      <c r="F10" s="4" t="s">
        <v>16</v>
      </c>
      <c r="G10" s="1" t="s">
        <v>91</v>
      </c>
      <c r="H10" s="10">
        <v>1</v>
      </c>
    </row>
    <row r="11" spans="1:9" ht="18.75" customHeight="1" x14ac:dyDescent="0.3">
      <c r="A11" s="28">
        <v>10</v>
      </c>
      <c r="B11" s="1" t="s">
        <v>45</v>
      </c>
      <c r="C11" s="1" t="s">
        <v>16</v>
      </c>
      <c r="D11" s="10">
        <v>14</v>
      </c>
      <c r="E11" s="31">
        <v>3000</v>
      </c>
      <c r="F11" s="4" t="s">
        <v>16</v>
      </c>
      <c r="G11" s="1" t="s">
        <v>91</v>
      </c>
      <c r="H11" s="10">
        <v>1</v>
      </c>
    </row>
    <row r="12" spans="1:9" ht="18.75" customHeight="1" x14ac:dyDescent="0.3">
      <c r="A12" s="28">
        <v>11</v>
      </c>
      <c r="B12" s="1" t="s">
        <v>46</v>
      </c>
      <c r="C12" s="1" t="s">
        <v>16</v>
      </c>
      <c r="D12" s="10">
        <v>15</v>
      </c>
      <c r="E12" s="31">
        <v>60000</v>
      </c>
      <c r="F12" s="4" t="s">
        <v>16</v>
      </c>
      <c r="G12" s="1" t="s">
        <v>91</v>
      </c>
      <c r="H12" s="10">
        <v>1</v>
      </c>
    </row>
    <row r="13" spans="1:9" ht="18.75" customHeight="1" x14ac:dyDescent="0.3">
      <c r="A13" s="28">
        <v>12</v>
      </c>
      <c r="B13" s="1" t="s">
        <v>47</v>
      </c>
      <c r="C13" s="1" t="s">
        <v>16</v>
      </c>
      <c r="D13" s="10">
        <v>16</v>
      </c>
      <c r="E13" s="31">
        <v>60000</v>
      </c>
      <c r="F13" s="4" t="s">
        <v>16</v>
      </c>
      <c r="G13" s="1" t="s">
        <v>91</v>
      </c>
      <c r="H13" s="10">
        <v>1</v>
      </c>
    </row>
    <row r="14" spans="1:9" ht="18.75" customHeight="1" x14ac:dyDescent="0.3">
      <c r="A14" s="28">
        <v>13</v>
      </c>
      <c r="B14" s="3" t="s">
        <v>48</v>
      </c>
      <c r="C14" s="1" t="s">
        <v>16</v>
      </c>
      <c r="D14" s="10">
        <v>17</v>
      </c>
      <c r="E14" s="31">
        <v>5000</v>
      </c>
      <c r="F14" s="4" t="s">
        <v>16</v>
      </c>
      <c r="G14" s="1" t="s">
        <v>91</v>
      </c>
      <c r="H14" s="10">
        <v>1</v>
      </c>
    </row>
    <row r="15" spans="1:9" ht="18.75" customHeight="1" x14ac:dyDescent="0.3">
      <c r="A15" s="28">
        <v>14</v>
      </c>
      <c r="B15" s="1" t="s">
        <v>49</v>
      </c>
      <c r="C15" s="1" t="s">
        <v>16</v>
      </c>
      <c r="D15" s="10">
        <v>18</v>
      </c>
      <c r="E15" s="31">
        <v>60000</v>
      </c>
      <c r="F15" s="4" t="s">
        <v>16</v>
      </c>
      <c r="G15" s="1" t="s">
        <v>91</v>
      </c>
      <c r="H15" s="10">
        <v>1</v>
      </c>
    </row>
    <row r="16" spans="1:9" ht="18.75" customHeight="1" x14ac:dyDescent="0.3">
      <c r="A16" s="28">
        <v>15</v>
      </c>
      <c r="B16" s="3" t="s">
        <v>50</v>
      </c>
      <c r="C16" s="1" t="s">
        <v>16</v>
      </c>
      <c r="D16" s="10">
        <v>19</v>
      </c>
      <c r="E16" s="31">
        <v>5000</v>
      </c>
      <c r="F16" s="4" t="s">
        <v>16</v>
      </c>
      <c r="G16" s="1" t="s">
        <v>91</v>
      </c>
      <c r="H16" s="10">
        <v>1</v>
      </c>
    </row>
    <row r="17" spans="1:9" ht="18.75" customHeight="1" x14ac:dyDescent="0.3">
      <c r="A17" s="28">
        <v>16</v>
      </c>
      <c r="B17" s="19" t="s">
        <v>51</v>
      </c>
      <c r="C17" s="1" t="s">
        <v>16</v>
      </c>
      <c r="D17" s="10">
        <v>20</v>
      </c>
      <c r="E17" s="31">
        <v>5000</v>
      </c>
      <c r="F17" s="4" t="s">
        <v>16</v>
      </c>
      <c r="G17" s="1" t="s">
        <v>91</v>
      </c>
      <c r="H17" s="10">
        <v>1</v>
      </c>
    </row>
    <row r="18" spans="1:9" ht="18.75" customHeight="1" x14ac:dyDescent="0.3">
      <c r="A18" s="28">
        <v>17</v>
      </c>
      <c r="B18" s="19" t="s">
        <v>52</v>
      </c>
      <c r="C18" s="1" t="s">
        <v>16</v>
      </c>
      <c r="D18" s="10">
        <v>21</v>
      </c>
      <c r="E18" s="31">
        <v>5000</v>
      </c>
      <c r="F18" s="4" t="s">
        <v>16</v>
      </c>
      <c r="G18" s="1" t="s">
        <v>91</v>
      </c>
      <c r="H18" s="10">
        <v>1</v>
      </c>
    </row>
    <row r="19" spans="1:9" ht="18.75" customHeight="1" x14ac:dyDescent="0.25">
      <c r="A19" s="32">
        <v>18</v>
      </c>
      <c r="B19" s="20" t="s">
        <v>97</v>
      </c>
      <c r="C19" s="3" t="s">
        <v>16</v>
      </c>
      <c r="D19" s="11">
        <v>22</v>
      </c>
      <c r="E19" s="11">
        <v>5000</v>
      </c>
      <c r="F19" s="34" t="s">
        <v>16</v>
      </c>
      <c r="G19" s="3" t="s">
        <v>91</v>
      </c>
      <c r="H19" s="11">
        <v>1</v>
      </c>
    </row>
    <row r="20" spans="1:9" ht="18.75" customHeight="1" x14ac:dyDescent="0.3">
      <c r="A20" s="28">
        <v>19</v>
      </c>
      <c r="B20" s="19" t="s">
        <v>54</v>
      </c>
      <c r="C20" s="1" t="s">
        <v>16</v>
      </c>
      <c r="D20" s="10">
        <v>23</v>
      </c>
      <c r="E20" s="31">
        <v>5000</v>
      </c>
      <c r="F20" s="4" t="s">
        <v>16</v>
      </c>
      <c r="G20" s="1" t="s">
        <v>91</v>
      </c>
      <c r="H20" s="10">
        <v>1</v>
      </c>
    </row>
    <row r="21" spans="1:9" ht="18.75" customHeight="1" x14ac:dyDescent="0.3">
      <c r="A21" s="28">
        <v>20</v>
      </c>
      <c r="B21" s="19" t="s">
        <v>55</v>
      </c>
      <c r="C21" s="1" t="s">
        <v>16</v>
      </c>
      <c r="D21" s="10">
        <v>24</v>
      </c>
      <c r="E21" s="31">
        <v>5000</v>
      </c>
      <c r="F21" s="4" t="s">
        <v>16</v>
      </c>
      <c r="G21" s="1" t="s">
        <v>91</v>
      </c>
      <c r="H21" s="10">
        <v>1</v>
      </c>
    </row>
    <row r="22" spans="1:9" ht="18.75" customHeight="1" x14ac:dyDescent="0.25">
      <c r="A22" s="32">
        <v>21</v>
      </c>
      <c r="B22" s="20" t="s">
        <v>98</v>
      </c>
      <c r="C22" s="3" t="s">
        <v>16</v>
      </c>
      <c r="D22" s="11">
        <v>4</v>
      </c>
      <c r="E22" s="11">
        <v>5000</v>
      </c>
      <c r="F22" s="34" t="s">
        <v>16</v>
      </c>
      <c r="G22" s="3" t="s">
        <v>91</v>
      </c>
      <c r="H22" s="11">
        <v>1</v>
      </c>
    </row>
    <row r="23" spans="1:9" ht="18.75" customHeight="1" x14ac:dyDescent="0.25">
      <c r="A23" s="32">
        <v>22</v>
      </c>
      <c r="B23" s="3" t="s">
        <v>66</v>
      </c>
      <c r="C23" s="3" t="s">
        <v>16</v>
      </c>
      <c r="D23" s="11">
        <v>31</v>
      </c>
      <c r="E23" s="11">
        <v>5000</v>
      </c>
      <c r="F23" s="34" t="s">
        <v>16</v>
      </c>
      <c r="G23" s="3" t="s">
        <v>91</v>
      </c>
      <c r="H23" s="11">
        <v>1</v>
      </c>
    </row>
    <row r="24" spans="1:9" ht="18.75" customHeight="1" x14ac:dyDescent="0.3">
      <c r="A24" s="28">
        <v>23</v>
      </c>
      <c r="B24" s="3" t="s">
        <v>99</v>
      </c>
      <c r="C24" s="3" t="s">
        <v>16</v>
      </c>
      <c r="D24" s="10">
        <v>27</v>
      </c>
      <c r="E24" s="31">
        <v>3000</v>
      </c>
      <c r="F24" s="4" t="s">
        <v>16</v>
      </c>
      <c r="G24" s="1" t="s">
        <v>91</v>
      </c>
      <c r="H24" s="10">
        <v>1</v>
      </c>
    </row>
    <row r="25" spans="1:9" ht="18.75" customHeight="1" x14ac:dyDescent="0.3">
      <c r="A25" s="28">
        <v>24</v>
      </c>
      <c r="B25" s="3" t="s">
        <v>100</v>
      </c>
      <c r="C25" s="3" t="s">
        <v>16</v>
      </c>
      <c r="D25" s="10">
        <v>28</v>
      </c>
      <c r="E25" s="31">
        <v>3000</v>
      </c>
      <c r="F25" s="4" t="s">
        <v>16</v>
      </c>
      <c r="G25" s="1" t="s">
        <v>91</v>
      </c>
      <c r="H25" s="10">
        <v>1</v>
      </c>
    </row>
    <row r="26" spans="1:9" ht="18.75" customHeight="1" x14ac:dyDescent="0.3">
      <c r="A26" s="28">
        <v>25</v>
      </c>
      <c r="B26" s="3" t="s">
        <v>101</v>
      </c>
      <c r="C26" s="3" t="s">
        <v>16</v>
      </c>
      <c r="D26" s="10">
        <v>29</v>
      </c>
      <c r="E26" s="31">
        <v>3000</v>
      </c>
      <c r="F26" s="4" t="s">
        <v>16</v>
      </c>
      <c r="G26" s="1" t="s">
        <v>91</v>
      </c>
      <c r="H26" s="10">
        <v>1</v>
      </c>
    </row>
    <row r="27" spans="1:9" ht="18.75" customHeight="1" x14ac:dyDescent="0.3">
      <c r="A27" s="28">
        <v>26</v>
      </c>
      <c r="B27" s="3" t="s">
        <v>102</v>
      </c>
      <c r="C27" s="1" t="s">
        <v>16</v>
      </c>
      <c r="D27" s="10">
        <v>30</v>
      </c>
      <c r="E27" s="31">
        <v>3000</v>
      </c>
      <c r="F27" s="4" t="s">
        <v>16</v>
      </c>
      <c r="G27" s="1" t="s">
        <v>91</v>
      </c>
      <c r="H27" s="10">
        <v>1</v>
      </c>
    </row>
    <row r="28" spans="1:9" ht="18.75" customHeight="1" x14ac:dyDescent="0.25">
      <c r="A28" s="32">
        <v>27</v>
      </c>
      <c r="B28" s="3" t="s">
        <v>103</v>
      </c>
      <c r="C28" s="3" t="s">
        <v>16</v>
      </c>
      <c r="D28" s="11">
        <v>1</v>
      </c>
      <c r="E28" s="31">
        <v>3000</v>
      </c>
      <c r="F28" s="34" t="s">
        <v>16</v>
      </c>
      <c r="G28" s="3" t="s">
        <v>91</v>
      </c>
      <c r="H28" s="11">
        <v>1</v>
      </c>
      <c r="I28" s="3" t="s">
        <v>104</v>
      </c>
    </row>
    <row r="29" spans="1:9" ht="18.75" customHeight="1" x14ac:dyDescent="0.3">
      <c r="A29" s="28">
        <v>28</v>
      </c>
      <c r="B29" s="3" t="s">
        <v>105</v>
      </c>
      <c r="C29" s="1" t="s">
        <v>16</v>
      </c>
      <c r="D29" s="10">
        <v>2</v>
      </c>
      <c r="E29" s="31">
        <v>3000</v>
      </c>
      <c r="F29" s="4" t="s">
        <v>16</v>
      </c>
      <c r="G29" s="1" t="s">
        <v>91</v>
      </c>
      <c r="H29" s="10">
        <v>1</v>
      </c>
      <c r="I29" s="3" t="s">
        <v>106</v>
      </c>
    </row>
    <row r="30" spans="1:9" ht="18.75" customHeight="1" x14ac:dyDescent="0.3">
      <c r="A30" s="28">
        <v>29</v>
      </c>
      <c r="B30" s="3" t="s">
        <v>107</v>
      </c>
      <c r="C30" s="1" t="s">
        <v>16</v>
      </c>
      <c r="D30" s="10">
        <v>3</v>
      </c>
      <c r="E30" s="31">
        <v>3000</v>
      </c>
      <c r="F30" s="4" t="s">
        <v>16</v>
      </c>
      <c r="G30" s="1" t="s">
        <v>91</v>
      </c>
      <c r="H30" s="10">
        <v>1</v>
      </c>
      <c r="I30" s="3" t="s">
        <v>108</v>
      </c>
    </row>
    <row r="31" spans="1:9" ht="18.75" customHeight="1" x14ac:dyDescent="0.3">
      <c r="A31" s="28">
        <v>30</v>
      </c>
      <c r="B31" s="3" t="s">
        <v>109</v>
      </c>
      <c r="C31" s="1" t="s">
        <v>16</v>
      </c>
      <c r="D31" s="10">
        <v>32</v>
      </c>
      <c r="E31" s="31">
        <v>5000</v>
      </c>
      <c r="F31" s="4" t="s">
        <v>16</v>
      </c>
      <c r="G31" s="1" t="s">
        <v>91</v>
      </c>
      <c r="H31" s="10">
        <v>1</v>
      </c>
      <c r="I31" s="82" t="s">
        <v>110</v>
      </c>
    </row>
    <row r="32" spans="1:9" ht="18.75" customHeight="1" x14ac:dyDescent="0.3">
      <c r="A32" s="28">
        <v>31</v>
      </c>
      <c r="B32" s="1" t="s">
        <v>111</v>
      </c>
      <c r="C32" s="1" t="s">
        <v>16</v>
      </c>
      <c r="D32" s="10">
        <v>32</v>
      </c>
      <c r="E32" s="31">
        <v>5000</v>
      </c>
      <c r="F32" s="4" t="s">
        <v>16</v>
      </c>
      <c r="G32" s="1" t="s">
        <v>91</v>
      </c>
      <c r="H32" s="10">
        <v>1</v>
      </c>
      <c r="I32" s="83"/>
    </row>
    <row r="33" spans="1:9" ht="18.75" customHeight="1" x14ac:dyDescent="0.3">
      <c r="A33" s="28">
        <v>32</v>
      </c>
      <c r="B33" s="1" t="s">
        <v>112</v>
      </c>
      <c r="C33" s="1" t="s">
        <v>16</v>
      </c>
      <c r="D33" s="10">
        <v>32</v>
      </c>
      <c r="E33" s="31">
        <v>5000</v>
      </c>
      <c r="F33" s="4" t="s">
        <v>16</v>
      </c>
      <c r="G33" s="1" t="s">
        <v>91</v>
      </c>
      <c r="H33" s="10">
        <v>1</v>
      </c>
      <c r="I33" s="83"/>
    </row>
    <row r="34" spans="1:9" ht="18.75" customHeight="1" x14ac:dyDescent="0.3">
      <c r="A34" s="28">
        <v>33</v>
      </c>
      <c r="B34" s="3" t="s">
        <v>71</v>
      </c>
      <c r="C34" s="1" t="s">
        <v>16</v>
      </c>
      <c r="D34" s="10">
        <v>35</v>
      </c>
      <c r="E34" s="31">
        <v>5000</v>
      </c>
      <c r="F34" s="4" t="s">
        <v>16</v>
      </c>
      <c r="G34" s="1" t="s">
        <v>91</v>
      </c>
      <c r="H34" s="10">
        <v>1</v>
      </c>
    </row>
    <row r="35" spans="1:9" ht="18.75" customHeight="1" x14ac:dyDescent="0.3">
      <c r="A35" s="28">
        <v>34</v>
      </c>
      <c r="B35" s="3" t="s">
        <v>72</v>
      </c>
      <c r="C35" s="1" t="s">
        <v>16</v>
      </c>
      <c r="D35" s="10">
        <v>36</v>
      </c>
      <c r="E35" s="31">
        <v>5000</v>
      </c>
      <c r="F35" s="4" t="s">
        <v>16</v>
      </c>
      <c r="G35" s="1" t="s">
        <v>91</v>
      </c>
      <c r="H35" s="10">
        <v>1</v>
      </c>
    </row>
    <row r="36" spans="1:9" ht="18.75" customHeight="1" x14ac:dyDescent="0.3">
      <c r="A36" s="28">
        <v>35</v>
      </c>
      <c r="B36" s="3" t="s">
        <v>73</v>
      </c>
      <c r="C36" s="1" t="s">
        <v>16</v>
      </c>
      <c r="D36" s="10">
        <v>37</v>
      </c>
      <c r="E36" s="31">
        <v>5000</v>
      </c>
      <c r="F36" s="4" t="s">
        <v>16</v>
      </c>
      <c r="G36" s="1" t="s">
        <v>91</v>
      </c>
      <c r="H36" s="10">
        <v>1</v>
      </c>
    </row>
    <row r="37" spans="1:9" ht="18.75" customHeight="1" x14ac:dyDescent="0.3">
      <c r="A37" s="28">
        <v>36</v>
      </c>
      <c r="B37" s="17" t="s">
        <v>74</v>
      </c>
      <c r="C37" s="1" t="s">
        <v>16</v>
      </c>
      <c r="D37" s="10">
        <v>38</v>
      </c>
      <c r="E37" s="31">
        <v>5000</v>
      </c>
      <c r="F37" s="4" t="s">
        <v>16</v>
      </c>
      <c r="G37" s="1" t="s">
        <v>91</v>
      </c>
      <c r="H37" s="10">
        <v>1</v>
      </c>
    </row>
    <row r="38" spans="1:9" ht="18.75" customHeight="1" x14ac:dyDescent="0.3">
      <c r="A38" s="28">
        <v>37</v>
      </c>
      <c r="B38" s="17" t="s">
        <v>75</v>
      </c>
      <c r="C38" s="1" t="s">
        <v>16</v>
      </c>
      <c r="D38" s="10">
        <v>39</v>
      </c>
      <c r="E38" s="31">
        <v>5000</v>
      </c>
      <c r="F38" s="4" t="s">
        <v>16</v>
      </c>
      <c r="G38" s="1" t="s">
        <v>91</v>
      </c>
      <c r="H38" s="10">
        <v>1</v>
      </c>
    </row>
    <row r="39" spans="1:9" ht="18.75" customHeight="1" x14ac:dyDescent="0.3">
      <c r="A39" s="28">
        <v>38</v>
      </c>
      <c r="B39" s="3" t="s">
        <v>113</v>
      </c>
      <c r="C39" s="1" t="s">
        <v>16</v>
      </c>
      <c r="D39" s="10">
        <v>4</v>
      </c>
      <c r="E39" s="31">
        <v>5000</v>
      </c>
      <c r="F39" s="4" t="s">
        <v>16</v>
      </c>
      <c r="G39" s="1" t="s">
        <v>91</v>
      </c>
      <c r="H39" s="10">
        <v>1</v>
      </c>
    </row>
    <row r="40" spans="1:9" ht="18.75" customHeight="1" x14ac:dyDescent="0.3">
      <c r="A40" s="28">
        <v>39</v>
      </c>
      <c r="B40" s="3" t="s">
        <v>59</v>
      </c>
      <c r="C40" s="1" t="s">
        <v>16</v>
      </c>
      <c r="D40" s="10">
        <v>26</v>
      </c>
      <c r="E40" s="31">
        <v>5000</v>
      </c>
      <c r="F40" s="4" t="s">
        <v>16</v>
      </c>
      <c r="G40" s="1" t="s">
        <v>91</v>
      </c>
      <c r="H40" s="10">
        <v>1</v>
      </c>
    </row>
    <row r="41" spans="1:9" ht="18.75" customHeight="1" x14ac:dyDescent="0.3">
      <c r="A41" s="28">
        <v>40</v>
      </c>
      <c r="B41" s="3" t="s">
        <v>81</v>
      </c>
      <c r="C41" s="1" t="s">
        <v>114</v>
      </c>
      <c r="D41" s="10">
        <v>45</v>
      </c>
      <c r="E41" s="31">
        <v>5000</v>
      </c>
      <c r="F41" s="4" t="s">
        <v>114</v>
      </c>
      <c r="G41" s="1" t="s">
        <v>91</v>
      </c>
      <c r="H41" s="10">
        <v>2</v>
      </c>
      <c r="I41" s="9" t="s">
        <v>115</v>
      </c>
    </row>
  </sheetData>
  <mergeCells count="1">
    <mergeCell ref="I31:I33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E46"/>
  <sheetViews>
    <sheetView workbookViewId="0"/>
  </sheetViews>
  <sheetFormatPr defaultRowHeight="14.4" x14ac:dyDescent="0.25"/>
  <cols>
    <col min="1" max="1" width="13.5546875" style="24" bestFit="1" customWidth="1"/>
    <col min="2" max="2" width="36.33203125" bestFit="1" customWidth="1"/>
    <col min="3" max="3" width="11.88671875" bestFit="1" customWidth="1"/>
    <col min="4" max="4" width="26.109375" bestFit="1" customWidth="1"/>
    <col min="5" max="5" width="143.109375" bestFit="1" customWidth="1"/>
  </cols>
  <sheetData>
    <row r="1" spans="1:5" ht="18.75" customHeight="1" x14ac:dyDescent="0.3">
      <c r="A1" s="6" t="s">
        <v>19</v>
      </c>
      <c r="B1" s="1" t="s">
        <v>20</v>
      </c>
      <c r="C1" s="1" t="s">
        <v>21</v>
      </c>
    </row>
    <row r="2" spans="1:5" ht="18.75" customHeight="1" x14ac:dyDescent="0.25">
      <c r="A2" s="7">
        <v>1</v>
      </c>
      <c r="B2" s="8" t="s">
        <v>22</v>
      </c>
      <c r="D2" s="84" t="s">
        <v>23</v>
      </c>
      <c r="E2" s="9" t="s">
        <v>24</v>
      </c>
    </row>
    <row r="3" spans="1:5" ht="18.75" customHeight="1" x14ac:dyDescent="0.3">
      <c r="A3" s="10">
        <v>2</v>
      </c>
      <c r="B3" s="3" t="s">
        <v>25</v>
      </c>
      <c r="D3" s="85"/>
      <c r="E3" s="82" t="s">
        <v>26</v>
      </c>
    </row>
    <row r="4" spans="1:5" ht="18.75" customHeight="1" x14ac:dyDescent="0.3">
      <c r="A4" s="10">
        <v>3</v>
      </c>
      <c r="B4" s="1" t="s">
        <v>27</v>
      </c>
      <c r="D4" s="85"/>
      <c r="E4" s="86"/>
    </row>
    <row r="5" spans="1:5" ht="18.75" customHeight="1" x14ac:dyDescent="0.25">
      <c r="A5" s="11">
        <v>4</v>
      </c>
      <c r="B5" s="3" t="s">
        <v>28</v>
      </c>
      <c r="C5" s="3"/>
      <c r="D5" s="87" t="s">
        <v>29</v>
      </c>
      <c r="E5" s="3" t="s">
        <v>30</v>
      </c>
    </row>
    <row r="6" spans="1:5" ht="28.5" customHeight="1" x14ac:dyDescent="0.25">
      <c r="A6" s="12">
        <v>5</v>
      </c>
      <c r="B6" s="13" t="s">
        <v>31</v>
      </c>
      <c r="C6" s="14"/>
      <c r="D6" s="88"/>
      <c r="E6" s="9" t="s">
        <v>32</v>
      </c>
    </row>
    <row r="7" spans="1:5" ht="18.75" customHeight="1" x14ac:dyDescent="0.25">
      <c r="A7" s="15">
        <v>6</v>
      </c>
      <c r="B7" s="13" t="s">
        <v>33</v>
      </c>
      <c r="C7" s="14"/>
      <c r="D7" s="88"/>
      <c r="E7" s="3" t="s">
        <v>34</v>
      </c>
    </row>
    <row r="8" spans="1:5" ht="18.75" customHeight="1" x14ac:dyDescent="0.25">
      <c r="A8" s="12">
        <v>7</v>
      </c>
      <c r="B8" s="13" t="s">
        <v>35</v>
      </c>
      <c r="C8" s="14"/>
      <c r="D8" s="88"/>
      <c r="E8" s="3" t="s">
        <v>36</v>
      </c>
    </row>
    <row r="9" spans="1:5" ht="19.5" customHeight="1" x14ac:dyDescent="0.25">
      <c r="A9" s="12">
        <v>8</v>
      </c>
      <c r="B9" s="13" t="s">
        <v>37</v>
      </c>
      <c r="C9" s="14"/>
      <c r="D9" s="88"/>
      <c r="E9" s="3" t="s">
        <v>38</v>
      </c>
    </row>
    <row r="10" spans="1:5" ht="18.75" customHeight="1" x14ac:dyDescent="0.25">
      <c r="A10" s="16">
        <v>9</v>
      </c>
      <c r="B10" s="17" t="s">
        <v>39</v>
      </c>
      <c r="C10" s="17"/>
      <c r="D10" s="89" t="s">
        <v>40</v>
      </c>
    </row>
    <row r="11" spans="1:5" ht="18.75" customHeight="1" x14ac:dyDescent="0.25">
      <c r="A11" s="16">
        <v>10</v>
      </c>
      <c r="B11" s="17" t="s">
        <v>41</v>
      </c>
      <c r="C11" s="17"/>
      <c r="D11" s="90"/>
    </row>
    <row r="12" spans="1:5" ht="18.75" customHeight="1" x14ac:dyDescent="0.25">
      <c r="A12" s="16">
        <v>11</v>
      </c>
      <c r="B12" s="17" t="s">
        <v>42</v>
      </c>
      <c r="C12" s="17"/>
      <c r="D12" s="90"/>
    </row>
    <row r="13" spans="1:5" ht="18.75" customHeight="1" x14ac:dyDescent="0.25">
      <c r="A13" s="16">
        <v>12</v>
      </c>
      <c r="B13" s="17" t="s">
        <v>43</v>
      </c>
      <c r="C13" s="17"/>
      <c r="D13" s="90"/>
    </row>
    <row r="14" spans="1:5" ht="18.75" customHeight="1" x14ac:dyDescent="0.25">
      <c r="A14" s="16">
        <v>13</v>
      </c>
      <c r="B14" s="17" t="s">
        <v>44</v>
      </c>
      <c r="C14" s="17"/>
      <c r="D14" s="90"/>
    </row>
    <row r="15" spans="1:5" ht="18.75" customHeight="1" x14ac:dyDescent="0.3">
      <c r="A15" s="16">
        <v>14</v>
      </c>
      <c r="B15" s="17" t="s">
        <v>45</v>
      </c>
      <c r="C15" s="17"/>
      <c r="D15" s="90"/>
      <c r="E15" s="1"/>
    </row>
    <row r="16" spans="1:5" ht="18.75" customHeight="1" x14ac:dyDescent="0.25">
      <c r="A16" s="16">
        <v>15</v>
      </c>
      <c r="B16" s="17" t="s">
        <v>46</v>
      </c>
      <c r="C16" s="17"/>
      <c r="D16" s="90"/>
    </row>
    <row r="17" spans="1:5" ht="18.75" customHeight="1" x14ac:dyDescent="0.25">
      <c r="A17" s="16">
        <v>16</v>
      </c>
      <c r="B17" s="17" t="s">
        <v>47</v>
      </c>
      <c r="C17" s="17"/>
      <c r="D17" s="90"/>
    </row>
    <row r="18" spans="1:5" ht="18.75" customHeight="1" x14ac:dyDescent="0.25">
      <c r="A18" s="16">
        <v>17</v>
      </c>
      <c r="B18" s="17" t="s">
        <v>48</v>
      </c>
      <c r="C18" s="17"/>
      <c r="D18" s="90"/>
    </row>
    <row r="19" spans="1:5" ht="18.75" customHeight="1" x14ac:dyDescent="0.25">
      <c r="A19" s="16">
        <v>18</v>
      </c>
      <c r="B19" s="17" t="s">
        <v>49</v>
      </c>
      <c r="C19" s="17"/>
      <c r="D19" s="90"/>
      <c r="E19" s="18"/>
    </row>
    <row r="20" spans="1:5" ht="18.75" customHeight="1" x14ac:dyDescent="0.25">
      <c r="A20" s="16">
        <v>19</v>
      </c>
      <c r="B20" s="17" t="s">
        <v>50</v>
      </c>
      <c r="C20" s="17"/>
      <c r="D20" s="90"/>
      <c r="E20" s="18"/>
    </row>
    <row r="21" spans="1:5" ht="18.75" customHeight="1" x14ac:dyDescent="0.25">
      <c r="A21" s="16">
        <v>20</v>
      </c>
      <c r="B21" s="19" t="s">
        <v>51</v>
      </c>
      <c r="C21" s="17"/>
      <c r="D21" s="90"/>
      <c r="E21" s="18"/>
    </row>
    <row r="22" spans="1:5" ht="18.75" customHeight="1" x14ac:dyDescent="0.25">
      <c r="A22" s="16">
        <v>21</v>
      </c>
      <c r="B22" s="19" t="s">
        <v>52</v>
      </c>
      <c r="C22" s="17"/>
      <c r="D22" s="90"/>
      <c r="E22" s="18"/>
    </row>
    <row r="23" spans="1:5" ht="18.75" customHeight="1" x14ac:dyDescent="0.25">
      <c r="A23" s="16">
        <v>22</v>
      </c>
      <c r="B23" s="20" t="s">
        <v>53</v>
      </c>
      <c r="C23" s="17"/>
      <c r="D23" s="90"/>
      <c r="E23" s="18"/>
    </row>
    <row r="24" spans="1:5" ht="18.75" customHeight="1" x14ac:dyDescent="0.25">
      <c r="A24" s="16">
        <v>23</v>
      </c>
      <c r="B24" s="19" t="s">
        <v>54</v>
      </c>
      <c r="C24" s="17"/>
      <c r="D24" s="90"/>
      <c r="E24" s="18"/>
    </row>
    <row r="25" spans="1:5" ht="18.75" customHeight="1" x14ac:dyDescent="0.25">
      <c r="A25" s="16">
        <v>24</v>
      </c>
      <c r="B25" s="19" t="s">
        <v>55</v>
      </c>
      <c r="C25" s="17"/>
      <c r="D25" s="90"/>
      <c r="E25" s="18" t="s">
        <v>56</v>
      </c>
    </row>
    <row r="26" spans="1:5" ht="18.75" customHeight="1" x14ac:dyDescent="0.25">
      <c r="A26" s="16">
        <v>25</v>
      </c>
      <c r="B26" s="20" t="s">
        <v>57</v>
      </c>
      <c r="C26" s="17"/>
      <c r="D26" s="17" t="s">
        <v>29</v>
      </c>
      <c r="E26" s="18" t="s">
        <v>58</v>
      </c>
    </row>
    <row r="27" spans="1:5" ht="18.75" customHeight="1" x14ac:dyDescent="0.25">
      <c r="A27" s="16">
        <v>26</v>
      </c>
      <c r="B27" s="19" t="s">
        <v>59</v>
      </c>
      <c r="C27" s="17"/>
      <c r="D27" s="17" t="s">
        <v>40</v>
      </c>
      <c r="E27" s="18"/>
    </row>
    <row r="28" spans="1:5" ht="18.75" customHeight="1" x14ac:dyDescent="0.3">
      <c r="A28" s="16">
        <v>27</v>
      </c>
      <c r="B28" s="21" t="s">
        <v>60</v>
      </c>
      <c r="C28" s="21"/>
      <c r="D28" s="91" t="s">
        <v>61</v>
      </c>
    </row>
    <row r="29" spans="1:5" ht="18.75" customHeight="1" x14ac:dyDescent="0.3">
      <c r="A29" s="16">
        <v>28</v>
      </c>
      <c r="B29" s="21" t="s">
        <v>62</v>
      </c>
      <c r="C29" s="21"/>
      <c r="D29" s="92"/>
    </row>
    <row r="30" spans="1:5" ht="18.75" customHeight="1" x14ac:dyDescent="0.3">
      <c r="A30" s="16">
        <v>29</v>
      </c>
      <c r="B30" s="21" t="s">
        <v>63</v>
      </c>
      <c r="C30" s="21"/>
      <c r="D30" s="92"/>
    </row>
    <row r="31" spans="1:5" ht="18.75" customHeight="1" x14ac:dyDescent="0.3">
      <c r="A31" s="16">
        <v>30</v>
      </c>
      <c r="B31" s="22" t="s">
        <v>64</v>
      </c>
      <c r="C31" s="21"/>
      <c r="D31" s="92"/>
      <c r="E31" s="3" t="s">
        <v>65</v>
      </c>
    </row>
    <row r="32" spans="1:5" ht="18.75" customHeight="1" x14ac:dyDescent="0.25">
      <c r="A32" s="16">
        <v>31</v>
      </c>
      <c r="B32" s="22" t="s">
        <v>66</v>
      </c>
      <c r="C32" s="3"/>
      <c r="D32" s="84" t="s">
        <v>67</v>
      </c>
    </row>
    <row r="33" spans="1:4" ht="18.75" customHeight="1" x14ac:dyDescent="0.25">
      <c r="A33" s="16">
        <v>32</v>
      </c>
      <c r="B33" s="3" t="s">
        <v>68</v>
      </c>
      <c r="C33" s="3"/>
      <c r="D33" s="85"/>
    </row>
    <row r="34" spans="1:4" ht="18.75" customHeight="1" x14ac:dyDescent="0.25">
      <c r="A34" s="16">
        <v>33</v>
      </c>
      <c r="B34" s="3" t="s">
        <v>69</v>
      </c>
      <c r="C34" s="3"/>
      <c r="D34" s="85"/>
    </row>
    <row r="35" spans="1:4" ht="18.75" customHeight="1" x14ac:dyDescent="0.25">
      <c r="A35" s="16">
        <v>34</v>
      </c>
      <c r="B35" s="22" t="s">
        <v>70</v>
      </c>
      <c r="C35" s="3"/>
      <c r="D35" s="3" t="s">
        <v>29</v>
      </c>
    </row>
    <row r="36" spans="1:4" ht="18.75" customHeight="1" x14ac:dyDescent="0.25">
      <c r="A36" s="16">
        <v>35</v>
      </c>
      <c r="B36" s="22" t="s">
        <v>71</v>
      </c>
      <c r="D36" s="3" t="s">
        <v>40</v>
      </c>
    </row>
    <row r="37" spans="1:4" ht="18.75" customHeight="1" x14ac:dyDescent="0.25">
      <c r="A37" s="16">
        <v>36</v>
      </c>
      <c r="B37" s="22" t="s">
        <v>72</v>
      </c>
      <c r="D37" s="3" t="s">
        <v>40</v>
      </c>
    </row>
    <row r="38" spans="1:4" ht="18.75" customHeight="1" x14ac:dyDescent="0.25">
      <c r="A38" s="16">
        <v>37</v>
      </c>
      <c r="B38" s="22" t="s">
        <v>73</v>
      </c>
      <c r="D38" s="3" t="s">
        <v>40</v>
      </c>
    </row>
    <row r="39" spans="1:4" ht="18.75" customHeight="1" x14ac:dyDescent="0.25">
      <c r="A39" s="16">
        <v>38</v>
      </c>
      <c r="B39" s="17" t="s">
        <v>74</v>
      </c>
      <c r="D39" s="3" t="s">
        <v>40</v>
      </c>
    </row>
    <row r="40" spans="1:4" ht="18.75" customHeight="1" x14ac:dyDescent="0.25">
      <c r="A40" s="16">
        <v>39</v>
      </c>
      <c r="B40" s="17" t="s">
        <v>75</v>
      </c>
      <c r="D40" s="3" t="s">
        <v>40</v>
      </c>
    </row>
    <row r="41" spans="1:4" ht="18.75" customHeight="1" x14ac:dyDescent="0.25">
      <c r="A41" s="16">
        <v>40</v>
      </c>
      <c r="B41" s="22" t="s">
        <v>76</v>
      </c>
      <c r="D41" s="82" t="s">
        <v>29</v>
      </c>
    </row>
    <row r="42" spans="1:4" ht="18.75" customHeight="1" x14ac:dyDescent="0.3">
      <c r="A42" s="16">
        <v>41</v>
      </c>
      <c r="B42" s="23" t="s">
        <v>77</v>
      </c>
      <c r="D42" s="83"/>
    </row>
    <row r="43" spans="1:4" ht="18.75" customHeight="1" x14ac:dyDescent="0.25">
      <c r="A43" s="16">
        <v>42</v>
      </c>
      <c r="B43" s="3" t="s">
        <v>78</v>
      </c>
      <c r="D43" s="83"/>
    </row>
    <row r="44" spans="1:4" ht="18.75" customHeight="1" x14ac:dyDescent="0.25">
      <c r="A44" s="16">
        <v>43</v>
      </c>
      <c r="B44" s="3" t="s">
        <v>79</v>
      </c>
      <c r="D44" s="83"/>
    </row>
    <row r="45" spans="1:4" ht="18.75" customHeight="1" x14ac:dyDescent="0.25">
      <c r="A45" s="16">
        <v>44</v>
      </c>
      <c r="B45" s="3" t="s">
        <v>80</v>
      </c>
      <c r="D45" s="83"/>
    </row>
    <row r="46" spans="1:4" ht="18.75" customHeight="1" x14ac:dyDescent="0.25">
      <c r="A46" s="16">
        <v>45</v>
      </c>
      <c r="B46" s="3" t="s">
        <v>81</v>
      </c>
      <c r="D46" s="3" t="s">
        <v>61</v>
      </c>
    </row>
  </sheetData>
  <mergeCells count="7">
    <mergeCell ref="D32:D34"/>
    <mergeCell ref="D41:D45"/>
    <mergeCell ref="D2:D4"/>
    <mergeCell ref="E3:E4"/>
    <mergeCell ref="D5:D9"/>
    <mergeCell ref="D10:D25"/>
    <mergeCell ref="D28:D3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2"/>
  <sheetViews>
    <sheetView workbookViewId="0">
      <selection activeCell="B28" sqref="B28"/>
    </sheetView>
  </sheetViews>
  <sheetFormatPr defaultRowHeight="14.4" x14ac:dyDescent="0.25"/>
  <cols>
    <col min="1" max="1" width="11.6640625" bestFit="1" customWidth="1"/>
    <col min="2" max="2" width="50.44140625" bestFit="1" customWidth="1"/>
    <col min="3" max="3" width="13.5546875" bestFit="1" customWidth="1"/>
    <col min="4" max="4" width="15.109375" bestFit="1" customWidth="1"/>
    <col min="5" max="5" width="17.109375" bestFit="1" customWidth="1"/>
    <col min="6" max="6" width="20.33203125" style="5" bestFit="1" customWidth="1"/>
    <col min="7" max="7" width="12.6640625" bestFit="1" customWidth="1"/>
    <col min="8" max="8" width="26.5546875" bestFit="1" customWidth="1"/>
    <col min="9" max="9" width="10.109375" bestFit="1" customWidth="1"/>
    <col min="10" max="10" width="28.88671875" bestFit="1" customWidth="1"/>
  </cols>
  <sheetData>
    <row r="1" spans="1:10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.75" customHeight="1" x14ac:dyDescent="0.3">
      <c r="A2" s="3" t="s">
        <v>10</v>
      </c>
      <c r="B2" s="3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4" t="s">
        <v>16</v>
      </c>
      <c r="H2" s="3" t="s">
        <v>17</v>
      </c>
      <c r="I2" s="4" t="s">
        <v>16</v>
      </c>
      <c r="J2" s="3" t="s">
        <v>18</v>
      </c>
    </row>
  </sheetData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2DD0B-DD6F-4162-AFB9-9CDC50BAC8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E39D7A-5DCA-4AEB-A0DC-910A372B7FE6}">
  <ds:schemaRefs>
    <ds:schemaRef ds:uri="4da14e33-fb1f-428b-aede-7872bd2aa051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87eaac2d-a5f8-4c7f-abd5-4f93f35bdb19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7DA0BB-505C-4C27-A66F-5CB7AC8AB9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block</vt:lpstr>
      <vt:lpstr>blockParams</vt:lpstr>
      <vt:lpstr>analysisUnits</vt:lpstr>
      <vt:lpstr>analysisParams</vt:lpstr>
      <vt:lpstr>analysisNames</vt:lpstr>
      <vt:lpstr>applications</vt:lpstr>
      <vt:lpstr>groups</vt:lpstr>
      <vt:lpstr>deviceTemplateInfo</vt:lpstr>
      <vt:lpstr>applications!_FilterDatabase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 Su</cp:lastModifiedBy>
  <dcterms:created xsi:type="dcterms:W3CDTF">2026-01-23T08:01:38Z</dcterms:created>
  <dcterms:modified xsi:type="dcterms:W3CDTF">2026-02-02T09:19:44Z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