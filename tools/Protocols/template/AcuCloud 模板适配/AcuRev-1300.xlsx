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mc:AlternateContent xmlns:mc="http://schemas.openxmlformats.org/markup-compatibility/2006">
    <mc:Choice Requires="x15">
      <x15ac:absPath xmlns:x15ac="http://schemas.microsoft.com/office/spreadsheetml/2010/11/ac" url="https://accuenergycom.sharepoint.com/sites/CN-Project-AcuHMI/Shared Documents/PX-EMD-G/13 项目各领域交付件/06 PM(产品)/02 商业需求规格书/参数类区分/AcuCloud 模板适配/"/>
    </mc:Choice>
  </mc:AlternateContent>
  <xr:revisionPtr revIDLastSave="85" documentId="13_ncr:1_{FD164DB1-B618-42E6-B24A-20BF35C8B086}" xr6:coauthVersionLast="47" xr6:coauthVersionMax="47" xr10:uidLastSave="{F41E6DDB-0FCF-40B5-85B5-3370FCF3D1EF}"/>
  <bookViews>
    <workbookView xWindow="28680" yWindow="-45" windowWidth="29040" windowHeight="15720" firstSheet="1" activeTab="1" xr2:uid="{00000000-000D-0000-FFFF-FFFF00000000}"/>
  </bookViews>
  <sheets>
    <sheet name="block" sheetId="1" r:id="rId1"/>
    <sheet name="blockParams" sheetId="2" r:id="rId2"/>
    <sheet name="analysisUnits" sheetId="3" r:id="rId3"/>
    <sheet name="analysisParams" sheetId="4" r:id="rId4"/>
    <sheet name="analysisNames" sheetId="5" r:id="rId5"/>
    <sheet name="applications" sheetId="6" r:id="rId6"/>
    <sheet name="groups" sheetId="7" r:id="rId7"/>
    <sheet name="deviceTemplateInfo" sheetId="8" r:id="rId8"/>
  </sheets>
  <definedNames>
    <definedName name="_xlnm._FilterDatabase" localSheetId="1" hidden="1">blockParams!$A$1:$AC$73</definedName>
    <definedName name="_xlnm.Print_Titles" localSheetId="1">blockParams!$1:$1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2" l="1"/>
  <c r="E44" i="2" s="1"/>
  <c r="E40" i="2"/>
  <c r="D40" i="2" s="1"/>
  <c r="D39" i="2"/>
  <c r="E32" i="2"/>
  <c r="E33" i="2" s="1"/>
  <c r="D31" i="2"/>
  <c r="E4" i="2"/>
  <c r="E5" i="2" s="1"/>
  <c r="D3" i="2"/>
  <c r="D32" i="2" l="1"/>
  <c r="D4" i="2"/>
  <c r="E41" i="2"/>
  <c r="D41" i="2" s="1"/>
  <c r="D43" i="2"/>
  <c r="E45" i="2"/>
  <c r="D44" i="2"/>
  <c r="E6" i="2"/>
  <c r="D5" i="2"/>
  <c r="E34" i="2"/>
  <c r="D33" i="2"/>
  <c r="E35" i="2" l="1"/>
  <c r="D34" i="2"/>
  <c r="E7" i="2"/>
  <c r="D6" i="2"/>
  <c r="E46" i="2"/>
  <c r="D45" i="2"/>
  <c r="E47" i="2" l="1"/>
  <c r="D46" i="2"/>
  <c r="E8" i="2"/>
  <c r="D7" i="2"/>
  <c r="E36" i="2"/>
  <c r="D35" i="2"/>
  <c r="E37" i="2" l="1"/>
  <c r="D36" i="2"/>
  <c r="E9" i="2"/>
  <c r="D8" i="2"/>
  <c r="E48" i="2"/>
  <c r="D47" i="2"/>
  <c r="E10" i="2" l="1"/>
  <c r="D9" i="2"/>
  <c r="D48" i="2"/>
  <c r="E49" i="2"/>
  <c r="E38" i="2"/>
  <c r="D38" i="2" s="1"/>
  <c r="D37" i="2"/>
  <c r="E50" i="2" l="1"/>
  <c r="D49" i="2"/>
  <c r="E11" i="2"/>
  <c r="D10" i="2"/>
  <c r="E12" i="2" l="1"/>
  <c r="D11" i="2"/>
  <c r="E51" i="2"/>
  <c r="D50" i="2"/>
  <c r="E52" i="2" l="1"/>
  <c r="D51" i="2"/>
  <c r="E13" i="2"/>
  <c r="D12" i="2"/>
  <c r="D13" i="2" l="1"/>
  <c r="E14" i="2"/>
  <c r="E53" i="2"/>
  <c r="D52" i="2"/>
  <c r="E54" i="2" l="1"/>
  <c r="D53" i="2"/>
  <c r="E15" i="2"/>
  <c r="D14" i="2"/>
  <c r="E16" i="2" l="1"/>
  <c r="D15" i="2"/>
  <c r="E55" i="2"/>
  <c r="D54" i="2"/>
  <c r="E56" i="2" l="1"/>
  <c r="D55" i="2"/>
  <c r="E17" i="2"/>
  <c r="D16" i="2"/>
  <c r="E18" i="2" l="1"/>
  <c r="D17" i="2"/>
  <c r="E57" i="2"/>
  <c r="D56" i="2"/>
  <c r="E58" i="2" l="1"/>
  <c r="D57" i="2"/>
  <c r="E19" i="2"/>
  <c r="D18" i="2"/>
  <c r="E20" i="2" l="1"/>
  <c r="D19" i="2"/>
  <c r="E59" i="2"/>
  <c r="D58" i="2"/>
  <c r="D59" i="2" l="1"/>
  <c r="E60" i="2"/>
  <c r="E21" i="2"/>
  <c r="D20" i="2"/>
  <c r="D60" i="2" l="1"/>
  <c r="E61" i="2"/>
  <c r="E22" i="2"/>
  <c r="D21" i="2"/>
  <c r="E23" i="2" l="1"/>
  <c r="D22" i="2"/>
  <c r="E62" i="2"/>
  <c r="D61" i="2"/>
  <c r="E63" i="2" l="1"/>
  <c r="D62" i="2"/>
  <c r="D23" i="2"/>
  <c r="E24" i="2"/>
  <c r="E25" i="2" l="1"/>
  <c r="D24" i="2"/>
  <c r="E64" i="2"/>
  <c r="D63" i="2"/>
  <c r="E65" i="2" l="1"/>
  <c r="D64" i="2"/>
  <c r="D25" i="2"/>
  <c r="E26" i="2"/>
  <c r="D26" i="2" l="1"/>
  <c r="E27" i="2"/>
  <c r="E66" i="2"/>
  <c r="D65" i="2"/>
  <c r="E67" i="2" l="1"/>
  <c r="D66" i="2"/>
  <c r="E28" i="2"/>
  <c r="D27" i="2"/>
  <c r="D28" i="2" l="1"/>
  <c r="E29" i="2"/>
  <c r="D67" i="2"/>
  <c r="E68" i="2"/>
  <c r="E30" i="2" l="1"/>
  <c r="D30" i="2" s="1"/>
  <c r="D29" i="2"/>
  <c r="E69" i="2"/>
  <c r="D69" i="2" s="1"/>
  <c r="D68" i="2"/>
</calcChain>
</file>

<file path=xl/sharedStrings.xml><?xml version="1.0" encoding="utf-8"?>
<sst xmlns="http://schemas.openxmlformats.org/spreadsheetml/2006/main" count="1008" uniqueCount="430">
  <si>
    <t>blockId</t>
  </si>
  <si>
    <t>type</t>
  </si>
  <si>
    <t>start</t>
  </si>
  <si>
    <t>count</t>
  </si>
  <si>
    <t>isEnable</t>
  </si>
  <si>
    <t>NAME</t>
  </si>
  <si>
    <t>VIRTUAL_BLOCK</t>
  </si>
  <si>
    <t>true</t>
  </si>
  <si>
    <t>isOnline</t>
  </si>
  <si>
    <t>HOLDING_REGISTER</t>
  </si>
  <si>
    <t>Real time parameters</t>
  </si>
  <si>
    <t>Energy</t>
  </si>
  <si>
    <t>Demand</t>
  </si>
  <si>
    <t>DeviceSettings-Basic</t>
  </si>
  <si>
    <t>DeviceStatus</t>
  </si>
  <si>
    <t>CT2Type</t>
  </si>
  <si>
    <t>ID</t>
  </si>
  <si>
    <t>paramId</t>
  </si>
  <si>
    <t>address</t>
  </si>
  <si>
    <t>Start(Dec)</t>
  </si>
  <si>
    <t>descrption</t>
  </si>
  <si>
    <t>paramType</t>
    <phoneticPr fontId="11" type="noConversion"/>
  </si>
  <si>
    <t>unit</t>
  </si>
  <si>
    <t>dataType</t>
  </si>
  <si>
    <t>byteOrder</t>
  </si>
  <si>
    <t>RW</t>
  </si>
  <si>
    <t>Reg</t>
  </si>
  <si>
    <t>scale</t>
  </si>
  <si>
    <t>analysisUnitId</t>
  </si>
  <si>
    <t>datalog</t>
  </si>
  <si>
    <t>trendreal</t>
  </si>
  <si>
    <t>trendenergy</t>
  </si>
  <si>
    <t>north</t>
  </si>
  <si>
    <t>conf</t>
  </si>
  <si>
    <t>range</t>
  </si>
  <si>
    <t>readings</t>
  </si>
  <si>
    <t>Alarm</t>
  </si>
  <si>
    <t>DataLog</t>
  </si>
  <si>
    <t>AcuCloud</t>
  </si>
  <si>
    <t>MQTT</t>
  </si>
  <si>
    <t>SNMP</t>
  </si>
  <si>
    <t>BACnetIP</t>
  </si>
  <si>
    <t>paramType_AcuCloud</t>
    <phoneticPr fontId="11" type="noConversion"/>
  </si>
  <si>
    <r>
      <t>AcuHMI</t>
    </r>
    <r>
      <rPr>
        <b/>
        <sz val="10"/>
        <color theme="1"/>
        <rFont val="宋体"/>
        <family val="2"/>
        <charset val="134"/>
      </rPr>
      <t>中模板没有的，</t>
    </r>
    <r>
      <rPr>
        <b/>
        <sz val="10"/>
        <color theme="1"/>
        <rFont val="Arial"/>
        <family val="2"/>
      </rPr>
      <t>AcuCloud</t>
    </r>
    <r>
      <rPr>
        <b/>
        <sz val="10"/>
        <color theme="1"/>
        <rFont val="宋体"/>
        <family val="2"/>
        <charset val="134"/>
      </rPr>
      <t>中有的字段</t>
    </r>
    <phoneticPr fontId="11" type="noConversion"/>
  </si>
  <si>
    <t>0-1</t>
  </si>
  <si>
    <t>IsOnline</t>
  </si>
  <si>
    <t>R</t>
  </si>
  <si>
    <t>9-10</t>
  </si>
  <si>
    <t>6-9-1-10-11-13</t>
  </si>
  <si>
    <t>realtime</t>
  </si>
  <si>
    <t>EQ_EXP_kvarh</t>
  </si>
  <si>
    <t>System Export Reactive Energy</t>
  </si>
  <si>
    <t>1-1</t>
  </si>
  <si>
    <t>Phase A Line Current</t>
  </si>
  <si>
    <t>I_a_A</t>
  </si>
  <si>
    <t>A</t>
  </si>
  <si>
    <t>float32</t>
  </si>
  <si>
    <t>Ia_A</t>
    <phoneticPr fontId="11" type="noConversion"/>
  </si>
  <si>
    <t>EQ_IMP_kvarh</t>
  </si>
  <si>
    <t>System Import Reactive Energy</t>
  </si>
  <si>
    <t>1-2</t>
  </si>
  <si>
    <t>Phase B Line Current</t>
  </si>
  <si>
    <t>I_b_A</t>
  </si>
  <si>
    <t>Ib_A</t>
    <phoneticPr fontId="11" type="noConversion"/>
  </si>
  <si>
    <t>ES_kVAh</t>
  </si>
  <si>
    <t>System Apparent Energy</t>
  </si>
  <si>
    <t>1-3</t>
  </si>
  <si>
    <t>Phase C Line Current</t>
  </si>
  <si>
    <t>I_c_A</t>
  </si>
  <si>
    <t>6-9-1-10-11-12-13</t>
  </si>
  <si>
    <t>Ic_A</t>
    <phoneticPr fontId="11" type="noConversion"/>
  </si>
  <si>
    <t>Iavg_A</t>
    <phoneticPr fontId="11" type="noConversion"/>
  </si>
  <si>
    <t>System Average Current</t>
    <phoneticPr fontId="11" type="noConversion"/>
  </si>
  <si>
    <t>1-4</t>
  </si>
  <si>
    <t>Average Line-to-Neutral Voltage</t>
    <phoneticPr fontId="11" type="noConversion"/>
  </si>
  <si>
    <t>VLN_avg_V</t>
  </si>
  <si>
    <t>V</t>
  </si>
  <si>
    <t>Vnavg_V</t>
    <phoneticPr fontId="11" type="noConversion"/>
  </si>
  <si>
    <t>1-5</t>
  </si>
  <si>
    <t>Phase A Line-to-Neutral Voltage</t>
    <phoneticPr fontId="11" type="noConversion"/>
  </si>
  <si>
    <t>VLN_a_V</t>
  </si>
  <si>
    <t>Va_V</t>
    <phoneticPr fontId="11" type="noConversion"/>
  </si>
  <si>
    <t>1-6</t>
  </si>
  <si>
    <t>Phase B Line-to-Neutral Voltage</t>
    <phoneticPr fontId="11" type="noConversion"/>
  </si>
  <si>
    <t>VLN_b_V</t>
  </si>
  <si>
    <t>Vb_V</t>
    <phoneticPr fontId="11" type="noConversion"/>
  </si>
  <si>
    <t>1-7</t>
  </si>
  <si>
    <t>Phase C Line-to-Neutral Voltage</t>
  </si>
  <si>
    <t>VLN_c_V</t>
  </si>
  <si>
    <t>Vc_V</t>
    <phoneticPr fontId="11" type="noConversion"/>
  </si>
  <si>
    <t>1-8</t>
  </si>
  <si>
    <t>Average Line-to-Line Voltage</t>
    <phoneticPr fontId="11" type="noConversion"/>
  </si>
  <si>
    <t>VLL_avg_V</t>
  </si>
  <si>
    <t>Vlavg_V</t>
    <phoneticPr fontId="11" type="noConversion"/>
  </si>
  <si>
    <t>1-9</t>
  </si>
  <si>
    <t>Phase A-B Line-to-Line Voltage</t>
    <phoneticPr fontId="11" type="noConversion"/>
  </si>
  <si>
    <t>VLL_ab_V</t>
  </si>
  <si>
    <t>Vab_V</t>
    <phoneticPr fontId="11" type="noConversion"/>
  </si>
  <si>
    <t>1-10</t>
  </si>
  <si>
    <t>Phase B-C Line-to-Line Voltage</t>
    <phoneticPr fontId="11" type="noConversion"/>
  </si>
  <si>
    <t>VLL_bc_V</t>
  </si>
  <si>
    <t>Vbc_V</t>
    <phoneticPr fontId="11" type="noConversion"/>
  </si>
  <si>
    <t>1-11</t>
  </si>
  <si>
    <t>Phase C-A Line-to-Line Voltage</t>
    <phoneticPr fontId="11" type="noConversion"/>
  </si>
  <si>
    <t>VLL_ca_V</t>
  </si>
  <si>
    <t>Vca_V</t>
    <phoneticPr fontId="11" type="noConversion"/>
  </si>
  <si>
    <t>1-12</t>
  </si>
  <si>
    <t>System Frequency</t>
    <phoneticPr fontId="11" type="noConversion"/>
  </si>
  <si>
    <t>FREQ_Hz</t>
  </si>
  <si>
    <t>Hz</t>
  </si>
  <si>
    <t>Freq_Hz</t>
    <phoneticPr fontId="11" type="noConversion"/>
  </si>
  <si>
    <t>1-13</t>
  </si>
  <si>
    <t>System Active Power</t>
    <phoneticPr fontId="11" type="noConversion"/>
  </si>
  <si>
    <t>P_kW</t>
  </si>
  <si>
    <t>kW</t>
  </si>
  <si>
    <t>P_kW</t>
    <phoneticPr fontId="11" type="noConversion"/>
  </si>
  <si>
    <t>1-14</t>
  </si>
  <si>
    <t>Phase A Active Power</t>
    <phoneticPr fontId="11" type="noConversion"/>
  </si>
  <si>
    <t>P_a_kW</t>
  </si>
  <si>
    <t>Pa_kW</t>
    <phoneticPr fontId="11" type="noConversion"/>
  </si>
  <si>
    <t>1-15</t>
  </si>
  <si>
    <t>Phase B Active Power</t>
    <phoneticPr fontId="11" type="noConversion"/>
  </si>
  <si>
    <t>P_b_kW</t>
  </si>
  <si>
    <t>Pb_kW</t>
    <phoneticPr fontId="11" type="noConversion"/>
  </si>
  <si>
    <t>1-16</t>
  </si>
  <si>
    <t>Phase C Active Power</t>
    <phoneticPr fontId="11" type="noConversion"/>
  </si>
  <si>
    <t>P_c_kW</t>
  </si>
  <si>
    <t>Pc_kW</t>
    <phoneticPr fontId="11" type="noConversion"/>
  </si>
  <si>
    <t>1-17</t>
  </si>
  <si>
    <t>System Apparent Power</t>
    <phoneticPr fontId="11" type="noConversion"/>
  </si>
  <si>
    <t>S_kVA</t>
  </si>
  <si>
    <t>kVA</t>
  </si>
  <si>
    <t>S_kVA</t>
    <phoneticPr fontId="11" type="noConversion"/>
  </si>
  <si>
    <t>1-18</t>
  </si>
  <si>
    <t>Phase A Apparent Power</t>
    <phoneticPr fontId="11" type="noConversion"/>
  </si>
  <si>
    <t>S_a_kVA</t>
  </si>
  <si>
    <t>Sa_kVA</t>
    <phoneticPr fontId="11" type="noConversion"/>
  </si>
  <si>
    <t>1-19</t>
  </si>
  <si>
    <t>Phase B Apparent Power</t>
    <phoneticPr fontId="11" type="noConversion"/>
  </si>
  <si>
    <t>S_b_kVA</t>
  </si>
  <si>
    <t>Sb_kVA</t>
    <phoneticPr fontId="11" type="noConversion"/>
  </si>
  <si>
    <t>1-20</t>
  </si>
  <si>
    <t>Phase C Apparent Power</t>
    <phoneticPr fontId="11" type="noConversion"/>
  </si>
  <si>
    <t>S_c_kVA</t>
  </si>
  <si>
    <t>Sc_kVA</t>
    <phoneticPr fontId="11" type="noConversion"/>
  </si>
  <si>
    <t>1-21</t>
  </si>
  <si>
    <t>System Reactive Power</t>
    <phoneticPr fontId="11" type="noConversion"/>
  </si>
  <si>
    <t>Q_kvar</t>
  </si>
  <si>
    <t>kvar</t>
  </si>
  <si>
    <t>Q_kvar</t>
    <phoneticPr fontId="11" type="noConversion"/>
  </si>
  <si>
    <t>1-22</t>
  </si>
  <si>
    <t>Phase A Reactive Power</t>
    <phoneticPr fontId="11" type="noConversion"/>
  </si>
  <si>
    <t>Q_a_kvar</t>
  </si>
  <si>
    <t>Qa_kvar</t>
    <phoneticPr fontId="11" type="noConversion"/>
  </si>
  <si>
    <t>1-23</t>
  </si>
  <si>
    <t>Phase B Reactive Power</t>
    <phoneticPr fontId="11" type="noConversion"/>
  </si>
  <si>
    <t>Q_b_kvar</t>
  </si>
  <si>
    <t>Qb_kvar</t>
    <phoneticPr fontId="11" type="noConversion"/>
  </si>
  <si>
    <t>1-24</t>
  </si>
  <si>
    <t>Phase C Reactive Power</t>
    <phoneticPr fontId="11" type="noConversion"/>
  </si>
  <si>
    <t>Q_c_kvar</t>
  </si>
  <si>
    <t>Qc_kvar</t>
    <phoneticPr fontId="11" type="noConversion"/>
  </si>
  <si>
    <t>1-25</t>
  </si>
  <si>
    <t>System Power Factor</t>
    <phoneticPr fontId="11" type="noConversion"/>
  </si>
  <si>
    <t>PF</t>
  </si>
  <si>
    <t>%</t>
  </si>
  <si>
    <t>PF</t>
    <phoneticPr fontId="11" type="noConversion"/>
  </si>
  <si>
    <t>1-26</t>
  </si>
  <si>
    <t>Phase A Power Factor</t>
    <phoneticPr fontId="11" type="noConversion"/>
  </si>
  <si>
    <t>PF_a</t>
  </si>
  <si>
    <t>PFa</t>
    <phoneticPr fontId="11" type="noConversion"/>
  </si>
  <si>
    <t>1-27</t>
  </si>
  <si>
    <t>Phase B Power Factor</t>
    <phoneticPr fontId="11" type="noConversion"/>
  </si>
  <si>
    <t>PF_b</t>
  </si>
  <si>
    <t>PFb</t>
    <phoneticPr fontId="11" type="noConversion"/>
  </si>
  <si>
    <t>1-28</t>
  </si>
  <si>
    <t>Phase C Power Factor</t>
    <phoneticPr fontId="11" type="noConversion"/>
  </si>
  <si>
    <t>PF_c</t>
  </si>
  <si>
    <t>PFc</t>
    <phoneticPr fontId="11" type="noConversion"/>
  </si>
  <si>
    <t>2-1</t>
  </si>
  <si>
    <t>System Export Active Energy</t>
    <phoneticPr fontId="11" type="noConversion"/>
  </si>
  <si>
    <t>EP_EXP_kWh</t>
  </si>
  <si>
    <t>kWh</t>
  </si>
  <si>
    <t>uint32</t>
  </si>
  <si>
    <t>R/W</t>
  </si>
  <si>
    <t>9</t>
  </si>
  <si>
    <t>8-1-10-11-13</t>
  </si>
  <si>
    <t>energy</t>
  </si>
  <si>
    <t>EP_EXP_kWh</t>
    <phoneticPr fontId="11" type="noConversion"/>
  </si>
  <si>
    <t>2-2</t>
  </si>
  <si>
    <t>Phase A Export Active Energy</t>
    <phoneticPr fontId="11" type="noConversion"/>
  </si>
  <si>
    <t>EP_EXP_a_kWh</t>
  </si>
  <si>
    <t>2-3</t>
  </si>
  <si>
    <t>Phase B Export Active Energy</t>
    <phoneticPr fontId="11" type="noConversion"/>
  </si>
  <si>
    <t>EP_EXP_b_kWh</t>
  </si>
  <si>
    <t>2-4</t>
  </si>
  <si>
    <t>Phase C Export Active Energy</t>
    <phoneticPr fontId="11" type="noConversion"/>
  </si>
  <si>
    <t>EP_EXP_c_kWh</t>
  </si>
  <si>
    <t>2-5</t>
  </si>
  <si>
    <t>System Import Active Energy</t>
    <phoneticPr fontId="11" type="noConversion"/>
  </si>
  <si>
    <t>EP_IMP_kWh</t>
  </si>
  <si>
    <t>EP_IMP_kWh</t>
    <phoneticPr fontId="11" type="noConversion"/>
  </si>
  <si>
    <t>2-6</t>
  </si>
  <si>
    <t>Phase A Import Active Energy</t>
    <phoneticPr fontId="11" type="noConversion"/>
  </si>
  <si>
    <t>EP_IMP_a_kWh</t>
  </si>
  <si>
    <t>2-7</t>
  </si>
  <si>
    <t>Phase B Import Active Energy</t>
    <phoneticPr fontId="11" type="noConversion"/>
  </si>
  <si>
    <t>EP_IMP_b_kWh</t>
  </si>
  <si>
    <t>2-8</t>
  </si>
  <si>
    <t>Phase C Import Active Energy</t>
    <phoneticPr fontId="11" type="noConversion"/>
  </si>
  <si>
    <t>EP_IMP_c_kWh</t>
  </si>
  <si>
    <t>3-1</t>
  </si>
  <si>
    <t>System Active Power Demand</t>
  </si>
  <si>
    <t>DMD_P_kW</t>
  </si>
  <si>
    <t>7-9-1-10-11-12-13</t>
  </si>
  <si>
    <t>demand</t>
  </si>
  <si>
    <t>3-2</t>
  </si>
  <si>
    <t>System Reactive Power Demand</t>
  </si>
  <si>
    <t>DMD_Q_kvar</t>
  </si>
  <si>
    <t>3-3</t>
  </si>
  <si>
    <t>System Apparent Power Demand</t>
  </si>
  <si>
    <t>DMD_S_kVA</t>
  </si>
  <si>
    <t>4-1</t>
  </si>
  <si>
    <t>Communication Address</t>
  </si>
  <si>
    <t>Conf_Ch1_Addr</t>
  </si>
  <si>
    <t>uint16</t>
  </si>
  <si>
    <t>4-2</t>
  </si>
  <si>
    <t>RS485 Communication Baud Rate</t>
  </si>
  <si>
    <t>Conf_Ch1_Baud</t>
  </si>
  <si>
    <t>4-3</t>
  </si>
  <si>
    <t>RS485 Communication Parity</t>
  </si>
  <si>
    <t>Conf_Ch1_Parity</t>
  </si>
  <si>
    <t>4-4</t>
  </si>
  <si>
    <t>Pulse Parameter</t>
  </si>
  <si>
    <t>Conf_PulseParam</t>
  </si>
  <si>
    <t>4-5</t>
  </si>
  <si>
    <t>Demand Method</t>
  </si>
  <si>
    <t>Conf_Dmd_Method</t>
  </si>
  <si>
    <t>4-6</t>
  </si>
  <si>
    <t>Demand Window</t>
  </si>
  <si>
    <t>Conf_Dmd_Window</t>
  </si>
  <si>
    <t>4-7</t>
  </si>
  <si>
    <t>Demand Sub Interval</t>
  </si>
  <si>
    <t>Conf_Dmd_SubInterval</t>
  </si>
  <si>
    <t>4-8</t>
  </si>
  <si>
    <t>Reactive Power Calculation Method</t>
  </si>
  <si>
    <t>Conf_CalcMethod_Q</t>
  </si>
  <si>
    <t>4-9</t>
  </si>
  <si>
    <t>VAR/PF Convention</t>
  </si>
  <si>
    <t>Conf_CalcMethod_VarPF</t>
  </si>
  <si>
    <t>4-10</t>
  </si>
  <si>
    <t>Non-standard content seal option</t>
  </si>
  <si>
    <t>Conf_Seal_Option</t>
  </si>
  <si>
    <t>4-11</t>
  </si>
  <si>
    <t>Communication Permission</t>
  </si>
  <si>
    <t>Conf_Comm_Perm</t>
  </si>
  <si>
    <t>4-12</t>
  </si>
  <si>
    <t>Current Password</t>
  </si>
  <si>
    <t>Conf_Curr_Pwd</t>
  </si>
  <si>
    <t>4-13</t>
  </si>
  <si>
    <t>New Password</t>
  </si>
  <si>
    <t>Conf_New_Pwd</t>
  </si>
  <si>
    <t>4-14</t>
  </si>
  <si>
    <t>Clear Meter Data</t>
  </si>
  <si>
    <t>Conf_Clr_Data</t>
  </si>
  <si>
    <t>4-15</t>
  </si>
  <si>
    <t>Optional Display Flag Word 1</t>
  </si>
  <si>
    <t>Conf_OptWord1</t>
  </si>
  <si>
    <t>4-16</t>
  </si>
  <si>
    <t>Optional Display Flag Word 2</t>
  </si>
  <si>
    <t>Conf_OptWord2</t>
  </si>
  <si>
    <t>4-17</t>
  </si>
  <si>
    <t>Basic Reading Display Primary/Secondary</t>
  </si>
  <si>
    <t>Conf_DispFormat_RealTime</t>
  </si>
  <si>
    <t>4-18</t>
  </si>
  <si>
    <t>Service Configuration</t>
  </si>
  <si>
    <t>Conf_ServiceConfig</t>
  </si>
  <si>
    <t>4-19</t>
  </si>
  <si>
    <t>CT2 Value</t>
  </si>
  <si>
    <t>Conf_CT2</t>
  </si>
  <si>
    <t>4-20</t>
  </si>
  <si>
    <t>CT1 Value</t>
  </si>
  <si>
    <t>Conf_CT1</t>
  </si>
  <si>
    <t>4-21</t>
  </si>
  <si>
    <t>CTN Value</t>
  </si>
  <si>
    <t>Conf_CT41</t>
  </si>
  <si>
    <t>4-22</t>
  </si>
  <si>
    <t>PT2</t>
  </si>
  <si>
    <t>Conf_PT2</t>
  </si>
  <si>
    <t>4-23</t>
  </si>
  <si>
    <t>PT1</t>
  </si>
  <si>
    <t>Conf_PT1</t>
  </si>
  <si>
    <t>4-24</t>
  </si>
  <si>
    <t>Pulse Constant</t>
  </si>
  <si>
    <t>Conf_PulseConst</t>
  </si>
  <si>
    <t>4-25</t>
  </si>
  <si>
    <t>Pulse Width</t>
  </si>
  <si>
    <t>Conf_PulseWidth</t>
  </si>
  <si>
    <t>4-26</t>
  </si>
  <si>
    <t>Energy Display Decimal Digits</t>
  </si>
  <si>
    <t>Conf_Energy_Digits</t>
  </si>
  <si>
    <t>4-27</t>
  </si>
  <si>
    <t>RO Output Mode</t>
  </si>
  <si>
    <t>Conf_RO_Mode</t>
  </si>
  <si>
    <t>4-28</t>
  </si>
  <si>
    <t>Enable Wiring Error Detection</t>
  </si>
  <si>
    <t>Conf_Enable_Detect_WireError</t>
  </si>
  <si>
    <t>5-1</t>
  </si>
  <si>
    <t>Wiring Error</t>
  </si>
  <si>
    <t>Info_WireError</t>
  </si>
  <si>
    <t>5-2</t>
  </si>
  <si>
    <t>Sealing status</t>
  </si>
  <si>
    <t>Info_Seal_Status</t>
  </si>
  <si>
    <t>5-3</t>
  </si>
  <si>
    <t>Enclosure status</t>
  </si>
  <si>
    <t>Info_Enclosure_Status</t>
  </si>
  <si>
    <t>6-1</t>
  </si>
  <si>
    <t>InfoCT2Type</t>
  </si>
  <si>
    <t>Info_CT2_Type</t>
  </si>
  <si>
    <t>analysisUnitTypeName</t>
  </si>
  <si>
    <t>threePhaseMeterAnalysis</t>
  </si>
  <si>
    <t>three_phase_realtime</t>
  </si>
  <si>
    <t>three_phase_energy_demand</t>
  </si>
  <si>
    <t>ANG_VLN_a</t>
  </si>
  <si>
    <t>EQ_IMP_a_kvarh</t>
  </si>
  <si>
    <t>ANG_VLL_ab</t>
  </si>
  <si>
    <t>EQ_EXP_a_kvarh</t>
  </si>
  <si>
    <t>EP_NET_a_kWh</t>
  </si>
  <si>
    <t>ANG_I_a</t>
  </si>
  <si>
    <t>EQ_NET_a_kvarh</t>
  </si>
  <si>
    <t>EP_TOTAL_a_kWh</t>
  </si>
  <si>
    <t>EQ_TOTAL_a_kvarh</t>
  </si>
  <si>
    <t>ES_a_kVAh</t>
  </si>
  <si>
    <t>LC_a</t>
  </si>
  <si>
    <t>EQ_IMP_b_kvarh</t>
  </si>
  <si>
    <t>LEAD_PF_a</t>
  </si>
  <si>
    <t>LAG_PF_a</t>
  </si>
  <si>
    <t>EQ_EXP_b_kvarh</t>
  </si>
  <si>
    <t>EP_NET_b_kWh</t>
  </si>
  <si>
    <t>ANG_VLN_b</t>
  </si>
  <si>
    <t>EQ_NET_b_kvarh</t>
  </si>
  <si>
    <t>EP_TOTAL_b_kWh</t>
  </si>
  <si>
    <t>ANG_VLL_bb</t>
  </si>
  <si>
    <t>EQ_TOTAL_b_kvarh</t>
  </si>
  <si>
    <t>ES_b_kVAh</t>
  </si>
  <si>
    <t>ANG_I_b</t>
  </si>
  <si>
    <t>EQ_IMP_c_kvarh</t>
  </si>
  <si>
    <t>EQ_EXP_c_kvarh</t>
  </si>
  <si>
    <t>LC_b</t>
  </si>
  <si>
    <t>EP_NET_c_kWh</t>
  </si>
  <si>
    <t>EQ_NET_c_kvarh</t>
  </si>
  <si>
    <t>LEAD_PF_b</t>
  </si>
  <si>
    <t>EP_TOTAL_c_kWh</t>
  </si>
  <si>
    <t>LAG_PF_b</t>
  </si>
  <si>
    <t>EQ_TOTAL_c_kvarh</t>
  </si>
  <si>
    <t>ES_c_kVAh</t>
  </si>
  <si>
    <t>ANG_VLN_c</t>
  </si>
  <si>
    <t>ANG_VLL_cb</t>
  </si>
  <si>
    <t>ANG_I_c</t>
  </si>
  <si>
    <t>EP_NET_kWh</t>
  </si>
  <si>
    <t>EQ_NET_kvarh</t>
  </si>
  <si>
    <t>EP_TOTAL_kWh</t>
  </si>
  <si>
    <t>EQ_TOTAL_kvarh</t>
  </si>
  <si>
    <t>LC_c</t>
  </si>
  <si>
    <t>DMD_P_a_kW</t>
  </si>
  <si>
    <t>LEAD_PF_c</t>
  </si>
  <si>
    <t>DMD_Q_a_kvar</t>
  </si>
  <si>
    <t>LAG_PF_c</t>
  </si>
  <si>
    <t>DMD_S_a_kVA</t>
  </si>
  <si>
    <t>DMD_P_b_kW</t>
  </si>
  <si>
    <t>DMD_Q_b_kvar</t>
  </si>
  <si>
    <t>I_avg_A</t>
  </si>
  <si>
    <t>DMD_S_b_kVA</t>
  </si>
  <si>
    <t>LC_avg</t>
  </si>
  <si>
    <t>DMD_P_c_kW</t>
  </si>
  <si>
    <t>I_n_A</t>
  </si>
  <si>
    <t>DMD_Q_c_kvar</t>
  </si>
  <si>
    <t>DMD_S_c_kVA</t>
  </si>
  <si>
    <t>LEAD_PF</t>
  </si>
  <si>
    <t>LAG_PF</t>
  </si>
  <si>
    <t>analysisId</t>
  </si>
  <si>
    <t>analysisName</t>
  </si>
  <si>
    <t>appId</t>
  </si>
  <si>
    <t>appName</t>
  </si>
  <si>
    <t>isTimer</t>
  </si>
  <si>
    <t>groupId</t>
  </si>
  <si>
    <t>interval</t>
  </si>
  <si>
    <t>jsonConfig</t>
  </si>
  <si>
    <t>appType</t>
  </si>
  <si>
    <t>false</t>
  </si>
  <si>
    <t>""</t>
  </si>
  <si>
    <t>alarm</t>
  </si>
  <si>
    <t>datalog1</t>
  </si>
  <si>
    <t>datalog2</t>
  </si>
  <si>
    <t>datalog3</t>
  </si>
  <si>
    <t>datalog4</t>
  </si>
  <si>
    <t>trendlogreal</t>
  </si>
  <si>
    <t>trendlogenergy</t>
  </si>
  <si>
    <t>basicSetting</t>
  </si>
  <si>
    <t>acucloud</t>
  </si>
  <si>
    <t>noEnergy</t>
  </si>
  <si>
    <t>mqtt</t>
  </si>
  <si>
    <t>snmp</t>
  </si>
  <si>
    <t>haveEnergy</t>
  </si>
  <si>
    <t>bacnet</t>
  </si>
  <si>
    <t>groupType</t>
  </si>
  <si>
    <t>paramCount</t>
  </si>
  <si>
    <t>deviceSetting_Basic</t>
  </si>
  <si>
    <t>realtimeRange</t>
  </si>
  <si>
    <t>demandRange</t>
  </si>
  <si>
    <t>energyRange</t>
  </si>
  <si>
    <t>datalog_range,acucloud_range,mqtt_range,bacnet_range</t>
  </si>
  <si>
    <t>haveNoEnergy</t>
  </si>
  <si>
    <t>alarm_range,snmp_range</t>
  </si>
  <si>
    <t>datalogRange</t>
  </si>
  <si>
    <t>mqtt_range</t>
  </si>
  <si>
    <t>alarm_range</t>
  </si>
  <si>
    <t>acucloud_range</t>
  </si>
  <si>
    <t>label</t>
  </si>
  <si>
    <t>description</t>
  </si>
  <si>
    <t>version</t>
  </si>
  <si>
    <t>firmwareVersion</t>
  </si>
  <si>
    <t>deviceType</t>
  </si>
  <si>
    <t>protocol</t>
  </si>
  <si>
    <t>AcuRev-1300</t>
  </si>
  <si>
    <t>AcuRev-1300 three-phase AC meter</t>
  </si>
  <si>
    <t>v1.00p01</t>
  </si>
  <si>
    <t>v2.22</t>
  </si>
  <si>
    <t>threePhaseACMeter</t>
  </si>
  <si>
    <t>{
            "type": "Modbus",
            "transports": ["modbus-tcp", "modbus-rtu"]
    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</si>
</sst>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11"/>
      <color rgb="FF000000"/>
      <name val="等线"/>
      <family val="2"/>
    </font>
    <font>
      <sz val="11"/>
      <color rgb="FF00B050"/>
      <name val="等线"/>
      <family val="2"/>
    </font>
    <font>
      <sz val="11"/>
      <color rgb="FF00B050"/>
      <name val="Consolas"/>
      <family val="2"/>
    </font>
    <font>
      <b/>
      <sz val="11"/>
      <color rgb="FF000000"/>
      <name val="等线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1"/>
      <color rgb="FF000000"/>
      <name val="华文细黑"/>
      <family val="2"/>
    </font>
    <font>
      <sz val="11"/>
      <color rgb="FF000000"/>
      <name val="华文细黑"/>
      <family val="2"/>
    </font>
    <font>
      <sz val="9"/>
      <name val="宋体"/>
      <family val="3"/>
      <charset val="134"/>
      <scheme val="minor"/>
    </font>
    <font>
      <sz val="11"/>
      <color rgb="FF000000"/>
      <name val="Calibri"/>
      <family val="2"/>
    </font>
    <font>
      <b/>
      <sz val="10"/>
      <color theme="1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B8D4F0"/>
      </patternFill>
    </fill>
    <fill>
      <patternFill patternType="solid">
        <fgColor rgb="FFD1D1D1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3" fontId="0" fillId="0" borderId="0" xfId="0" applyNumberFormat="1"/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3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right"/>
    </xf>
    <xf numFmtId="3" fontId="6" fillId="3" borderId="2" xfId="0" applyNumberFormat="1" applyFont="1" applyFill="1" applyBorder="1" applyAlignment="1">
      <alignment horizontal="right"/>
    </xf>
    <xf numFmtId="0" fontId="6" fillId="3" borderId="2" xfId="0" applyFont="1" applyFill="1" applyBorder="1" applyAlignment="1">
      <alignment horizontal="center"/>
    </xf>
    <xf numFmtId="49" fontId="6" fillId="3" borderId="2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3" fontId="7" fillId="0" borderId="1" xfId="0" applyNumberFormat="1" applyFont="1" applyBorder="1" applyAlignment="1">
      <alignment horizontal="left"/>
    </xf>
    <xf numFmtId="3" fontId="8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" fontId="7" fillId="4" borderId="2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49" fontId="0" fillId="0" borderId="0" xfId="0" applyNumberFormat="1"/>
    <xf numFmtId="0" fontId="7" fillId="0" borderId="1" xfId="0" applyFont="1" applyBorder="1" applyAlignment="1">
      <alignment horizontal="left" wrapText="1"/>
    </xf>
    <xf numFmtId="3" fontId="1" fillId="4" borderId="2" xfId="0" applyNumberFormat="1" applyFont="1" applyFill="1" applyBorder="1" applyAlignment="1">
      <alignment horizontal="right"/>
    </xf>
    <xf numFmtId="0" fontId="1" fillId="4" borderId="2" xfId="0" applyFont="1" applyFill="1" applyBorder="1" applyAlignment="1">
      <alignment horizontal="right"/>
    </xf>
    <xf numFmtId="3" fontId="7" fillId="4" borderId="2" xfId="0" applyNumberFormat="1" applyFont="1" applyFill="1" applyBorder="1" applyAlignment="1">
      <alignment horizontal="right"/>
    </xf>
    <xf numFmtId="0" fontId="7" fillId="4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3" fontId="7" fillId="4" borderId="2" xfId="0" applyNumberFormat="1" applyFont="1" applyFill="1" applyBorder="1" applyAlignment="1">
      <alignment horizontal="left"/>
    </xf>
    <xf numFmtId="4" fontId="1" fillId="4" borderId="2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left"/>
    </xf>
    <xf numFmtId="3" fontId="9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3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8"/>
  <sheetViews>
    <sheetView workbookViewId="0"/>
  </sheetViews>
  <sheetFormatPr defaultRowHeight="14.45"/>
  <cols>
    <col min="1" max="1" width="13.625" style="13" bestFit="1" customWidth="1"/>
    <col min="2" max="2" width="19.75" bestFit="1" customWidth="1"/>
    <col min="3" max="4" width="13.625" style="13" bestFit="1" customWidth="1"/>
    <col min="5" max="5" width="13.625" bestFit="1" customWidth="1"/>
    <col min="6" max="6" width="31.625" style="14" bestFit="1" customWidth="1"/>
  </cols>
  <sheetData>
    <row r="1" spans="1:6" ht="18.75" customHeight="1">
      <c r="A1" s="43" t="s">
        <v>0</v>
      </c>
      <c r="B1" s="44" t="s">
        <v>1</v>
      </c>
      <c r="C1" s="43" t="s">
        <v>2</v>
      </c>
      <c r="D1" s="43" t="s">
        <v>3</v>
      </c>
      <c r="E1" s="44" t="s">
        <v>4</v>
      </c>
      <c r="F1" s="44" t="s">
        <v>5</v>
      </c>
    </row>
    <row r="2" spans="1:6" ht="18.75" customHeight="1">
      <c r="A2" s="45">
        <v>0</v>
      </c>
      <c r="B2" s="46" t="s">
        <v>6</v>
      </c>
      <c r="C2" s="45">
        <v>0</v>
      </c>
      <c r="D2" s="45">
        <v>1</v>
      </c>
      <c r="E2" s="47" t="s">
        <v>7</v>
      </c>
      <c r="F2" s="46" t="s">
        <v>8</v>
      </c>
    </row>
    <row r="3" spans="1:6" ht="18.75" customHeight="1">
      <c r="A3" s="45">
        <v>1</v>
      </c>
      <c r="B3" s="46" t="s">
        <v>9</v>
      </c>
      <c r="C3" s="45">
        <v>8194</v>
      </c>
      <c r="D3" s="45">
        <v>56</v>
      </c>
      <c r="E3" s="47" t="s">
        <v>7</v>
      </c>
      <c r="F3" s="1" t="s">
        <v>10</v>
      </c>
    </row>
    <row r="4" spans="1:6" ht="18.75" customHeight="1">
      <c r="A4" s="45">
        <v>2</v>
      </c>
      <c r="B4" s="46" t="s">
        <v>9</v>
      </c>
      <c r="C4" s="45">
        <v>8262</v>
      </c>
      <c r="D4" s="45">
        <v>18</v>
      </c>
      <c r="E4" s="47" t="s">
        <v>7</v>
      </c>
      <c r="F4" s="1" t="s">
        <v>11</v>
      </c>
    </row>
    <row r="5" spans="1:6" ht="18.75" customHeight="1">
      <c r="A5" s="45">
        <v>3</v>
      </c>
      <c r="B5" s="46" t="s">
        <v>9</v>
      </c>
      <c r="C5" s="6">
        <v>4616</v>
      </c>
      <c r="D5" s="6">
        <v>6</v>
      </c>
      <c r="E5" s="47" t="s">
        <v>7</v>
      </c>
      <c r="F5" s="23" t="s">
        <v>12</v>
      </c>
    </row>
    <row r="6" spans="1:6" ht="18.75" customHeight="1">
      <c r="A6" s="45">
        <v>4</v>
      </c>
      <c r="B6" s="46" t="s">
        <v>9</v>
      </c>
      <c r="C6" s="6">
        <v>512</v>
      </c>
      <c r="D6" s="6">
        <v>29</v>
      </c>
      <c r="E6" s="47" t="s">
        <v>7</v>
      </c>
      <c r="F6" s="23" t="s">
        <v>13</v>
      </c>
    </row>
    <row r="7" spans="1:6" ht="18.75" customHeight="1">
      <c r="A7" s="45">
        <v>5</v>
      </c>
      <c r="B7" s="46" t="s">
        <v>9</v>
      </c>
      <c r="C7" s="6">
        <v>256</v>
      </c>
      <c r="D7" s="6">
        <v>3</v>
      </c>
      <c r="E7" s="47" t="s">
        <v>7</v>
      </c>
      <c r="F7" s="23" t="s">
        <v>14</v>
      </c>
    </row>
    <row r="8" spans="1:6" ht="18.75" customHeight="1">
      <c r="A8" s="45">
        <v>6</v>
      </c>
      <c r="B8" s="46" t="s">
        <v>9</v>
      </c>
      <c r="C8" s="6">
        <v>61953</v>
      </c>
      <c r="D8" s="6">
        <v>1</v>
      </c>
      <c r="E8" s="47" t="s">
        <v>7</v>
      </c>
      <c r="F8" s="23" t="s">
        <v>15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F73"/>
  <sheetViews>
    <sheetView tabSelected="1" workbookViewId="0">
      <pane ySplit="1" topLeftCell="A2" activePane="bottomLeft" state="frozen"/>
      <selection pane="bottomLeft" activeCell="AE7" sqref="AE7"/>
    </sheetView>
  </sheetViews>
  <sheetFormatPr defaultRowHeight="14.45"/>
  <cols>
    <col min="1" max="1" width="13.625" style="13" bestFit="1" customWidth="1"/>
    <col min="2" max="2" width="7.25" style="13" bestFit="1" customWidth="1"/>
    <col min="3" max="3" width="8.125" style="41" bestFit="1" customWidth="1"/>
    <col min="4" max="4" width="7.625" style="13" bestFit="1" customWidth="1"/>
    <col min="5" max="5" width="9.25" style="13" bestFit="1" customWidth="1"/>
    <col min="6" max="6" width="34.625" bestFit="1" customWidth="1"/>
    <col min="7" max="7" width="30.25" bestFit="1" customWidth="1"/>
    <col min="8" max="8" width="5.625" hidden="1" customWidth="1"/>
    <col min="9" max="9" width="13.625" style="14" hidden="1" customWidth="1"/>
    <col min="10" max="10" width="13.625" style="42" hidden="1" customWidth="1"/>
    <col min="11" max="11" width="4.75" style="14" hidden="1" customWidth="1"/>
    <col min="12" max="12" width="4.625" style="42" hidden="1" customWidth="1"/>
    <col min="13" max="13" width="5.625" style="13" hidden="1" customWidth="1"/>
    <col min="14" max="14" width="12.75" style="9" hidden="1" customWidth="1"/>
    <col min="15" max="15" width="13.625" style="9" hidden="1" customWidth="1"/>
    <col min="16" max="16" width="8.75" style="9" hidden="1" customWidth="1"/>
    <col min="17" max="17" width="11.25" style="9" hidden="1" customWidth="1"/>
    <col min="18" max="18" width="15.625" style="9" hidden="1" customWidth="1"/>
    <col min="19" max="19" width="13.625" style="13" hidden="1" customWidth="1"/>
    <col min="20" max="20" width="13.625" style="9" hidden="1" customWidth="1"/>
    <col min="21" max="21" width="34" style="31" hidden="1" customWidth="1"/>
    <col min="22" max="22" width="34" hidden="1" customWidth="1"/>
    <col min="23" max="28" width="13.625" hidden="1" customWidth="1"/>
    <col min="29" max="29" width="30.25" bestFit="1" customWidth="1"/>
    <col min="31" max="31" width="15.5" bestFit="1" customWidth="1"/>
    <col min="32" max="32" width="36.375" bestFit="1" customWidth="1"/>
  </cols>
  <sheetData>
    <row r="1" spans="1:32" ht="18.75" customHeight="1">
      <c r="A1" s="16" t="s">
        <v>16</v>
      </c>
      <c r="B1" s="16" t="s">
        <v>0</v>
      </c>
      <c r="C1" s="17" t="s">
        <v>17</v>
      </c>
      <c r="D1" s="18" t="s">
        <v>18</v>
      </c>
      <c r="E1" s="18" t="s">
        <v>19</v>
      </c>
      <c r="F1" s="19" t="s">
        <v>20</v>
      </c>
      <c r="G1" s="19" t="s">
        <v>21</v>
      </c>
      <c r="H1" s="19" t="s">
        <v>22</v>
      </c>
      <c r="I1" s="19" t="s">
        <v>23</v>
      </c>
      <c r="J1" s="16" t="s">
        <v>24</v>
      </c>
      <c r="K1" s="19" t="s">
        <v>25</v>
      </c>
      <c r="L1" s="16" t="s">
        <v>26</v>
      </c>
      <c r="M1" s="16" t="s">
        <v>27</v>
      </c>
      <c r="N1" s="16" t="s">
        <v>28</v>
      </c>
      <c r="O1" s="16" t="s">
        <v>29</v>
      </c>
      <c r="P1" s="16" t="s">
        <v>30</v>
      </c>
      <c r="Q1" s="16" t="s">
        <v>31</v>
      </c>
      <c r="R1" s="16" t="s">
        <v>32</v>
      </c>
      <c r="S1" s="16" t="s">
        <v>33</v>
      </c>
      <c r="T1" s="16" t="s">
        <v>34</v>
      </c>
      <c r="U1" s="20" t="s">
        <v>35</v>
      </c>
      <c r="V1" s="19" t="s">
        <v>35</v>
      </c>
      <c r="W1" s="10" t="s">
        <v>36</v>
      </c>
      <c r="X1" s="10" t="s">
        <v>37</v>
      </c>
      <c r="Y1" s="10" t="s">
        <v>38</v>
      </c>
      <c r="Z1" s="10" t="s">
        <v>39</v>
      </c>
      <c r="AA1" s="10" t="s">
        <v>40</v>
      </c>
      <c r="AB1" s="10" t="s">
        <v>41</v>
      </c>
      <c r="AC1" s="19" t="s">
        <v>42</v>
      </c>
      <c r="AE1" s="50" t="s">
        <v>43</v>
      </c>
      <c r="AF1" s="51"/>
    </row>
    <row r="2" spans="1:32" ht="18.75" customHeight="1">
      <c r="A2" s="6">
        <v>1</v>
      </c>
      <c r="B2" s="6">
        <v>0</v>
      </c>
      <c r="C2" s="21" t="s">
        <v>44</v>
      </c>
      <c r="D2" s="22">
        <v>0</v>
      </c>
      <c r="E2" s="22">
        <v>0</v>
      </c>
      <c r="F2" s="23" t="s">
        <v>45</v>
      </c>
      <c r="G2" s="24" t="s">
        <v>45</v>
      </c>
      <c r="H2" s="23"/>
      <c r="I2" s="23" t="s">
        <v>8</v>
      </c>
      <c r="J2" s="25">
        <v>1</v>
      </c>
      <c r="K2" s="23" t="s">
        <v>46</v>
      </c>
      <c r="L2" s="25">
        <v>1</v>
      </c>
      <c r="M2" s="25">
        <v>1</v>
      </c>
      <c r="N2" s="25">
        <v>0</v>
      </c>
      <c r="O2" s="26"/>
      <c r="P2" s="26"/>
      <c r="T2" s="26">
        <v>6</v>
      </c>
      <c r="U2" s="27" t="s">
        <v>47</v>
      </c>
      <c r="V2" s="3" t="s">
        <v>48</v>
      </c>
      <c r="W2" s="1" t="s">
        <v>49</v>
      </c>
      <c r="X2" s="1" t="s">
        <v>49</v>
      </c>
      <c r="Y2" s="1" t="s">
        <v>49</v>
      </c>
      <c r="Z2" s="1" t="s">
        <v>49</v>
      </c>
      <c r="AA2" s="1" t="s">
        <v>49</v>
      </c>
      <c r="AB2" s="1" t="s">
        <v>49</v>
      </c>
      <c r="AC2" s="24"/>
      <c r="AE2" s="48" t="s">
        <v>50</v>
      </c>
      <c r="AF2" s="48" t="s">
        <v>51</v>
      </c>
    </row>
    <row r="3" spans="1:32" ht="18.75" customHeight="1">
      <c r="A3" s="6">
        <v>2</v>
      </c>
      <c r="B3" s="6">
        <v>1</v>
      </c>
      <c r="C3" s="21" t="s">
        <v>52</v>
      </c>
      <c r="D3" s="22">
        <f t="shared" ref="D3:D30" si="0">E3-8194</f>
        <v>0</v>
      </c>
      <c r="E3" s="22">
        <v>8194</v>
      </c>
      <c r="F3" s="23" t="s">
        <v>53</v>
      </c>
      <c r="G3" s="23" t="s">
        <v>54</v>
      </c>
      <c r="H3" s="23" t="s">
        <v>55</v>
      </c>
      <c r="I3" s="23" t="s">
        <v>56</v>
      </c>
      <c r="J3" s="25">
        <v>12</v>
      </c>
      <c r="K3" s="23" t="s">
        <v>46</v>
      </c>
      <c r="L3" s="25">
        <v>2</v>
      </c>
      <c r="M3" s="25">
        <v>1</v>
      </c>
      <c r="N3" s="25">
        <v>1</v>
      </c>
      <c r="O3" s="26">
        <v>1</v>
      </c>
      <c r="P3" s="26">
        <v>2</v>
      </c>
      <c r="R3" s="26">
        <v>4</v>
      </c>
      <c r="T3" s="26">
        <v>6</v>
      </c>
      <c r="U3" s="27" t="s">
        <v>47</v>
      </c>
      <c r="V3" s="3" t="s">
        <v>48</v>
      </c>
      <c r="W3" s="1" t="s">
        <v>49</v>
      </c>
      <c r="X3" s="1" t="s">
        <v>49</v>
      </c>
      <c r="Y3" s="1" t="s">
        <v>49</v>
      </c>
      <c r="Z3" s="1" t="s">
        <v>49</v>
      </c>
      <c r="AA3" s="1" t="s">
        <v>49</v>
      </c>
      <c r="AB3" s="1" t="s">
        <v>49</v>
      </c>
      <c r="AC3" s="23" t="s">
        <v>57</v>
      </c>
      <c r="AE3" s="48" t="s">
        <v>58</v>
      </c>
      <c r="AF3" s="48" t="s">
        <v>59</v>
      </c>
    </row>
    <row r="4" spans="1:32" ht="18.75" customHeight="1">
      <c r="A4" s="6">
        <v>3</v>
      </c>
      <c r="B4" s="6">
        <v>1</v>
      </c>
      <c r="C4" s="21" t="s">
        <v>60</v>
      </c>
      <c r="D4" s="22">
        <f t="shared" si="0"/>
        <v>2</v>
      </c>
      <c r="E4" s="22">
        <f t="shared" ref="E4:E30" si="1">E3+L3</f>
        <v>8196</v>
      </c>
      <c r="F4" s="23" t="s">
        <v>61</v>
      </c>
      <c r="G4" s="23" t="s">
        <v>62</v>
      </c>
      <c r="H4" s="23" t="s">
        <v>55</v>
      </c>
      <c r="I4" s="23" t="s">
        <v>56</v>
      </c>
      <c r="J4" s="25">
        <v>12</v>
      </c>
      <c r="K4" s="23" t="s">
        <v>46</v>
      </c>
      <c r="L4" s="25">
        <v>2</v>
      </c>
      <c r="M4" s="25">
        <v>1</v>
      </c>
      <c r="N4" s="25">
        <v>1</v>
      </c>
      <c r="O4" s="26">
        <v>1</v>
      </c>
      <c r="P4" s="26">
        <v>2</v>
      </c>
      <c r="R4" s="26">
        <v>4</v>
      </c>
      <c r="T4" s="26">
        <v>6</v>
      </c>
      <c r="U4" s="27" t="s">
        <v>47</v>
      </c>
      <c r="V4" s="3" t="s">
        <v>48</v>
      </c>
      <c r="W4" s="1" t="s">
        <v>49</v>
      </c>
      <c r="X4" s="1" t="s">
        <v>49</v>
      </c>
      <c r="Y4" s="1" t="s">
        <v>49</v>
      </c>
      <c r="Z4" s="1" t="s">
        <v>49</v>
      </c>
      <c r="AA4" s="1" t="s">
        <v>49</v>
      </c>
      <c r="AB4" s="1" t="s">
        <v>49</v>
      </c>
      <c r="AC4" s="23" t="s">
        <v>63</v>
      </c>
      <c r="AE4" s="48" t="s">
        <v>64</v>
      </c>
      <c r="AF4" s="48" t="s">
        <v>65</v>
      </c>
    </row>
    <row r="5" spans="1:32" ht="18.75" customHeight="1">
      <c r="A5" s="6">
        <v>4</v>
      </c>
      <c r="B5" s="6">
        <v>1</v>
      </c>
      <c r="C5" s="21" t="s">
        <v>66</v>
      </c>
      <c r="D5" s="22">
        <f t="shared" si="0"/>
        <v>4</v>
      </c>
      <c r="E5" s="22">
        <f t="shared" si="1"/>
        <v>8198</v>
      </c>
      <c r="F5" s="23" t="s">
        <v>67</v>
      </c>
      <c r="G5" s="23" t="s">
        <v>68</v>
      </c>
      <c r="H5" s="23" t="s">
        <v>55</v>
      </c>
      <c r="I5" s="23" t="s">
        <v>56</v>
      </c>
      <c r="J5" s="25">
        <v>12</v>
      </c>
      <c r="K5" s="23" t="s">
        <v>46</v>
      </c>
      <c r="L5" s="25">
        <v>2</v>
      </c>
      <c r="M5" s="25">
        <v>1</v>
      </c>
      <c r="N5" s="25">
        <v>1</v>
      </c>
      <c r="O5" s="26">
        <v>1</v>
      </c>
      <c r="P5" s="26">
        <v>2</v>
      </c>
      <c r="R5" s="26">
        <v>4</v>
      </c>
      <c r="T5" s="26">
        <v>6</v>
      </c>
      <c r="U5" s="27" t="s">
        <v>47</v>
      </c>
      <c r="V5" s="3" t="s">
        <v>69</v>
      </c>
      <c r="W5" s="3" t="s">
        <v>49</v>
      </c>
      <c r="X5" s="1" t="s">
        <v>49</v>
      </c>
      <c r="Y5" s="1" t="s">
        <v>49</v>
      </c>
      <c r="Z5" s="1" t="s">
        <v>49</v>
      </c>
      <c r="AA5" s="1" t="s">
        <v>49</v>
      </c>
      <c r="AB5" s="1" t="s">
        <v>49</v>
      </c>
      <c r="AC5" s="23" t="s">
        <v>70</v>
      </c>
      <c r="AE5" s="49" t="s">
        <v>71</v>
      </c>
      <c r="AF5" s="48" t="s">
        <v>72</v>
      </c>
    </row>
    <row r="6" spans="1:32" ht="18.75" customHeight="1">
      <c r="A6" s="6">
        <v>5</v>
      </c>
      <c r="B6" s="6">
        <v>1</v>
      </c>
      <c r="C6" s="21" t="s">
        <v>73</v>
      </c>
      <c r="D6" s="22">
        <f t="shared" si="0"/>
        <v>6</v>
      </c>
      <c r="E6" s="22">
        <f t="shared" si="1"/>
        <v>8200</v>
      </c>
      <c r="F6" s="23" t="s">
        <v>74</v>
      </c>
      <c r="G6" s="23" t="s">
        <v>75</v>
      </c>
      <c r="H6" s="23" t="s">
        <v>76</v>
      </c>
      <c r="I6" s="23" t="s">
        <v>56</v>
      </c>
      <c r="J6" s="25">
        <v>12</v>
      </c>
      <c r="K6" s="23" t="s">
        <v>46</v>
      </c>
      <c r="L6" s="25">
        <v>2</v>
      </c>
      <c r="M6" s="25">
        <v>1</v>
      </c>
      <c r="N6" s="25">
        <v>1</v>
      </c>
      <c r="O6" s="26">
        <v>1</v>
      </c>
      <c r="P6" s="26">
        <v>2</v>
      </c>
      <c r="R6" s="26">
        <v>4</v>
      </c>
      <c r="T6" s="26">
        <v>6</v>
      </c>
      <c r="U6" s="27" t="s">
        <v>47</v>
      </c>
      <c r="V6" s="3" t="s">
        <v>69</v>
      </c>
      <c r="W6" s="1" t="s">
        <v>49</v>
      </c>
      <c r="X6" s="1" t="s">
        <v>49</v>
      </c>
      <c r="Y6" s="1" t="s">
        <v>49</v>
      </c>
      <c r="Z6" s="1" t="s">
        <v>49</v>
      </c>
      <c r="AA6" s="1" t="s">
        <v>49</v>
      </c>
      <c r="AB6" s="1" t="s">
        <v>49</v>
      </c>
      <c r="AC6" s="23" t="s">
        <v>77</v>
      </c>
    </row>
    <row r="7" spans="1:32" ht="18.75" customHeight="1">
      <c r="A7" s="6">
        <v>6</v>
      </c>
      <c r="B7" s="6">
        <v>1</v>
      </c>
      <c r="C7" s="21" t="s">
        <v>78</v>
      </c>
      <c r="D7" s="22">
        <f t="shared" si="0"/>
        <v>8</v>
      </c>
      <c r="E7" s="22">
        <f t="shared" si="1"/>
        <v>8202</v>
      </c>
      <c r="F7" s="23" t="s">
        <v>79</v>
      </c>
      <c r="G7" s="23" t="s">
        <v>80</v>
      </c>
      <c r="H7" s="23" t="s">
        <v>76</v>
      </c>
      <c r="I7" s="23" t="s">
        <v>56</v>
      </c>
      <c r="J7" s="25">
        <v>12</v>
      </c>
      <c r="K7" s="23" t="s">
        <v>46</v>
      </c>
      <c r="L7" s="25">
        <v>2</v>
      </c>
      <c r="M7" s="25">
        <v>1</v>
      </c>
      <c r="N7" s="25">
        <v>1</v>
      </c>
      <c r="O7" s="26">
        <v>1</v>
      </c>
      <c r="P7" s="26">
        <v>2</v>
      </c>
      <c r="R7" s="26">
        <v>4</v>
      </c>
      <c r="T7" s="26">
        <v>6</v>
      </c>
      <c r="U7" s="27" t="s">
        <v>47</v>
      </c>
      <c r="V7" s="3" t="s">
        <v>69</v>
      </c>
      <c r="W7" s="1" t="s">
        <v>49</v>
      </c>
      <c r="X7" s="1" t="s">
        <v>49</v>
      </c>
      <c r="Y7" s="1" t="s">
        <v>49</v>
      </c>
      <c r="Z7" s="1" t="s">
        <v>49</v>
      </c>
      <c r="AA7" s="1" t="s">
        <v>49</v>
      </c>
      <c r="AB7" s="1" t="s">
        <v>49</v>
      </c>
      <c r="AC7" s="23" t="s">
        <v>81</v>
      </c>
    </row>
    <row r="8" spans="1:32" ht="18.75" customHeight="1">
      <c r="A8" s="6">
        <v>7</v>
      </c>
      <c r="B8" s="6">
        <v>1</v>
      </c>
      <c r="C8" s="21" t="s">
        <v>82</v>
      </c>
      <c r="D8" s="22">
        <f t="shared" si="0"/>
        <v>10</v>
      </c>
      <c r="E8" s="22">
        <f t="shared" si="1"/>
        <v>8204</v>
      </c>
      <c r="F8" s="23" t="s">
        <v>83</v>
      </c>
      <c r="G8" s="23" t="s">
        <v>84</v>
      </c>
      <c r="H8" s="23" t="s">
        <v>76</v>
      </c>
      <c r="I8" s="23" t="s">
        <v>56</v>
      </c>
      <c r="J8" s="25">
        <v>12</v>
      </c>
      <c r="K8" s="23" t="s">
        <v>46</v>
      </c>
      <c r="L8" s="25">
        <v>2</v>
      </c>
      <c r="M8" s="25">
        <v>1</v>
      </c>
      <c r="N8" s="25">
        <v>1</v>
      </c>
      <c r="O8" s="26">
        <v>1</v>
      </c>
      <c r="P8" s="26">
        <v>2</v>
      </c>
      <c r="R8" s="26">
        <v>4</v>
      </c>
      <c r="T8" s="26">
        <v>6</v>
      </c>
      <c r="U8" s="27" t="s">
        <v>47</v>
      </c>
      <c r="V8" s="3" t="s">
        <v>69</v>
      </c>
      <c r="W8" s="1" t="s">
        <v>49</v>
      </c>
      <c r="X8" s="1" t="s">
        <v>49</v>
      </c>
      <c r="Y8" s="1" t="s">
        <v>49</v>
      </c>
      <c r="Z8" s="1" t="s">
        <v>49</v>
      </c>
      <c r="AA8" s="1" t="s">
        <v>49</v>
      </c>
      <c r="AB8" s="1" t="s">
        <v>49</v>
      </c>
      <c r="AC8" s="23" t="s">
        <v>85</v>
      </c>
    </row>
    <row r="9" spans="1:32" ht="18.75" customHeight="1">
      <c r="A9" s="6">
        <v>8</v>
      </c>
      <c r="B9" s="6">
        <v>1</v>
      </c>
      <c r="C9" s="21" t="s">
        <v>86</v>
      </c>
      <c r="D9" s="22">
        <f t="shared" si="0"/>
        <v>12</v>
      </c>
      <c r="E9" s="22">
        <f t="shared" si="1"/>
        <v>8206</v>
      </c>
      <c r="F9" s="23" t="s">
        <v>87</v>
      </c>
      <c r="G9" s="23" t="s">
        <v>88</v>
      </c>
      <c r="H9" s="23" t="s">
        <v>76</v>
      </c>
      <c r="I9" s="23" t="s">
        <v>56</v>
      </c>
      <c r="J9" s="25">
        <v>12</v>
      </c>
      <c r="K9" s="23" t="s">
        <v>46</v>
      </c>
      <c r="L9" s="25">
        <v>2</v>
      </c>
      <c r="M9" s="25">
        <v>1</v>
      </c>
      <c r="N9" s="25">
        <v>1</v>
      </c>
      <c r="O9" s="26">
        <v>1</v>
      </c>
      <c r="P9" s="26">
        <v>2</v>
      </c>
      <c r="R9" s="26">
        <v>4</v>
      </c>
      <c r="T9" s="26">
        <v>6</v>
      </c>
      <c r="U9" s="27" t="s">
        <v>47</v>
      </c>
      <c r="V9" s="3" t="s">
        <v>69</v>
      </c>
      <c r="W9" s="1" t="s">
        <v>49</v>
      </c>
      <c r="X9" s="1" t="s">
        <v>49</v>
      </c>
      <c r="Y9" s="1" t="s">
        <v>49</v>
      </c>
      <c r="Z9" s="1" t="s">
        <v>49</v>
      </c>
      <c r="AA9" s="1" t="s">
        <v>49</v>
      </c>
      <c r="AB9" s="1" t="s">
        <v>49</v>
      </c>
      <c r="AC9" s="23" t="s">
        <v>89</v>
      </c>
    </row>
    <row r="10" spans="1:32" ht="18.75" customHeight="1">
      <c r="A10" s="6">
        <v>9</v>
      </c>
      <c r="B10" s="6">
        <v>1</v>
      </c>
      <c r="C10" s="21" t="s">
        <v>90</v>
      </c>
      <c r="D10" s="22">
        <f t="shared" si="0"/>
        <v>14</v>
      </c>
      <c r="E10" s="22">
        <f t="shared" si="1"/>
        <v>8208</v>
      </c>
      <c r="F10" s="23" t="s">
        <v>91</v>
      </c>
      <c r="G10" s="23" t="s">
        <v>92</v>
      </c>
      <c r="H10" s="23" t="s">
        <v>76</v>
      </c>
      <c r="I10" s="23" t="s">
        <v>56</v>
      </c>
      <c r="J10" s="25">
        <v>12</v>
      </c>
      <c r="K10" s="23" t="s">
        <v>46</v>
      </c>
      <c r="L10" s="25">
        <v>2</v>
      </c>
      <c r="M10" s="25">
        <v>1</v>
      </c>
      <c r="N10" s="25">
        <v>1</v>
      </c>
      <c r="O10" s="26">
        <v>1</v>
      </c>
      <c r="P10" s="26">
        <v>2</v>
      </c>
      <c r="R10" s="26">
        <v>4</v>
      </c>
      <c r="T10" s="26">
        <v>6</v>
      </c>
      <c r="U10" s="27" t="s">
        <v>47</v>
      </c>
      <c r="V10" s="3" t="s">
        <v>69</v>
      </c>
      <c r="W10" s="1" t="s">
        <v>49</v>
      </c>
      <c r="X10" s="1" t="s">
        <v>49</v>
      </c>
      <c r="Y10" s="1" t="s">
        <v>49</v>
      </c>
      <c r="Z10" s="1" t="s">
        <v>49</v>
      </c>
      <c r="AA10" s="1" t="s">
        <v>49</v>
      </c>
      <c r="AB10" s="1" t="s">
        <v>49</v>
      </c>
      <c r="AC10" s="23" t="s">
        <v>93</v>
      </c>
    </row>
    <row r="11" spans="1:32" ht="18.75" customHeight="1">
      <c r="A11" s="6">
        <v>10</v>
      </c>
      <c r="B11" s="6">
        <v>1</v>
      </c>
      <c r="C11" s="21" t="s">
        <v>94</v>
      </c>
      <c r="D11" s="22">
        <f t="shared" si="0"/>
        <v>16</v>
      </c>
      <c r="E11" s="22">
        <f t="shared" si="1"/>
        <v>8210</v>
      </c>
      <c r="F11" s="23" t="s">
        <v>95</v>
      </c>
      <c r="G11" s="23" t="s">
        <v>96</v>
      </c>
      <c r="H11" s="23" t="s">
        <v>76</v>
      </c>
      <c r="I11" s="23" t="s">
        <v>56</v>
      </c>
      <c r="J11" s="25">
        <v>12</v>
      </c>
      <c r="K11" s="23" t="s">
        <v>46</v>
      </c>
      <c r="L11" s="25">
        <v>2</v>
      </c>
      <c r="M11" s="25">
        <v>1</v>
      </c>
      <c r="N11" s="25">
        <v>1</v>
      </c>
      <c r="O11" s="26">
        <v>1</v>
      </c>
      <c r="P11" s="26">
        <v>2</v>
      </c>
      <c r="R11" s="26">
        <v>4</v>
      </c>
      <c r="T11" s="26">
        <v>6</v>
      </c>
      <c r="U11" s="27" t="s">
        <v>47</v>
      </c>
      <c r="V11" s="3" t="s">
        <v>69</v>
      </c>
      <c r="W11" s="1" t="s">
        <v>49</v>
      </c>
      <c r="X11" s="1" t="s">
        <v>49</v>
      </c>
      <c r="Y11" s="1" t="s">
        <v>49</v>
      </c>
      <c r="Z11" s="1" t="s">
        <v>49</v>
      </c>
      <c r="AA11" s="1" t="s">
        <v>49</v>
      </c>
      <c r="AB11" s="1" t="s">
        <v>49</v>
      </c>
      <c r="AC11" s="23" t="s">
        <v>97</v>
      </c>
    </row>
    <row r="12" spans="1:32" ht="18.75" customHeight="1">
      <c r="A12" s="6">
        <v>11</v>
      </c>
      <c r="B12" s="6">
        <v>1</v>
      </c>
      <c r="C12" s="21" t="s">
        <v>98</v>
      </c>
      <c r="D12" s="22">
        <f t="shared" si="0"/>
        <v>18</v>
      </c>
      <c r="E12" s="22">
        <f t="shared" si="1"/>
        <v>8212</v>
      </c>
      <c r="F12" s="23" t="s">
        <v>99</v>
      </c>
      <c r="G12" s="23" t="s">
        <v>100</v>
      </c>
      <c r="H12" s="23" t="s">
        <v>76</v>
      </c>
      <c r="I12" s="23" t="s">
        <v>56</v>
      </c>
      <c r="J12" s="25">
        <v>12</v>
      </c>
      <c r="K12" s="23" t="s">
        <v>46</v>
      </c>
      <c r="L12" s="25">
        <v>2</v>
      </c>
      <c r="M12" s="25">
        <v>1</v>
      </c>
      <c r="N12" s="25">
        <v>1</v>
      </c>
      <c r="O12" s="26">
        <v>1</v>
      </c>
      <c r="P12" s="26">
        <v>2</v>
      </c>
      <c r="R12" s="26">
        <v>4</v>
      </c>
      <c r="T12" s="26">
        <v>6</v>
      </c>
      <c r="U12" s="27" t="s">
        <v>47</v>
      </c>
      <c r="V12" s="3" t="s">
        <v>69</v>
      </c>
      <c r="W12" s="1" t="s">
        <v>49</v>
      </c>
      <c r="X12" s="1" t="s">
        <v>49</v>
      </c>
      <c r="Y12" s="1" t="s">
        <v>49</v>
      </c>
      <c r="Z12" s="1" t="s">
        <v>49</v>
      </c>
      <c r="AA12" s="1" t="s">
        <v>49</v>
      </c>
      <c r="AB12" s="1" t="s">
        <v>49</v>
      </c>
      <c r="AC12" s="23" t="s">
        <v>101</v>
      </c>
    </row>
    <row r="13" spans="1:32" ht="18.75" customHeight="1">
      <c r="A13" s="6">
        <v>12</v>
      </c>
      <c r="B13" s="6">
        <v>1</v>
      </c>
      <c r="C13" s="21" t="s">
        <v>102</v>
      </c>
      <c r="D13" s="22">
        <f t="shared" si="0"/>
        <v>20</v>
      </c>
      <c r="E13" s="22">
        <f t="shared" si="1"/>
        <v>8214</v>
      </c>
      <c r="F13" s="23" t="s">
        <v>103</v>
      </c>
      <c r="G13" s="23" t="s">
        <v>104</v>
      </c>
      <c r="H13" s="23" t="s">
        <v>76</v>
      </c>
      <c r="I13" s="23" t="s">
        <v>56</v>
      </c>
      <c r="J13" s="25">
        <v>12</v>
      </c>
      <c r="K13" s="23" t="s">
        <v>46</v>
      </c>
      <c r="L13" s="25">
        <v>2</v>
      </c>
      <c r="M13" s="25">
        <v>1</v>
      </c>
      <c r="N13" s="25">
        <v>1</v>
      </c>
      <c r="O13" s="26">
        <v>1</v>
      </c>
      <c r="P13" s="26">
        <v>2</v>
      </c>
      <c r="R13" s="26">
        <v>4</v>
      </c>
      <c r="T13" s="26">
        <v>6</v>
      </c>
      <c r="U13" s="27" t="s">
        <v>47</v>
      </c>
      <c r="V13" s="3" t="s">
        <v>69</v>
      </c>
      <c r="W13" s="1" t="s">
        <v>49</v>
      </c>
      <c r="X13" s="1" t="s">
        <v>49</v>
      </c>
      <c r="Y13" s="1" t="s">
        <v>49</v>
      </c>
      <c r="Z13" s="1" t="s">
        <v>49</v>
      </c>
      <c r="AA13" s="1" t="s">
        <v>49</v>
      </c>
      <c r="AB13" s="1" t="s">
        <v>49</v>
      </c>
      <c r="AC13" s="23" t="s">
        <v>105</v>
      </c>
    </row>
    <row r="14" spans="1:32" ht="18.75" customHeight="1">
      <c r="A14" s="6">
        <v>13</v>
      </c>
      <c r="B14" s="6">
        <v>1</v>
      </c>
      <c r="C14" s="21" t="s">
        <v>106</v>
      </c>
      <c r="D14" s="22">
        <f t="shared" si="0"/>
        <v>22</v>
      </c>
      <c r="E14" s="22">
        <f t="shared" si="1"/>
        <v>8216</v>
      </c>
      <c r="F14" s="23" t="s">
        <v>107</v>
      </c>
      <c r="G14" s="23" t="s">
        <v>108</v>
      </c>
      <c r="H14" s="23" t="s">
        <v>109</v>
      </c>
      <c r="I14" s="23" t="s">
        <v>56</v>
      </c>
      <c r="J14" s="25">
        <v>12</v>
      </c>
      <c r="K14" s="23" t="s">
        <v>46</v>
      </c>
      <c r="L14" s="25">
        <v>2</v>
      </c>
      <c r="M14" s="25">
        <v>1</v>
      </c>
      <c r="N14" s="25">
        <v>1</v>
      </c>
      <c r="O14" s="26">
        <v>1</v>
      </c>
      <c r="P14" s="26">
        <v>2</v>
      </c>
      <c r="R14" s="26">
        <v>4</v>
      </c>
      <c r="T14" s="26">
        <v>6</v>
      </c>
      <c r="U14" s="27" t="s">
        <v>47</v>
      </c>
      <c r="V14" s="3" t="s">
        <v>69</v>
      </c>
      <c r="W14" s="1" t="s">
        <v>49</v>
      </c>
      <c r="X14" s="1" t="s">
        <v>49</v>
      </c>
      <c r="Y14" s="1" t="s">
        <v>49</v>
      </c>
      <c r="Z14" s="1" t="s">
        <v>49</v>
      </c>
      <c r="AA14" s="1" t="s">
        <v>49</v>
      </c>
      <c r="AB14" s="1" t="s">
        <v>49</v>
      </c>
      <c r="AC14" s="23" t="s">
        <v>110</v>
      </c>
    </row>
    <row r="15" spans="1:32" ht="18.75" customHeight="1">
      <c r="A15" s="6">
        <v>14</v>
      </c>
      <c r="B15" s="6">
        <v>1</v>
      </c>
      <c r="C15" s="21" t="s">
        <v>111</v>
      </c>
      <c r="D15" s="22">
        <f t="shared" si="0"/>
        <v>24</v>
      </c>
      <c r="E15" s="22">
        <f t="shared" si="1"/>
        <v>8218</v>
      </c>
      <c r="F15" s="23" t="s">
        <v>112</v>
      </c>
      <c r="G15" s="23" t="s">
        <v>113</v>
      </c>
      <c r="H15" s="23" t="s">
        <v>114</v>
      </c>
      <c r="I15" s="23" t="s">
        <v>56</v>
      </c>
      <c r="J15" s="25">
        <v>12</v>
      </c>
      <c r="K15" s="23" t="s">
        <v>46</v>
      </c>
      <c r="L15" s="25">
        <v>2</v>
      </c>
      <c r="M15" s="28">
        <v>1E-3</v>
      </c>
      <c r="N15" s="25">
        <v>1</v>
      </c>
      <c r="O15" s="26">
        <v>1</v>
      </c>
      <c r="P15" s="26">
        <v>2</v>
      </c>
      <c r="R15" s="26">
        <v>4</v>
      </c>
      <c r="T15" s="26">
        <v>6</v>
      </c>
      <c r="U15" s="27" t="s">
        <v>47</v>
      </c>
      <c r="V15" s="3" t="s">
        <v>69</v>
      </c>
      <c r="W15" s="1" t="s">
        <v>49</v>
      </c>
      <c r="X15" s="1" t="s">
        <v>49</v>
      </c>
      <c r="Y15" s="1" t="s">
        <v>49</v>
      </c>
      <c r="Z15" s="1" t="s">
        <v>49</v>
      </c>
      <c r="AA15" s="1" t="s">
        <v>49</v>
      </c>
      <c r="AB15" s="1" t="s">
        <v>49</v>
      </c>
      <c r="AC15" s="23" t="s">
        <v>115</v>
      </c>
    </row>
    <row r="16" spans="1:32" ht="18.75" customHeight="1">
      <c r="A16" s="6">
        <v>15</v>
      </c>
      <c r="B16" s="6">
        <v>1</v>
      </c>
      <c r="C16" s="21" t="s">
        <v>116</v>
      </c>
      <c r="D16" s="22">
        <f t="shared" si="0"/>
        <v>26</v>
      </c>
      <c r="E16" s="22">
        <f t="shared" si="1"/>
        <v>8220</v>
      </c>
      <c r="F16" s="29" t="s">
        <v>117</v>
      </c>
      <c r="G16" s="29" t="s">
        <v>118</v>
      </c>
      <c r="H16" s="23" t="s">
        <v>114</v>
      </c>
      <c r="I16" s="23" t="s">
        <v>56</v>
      </c>
      <c r="J16" s="25">
        <v>12</v>
      </c>
      <c r="K16" s="23" t="s">
        <v>46</v>
      </c>
      <c r="L16" s="25">
        <v>2</v>
      </c>
      <c r="M16" s="30">
        <v>1E-3</v>
      </c>
      <c r="N16" s="25">
        <v>1</v>
      </c>
      <c r="O16" s="26">
        <v>1</v>
      </c>
      <c r="P16" s="26">
        <v>2</v>
      </c>
      <c r="R16" s="26">
        <v>4</v>
      </c>
      <c r="T16" s="26">
        <v>6</v>
      </c>
      <c r="U16" s="27" t="s">
        <v>47</v>
      </c>
      <c r="V16" s="3" t="s">
        <v>69</v>
      </c>
      <c r="W16" s="1" t="s">
        <v>49</v>
      </c>
      <c r="X16" s="1" t="s">
        <v>49</v>
      </c>
      <c r="Y16" s="1" t="s">
        <v>49</v>
      </c>
      <c r="Z16" s="1" t="s">
        <v>49</v>
      </c>
      <c r="AA16" s="1" t="s">
        <v>49</v>
      </c>
      <c r="AB16" s="1" t="s">
        <v>49</v>
      </c>
      <c r="AC16" s="29" t="s">
        <v>119</v>
      </c>
      <c r="AE16" s="49"/>
      <c r="AF16" s="48"/>
    </row>
    <row r="17" spans="1:32" ht="18.75" customHeight="1">
      <c r="A17" s="6">
        <v>16</v>
      </c>
      <c r="B17" s="6">
        <v>1</v>
      </c>
      <c r="C17" s="21" t="s">
        <v>120</v>
      </c>
      <c r="D17" s="22">
        <f t="shared" si="0"/>
        <v>28</v>
      </c>
      <c r="E17" s="22">
        <f t="shared" si="1"/>
        <v>8222</v>
      </c>
      <c r="F17" s="29" t="s">
        <v>121</v>
      </c>
      <c r="G17" s="29" t="s">
        <v>122</v>
      </c>
      <c r="H17" s="23" t="s">
        <v>114</v>
      </c>
      <c r="I17" s="23" t="s">
        <v>56</v>
      </c>
      <c r="J17" s="25">
        <v>12</v>
      </c>
      <c r="K17" s="23" t="s">
        <v>46</v>
      </c>
      <c r="L17" s="25">
        <v>2</v>
      </c>
      <c r="M17" s="30">
        <v>1E-3</v>
      </c>
      <c r="N17" s="25">
        <v>1</v>
      </c>
      <c r="O17" s="26">
        <v>1</v>
      </c>
      <c r="P17" s="26">
        <v>2</v>
      </c>
      <c r="R17" s="26">
        <v>4</v>
      </c>
      <c r="T17" s="26">
        <v>6</v>
      </c>
      <c r="U17" s="27" t="s">
        <v>47</v>
      </c>
      <c r="V17" s="3" t="s">
        <v>69</v>
      </c>
      <c r="W17" s="1" t="s">
        <v>49</v>
      </c>
      <c r="X17" s="1" t="s">
        <v>49</v>
      </c>
      <c r="Y17" s="1" t="s">
        <v>49</v>
      </c>
      <c r="Z17" s="1" t="s">
        <v>49</v>
      </c>
      <c r="AA17" s="1" t="s">
        <v>49</v>
      </c>
      <c r="AB17" s="1" t="s">
        <v>49</v>
      </c>
      <c r="AC17" s="29" t="s">
        <v>123</v>
      </c>
      <c r="AE17" s="48"/>
      <c r="AF17" s="48"/>
    </row>
    <row r="18" spans="1:32" ht="18.75" customHeight="1">
      <c r="A18" s="6">
        <v>17</v>
      </c>
      <c r="B18" s="6">
        <v>1</v>
      </c>
      <c r="C18" s="21" t="s">
        <v>124</v>
      </c>
      <c r="D18" s="22">
        <f t="shared" si="0"/>
        <v>30</v>
      </c>
      <c r="E18" s="22">
        <f t="shared" si="1"/>
        <v>8224</v>
      </c>
      <c r="F18" s="29" t="s">
        <v>125</v>
      </c>
      <c r="G18" s="29" t="s">
        <v>126</v>
      </c>
      <c r="H18" s="23" t="s">
        <v>114</v>
      </c>
      <c r="I18" s="23" t="s">
        <v>56</v>
      </c>
      <c r="J18" s="25">
        <v>12</v>
      </c>
      <c r="K18" s="23" t="s">
        <v>46</v>
      </c>
      <c r="L18" s="25">
        <v>2</v>
      </c>
      <c r="M18" s="30">
        <v>1E-3</v>
      </c>
      <c r="N18" s="25">
        <v>1</v>
      </c>
      <c r="O18" s="26">
        <v>1</v>
      </c>
      <c r="P18" s="26">
        <v>2</v>
      </c>
      <c r="R18" s="26">
        <v>4</v>
      </c>
      <c r="T18" s="26">
        <v>6</v>
      </c>
      <c r="U18" s="27" t="s">
        <v>47</v>
      </c>
      <c r="V18" s="3" t="s">
        <v>69</v>
      </c>
      <c r="W18" s="1" t="s">
        <v>49</v>
      </c>
      <c r="X18" s="1" t="s">
        <v>49</v>
      </c>
      <c r="Y18" s="1" t="s">
        <v>49</v>
      </c>
      <c r="Z18" s="1" t="s">
        <v>49</v>
      </c>
      <c r="AA18" s="1" t="s">
        <v>49</v>
      </c>
      <c r="AB18" s="1" t="s">
        <v>49</v>
      </c>
      <c r="AC18" s="29" t="s">
        <v>127</v>
      </c>
      <c r="AE18" s="48"/>
      <c r="AF18" s="48"/>
    </row>
    <row r="19" spans="1:32" ht="18.75" customHeight="1">
      <c r="A19" s="6">
        <v>18</v>
      </c>
      <c r="B19" s="6">
        <v>1</v>
      </c>
      <c r="C19" s="21" t="s">
        <v>128</v>
      </c>
      <c r="D19" s="22">
        <f t="shared" si="0"/>
        <v>32</v>
      </c>
      <c r="E19" s="22">
        <f t="shared" si="1"/>
        <v>8226</v>
      </c>
      <c r="F19" s="23" t="s">
        <v>129</v>
      </c>
      <c r="G19" s="29" t="s">
        <v>130</v>
      </c>
      <c r="H19" s="23" t="s">
        <v>131</v>
      </c>
      <c r="I19" s="23" t="s">
        <v>56</v>
      </c>
      <c r="J19" s="25">
        <v>12</v>
      </c>
      <c r="K19" s="23" t="s">
        <v>46</v>
      </c>
      <c r="L19" s="25">
        <v>2</v>
      </c>
      <c r="M19" s="28">
        <v>1E-3</v>
      </c>
      <c r="N19" s="25">
        <v>1</v>
      </c>
      <c r="O19" s="26">
        <v>1</v>
      </c>
      <c r="P19" s="26">
        <v>2</v>
      </c>
      <c r="Q19" s="25"/>
      <c r="R19" s="26">
        <v>4</v>
      </c>
      <c r="T19" s="26">
        <v>6</v>
      </c>
      <c r="U19" s="27" t="s">
        <v>47</v>
      </c>
      <c r="V19" s="3" t="s">
        <v>69</v>
      </c>
      <c r="W19" s="1" t="s">
        <v>49</v>
      </c>
      <c r="X19" s="1" t="s">
        <v>49</v>
      </c>
      <c r="Y19" s="1" t="s">
        <v>49</v>
      </c>
      <c r="Z19" s="1" t="s">
        <v>49</v>
      </c>
      <c r="AA19" s="1" t="s">
        <v>49</v>
      </c>
      <c r="AB19" s="1" t="s">
        <v>49</v>
      </c>
      <c r="AC19" s="29" t="s">
        <v>132</v>
      </c>
      <c r="AE19" s="48"/>
      <c r="AF19" s="48"/>
    </row>
    <row r="20" spans="1:32" ht="18.75" customHeight="1">
      <c r="A20" s="6">
        <v>19</v>
      </c>
      <c r="B20" s="6">
        <v>1</v>
      </c>
      <c r="C20" s="21" t="s">
        <v>133</v>
      </c>
      <c r="D20" s="22">
        <f t="shared" si="0"/>
        <v>34</v>
      </c>
      <c r="E20" s="22">
        <f t="shared" si="1"/>
        <v>8228</v>
      </c>
      <c r="F20" s="23" t="s">
        <v>134</v>
      </c>
      <c r="G20" s="23" t="s">
        <v>135</v>
      </c>
      <c r="H20" s="23" t="s">
        <v>131</v>
      </c>
      <c r="I20" s="23" t="s">
        <v>56</v>
      </c>
      <c r="J20" s="25">
        <v>12</v>
      </c>
      <c r="K20" s="23" t="s">
        <v>46</v>
      </c>
      <c r="L20" s="25">
        <v>2</v>
      </c>
      <c r="M20" s="28">
        <v>1E-3</v>
      </c>
      <c r="N20" s="25">
        <v>1</v>
      </c>
      <c r="O20" s="26">
        <v>1</v>
      </c>
      <c r="P20" s="26">
        <v>2</v>
      </c>
      <c r="Q20" s="25"/>
      <c r="R20" s="26">
        <v>4</v>
      </c>
      <c r="T20" s="26">
        <v>6</v>
      </c>
      <c r="U20" s="27" t="s">
        <v>47</v>
      </c>
      <c r="V20" s="3" t="s">
        <v>69</v>
      </c>
      <c r="W20" s="1" t="s">
        <v>49</v>
      </c>
      <c r="X20" s="1" t="s">
        <v>49</v>
      </c>
      <c r="Y20" s="1" t="s">
        <v>49</v>
      </c>
      <c r="Z20" s="1" t="s">
        <v>49</v>
      </c>
      <c r="AA20" s="1" t="s">
        <v>49</v>
      </c>
      <c r="AB20" s="1" t="s">
        <v>49</v>
      </c>
      <c r="AC20" s="23" t="s">
        <v>136</v>
      </c>
      <c r="AE20" s="49"/>
      <c r="AF20" s="48"/>
    </row>
    <row r="21" spans="1:32" ht="18.75" customHeight="1">
      <c r="A21" s="6">
        <v>20</v>
      </c>
      <c r="B21" s="6">
        <v>1</v>
      </c>
      <c r="C21" s="21" t="s">
        <v>137</v>
      </c>
      <c r="D21" s="22">
        <f t="shared" si="0"/>
        <v>36</v>
      </c>
      <c r="E21" s="22">
        <f t="shared" si="1"/>
        <v>8230</v>
      </c>
      <c r="F21" s="23" t="s">
        <v>138</v>
      </c>
      <c r="G21" s="23" t="s">
        <v>139</v>
      </c>
      <c r="H21" s="23" t="s">
        <v>131</v>
      </c>
      <c r="I21" s="23" t="s">
        <v>56</v>
      </c>
      <c r="J21" s="25">
        <v>12</v>
      </c>
      <c r="K21" s="23" t="s">
        <v>46</v>
      </c>
      <c r="L21" s="25">
        <v>2</v>
      </c>
      <c r="M21" s="28">
        <v>1E-3</v>
      </c>
      <c r="N21" s="25">
        <v>1</v>
      </c>
      <c r="O21" s="26">
        <v>1</v>
      </c>
      <c r="P21" s="26">
        <v>2</v>
      </c>
      <c r="Q21" s="25"/>
      <c r="R21" s="26">
        <v>4</v>
      </c>
      <c r="T21" s="26">
        <v>6</v>
      </c>
      <c r="U21" s="27" t="s">
        <v>47</v>
      </c>
      <c r="V21" s="3" t="s">
        <v>69</v>
      </c>
      <c r="W21" s="1" t="s">
        <v>49</v>
      </c>
      <c r="X21" s="1" t="s">
        <v>49</v>
      </c>
      <c r="Y21" s="1" t="s">
        <v>49</v>
      </c>
      <c r="Z21" s="1" t="s">
        <v>49</v>
      </c>
      <c r="AA21" s="1" t="s">
        <v>49</v>
      </c>
      <c r="AB21" s="1" t="s">
        <v>49</v>
      </c>
      <c r="AC21" s="23" t="s">
        <v>140</v>
      </c>
    </row>
    <row r="22" spans="1:32" ht="18.75" customHeight="1">
      <c r="A22" s="6">
        <v>21</v>
      </c>
      <c r="B22" s="6">
        <v>1</v>
      </c>
      <c r="C22" s="21" t="s">
        <v>141</v>
      </c>
      <c r="D22" s="22">
        <f t="shared" si="0"/>
        <v>38</v>
      </c>
      <c r="E22" s="22">
        <f t="shared" si="1"/>
        <v>8232</v>
      </c>
      <c r="F22" s="23" t="s">
        <v>142</v>
      </c>
      <c r="G22" s="29" t="s">
        <v>143</v>
      </c>
      <c r="H22" s="23" t="s">
        <v>131</v>
      </c>
      <c r="I22" s="23" t="s">
        <v>56</v>
      </c>
      <c r="J22" s="25">
        <v>12</v>
      </c>
      <c r="K22" s="23" t="s">
        <v>46</v>
      </c>
      <c r="L22" s="25">
        <v>2</v>
      </c>
      <c r="M22" s="28">
        <v>1E-3</v>
      </c>
      <c r="N22" s="25">
        <v>1</v>
      </c>
      <c r="O22" s="26">
        <v>1</v>
      </c>
      <c r="P22" s="26">
        <v>2</v>
      </c>
      <c r="Q22" s="25"/>
      <c r="R22" s="26">
        <v>4</v>
      </c>
      <c r="T22" s="26">
        <v>6</v>
      </c>
      <c r="U22" s="27" t="s">
        <v>47</v>
      </c>
      <c r="V22" s="3" t="s">
        <v>69</v>
      </c>
      <c r="W22" s="1" t="s">
        <v>49</v>
      </c>
      <c r="X22" s="1" t="s">
        <v>49</v>
      </c>
      <c r="Y22" s="1" t="s">
        <v>49</v>
      </c>
      <c r="Z22" s="1" t="s">
        <v>49</v>
      </c>
      <c r="AA22" s="1" t="s">
        <v>49</v>
      </c>
      <c r="AB22" s="1" t="s">
        <v>49</v>
      </c>
      <c r="AC22" s="29" t="s">
        <v>144</v>
      </c>
    </row>
    <row r="23" spans="1:32" ht="18.75" customHeight="1">
      <c r="A23" s="6">
        <v>22</v>
      </c>
      <c r="B23" s="6">
        <v>1</v>
      </c>
      <c r="C23" s="21" t="s">
        <v>145</v>
      </c>
      <c r="D23" s="22">
        <f t="shared" si="0"/>
        <v>40</v>
      </c>
      <c r="E23" s="22">
        <f t="shared" si="1"/>
        <v>8234</v>
      </c>
      <c r="F23" s="23" t="s">
        <v>146</v>
      </c>
      <c r="G23" s="23" t="s">
        <v>147</v>
      </c>
      <c r="H23" s="23" t="s">
        <v>148</v>
      </c>
      <c r="I23" s="23" t="s">
        <v>56</v>
      </c>
      <c r="J23" s="25">
        <v>12</v>
      </c>
      <c r="K23" s="23" t="s">
        <v>46</v>
      </c>
      <c r="L23" s="25">
        <v>2</v>
      </c>
      <c r="M23" s="28">
        <v>1E-3</v>
      </c>
      <c r="N23" s="25">
        <v>1</v>
      </c>
      <c r="O23" s="26">
        <v>1</v>
      </c>
      <c r="P23" s="26">
        <v>2</v>
      </c>
      <c r="R23" s="26">
        <v>4</v>
      </c>
      <c r="T23" s="26">
        <v>6</v>
      </c>
      <c r="U23" s="27" t="s">
        <v>47</v>
      </c>
      <c r="V23" s="3" t="s">
        <v>69</v>
      </c>
      <c r="W23" s="1" t="s">
        <v>49</v>
      </c>
      <c r="X23" s="1" t="s">
        <v>49</v>
      </c>
      <c r="Y23" s="1" t="s">
        <v>49</v>
      </c>
      <c r="Z23" s="1" t="s">
        <v>49</v>
      </c>
      <c r="AA23" s="1" t="s">
        <v>49</v>
      </c>
      <c r="AB23" s="1" t="s">
        <v>49</v>
      </c>
      <c r="AC23" s="23" t="s">
        <v>149</v>
      </c>
    </row>
    <row r="24" spans="1:32" ht="18.75" customHeight="1">
      <c r="A24" s="6">
        <v>23</v>
      </c>
      <c r="B24" s="6">
        <v>1</v>
      </c>
      <c r="C24" s="21" t="s">
        <v>150</v>
      </c>
      <c r="D24" s="22">
        <f t="shared" si="0"/>
        <v>42</v>
      </c>
      <c r="E24" s="22">
        <f t="shared" si="1"/>
        <v>8236</v>
      </c>
      <c r="F24" s="23" t="s">
        <v>151</v>
      </c>
      <c r="G24" s="23" t="s">
        <v>152</v>
      </c>
      <c r="H24" s="23" t="s">
        <v>148</v>
      </c>
      <c r="I24" s="23" t="s">
        <v>56</v>
      </c>
      <c r="J24" s="25">
        <v>12</v>
      </c>
      <c r="K24" s="23" t="s">
        <v>46</v>
      </c>
      <c r="L24" s="25">
        <v>2</v>
      </c>
      <c r="M24" s="28">
        <v>1E-3</v>
      </c>
      <c r="N24" s="25">
        <v>1</v>
      </c>
      <c r="O24" s="26">
        <v>1</v>
      </c>
      <c r="P24" s="26">
        <v>2</v>
      </c>
      <c r="R24" s="26">
        <v>4</v>
      </c>
      <c r="T24" s="26">
        <v>6</v>
      </c>
      <c r="U24" s="27" t="s">
        <v>47</v>
      </c>
      <c r="V24" s="3" t="s">
        <v>69</v>
      </c>
      <c r="W24" s="1" t="s">
        <v>49</v>
      </c>
      <c r="X24" s="1" t="s">
        <v>49</v>
      </c>
      <c r="Y24" s="1" t="s">
        <v>49</v>
      </c>
      <c r="Z24" s="1" t="s">
        <v>49</v>
      </c>
      <c r="AA24" s="1" t="s">
        <v>49</v>
      </c>
      <c r="AB24" s="1" t="s">
        <v>49</v>
      </c>
      <c r="AC24" s="23" t="s">
        <v>153</v>
      </c>
    </row>
    <row r="25" spans="1:32" ht="18.75" customHeight="1">
      <c r="A25" s="6">
        <v>24</v>
      </c>
      <c r="B25" s="6">
        <v>1</v>
      </c>
      <c r="C25" s="21" t="s">
        <v>154</v>
      </c>
      <c r="D25" s="22">
        <f t="shared" si="0"/>
        <v>44</v>
      </c>
      <c r="E25" s="22">
        <f t="shared" si="1"/>
        <v>8238</v>
      </c>
      <c r="F25" s="23" t="s">
        <v>155</v>
      </c>
      <c r="G25" s="23" t="s">
        <v>156</v>
      </c>
      <c r="H25" s="23" t="s">
        <v>148</v>
      </c>
      <c r="I25" s="23" t="s">
        <v>56</v>
      </c>
      <c r="J25" s="25">
        <v>12</v>
      </c>
      <c r="K25" s="23" t="s">
        <v>46</v>
      </c>
      <c r="L25" s="25">
        <v>2</v>
      </c>
      <c r="M25" s="28">
        <v>1E-3</v>
      </c>
      <c r="N25" s="25">
        <v>1</v>
      </c>
      <c r="O25" s="26">
        <v>1</v>
      </c>
      <c r="P25" s="26">
        <v>2</v>
      </c>
      <c r="R25" s="26">
        <v>4</v>
      </c>
      <c r="T25" s="26">
        <v>6</v>
      </c>
      <c r="U25" s="27" t="s">
        <v>47</v>
      </c>
      <c r="V25" s="3" t="s">
        <v>69</v>
      </c>
      <c r="W25" s="1" t="s">
        <v>49</v>
      </c>
      <c r="X25" s="1" t="s">
        <v>49</v>
      </c>
      <c r="Y25" s="1" t="s">
        <v>49</v>
      </c>
      <c r="Z25" s="1" t="s">
        <v>49</v>
      </c>
      <c r="AA25" s="1" t="s">
        <v>49</v>
      </c>
      <c r="AB25" s="1" t="s">
        <v>49</v>
      </c>
      <c r="AC25" s="23" t="s">
        <v>157</v>
      </c>
    </row>
    <row r="26" spans="1:32" ht="18.75" customHeight="1">
      <c r="A26" s="6">
        <v>25</v>
      </c>
      <c r="B26" s="6">
        <v>1</v>
      </c>
      <c r="C26" s="21" t="s">
        <v>158</v>
      </c>
      <c r="D26" s="22">
        <f t="shared" si="0"/>
        <v>46</v>
      </c>
      <c r="E26" s="22">
        <f t="shared" si="1"/>
        <v>8240</v>
      </c>
      <c r="F26" s="23" t="s">
        <v>159</v>
      </c>
      <c r="G26" s="23" t="s">
        <v>160</v>
      </c>
      <c r="H26" s="23" t="s">
        <v>148</v>
      </c>
      <c r="I26" s="23" t="s">
        <v>56</v>
      </c>
      <c r="J26" s="25">
        <v>12</v>
      </c>
      <c r="K26" s="23" t="s">
        <v>46</v>
      </c>
      <c r="L26" s="25">
        <v>2</v>
      </c>
      <c r="M26" s="28">
        <v>1E-3</v>
      </c>
      <c r="N26" s="25">
        <v>1</v>
      </c>
      <c r="O26" s="26">
        <v>1</v>
      </c>
      <c r="P26" s="26">
        <v>2</v>
      </c>
      <c r="R26" s="26">
        <v>4</v>
      </c>
      <c r="T26" s="26">
        <v>6</v>
      </c>
      <c r="U26" s="27" t="s">
        <v>47</v>
      </c>
      <c r="V26" s="3" t="s">
        <v>69</v>
      </c>
      <c r="W26" s="1" t="s">
        <v>49</v>
      </c>
      <c r="X26" s="1" t="s">
        <v>49</v>
      </c>
      <c r="Y26" s="1" t="s">
        <v>49</v>
      </c>
      <c r="Z26" s="1" t="s">
        <v>49</v>
      </c>
      <c r="AA26" s="1" t="s">
        <v>49</v>
      </c>
      <c r="AB26" s="1" t="s">
        <v>49</v>
      </c>
      <c r="AC26" s="23" t="s">
        <v>161</v>
      </c>
    </row>
    <row r="27" spans="1:32" ht="18.75" customHeight="1">
      <c r="A27" s="6">
        <v>26</v>
      </c>
      <c r="B27" s="6">
        <v>1</v>
      </c>
      <c r="C27" s="21" t="s">
        <v>162</v>
      </c>
      <c r="D27" s="22">
        <f t="shared" si="0"/>
        <v>48</v>
      </c>
      <c r="E27" s="22">
        <f t="shared" si="1"/>
        <v>8242</v>
      </c>
      <c r="F27" s="23" t="s">
        <v>163</v>
      </c>
      <c r="G27" s="29" t="s">
        <v>164</v>
      </c>
      <c r="H27" s="23" t="s">
        <v>165</v>
      </c>
      <c r="I27" s="23" t="s">
        <v>56</v>
      </c>
      <c r="J27" s="25">
        <v>12</v>
      </c>
      <c r="K27" s="23" t="s">
        <v>46</v>
      </c>
      <c r="L27" s="25">
        <v>2</v>
      </c>
      <c r="M27" s="25">
        <v>1</v>
      </c>
      <c r="N27" s="25">
        <v>1</v>
      </c>
      <c r="O27" s="26">
        <v>1</v>
      </c>
      <c r="P27" s="26">
        <v>2</v>
      </c>
      <c r="Q27" s="25"/>
      <c r="R27" s="26">
        <v>4</v>
      </c>
      <c r="T27" s="26">
        <v>6</v>
      </c>
      <c r="U27" s="27" t="s">
        <v>47</v>
      </c>
      <c r="V27" s="3" t="s">
        <v>69</v>
      </c>
      <c r="W27" s="1" t="s">
        <v>49</v>
      </c>
      <c r="X27" s="1" t="s">
        <v>49</v>
      </c>
      <c r="Y27" s="1" t="s">
        <v>49</v>
      </c>
      <c r="Z27" s="1" t="s">
        <v>49</v>
      </c>
      <c r="AA27" s="1" t="s">
        <v>49</v>
      </c>
      <c r="AB27" s="1" t="s">
        <v>49</v>
      </c>
      <c r="AC27" s="29" t="s">
        <v>166</v>
      </c>
    </row>
    <row r="28" spans="1:32" ht="18.75" customHeight="1">
      <c r="A28" s="6">
        <v>27</v>
      </c>
      <c r="B28" s="6">
        <v>1</v>
      </c>
      <c r="C28" s="21" t="s">
        <v>167</v>
      </c>
      <c r="D28" s="22">
        <f t="shared" si="0"/>
        <v>50</v>
      </c>
      <c r="E28" s="22">
        <f t="shared" si="1"/>
        <v>8244</v>
      </c>
      <c r="F28" s="23" t="s">
        <v>168</v>
      </c>
      <c r="G28" s="29" t="s">
        <v>169</v>
      </c>
      <c r="H28" s="23" t="s">
        <v>165</v>
      </c>
      <c r="I28" s="23" t="s">
        <v>56</v>
      </c>
      <c r="J28" s="25">
        <v>12</v>
      </c>
      <c r="K28" s="23" t="s">
        <v>46</v>
      </c>
      <c r="L28" s="25">
        <v>2</v>
      </c>
      <c r="M28" s="25">
        <v>1</v>
      </c>
      <c r="N28" s="25">
        <v>1</v>
      </c>
      <c r="O28" s="26">
        <v>1</v>
      </c>
      <c r="P28" s="26">
        <v>2</v>
      </c>
      <c r="Q28" s="25"/>
      <c r="R28" s="26">
        <v>4</v>
      </c>
      <c r="T28" s="26">
        <v>6</v>
      </c>
      <c r="U28" s="27" t="s">
        <v>47</v>
      </c>
      <c r="V28" s="3" t="s">
        <v>69</v>
      </c>
      <c r="W28" s="1" t="s">
        <v>49</v>
      </c>
      <c r="X28" s="1" t="s">
        <v>49</v>
      </c>
      <c r="Y28" s="1" t="s">
        <v>49</v>
      </c>
      <c r="Z28" s="1" t="s">
        <v>49</v>
      </c>
      <c r="AA28" s="1" t="s">
        <v>49</v>
      </c>
      <c r="AB28" s="1" t="s">
        <v>49</v>
      </c>
      <c r="AC28" s="29" t="s">
        <v>170</v>
      </c>
    </row>
    <row r="29" spans="1:32" ht="18.75" customHeight="1">
      <c r="A29" s="6">
        <v>28</v>
      </c>
      <c r="B29" s="6">
        <v>1</v>
      </c>
      <c r="C29" s="21" t="s">
        <v>171</v>
      </c>
      <c r="D29" s="22">
        <f t="shared" si="0"/>
        <v>52</v>
      </c>
      <c r="E29" s="22">
        <f t="shared" si="1"/>
        <v>8246</v>
      </c>
      <c r="F29" s="23" t="s">
        <v>172</v>
      </c>
      <c r="G29" s="29" t="s">
        <v>173</v>
      </c>
      <c r="H29" s="23" t="s">
        <v>165</v>
      </c>
      <c r="I29" s="23" t="s">
        <v>56</v>
      </c>
      <c r="J29" s="25">
        <v>12</v>
      </c>
      <c r="K29" s="23" t="s">
        <v>46</v>
      </c>
      <c r="L29" s="25">
        <v>2</v>
      </c>
      <c r="M29" s="25">
        <v>1</v>
      </c>
      <c r="N29" s="25">
        <v>1</v>
      </c>
      <c r="O29" s="26">
        <v>1</v>
      </c>
      <c r="P29" s="26">
        <v>2</v>
      </c>
      <c r="Q29" s="25"/>
      <c r="R29" s="26">
        <v>4</v>
      </c>
      <c r="T29" s="26">
        <v>6</v>
      </c>
      <c r="U29" s="27" t="s">
        <v>47</v>
      </c>
      <c r="V29" s="3" t="s">
        <v>69</v>
      </c>
      <c r="W29" s="1" t="s">
        <v>49</v>
      </c>
      <c r="X29" s="1" t="s">
        <v>49</v>
      </c>
      <c r="Y29" s="1" t="s">
        <v>49</v>
      </c>
      <c r="Z29" s="1" t="s">
        <v>49</v>
      </c>
      <c r="AA29" s="1" t="s">
        <v>49</v>
      </c>
      <c r="AB29" s="1" t="s">
        <v>49</v>
      </c>
      <c r="AC29" s="29" t="s">
        <v>174</v>
      </c>
    </row>
    <row r="30" spans="1:32" ht="18.75" customHeight="1">
      <c r="A30" s="6">
        <v>29</v>
      </c>
      <c r="B30" s="6">
        <v>1</v>
      </c>
      <c r="C30" s="21" t="s">
        <v>175</v>
      </c>
      <c r="D30" s="22">
        <f t="shared" si="0"/>
        <v>54</v>
      </c>
      <c r="E30" s="22">
        <f t="shared" si="1"/>
        <v>8248</v>
      </c>
      <c r="F30" s="23" t="s">
        <v>176</v>
      </c>
      <c r="G30" s="29" t="s">
        <v>177</v>
      </c>
      <c r="H30" s="23" t="s">
        <v>165</v>
      </c>
      <c r="I30" s="23" t="s">
        <v>56</v>
      </c>
      <c r="J30" s="25">
        <v>12</v>
      </c>
      <c r="K30" s="23" t="s">
        <v>46</v>
      </c>
      <c r="L30" s="25">
        <v>2</v>
      </c>
      <c r="M30" s="25">
        <v>1</v>
      </c>
      <c r="N30" s="25">
        <v>1</v>
      </c>
      <c r="O30" s="26">
        <v>1</v>
      </c>
      <c r="P30" s="26">
        <v>2</v>
      </c>
      <c r="Q30" s="25"/>
      <c r="R30" s="26">
        <v>4</v>
      </c>
      <c r="T30" s="26">
        <v>6</v>
      </c>
      <c r="U30" s="27" t="s">
        <v>47</v>
      </c>
      <c r="V30" s="3" t="s">
        <v>69</v>
      </c>
      <c r="W30" s="1" t="s">
        <v>49</v>
      </c>
      <c r="X30" s="1" t="s">
        <v>49</v>
      </c>
      <c r="Y30" s="1" t="s">
        <v>49</v>
      </c>
      <c r="Z30" s="1" t="s">
        <v>49</v>
      </c>
      <c r="AA30" s="1" t="s">
        <v>49</v>
      </c>
      <c r="AB30" s="1" t="s">
        <v>49</v>
      </c>
      <c r="AC30" s="29" t="s">
        <v>178</v>
      </c>
    </row>
    <row r="31" spans="1:32" ht="18.75" customHeight="1">
      <c r="A31" s="6">
        <v>30</v>
      </c>
      <c r="B31" s="6">
        <v>2</v>
      </c>
      <c r="C31" s="21" t="s">
        <v>179</v>
      </c>
      <c r="D31" s="22">
        <f t="shared" ref="D31:D38" si="2">E31-8262</f>
        <v>0</v>
      </c>
      <c r="E31" s="22">
        <v>8262</v>
      </c>
      <c r="F31" s="23" t="s">
        <v>180</v>
      </c>
      <c r="G31" s="23" t="s">
        <v>181</v>
      </c>
      <c r="H31" s="23" t="s">
        <v>182</v>
      </c>
      <c r="I31" s="23" t="s">
        <v>183</v>
      </c>
      <c r="J31" s="25">
        <v>12</v>
      </c>
      <c r="K31" s="23" t="s">
        <v>184</v>
      </c>
      <c r="L31" s="25">
        <v>2</v>
      </c>
      <c r="M31" s="30">
        <v>0.1</v>
      </c>
      <c r="N31" s="25">
        <v>1</v>
      </c>
      <c r="O31" s="26">
        <v>1</v>
      </c>
      <c r="Q31" s="26">
        <v>3</v>
      </c>
      <c r="R31" s="26">
        <v>4</v>
      </c>
      <c r="T31" s="26">
        <v>8</v>
      </c>
      <c r="U31" s="27" t="s">
        <v>185</v>
      </c>
      <c r="V31" s="3" t="s">
        <v>186</v>
      </c>
      <c r="X31" s="3" t="s">
        <v>187</v>
      </c>
      <c r="Y31" s="1" t="s">
        <v>187</v>
      </c>
      <c r="Z31" s="1" t="s">
        <v>187</v>
      </c>
      <c r="AB31" s="1" t="s">
        <v>187</v>
      </c>
      <c r="AC31" s="23" t="s">
        <v>188</v>
      </c>
      <c r="AE31" s="49"/>
      <c r="AF31" s="48"/>
    </row>
    <row r="32" spans="1:32" ht="18.75" customHeight="1">
      <c r="A32" s="6">
        <v>31</v>
      </c>
      <c r="B32" s="6">
        <v>2</v>
      </c>
      <c r="C32" s="21" t="s">
        <v>189</v>
      </c>
      <c r="D32" s="22">
        <f t="shared" si="2"/>
        <v>2</v>
      </c>
      <c r="E32" s="22">
        <f t="shared" ref="E32:E38" si="3">E31+L31</f>
        <v>8264</v>
      </c>
      <c r="F32" s="23" t="s">
        <v>190</v>
      </c>
      <c r="G32" s="23" t="s">
        <v>191</v>
      </c>
      <c r="H32" s="23" t="s">
        <v>182</v>
      </c>
      <c r="I32" s="23" t="s">
        <v>183</v>
      </c>
      <c r="J32" s="25">
        <v>12</v>
      </c>
      <c r="K32" s="23" t="s">
        <v>184</v>
      </c>
      <c r="L32" s="25">
        <v>2</v>
      </c>
      <c r="M32" s="30">
        <v>0.1</v>
      </c>
      <c r="N32" s="25">
        <v>1</v>
      </c>
      <c r="O32" s="26">
        <v>1</v>
      </c>
      <c r="Q32" s="26">
        <v>3</v>
      </c>
      <c r="R32" s="26">
        <v>4</v>
      </c>
      <c r="T32" s="26">
        <v>8</v>
      </c>
      <c r="U32" s="27" t="s">
        <v>185</v>
      </c>
      <c r="V32" s="3" t="s">
        <v>186</v>
      </c>
      <c r="X32" s="1" t="s">
        <v>187</v>
      </c>
      <c r="Y32" s="1" t="s">
        <v>187</v>
      </c>
      <c r="Z32" s="1" t="s">
        <v>187</v>
      </c>
      <c r="AB32" s="1" t="s">
        <v>187</v>
      </c>
      <c r="AC32" s="23"/>
    </row>
    <row r="33" spans="1:29" ht="18.75" customHeight="1">
      <c r="A33" s="6">
        <v>32</v>
      </c>
      <c r="B33" s="6">
        <v>2</v>
      </c>
      <c r="C33" s="21" t="s">
        <v>192</v>
      </c>
      <c r="D33" s="22">
        <f t="shared" si="2"/>
        <v>4</v>
      </c>
      <c r="E33" s="22">
        <f t="shared" si="3"/>
        <v>8266</v>
      </c>
      <c r="F33" s="23" t="s">
        <v>193</v>
      </c>
      <c r="G33" s="23" t="s">
        <v>194</v>
      </c>
      <c r="H33" s="23" t="s">
        <v>182</v>
      </c>
      <c r="I33" s="23" t="s">
        <v>183</v>
      </c>
      <c r="J33" s="25">
        <v>12</v>
      </c>
      <c r="K33" s="23" t="s">
        <v>184</v>
      </c>
      <c r="L33" s="25">
        <v>2</v>
      </c>
      <c r="M33" s="30">
        <v>0.1</v>
      </c>
      <c r="N33" s="25">
        <v>1</v>
      </c>
      <c r="O33" s="26">
        <v>1</v>
      </c>
      <c r="Q33" s="26">
        <v>3</v>
      </c>
      <c r="R33" s="26">
        <v>4</v>
      </c>
      <c r="T33" s="26">
        <v>8</v>
      </c>
      <c r="U33" s="27" t="s">
        <v>185</v>
      </c>
      <c r="V33" s="3" t="s">
        <v>186</v>
      </c>
      <c r="X33" s="1" t="s">
        <v>187</v>
      </c>
      <c r="Y33" s="1" t="s">
        <v>187</v>
      </c>
      <c r="Z33" s="1" t="s">
        <v>187</v>
      </c>
      <c r="AB33" s="1" t="s">
        <v>187</v>
      </c>
      <c r="AC33" s="23"/>
    </row>
    <row r="34" spans="1:29" ht="18.75" customHeight="1">
      <c r="A34" s="6">
        <v>33</v>
      </c>
      <c r="B34" s="6">
        <v>2</v>
      </c>
      <c r="C34" s="21" t="s">
        <v>195</v>
      </c>
      <c r="D34" s="22">
        <f t="shared" si="2"/>
        <v>6</v>
      </c>
      <c r="E34" s="22">
        <f t="shared" si="3"/>
        <v>8268</v>
      </c>
      <c r="F34" s="23" t="s">
        <v>196</v>
      </c>
      <c r="G34" s="23" t="s">
        <v>197</v>
      </c>
      <c r="H34" s="23" t="s">
        <v>182</v>
      </c>
      <c r="I34" s="23" t="s">
        <v>183</v>
      </c>
      <c r="J34" s="25">
        <v>12</v>
      </c>
      <c r="K34" s="23" t="s">
        <v>184</v>
      </c>
      <c r="L34" s="25">
        <v>2</v>
      </c>
      <c r="M34" s="30">
        <v>0.1</v>
      </c>
      <c r="N34" s="25">
        <v>1</v>
      </c>
      <c r="O34" s="26">
        <v>1</v>
      </c>
      <c r="Q34" s="26">
        <v>3</v>
      </c>
      <c r="R34" s="26">
        <v>4</v>
      </c>
      <c r="T34" s="26">
        <v>8</v>
      </c>
      <c r="U34" s="27" t="s">
        <v>185</v>
      </c>
      <c r="V34" s="3" t="s">
        <v>186</v>
      </c>
      <c r="X34" s="1" t="s">
        <v>187</v>
      </c>
      <c r="Y34" s="1" t="s">
        <v>187</v>
      </c>
      <c r="Z34" s="1" t="s">
        <v>187</v>
      </c>
      <c r="AB34" s="1" t="s">
        <v>187</v>
      </c>
      <c r="AC34" s="23"/>
    </row>
    <row r="35" spans="1:29" ht="18.75" customHeight="1">
      <c r="A35" s="6">
        <v>34</v>
      </c>
      <c r="B35" s="6">
        <v>2</v>
      </c>
      <c r="C35" s="21" t="s">
        <v>198</v>
      </c>
      <c r="D35" s="22">
        <f t="shared" si="2"/>
        <v>8</v>
      </c>
      <c r="E35" s="22">
        <f t="shared" si="3"/>
        <v>8270</v>
      </c>
      <c r="F35" s="23" t="s">
        <v>199</v>
      </c>
      <c r="G35" s="23" t="s">
        <v>200</v>
      </c>
      <c r="H35" s="23" t="s">
        <v>182</v>
      </c>
      <c r="I35" s="23" t="s">
        <v>183</v>
      </c>
      <c r="J35" s="25">
        <v>12</v>
      </c>
      <c r="K35" s="23" t="s">
        <v>184</v>
      </c>
      <c r="L35" s="25">
        <v>2</v>
      </c>
      <c r="M35" s="30">
        <v>0.1</v>
      </c>
      <c r="N35" s="25">
        <v>1</v>
      </c>
      <c r="O35" s="26">
        <v>1</v>
      </c>
      <c r="Q35" s="26">
        <v>3</v>
      </c>
      <c r="R35" s="26">
        <v>4</v>
      </c>
      <c r="T35" s="26">
        <v>8</v>
      </c>
      <c r="U35" s="27" t="s">
        <v>185</v>
      </c>
      <c r="V35" s="3" t="s">
        <v>186</v>
      </c>
      <c r="X35" s="1" t="s">
        <v>187</v>
      </c>
      <c r="Y35" s="1" t="s">
        <v>187</v>
      </c>
      <c r="Z35" s="1" t="s">
        <v>187</v>
      </c>
      <c r="AB35" s="1" t="s">
        <v>187</v>
      </c>
      <c r="AC35" s="23" t="s">
        <v>201</v>
      </c>
    </row>
    <row r="36" spans="1:29" ht="18.75" customHeight="1">
      <c r="A36" s="6">
        <v>35</v>
      </c>
      <c r="B36" s="6">
        <v>2</v>
      </c>
      <c r="C36" s="21" t="s">
        <v>202</v>
      </c>
      <c r="D36" s="22">
        <f t="shared" si="2"/>
        <v>10</v>
      </c>
      <c r="E36" s="22">
        <f t="shared" si="3"/>
        <v>8272</v>
      </c>
      <c r="F36" s="23" t="s">
        <v>203</v>
      </c>
      <c r="G36" s="23" t="s">
        <v>204</v>
      </c>
      <c r="H36" s="23" t="s">
        <v>182</v>
      </c>
      <c r="I36" s="23" t="s">
        <v>183</v>
      </c>
      <c r="J36" s="25">
        <v>12</v>
      </c>
      <c r="K36" s="23" t="s">
        <v>184</v>
      </c>
      <c r="L36" s="25">
        <v>2</v>
      </c>
      <c r="M36" s="30">
        <v>0.1</v>
      </c>
      <c r="N36" s="25">
        <v>1</v>
      </c>
      <c r="O36" s="26">
        <v>1</v>
      </c>
      <c r="Q36" s="26">
        <v>3</v>
      </c>
      <c r="R36" s="26">
        <v>4</v>
      </c>
      <c r="T36" s="26">
        <v>8</v>
      </c>
      <c r="U36" s="27" t="s">
        <v>185</v>
      </c>
      <c r="V36" s="3" t="s">
        <v>186</v>
      </c>
      <c r="X36" s="1" t="s">
        <v>187</v>
      </c>
      <c r="Y36" s="1" t="s">
        <v>187</v>
      </c>
      <c r="Z36" s="1" t="s">
        <v>187</v>
      </c>
      <c r="AB36" s="1" t="s">
        <v>187</v>
      </c>
      <c r="AC36" s="23"/>
    </row>
    <row r="37" spans="1:29" ht="18.75" customHeight="1">
      <c r="A37" s="6">
        <v>36</v>
      </c>
      <c r="B37" s="6">
        <v>2</v>
      </c>
      <c r="C37" s="21" t="s">
        <v>205</v>
      </c>
      <c r="D37" s="22">
        <f t="shared" si="2"/>
        <v>12</v>
      </c>
      <c r="E37" s="22">
        <f t="shared" si="3"/>
        <v>8274</v>
      </c>
      <c r="F37" s="23" t="s">
        <v>206</v>
      </c>
      <c r="G37" s="23" t="s">
        <v>207</v>
      </c>
      <c r="H37" s="23" t="s">
        <v>182</v>
      </c>
      <c r="I37" s="23" t="s">
        <v>183</v>
      </c>
      <c r="J37" s="25">
        <v>12</v>
      </c>
      <c r="K37" s="23" t="s">
        <v>184</v>
      </c>
      <c r="L37" s="25">
        <v>2</v>
      </c>
      <c r="M37" s="30">
        <v>0.1</v>
      </c>
      <c r="N37" s="25">
        <v>1</v>
      </c>
      <c r="O37" s="26">
        <v>1</v>
      </c>
      <c r="Q37" s="26">
        <v>3</v>
      </c>
      <c r="R37" s="26">
        <v>4</v>
      </c>
      <c r="T37" s="26">
        <v>8</v>
      </c>
      <c r="U37" s="27" t="s">
        <v>185</v>
      </c>
      <c r="V37" s="3" t="s">
        <v>186</v>
      </c>
      <c r="X37" s="1" t="s">
        <v>187</v>
      </c>
      <c r="Y37" s="1" t="s">
        <v>187</v>
      </c>
      <c r="Z37" s="1" t="s">
        <v>187</v>
      </c>
      <c r="AB37" s="1" t="s">
        <v>187</v>
      </c>
      <c r="AC37" s="23"/>
    </row>
    <row r="38" spans="1:29" ht="18.75" customHeight="1">
      <c r="A38" s="6">
        <v>37</v>
      </c>
      <c r="B38" s="6">
        <v>2</v>
      </c>
      <c r="C38" s="21" t="s">
        <v>208</v>
      </c>
      <c r="D38" s="22">
        <f t="shared" si="2"/>
        <v>14</v>
      </c>
      <c r="E38" s="22">
        <f t="shared" si="3"/>
        <v>8276</v>
      </c>
      <c r="F38" s="23" t="s">
        <v>209</v>
      </c>
      <c r="G38" s="23" t="s">
        <v>210</v>
      </c>
      <c r="H38" s="23" t="s">
        <v>182</v>
      </c>
      <c r="I38" s="23" t="s">
        <v>183</v>
      </c>
      <c r="J38" s="25">
        <v>12</v>
      </c>
      <c r="K38" s="23" t="s">
        <v>184</v>
      </c>
      <c r="L38" s="25">
        <v>2</v>
      </c>
      <c r="M38" s="30">
        <v>0.1</v>
      </c>
      <c r="N38" s="25">
        <v>1</v>
      </c>
      <c r="O38" s="26">
        <v>1</v>
      </c>
      <c r="Q38" s="26">
        <v>3</v>
      </c>
      <c r="R38" s="26">
        <v>4</v>
      </c>
      <c r="T38" s="26">
        <v>8</v>
      </c>
      <c r="U38" s="27" t="s">
        <v>185</v>
      </c>
      <c r="V38" s="3" t="s">
        <v>186</v>
      </c>
      <c r="X38" s="1" t="s">
        <v>187</v>
      </c>
      <c r="Y38" s="1" t="s">
        <v>187</v>
      </c>
      <c r="Z38" s="1" t="s">
        <v>187</v>
      </c>
      <c r="AB38" s="1" t="s">
        <v>187</v>
      </c>
      <c r="AC38" s="23"/>
    </row>
    <row r="39" spans="1:29" ht="18.75" customHeight="1">
      <c r="A39" s="6">
        <v>38</v>
      </c>
      <c r="B39" s="6">
        <v>3</v>
      </c>
      <c r="C39" s="21" t="s">
        <v>211</v>
      </c>
      <c r="D39" s="22">
        <f>E39-4616</f>
        <v>0</v>
      </c>
      <c r="E39" s="22">
        <v>4616</v>
      </c>
      <c r="F39" s="23" t="s">
        <v>212</v>
      </c>
      <c r="G39" s="29" t="s">
        <v>213</v>
      </c>
      <c r="H39" s="23" t="s">
        <v>114</v>
      </c>
      <c r="I39" s="23" t="s">
        <v>56</v>
      </c>
      <c r="J39" s="25">
        <v>12</v>
      </c>
      <c r="K39" s="23" t="s">
        <v>46</v>
      </c>
      <c r="L39" s="25">
        <v>2</v>
      </c>
      <c r="M39" s="30">
        <v>1E-3</v>
      </c>
      <c r="N39" s="25">
        <v>1</v>
      </c>
      <c r="O39" s="26">
        <v>1</v>
      </c>
      <c r="P39" s="26">
        <v>2</v>
      </c>
      <c r="Q39" s="25"/>
      <c r="R39" s="26">
        <v>4</v>
      </c>
      <c r="T39" s="26">
        <v>7</v>
      </c>
      <c r="U39" s="27" t="s">
        <v>47</v>
      </c>
      <c r="V39" s="3" t="s">
        <v>214</v>
      </c>
      <c r="W39" s="3" t="s">
        <v>215</v>
      </c>
      <c r="X39" s="1" t="s">
        <v>215</v>
      </c>
      <c r="Y39" s="1" t="s">
        <v>215</v>
      </c>
      <c r="Z39" s="1" t="s">
        <v>215</v>
      </c>
      <c r="AA39" s="1" t="s">
        <v>215</v>
      </c>
      <c r="AB39" s="1" t="s">
        <v>215</v>
      </c>
      <c r="AC39" s="48" t="s">
        <v>213</v>
      </c>
    </row>
    <row r="40" spans="1:29" ht="18.75" customHeight="1">
      <c r="A40" s="6">
        <v>39</v>
      </c>
      <c r="B40" s="6">
        <v>3</v>
      </c>
      <c r="C40" s="21" t="s">
        <v>216</v>
      </c>
      <c r="D40" s="22">
        <f>E40-4616</f>
        <v>2</v>
      </c>
      <c r="E40" s="22">
        <f>E39+L39</f>
        <v>4618</v>
      </c>
      <c r="F40" s="23" t="s">
        <v>217</v>
      </c>
      <c r="G40" s="29" t="s">
        <v>218</v>
      </c>
      <c r="H40" s="23" t="s">
        <v>148</v>
      </c>
      <c r="I40" s="23" t="s">
        <v>56</v>
      </c>
      <c r="J40" s="25">
        <v>12</v>
      </c>
      <c r="K40" s="23" t="s">
        <v>46</v>
      </c>
      <c r="L40" s="25">
        <v>2</v>
      </c>
      <c r="M40" s="30">
        <v>1E-3</v>
      </c>
      <c r="N40" s="25">
        <v>1</v>
      </c>
      <c r="O40" s="26">
        <v>1</v>
      </c>
      <c r="P40" s="26">
        <v>2</v>
      </c>
      <c r="Q40" s="25"/>
      <c r="R40" s="26">
        <v>4</v>
      </c>
      <c r="T40" s="26">
        <v>7</v>
      </c>
      <c r="U40" s="27" t="s">
        <v>47</v>
      </c>
      <c r="V40" s="3" t="s">
        <v>214</v>
      </c>
      <c r="W40" s="1" t="s">
        <v>215</v>
      </c>
      <c r="X40" s="1" t="s">
        <v>215</v>
      </c>
      <c r="Y40" s="1" t="s">
        <v>215</v>
      </c>
      <c r="Z40" s="1" t="s">
        <v>215</v>
      </c>
      <c r="AA40" s="1" t="s">
        <v>215</v>
      </c>
      <c r="AB40" s="1" t="s">
        <v>215</v>
      </c>
      <c r="AC40" s="48" t="s">
        <v>218</v>
      </c>
    </row>
    <row r="41" spans="1:29" ht="18.75" customHeight="1">
      <c r="A41" s="6">
        <v>40</v>
      </c>
      <c r="B41" s="6">
        <v>3</v>
      </c>
      <c r="C41" s="21" t="s">
        <v>219</v>
      </c>
      <c r="D41" s="22">
        <f>E41-4616</f>
        <v>4</v>
      </c>
      <c r="E41" s="22">
        <f>E40+L40</f>
        <v>4620</v>
      </c>
      <c r="F41" s="23" t="s">
        <v>220</v>
      </c>
      <c r="G41" s="29" t="s">
        <v>221</v>
      </c>
      <c r="H41" s="23" t="s">
        <v>131</v>
      </c>
      <c r="I41" s="23" t="s">
        <v>56</v>
      </c>
      <c r="J41" s="25">
        <v>12</v>
      </c>
      <c r="K41" s="23" t="s">
        <v>46</v>
      </c>
      <c r="L41" s="25">
        <v>2</v>
      </c>
      <c r="M41" s="30">
        <v>1E-3</v>
      </c>
      <c r="N41" s="25">
        <v>1</v>
      </c>
      <c r="O41" s="26">
        <v>1</v>
      </c>
      <c r="P41" s="26">
        <v>2</v>
      </c>
      <c r="R41" s="26">
        <v>4</v>
      </c>
      <c r="T41" s="26">
        <v>7</v>
      </c>
      <c r="U41" s="27" t="s">
        <v>47</v>
      </c>
      <c r="V41" s="3" t="s">
        <v>214</v>
      </c>
      <c r="W41" s="1" t="s">
        <v>215</v>
      </c>
      <c r="X41" s="1" t="s">
        <v>215</v>
      </c>
      <c r="Y41" s="1" t="s">
        <v>215</v>
      </c>
      <c r="Z41" s="1" t="s">
        <v>215</v>
      </c>
      <c r="AA41" s="1" t="s">
        <v>215</v>
      </c>
      <c r="AB41" s="1" t="s">
        <v>215</v>
      </c>
      <c r="AC41" s="48" t="s">
        <v>221</v>
      </c>
    </row>
    <row r="42" spans="1:29" ht="18.75" customHeight="1">
      <c r="A42" s="6">
        <v>41</v>
      </c>
      <c r="B42" s="6">
        <v>4</v>
      </c>
      <c r="C42" s="21" t="s">
        <v>222</v>
      </c>
      <c r="D42" s="6">
        <v>0</v>
      </c>
      <c r="E42" s="22">
        <v>512</v>
      </c>
      <c r="F42" s="23" t="s">
        <v>223</v>
      </c>
      <c r="G42" t="s">
        <v>224</v>
      </c>
      <c r="I42" s="23" t="s">
        <v>225</v>
      </c>
      <c r="J42" s="25">
        <v>12</v>
      </c>
      <c r="K42" s="23" t="s">
        <v>184</v>
      </c>
      <c r="L42" s="25">
        <v>1</v>
      </c>
      <c r="M42" s="6">
        <v>1</v>
      </c>
      <c r="S42" s="6">
        <v>5</v>
      </c>
    </row>
    <row r="43" spans="1:29" ht="18.75" customHeight="1">
      <c r="A43" s="6">
        <v>42</v>
      </c>
      <c r="B43" s="6">
        <v>4</v>
      </c>
      <c r="C43" s="21" t="s">
        <v>226</v>
      </c>
      <c r="D43" s="6">
        <f t="shared" ref="D43:D69" si="4">E43-512</f>
        <v>1</v>
      </c>
      <c r="E43" s="22">
        <f t="shared" ref="E43:E69" si="5">E42+L42</f>
        <v>513</v>
      </c>
      <c r="F43" s="23" t="s">
        <v>227</v>
      </c>
      <c r="G43" t="s">
        <v>228</v>
      </c>
      <c r="I43" s="23" t="s">
        <v>225</v>
      </c>
      <c r="J43" s="25">
        <v>12</v>
      </c>
      <c r="K43" s="23" t="s">
        <v>184</v>
      </c>
      <c r="L43" s="25">
        <v>1</v>
      </c>
      <c r="M43" s="6">
        <v>1</v>
      </c>
      <c r="S43" s="6">
        <v>5</v>
      </c>
    </row>
    <row r="44" spans="1:29" ht="18.75" customHeight="1">
      <c r="A44" s="6">
        <v>43</v>
      </c>
      <c r="B44" s="6">
        <v>4</v>
      </c>
      <c r="C44" s="21" t="s">
        <v>229</v>
      </c>
      <c r="D44" s="6">
        <f t="shared" si="4"/>
        <v>2</v>
      </c>
      <c r="E44" s="22">
        <f t="shared" si="5"/>
        <v>514</v>
      </c>
      <c r="F44" s="23" t="s">
        <v>230</v>
      </c>
      <c r="G44" t="s">
        <v>231</v>
      </c>
      <c r="I44" s="23" t="s">
        <v>225</v>
      </c>
      <c r="J44" s="25">
        <v>12</v>
      </c>
      <c r="K44" s="23" t="s">
        <v>184</v>
      </c>
      <c r="L44" s="25">
        <v>1</v>
      </c>
      <c r="M44" s="6">
        <v>1</v>
      </c>
      <c r="S44" s="6">
        <v>5</v>
      </c>
    </row>
    <row r="45" spans="1:29" ht="18.75" customHeight="1">
      <c r="A45" s="6">
        <v>44</v>
      </c>
      <c r="B45" s="6">
        <v>4</v>
      </c>
      <c r="C45" s="21" t="s">
        <v>232</v>
      </c>
      <c r="D45" s="6">
        <f t="shared" si="4"/>
        <v>3</v>
      </c>
      <c r="E45" s="22">
        <f t="shared" si="5"/>
        <v>515</v>
      </c>
      <c r="F45" s="32" t="s">
        <v>233</v>
      </c>
      <c r="G45" t="s">
        <v>234</v>
      </c>
      <c r="I45" s="23" t="s">
        <v>225</v>
      </c>
      <c r="J45" s="25">
        <v>12</v>
      </c>
      <c r="K45" s="23" t="s">
        <v>184</v>
      </c>
      <c r="L45" s="25">
        <v>1</v>
      </c>
      <c r="M45" s="6">
        <v>1</v>
      </c>
      <c r="S45" s="6">
        <v>5</v>
      </c>
    </row>
    <row r="46" spans="1:29" ht="18.75" customHeight="1">
      <c r="A46" s="6">
        <v>45</v>
      </c>
      <c r="B46" s="6">
        <v>4</v>
      </c>
      <c r="C46" s="21" t="s">
        <v>235</v>
      </c>
      <c r="D46" s="6">
        <f t="shared" si="4"/>
        <v>4</v>
      </c>
      <c r="E46" s="22">
        <f t="shared" si="5"/>
        <v>516</v>
      </c>
      <c r="F46" s="32" t="s">
        <v>236</v>
      </c>
      <c r="G46" t="s">
        <v>237</v>
      </c>
      <c r="I46" s="23" t="s">
        <v>225</v>
      </c>
      <c r="J46" s="25">
        <v>12</v>
      </c>
      <c r="K46" s="23" t="s">
        <v>184</v>
      </c>
      <c r="L46" s="25">
        <v>1</v>
      </c>
      <c r="M46" s="6">
        <v>1</v>
      </c>
      <c r="S46" s="6">
        <v>5</v>
      </c>
    </row>
    <row r="47" spans="1:29" ht="18.75" customHeight="1">
      <c r="A47" s="6">
        <v>46</v>
      </c>
      <c r="B47" s="6">
        <v>4</v>
      </c>
      <c r="C47" s="21" t="s">
        <v>238</v>
      </c>
      <c r="D47" s="6">
        <f t="shared" si="4"/>
        <v>5</v>
      </c>
      <c r="E47" s="22">
        <f t="shared" si="5"/>
        <v>517</v>
      </c>
      <c r="F47" s="32" t="s">
        <v>239</v>
      </c>
      <c r="G47" t="s">
        <v>240</v>
      </c>
      <c r="I47" s="23" t="s">
        <v>225</v>
      </c>
      <c r="J47" s="25">
        <v>12</v>
      </c>
      <c r="K47" s="23" t="s">
        <v>184</v>
      </c>
      <c r="L47" s="25">
        <v>1</v>
      </c>
      <c r="M47" s="6">
        <v>1</v>
      </c>
      <c r="S47" s="6">
        <v>5</v>
      </c>
    </row>
    <row r="48" spans="1:29" ht="18.75" customHeight="1">
      <c r="A48" s="6">
        <v>47</v>
      </c>
      <c r="B48" s="6">
        <v>4</v>
      </c>
      <c r="C48" s="21" t="s">
        <v>241</v>
      </c>
      <c r="D48" s="6">
        <f t="shared" si="4"/>
        <v>6</v>
      </c>
      <c r="E48" s="22">
        <f t="shared" si="5"/>
        <v>518</v>
      </c>
      <c r="F48" s="23" t="s">
        <v>242</v>
      </c>
      <c r="G48" t="s">
        <v>243</v>
      </c>
      <c r="I48" s="23" t="s">
        <v>225</v>
      </c>
      <c r="J48" s="25">
        <v>12</v>
      </c>
      <c r="K48" s="23" t="s">
        <v>184</v>
      </c>
      <c r="L48" s="25">
        <v>1</v>
      </c>
      <c r="M48" s="6">
        <v>1</v>
      </c>
      <c r="S48" s="6">
        <v>5</v>
      </c>
    </row>
    <row r="49" spans="1:29" ht="18.75" customHeight="1">
      <c r="A49" s="6">
        <v>48</v>
      </c>
      <c r="B49" s="6">
        <v>4</v>
      </c>
      <c r="C49" s="21" t="s">
        <v>244</v>
      </c>
      <c r="D49" s="6">
        <f t="shared" si="4"/>
        <v>7</v>
      </c>
      <c r="E49" s="22">
        <f t="shared" si="5"/>
        <v>519</v>
      </c>
      <c r="F49" s="23" t="s">
        <v>245</v>
      </c>
      <c r="G49" t="s">
        <v>246</v>
      </c>
      <c r="I49" s="23" t="s">
        <v>225</v>
      </c>
      <c r="J49" s="25">
        <v>12</v>
      </c>
      <c r="K49" s="23" t="s">
        <v>184</v>
      </c>
      <c r="L49" s="25">
        <v>1</v>
      </c>
      <c r="M49" s="6">
        <v>1</v>
      </c>
      <c r="S49" s="6">
        <v>5</v>
      </c>
    </row>
    <row r="50" spans="1:29" ht="18.75" customHeight="1">
      <c r="A50" s="6">
        <v>49</v>
      </c>
      <c r="B50" s="6">
        <v>4</v>
      </c>
      <c r="C50" s="21" t="s">
        <v>247</v>
      </c>
      <c r="D50" s="6">
        <f t="shared" si="4"/>
        <v>8</v>
      </c>
      <c r="E50" s="22">
        <f t="shared" si="5"/>
        <v>520</v>
      </c>
      <c r="F50" s="32" t="s">
        <v>248</v>
      </c>
      <c r="G50" t="s">
        <v>249</v>
      </c>
      <c r="I50" s="23" t="s">
        <v>225</v>
      </c>
      <c r="J50" s="25">
        <v>12</v>
      </c>
      <c r="K50" s="23" t="s">
        <v>184</v>
      </c>
      <c r="L50" s="25">
        <v>1</v>
      </c>
      <c r="M50" s="6">
        <v>1</v>
      </c>
      <c r="S50" s="6">
        <v>5</v>
      </c>
    </row>
    <row r="51" spans="1:29" ht="18.75" customHeight="1">
      <c r="A51" s="6">
        <v>50</v>
      </c>
      <c r="B51" s="6">
        <v>4</v>
      </c>
      <c r="C51" s="21" t="s">
        <v>250</v>
      </c>
      <c r="D51" s="6">
        <f t="shared" si="4"/>
        <v>9</v>
      </c>
      <c r="E51" s="22">
        <f t="shared" si="5"/>
        <v>521</v>
      </c>
      <c r="F51" s="32" t="s">
        <v>251</v>
      </c>
      <c r="G51" t="s">
        <v>252</v>
      </c>
      <c r="I51" s="23" t="s">
        <v>225</v>
      </c>
      <c r="J51" s="25">
        <v>12</v>
      </c>
      <c r="K51" s="23" t="s">
        <v>184</v>
      </c>
      <c r="L51" s="25">
        <v>1</v>
      </c>
      <c r="M51" s="6">
        <v>1</v>
      </c>
      <c r="S51" s="6">
        <v>5</v>
      </c>
    </row>
    <row r="52" spans="1:29" ht="18.75" customHeight="1">
      <c r="A52" s="6">
        <v>51</v>
      </c>
      <c r="B52" s="6">
        <v>4</v>
      </c>
      <c r="C52" s="21" t="s">
        <v>253</v>
      </c>
      <c r="D52" s="6">
        <f t="shared" si="4"/>
        <v>10</v>
      </c>
      <c r="E52" s="22">
        <f t="shared" si="5"/>
        <v>522</v>
      </c>
      <c r="F52" s="23" t="s">
        <v>254</v>
      </c>
      <c r="G52" t="s">
        <v>255</v>
      </c>
      <c r="I52" s="23" t="s">
        <v>225</v>
      </c>
      <c r="J52" s="25">
        <v>12</v>
      </c>
      <c r="K52" s="23" t="s">
        <v>184</v>
      </c>
      <c r="L52" s="25">
        <v>1</v>
      </c>
      <c r="M52" s="6">
        <v>1</v>
      </c>
      <c r="S52" s="6">
        <v>5</v>
      </c>
    </row>
    <row r="53" spans="1:29" ht="18.75" customHeight="1">
      <c r="A53" s="6">
        <v>52</v>
      </c>
      <c r="B53" s="6">
        <v>4</v>
      </c>
      <c r="C53" s="21" t="s">
        <v>256</v>
      </c>
      <c r="D53" s="6">
        <f t="shared" si="4"/>
        <v>11</v>
      </c>
      <c r="E53" s="22">
        <f t="shared" si="5"/>
        <v>523</v>
      </c>
      <c r="F53" s="23" t="s">
        <v>257</v>
      </c>
      <c r="G53" t="s">
        <v>258</v>
      </c>
      <c r="I53" s="23" t="s">
        <v>225</v>
      </c>
      <c r="J53" s="25">
        <v>12</v>
      </c>
      <c r="K53" s="23" t="s">
        <v>184</v>
      </c>
      <c r="L53" s="25">
        <v>1</v>
      </c>
      <c r="M53" s="6">
        <v>1</v>
      </c>
      <c r="S53" s="6">
        <v>5</v>
      </c>
    </row>
    <row r="54" spans="1:29" ht="18.75" customHeight="1">
      <c r="A54" s="6">
        <v>53</v>
      </c>
      <c r="B54" s="6">
        <v>4</v>
      </c>
      <c r="C54" s="21" t="s">
        <v>259</v>
      </c>
      <c r="D54" s="6">
        <f t="shared" si="4"/>
        <v>12</v>
      </c>
      <c r="E54" s="22">
        <f t="shared" si="5"/>
        <v>524</v>
      </c>
      <c r="F54" s="23" t="s">
        <v>260</v>
      </c>
      <c r="G54" t="s">
        <v>261</v>
      </c>
      <c r="I54" s="23" t="s">
        <v>225</v>
      </c>
      <c r="J54" s="25">
        <v>12</v>
      </c>
      <c r="K54" s="23" t="s">
        <v>184</v>
      </c>
      <c r="L54" s="25">
        <v>1</v>
      </c>
      <c r="M54" s="6">
        <v>1</v>
      </c>
      <c r="S54" s="6">
        <v>5</v>
      </c>
    </row>
    <row r="55" spans="1:29" ht="18.75" customHeight="1">
      <c r="A55" s="6">
        <v>54</v>
      </c>
      <c r="B55" s="6">
        <v>4</v>
      </c>
      <c r="C55" s="21" t="s">
        <v>262</v>
      </c>
      <c r="D55" s="6">
        <f t="shared" si="4"/>
        <v>13</v>
      </c>
      <c r="E55" s="22">
        <f t="shared" si="5"/>
        <v>525</v>
      </c>
      <c r="F55" s="23" t="s">
        <v>263</v>
      </c>
      <c r="G55" t="s">
        <v>264</v>
      </c>
      <c r="I55" s="23" t="s">
        <v>225</v>
      </c>
      <c r="J55" s="25">
        <v>12</v>
      </c>
      <c r="K55" s="23" t="s">
        <v>184</v>
      </c>
      <c r="L55" s="25">
        <v>1</v>
      </c>
      <c r="M55" s="6">
        <v>1</v>
      </c>
      <c r="S55" s="6">
        <v>5</v>
      </c>
    </row>
    <row r="56" spans="1:29" ht="18.75" customHeight="1">
      <c r="A56" s="6">
        <v>55</v>
      </c>
      <c r="B56" s="6">
        <v>4</v>
      </c>
      <c r="C56" s="21" t="s">
        <v>265</v>
      </c>
      <c r="D56" s="6">
        <f t="shared" si="4"/>
        <v>14</v>
      </c>
      <c r="E56" s="22">
        <f t="shared" si="5"/>
        <v>526</v>
      </c>
      <c r="F56" s="23" t="s">
        <v>266</v>
      </c>
      <c r="G56" t="s">
        <v>267</v>
      </c>
      <c r="I56" s="23" t="s">
        <v>225</v>
      </c>
      <c r="J56" s="25">
        <v>12</v>
      </c>
      <c r="K56" s="23" t="s">
        <v>184</v>
      </c>
      <c r="L56" s="25">
        <v>1</v>
      </c>
      <c r="M56" s="6">
        <v>1</v>
      </c>
      <c r="S56" s="6">
        <v>5</v>
      </c>
    </row>
    <row r="57" spans="1:29" ht="18.75" customHeight="1">
      <c r="A57" s="6">
        <v>56</v>
      </c>
      <c r="B57" s="6">
        <v>4</v>
      </c>
      <c r="C57" s="21" t="s">
        <v>268</v>
      </c>
      <c r="D57" s="6">
        <f t="shared" si="4"/>
        <v>15</v>
      </c>
      <c r="E57" s="22">
        <f t="shared" si="5"/>
        <v>527</v>
      </c>
      <c r="F57" s="23" t="s">
        <v>269</v>
      </c>
      <c r="G57" s="1" t="s">
        <v>270</v>
      </c>
      <c r="I57" s="23" t="s">
        <v>225</v>
      </c>
      <c r="J57" s="25">
        <v>12</v>
      </c>
      <c r="K57" s="23" t="s">
        <v>184</v>
      </c>
      <c r="L57" s="25">
        <v>1</v>
      </c>
      <c r="M57" s="6">
        <v>1</v>
      </c>
      <c r="S57" s="6">
        <v>5</v>
      </c>
      <c r="AC57" s="1"/>
    </row>
    <row r="58" spans="1:29" ht="18.75" customHeight="1">
      <c r="A58" s="6">
        <v>57</v>
      </c>
      <c r="B58" s="6">
        <v>4</v>
      </c>
      <c r="C58" s="21" t="s">
        <v>271</v>
      </c>
      <c r="D58" s="6">
        <f t="shared" si="4"/>
        <v>16</v>
      </c>
      <c r="E58" s="22">
        <f t="shared" si="5"/>
        <v>528</v>
      </c>
      <c r="F58" s="32" t="s">
        <v>272</v>
      </c>
      <c r="G58" t="s">
        <v>273</v>
      </c>
      <c r="I58" s="23" t="s">
        <v>225</v>
      </c>
      <c r="J58" s="25">
        <v>12</v>
      </c>
      <c r="K58" s="23" t="s">
        <v>184</v>
      </c>
      <c r="L58" s="25">
        <v>1</v>
      </c>
      <c r="M58" s="6">
        <v>1</v>
      </c>
      <c r="S58" s="6">
        <v>5</v>
      </c>
    </row>
    <row r="59" spans="1:29" ht="18.75" customHeight="1">
      <c r="A59" s="6">
        <v>58</v>
      </c>
      <c r="B59" s="6">
        <v>4</v>
      </c>
      <c r="C59" s="21" t="s">
        <v>274</v>
      </c>
      <c r="D59" s="6">
        <f t="shared" si="4"/>
        <v>17</v>
      </c>
      <c r="E59" s="22">
        <f t="shared" si="5"/>
        <v>529</v>
      </c>
      <c r="F59" s="23" t="s">
        <v>275</v>
      </c>
      <c r="G59" s="1" t="s">
        <v>276</v>
      </c>
      <c r="I59" s="23" t="s">
        <v>225</v>
      </c>
      <c r="J59" s="25">
        <v>12</v>
      </c>
      <c r="K59" s="23" t="s">
        <v>184</v>
      </c>
      <c r="L59" s="25">
        <v>1</v>
      </c>
      <c r="M59" s="6">
        <v>1</v>
      </c>
      <c r="S59" s="6">
        <v>5</v>
      </c>
      <c r="AC59" s="1"/>
    </row>
    <row r="60" spans="1:29" ht="18.75" customHeight="1">
      <c r="A60" s="33">
        <v>59</v>
      </c>
      <c r="B60" s="33">
        <v>4</v>
      </c>
      <c r="C60" s="34" t="s">
        <v>277</v>
      </c>
      <c r="D60" s="33">
        <f t="shared" si="4"/>
        <v>18</v>
      </c>
      <c r="E60" s="35">
        <f t="shared" si="5"/>
        <v>530</v>
      </c>
      <c r="F60" s="36" t="s">
        <v>278</v>
      </c>
      <c r="G60" s="37" t="s">
        <v>279</v>
      </c>
      <c r="I60" s="36" t="s">
        <v>225</v>
      </c>
      <c r="J60" s="38">
        <v>12</v>
      </c>
      <c r="K60" s="36" t="s">
        <v>184</v>
      </c>
      <c r="L60" s="38">
        <v>1</v>
      </c>
      <c r="M60" s="33">
        <v>1</v>
      </c>
      <c r="S60" s="33">
        <v>5</v>
      </c>
      <c r="AC60" s="37"/>
    </row>
    <row r="61" spans="1:29" ht="18.75" customHeight="1">
      <c r="A61" s="6">
        <v>60</v>
      </c>
      <c r="B61" s="6">
        <v>4</v>
      </c>
      <c r="C61" s="21" t="s">
        <v>280</v>
      </c>
      <c r="D61" s="6">
        <f t="shared" si="4"/>
        <v>19</v>
      </c>
      <c r="E61" s="22">
        <f t="shared" si="5"/>
        <v>531</v>
      </c>
      <c r="F61" s="23" t="s">
        <v>281</v>
      </c>
      <c r="G61" t="s">
        <v>282</v>
      </c>
      <c r="I61" s="23" t="s">
        <v>225</v>
      </c>
      <c r="J61" s="25">
        <v>12</v>
      </c>
      <c r="K61" s="23" t="s">
        <v>184</v>
      </c>
      <c r="L61" s="25">
        <v>1</v>
      </c>
      <c r="M61" s="6">
        <v>1</v>
      </c>
      <c r="S61" s="6">
        <v>5</v>
      </c>
    </row>
    <row r="62" spans="1:29" ht="18.75" customHeight="1">
      <c r="A62" s="6">
        <v>61</v>
      </c>
      <c r="B62" s="6">
        <v>4</v>
      </c>
      <c r="C62" s="21" t="s">
        <v>283</v>
      </c>
      <c r="D62" s="6">
        <f t="shared" si="4"/>
        <v>20</v>
      </c>
      <c r="E62" s="22">
        <f t="shared" si="5"/>
        <v>532</v>
      </c>
      <c r="F62" s="23" t="s">
        <v>284</v>
      </c>
      <c r="G62" t="s">
        <v>285</v>
      </c>
      <c r="I62" s="23" t="s">
        <v>225</v>
      </c>
      <c r="J62" s="25">
        <v>12</v>
      </c>
      <c r="K62" s="23" t="s">
        <v>184</v>
      </c>
      <c r="L62" s="25">
        <v>1</v>
      </c>
      <c r="M62" s="6">
        <v>1</v>
      </c>
      <c r="S62" s="6">
        <v>5</v>
      </c>
    </row>
    <row r="63" spans="1:29" ht="18.75" customHeight="1">
      <c r="A63" s="6">
        <v>62</v>
      </c>
      <c r="B63" s="6">
        <v>4</v>
      </c>
      <c r="C63" s="21" t="s">
        <v>286</v>
      </c>
      <c r="D63" s="6">
        <f t="shared" si="4"/>
        <v>21</v>
      </c>
      <c r="E63" s="22">
        <f t="shared" si="5"/>
        <v>533</v>
      </c>
      <c r="F63" s="23" t="s">
        <v>287</v>
      </c>
      <c r="G63" t="s">
        <v>288</v>
      </c>
      <c r="I63" s="23" t="s">
        <v>225</v>
      </c>
      <c r="J63" s="25">
        <v>12</v>
      </c>
      <c r="K63" s="23" t="s">
        <v>184</v>
      </c>
      <c r="L63" s="25">
        <v>1</v>
      </c>
      <c r="M63" s="39">
        <v>0.1</v>
      </c>
      <c r="S63" s="6">
        <v>5</v>
      </c>
    </row>
    <row r="64" spans="1:29" ht="18.75" customHeight="1">
      <c r="A64" s="6">
        <v>63</v>
      </c>
      <c r="B64" s="6">
        <v>4</v>
      </c>
      <c r="C64" s="21" t="s">
        <v>289</v>
      </c>
      <c r="D64" s="6">
        <f t="shared" si="4"/>
        <v>22</v>
      </c>
      <c r="E64" s="22">
        <f t="shared" si="5"/>
        <v>534</v>
      </c>
      <c r="F64" s="23" t="s">
        <v>290</v>
      </c>
      <c r="G64" t="s">
        <v>291</v>
      </c>
      <c r="I64" s="36" t="s">
        <v>183</v>
      </c>
      <c r="J64" s="38">
        <v>12</v>
      </c>
      <c r="K64" s="36" t="s">
        <v>184</v>
      </c>
      <c r="L64" s="38">
        <v>2</v>
      </c>
      <c r="M64" s="39">
        <v>0.1</v>
      </c>
      <c r="S64" s="6">
        <v>5</v>
      </c>
    </row>
    <row r="65" spans="1:29" ht="18.75" customHeight="1">
      <c r="A65" s="6">
        <v>64</v>
      </c>
      <c r="B65" s="6">
        <v>4</v>
      </c>
      <c r="C65" s="21" t="s">
        <v>292</v>
      </c>
      <c r="D65" s="6">
        <f t="shared" si="4"/>
        <v>24</v>
      </c>
      <c r="E65" s="22">
        <f t="shared" si="5"/>
        <v>536</v>
      </c>
      <c r="F65" s="23" t="s">
        <v>293</v>
      </c>
      <c r="G65" t="s">
        <v>294</v>
      </c>
      <c r="I65" s="23" t="s">
        <v>225</v>
      </c>
      <c r="J65" s="25">
        <v>12</v>
      </c>
      <c r="K65" s="23" t="s">
        <v>184</v>
      </c>
      <c r="L65" s="25">
        <v>1</v>
      </c>
      <c r="M65" s="6">
        <v>1</v>
      </c>
      <c r="S65" s="6">
        <v>5</v>
      </c>
    </row>
    <row r="66" spans="1:29" ht="18.75" customHeight="1">
      <c r="A66" s="6">
        <v>65</v>
      </c>
      <c r="B66" s="6">
        <v>4</v>
      </c>
      <c r="C66" s="21" t="s">
        <v>295</v>
      </c>
      <c r="D66" s="6">
        <f t="shared" si="4"/>
        <v>25</v>
      </c>
      <c r="E66" s="22">
        <f t="shared" si="5"/>
        <v>537</v>
      </c>
      <c r="F66" s="23" t="s">
        <v>296</v>
      </c>
      <c r="G66" t="s">
        <v>297</v>
      </c>
      <c r="I66" s="23" t="s">
        <v>225</v>
      </c>
      <c r="J66" s="25">
        <v>12</v>
      </c>
      <c r="K66" s="23" t="s">
        <v>184</v>
      </c>
      <c r="L66" s="25">
        <v>1</v>
      </c>
      <c r="M66" s="6">
        <v>1</v>
      </c>
      <c r="S66" s="6">
        <v>5</v>
      </c>
    </row>
    <row r="67" spans="1:29" ht="18.75" customHeight="1">
      <c r="A67" s="6">
        <v>66</v>
      </c>
      <c r="B67" s="6">
        <v>4</v>
      </c>
      <c r="C67" s="21" t="s">
        <v>298</v>
      </c>
      <c r="D67" s="6">
        <f t="shared" si="4"/>
        <v>26</v>
      </c>
      <c r="E67" s="22">
        <f t="shared" si="5"/>
        <v>538</v>
      </c>
      <c r="F67" s="23" t="s">
        <v>299</v>
      </c>
      <c r="G67" t="s">
        <v>300</v>
      </c>
      <c r="I67" s="23" t="s">
        <v>225</v>
      </c>
      <c r="J67" s="25">
        <v>12</v>
      </c>
      <c r="K67" s="23" t="s">
        <v>184</v>
      </c>
      <c r="L67" s="25">
        <v>1</v>
      </c>
      <c r="M67" s="6">
        <v>1</v>
      </c>
      <c r="S67" s="6">
        <v>5</v>
      </c>
    </row>
    <row r="68" spans="1:29" ht="18.75" customHeight="1">
      <c r="A68" s="6">
        <v>67</v>
      </c>
      <c r="B68" s="6">
        <v>4</v>
      </c>
      <c r="C68" s="21" t="s">
        <v>301</v>
      </c>
      <c r="D68" s="6">
        <f t="shared" si="4"/>
        <v>27</v>
      </c>
      <c r="E68" s="22">
        <f t="shared" si="5"/>
        <v>539</v>
      </c>
      <c r="F68" s="23" t="s">
        <v>302</v>
      </c>
      <c r="G68" t="s">
        <v>303</v>
      </c>
      <c r="I68" s="23" t="s">
        <v>225</v>
      </c>
      <c r="J68" s="25">
        <v>12</v>
      </c>
      <c r="K68" s="23" t="s">
        <v>184</v>
      </c>
      <c r="L68" s="25">
        <v>1</v>
      </c>
      <c r="M68" s="6">
        <v>1</v>
      </c>
      <c r="S68" s="6">
        <v>5</v>
      </c>
    </row>
    <row r="69" spans="1:29" ht="18.75" customHeight="1">
      <c r="A69" s="6">
        <v>68</v>
      </c>
      <c r="B69" s="6">
        <v>4</v>
      </c>
      <c r="C69" s="21" t="s">
        <v>304</v>
      </c>
      <c r="D69" s="6">
        <f t="shared" si="4"/>
        <v>28</v>
      </c>
      <c r="E69" s="22">
        <f t="shared" si="5"/>
        <v>540</v>
      </c>
      <c r="F69" s="23" t="s">
        <v>305</v>
      </c>
      <c r="G69" t="s">
        <v>306</v>
      </c>
      <c r="I69" s="23" t="s">
        <v>225</v>
      </c>
      <c r="J69" s="25">
        <v>12</v>
      </c>
      <c r="K69" s="23" t="s">
        <v>184</v>
      </c>
      <c r="L69" s="25">
        <v>1</v>
      </c>
      <c r="M69" s="6">
        <v>1</v>
      </c>
      <c r="S69" s="6">
        <v>5</v>
      </c>
    </row>
    <row r="70" spans="1:29" ht="18.75" customHeight="1">
      <c r="A70" s="6">
        <v>69</v>
      </c>
      <c r="B70" s="6">
        <v>5</v>
      </c>
      <c r="C70" s="21" t="s">
        <v>307</v>
      </c>
      <c r="D70" s="6">
        <v>0</v>
      </c>
      <c r="E70" s="22">
        <v>256</v>
      </c>
      <c r="F70" s="23" t="s">
        <v>308</v>
      </c>
      <c r="G70" t="s">
        <v>309</v>
      </c>
      <c r="I70" s="23" t="s">
        <v>225</v>
      </c>
      <c r="J70" s="25">
        <v>12</v>
      </c>
      <c r="K70" s="23" t="s">
        <v>46</v>
      </c>
      <c r="L70" s="25">
        <v>1</v>
      </c>
      <c r="M70" s="6">
        <v>1</v>
      </c>
      <c r="S70" s="6">
        <v>5</v>
      </c>
    </row>
    <row r="71" spans="1:29" ht="18.75" customHeight="1">
      <c r="A71" s="6">
        <v>70</v>
      </c>
      <c r="B71" s="6">
        <v>5</v>
      </c>
      <c r="C71" s="21" t="s">
        <v>310</v>
      </c>
      <c r="D71" s="6">
        <v>1</v>
      </c>
      <c r="E71" s="22">
        <v>257</v>
      </c>
      <c r="F71" s="32" t="s">
        <v>311</v>
      </c>
      <c r="G71" t="s">
        <v>312</v>
      </c>
      <c r="I71" s="23" t="s">
        <v>225</v>
      </c>
      <c r="J71" s="25">
        <v>12</v>
      </c>
      <c r="K71" s="23" t="s">
        <v>46</v>
      </c>
      <c r="L71" s="25">
        <v>1</v>
      </c>
      <c r="M71" s="6">
        <v>1</v>
      </c>
      <c r="S71" s="6">
        <v>5</v>
      </c>
    </row>
    <row r="72" spans="1:29" ht="18.75" customHeight="1">
      <c r="A72" s="6">
        <v>71</v>
      </c>
      <c r="B72" s="6">
        <v>5</v>
      </c>
      <c r="C72" s="21" t="s">
        <v>313</v>
      </c>
      <c r="D72" s="6">
        <v>2</v>
      </c>
      <c r="E72" s="22">
        <v>258</v>
      </c>
      <c r="F72" s="23" t="s">
        <v>314</v>
      </c>
      <c r="G72" s="3" t="s">
        <v>315</v>
      </c>
      <c r="I72" s="23" t="s">
        <v>225</v>
      </c>
      <c r="J72" s="25">
        <v>12</v>
      </c>
      <c r="K72" s="23" t="s">
        <v>46</v>
      </c>
      <c r="L72" s="25">
        <v>1</v>
      </c>
      <c r="M72" s="6">
        <v>1</v>
      </c>
      <c r="S72" s="6">
        <v>5</v>
      </c>
      <c r="AC72" s="3"/>
    </row>
    <row r="73" spans="1:29" ht="18.75" customHeight="1">
      <c r="A73" s="6">
        <v>72</v>
      </c>
      <c r="B73" s="6">
        <v>6</v>
      </c>
      <c r="C73" s="40" t="s">
        <v>316</v>
      </c>
      <c r="D73" s="6">
        <v>0</v>
      </c>
      <c r="E73" s="6">
        <v>61953</v>
      </c>
      <c r="F73" s="23" t="s">
        <v>317</v>
      </c>
      <c r="G73" s="3" t="s">
        <v>318</v>
      </c>
      <c r="I73" s="23" t="s">
        <v>225</v>
      </c>
      <c r="J73" s="25">
        <v>12</v>
      </c>
      <c r="K73" s="23" t="s">
        <v>46</v>
      </c>
      <c r="L73" s="25">
        <v>1</v>
      </c>
      <c r="M73" s="6">
        <v>1</v>
      </c>
      <c r="S73" s="6">
        <v>5</v>
      </c>
      <c r="AC73" s="3"/>
    </row>
  </sheetData>
  <autoFilter ref="A1:AC73" xr:uid="{00000000-0001-0000-0100-000000000000}"/>
  <mergeCells count="1">
    <mergeCell ref="AE1:AF1"/>
  </mergeCells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2"/>
  <sheetViews>
    <sheetView workbookViewId="0"/>
  </sheetViews>
  <sheetFormatPr defaultRowHeight="14.45"/>
  <cols>
    <col min="1" max="1" width="23.75" style="13" bestFit="1" customWidth="1"/>
    <col min="2" max="2" width="21" bestFit="1" customWidth="1"/>
  </cols>
  <sheetData>
    <row r="1" spans="1:2" ht="18.75" customHeight="1">
      <c r="A1" s="5" t="s">
        <v>28</v>
      </c>
      <c r="B1" s="1" t="s">
        <v>319</v>
      </c>
    </row>
    <row r="2" spans="1:2" ht="18.75" customHeight="1">
      <c r="A2" s="6">
        <v>1</v>
      </c>
      <c r="B2" s="1" t="s">
        <v>320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B53"/>
  <sheetViews>
    <sheetView workbookViewId="0"/>
  </sheetViews>
  <sheetFormatPr defaultRowHeight="14.45"/>
  <cols>
    <col min="1" max="1" width="23" bestFit="1" customWidth="1"/>
    <col min="2" max="2" width="25.875" bestFit="1" customWidth="1"/>
  </cols>
  <sheetData>
    <row r="1" spans="1:2" ht="18.75" customHeight="1">
      <c r="A1" s="1" t="s">
        <v>320</v>
      </c>
      <c r="B1" s="1" t="s">
        <v>320</v>
      </c>
    </row>
    <row r="2" spans="1:2" ht="18.75" customHeight="1">
      <c r="A2" s="10" t="s">
        <v>321</v>
      </c>
      <c r="B2" s="1" t="s">
        <v>322</v>
      </c>
    </row>
    <row r="3" spans="1:2" ht="18.75" customHeight="1">
      <c r="A3" s="1" t="s">
        <v>80</v>
      </c>
      <c r="B3" s="1" t="s">
        <v>204</v>
      </c>
    </row>
    <row r="4" spans="1:2" ht="18.75" customHeight="1">
      <c r="A4" s="1" t="s">
        <v>323</v>
      </c>
      <c r="B4" s="1" t="s">
        <v>324</v>
      </c>
    </row>
    <row r="5" spans="1:2" ht="18.75" customHeight="1">
      <c r="A5" s="1" t="s">
        <v>96</v>
      </c>
      <c r="B5" s="1" t="s">
        <v>191</v>
      </c>
    </row>
    <row r="6" spans="1:2" ht="18.75" customHeight="1">
      <c r="A6" s="1" t="s">
        <v>325</v>
      </c>
      <c r="B6" s="1" t="s">
        <v>326</v>
      </c>
    </row>
    <row r="7" spans="1:2" ht="18.75" customHeight="1">
      <c r="A7" s="1" t="s">
        <v>54</v>
      </c>
      <c r="B7" s="1" t="s">
        <v>327</v>
      </c>
    </row>
    <row r="8" spans="1:2" ht="18.75" customHeight="1">
      <c r="A8" s="1" t="s">
        <v>328</v>
      </c>
      <c r="B8" s="1" t="s">
        <v>329</v>
      </c>
    </row>
    <row r="9" spans="1:2" ht="18.75" customHeight="1">
      <c r="A9" s="1" t="s">
        <v>118</v>
      </c>
      <c r="B9" s="1" t="s">
        <v>330</v>
      </c>
    </row>
    <row r="10" spans="1:2" ht="18.75" customHeight="1">
      <c r="A10" s="1" t="s">
        <v>152</v>
      </c>
      <c r="B10" s="1" t="s">
        <v>331</v>
      </c>
    </row>
    <row r="11" spans="1:2" ht="18.75" customHeight="1">
      <c r="A11" s="1" t="s">
        <v>135</v>
      </c>
      <c r="B11" s="1" t="s">
        <v>332</v>
      </c>
    </row>
    <row r="12" spans="1:2" ht="18.75" customHeight="1">
      <c r="A12" s="1" t="s">
        <v>333</v>
      </c>
      <c r="B12" s="1" t="s">
        <v>207</v>
      </c>
    </row>
    <row r="13" spans="1:2" ht="18.75" customHeight="1">
      <c r="A13" s="1" t="s">
        <v>169</v>
      </c>
      <c r="B13" s="1" t="s">
        <v>334</v>
      </c>
    </row>
    <row r="14" spans="1:2" ht="18.75" customHeight="1">
      <c r="A14" s="1" t="s">
        <v>335</v>
      </c>
      <c r="B14" s="1" t="s">
        <v>194</v>
      </c>
    </row>
    <row r="15" spans="1:2" ht="18.75" customHeight="1">
      <c r="A15" s="1" t="s">
        <v>336</v>
      </c>
      <c r="B15" s="1" t="s">
        <v>337</v>
      </c>
    </row>
    <row r="16" spans="1:2" ht="18.75" customHeight="1">
      <c r="A16" s="1" t="s">
        <v>84</v>
      </c>
      <c r="B16" s="1" t="s">
        <v>338</v>
      </c>
    </row>
    <row r="17" spans="1:2" ht="18.75" customHeight="1">
      <c r="A17" s="1" t="s">
        <v>339</v>
      </c>
      <c r="B17" s="1" t="s">
        <v>340</v>
      </c>
    </row>
    <row r="18" spans="1:2" ht="18.75" customHeight="1">
      <c r="A18" s="1" t="s">
        <v>100</v>
      </c>
      <c r="B18" s="1" t="s">
        <v>341</v>
      </c>
    </row>
    <row r="19" spans="1:2" ht="18.75" customHeight="1">
      <c r="A19" s="1" t="s">
        <v>342</v>
      </c>
      <c r="B19" s="1" t="s">
        <v>343</v>
      </c>
    </row>
    <row r="20" spans="1:2" ht="18.75" customHeight="1">
      <c r="A20" s="1" t="s">
        <v>62</v>
      </c>
      <c r="B20" s="1" t="s">
        <v>344</v>
      </c>
    </row>
    <row r="21" spans="1:2" ht="18.75" customHeight="1">
      <c r="A21" s="1" t="s">
        <v>345</v>
      </c>
      <c r="B21" s="1" t="s">
        <v>210</v>
      </c>
    </row>
    <row r="22" spans="1:2" ht="18.75" customHeight="1">
      <c r="A22" s="1" t="s">
        <v>122</v>
      </c>
      <c r="B22" s="1" t="s">
        <v>346</v>
      </c>
    </row>
    <row r="23" spans="1:2" ht="18.75" customHeight="1">
      <c r="A23" s="1" t="s">
        <v>156</v>
      </c>
      <c r="B23" s="1" t="s">
        <v>197</v>
      </c>
    </row>
    <row r="24" spans="1:2" ht="18.75" customHeight="1">
      <c r="A24" s="1" t="s">
        <v>139</v>
      </c>
      <c r="B24" s="1" t="s">
        <v>347</v>
      </c>
    </row>
    <row r="25" spans="1:2" ht="18.75" customHeight="1">
      <c r="A25" s="1" t="s">
        <v>348</v>
      </c>
      <c r="B25" s="1" t="s">
        <v>349</v>
      </c>
    </row>
    <row r="26" spans="1:2" ht="18.75" customHeight="1">
      <c r="A26" s="1" t="s">
        <v>173</v>
      </c>
      <c r="B26" s="1" t="s">
        <v>350</v>
      </c>
    </row>
    <row r="27" spans="1:2" ht="18.75" customHeight="1">
      <c r="A27" s="1" t="s">
        <v>351</v>
      </c>
      <c r="B27" s="1" t="s">
        <v>352</v>
      </c>
    </row>
    <row r="28" spans="1:2" ht="18.75" customHeight="1">
      <c r="A28" s="1" t="s">
        <v>353</v>
      </c>
      <c r="B28" s="1" t="s">
        <v>354</v>
      </c>
    </row>
    <row r="29" spans="1:2" ht="18.75" customHeight="1">
      <c r="A29" s="1" t="s">
        <v>88</v>
      </c>
      <c r="B29" s="1" t="s">
        <v>355</v>
      </c>
    </row>
    <row r="30" spans="1:2" ht="18.75" customHeight="1">
      <c r="A30" s="1" t="s">
        <v>356</v>
      </c>
      <c r="B30" s="1" t="s">
        <v>200</v>
      </c>
    </row>
    <row r="31" spans="1:2" ht="18.75" customHeight="1">
      <c r="A31" s="1" t="s">
        <v>104</v>
      </c>
      <c r="B31" s="1" t="s">
        <v>58</v>
      </c>
    </row>
    <row r="32" spans="1:2" ht="18.75" customHeight="1">
      <c r="A32" s="1" t="s">
        <v>357</v>
      </c>
      <c r="B32" s="1" t="s">
        <v>181</v>
      </c>
    </row>
    <row r="33" spans="1:2" ht="18.75" customHeight="1">
      <c r="A33" s="1" t="s">
        <v>68</v>
      </c>
      <c r="B33" s="1" t="s">
        <v>50</v>
      </c>
    </row>
    <row r="34" spans="1:2" ht="18.75" customHeight="1">
      <c r="A34" s="1" t="s">
        <v>358</v>
      </c>
      <c r="B34" s="1" t="s">
        <v>359</v>
      </c>
    </row>
    <row r="35" spans="1:2" ht="18.75" customHeight="1">
      <c r="A35" s="1" t="s">
        <v>126</v>
      </c>
      <c r="B35" s="1" t="s">
        <v>360</v>
      </c>
    </row>
    <row r="36" spans="1:2" ht="18.75" customHeight="1">
      <c r="A36" s="1" t="s">
        <v>160</v>
      </c>
      <c r="B36" s="1" t="s">
        <v>361</v>
      </c>
    </row>
    <row r="37" spans="1:2" ht="18.75" customHeight="1">
      <c r="A37" s="1" t="s">
        <v>143</v>
      </c>
      <c r="B37" s="1" t="s">
        <v>362</v>
      </c>
    </row>
    <row r="38" spans="1:2" ht="18.75" customHeight="1">
      <c r="A38" s="1" t="s">
        <v>363</v>
      </c>
      <c r="B38" s="1" t="s">
        <v>64</v>
      </c>
    </row>
    <row r="39" spans="1:2" ht="18.75" customHeight="1">
      <c r="A39" s="1" t="s">
        <v>177</v>
      </c>
      <c r="B39" s="1" t="s">
        <v>364</v>
      </c>
    </row>
    <row r="40" spans="1:2" ht="18.75" customHeight="1">
      <c r="A40" s="1" t="s">
        <v>365</v>
      </c>
      <c r="B40" s="1" t="s">
        <v>366</v>
      </c>
    </row>
    <row r="41" spans="1:2" ht="18.75" customHeight="1">
      <c r="A41" s="1" t="s">
        <v>367</v>
      </c>
      <c r="B41" s="15" t="s">
        <v>368</v>
      </c>
    </row>
    <row r="42" spans="1:2" ht="18.75" customHeight="1">
      <c r="A42" s="1" t="s">
        <v>75</v>
      </c>
      <c r="B42" s="1" t="s">
        <v>369</v>
      </c>
    </row>
    <row r="43" spans="1:2" ht="18.75" customHeight="1">
      <c r="A43" s="1" t="s">
        <v>92</v>
      </c>
      <c r="B43" s="1" t="s">
        <v>370</v>
      </c>
    </row>
    <row r="44" spans="1:2" ht="18.75" customHeight="1">
      <c r="A44" s="1" t="s">
        <v>371</v>
      </c>
      <c r="B44" s="15" t="s">
        <v>372</v>
      </c>
    </row>
    <row r="45" spans="1:2" ht="18.75" customHeight="1">
      <c r="A45" s="1" t="s">
        <v>373</v>
      </c>
      <c r="B45" s="1" t="s">
        <v>374</v>
      </c>
    </row>
    <row r="46" spans="1:2" ht="18.75" customHeight="1">
      <c r="A46" s="1" t="s">
        <v>375</v>
      </c>
      <c r="B46" s="1" t="s">
        <v>376</v>
      </c>
    </row>
    <row r="47" spans="1:2" ht="18.75" customHeight="1">
      <c r="A47" s="1" t="s">
        <v>113</v>
      </c>
      <c r="B47" s="15" t="s">
        <v>377</v>
      </c>
    </row>
    <row r="48" spans="1:2" ht="18.75" customHeight="1">
      <c r="A48" s="1" t="s">
        <v>147</v>
      </c>
      <c r="B48" s="1" t="s">
        <v>213</v>
      </c>
    </row>
    <row r="49" spans="1:2" ht="18.75" customHeight="1">
      <c r="A49" s="1" t="s">
        <v>130</v>
      </c>
      <c r="B49" s="1" t="s">
        <v>218</v>
      </c>
    </row>
    <row r="50" spans="1:2" ht="18.75" customHeight="1">
      <c r="A50" s="1" t="s">
        <v>164</v>
      </c>
      <c r="B50" s="15" t="s">
        <v>221</v>
      </c>
    </row>
    <row r="51" spans="1:2" ht="18.75" customHeight="1">
      <c r="A51" s="1" t="s">
        <v>378</v>
      </c>
    </row>
    <row r="52" spans="1:2" ht="18.75" customHeight="1">
      <c r="A52" s="1" t="s">
        <v>379</v>
      </c>
    </row>
    <row r="53" spans="1:2" ht="18.75" customHeight="1">
      <c r="A53" s="1" t="s">
        <v>108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3"/>
  <sheetViews>
    <sheetView workbookViewId="0"/>
  </sheetViews>
  <sheetFormatPr defaultRowHeight="14.45"/>
  <cols>
    <col min="1" max="2" width="12.75" style="13" bestFit="1" customWidth="1"/>
    <col min="3" max="3" width="27" bestFit="1" customWidth="1"/>
  </cols>
  <sheetData>
    <row r="1" spans="1:3" ht="18.75" customHeight="1">
      <c r="A1" s="5" t="s">
        <v>380</v>
      </c>
      <c r="B1" s="5" t="s">
        <v>28</v>
      </c>
      <c r="C1" s="1" t="s">
        <v>381</v>
      </c>
    </row>
    <row r="2" spans="1:3" ht="18.75" customHeight="1">
      <c r="A2" s="6">
        <v>1</v>
      </c>
      <c r="B2" s="6">
        <v>1</v>
      </c>
      <c r="C2" s="10" t="s">
        <v>321</v>
      </c>
    </row>
    <row r="3" spans="1:3" ht="18.75" customHeight="1">
      <c r="A3" s="6">
        <v>2</v>
      </c>
      <c r="B3" s="6">
        <v>1</v>
      </c>
      <c r="C3" s="1" t="s">
        <v>322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J14"/>
  <sheetViews>
    <sheetView workbookViewId="0"/>
  </sheetViews>
  <sheetFormatPr defaultRowHeight="14.45"/>
  <cols>
    <col min="1" max="1" width="13.625" style="13" bestFit="1" customWidth="1"/>
    <col min="2" max="2" width="14.625" bestFit="1" customWidth="1"/>
    <col min="3" max="3" width="13.625" style="14" bestFit="1" customWidth="1"/>
    <col min="4" max="5" width="13.625" style="13" bestFit="1" customWidth="1"/>
    <col min="6" max="6" width="13.625" bestFit="1" customWidth="1"/>
    <col min="7" max="7" width="10" bestFit="1" customWidth="1"/>
    <col min="8" max="8" width="13.625" style="13" bestFit="1" customWidth="1"/>
    <col min="9" max="10" width="13.625" bestFit="1" customWidth="1"/>
  </cols>
  <sheetData>
    <row r="1" spans="1:10" ht="18.75" customHeight="1">
      <c r="A1" s="5" t="s">
        <v>382</v>
      </c>
      <c r="B1" s="10" t="s">
        <v>383</v>
      </c>
      <c r="C1" s="10" t="s">
        <v>384</v>
      </c>
      <c r="D1" s="11" t="s">
        <v>385</v>
      </c>
      <c r="E1" s="11" t="s">
        <v>386</v>
      </c>
      <c r="F1" s="10" t="s">
        <v>4</v>
      </c>
      <c r="G1" s="1" t="s">
        <v>387</v>
      </c>
      <c r="H1" s="11" t="s">
        <v>388</v>
      </c>
    </row>
    <row r="2" spans="1:10" ht="18.75" customHeight="1">
      <c r="A2" s="6">
        <v>1</v>
      </c>
      <c r="B2" s="1" t="s">
        <v>32</v>
      </c>
      <c r="C2" s="1" t="s">
        <v>389</v>
      </c>
      <c r="D2" s="6">
        <v>4</v>
      </c>
      <c r="E2" s="6">
        <v>0</v>
      </c>
      <c r="F2" s="12" t="s">
        <v>7</v>
      </c>
      <c r="G2" s="1" t="s">
        <v>390</v>
      </c>
      <c r="H2" s="6">
        <v>2</v>
      </c>
    </row>
    <row r="3" spans="1:10" ht="18.75" customHeight="1">
      <c r="A3" s="6">
        <v>2</v>
      </c>
      <c r="B3" s="1" t="s">
        <v>391</v>
      </c>
      <c r="C3" s="1" t="s">
        <v>389</v>
      </c>
      <c r="D3" s="6">
        <v>0</v>
      </c>
      <c r="E3" s="6">
        <v>0</v>
      </c>
      <c r="F3" s="12" t="s">
        <v>7</v>
      </c>
      <c r="G3" s="1" t="s">
        <v>390</v>
      </c>
      <c r="H3" s="6">
        <v>2</v>
      </c>
    </row>
    <row r="4" spans="1:10" ht="18.75" customHeight="1">
      <c r="A4" s="6">
        <v>3</v>
      </c>
      <c r="B4" s="1" t="s">
        <v>392</v>
      </c>
      <c r="C4" s="1" t="s">
        <v>7</v>
      </c>
      <c r="D4" s="6">
        <v>1</v>
      </c>
      <c r="E4" s="6">
        <v>3000</v>
      </c>
      <c r="F4" s="12" t="s">
        <v>7</v>
      </c>
      <c r="G4" s="1" t="s">
        <v>390</v>
      </c>
      <c r="H4" s="6">
        <v>1</v>
      </c>
    </row>
    <row r="5" spans="1:10" ht="18.75" customHeight="1">
      <c r="A5" s="6">
        <v>4</v>
      </c>
      <c r="B5" s="1" t="s">
        <v>393</v>
      </c>
      <c r="C5" s="1" t="s">
        <v>7</v>
      </c>
      <c r="D5" s="6">
        <v>1</v>
      </c>
      <c r="E5" s="6">
        <v>3000</v>
      </c>
      <c r="F5" s="12" t="s">
        <v>7</v>
      </c>
      <c r="G5" s="1" t="s">
        <v>390</v>
      </c>
      <c r="H5" s="6">
        <v>1</v>
      </c>
    </row>
    <row r="6" spans="1:10" ht="18.75" customHeight="1">
      <c r="A6" s="6">
        <v>5</v>
      </c>
      <c r="B6" s="1" t="s">
        <v>394</v>
      </c>
      <c r="C6" s="1" t="s">
        <v>7</v>
      </c>
      <c r="D6" s="6">
        <v>1</v>
      </c>
      <c r="E6" s="6">
        <v>3000</v>
      </c>
      <c r="F6" s="12" t="s">
        <v>7</v>
      </c>
      <c r="G6" s="1" t="s">
        <v>390</v>
      </c>
      <c r="H6" s="6">
        <v>1</v>
      </c>
    </row>
    <row r="7" spans="1:10" ht="18.75" customHeight="1">
      <c r="A7" s="6">
        <v>6</v>
      </c>
      <c r="B7" s="1" t="s">
        <v>395</v>
      </c>
      <c r="C7" s="1" t="s">
        <v>7</v>
      </c>
      <c r="D7" s="6">
        <v>1</v>
      </c>
      <c r="E7" s="6">
        <v>3000</v>
      </c>
      <c r="F7" s="12" t="s">
        <v>7</v>
      </c>
      <c r="G7" s="1" t="s">
        <v>390</v>
      </c>
      <c r="H7" s="6">
        <v>1</v>
      </c>
    </row>
    <row r="8" spans="1:10" ht="18.75" customHeight="1">
      <c r="A8" s="6">
        <v>7</v>
      </c>
      <c r="B8" s="1" t="s">
        <v>396</v>
      </c>
      <c r="C8" s="1" t="s">
        <v>7</v>
      </c>
      <c r="D8" s="6">
        <v>2</v>
      </c>
      <c r="E8" s="6">
        <v>5000</v>
      </c>
      <c r="F8" s="12" t="s">
        <v>7</v>
      </c>
      <c r="G8" s="1" t="s">
        <v>390</v>
      </c>
      <c r="H8" s="6">
        <v>1</v>
      </c>
    </row>
    <row r="9" spans="1:10" ht="18.75" customHeight="1">
      <c r="A9" s="6">
        <v>8</v>
      </c>
      <c r="B9" s="1" t="s">
        <v>397</v>
      </c>
      <c r="C9" s="1" t="s">
        <v>7</v>
      </c>
      <c r="D9" s="6">
        <v>3</v>
      </c>
      <c r="E9" s="6">
        <v>5000</v>
      </c>
      <c r="F9" s="12" t="s">
        <v>7</v>
      </c>
      <c r="G9" s="1" t="s">
        <v>390</v>
      </c>
      <c r="H9" s="6">
        <v>1</v>
      </c>
    </row>
    <row r="10" spans="1:10" ht="18.75" customHeight="1">
      <c r="A10" s="6">
        <v>9</v>
      </c>
      <c r="B10" s="1" t="s">
        <v>398</v>
      </c>
      <c r="C10" s="1" t="s">
        <v>7</v>
      </c>
      <c r="D10" s="6">
        <v>5</v>
      </c>
      <c r="E10" s="6">
        <v>5000</v>
      </c>
      <c r="F10" s="12" t="s">
        <v>7</v>
      </c>
      <c r="G10" s="1" t="s">
        <v>390</v>
      </c>
      <c r="H10" s="6">
        <v>1</v>
      </c>
    </row>
    <row r="11" spans="1:10" ht="18.75" customHeight="1">
      <c r="A11" s="6">
        <v>10</v>
      </c>
      <c r="B11" s="3" t="s">
        <v>399</v>
      </c>
      <c r="C11" s="1" t="s">
        <v>7</v>
      </c>
      <c r="D11" s="6">
        <v>9</v>
      </c>
      <c r="E11" s="6">
        <v>5000</v>
      </c>
      <c r="F11" s="12" t="s">
        <v>7</v>
      </c>
      <c r="G11" s="1" t="s">
        <v>390</v>
      </c>
      <c r="H11" s="6">
        <v>1</v>
      </c>
      <c r="J11" s="3" t="s">
        <v>400</v>
      </c>
    </row>
    <row r="12" spans="1:10" ht="18.75" customHeight="1">
      <c r="A12" s="6">
        <v>11</v>
      </c>
      <c r="B12" s="3" t="s">
        <v>401</v>
      </c>
      <c r="C12" s="1" t="s">
        <v>7</v>
      </c>
      <c r="D12" s="6">
        <v>15</v>
      </c>
      <c r="E12" s="6">
        <v>5000</v>
      </c>
      <c r="F12" s="12" t="s">
        <v>7</v>
      </c>
      <c r="G12" s="1" t="s">
        <v>390</v>
      </c>
      <c r="H12" s="6">
        <v>1</v>
      </c>
    </row>
    <row r="13" spans="1:10" ht="18.75" customHeight="1">
      <c r="A13" s="6">
        <v>12</v>
      </c>
      <c r="B13" s="3" t="s">
        <v>402</v>
      </c>
      <c r="C13" s="1" t="s">
        <v>7</v>
      </c>
      <c r="D13" s="6">
        <v>10</v>
      </c>
      <c r="E13" s="6">
        <v>5000</v>
      </c>
      <c r="F13" s="12" t="s">
        <v>7</v>
      </c>
      <c r="G13" s="1" t="s">
        <v>390</v>
      </c>
      <c r="H13" s="6">
        <v>1</v>
      </c>
      <c r="J13" s="3" t="s">
        <v>403</v>
      </c>
    </row>
    <row r="14" spans="1:10" ht="18.75" customHeight="1">
      <c r="A14" s="6">
        <v>13</v>
      </c>
      <c r="B14" s="3" t="s">
        <v>404</v>
      </c>
      <c r="C14" s="1" t="s">
        <v>7</v>
      </c>
      <c r="D14" s="6">
        <v>9</v>
      </c>
      <c r="E14" s="6">
        <v>5000</v>
      </c>
      <c r="F14" s="12" t="s">
        <v>7</v>
      </c>
      <c r="G14" s="1" t="s">
        <v>390</v>
      </c>
      <c r="H14" s="6">
        <v>1</v>
      </c>
      <c r="J14" s="3" t="s">
        <v>400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9"/>
  <sheetViews>
    <sheetView workbookViewId="0"/>
  </sheetViews>
  <sheetFormatPr defaultRowHeight="14.45"/>
  <cols>
    <col min="1" max="1" width="13.625" style="9" bestFit="1" customWidth="1"/>
    <col min="2" max="2" width="18.125" bestFit="1" customWidth="1"/>
    <col min="3" max="3" width="11.875" bestFit="1" customWidth="1"/>
    <col min="4" max="4" width="52.125" bestFit="1" customWidth="1"/>
  </cols>
  <sheetData>
    <row r="1" spans="1:4" ht="18.75" customHeight="1">
      <c r="A1" s="5" t="s">
        <v>385</v>
      </c>
      <c r="B1" s="1" t="s">
        <v>405</v>
      </c>
      <c r="C1" s="1" t="s">
        <v>406</v>
      </c>
    </row>
    <row r="2" spans="1:4" ht="18.75" customHeight="1">
      <c r="A2" s="6">
        <v>1</v>
      </c>
      <c r="B2" s="1" t="s">
        <v>29</v>
      </c>
    </row>
    <row r="3" spans="1:4" ht="18.75" customHeight="1">
      <c r="A3" s="6">
        <v>2</v>
      </c>
      <c r="B3" s="1" t="s">
        <v>30</v>
      </c>
    </row>
    <row r="4" spans="1:4" ht="18.75" customHeight="1">
      <c r="A4" s="6">
        <v>3</v>
      </c>
      <c r="B4" s="1" t="s">
        <v>31</v>
      </c>
    </row>
    <row r="5" spans="1:4" ht="18.75" customHeight="1">
      <c r="A5" s="6">
        <v>4</v>
      </c>
      <c r="B5" s="1" t="s">
        <v>32</v>
      </c>
    </row>
    <row r="6" spans="1:4" ht="18.75" customHeight="1">
      <c r="A6" s="6">
        <v>5</v>
      </c>
      <c r="B6" s="1" t="s">
        <v>407</v>
      </c>
    </row>
    <row r="7" spans="1:4" ht="18.75" customHeight="1">
      <c r="A7" s="6">
        <v>6</v>
      </c>
      <c r="B7" s="7" t="s">
        <v>408</v>
      </c>
    </row>
    <row r="8" spans="1:4" ht="18.75" customHeight="1">
      <c r="A8" s="6">
        <v>7</v>
      </c>
      <c r="B8" s="8" t="s">
        <v>409</v>
      </c>
    </row>
    <row r="9" spans="1:4" ht="18.75" customHeight="1">
      <c r="A9" s="6">
        <v>8</v>
      </c>
      <c r="B9" s="7" t="s">
        <v>410</v>
      </c>
    </row>
    <row r="10" spans="1:4" ht="18.75" customHeight="1">
      <c r="A10" s="6">
        <v>9</v>
      </c>
      <c r="B10" s="3" t="s">
        <v>403</v>
      </c>
      <c r="D10" s="3" t="s">
        <v>411</v>
      </c>
    </row>
    <row r="11" spans="1:4" ht="18.75" customHeight="1">
      <c r="A11" s="6">
        <v>10</v>
      </c>
      <c r="B11" s="3" t="s">
        <v>412</v>
      </c>
      <c r="D11" s="3" t="s">
        <v>413</v>
      </c>
    </row>
    <row r="12" spans="1:4" ht="18.75" customHeight="1">
      <c r="A12" s="6">
        <v>11</v>
      </c>
      <c r="B12" s="7" t="s">
        <v>414</v>
      </c>
    </row>
    <row r="13" spans="1:4" ht="18.75" customHeight="1">
      <c r="A13" s="6">
        <v>12</v>
      </c>
      <c r="B13" s="7" t="s">
        <v>415</v>
      </c>
    </row>
    <row r="14" spans="1:4" ht="18.75" customHeight="1">
      <c r="A14" s="6">
        <v>13</v>
      </c>
      <c r="B14" s="7" t="s">
        <v>416</v>
      </c>
    </row>
    <row r="15" spans="1:4" ht="18.75" customHeight="1">
      <c r="A15" s="6">
        <v>14</v>
      </c>
      <c r="B15" s="7" t="s">
        <v>417</v>
      </c>
    </row>
    <row r="16" spans="1:4" ht="18.75" customHeight="1">
      <c r="A16" s="6">
        <v>15</v>
      </c>
      <c r="B16" s="3" t="s">
        <v>401</v>
      </c>
    </row>
    <row r="17" spans="1:2" ht="18.75" customHeight="1">
      <c r="A17" s="6">
        <v>16</v>
      </c>
      <c r="B17" s="3" t="s">
        <v>391</v>
      </c>
    </row>
    <row r="18" spans="1:2" ht="18.75" customHeight="1">
      <c r="B18" s="3"/>
    </row>
    <row r="19" spans="1:2" ht="18.75" customHeight="1">
      <c r="B19" s="3"/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F2"/>
  <sheetViews>
    <sheetView workbookViewId="0">
      <selection activeCell="B13" sqref="B13"/>
    </sheetView>
  </sheetViews>
  <sheetFormatPr defaultRowHeight="14.45"/>
  <cols>
    <col min="1" max="1" width="13.625" bestFit="1" customWidth="1"/>
    <col min="2" max="2" width="32.625" bestFit="1" customWidth="1"/>
    <col min="3" max="3" width="13.625" bestFit="1" customWidth="1"/>
    <col min="4" max="4" width="17.25" bestFit="1" customWidth="1"/>
    <col min="5" max="5" width="21.625" bestFit="1" customWidth="1"/>
    <col min="6" max="6" width="20.625" style="4" bestFit="1" customWidth="1"/>
  </cols>
  <sheetData>
    <row r="1" spans="1:6" ht="18.75" customHeight="1">
      <c r="A1" s="1" t="s">
        <v>418</v>
      </c>
      <c r="B1" s="1" t="s">
        <v>419</v>
      </c>
      <c r="C1" s="1" t="s">
        <v>420</v>
      </c>
      <c r="D1" s="1" t="s">
        <v>421</v>
      </c>
      <c r="E1" s="1" t="s">
        <v>422</v>
      </c>
      <c r="F1" s="2" t="s">
        <v>423</v>
      </c>
    </row>
    <row r="2" spans="1:6" ht="95.25" customHeight="1">
      <c r="A2" s="3" t="s">
        <v>424</v>
      </c>
      <c r="B2" s="3" t="s">
        <v>425</v>
      </c>
      <c r="C2" s="1" t="s">
        <v>426</v>
      </c>
      <c r="D2" s="1" t="s">
        <v>427</v>
      </c>
      <c r="E2" s="1" t="s">
        <v>428</v>
      </c>
      <c r="F2" s="2" t="s">
        <v>429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7D409CEECF4A817F9E6F5E594B2C" ma:contentTypeVersion="12" ma:contentTypeDescription="Create a new document." ma:contentTypeScope="" ma:versionID="37f143e3fdc1fa3b63685f0ff13c642a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059c814d4ac4e7b6ff94b32f8c089d49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ABE2AD-2D2A-425E-8313-262F85BFD08B}"/>
</file>

<file path=customXml/itemProps2.xml><?xml version="1.0" encoding="utf-8"?>
<ds:datastoreItem xmlns:ds="http://schemas.openxmlformats.org/officeDocument/2006/customXml" ds:itemID="{2769E45A-0C18-42E3-91D2-BD0418FCD1F3}"/>
</file>

<file path=customXml/itemProps3.xml><?xml version="1.0" encoding="utf-8"?>
<ds:datastoreItem xmlns:ds="http://schemas.openxmlformats.org/officeDocument/2006/customXml" ds:itemID="{A0A1BF6F-9F16-4D80-A70F-2EACEAB67F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Shaohang Cui</cp:lastModifiedBy>
  <cp:revision/>
  <dcterms:created xsi:type="dcterms:W3CDTF">2026-01-23T08:01:51Z</dcterms:created>
  <dcterms:modified xsi:type="dcterms:W3CDTF">2026-01-27T10:12:42Z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0x0101002BBB7D409CEECF4A817F9E6F5E594B2C</vt:lpwstr>
  </property>
  <property fmtid="{D5CDD505-2E9C-101B-9397-08002B2CF9AE}" pid="3" name="MediaServiceImageTags">
    <vt:lpwstr/>
  </property>
</Properties>
</file>