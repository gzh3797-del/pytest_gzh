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codeName="ThisWorkbook"/>
  <mc:AlternateContent xmlns:mc="http://schemas.openxmlformats.org/markup-compatibility/2006">
    <mc:Choice Requires="x15">
      <x15ac:absPath xmlns:x15ac="http://schemas.microsoft.com/office/spreadsheetml/2010/11/ac" url="E:\RPP\"/>
    </mc:Choice>
  </mc:AlternateContent>
  <xr:revisionPtr revIDLastSave="0" documentId="8_{AF42C96E-8F6A-4968-B5AF-26926862E8AF}" xr6:coauthVersionLast="47" xr6:coauthVersionMax="47" xr10:uidLastSave="{00000000-0000-0000-0000-000000000000}"/>
  <bookViews>
    <workbookView xWindow="-120" yWindow="-120" windowWidth="29040" windowHeight="15720" tabRatio="952" firstSheet="1" activeTab="1" xr2:uid="{00000000-000D-0000-FFFF-FFFF00000000}"/>
  </bookViews>
  <sheets>
    <sheet name="Version history" sheetId="9" r:id="rId1"/>
    <sheet name="Overview" sheetId="72" r:id="rId2"/>
    <sheet name="Basic Settings" sheetId="65" r:id="rId3"/>
    <sheet name="Wring Check" sheetId="66" r:id="rId4"/>
    <sheet name="HS(Half Cycle)" sheetId="58" r:id="rId5"/>
    <sheet name="Energy（1s）" sheetId="64" r:id="rId6"/>
    <sheet name="Demand" sheetId="67" r:id="rId7"/>
    <sheet name="10|12 Cycle" sheetId="60" r:id="rId8"/>
    <sheet name="150|180 Cycle" sheetId="61" r:id="rId9"/>
    <sheet name="10 Min " sheetId="62" r:id="rId10"/>
    <sheet name="2 Hr" sheetId="63" r:id="rId11"/>
    <sheet name="10S Freq" sheetId="29" r:id="rId12"/>
    <sheet name="MaxMin" sheetId="68" r:id="rId13"/>
    <sheet name="Max Demand" sheetId="69" r:id="rId14"/>
    <sheet name="Waveform|PQ Event" sheetId="17" r:id="rId15"/>
    <sheet name="Information" sheetId="18" r:id="rId16"/>
    <sheet name="DeviceStatus" sheetId="74" r:id="rId17"/>
    <sheet name="AlarmStatus" sheetId="73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7" l="1"/>
  <c r="B24" i="17"/>
  <c r="E23" i="17"/>
  <c r="C23" i="17"/>
  <c r="B23" i="17"/>
  <c r="D3" i="17"/>
  <c r="B3" i="17"/>
  <c r="E2" i="17"/>
  <c r="C2" i="17"/>
  <c r="B2" i="17"/>
  <c r="D4" i="74"/>
  <c r="D3" i="74"/>
  <c r="B3" i="74"/>
  <c r="E2" i="74"/>
  <c r="C2" i="74"/>
  <c r="B2" i="74"/>
  <c r="D15" i="18"/>
  <c r="D14" i="18"/>
  <c r="B14" i="18"/>
  <c r="E13" i="18"/>
  <c r="C13" i="18"/>
  <c r="B13" i="18"/>
  <c r="D4" i="18"/>
  <c r="E4" i="18"/>
  <c r="D3" i="18"/>
  <c r="B3" i="18"/>
  <c r="E2" i="18"/>
  <c r="C2" i="18"/>
  <c r="B2" i="18"/>
  <c r="D3" i="69"/>
  <c r="B3" i="69"/>
  <c r="E2" i="69"/>
  <c r="B2" i="69"/>
  <c r="D63" i="63"/>
  <c r="E63" i="63"/>
  <c r="D64" i="63"/>
  <c r="E64" i="63"/>
  <c r="D63" i="62"/>
  <c r="E63" i="62"/>
  <c r="D64" i="62"/>
  <c r="E64" i="62"/>
  <c r="D65" i="62"/>
  <c r="E65" i="62"/>
  <c r="D66" i="62"/>
  <c r="D63" i="61"/>
  <c r="E63" i="61"/>
  <c r="D64" i="61"/>
  <c r="E64" i="61"/>
  <c r="D65" i="61"/>
  <c r="E65" i="61"/>
  <c r="D66" i="61"/>
  <c r="E66" i="61"/>
  <c r="D67" i="61"/>
  <c r="E67" i="61"/>
  <c r="D68" i="61"/>
  <c r="E68" i="61"/>
  <c r="D69" i="61"/>
  <c r="E69" i="61"/>
  <c r="D70" i="61"/>
  <c r="E70" i="61"/>
  <c r="D63" i="60"/>
  <c r="E63" i="60"/>
  <c r="D64" i="60"/>
  <c r="E64" i="60"/>
  <c r="D65" i="60"/>
  <c r="E65" i="60"/>
  <c r="D30" i="67"/>
  <c r="E30" i="67"/>
  <c r="D31" i="67"/>
  <c r="E31" i="67"/>
  <c r="D32" i="67"/>
  <c r="E32" i="67"/>
  <c r="D33" i="67"/>
  <c r="E33" i="67"/>
  <c r="D34" i="67"/>
  <c r="E34" i="67"/>
  <c r="D35" i="67"/>
  <c r="E35" i="67"/>
  <c r="D36" i="67"/>
  <c r="E36" i="67"/>
  <c r="D37" i="67"/>
  <c r="E37" i="67"/>
  <c r="D38" i="67"/>
  <c r="E38" i="67"/>
  <c r="D39" i="67"/>
  <c r="E39" i="67"/>
  <c r="D40" i="67"/>
  <c r="E40" i="67"/>
  <c r="D41" i="67"/>
  <c r="E41" i="67"/>
  <c r="D42" i="67"/>
  <c r="E42" i="67"/>
  <c r="D43" i="67"/>
  <c r="E43" i="67"/>
  <c r="D38" i="64"/>
  <c r="D39" i="64"/>
  <c r="D111" i="68"/>
  <c r="E110" i="68"/>
  <c r="C110" i="68"/>
  <c r="B110" i="68"/>
  <c r="D3" i="68"/>
  <c r="E2" i="68"/>
  <c r="B2" i="68"/>
  <c r="D3" i="29"/>
  <c r="B3" i="29"/>
  <c r="E2" i="29"/>
  <c r="C2" i="29"/>
  <c r="B2" i="29"/>
  <c r="D3" i="63"/>
  <c r="B3" i="63"/>
  <c r="E2" i="63"/>
  <c r="C2" i="63"/>
  <c r="B2" i="63"/>
  <c r="D3" i="62"/>
  <c r="E2" i="62"/>
  <c r="C2" i="62"/>
  <c r="B2" i="62"/>
  <c r="D3" i="61"/>
  <c r="B3" i="61"/>
  <c r="E2" i="61"/>
  <c r="B2" i="61"/>
  <c r="D3" i="60"/>
  <c r="B3" i="60"/>
  <c r="E2" i="60"/>
  <c r="C2" i="60"/>
  <c r="B2" i="60"/>
  <c r="D3" i="67"/>
  <c r="E2" i="67"/>
  <c r="B2" i="67"/>
  <c r="D3" i="64"/>
  <c r="E2" i="64"/>
  <c r="C2" i="64"/>
  <c r="B2" i="64"/>
  <c r="J13" i="66"/>
  <c r="E24" i="17" l="1"/>
  <c r="C24" i="17" s="1"/>
  <c r="D4" i="17"/>
  <c r="B4" i="17"/>
  <c r="E3" i="17"/>
  <c r="C3" i="17" s="1"/>
  <c r="B4" i="74"/>
  <c r="E4" i="74"/>
  <c r="C4" i="74" s="1"/>
  <c r="D5" i="74"/>
  <c r="E3" i="74"/>
  <c r="C3" i="74" s="1"/>
  <c r="D16" i="18"/>
  <c r="B15" i="18"/>
  <c r="E15" i="18"/>
  <c r="C15" i="18" s="1"/>
  <c r="E14" i="18"/>
  <c r="C14" i="18" s="1"/>
  <c r="B4" i="18"/>
  <c r="C4" i="18"/>
  <c r="D5" i="18"/>
  <c r="C2" i="69"/>
  <c r="E3" i="18"/>
  <c r="C3" i="18" s="1"/>
  <c r="D4" i="69"/>
  <c r="E3" i="69"/>
  <c r="C3" i="69" s="1"/>
  <c r="D4" i="29"/>
  <c r="B63" i="63"/>
  <c r="C63" i="63"/>
  <c r="B64" i="63"/>
  <c r="C64" i="63"/>
  <c r="D65" i="63"/>
  <c r="E66" i="62"/>
  <c r="C66" i="62" s="1"/>
  <c r="D67" i="62"/>
  <c r="B63" i="62"/>
  <c r="C63" i="62"/>
  <c r="B64" i="62"/>
  <c r="C64" i="62"/>
  <c r="B65" i="62"/>
  <c r="C65" i="62"/>
  <c r="B66" i="62"/>
  <c r="D4" i="62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D4" i="61"/>
  <c r="B63" i="60"/>
  <c r="C63" i="60"/>
  <c r="B64" i="60"/>
  <c r="C64" i="60"/>
  <c r="B65" i="60"/>
  <c r="C65" i="60"/>
  <c r="D4" i="60"/>
  <c r="B30" i="67"/>
  <c r="C30" i="67"/>
  <c r="B31" i="67"/>
  <c r="C31" i="67"/>
  <c r="B32" i="67"/>
  <c r="C32" i="67"/>
  <c r="B33" i="67"/>
  <c r="C33" i="67"/>
  <c r="B34" i="67"/>
  <c r="C34" i="67"/>
  <c r="B35" i="67"/>
  <c r="C35" i="67"/>
  <c r="B36" i="67"/>
  <c r="C36" i="67"/>
  <c r="B37" i="67"/>
  <c r="C37" i="67"/>
  <c r="B38" i="67"/>
  <c r="C38" i="67"/>
  <c r="B39" i="67"/>
  <c r="C39" i="67"/>
  <c r="B40" i="67"/>
  <c r="C40" i="67"/>
  <c r="B41" i="67"/>
  <c r="C41" i="67"/>
  <c r="B42" i="67"/>
  <c r="C42" i="67"/>
  <c r="B43" i="67"/>
  <c r="C43" i="67"/>
  <c r="C2" i="67"/>
  <c r="B3" i="67"/>
  <c r="D4" i="67"/>
  <c r="E3" i="67"/>
  <c r="C3" i="67" s="1"/>
  <c r="E38" i="64"/>
  <c r="C38" i="64" s="1"/>
  <c r="E39" i="64"/>
  <c r="C39" i="64" s="1"/>
  <c r="B38" i="64"/>
  <c r="B39" i="64"/>
  <c r="B3" i="64"/>
  <c r="C2" i="68"/>
  <c r="B111" i="68"/>
  <c r="B3" i="68"/>
  <c r="D112" i="68"/>
  <c r="D4" i="68"/>
  <c r="E111" i="68"/>
  <c r="C111" i="68" s="1"/>
  <c r="E3" i="68"/>
  <c r="C3" i="68" s="1"/>
  <c r="B4" i="29"/>
  <c r="E3" i="29"/>
  <c r="C3" i="29" s="1"/>
  <c r="D4" i="63"/>
  <c r="E3" i="63"/>
  <c r="C3" i="63" s="1"/>
  <c r="B3" i="62"/>
  <c r="E3" i="62"/>
  <c r="C3" i="62" s="1"/>
  <c r="C2" i="61"/>
  <c r="E3" i="61"/>
  <c r="C3" i="61" s="1"/>
  <c r="E3" i="60"/>
  <c r="C3" i="60" s="1"/>
  <c r="D4" i="64"/>
  <c r="E3" i="64"/>
  <c r="C3" i="64" s="1"/>
  <c r="D5" i="17" l="1"/>
  <c r="E4" i="17"/>
  <c r="C4" i="17" s="1"/>
  <c r="B5" i="74"/>
  <c r="E5" i="74"/>
  <c r="C5" i="74" s="1"/>
  <c r="B16" i="18"/>
  <c r="D17" i="18"/>
  <c r="E16" i="18"/>
  <c r="C16" i="18" s="1"/>
  <c r="B5" i="18"/>
  <c r="D6" i="18"/>
  <c r="E5" i="18"/>
  <c r="C5" i="18" s="1"/>
  <c r="B4" i="69"/>
  <c r="D5" i="69"/>
  <c r="E4" i="69"/>
  <c r="C4" i="69" s="1"/>
  <c r="E4" i="29"/>
  <c r="C4" i="29" s="1"/>
  <c r="D5" i="29"/>
  <c r="B65" i="63"/>
  <c r="D66" i="63"/>
  <c r="E65" i="63"/>
  <c r="C65" i="63" s="1"/>
  <c r="B4" i="63"/>
  <c r="B67" i="62"/>
  <c r="D68" i="62"/>
  <c r="E67" i="62"/>
  <c r="C67" i="62" s="1"/>
  <c r="B4" i="62"/>
  <c r="D5" i="62"/>
  <c r="E4" i="62"/>
  <c r="C4" i="62" s="1"/>
  <c r="D5" i="61"/>
  <c r="E4" i="61"/>
  <c r="C4" i="61" s="1"/>
  <c r="B4" i="61"/>
  <c r="B4" i="60"/>
  <c r="D5" i="60"/>
  <c r="E4" i="60"/>
  <c r="C4" i="60" s="1"/>
  <c r="B4" i="67"/>
  <c r="D5" i="67"/>
  <c r="E4" i="67"/>
  <c r="C4" i="67" s="1"/>
  <c r="B4" i="64"/>
  <c r="B4" i="68"/>
  <c r="B112" i="68"/>
  <c r="E112" i="68"/>
  <c r="C112" i="68" s="1"/>
  <c r="D113" i="68"/>
  <c r="E4" i="68"/>
  <c r="C4" i="68" s="1"/>
  <c r="D5" i="68"/>
  <c r="D5" i="63"/>
  <c r="E4" i="63"/>
  <c r="C4" i="63" s="1"/>
  <c r="D5" i="64"/>
  <c r="E4" i="64"/>
  <c r="C4" i="64" s="1"/>
  <c r="D4" i="58"/>
  <c r="B3" i="58"/>
  <c r="E3" i="58"/>
  <c r="C3" i="58" s="1"/>
  <c r="B5" i="17" l="1"/>
  <c r="D6" i="17"/>
  <c r="E5" i="17"/>
  <c r="C5" i="17" s="1"/>
  <c r="B17" i="18"/>
  <c r="E17" i="18"/>
  <c r="C17" i="18" s="1"/>
  <c r="B6" i="18"/>
  <c r="D7" i="18"/>
  <c r="E6" i="18"/>
  <c r="C6" i="18" s="1"/>
  <c r="B5" i="69"/>
  <c r="D6" i="69"/>
  <c r="E5" i="69"/>
  <c r="C5" i="69" s="1"/>
  <c r="B5" i="29"/>
  <c r="D6" i="29"/>
  <c r="E5" i="29"/>
  <c r="C5" i="29" s="1"/>
  <c r="B66" i="63"/>
  <c r="D67" i="63"/>
  <c r="E66" i="63"/>
  <c r="C66" i="63" s="1"/>
  <c r="B68" i="62"/>
  <c r="D69" i="62"/>
  <c r="E68" i="62"/>
  <c r="C68" i="62" s="1"/>
  <c r="B5" i="62"/>
  <c r="E5" i="62"/>
  <c r="C5" i="62" s="1"/>
  <c r="D6" i="62"/>
  <c r="B5" i="61"/>
  <c r="D6" i="61"/>
  <c r="E5" i="61"/>
  <c r="C5" i="61" s="1"/>
  <c r="B5" i="60"/>
  <c r="D6" i="60"/>
  <c r="E5" i="60"/>
  <c r="C5" i="60" s="1"/>
  <c r="B5" i="67"/>
  <c r="D6" i="67"/>
  <c r="E5" i="67"/>
  <c r="C5" i="67" s="1"/>
  <c r="B113" i="68"/>
  <c r="D114" i="68"/>
  <c r="E113" i="68"/>
  <c r="C113" i="68" s="1"/>
  <c r="B5" i="68"/>
  <c r="D6" i="68"/>
  <c r="E5" i="68"/>
  <c r="C5" i="68" s="1"/>
  <c r="B5" i="63"/>
  <c r="D6" i="63"/>
  <c r="E5" i="63"/>
  <c r="C5" i="63" s="1"/>
  <c r="B5" i="64"/>
  <c r="D6" i="64"/>
  <c r="E5" i="64"/>
  <c r="C5" i="64" s="1"/>
  <c r="E4" i="58"/>
  <c r="C4" i="58" s="1"/>
  <c r="B4" i="58"/>
  <c r="D5" i="58"/>
  <c r="B6" i="17" l="1"/>
  <c r="D7" i="17"/>
  <c r="E6" i="17"/>
  <c r="C6" i="17" s="1"/>
  <c r="B7" i="18"/>
  <c r="D8" i="18"/>
  <c r="E7" i="18"/>
  <c r="C7" i="18" s="1"/>
  <c r="B6" i="69"/>
  <c r="D7" i="69"/>
  <c r="E6" i="69"/>
  <c r="C6" i="69" s="1"/>
  <c r="B6" i="29"/>
  <c r="E6" i="29"/>
  <c r="C6" i="29" s="1"/>
  <c r="D7" i="29"/>
  <c r="B67" i="63"/>
  <c r="D68" i="63"/>
  <c r="E67" i="63"/>
  <c r="C67" i="63" s="1"/>
  <c r="B69" i="62"/>
  <c r="D70" i="62"/>
  <c r="E69" i="62"/>
  <c r="C69" i="62" s="1"/>
  <c r="B6" i="62"/>
  <c r="E6" i="62"/>
  <c r="C6" i="62" s="1"/>
  <c r="D7" i="62"/>
  <c r="B6" i="61"/>
  <c r="D7" i="61"/>
  <c r="E6" i="61"/>
  <c r="C6" i="61" s="1"/>
  <c r="B6" i="60"/>
  <c r="D7" i="60"/>
  <c r="E6" i="60"/>
  <c r="C6" i="60" s="1"/>
  <c r="D7" i="67"/>
  <c r="B6" i="67"/>
  <c r="E6" i="67"/>
  <c r="C6" i="67" s="1"/>
  <c r="B114" i="68"/>
  <c r="D115" i="68"/>
  <c r="E114" i="68"/>
  <c r="C114" i="68" s="1"/>
  <c r="B6" i="68"/>
  <c r="E6" i="68"/>
  <c r="C6" i="68" s="1"/>
  <c r="D7" i="68"/>
  <c r="B6" i="63"/>
  <c r="D7" i="63"/>
  <c r="E6" i="63"/>
  <c r="C6" i="63" s="1"/>
  <c r="B6" i="64"/>
  <c r="D7" i="64"/>
  <c r="E6" i="64"/>
  <c r="C6" i="64" s="1"/>
  <c r="E5" i="58"/>
  <c r="C5" i="58" s="1"/>
  <c r="B5" i="58"/>
  <c r="D6" i="58"/>
  <c r="B7" i="17" l="1"/>
  <c r="D8" i="17"/>
  <c r="E7" i="17"/>
  <c r="C7" i="17" s="1"/>
  <c r="B8" i="18"/>
  <c r="D9" i="18"/>
  <c r="E8" i="18"/>
  <c r="C8" i="18" s="1"/>
  <c r="D8" i="69"/>
  <c r="B7" i="69"/>
  <c r="E7" i="69"/>
  <c r="C7" i="69" s="1"/>
  <c r="E7" i="29"/>
  <c r="C7" i="29" s="1"/>
  <c r="B7" i="29"/>
  <c r="D8" i="29"/>
  <c r="B68" i="63"/>
  <c r="D69" i="63"/>
  <c r="E68" i="63"/>
  <c r="C68" i="63" s="1"/>
  <c r="B70" i="62"/>
  <c r="D71" i="62"/>
  <c r="E70" i="62"/>
  <c r="C70" i="62" s="1"/>
  <c r="B7" i="62"/>
  <c r="E7" i="62"/>
  <c r="C7" i="62" s="1"/>
  <c r="D8" i="62"/>
  <c r="B7" i="61"/>
  <c r="D8" i="61"/>
  <c r="E7" i="61"/>
  <c r="C7" i="61" s="1"/>
  <c r="B7" i="60"/>
  <c r="D8" i="60"/>
  <c r="E7" i="60"/>
  <c r="C7" i="60" s="1"/>
  <c r="E7" i="67"/>
  <c r="C7" i="67" s="1"/>
  <c r="D8" i="67"/>
  <c r="B7" i="67"/>
  <c r="B115" i="68"/>
  <c r="D116" i="68"/>
  <c r="E115" i="68"/>
  <c r="C115" i="68" s="1"/>
  <c r="B7" i="68"/>
  <c r="D8" i="68"/>
  <c r="E7" i="68"/>
  <c r="C7" i="68" s="1"/>
  <c r="B7" i="63"/>
  <c r="D8" i="63"/>
  <c r="E7" i="63"/>
  <c r="C7" i="63" s="1"/>
  <c r="B7" i="64"/>
  <c r="D8" i="64"/>
  <c r="E7" i="64"/>
  <c r="C7" i="64" s="1"/>
  <c r="E6" i="58"/>
  <c r="C6" i="58" s="1"/>
  <c r="B6" i="58"/>
  <c r="D7" i="58"/>
  <c r="B8" i="17" l="1"/>
  <c r="D9" i="17"/>
  <c r="E8" i="17"/>
  <c r="C8" i="17" s="1"/>
  <c r="B9" i="18"/>
  <c r="D10" i="18"/>
  <c r="E9" i="18"/>
  <c r="C9" i="18" s="1"/>
  <c r="E8" i="69"/>
  <c r="C8" i="69" s="1"/>
  <c r="D9" i="69"/>
  <c r="B8" i="69"/>
  <c r="E8" i="29"/>
  <c r="C8" i="29" s="1"/>
  <c r="B8" i="29"/>
  <c r="D9" i="29"/>
  <c r="B69" i="63"/>
  <c r="D70" i="63"/>
  <c r="E69" i="63"/>
  <c r="C69" i="63" s="1"/>
  <c r="B71" i="62"/>
  <c r="D72" i="62"/>
  <c r="E71" i="62"/>
  <c r="C71" i="62" s="1"/>
  <c r="B8" i="62"/>
  <c r="D9" i="62"/>
  <c r="E8" i="62"/>
  <c r="C8" i="62" s="1"/>
  <c r="B8" i="61"/>
  <c r="E8" i="61"/>
  <c r="C8" i="61" s="1"/>
  <c r="D9" i="61"/>
  <c r="B8" i="60"/>
  <c r="D9" i="60"/>
  <c r="E8" i="60"/>
  <c r="C8" i="60" s="1"/>
  <c r="E8" i="67"/>
  <c r="C8" i="67" s="1"/>
  <c r="D9" i="67"/>
  <c r="B8" i="67"/>
  <c r="B116" i="68"/>
  <c r="D117" i="68"/>
  <c r="E116" i="68"/>
  <c r="C116" i="68" s="1"/>
  <c r="B8" i="68"/>
  <c r="E8" i="68"/>
  <c r="C8" i="68" s="1"/>
  <c r="D9" i="68"/>
  <c r="B8" i="63"/>
  <c r="D9" i="63"/>
  <c r="E8" i="63"/>
  <c r="C8" i="63" s="1"/>
  <c r="D9" i="64"/>
  <c r="B8" i="64"/>
  <c r="E8" i="64"/>
  <c r="C8" i="64" s="1"/>
  <c r="E7" i="58"/>
  <c r="C7" i="58" s="1"/>
  <c r="B7" i="58"/>
  <c r="D8" i="58"/>
  <c r="B9" i="17" l="1"/>
  <c r="D10" i="17"/>
  <c r="E9" i="17"/>
  <c r="C9" i="17" s="1"/>
  <c r="B10" i="18"/>
  <c r="E10" i="18"/>
  <c r="C10" i="18" s="1"/>
  <c r="E9" i="69"/>
  <c r="C9" i="69" s="1"/>
  <c r="B9" i="69"/>
  <c r="D10" i="69"/>
  <c r="E9" i="29"/>
  <c r="C9" i="29" s="1"/>
  <c r="B9" i="29"/>
  <c r="B70" i="63"/>
  <c r="E70" i="63"/>
  <c r="C70" i="63" s="1"/>
  <c r="D71" i="63"/>
  <c r="B72" i="62"/>
  <c r="E72" i="62"/>
  <c r="C72" i="62" s="1"/>
  <c r="B9" i="62"/>
  <c r="D10" i="62"/>
  <c r="E9" i="62"/>
  <c r="C9" i="62" s="1"/>
  <c r="D10" i="61"/>
  <c r="B9" i="61"/>
  <c r="E9" i="61"/>
  <c r="C9" i="61" s="1"/>
  <c r="D10" i="60"/>
  <c r="B9" i="60"/>
  <c r="E9" i="60"/>
  <c r="C9" i="60" s="1"/>
  <c r="E9" i="67"/>
  <c r="C9" i="67" s="1"/>
  <c r="D10" i="67"/>
  <c r="B9" i="67"/>
  <c r="D118" i="68"/>
  <c r="E117" i="68"/>
  <c r="C117" i="68" s="1"/>
  <c r="B117" i="68"/>
  <c r="D10" i="68"/>
  <c r="E9" i="68"/>
  <c r="C9" i="68" s="1"/>
  <c r="B9" i="68"/>
  <c r="B9" i="63"/>
  <c r="E9" i="63"/>
  <c r="C9" i="63" s="1"/>
  <c r="D10" i="63"/>
  <c r="E9" i="64"/>
  <c r="C9" i="64" s="1"/>
  <c r="D10" i="64"/>
  <c r="B9" i="64"/>
  <c r="E8" i="58"/>
  <c r="C8" i="58" s="1"/>
  <c r="B8" i="58"/>
  <c r="D9" i="58"/>
  <c r="B10" i="17" l="1"/>
  <c r="D11" i="17"/>
  <c r="E10" i="17"/>
  <c r="C10" i="17" s="1"/>
  <c r="E10" i="69"/>
  <c r="C10" i="69" s="1"/>
  <c r="B10" i="69"/>
  <c r="D11" i="69"/>
  <c r="B71" i="63"/>
  <c r="D72" i="63"/>
  <c r="E71" i="63"/>
  <c r="C71" i="63" s="1"/>
  <c r="B10" i="62"/>
  <c r="D11" i="62"/>
  <c r="E10" i="62"/>
  <c r="C10" i="62" s="1"/>
  <c r="E10" i="61"/>
  <c r="C10" i="61" s="1"/>
  <c r="D11" i="61"/>
  <c r="B10" i="61"/>
  <c r="D11" i="60"/>
  <c r="B10" i="60"/>
  <c r="E10" i="60"/>
  <c r="C10" i="60" s="1"/>
  <c r="E10" i="67"/>
  <c r="C10" i="67" s="1"/>
  <c r="D11" i="67"/>
  <c r="B10" i="67"/>
  <c r="E118" i="68"/>
  <c r="C118" i="68" s="1"/>
  <c r="B118" i="68"/>
  <c r="D119" i="68"/>
  <c r="E10" i="68"/>
  <c r="C10" i="68" s="1"/>
  <c r="D11" i="68"/>
  <c r="B10" i="68"/>
  <c r="B10" i="63"/>
  <c r="E10" i="63"/>
  <c r="C10" i="63" s="1"/>
  <c r="D11" i="63"/>
  <c r="E10" i="64"/>
  <c r="C10" i="64" s="1"/>
  <c r="D11" i="64"/>
  <c r="B10" i="64"/>
  <c r="E9" i="58"/>
  <c r="C9" i="58" s="1"/>
  <c r="B9" i="58"/>
  <c r="D10" i="58"/>
  <c r="B11" i="17" l="1"/>
  <c r="D12" i="17"/>
  <c r="E11" i="17"/>
  <c r="C11" i="17" s="1"/>
  <c r="E11" i="69"/>
  <c r="C11" i="69" s="1"/>
  <c r="D12" i="69"/>
  <c r="B11" i="69"/>
  <c r="B72" i="63"/>
  <c r="E72" i="63"/>
  <c r="C72" i="63" s="1"/>
  <c r="B11" i="62"/>
  <c r="E11" i="62"/>
  <c r="C11" i="62" s="1"/>
  <c r="D12" i="62"/>
  <c r="E11" i="61"/>
  <c r="C11" i="61" s="1"/>
  <c r="D12" i="61"/>
  <c r="B11" i="61"/>
  <c r="B11" i="60"/>
  <c r="E11" i="60"/>
  <c r="C11" i="60" s="1"/>
  <c r="D12" i="60"/>
  <c r="E11" i="67"/>
  <c r="C11" i="67" s="1"/>
  <c r="D12" i="67"/>
  <c r="B11" i="67"/>
  <c r="E119" i="68"/>
  <c r="C119" i="68" s="1"/>
  <c r="D120" i="68"/>
  <c r="B119" i="68"/>
  <c r="B11" i="68"/>
  <c r="E11" i="68"/>
  <c r="C11" i="68" s="1"/>
  <c r="D12" i="68"/>
  <c r="B11" i="63"/>
  <c r="E11" i="63"/>
  <c r="C11" i="63" s="1"/>
  <c r="D12" i="63"/>
  <c r="D12" i="64"/>
  <c r="E11" i="64"/>
  <c r="C11" i="64" s="1"/>
  <c r="B11" i="64"/>
  <c r="E10" i="58"/>
  <c r="C10" i="58" s="1"/>
  <c r="B10" i="58"/>
  <c r="D11" i="58"/>
  <c r="B12" i="17" l="1"/>
  <c r="D13" i="17"/>
  <c r="E12" i="17"/>
  <c r="C12" i="17" s="1"/>
  <c r="E12" i="69"/>
  <c r="C12" i="69" s="1"/>
  <c r="D13" i="69"/>
  <c r="B12" i="69"/>
  <c r="B12" i="62"/>
  <c r="E12" i="62"/>
  <c r="C12" i="62" s="1"/>
  <c r="D13" i="62"/>
  <c r="E12" i="61"/>
  <c r="C12" i="61" s="1"/>
  <c r="D13" i="61"/>
  <c r="B12" i="61"/>
  <c r="E12" i="60"/>
  <c r="C12" i="60" s="1"/>
  <c r="D13" i="60"/>
  <c r="B12" i="60"/>
  <c r="E12" i="67"/>
  <c r="C12" i="67" s="1"/>
  <c r="D13" i="67"/>
  <c r="B12" i="67"/>
  <c r="E120" i="68"/>
  <c r="C120" i="68" s="1"/>
  <c r="D121" i="68"/>
  <c r="B120" i="68"/>
  <c r="E12" i="68"/>
  <c r="C12" i="68" s="1"/>
  <c r="D13" i="68"/>
  <c r="B12" i="68"/>
  <c r="B12" i="63"/>
  <c r="D13" i="63"/>
  <c r="E12" i="63"/>
  <c r="C12" i="63" s="1"/>
  <c r="E12" i="64"/>
  <c r="C12" i="64" s="1"/>
  <c r="D13" i="64"/>
  <c r="B12" i="64"/>
  <c r="E11" i="58"/>
  <c r="C11" i="58" s="1"/>
  <c r="B11" i="58"/>
  <c r="D12" i="58"/>
  <c r="B13" i="17" l="1"/>
  <c r="D14" i="17"/>
  <c r="E13" i="17"/>
  <c r="C13" i="17" s="1"/>
  <c r="E13" i="69"/>
  <c r="C13" i="69" s="1"/>
  <c r="D14" i="69"/>
  <c r="B13" i="69"/>
  <c r="B13" i="62"/>
  <c r="D14" i="62"/>
  <c r="E13" i="62"/>
  <c r="C13" i="62" s="1"/>
  <c r="E13" i="61"/>
  <c r="C13" i="61" s="1"/>
  <c r="D14" i="61"/>
  <c r="B13" i="61"/>
  <c r="E13" i="60"/>
  <c r="C13" i="60" s="1"/>
  <c r="D14" i="60"/>
  <c r="B13" i="60"/>
  <c r="B13" i="67"/>
  <c r="E13" i="67"/>
  <c r="C13" i="67" s="1"/>
  <c r="D14" i="67"/>
  <c r="E121" i="68"/>
  <c r="C121" i="68" s="1"/>
  <c r="D122" i="68"/>
  <c r="B121" i="68"/>
  <c r="E13" i="68"/>
  <c r="C13" i="68" s="1"/>
  <c r="D14" i="68"/>
  <c r="B13" i="68"/>
  <c r="B13" i="63"/>
  <c r="E13" i="63"/>
  <c r="C13" i="63" s="1"/>
  <c r="D14" i="63"/>
  <c r="E13" i="64"/>
  <c r="C13" i="64" s="1"/>
  <c r="D14" i="64"/>
  <c r="B13" i="64"/>
  <c r="E12" i="58"/>
  <c r="C12" i="58" s="1"/>
  <c r="B12" i="58"/>
  <c r="D13" i="58"/>
  <c r="B14" i="17" l="1"/>
  <c r="D15" i="17"/>
  <c r="E14" i="17"/>
  <c r="C14" i="17" s="1"/>
  <c r="E14" i="69"/>
  <c r="C14" i="69" s="1"/>
  <c r="D15" i="69"/>
  <c r="B14" i="69"/>
  <c r="B14" i="62"/>
  <c r="D15" i="62"/>
  <c r="E14" i="62"/>
  <c r="C14" i="62" s="1"/>
  <c r="B14" i="61"/>
  <c r="E14" i="61"/>
  <c r="C14" i="61" s="1"/>
  <c r="D15" i="61"/>
  <c r="E14" i="60"/>
  <c r="C14" i="60" s="1"/>
  <c r="D15" i="60"/>
  <c r="B14" i="60"/>
  <c r="E14" i="67"/>
  <c r="C14" i="67" s="1"/>
  <c r="D15" i="67"/>
  <c r="B14" i="67"/>
  <c r="E122" i="68"/>
  <c r="C122" i="68" s="1"/>
  <c r="D123" i="68"/>
  <c r="B122" i="68"/>
  <c r="E14" i="68"/>
  <c r="C14" i="68" s="1"/>
  <c r="D15" i="68"/>
  <c r="B14" i="68"/>
  <c r="B14" i="63"/>
  <c r="D15" i="63"/>
  <c r="E14" i="63"/>
  <c r="C14" i="63" s="1"/>
  <c r="B14" i="64"/>
  <c r="E14" i="64"/>
  <c r="C14" i="64" s="1"/>
  <c r="D15" i="64"/>
  <c r="E13" i="58"/>
  <c r="C13" i="58" s="1"/>
  <c r="B13" i="58"/>
  <c r="D14" i="58"/>
  <c r="B15" i="17" l="1"/>
  <c r="D16" i="17"/>
  <c r="E15" i="17"/>
  <c r="C15" i="17" s="1"/>
  <c r="E15" i="69"/>
  <c r="C15" i="69" s="1"/>
  <c r="D16" i="69"/>
  <c r="B15" i="69"/>
  <c r="B15" i="62"/>
  <c r="E15" i="62"/>
  <c r="C15" i="62" s="1"/>
  <c r="D16" i="62"/>
  <c r="D16" i="61"/>
  <c r="B15" i="61"/>
  <c r="E15" i="61"/>
  <c r="C15" i="61" s="1"/>
  <c r="E15" i="60"/>
  <c r="C15" i="60" s="1"/>
  <c r="B15" i="60"/>
  <c r="D16" i="60"/>
  <c r="E15" i="67"/>
  <c r="C15" i="67" s="1"/>
  <c r="D16" i="67"/>
  <c r="B15" i="67"/>
  <c r="D124" i="68"/>
  <c r="E123" i="68"/>
  <c r="C123" i="68" s="1"/>
  <c r="B123" i="68"/>
  <c r="E15" i="68"/>
  <c r="C15" i="68" s="1"/>
  <c r="D16" i="68"/>
  <c r="B15" i="68"/>
  <c r="B15" i="63"/>
  <c r="E15" i="63"/>
  <c r="C15" i="63" s="1"/>
  <c r="D16" i="63"/>
  <c r="E15" i="64"/>
  <c r="C15" i="64" s="1"/>
  <c r="D16" i="64"/>
  <c r="B15" i="64"/>
  <c r="E14" i="58"/>
  <c r="C14" i="58" s="1"/>
  <c r="B14" i="58"/>
  <c r="D15" i="58"/>
  <c r="B16" i="17" l="1"/>
  <c r="D17" i="17"/>
  <c r="E16" i="17"/>
  <c r="C16" i="17" s="1"/>
  <c r="D17" i="69"/>
  <c r="E16" i="69"/>
  <c r="C16" i="69" s="1"/>
  <c r="B16" i="69"/>
  <c r="D17" i="62"/>
  <c r="E16" i="62"/>
  <c r="C16" i="62" s="1"/>
  <c r="B16" i="62"/>
  <c r="E16" i="61"/>
  <c r="C16" i="61" s="1"/>
  <c r="D17" i="61"/>
  <c r="B16" i="61"/>
  <c r="D17" i="60"/>
  <c r="E16" i="60"/>
  <c r="C16" i="60" s="1"/>
  <c r="B16" i="60"/>
  <c r="E16" i="67"/>
  <c r="C16" i="67" s="1"/>
  <c r="D17" i="67"/>
  <c r="B16" i="67"/>
  <c r="D125" i="68"/>
  <c r="B124" i="68"/>
  <c r="E124" i="68"/>
  <c r="C124" i="68" s="1"/>
  <c r="E16" i="68"/>
  <c r="C16" i="68" s="1"/>
  <c r="B16" i="68"/>
  <c r="D17" i="68"/>
  <c r="D17" i="63"/>
  <c r="B16" i="63"/>
  <c r="E16" i="63"/>
  <c r="C16" i="63" s="1"/>
  <c r="E16" i="64"/>
  <c r="C16" i="64" s="1"/>
  <c r="D17" i="64"/>
  <c r="B16" i="64"/>
  <c r="E15" i="58"/>
  <c r="C15" i="58" s="1"/>
  <c r="B15" i="58"/>
  <c r="D16" i="58"/>
  <c r="B17" i="17" l="1"/>
  <c r="E17" i="17"/>
  <c r="C17" i="17" s="1"/>
  <c r="D18" i="17"/>
  <c r="B17" i="69"/>
  <c r="E17" i="69"/>
  <c r="C17" i="69" s="1"/>
  <c r="D18" i="69"/>
  <c r="E17" i="62"/>
  <c r="C17" i="62" s="1"/>
  <c r="D18" i="62"/>
  <c r="B17" i="62"/>
  <c r="E17" i="61"/>
  <c r="C17" i="61" s="1"/>
  <c r="D18" i="61"/>
  <c r="B17" i="61"/>
  <c r="E17" i="60"/>
  <c r="C17" i="60" s="1"/>
  <c r="B17" i="60"/>
  <c r="D18" i="60"/>
  <c r="B17" i="67"/>
  <c r="E17" i="67"/>
  <c r="C17" i="67" s="1"/>
  <c r="D18" i="67"/>
  <c r="E125" i="68"/>
  <c r="C125" i="68" s="1"/>
  <c r="B125" i="68"/>
  <c r="D126" i="68"/>
  <c r="E17" i="68"/>
  <c r="C17" i="68" s="1"/>
  <c r="D18" i="68"/>
  <c r="B17" i="68"/>
  <c r="E17" i="63"/>
  <c r="C17" i="63" s="1"/>
  <c r="D18" i="63"/>
  <c r="B17" i="63"/>
  <c r="E17" i="64"/>
  <c r="C17" i="64" s="1"/>
  <c r="D18" i="64"/>
  <c r="B17" i="64"/>
  <c r="E16" i="58"/>
  <c r="C16" i="58" s="1"/>
  <c r="B16" i="58"/>
  <c r="D17" i="58"/>
  <c r="B18" i="17" l="1"/>
  <c r="D19" i="17"/>
  <c r="E18" i="17"/>
  <c r="C18" i="17" s="1"/>
  <c r="E18" i="69"/>
  <c r="C18" i="69" s="1"/>
  <c r="B18" i="69"/>
  <c r="D19" i="69"/>
  <c r="E18" i="62"/>
  <c r="C18" i="62" s="1"/>
  <c r="D19" i="62"/>
  <c r="B18" i="62"/>
  <c r="E18" i="61"/>
  <c r="C18" i="61" s="1"/>
  <c r="D19" i="61"/>
  <c r="B18" i="61"/>
  <c r="E18" i="60"/>
  <c r="C18" i="60" s="1"/>
  <c r="D19" i="60"/>
  <c r="B18" i="60"/>
  <c r="E18" i="67"/>
  <c r="C18" i="67" s="1"/>
  <c r="D19" i="67"/>
  <c r="B18" i="67"/>
  <c r="E126" i="68"/>
  <c r="C126" i="68" s="1"/>
  <c r="B126" i="68"/>
  <c r="D127" i="68"/>
  <c r="E18" i="68"/>
  <c r="C18" i="68" s="1"/>
  <c r="D19" i="68"/>
  <c r="B18" i="68"/>
  <c r="D19" i="63"/>
  <c r="B18" i="63"/>
  <c r="E18" i="63"/>
  <c r="C18" i="63" s="1"/>
  <c r="D19" i="64"/>
  <c r="E18" i="64"/>
  <c r="C18" i="64" s="1"/>
  <c r="B18" i="64"/>
  <c r="E17" i="58"/>
  <c r="C17" i="58" s="1"/>
  <c r="B17" i="58"/>
  <c r="D18" i="58"/>
  <c r="B19" i="17" l="1"/>
  <c r="D20" i="17"/>
  <c r="E19" i="17"/>
  <c r="C19" i="17" s="1"/>
  <c r="D20" i="69"/>
  <c r="B19" i="69"/>
  <c r="E19" i="69"/>
  <c r="C19" i="69" s="1"/>
  <c r="E19" i="62"/>
  <c r="C19" i="62" s="1"/>
  <c r="D20" i="62"/>
  <c r="B19" i="62"/>
  <c r="E19" i="61"/>
  <c r="C19" i="61" s="1"/>
  <c r="D20" i="61"/>
  <c r="B19" i="61"/>
  <c r="B19" i="60"/>
  <c r="E19" i="60"/>
  <c r="C19" i="60" s="1"/>
  <c r="D20" i="60"/>
  <c r="E19" i="67"/>
  <c r="C19" i="67" s="1"/>
  <c r="B19" i="67"/>
  <c r="D20" i="67"/>
  <c r="E127" i="68"/>
  <c r="C127" i="68" s="1"/>
  <c r="D128" i="68"/>
  <c r="B127" i="68"/>
  <c r="E19" i="68"/>
  <c r="C19" i="68" s="1"/>
  <c r="D20" i="68"/>
  <c r="B19" i="68"/>
  <c r="E19" i="63"/>
  <c r="C19" i="63" s="1"/>
  <c r="D20" i="63"/>
  <c r="B19" i="63"/>
  <c r="B19" i="64"/>
  <c r="E19" i="64"/>
  <c r="C19" i="64" s="1"/>
  <c r="D20" i="64"/>
  <c r="E18" i="58"/>
  <c r="C18" i="58" s="1"/>
  <c r="B18" i="58"/>
  <c r="D19" i="58"/>
  <c r="B20" i="17" l="1"/>
  <c r="D21" i="17"/>
  <c r="E20" i="17"/>
  <c r="C20" i="17" s="1"/>
  <c r="E20" i="69"/>
  <c r="C20" i="69" s="1"/>
  <c r="D21" i="69"/>
  <c r="B20" i="69"/>
  <c r="D21" i="62"/>
  <c r="B20" i="62"/>
  <c r="E20" i="62"/>
  <c r="C20" i="62" s="1"/>
  <c r="B20" i="61"/>
  <c r="D21" i="61"/>
  <c r="E20" i="61"/>
  <c r="C20" i="61" s="1"/>
  <c r="E20" i="60"/>
  <c r="C20" i="60" s="1"/>
  <c r="D21" i="60"/>
  <c r="B20" i="60"/>
  <c r="B20" i="67"/>
  <c r="E20" i="67"/>
  <c r="C20" i="67" s="1"/>
  <c r="D21" i="67"/>
  <c r="E128" i="68"/>
  <c r="C128" i="68" s="1"/>
  <c r="B128" i="68"/>
  <c r="D129" i="68"/>
  <c r="E20" i="68"/>
  <c r="C20" i="68" s="1"/>
  <c r="D21" i="68"/>
  <c r="B20" i="68"/>
  <c r="D21" i="63"/>
  <c r="B20" i="63"/>
  <c r="E20" i="63"/>
  <c r="C20" i="63" s="1"/>
  <c r="E20" i="64"/>
  <c r="C20" i="64" s="1"/>
  <c r="D21" i="64"/>
  <c r="B20" i="64"/>
  <c r="E19" i="58"/>
  <c r="C19" i="58" s="1"/>
  <c r="B19" i="58"/>
  <c r="D20" i="58"/>
  <c r="B21" i="17" l="1"/>
  <c r="E21" i="17"/>
  <c r="C21" i="17" s="1"/>
  <c r="E21" i="69"/>
  <c r="C21" i="69" s="1"/>
  <c r="D22" i="69"/>
  <c r="B21" i="69"/>
  <c r="E21" i="62"/>
  <c r="C21" i="62" s="1"/>
  <c r="B21" i="62"/>
  <c r="D22" i="62"/>
  <c r="E21" i="61"/>
  <c r="C21" i="61" s="1"/>
  <c r="D22" i="61"/>
  <c r="B21" i="61"/>
  <c r="D22" i="60"/>
  <c r="E21" i="60"/>
  <c r="C21" i="60" s="1"/>
  <c r="B21" i="60"/>
  <c r="E21" i="67"/>
  <c r="C21" i="67" s="1"/>
  <c r="D22" i="67"/>
  <c r="B21" i="67"/>
  <c r="D130" i="68"/>
  <c r="E129" i="68"/>
  <c r="C129" i="68" s="1"/>
  <c r="B129" i="68"/>
  <c r="E21" i="68"/>
  <c r="C21" i="68" s="1"/>
  <c r="B21" i="68"/>
  <c r="D22" i="68"/>
  <c r="D22" i="63"/>
  <c r="E21" i="63"/>
  <c r="C21" i="63" s="1"/>
  <c r="B21" i="63"/>
  <c r="B21" i="64"/>
  <c r="E21" i="64"/>
  <c r="C21" i="64" s="1"/>
  <c r="D22" i="64"/>
  <c r="E20" i="58"/>
  <c r="C20" i="58" s="1"/>
  <c r="B20" i="58"/>
  <c r="D21" i="58"/>
  <c r="E22" i="69" l="1"/>
  <c r="C22" i="69" s="1"/>
  <c r="D23" i="69"/>
  <c r="B22" i="69"/>
  <c r="E22" i="62"/>
  <c r="C22" i="62" s="1"/>
  <c r="D23" i="62"/>
  <c r="B22" i="62"/>
  <c r="D23" i="61"/>
  <c r="E22" i="61"/>
  <c r="C22" i="61" s="1"/>
  <c r="B22" i="61"/>
  <c r="E22" i="60"/>
  <c r="C22" i="60" s="1"/>
  <c r="D23" i="60"/>
  <c r="B22" i="60"/>
  <c r="E22" i="67"/>
  <c r="C22" i="67" s="1"/>
  <c r="D23" i="67"/>
  <c r="B22" i="67"/>
  <c r="D131" i="68"/>
  <c r="E130" i="68"/>
  <c r="C130" i="68" s="1"/>
  <c r="B130" i="68"/>
  <c r="E22" i="68"/>
  <c r="C22" i="68" s="1"/>
  <c r="D23" i="68"/>
  <c r="B22" i="68"/>
  <c r="E22" i="63"/>
  <c r="C22" i="63" s="1"/>
  <c r="D23" i="63"/>
  <c r="B22" i="63"/>
  <c r="E22" i="64"/>
  <c r="C22" i="64" s="1"/>
  <c r="D23" i="64"/>
  <c r="B22" i="64"/>
  <c r="E21" i="58"/>
  <c r="C21" i="58" s="1"/>
  <c r="B21" i="58"/>
  <c r="D22" i="58"/>
  <c r="B23" i="69" l="1"/>
  <c r="E23" i="69"/>
  <c r="C23" i="69" s="1"/>
  <c r="D24" i="69"/>
  <c r="E23" i="62"/>
  <c r="C23" i="62" s="1"/>
  <c r="D24" i="62"/>
  <c r="B23" i="62"/>
  <c r="E23" i="61"/>
  <c r="C23" i="61" s="1"/>
  <c r="D24" i="61"/>
  <c r="B23" i="61"/>
  <c r="E23" i="60"/>
  <c r="C23" i="60" s="1"/>
  <c r="D24" i="60"/>
  <c r="B23" i="60"/>
  <c r="E23" i="67"/>
  <c r="C23" i="67" s="1"/>
  <c r="D24" i="67"/>
  <c r="B23" i="67"/>
  <c r="E131" i="68"/>
  <c r="C131" i="68" s="1"/>
  <c r="D132" i="68"/>
  <c r="B131" i="68"/>
  <c r="D24" i="68"/>
  <c r="B23" i="68"/>
  <c r="E23" i="68"/>
  <c r="C23" i="68" s="1"/>
  <c r="E23" i="63"/>
  <c r="C23" i="63" s="1"/>
  <c r="D24" i="63"/>
  <c r="B23" i="63"/>
  <c r="E23" i="64"/>
  <c r="C23" i="64" s="1"/>
  <c r="D24" i="64"/>
  <c r="B23" i="64"/>
  <c r="E22" i="58"/>
  <c r="C22" i="58" s="1"/>
  <c r="B22" i="58"/>
  <c r="D23" i="58"/>
  <c r="D25" i="69" l="1"/>
  <c r="E24" i="69"/>
  <c r="C24" i="69" s="1"/>
  <c r="B24" i="69"/>
  <c r="E24" i="62"/>
  <c r="C24" i="62" s="1"/>
  <c r="D25" i="62"/>
  <c r="B24" i="62"/>
  <c r="E24" i="61"/>
  <c r="C24" i="61" s="1"/>
  <c r="D25" i="61"/>
  <c r="B24" i="61"/>
  <c r="E24" i="60"/>
  <c r="C24" i="60" s="1"/>
  <c r="D25" i="60"/>
  <c r="B24" i="60"/>
  <c r="E24" i="67"/>
  <c r="C24" i="67" s="1"/>
  <c r="D25" i="67"/>
  <c r="B24" i="67"/>
  <c r="E132" i="68"/>
  <c r="C132" i="68" s="1"/>
  <c r="D133" i="68"/>
  <c r="B132" i="68"/>
  <c r="B24" i="68"/>
  <c r="E24" i="68"/>
  <c r="C24" i="68" s="1"/>
  <c r="D25" i="68"/>
  <c r="E24" i="63"/>
  <c r="C24" i="63" s="1"/>
  <c r="D25" i="63"/>
  <c r="B24" i="63"/>
  <c r="E24" i="64"/>
  <c r="C24" i="64" s="1"/>
  <c r="B24" i="64"/>
  <c r="D25" i="64"/>
  <c r="E23" i="58"/>
  <c r="C23" i="58" s="1"/>
  <c r="B23" i="58"/>
  <c r="D24" i="58"/>
  <c r="E25" i="69" l="1"/>
  <c r="C25" i="69" s="1"/>
  <c r="D26" i="69"/>
  <c r="B25" i="69"/>
  <c r="E25" i="62"/>
  <c r="C25" i="62" s="1"/>
  <c r="D26" i="62"/>
  <c r="B25" i="62"/>
  <c r="E25" i="61"/>
  <c r="C25" i="61" s="1"/>
  <c r="D26" i="61"/>
  <c r="B25" i="61"/>
  <c r="D26" i="60"/>
  <c r="B25" i="60"/>
  <c r="E25" i="60"/>
  <c r="C25" i="60" s="1"/>
  <c r="E25" i="67"/>
  <c r="C25" i="67" s="1"/>
  <c r="D26" i="67"/>
  <c r="B25" i="67"/>
  <c r="B133" i="68"/>
  <c r="D134" i="68"/>
  <c r="E133" i="68"/>
  <c r="C133" i="68" s="1"/>
  <c r="E25" i="68"/>
  <c r="C25" i="68" s="1"/>
  <c r="D26" i="68"/>
  <c r="B25" i="68"/>
  <c r="E25" i="63"/>
  <c r="C25" i="63" s="1"/>
  <c r="D26" i="63"/>
  <c r="B25" i="63"/>
  <c r="B25" i="64"/>
  <c r="E25" i="64"/>
  <c r="C25" i="64" s="1"/>
  <c r="D26" i="64"/>
  <c r="E24" i="58"/>
  <c r="C24" i="58" s="1"/>
  <c r="B24" i="58"/>
  <c r="D25" i="58"/>
  <c r="D27" i="69" l="1"/>
  <c r="B26" i="69"/>
  <c r="E26" i="69"/>
  <c r="C26" i="69" s="1"/>
  <c r="E26" i="62"/>
  <c r="C26" i="62" s="1"/>
  <c r="D27" i="62"/>
  <c r="B26" i="62"/>
  <c r="E26" i="61"/>
  <c r="C26" i="61" s="1"/>
  <c r="D27" i="61"/>
  <c r="B26" i="61"/>
  <c r="D27" i="60"/>
  <c r="E26" i="60"/>
  <c r="C26" i="60" s="1"/>
  <c r="B26" i="60"/>
  <c r="E26" i="67"/>
  <c r="C26" i="67" s="1"/>
  <c r="D27" i="67"/>
  <c r="B26" i="67"/>
  <c r="E134" i="68"/>
  <c r="C134" i="68" s="1"/>
  <c r="D135" i="68"/>
  <c r="B134" i="68"/>
  <c r="E26" i="68"/>
  <c r="C26" i="68" s="1"/>
  <c r="D27" i="68"/>
  <c r="B26" i="68"/>
  <c r="E26" i="63"/>
  <c r="C26" i="63" s="1"/>
  <c r="D27" i="63"/>
  <c r="B26" i="63"/>
  <c r="E26" i="64"/>
  <c r="C26" i="64" s="1"/>
  <c r="D27" i="64"/>
  <c r="B26" i="64"/>
  <c r="E25" i="58"/>
  <c r="C25" i="58" s="1"/>
  <c r="B25" i="58"/>
  <c r="D26" i="58"/>
  <c r="B27" i="69" l="1"/>
  <c r="E27" i="69"/>
  <c r="C27" i="69" s="1"/>
  <c r="D28" i="69"/>
  <c r="E27" i="62"/>
  <c r="C27" i="62" s="1"/>
  <c r="D28" i="62"/>
  <c r="B27" i="62"/>
  <c r="E27" i="61"/>
  <c r="C27" i="61" s="1"/>
  <c r="D28" i="61"/>
  <c r="B27" i="61"/>
  <c r="D28" i="60"/>
  <c r="E27" i="60"/>
  <c r="C27" i="60" s="1"/>
  <c r="B27" i="60"/>
  <c r="E27" i="67"/>
  <c r="C27" i="67" s="1"/>
  <c r="D28" i="67"/>
  <c r="B27" i="67"/>
  <c r="D136" i="68"/>
  <c r="E135" i="68"/>
  <c r="C135" i="68" s="1"/>
  <c r="B135" i="68"/>
  <c r="E27" i="68"/>
  <c r="C27" i="68" s="1"/>
  <c r="D28" i="68"/>
  <c r="B27" i="68"/>
  <c r="E27" i="63"/>
  <c r="C27" i="63" s="1"/>
  <c r="D28" i="63"/>
  <c r="B27" i="63"/>
  <c r="B27" i="64"/>
  <c r="D28" i="64"/>
  <c r="E27" i="64"/>
  <c r="C27" i="64" s="1"/>
  <c r="E26" i="58"/>
  <c r="C26" i="58" s="1"/>
  <c r="B26" i="58"/>
  <c r="D27" i="58"/>
  <c r="E28" i="69" l="1"/>
  <c r="C28" i="69" s="1"/>
  <c r="B28" i="69"/>
  <c r="D29" i="69"/>
  <c r="D29" i="62"/>
  <c r="B28" i="62"/>
  <c r="E28" i="62"/>
  <c r="C28" i="62" s="1"/>
  <c r="E28" i="61"/>
  <c r="C28" i="61" s="1"/>
  <c r="D29" i="61"/>
  <c r="B28" i="61"/>
  <c r="E28" i="60"/>
  <c r="C28" i="60" s="1"/>
  <c r="D29" i="60"/>
  <c r="B28" i="60"/>
  <c r="E28" i="67"/>
  <c r="C28" i="67" s="1"/>
  <c r="D29" i="67"/>
  <c r="B28" i="67"/>
  <c r="B136" i="68"/>
  <c r="E136" i="68"/>
  <c r="C136" i="68" s="1"/>
  <c r="D137" i="68"/>
  <c r="B28" i="68"/>
  <c r="E28" i="68"/>
  <c r="C28" i="68" s="1"/>
  <c r="D29" i="68"/>
  <c r="E28" i="63"/>
  <c r="C28" i="63" s="1"/>
  <c r="D29" i="63"/>
  <c r="B28" i="63"/>
  <c r="E28" i="64"/>
  <c r="C28" i="64" s="1"/>
  <c r="D29" i="64"/>
  <c r="B28" i="64"/>
  <c r="E27" i="58"/>
  <c r="C27" i="58" s="1"/>
  <c r="B27" i="58"/>
  <c r="D28" i="58"/>
  <c r="D30" i="69" l="1"/>
  <c r="E29" i="69"/>
  <c r="C29" i="69" s="1"/>
  <c r="B29" i="69"/>
  <c r="E29" i="62"/>
  <c r="C29" i="62" s="1"/>
  <c r="D30" i="62"/>
  <c r="B29" i="62"/>
  <c r="B29" i="61"/>
  <c r="E29" i="61"/>
  <c r="C29" i="61" s="1"/>
  <c r="D30" i="61"/>
  <c r="E29" i="60"/>
  <c r="C29" i="60" s="1"/>
  <c r="D30" i="60"/>
  <c r="B29" i="60"/>
  <c r="E29" i="67"/>
  <c r="C29" i="67" s="1"/>
  <c r="B29" i="67"/>
  <c r="E137" i="68"/>
  <c r="C137" i="68" s="1"/>
  <c r="D138" i="68"/>
  <c r="B137" i="68"/>
  <c r="E29" i="68"/>
  <c r="C29" i="68" s="1"/>
  <c r="D30" i="68"/>
  <c r="B29" i="68"/>
  <c r="E29" i="63"/>
  <c r="C29" i="63" s="1"/>
  <c r="D30" i="63"/>
  <c r="B29" i="63"/>
  <c r="B29" i="64"/>
  <c r="E29" i="64"/>
  <c r="C29" i="64" s="1"/>
  <c r="D30" i="64"/>
  <c r="E28" i="58"/>
  <c r="C28" i="58" s="1"/>
  <c r="B28" i="58"/>
  <c r="D29" i="58"/>
  <c r="B30" i="69" l="1"/>
  <c r="E30" i="69"/>
  <c r="C30" i="69" s="1"/>
  <c r="D31" i="69"/>
  <c r="B30" i="62"/>
  <c r="E30" i="62"/>
  <c r="C30" i="62" s="1"/>
  <c r="D31" i="62"/>
  <c r="E30" i="61"/>
  <c r="C30" i="61" s="1"/>
  <c r="D31" i="61"/>
  <c r="B30" i="61"/>
  <c r="D31" i="60"/>
  <c r="E30" i="60"/>
  <c r="C30" i="60" s="1"/>
  <c r="B30" i="60"/>
  <c r="E138" i="68"/>
  <c r="C138" i="68" s="1"/>
  <c r="D139" i="68"/>
  <c r="B138" i="68"/>
  <c r="D31" i="68"/>
  <c r="E30" i="68"/>
  <c r="C30" i="68" s="1"/>
  <c r="B30" i="68"/>
  <c r="E30" i="63"/>
  <c r="C30" i="63" s="1"/>
  <c r="D31" i="63"/>
  <c r="B30" i="63"/>
  <c r="E30" i="64"/>
  <c r="C30" i="64" s="1"/>
  <c r="D31" i="64"/>
  <c r="B30" i="64"/>
  <c r="E29" i="58"/>
  <c r="C29" i="58" s="1"/>
  <c r="B29" i="58"/>
  <c r="D30" i="58"/>
  <c r="E31" i="69" l="1"/>
  <c r="C31" i="69" s="1"/>
  <c r="D32" i="69"/>
  <c r="B31" i="69"/>
  <c r="E31" i="62"/>
  <c r="C31" i="62" s="1"/>
  <c r="B31" i="62"/>
  <c r="D32" i="62"/>
  <c r="B31" i="61"/>
  <c r="E31" i="61"/>
  <c r="C31" i="61" s="1"/>
  <c r="D32" i="61"/>
  <c r="B31" i="60"/>
  <c r="E31" i="60"/>
  <c r="C31" i="60" s="1"/>
  <c r="D32" i="60"/>
  <c r="B139" i="68"/>
  <c r="D140" i="68"/>
  <c r="E139" i="68"/>
  <c r="C139" i="68" s="1"/>
  <c r="D32" i="68"/>
  <c r="E31" i="68"/>
  <c r="C31" i="68" s="1"/>
  <c r="B31" i="68"/>
  <c r="E31" i="63"/>
  <c r="C31" i="63" s="1"/>
  <c r="D32" i="63"/>
  <c r="B31" i="63"/>
  <c r="E31" i="64"/>
  <c r="C31" i="64" s="1"/>
  <c r="D32" i="64"/>
  <c r="B31" i="64"/>
  <c r="E30" i="58"/>
  <c r="C30" i="58" s="1"/>
  <c r="B30" i="58"/>
  <c r="D31" i="58"/>
  <c r="B32" i="69" l="1"/>
  <c r="E32" i="69"/>
  <c r="C32" i="69" s="1"/>
  <c r="D33" i="69"/>
  <c r="B32" i="62"/>
  <c r="E32" i="62"/>
  <c r="C32" i="62" s="1"/>
  <c r="D33" i="62"/>
  <c r="E32" i="61"/>
  <c r="C32" i="61" s="1"/>
  <c r="D33" i="61"/>
  <c r="B32" i="61"/>
  <c r="B32" i="60"/>
  <c r="D33" i="60"/>
  <c r="E32" i="60"/>
  <c r="C32" i="60" s="1"/>
  <c r="D141" i="68"/>
  <c r="E140" i="68"/>
  <c r="C140" i="68" s="1"/>
  <c r="B140" i="68"/>
  <c r="E32" i="68"/>
  <c r="C32" i="68" s="1"/>
  <c r="D33" i="68"/>
  <c r="B32" i="68"/>
  <c r="D33" i="63"/>
  <c r="E32" i="63"/>
  <c r="C32" i="63" s="1"/>
  <c r="B32" i="63"/>
  <c r="E32" i="64"/>
  <c r="C32" i="64" s="1"/>
  <c r="B32" i="64"/>
  <c r="D33" i="64"/>
  <c r="E31" i="58"/>
  <c r="C31" i="58" s="1"/>
  <c r="B31" i="58"/>
  <c r="D32" i="58"/>
  <c r="B33" i="69" l="1"/>
  <c r="E33" i="69"/>
  <c r="C33" i="69" s="1"/>
  <c r="D34" i="69"/>
  <c r="E33" i="62"/>
  <c r="C33" i="62" s="1"/>
  <c r="B33" i="62"/>
  <c r="D34" i="62"/>
  <c r="B33" i="61"/>
  <c r="D34" i="61"/>
  <c r="E33" i="61"/>
  <c r="C33" i="61" s="1"/>
  <c r="B33" i="60"/>
  <c r="E33" i="60"/>
  <c r="C33" i="60" s="1"/>
  <c r="D34" i="60"/>
  <c r="E141" i="68"/>
  <c r="C141" i="68" s="1"/>
  <c r="D142" i="68"/>
  <c r="B141" i="68"/>
  <c r="E33" i="68"/>
  <c r="C33" i="68" s="1"/>
  <c r="D34" i="68"/>
  <c r="B33" i="68"/>
  <c r="B33" i="63"/>
  <c r="D34" i="63"/>
  <c r="E33" i="63"/>
  <c r="C33" i="63" s="1"/>
  <c r="E33" i="64"/>
  <c r="C33" i="64" s="1"/>
  <c r="D34" i="64"/>
  <c r="B33" i="64"/>
  <c r="E32" i="58"/>
  <c r="C32" i="58" s="1"/>
  <c r="B32" i="58"/>
  <c r="D33" i="58"/>
  <c r="E34" i="69" l="1"/>
  <c r="C34" i="69" s="1"/>
  <c r="B34" i="69"/>
  <c r="D35" i="69"/>
  <c r="B34" i="62"/>
  <c r="E34" i="62"/>
  <c r="C34" i="62" s="1"/>
  <c r="D35" i="62"/>
  <c r="E34" i="61"/>
  <c r="C34" i="61" s="1"/>
  <c r="B34" i="61"/>
  <c r="D35" i="61"/>
  <c r="D35" i="60"/>
  <c r="B34" i="60"/>
  <c r="E34" i="60"/>
  <c r="C34" i="60" s="1"/>
  <c r="B142" i="68"/>
  <c r="E142" i="68"/>
  <c r="C142" i="68" s="1"/>
  <c r="D143" i="68"/>
  <c r="E34" i="68"/>
  <c r="C34" i="68" s="1"/>
  <c r="D35" i="68"/>
  <c r="B34" i="68"/>
  <c r="E34" i="63"/>
  <c r="C34" i="63" s="1"/>
  <c r="D35" i="63"/>
  <c r="B34" i="63"/>
  <c r="E34" i="64"/>
  <c r="C34" i="64" s="1"/>
  <c r="D35" i="64"/>
  <c r="B34" i="64"/>
  <c r="E33" i="58"/>
  <c r="C33" i="58" s="1"/>
  <c r="B33" i="58"/>
  <c r="D34" i="58"/>
  <c r="E35" i="69" l="1"/>
  <c r="C35" i="69" s="1"/>
  <c r="D36" i="69"/>
  <c r="B35" i="69"/>
  <c r="E35" i="62"/>
  <c r="C35" i="62" s="1"/>
  <c r="D36" i="62"/>
  <c r="B35" i="62"/>
  <c r="E35" i="61"/>
  <c r="C35" i="61" s="1"/>
  <c r="B35" i="61"/>
  <c r="D36" i="61"/>
  <c r="D36" i="60"/>
  <c r="B35" i="60"/>
  <c r="E35" i="60"/>
  <c r="C35" i="60" s="1"/>
  <c r="D144" i="68"/>
  <c r="E143" i="68"/>
  <c r="C143" i="68" s="1"/>
  <c r="B143" i="68"/>
  <c r="E35" i="68"/>
  <c r="C35" i="68" s="1"/>
  <c r="D36" i="68"/>
  <c r="B35" i="68"/>
  <c r="D36" i="63"/>
  <c r="B35" i="63"/>
  <c r="E35" i="63"/>
  <c r="C35" i="63" s="1"/>
  <c r="D36" i="64"/>
  <c r="B35" i="64"/>
  <c r="E35" i="64"/>
  <c r="C35" i="64" s="1"/>
  <c r="D35" i="58"/>
  <c r="E34" i="58"/>
  <c r="C34" i="58" s="1"/>
  <c r="B34" i="58"/>
  <c r="B36" i="69" l="1"/>
  <c r="E36" i="69"/>
  <c r="C36" i="69" s="1"/>
  <c r="D37" i="69"/>
  <c r="E36" i="62"/>
  <c r="C36" i="62" s="1"/>
  <c r="D37" i="62"/>
  <c r="B36" i="62"/>
  <c r="B36" i="61"/>
  <c r="E36" i="61"/>
  <c r="C36" i="61" s="1"/>
  <c r="D37" i="61"/>
  <c r="B36" i="60"/>
  <c r="D37" i="60"/>
  <c r="E36" i="60"/>
  <c r="C36" i="60" s="1"/>
  <c r="B144" i="68"/>
  <c r="E144" i="68"/>
  <c r="C144" i="68" s="1"/>
  <c r="D145" i="68"/>
  <c r="E36" i="68"/>
  <c r="C36" i="68" s="1"/>
  <c r="B36" i="68"/>
  <c r="D37" i="68"/>
  <c r="E36" i="63"/>
  <c r="C36" i="63" s="1"/>
  <c r="D37" i="63"/>
  <c r="B36" i="63"/>
  <c r="E36" i="64"/>
  <c r="C36" i="64" s="1"/>
  <c r="D37" i="64"/>
  <c r="B36" i="64"/>
  <c r="D36" i="58"/>
  <c r="B35" i="58"/>
  <c r="E35" i="58"/>
  <c r="C35" i="58" s="1"/>
  <c r="E37" i="69" l="1"/>
  <c r="C37" i="69" s="1"/>
  <c r="B37" i="69"/>
  <c r="D38" i="69"/>
  <c r="E37" i="62"/>
  <c r="C37" i="62" s="1"/>
  <c r="D38" i="62"/>
  <c r="B37" i="62"/>
  <c r="D38" i="61"/>
  <c r="E37" i="61"/>
  <c r="C37" i="61" s="1"/>
  <c r="B37" i="61"/>
  <c r="D38" i="60"/>
  <c r="B37" i="60"/>
  <c r="E37" i="60"/>
  <c r="C37" i="60" s="1"/>
  <c r="B145" i="68"/>
  <c r="D146" i="68"/>
  <c r="E145" i="68"/>
  <c r="C145" i="68" s="1"/>
  <c r="E37" i="68"/>
  <c r="C37" i="68" s="1"/>
  <c r="B37" i="68"/>
  <c r="D38" i="68"/>
  <c r="E37" i="63"/>
  <c r="C37" i="63" s="1"/>
  <c r="B37" i="63"/>
  <c r="D38" i="63"/>
  <c r="B37" i="64"/>
  <c r="E37" i="64"/>
  <c r="C37" i="64" s="1"/>
  <c r="B36" i="58"/>
  <c r="D37" i="58"/>
  <c r="E36" i="58"/>
  <c r="C36" i="58" s="1"/>
  <c r="E38" i="69" l="1"/>
  <c r="C38" i="69" s="1"/>
  <c r="D39" i="69"/>
  <c r="B38" i="69"/>
  <c r="E38" i="62"/>
  <c r="C38" i="62" s="1"/>
  <c r="D39" i="62"/>
  <c r="B38" i="62"/>
  <c r="D39" i="61"/>
  <c r="B38" i="61"/>
  <c r="E38" i="61"/>
  <c r="C38" i="61" s="1"/>
  <c r="B38" i="60"/>
  <c r="D39" i="60"/>
  <c r="E38" i="60"/>
  <c r="C38" i="60" s="1"/>
  <c r="B146" i="68"/>
  <c r="D147" i="68"/>
  <c r="E146" i="68"/>
  <c r="C146" i="68" s="1"/>
  <c r="E38" i="68"/>
  <c r="C38" i="68" s="1"/>
  <c r="D39" i="68"/>
  <c r="B38" i="68"/>
  <c r="D39" i="63"/>
  <c r="B38" i="63"/>
  <c r="E38" i="63"/>
  <c r="C38" i="63" s="1"/>
  <c r="D40" i="64"/>
  <c r="B37" i="58"/>
  <c r="E37" i="58"/>
  <c r="C37" i="58" s="1"/>
  <c r="E39" i="69" l="1"/>
  <c r="C39" i="69" s="1"/>
  <c r="D40" i="69"/>
  <c r="B39" i="69"/>
  <c r="D40" i="62"/>
  <c r="B39" i="62"/>
  <c r="E39" i="62"/>
  <c r="C39" i="62" s="1"/>
  <c r="E39" i="61"/>
  <c r="C39" i="61" s="1"/>
  <c r="B39" i="61"/>
  <c r="D40" i="61"/>
  <c r="D40" i="60"/>
  <c r="E39" i="60"/>
  <c r="C39" i="60" s="1"/>
  <c r="B39" i="60"/>
  <c r="D148" i="68"/>
  <c r="E147" i="68"/>
  <c r="C147" i="68" s="1"/>
  <c r="B147" i="68"/>
  <c r="B39" i="68"/>
  <c r="E39" i="68"/>
  <c r="C39" i="68" s="1"/>
  <c r="D40" i="68"/>
  <c r="E39" i="63"/>
  <c r="C39" i="63" s="1"/>
  <c r="D40" i="63"/>
  <c r="B39" i="63"/>
  <c r="D41" i="64"/>
  <c r="B40" i="64"/>
  <c r="E40" i="64"/>
  <c r="C40" i="64" s="1"/>
  <c r="B40" i="69" l="1"/>
  <c r="D41" i="69"/>
  <c r="E40" i="69"/>
  <c r="C40" i="69" s="1"/>
  <c r="D41" i="62"/>
  <c r="B40" i="62"/>
  <c r="E40" i="62"/>
  <c r="C40" i="62" s="1"/>
  <c r="D41" i="61"/>
  <c r="B40" i="61"/>
  <c r="E40" i="61"/>
  <c r="C40" i="61" s="1"/>
  <c r="D41" i="60"/>
  <c r="E40" i="60"/>
  <c r="C40" i="60" s="1"/>
  <c r="B40" i="60"/>
  <c r="D149" i="68"/>
  <c r="E148" i="68"/>
  <c r="C148" i="68" s="1"/>
  <c r="B148" i="68"/>
  <c r="E40" i="68"/>
  <c r="C40" i="68" s="1"/>
  <c r="D41" i="68"/>
  <c r="B40" i="68"/>
  <c r="B40" i="63"/>
  <c r="D41" i="63"/>
  <c r="E40" i="63"/>
  <c r="C40" i="63" s="1"/>
  <c r="D42" i="64"/>
  <c r="E41" i="64"/>
  <c r="C41" i="64" s="1"/>
  <c r="B41" i="64"/>
  <c r="B41" i="69" l="1"/>
  <c r="E41" i="69"/>
  <c r="C41" i="69" s="1"/>
  <c r="D42" i="69"/>
  <c r="B41" i="62"/>
  <c r="E41" i="62"/>
  <c r="C41" i="62" s="1"/>
  <c r="D42" i="62"/>
  <c r="E41" i="61"/>
  <c r="C41" i="61" s="1"/>
  <c r="B41" i="61"/>
  <c r="D42" i="61"/>
  <c r="B41" i="60"/>
  <c r="E41" i="60"/>
  <c r="C41" i="60" s="1"/>
  <c r="D42" i="60"/>
  <c r="D150" i="68"/>
  <c r="B149" i="68"/>
  <c r="E149" i="68"/>
  <c r="C149" i="68" s="1"/>
  <c r="E41" i="68"/>
  <c r="C41" i="68" s="1"/>
  <c r="D42" i="68"/>
  <c r="B41" i="68"/>
  <c r="B41" i="63"/>
  <c r="E41" i="63"/>
  <c r="C41" i="63" s="1"/>
  <c r="D42" i="63"/>
  <c r="B42" i="64"/>
  <c r="E42" i="64"/>
  <c r="C42" i="64" s="1"/>
  <c r="D43" i="64"/>
  <c r="D43" i="69" l="1"/>
  <c r="E42" i="69"/>
  <c r="C42" i="69" s="1"/>
  <c r="B42" i="69"/>
  <c r="E42" i="62"/>
  <c r="C42" i="62" s="1"/>
  <c r="D43" i="62"/>
  <c r="B42" i="62"/>
  <c r="E42" i="61"/>
  <c r="C42" i="61" s="1"/>
  <c r="B42" i="61"/>
  <c r="D43" i="61"/>
  <c r="D43" i="60"/>
  <c r="B42" i="60"/>
  <c r="E42" i="60"/>
  <c r="C42" i="60" s="1"/>
  <c r="D151" i="68"/>
  <c r="B150" i="68"/>
  <c r="E150" i="68"/>
  <c r="C150" i="68" s="1"/>
  <c r="E42" i="68"/>
  <c r="C42" i="68" s="1"/>
  <c r="B42" i="68"/>
  <c r="D43" i="68"/>
  <c r="B42" i="63"/>
  <c r="D43" i="63"/>
  <c r="E42" i="63"/>
  <c r="C42" i="63" s="1"/>
  <c r="E43" i="64"/>
  <c r="C43" i="64" s="1"/>
  <c r="D44" i="64"/>
  <c r="B43" i="64"/>
  <c r="E43" i="69" l="1"/>
  <c r="C43" i="69" s="1"/>
  <c r="D44" i="69"/>
  <c r="B43" i="69"/>
  <c r="B43" i="62"/>
  <c r="D44" i="62"/>
  <c r="E43" i="62"/>
  <c r="C43" i="62" s="1"/>
  <c r="B43" i="61"/>
  <c r="D44" i="61"/>
  <c r="E43" i="61"/>
  <c r="C43" i="61" s="1"/>
  <c r="D44" i="60"/>
  <c r="B43" i="60"/>
  <c r="E43" i="60"/>
  <c r="C43" i="60" s="1"/>
  <c r="B151" i="68"/>
  <c r="E151" i="68"/>
  <c r="C151" i="68" s="1"/>
  <c r="D152" i="68"/>
  <c r="E43" i="68"/>
  <c r="C43" i="68" s="1"/>
  <c r="B43" i="68"/>
  <c r="D44" i="68"/>
  <c r="B43" i="63"/>
  <c r="E43" i="63"/>
  <c r="C43" i="63" s="1"/>
  <c r="D44" i="63"/>
  <c r="D45" i="64"/>
  <c r="B44" i="64"/>
  <c r="E44" i="64"/>
  <c r="C44" i="64" s="1"/>
  <c r="D45" i="69" l="1"/>
  <c r="E44" i="69"/>
  <c r="C44" i="69" s="1"/>
  <c r="B44" i="69"/>
  <c r="B44" i="62"/>
  <c r="E44" i="62"/>
  <c r="C44" i="62" s="1"/>
  <c r="D45" i="62"/>
  <c r="D45" i="61"/>
  <c r="E44" i="61"/>
  <c r="C44" i="61" s="1"/>
  <c r="B44" i="61"/>
  <c r="D45" i="60"/>
  <c r="E44" i="60"/>
  <c r="C44" i="60" s="1"/>
  <c r="B44" i="60"/>
  <c r="D44" i="67"/>
  <c r="B152" i="68"/>
  <c r="E152" i="68"/>
  <c r="C152" i="68" s="1"/>
  <c r="D153" i="68"/>
  <c r="D45" i="68"/>
  <c r="B44" i="68"/>
  <c r="E44" i="68"/>
  <c r="C44" i="68" s="1"/>
  <c r="E44" i="63"/>
  <c r="C44" i="63" s="1"/>
  <c r="D45" i="63"/>
  <c r="B44" i="63"/>
  <c r="B45" i="64"/>
  <c r="E45" i="64"/>
  <c r="C45" i="64" s="1"/>
  <c r="D46" i="64"/>
  <c r="E45" i="69" l="1"/>
  <c r="C45" i="69" s="1"/>
  <c r="D46" i="69"/>
  <c r="B45" i="69"/>
  <c r="D46" i="62"/>
  <c r="B45" i="62"/>
  <c r="E45" i="62"/>
  <c r="C45" i="62" s="1"/>
  <c r="E45" i="61"/>
  <c r="C45" i="61" s="1"/>
  <c r="D46" i="61"/>
  <c r="B45" i="61"/>
  <c r="E45" i="60"/>
  <c r="C45" i="60" s="1"/>
  <c r="B45" i="60"/>
  <c r="D46" i="60"/>
  <c r="E44" i="67"/>
  <c r="C44" i="67" s="1"/>
  <c r="D45" i="67"/>
  <c r="B44" i="67"/>
  <c r="B153" i="68"/>
  <c r="E153" i="68"/>
  <c r="C153" i="68" s="1"/>
  <c r="D154" i="68"/>
  <c r="D46" i="68"/>
  <c r="B45" i="68"/>
  <c r="E45" i="68"/>
  <c r="C45" i="68" s="1"/>
  <c r="E45" i="63"/>
  <c r="C45" i="63" s="1"/>
  <c r="D46" i="63"/>
  <c r="B45" i="63"/>
  <c r="D47" i="64"/>
  <c r="D48" i="64" s="1"/>
  <c r="B46" i="64"/>
  <c r="E46" i="64"/>
  <c r="C46" i="64" s="1"/>
  <c r="D47" i="69" l="1"/>
  <c r="B46" i="69"/>
  <c r="E46" i="69"/>
  <c r="C46" i="69" s="1"/>
  <c r="D47" i="62"/>
  <c r="E46" i="62"/>
  <c r="C46" i="62" s="1"/>
  <c r="B46" i="62"/>
  <c r="D47" i="61"/>
  <c r="E46" i="61"/>
  <c r="C46" i="61" s="1"/>
  <c r="B46" i="61"/>
  <c r="B46" i="60"/>
  <c r="E46" i="60"/>
  <c r="C46" i="60" s="1"/>
  <c r="D47" i="60"/>
  <c r="E45" i="67"/>
  <c r="C45" i="67" s="1"/>
  <c r="B45" i="67"/>
  <c r="D46" i="67"/>
  <c r="E48" i="64"/>
  <c r="C48" i="64" s="1"/>
  <c r="B48" i="64"/>
  <c r="D155" i="68"/>
  <c r="E154" i="68"/>
  <c r="C154" i="68" s="1"/>
  <c r="B154" i="68"/>
  <c r="E46" i="68"/>
  <c r="C46" i="68" s="1"/>
  <c r="D47" i="68"/>
  <c r="B46" i="68"/>
  <c r="E46" i="63"/>
  <c r="C46" i="63" s="1"/>
  <c r="D47" i="63"/>
  <c r="B46" i="63"/>
  <c r="B47" i="64"/>
  <c r="E47" i="64"/>
  <c r="C47" i="64" s="1"/>
  <c r="D48" i="69" l="1"/>
  <c r="B47" i="69"/>
  <c r="E47" i="69"/>
  <c r="C47" i="69" s="1"/>
  <c r="B47" i="62"/>
  <c r="D48" i="62"/>
  <c r="E47" i="62"/>
  <c r="C47" i="62" s="1"/>
  <c r="E47" i="61"/>
  <c r="C47" i="61" s="1"/>
  <c r="B47" i="61"/>
  <c r="D48" i="61"/>
  <c r="B47" i="60"/>
  <c r="D48" i="60"/>
  <c r="E47" i="60"/>
  <c r="C47" i="60" s="1"/>
  <c r="E46" i="67"/>
  <c r="C46" i="67" s="1"/>
  <c r="D47" i="67"/>
  <c r="B46" i="67"/>
  <c r="D156" i="68"/>
  <c r="B155" i="68"/>
  <c r="E155" i="68"/>
  <c r="C155" i="68" s="1"/>
  <c r="E47" i="68"/>
  <c r="C47" i="68" s="1"/>
  <c r="D48" i="68"/>
  <c r="B47" i="68"/>
  <c r="E47" i="63"/>
  <c r="C47" i="63" s="1"/>
  <c r="D48" i="63"/>
  <c r="B47" i="63"/>
  <c r="B48" i="69" l="1"/>
  <c r="D49" i="69"/>
  <c r="E48" i="69"/>
  <c r="C48" i="69" s="1"/>
  <c r="B48" i="62"/>
  <c r="E48" i="62"/>
  <c r="C48" i="62" s="1"/>
  <c r="D49" i="62"/>
  <c r="B48" i="61"/>
  <c r="E48" i="61"/>
  <c r="C48" i="61" s="1"/>
  <c r="D49" i="61"/>
  <c r="B48" i="60"/>
  <c r="E48" i="60"/>
  <c r="C48" i="60" s="1"/>
  <c r="D49" i="60"/>
  <c r="E47" i="67"/>
  <c r="C47" i="67" s="1"/>
  <c r="D48" i="67"/>
  <c r="B47" i="67"/>
  <c r="B156" i="68"/>
  <c r="E156" i="68"/>
  <c r="C156" i="68" s="1"/>
  <c r="D157" i="68"/>
  <c r="D49" i="68"/>
  <c r="B48" i="68"/>
  <c r="E48" i="68"/>
  <c r="C48" i="68" s="1"/>
  <c r="E48" i="63"/>
  <c r="C48" i="63" s="1"/>
  <c r="D49" i="63"/>
  <c r="B48" i="63"/>
  <c r="E49" i="69" l="1"/>
  <c r="C49" i="69" s="1"/>
  <c r="D50" i="69"/>
  <c r="B49" i="69"/>
  <c r="E49" i="62"/>
  <c r="C49" i="62" s="1"/>
  <c r="D50" i="62"/>
  <c r="B49" i="62"/>
  <c r="D50" i="61"/>
  <c r="E49" i="61"/>
  <c r="C49" i="61" s="1"/>
  <c r="B49" i="61"/>
  <c r="D50" i="60"/>
  <c r="B49" i="60"/>
  <c r="E49" i="60"/>
  <c r="C49" i="60" s="1"/>
  <c r="D49" i="67"/>
  <c r="B48" i="67"/>
  <c r="E48" i="67"/>
  <c r="C48" i="67" s="1"/>
  <c r="D158" i="68"/>
  <c r="B157" i="68"/>
  <c r="E157" i="68"/>
  <c r="C157" i="68" s="1"/>
  <c r="E49" i="68"/>
  <c r="C49" i="68" s="1"/>
  <c r="B49" i="68"/>
  <c r="D50" i="68"/>
  <c r="E49" i="63"/>
  <c r="C49" i="63" s="1"/>
  <c r="D50" i="63"/>
  <c r="B49" i="63"/>
  <c r="D49" i="64"/>
  <c r="D51" i="69" l="1"/>
  <c r="E50" i="69"/>
  <c r="C50" i="69" s="1"/>
  <c r="B50" i="69"/>
  <c r="B50" i="62"/>
  <c r="D51" i="62"/>
  <c r="E50" i="62"/>
  <c r="C50" i="62" s="1"/>
  <c r="B50" i="61"/>
  <c r="E50" i="61"/>
  <c r="C50" i="61" s="1"/>
  <c r="D51" i="61"/>
  <c r="E50" i="60"/>
  <c r="C50" i="60" s="1"/>
  <c r="D51" i="60"/>
  <c r="B50" i="60"/>
  <c r="B49" i="67"/>
  <c r="E49" i="67"/>
  <c r="C49" i="67" s="1"/>
  <c r="D159" i="68"/>
  <c r="B158" i="68"/>
  <c r="E158" i="68"/>
  <c r="C158" i="68" s="1"/>
  <c r="E50" i="68"/>
  <c r="C50" i="68" s="1"/>
  <c r="D51" i="68"/>
  <c r="B50" i="68"/>
  <c r="D51" i="63"/>
  <c r="E50" i="63"/>
  <c r="C50" i="63" s="1"/>
  <c r="B50" i="63"/>
  <c r="B49" i="64"/>
  <c r="E49" i="64"/>
  <c r="C49" i="64" s="1"/>
  <c r="D50" i="64"/>
  <c r="B51" i="69" l="1"/>
  <c r="D52" i="69"/>
  <c r="E51" i="69"/>
  <c r="C51" i="69" s="1"/>
  <c r="B51" i="62"/>
  <c r="D52" i="62"/>
  <c r="E51" i="62"/>
  <c r="C51" i="62" s="1"/>
  <c r="B51" i="61"/>
  <c r="D52" i="61"/>
  <c r="E51" i="61"/>
  <c r="C51" i="61" s="1"/>
  <c r="E51" i="60"/>
  <c r="C51" i="60" s="1"/>
  <c r="B51" i="60"/>
  <c r="D52" i="60"/>
  <c r="B159" i="68"/>
  <c r="D160" i="68"/>
  <c r="E159" i="68"/>
  <c r="C159" i="68" s="1"/>
  <c r="D52" i="68"/>
  <c r="E51" i="68"/>
  <c r="C51" i="68" s="1"/>
  <c r="B51" i="68"/>
  <c r="E51" i="63"/>
  <c r="C51" i="63" s="1"/>
  <c r="B51" i="63"/>
  <c r="D52" i="63"/>
  <c r="E50" i="64"/>
  <c r="C50" i="64" s="1"/>
  <c r="D51" i="64"/>
  <c r="B50" i="64"/>
  <c r="D53" i="69" l="1"/>
  <c r="B52" i="69"/>
  <c r="E52" i="69"/>
  <c r="C52" i="69" s="1"/>
  <c r="B52" i="62"/>
  <c r="D53" i="62"/>
  <c r="E52" i="62"/>
  <c r="C52" i="62" s="1"/>
  <c r="E52" i="61"/>
  <c r="C52" i="61" s="1"/>
  <c r="B52" i="61"/>
  <c r="D53" i="61"/>
  <c r="B52" i="60"/>
  <c r="D53" i="60"/>
  <c r="E52" i="60"/>
  <c r="C52" i="60" s="1"/>
  <c r="B160" i="68"/>
  <c r="D161" i="68"/>
  <c r="E160" i="68"/>
  <c r="C160" i="68" s="1"/>
  <c r="B52" i="68"/>
  <c r="E52" i="68"/>
  <c r="C52" i="68" s="1"/>
  <c r="D53" i="68"/>
  <c r="E52" i="63"/>
  <c r="C52" i="63" s="1"/>
  <c r="D53" i="63"/>
  <c r="B52" i="63"/>
  <c r="B51" i="64"/>
  <c r="D52" i="64"/>
  <c r="E51" i="64"/>
  <c r="C51" i="64" s="1"/>
  <c r="D54" i="69" l="1"/>
  <c r="E53" i="69"/>
  <c r="C53" i="69" s="1"/>
  <c r="B53" i="69"/>
  <c r="D54" i="62"/>
  <c r="B53" i="62"/>
  <c r="E53" i="62"/>
  <c r="C53" i="62" s="1"/>
  <c r="B53" i="61"/>
  <c r="E53" i="61"/>
  <c r="C53" i="61" s="1"/>
  <c r="D54" i="61"/>
  <c r="E53" i="60"/>
  <c r="C53" i="60" s="1"/>
  <c r="D54" i="60"/>
  <c r="B53" i="60"/>
  <c r="E161" i="68"/>
  <c r="C161" i="68" s="1"/>
  <c r="D162" i="68"/>
  <c r="B161" i="68"/>
  <c r="D54" i="68"/>
  <c r="E53" i="68"/>
  <c r="C53" i="68" s="1"/>
  <c r="B53" i="68"/>
  <c r="E53" i="63"/>
  <c r="C53" i="63" s="1"/>
  <c r="D54" i="63"/>
  <c r="B53" i="63"/>
  <c r="D53" i="64"/>
  <c r="E52" i="64"/>
  <c r="C52" i="64" s="1"/>
  <c r="B52" i="64"/>
  <c r="B54" i="69" l="1"/>
  <c r="D55" i="69"/>
  <c r="E54" i="69"/>
  <c r="C54" i="69" s="1"/>
  <c r="E54" i="62"/>
  <c r="C54" i="62" s="1"/>
  <c r="D55" i="62"/>
  <c r="B54" i="62"/>
  <c r="B54" i="61"/>
  <c r="E54" i="61"/>
  <c r="C54" i="61" s="1"/>
  <c r="D55" i="61"/>
  <c r="E54" i="60"/>
  <c r="C54" i="60" s="1"/>
  <c r="B54" i="60"/>
  <c r="D55" i="60"/>
  <c r="B162" i="68"/>
  <c r="D163" i="68"/>
  <c r="E162" i="68"/>
  <c r="C162" i="68" s="1"/>
  <c r="D55" i="68"/>
  <c r="B54" i="68"/>
  <c r="E54" i="68"/>
  <c r="C54" i="68" s="1"/>
  <c r="B54" i="63"/>
  <c r="D55" i="63"/>
  <c r="E54" i="63"/>
  <c r="C54" i="63" s="1"/>
  <c r="B53" i="64"/>
  <c r="E53" i="64"/>
  <c r="C53" i="64" s="1"/>
  <c r="D54" i="64"/>
  <c r="D56" i="69" l="1"/>
  <c r="D57" i="69" s="1"/>
  <c r="B55" i="69"/>
  <c r="E55" i="69"/>
  <c r="C55" i="69" s="1"/>
  <c r="B55" i="62"/>
  <c r="D56" i="62"/>
  <c r="E55" i="62"/>
  <c r="C55" i="62" s="1"/>
  <c r="D56" i="61"/>
  <c r="B55" i="61"/>
  <c r="E55" i="61"/>
  <c r="C55" i="61" s="1"/>
  <c r="E55" i="60"/>
  <c r="C55" i="60" s="1"/>
  <c r="B55" i="60"/>
  <c r="D56" i="60"/>
  <c r="B163" i="68"/>
  <c r="E163" i="68"/>
  <c r="C163" i="68" s="1"/>
  <c r="D164" i="68"/>
  <c r="E55" i="68"/>
  <c r="C55" i="68" s="1"/>
  <c r="B55" i="68"/>
  <c r="D56" i="68"/>
  <c r="D56" i="63"/>
  <c r="E55" i="63"/>
  <c r="C55" i="63" s="1"/>
  <c r="B55" i="63"/>
  <c r="B54" i="64"/>
  <c r="D55" i="64"/>
  <c r="E54" i="64"/>
  <c r="C54" i="64" s="1"/>
  <c r="B57" i="69" l="1"/>
  <c r="E57" i="69"/>
  <c r="C57" i="69" s="1"/>
  <c r="D58" i="69"/>
  <c r="E56" i="69"/>
  <c r="C56" i="69" s="1"/>
  <c r="B56" i="69"/>
  <c r="D57" i="62"/>
  <c r="E56" i="62"/>
  <c r="C56" i="62" s="1"/>
  <c r="B56" i="62"/>
  <c r="B56" i="61"/>
  <c r="D57" i="61"/>
  <c r="E56" i="61"/>
  <c r="C56" i="61" s="1"/>
  <c r="D57" i="60"/>
  <c r="B56" i="60"/>
  <c r="E56" i="60"/>
  <c r="C56" i="60" s="1"/>
  <c r="D165" i="68"/>
  <c r="E164" i="68"/>
  <c r="C164" i="68" s="1"/>
  <c r="B164" i="68"/>
  <c r="E56" i="68"/>
  <c r="C56" i="68" s="1"/>
  <c r="B56" i="68"/>
  <c r="D57" i="68"/>
  <c r="E56" i="63"/>
  <c r="C56" i="63" s="1"/>
  <c r="B56" i="63"/>
  <c r="D57" i="63"/>
  <c r="B55" i="64"/>
  <c r="E55" i="64"/>
  <c r="C55" i="64" s="1"/>
  <c r="D56" i="64"/>
  <c r="B58" i="69" l="1"/>
  <c r="D59" i="69"/>
  <c r="E58" i="69"/>
  <c r="C58" i="69" s="1"/>
  <c r="B57" i="62"/>
  <c r="E57" i="62"/>
  <c r="C57" i="62" s="1"/>
  <c r="D58" i="62"/>
  <c r="D58" i="61"/>
  <c r="E57" i="61"/>
  <c r="C57" i="61" s="1"/>
  <c r="B57" i="61"/>
  <c r="D58" i="60"/>
  <c r="B57" i="60"/>
  <c r="E57" i="60"/>
  <c r="C57" i="60" s="1"/>
  <c r="B165" i="68"/>
  <c r="D166" i="68"/>
  <c r="E165" i="68"/>
  <c r="C165" i="68" s="1"/>
  <c r="D58" i="68"/>
  <c r="B57" i="68"/>
  <c r="E57" i="68"/>
  <c r="C57" i="68" s="1"/>
  <c r="D58" i="63"/>
  <c r="B57" i="63"/>
  <c r="E57" i="63"/>
  <c r="C57" i="63" s="1"/>
  <c r="B56" i="64"/>
  <c r="E56" i="64"/>
  <c r="C56" i="64" s="1"/>
  <c r="D57" i="64"/>
  <c r="B59" i="69" l="1"/>
  <c r="E59" i="69"/>
  <c r="C59" i="69" s="1"/>
  <c r="D60" i="69"/>
  <c r="B58" i="62"/>
  <c r="E58" i="62"/>
  <c r="C58" i="62" s="1"/>
  <c r="D59" i="62"/>
  <c r="D59" i="61"/>
  <c r="B58" i="61"/>
  <c r="E58" i="61"/>
  <c r="C58" i="61" s="1"/>
  <c r="B58" i="60"/>
  <c r="E58" i="60"/>
  <c r="C58" i="60" s="1"/>
  <c r="D59" i="60"/>
  <c r="D167" i="68"/>
  <c r="E166" i="68"/>
  <c r="C166" i="68" s="1"/>
  <c r="B166" i="68"/>
  <c r="D59" i="68"/>
  <c r="E58" i="68"/>
  <c r="C58" i="68" s="1"/>
  <c r="B58" i="68"/>
  <c r="E58" i="63"/>
  <c r="C58" i="63" s="1"/>
  <c r="B58" i="63"/>
  <c r="D59" i="63"/>
  <c r="B57" i="64"/>
  <c r="E57" i="64"/>
  <c r="C57" i="64" s="1"/>
  <c r="D58" i="64"/>
  <c r="B60" i="69" l="1"/>
  <c r="E60" i="69"/>
  <c r="C60" i="69" s="1"/>
  <c r="D61" i="69"/>
  <c r="B59" i="62"/>
  <c r="D60" i="62"/>
  <c r="E59" i="62"/>
  <c r="C59" i="62" s="1"/>
  <c r="D60" i="61"/>
  <c r="B59" i="61"/>
  <c r="E59" i="61"/>
  <c r="C59" i="61" s="1"/>
  <c r="D60" i="60"/>
  <c r="E59" i="60"/>
  <c r="C59" i="60" s="1"/>
  <c r="B59" i="60"/>
  <c r="B167" i="68"/>
  <c r="E167" i="68"/>
  <c r="C167" i="68" s="1"/>
  <c r="D168" i="68"/>
  <c r="E59" i="68"/>
  <c r="C59" i="68" s="1"/>
  <c r="D60" i="68"/>
  <c r="B59" i="68"/>
  <c r="D60" i="63"/>
  <c r="E59" i="63"/>
  <c r="C59" i="63" s="1"/>
  <c r="B59" i="63"/>
  <c r="B58" i="64"/>
  <c r="E58" i="64"/>
  <c r="C58" i="64" s="1"/>
  <c r="E61" i="69" l="1"/>
  <c r="C61" i="69" s="1"/>
  <c r="B61" i="69"/>
  <c r="D62" i="69"/>
  <c r="E60" i="62"/>
  <c r="C60" i="62" s="1"/>
  <c r="B60" i="62"/>
  <c r="D61" i="62"/>
  <c r="B60" i="61"/>
  <c r="E60" i="61"/>
  <c r="C60" i="61" s="1"/>
  <c r="D61" i="61"/>
  <c r="B60" i="60"/>
  <c r="E60" i="60"/>
  <c r="C60" i="60" s="1"/>
  <c r="D61" i="60"/>
  <c r="E168" i="68"/>
  <c r="C168" i="68" s="1"/>
  <c r="B168" i="68"/>
  <c r="D169" i="68"/>
  <c r="B60" i="68"/>
  <c r="E60" i="68"/>
  <c r="C60" i="68" s="1"/>
  <c r="D61" i="68"/>
  <c r="D61" i="63"/>
  <c r="E60" i="63"/>
  <c r="C60" i="63" s="1"/>
  <c r="B60" i="63"/>
  <c r="B62" i="69" l="1"/>
  <c r="D63" i="69"/>
  <c r="E62" i="69"/>
  <c r="C62" i="69" s="1"/>
  <c r="E61" i="62"/>
  <c r="C61" i="62" s="1"/>
  <c r="D62" i="62"/>
  <c r="B61" i="62"/>
  <c r="D62" i="61"/>
  <c r="B61" i="61"/>
  <c r="E61" i="61"/>
  <c r="C61" i="61" s="1"/>
  <c r="E61" i="60"/>
  <c r="C61" i="60" s="1"/>
  <c r="B61" i="60"/>
  <c r="D62" i="60"/>
  <c r="B169" i="68"/>
  <c r="E169" i="68"/>
  <c r="C169" i="68" s="1"/>
  <c r="D170" i="68"/>
  <c r="D62" i="68"/>
  <c r="B61" i="68"/>
  <c r="E61" i="68"/>
  <c r="C61" i="68" s="1"/>
  <c r="D62" i="63"/>
  <c r="E61" i="63"/>
  <c r="C61" i="63" s="1"/>
  <c r="B61" i="63"/>
  <c r="D64" i="69" l="1"/>
  <c r="B63" i="69"/>
  <c r="E63" i="69"/>
  <c r="C63" i="69" s="1"/>
  <c r="B62" i="62"/>
  <c r="E62" i="62"/>
  <c r="C62" i="62" s="1"/>
  <c r="E62" i="61"/>
  <c r="C62" i="61" s="1"/>
  <c r="B62" i="61"/>
  <c r="B62" i="60"/>
  <c r="E62" i="60"/>
  <c r="C62" i="60" s="1"/>
  <c r="E170" i="68"/>
  <c r="C170" i="68" s="1"/>
  <c r="B170" i="68"/>
  <c r="D171" i="68"/>
  <c r="D63" i="68"/>
  <c r="E62" i="68"/>
  <c r="C62" i="68" s="1"/>
  <c r="B62" i="68"/>
  <c r="E62" i="63"/>
  <c r="C62" i="63" s="1"/>
  <c r="B62" i="63"/>
  <c r="E64" i="69" l="1"/>
  <c r="C64" i="69" s="1"/>
  <c r="B64" i="69"/>
  <c r="D65" i="69"/>
  <c r="B171" i="68"/>
  <c r="E171" i="68"/>
  <c r="C171" i="68" s="1"/>
  <c r="D172" i="68"/>
  <c r="D173" i="68" s="1"/>
  <c r="E63" i="68"/>
  <c r="C63" i="68" s="1"/>
  <c r="B63" i="68"/>
  <c r="D64" i="68"/>
  <c r="D65" i="68" s="1"/>
  <c r="D66" i="69" l="1"/>
  <c r="E65" i="69"/>
  <c r="C65" i="69" s="1"/>
  <c r="B65" i="69"/>
  <c r="B173" i="68"/>
  <c r="D174" i="68"/>
  <c r="E173" i="68"/>
  <c r="C173" i="68" s="1"/>
  <c r="D66" i="60"/>
  <c r="B65" i="68"/>
  <c r="D66" i="68"/>
  <c r="E65" i="68"/>
  <c r="C65" i="68" s="1"/>
  <c r="B172" i="68"/>
  <c r="E172" i="68"/>
  <c r="C172" i="68" s="1"/>
  <c r="B64" i="68"/>
  <c r="E64" i="68"/>
  <c r="C64" i="68" s="1"/>
  <c r="E66" i="69" l="1"/>
  <c r="C66" i="69" s="1"/>
  <c r="B66" i="69"/>
  <c r="D67" i="69"/>
  <c r="D68" i="69" s="1"/>
  <c r="B174" i="68"/>
  <c r="E174" i="68"/>
  <c r="C174" i="68" s="1"/>
  <c r="E66" i="60"/>
  <c r="C66" i="60" s="1"/>
  <c r="B66" i="60"/>
  <c r="D67" i="60"/>
  <c r="B66" i="68"/>
  <c r="E66" i="68"/>
  <c r="C66" i="68" s="1"/>
  <c r="D175" i="68"/>
  <c r="D67" i="68"/>
  <c r="B68" i="69" l="1"/>
  <c r="E68" i="69"/>
  <c r="C68" i="69" s="1"/>
  <c r="D69" i="69"/>
  <c r="E67" i="69"/>
  <c r="C67" i="69" s="1"/>
  <c r="B67" i="69"/>
  <c r="B67" i="60"/>
  <c r="D68" i="60"/>
  <c r="E67" i="60"/>
  <c r="C67" i="60" s="1"/>
  <c r="E175" i="68"/>
  <c r="C175" i="68" s="1"/>
  <c r="D176" i="68"/>
  <c r="B175" i="68"/>
  <c r="E67" i="68"/>
  <c r="C67" i="68" s="1"/>
  <c r="B67" i="68"/>
  <c r="D68" i="68"/>
  <c r="B69" i="69" l="1"/>
  <c r="E69" i="69"/>
  <c r="C69" i="69" s="1"/>
  <c r="B68" i="60"/>
  <c r="D69" i="60"/>
  <c r="D70" i="60" s="1"/>
  <c r="E68" i="60"/>
  <c r="C68" i="60" s="1"/>
  <c r="E176" i="68"/>
  <c r="C176" i="68" s="1"/>
  <c r="B176" i="68"/>
  <c r="D177" i="68"/>
  <c r="D69" i="68"/>
  <c r="B68" i="68"/>
  <c r="E68" i="68"/>
  <c r="C68" i="68" s="1"/>
  <c r="B70" i="60" l="1"/>
  <c r="D71" i="60"/>
  <c r="E70" i="60"/>
  <c r="C70" i="60" s="1"/>
  <c r="E69" i="60"/>
  <c r="C69" i="60" s="1"/>
  <c r="B69" i="60"/>
  <c r="E177" i="68"/>
  <c r="C177" i="68" s="1"/>
  <c r="D178" i="68"/>
  <c r="B177" i="68"/>
  <c r="E69" i="68"/>
  <c r="C69" i="68" s="1"/>
  <c r="B69" i="68"/>
  <c r="D70" i="68"/>
  <c r="B71" i="60" l="1"/>
  <c r="E71" i="60"/>
  <c r="C71" i="60" s="1"/>
  <c r="E178" i="68"/>
  <c r="C178" i="68" s="1"/>
  <c r="D179" i="68"/>
  <c r="B178" i="68"/>
  <c r="B70" i="68"/>
  <c r="E70" i="68"/>
  <c r="C70" i="68" s="1"/>
  <c r="D71" i="68"/>
  <c r="B179" i="68" l="1"/>
  <c r="E179" i="68"/>
  <c r="C179" i="68" s="1"/>
  <c r="D180" i="68"/>
  <c r="D72" i="68"/>
  <c r="E71" i="68"/>
  <c r="C71" i="68" s="1"/>
  <c r="B71" i="68"/>
  <c r="E180" i="68" l="1"/>
  <c r="C180" i="68" s="1"/>
  <c r="B180" i="68"/>
  <c r="D181" i="68"/>
  <c r="D182" i="68" s="1"/>
  <c r="E182" i="68" s="1"/>
  <c r="D73" i="68"/>
  <c r="D74" i="68" s="1"/>
  <c r="E72" i="68"/>
  <c r="C72" i="68" s="1"/>
  <c r="B72" i="68"/>
  <c r="B182" i="68" l="1"/>
  <c r="C182" i="68"/>
  <c r="E74" i="68"/>
  <c r="C74" i="68" s="1"/>
  <c r="B74" i="68"/>
  <c r="B181" i="68"/>
  <c r="E181" i="68"/>
  <c r="C181" i="68" s="1"/>
  <c r="E73" i="68"/>
  <c r="C73" i="68" s="1"/>
  <c r="B73" i="68"/>
  <c r="D71" i="61" l="1"/>
  <c r="D72" i="61" l="1"/>
  <c r="B71" i="61"/>
  <c r="E71" i="61"/>
  <c r="C71" i="61" s="1"/>
  <c r="D72" i="60"/>
  <c r="D70" i="69" l="1"/>
  <c r="D73" i="62"/>
  <c r="B72" i="61"/>
  <c r="E72" i="61"/>
  <c r="C72" i="61" s="1"/>
  <c r="D73" i="61"/>
  <c r="B72" i="60"/>
  <c r="D73" i="60"/>
  <c r="E72" i="60"/>
  <c r="C72" i="60" s="1"/>
  <c r="D73" i="63"/>
  <c r="D71" i="69" l="1"/>
  <c r="B70" i="69"/>
  <c r="E70" i="69"/>
  <c r="C70" i="69" s="1"/>
  <c r="B73" i="62"/>
  <c r="D74" i="62"/>
  <c r="E73" i="62"/>
  <c r="C73" i="62" s="1"/>
  <c r="E73" i="61"/>
  <c r="C73" i="61" s="1"/>
  <c r="D74" i="61"/>
  <c r="B73" i="61"/>
  <c r="D74" i="60"/>
  <c r="B73" i="60"/>
  <c r="E73" i="60"/>
  <c r="C73" i="60" s="1"/>
  <c r="E73" i="63"/>
  <c r="C73" i="63" s="1"/>
  <c r="B73" i="63"/>
  <c r="D74" i="63"/>
  <c r="D72" i="69" l="1"/>
  <c r="B71" i="69"/>
  <c r="E71" i="69"/>
  <c r="C71" i="69" s="1"/>
  <c r="B74" i="62"/>
  <c r="E74" i="62"/>
  <c r="C74" i="62" s="1"/>
  <c r="D75" i="62"/>
  <c r="D75" i="61"/>
  <c r="B74" i="61"/>
  <c r="E74" i="61"/>
  <c r="C74" i="61" s="1"/>
  <c r="B74" i="60"/>
  <c r="E74" i="60"/>
  <c r="C74" i="60" s="1"/>
  <c r="D75" i="60"/>
  <c r="D183" i="68"/>
  <c r="D75" i="68"/>
  <c r="B74" i="63"/>
  <c r="D75" i="63"/>
  <c r="E74" i="63"/>
  <c r="C74" i="63" s="1"/>
  <c r="E72" i="69" l="1"/>
  <c r="C72" i="69" s="1"/>
  <c r="D73" i="69"/>
  <c r="B72" i="69"/>
  <c r="E75" i="62"/>
  <c r="C75" i="62" s="1"/>
  <c r="B75" i="62"/>
  <c r="D76" i="62"/>
  <c r="B75" i="61"/>
  <c r="E75" i="61"/>
  <c r="C75" i="61" s="1"/>
  <c r="D76" i="61"/>
  <c r="E75" i="60"/>
  <c r="C75" i="60" s="1"/>
  <c r="B75" i="60"/>
  <c r="D76" i="60"/>
  <c r="D184" i="68"/>
  <c r="E183" i="68"/>
  <c r="C183" i="68" s="1"/>
  <c r="B183" i="68"/>
  <c r="D76" i="68"/>
  <c r="E75" i="68"/>
  <c r="C75" i="68" s="1"/>
  <c r="B75" i="68"/>
  <c r="E75" i="63"/>
  <c r="C75" i="63" s="1"/>
  <c r="D76" i="63"/>
  <c r="B75" i="63"/>
  <c r="D74" i="69" l="1"/>
  <c r="E73" i="69"/>
  <c r="C73" i="69" s="1"/>
  <c r="B73" i="69"/>
  <c r="E76" i="62"/>
  <c r="C76" i="62" s="1"/>
  <c r="B76" i="62"/>
  <c r="D77" i="62"/>
  <c r="E76" i="61"/>
  <c r="C76" i="61" s="1"/>
  <c r="D77" i="61"/>
  <c r="B76" i="61"/>
  <c r="D77" i="60"/>
  <c r="E76" i="60"/>
  <c r="C76" i="60" s="1"/>
  <c r="B76" i="60"/>
  <c r="B184" i="68"/>
  <c r="D185" i="68"/>
  <c r="E184" i="68"/>
  <c r="C184" i="68" s="1"/>
  <c r="D77" i="68"/>
  <c r="E76" i="68"/>
  <c r="C76" i="68" s="1"/>
  <c r="B76" i="68"/>
  <c r="D77" i="63"/>
  <c r="B76" i="63"/>
  <c r="E76" i="63"/>
  <c r="C76" i="63" s="1"/>
  <c r="B74" i="69" l="1"/>
  <c r="E74" i="69"/>
  <c r="C74" i="69" s="1"/>
  <c r="D75" i="69"/>
  <c r="B77" i="62"/>
  <c r="E77" i="62"/>
  <c r="C77" i="62" s="1"/>
  <c r="D78" i="62"/>
  <c r="E77" i="61"/>
  <c r="C77" i="61" s="1"/>
  <c r="D78" i="61"/>
  <c r="B77" i="61"/>
  <c r="B77" i="60"/>
  <c r="E77" i="60"/>
  <c r="C77" i="60" s="1"/>
  <c r="D78" i="60"/>
  <c r="B185" i="68"/>
  <c r="D186" i="68"/>
  <c r="E185" i="68"/>
  <c r="C185" i="68" s="1"/>
  <c r="D78" i="68"/>
  <c r="B77" i="68"/>
  <c r="E77" i="68"/>
  <c r="C77" i="68" s="1"/>
  <c r="E77" i="63"/>
  <c r="C77" i="63" s="1"/>
  <c r="D78" i="63"/>
  <c r="B77" i="63"/>
  <c r="E75" i="69" l="1"/>
  <c r="C75" i="69" s="1"/>
  <c r="B75" i="69"/>
  <c r="D76" i="69"/>
  <c r="D79" i="62"/>
  <c r="B78" i="62"/>
  <c r="E78" i="62"/>
  <c r="C78" i="62" s="1"/>
  <c r="E78" i="61"/>
  <c r="C78" i="61" s="1"/>
  <c r="D79" i="61"/>
  <c r="B78" i="61"/>
  <c r="B78" i="60"/>
  <c r="D79" i="60"/>
  <c r="E78" i="60"/>
  <c r="C78" i="60" s="1"/>
  <c r="D187" i="68"/>
  <c r="B186" i="68"/>
  <c r="E186" i="68"/>
  <c r="C186" i="68" s="1"/>
  <c r="B78" i="68"/>
  <c r="E78" i="68"/>
  <c r="C78" i="68" s="1"/>
  <c r="D79" i="68"/>
  <c r="B78" i="63"/>
  <c r="D79" i="63"/>
  <c r="E78" i="63"/>
  <c r="C78" i="63" s="1"/>
  <c r="B76" i="69" l="1"/>
  <c r="D77" i="69"/>
  <c r="E76" i="69"/>
  <c r="C76" i="69" s="1"/>
  <c r="B79" i="62"/>
  <c r="E79" i="62"/>
  <c r="C79" i="62" s="1"/>
  <c r="D80" i="62"/>
  <c r="B79" i="61"/>
  <c r="E79" i="61"/>
  <c r="C79" i="61" s="1"/>
  <c r="D80" i="61"/>
  <c r="B79" i="60"/>
  <c r="E79" i="60"/>
  <c r="C79" i="60" s="1"/>
  <c r="D80" i="60"/>
  <c r="D188" i="68"/>
  <c r="E187" i="68"/>
  <c r="C187" i="68" s="1"/>
  <c r="B187" i="68"/>
  <c r="E79" i="68"/>
  <c r="C79" i="68" s="1"/>
  <c r="B79" i="68"/>
  <c r="D80" i="68"/>
  <c r="B79" i="63"/>
  <c r="E79" i="63"/>
  <c r="C79" i="63" s="1"/>
  <c r="D80" i="63"/>
  <c r="B77" i="69" l="1"/>
  <c r="E77" i="69"/>
  <c r="C77" i="69" s="1"/>
  <c r="D78" i="69"/>
  <c r="B80" i="62"/>
  <c r="D81" i="62"/>
  <c r="E80" i="62"/>
  <c r="C80" i="62" s="1"/>
  <c r="B80" i="61"/>
  <c r="E80" i="61"/>
  <c r="C80" i="61" s="1"/>
  <c r="D81" i="61"/>
  <c r="D81" i="60"/>
  <c r="B80" i="60"/>
  <c r="E80" i="60"/>
  <c r="C80" i="60" s="1"/>
  <c r="B188" i="68"/>
  <c r="D189" i="68"/>
  <c r="E188" i="68"/>
  <c r="C188" i="68" s="1"/>
  <c r="D81" i="68"/>
  <c r="E80" i="68"/>
  <c r="C80" i="68" s="1"/>
  <c r="B80" i="68"/>
  <c r="B80" i="63"/>
  <c r="D81" i="63"/>
  <c r="E80" i="63"/>
  <c r="C80" i="63" s="1"/>
  <c r="D79" i="69" l="1"/>
  <c r="E78" i="69"/>
  <c r="C78" i="69" s="1"/>
  <c r="B78" i="69"/>
  <c r="D82" i="62"/>
  <c r="B81" i="62"/>
  <c r="E81" i="62"/>
  <c r="C81" i="62" s="1"/>
  <c r="D82" i="61"/>
  <c r="E81" i="61"/>
  <c r="C81" i="61" s="1"/>
  <c r="B81" i="61"/>
  <c r="B81" i="60"/>
  <c r="E81" i="60"/>
  <c r="C81" i="60" s="1"/>
  <c r="D82" i="60"/>
  <c r="D190" i="68"/>
  <c r="E189" i="68"/>
  <c r="C189" i="68" s="1"/>
  <c r="B189" i="68"/>
  <c r="B81" i="68"/>
  <c r="E81" i="68"/>
  <c r="C81" i="68" s="1"/>
  <c r="D82" i="68"/>
  <c r="E81" i="63"/>
  <c r="C81" i="63" s="1"/>
  <c r="D82" i="63"/>
  <c r="B81" i="63"/>
  <c r="B79" i="69" l="1"/>
  <c r="E79" i="69"/>
  <c r="C79" i="69" s="1"/>
  <c r="D80" i="69"/>
  <c r="D83" i="62"/>
  <c r="B82" i="62"/>
  <c r="E82" i="62"/>
  <c r="C82" i="62" s="1"/>
  <c r="E82" i="61"/>
  <c r="C82" i="61" s="1"/>
  <c r="B82" i="61"/>
  <c r="D83" i="61"/>
  <c r="D83" i="60"/>
  <c r="B82" i="60"/>
  <c r="E82" i="60"/>
  <c r="C82" i="60" s="1"/>
  <c r="E190" i="68"/>
  <c r="C190" i="68" s="1"/>
  <c r="D191" i="68"/>
  <c r="B190" i="68"/>
  <c r="D83" i="68"/>
  <c r="E82" i="68"/>
  <c r="C82" i="68" s="1"/>
  <c r="B82" i="68"/>
  <c r="D83" i="63"/>
  <c r="E82" i="63"/>
  <c r="C82" i="63" s="1"/>
  <c r="B82" i="63"/>
  <c r="D81" i="69" l="1"/>
  <c r="B80" i="69"/>
  <c r="E80" i="69"/>
  <c r="C80" i="69" s="1"/>
  <c r="D84" i="62"/>
  <c r="E83" i="62"/>
  <c r="C83" i="62" s="1"/>
  <c r="B83" i="62"/>
  <c r="B83" i="61"/>
  <c r="E83" i="61"/>
  <c r="C83" i="61" s="1"/>
  <c r="D84" i="61"/>
  <c r="B83" i="60"/>
  <c r="D84" i="60"/>
  <c r="E83" i="60"/>
  <c r="C83" i="60" s="1"/>
  <c r="E191" i="68"/>
  <c r="C191" i="68" s="1"/>
  <c r="D192" i="68"/>
  <c r="B191" i="68"/>
  <c r="D84" i="68"/>
  <c r="E83" i="68"/>
  <c r="C83" i="68" s="1"/>
  <c r="B83" i="68"/>
  <c r="B83" i="63"/>
  <c r="D84" i="63"/>
  <c r="E83" i="63"/>
  <c r="C83" i="63" s="1"/>
  <c r="E81" i="69" l="1"/>
  <c r="C81" i="69" s="1"/>
  <c r="B81" i="69"/>
  <c r="D85" i="62"/>
  <c r="E84" i="62"/>
  <c r="C84" i="62" s="1"/>
  <c r="B84" i="62"/>
  <c r="B84" i="61"/>
  <c r="E84" i="61"/>
  <c r="C84" i="61" s="1"/>
  <c r="D85" i="61"/>
  <c r="D85" i="60"/>
  <c r="B84" i="60"/>
  <c r="E84" i="60"/>
  <c r="C84" i="60" s="1"/>
  <c r="B192" i="68"/>
  <c r="D193" i="68"/>
  <c r="E192" i="68"/>
  <c r="C192" i="68" s="1"/>
  <c r="D85" i="68"/>
  <c r="B84" i="68"/>
  <c r="E84" i="68"/>
  <c r="C84" i="68" s="1"/>
  <c r="E84" i="63"/>
  <c r="C84" i="63" s="1"/>
  <c r="D85" i="63"/>
  <c r="B84" i="63"/>
  <c r="B85" i="62" l="1"/>
  <c r="E85" i="62"/>
  <c r="C85" i="62" s="1"/>
  <c r="D86" i="62"/>
  <c r="D86" i="61"/>
  <c r="B85" i="61"/>
  <c r="E85" i="61"/>
  <c r="C85" i="61" s="1"/>
  <c r="D86" i="60"/>
  <c r="B85" i="60"/>
  <c r="E85" i="60"/>
  <c r="C85" i="60" s="1"/>
  <c r="E193" i="68"/>
  <c r="C193" i="68" s="1"/>
  <c r="D194" i="68"/>
  <c r="B193" i="68"/>
  <c r="D86" i="68"/>
  <c r="E85" i="68"/>
  <c r="C85" i="68" s="1"/>
  <c r="B85" i="68"/>
  <c r="E85" i="63"/>
  <c r="C85" i="63" s="1"/>
  <c r="B85" i="63"/>
  <c r="D86" i="63"/>
  <c r="E86" i="62" l="1"/>
  <c r="C86" i="62" s="1"/>
  <c r="D87" i="62"/>
  <c r="B86" i="62"/>
  <c r="D87" i="61"/>
  <c r="B86" i="61"/>
  <c r="E86" i="61"/>
  <c r="C86" i="61" s="1"/>
  <c r="D87" i="60"/>
  <c r="E86" i="60"/>
  <c r="C86" i="60" s="1"/>
  <c r="B86" i="60"/>
  <c r="B194" i="68"/>
  <c r="D195" i="68"/>
  <c r="E194" i="68"/>
  <c r="C194" i="68" s="1"/>
  <c r="D87" i="68"/>
  <c r="E86" i="68"/>
  <c r="C86" i="68" s="1"/>
  <c r="B86" i="68"/>
  <c r="D87" i="63"/>
  <c r="B86" i="63"/>
  <c r="E86" i="63"/>
  <c r="C86" i="63" s="1"/>
  <c r="E87" i="62" l="1"/>
  <c r="C87" i="62" s="1"/>
  <c r="D88" i="62"/>
  <c r="B87" i="62"/>
  <c r="B87" i="61"/>
  <c r="E87" i="61"/>
  <c r="C87" i="61" s="1"/>
  <c r="D88" i="61"/>
  <c r="B87" i="60"/>
  <c r="D88" i="60"/>
  <c r="E87" i="60"/>
  <c r="C87" i="60" s="1"/>
  <c r="D196" i="68"/>
  <c r="E195" i="68"/>
  <c r="C195" i="68" s="1"/>
  <c r="B195" i="68"/>
  <c r="D88" i="68"/>
  <c r="E87" i="68"/>
  <c r="C87" i="68" s="1"/>
  <c r="B87" i="68"/>
  <c r="E87" i="63"/>
  <c r="C87" i="63" s="1"/>
  <c r="B87" i="63"/>
  <c r="D88" i="63"/>
  <c r="D89" i="62" l="1"/>
  <c r="B88" i="62"/>
  <c r="E88" i="62"/>
  <c r="C88" i="62" s="1"/>
  <c r="E88" i="61"/>
  <c r="C88" i="61" s="1"/>
  <c r="D89" i="61"/>
  <c r="B88" i="61"/>
  <c r="B88" i="60"/>
  <c r="E88" i="60"/>
  <c r="C88" i="60" s="1"/>
  <c r="D89" i="60"/>
  <c r="E196" i="68"/>
  <c r="C196" i="68" s="1"/>
  <c r="B196" i="68"/>
  <c r="D197" i="68"/>
  <c r="D89" i="68"/>
  <c r="B88" i="68"/>
  <c r="E88" i="68"/>
  <c r="C88" i="68" s="1"/>
  <c r="D89" i="63"/>
  <c r="B88" i="63"/>
  <c r="E88" i="63"/>
  <c r="C88" i="63" s="1"/>
  <c r="D90" i="62" l="1"/>
  <c r="E89" i="62"/>
  <c r="C89" i="62" s="1"/>
  <c r="B89" i="62"/>
  <c r="D90" i="61"/>
  <c r="B89" i="61"/>
  <c r="E89" i="61"/>
  <c r="C89" i="61" s="1"/>
  <c r="B89" i="60"/>
  <c r="E89" i="60"/>
  <c r="C89" i="60" s="1"/>
  <c r="D90" i="60"/>
  <c r="E197" i="68"/>
  <c r="C197" i="68" s="1"/>
  <c r="B197" i="68"/>
  <c r="D198" i="68"/>
  <c r="E89" i="68"/>
  <c r="C89" i="68" s="1"/>
  <c r="D90" i="68"/>
  <c r="B89" i="68"/>
  <c r="E89" i="63"/>
  <c r="C89" i="63" s="1"/>
  <c r="B89" i="63"/>
  <c r="D90" i="63"/>
  <c r="D91" i="62" l="1"/>
  <c r="B90" i="62"/>
  <c r="E90" i="62"/>
  <c r="C90" i="62" s="1"/>
  <c r="E90" i="61"/>
  <c r="C90" i="61" s="1"/>
  <c r="B90" i="61"/>
  <c r="D91" i="61"/>
  <c r="D91" i="60"/>
  <c r="E90" i="60"/>
  <c r="C90" i="60" s="1"/>
  <c r="B90" i="60"/>
  <c r="E198" i="68"/>
  <c r="C198" i="68" s="1"/>
  <c r="D199" i="68"/>
  <c r="B198" i="68"/>
  <c r="B90" i="68"/>
  <c r="D91" i="68"/>
  <c r="E90" i="68"/>
  <c r="C90" i="68" s="1"/>
  <c r="D91" i="63"/>
  <c r="E90" i="63"/>
  <c r="C90" i="63" s="1"/>
  <c r="B90" i="63"/>
  <c r="B91" i="62" l="1"/>
  <c r="E91" i="62"/>
  <c r="C91" i="62" s="1"/>
  <c r="D92" i="62"/>
  <c r="B91" i="61"/>
  <c r="E91" i="61"/>
  <c r="C91" i="61" s="1"/>
  <c r="D92" i="61"/>
  <c r="D92" i="60"/>
  <c r="E91" i="60"/>
  <c r="C91" i="60" s="1"/>
  <c r="B91" i="60"/>
  <c r="E199" i="68"/>
  <c r="C199" i="68" s="1"/>
  <c r="B199" i="68"/>
  <c r="D200" i="68"/>
  <c r="B91" i="68"/>
  <c r="E91" i="68"/>
  <c r="C91" i="68" s="1"/>
  <c r="D92" i="68"/>
  <c r="B91" i="63"/>
  <c r="D92" i="63"/>
  <c r="E91" i="63"/>
  <c r="C91" i="63" s="1"/>
  <c r="D93" i="62" l="1"/>
  <c r="B92" i="62"/>
  <c r="E92" i="62"/>
  <c r="C92" i="62" s="1"/>
  <c r="B92" i="61"/>
  <c r="D93" i="61"/>
  <c r="E92" i="61"/>
  <c r="C92" i="61" s="1"/>
  <c r="D93" i="60"/>
  <c r="B92" i="60"/>
  <c r="E92" i="60"/>
  <c r="C92" i="60" s="1"/>
  <c r="E200" i="68"/>
  <c r="C200" i="68" s="1"/>
  <c r="B200" i="68"/>
  <c r="D201" i="68"/>
  <c r="D93" i="68"/>
  <c r="B92" i="68"/>
  <c r="E92" i="68"/>
  <c r="C92" i="68" s="1"/>
  <c r="B92" i="63"/>
  <c r="D93" i="63"/>
  <c r="E92" i="63"/>
  <c r="C92" i="63" s="1"/>
  <c r="E93" i="62" l="1"/>
  <c r="C93" i="62" s="1"/>
  <c r="D94" i="62"/>
  <c r="B93" i="62"/>
  <c r="D94" i="61"/>
  <c r="B93" i="61"/>
  <c r="E93" i="61"/>
  <c r="C93" i="61" s="1"/>
  <c r="B93" i="60"/>
  <c r="E93" i="60"/>
  <c r="C93" i="60" s="1"/>
  <c r="D94" i="60"/>
  <c r="B201" i="68"/>
  <c r="D202" i="68"/>
  <c r="E201" i="68"/>
  <c r="C201" i="68" s="1"/>
  <c r="E93" i="68"/>
  <c r="C93" i="68" s="1"/>
  <c r="B93" i="68"/>
  <c r="D94" i="68"/>
  <c r="E93" i="63"/>
  <c r="C93" i="63" s="1"/>
  <c r="B93" i="63"/>
  <c r="D94" i="63"/>
  <c r="E94" i="62" l="1"/>
  <c r="C94" i="62" s="1"/>
  <c r="D95" i="62"/>
  <c r="B94" i="62"/>
  <c r="D95" i="61"/>
  <c r="B94" i="61"/>
  <c r="E94" i="61"/>
  <c r="C94" i="61" s="1"/>
  <c r="B94" i="60"/>
  <c r="E94" i="60"/>
  <c r="C94" i="60" s="1"/>
  <c r="D95" i="60"/>
  <c r="B202" i="68"/>
  <c r="E202" i="68"/>
  <c r="C202" i="68" s="1"/>
  <c r="D203" i="68"/>
  <c r="E94" i="68"/>
  <c r="C94" i="68" s="1"/>
  <c r="D95" i="68"/>
  <c r="B94" i="68"/>
  <c r="D95" i="63"/>
  <c r="E94" i="63"/>
  <c r="C94" i="63" s="1"/>
  <c r="B94" i="63"/>
  <c r="D96" i="62" l="1"/>
  <c r="B95" i="62"/>
  <c r="E95" i="62"/>
  <c r="C95" i="62" s="1"/>
  <c r="D96" i="61"/>
  <c r="E95" i="61"/>
  <c r="C95" i="61" s="1"/>
  <c r="B95" i="61"/>
  <c r="B95" i="60"/>
  <c r="E95" i="60"/>
  <c r="C95" i="60" s="1"/>
  <c r="D96" i="60"/>
  <c r="D204" i="68"/>
  <c r="E203" i="68"/>
  <c r="C203" i="68" s="1"/>
  <c r="B203" i="68"/>
  <c r="E95" i="68"/>
  <c r="C95" i="68" s="1"/>
  <c r="D96" i="68"/>
  <c r="B95" i="68"/>
  <c r="E95" i="63"/>
  <c r="C95" i="63" s="1"/>
  <c r="D96" i="63"/>
  <c r="B95" i="63"/>
  <c r="B96" i="62" l="1"/>
  <c r="E96" i="62"/>
  <c r="C96" i="62" s="1"/>
  <c r="D97" i="62"/>
  <c r="D97" i="61"/>
  <c r="B96" i="61"/>
  <c r="E96" i="61"/>
  <c r="C96" i="61" s="1"/>
  <c r="E96" i="60"/>
  <c r="C96" i="60" s="1"/>
  <c r="B96" i="60"/>
  <c r="D97" i="60"/>
  <c r="E204" i="68"/>
  <c r="C204" i="68" s="1"/>
  <c r="B204" i="68"/>
  <c r="D205" i="68"/>
  <c r="D97" i="68"/>
  <c r="B96" i="68"/>
  <c r="E96" i="68"/>
  <c r="C96" i="68" s="1"/>
  <c r="B96" i="63"/>
  <c r="E96" i="63"/>
  <c r="C96" i="63" s="1"/>
  <c r="D97" i="63"/>
  <c r="D98" i="62" l="1"/>
  <c r="E97" i="62"/>
  <c r="C97" i="62" s="1"/>
  <c r="B97" i="62"/>
  <c r="D98" i="61"/>
  <c r="B97" i="61"/>
  <c r="E97" i="61"/>
  <c r="C97" i="61" s="1"/>
  <c r="D98" i="60"/>
  <c r="E97" i="60"/>
  <c r="C97" i="60" s="1"/>
  <c r="B97" i="60"/>
  <c r="D206" i="68"/>
  <c r="E205" i="68"/>
  <c r="C205" i="68" s="1"/>
  <c r="B205" i="68"/>
  <c r="E97" i="68"/>
  <c r="C97" i="68" s="1"/>
  <c r="B97" i="68"/>
  <c r="D98" i="68"/>
  <c r="E97" i="63"/>
  <c r="C97" i="63" s="1"/>
  <c r="B97" i="63"/>
  <c r="D98" i="63"/>
  <c r="B98" i="62" l="1"/>
  <c r="E98" i="62"/>
  <c r="C98" i="62" s="1"/>
  <c r="D99" i="62"/>
  <c r="B98" i="61"/>
  <c r="E98" i="61"/>
  <c r="C98" i="61" s="1"/>
  <c r="D99" i="61"/>
  <c r="D99" i="60"/>
  <c r="E98" i="60"/>
  <c r="C98" i="60" s="1"/>
  <c r="B98" i="60"/>
  <c r="D207" i="68"/>
  <c r="E206" i="68"/>
  <c r="C206" i="68" s="1"/>
  <c r="B206" i="68"/>
  <c r="D99" i="68"/>
  <c r="B98" i="68"/>
  <c r="E98" i="68"/>
  <c r="C98" i="68" s="1"/>
  <c r="B98" i="63"/>
  <c r="E98" i="63"/>
  <c r="C98" i="63" s="1"/>
  <c r="D99" i="63"/>
  <c r="B99" i="62" l="1"/>
  <c r="E99" i="62"/>
  <c r="C99" i="62" s="1"/>
  <c r="D100" i="62"/>
  <c r="D100" i="61"/>
  <c r="B99" i="61"/>
  <c r="E99" i="61"/>
  <c r="C99" i="61" s="1"/>
  <c r="B99" i="60"/>
  <c r="E99" i="60"/>
  <c r="C99" i="60" s="1"/>
  <c r="D100" i="60"/>
  <c r="E207" i="68"/>
  <c r="C207" i="68" s="1"/>
  <c r="D208" i="68"/>
  <c r="B207" i="68"/>
  <c r="B99" i="68"/>
  <c r="E99" i="68"/>
  <c r="C99" i="68" s="1"/>
  <c r="D100" i="68"/>
  <c r="E99" i="63"/>
  <c r="C99" i="63" s="1"/>
  <c r="B99" i="63"/>
  <c r="D100" i="63"/>
  <c r="D101" i="62" l="1"/>
  <c r="B100" i="62"/>
  <c r="E100" i="62"/>
  <c r="C100" i="62" s="1"/>
  <c r="E100" i="61"/>
  <c r="C100" i="61" s="1"/>
  <c r="D101" i="61"/>
  <c r="B100" i="61"/>
  <c r="B100" i="60"/>
  <c r="E100" i="60"/>
  <c r="C100" i="60" s="1"/>
  <c r="D101" i="60"/>
  <c r="D209" i="68"/>
  <c r="B208" i="68"/>
  <c r="E208" i="68"/>
  <c r="C208" i="68" s="1"/>
  <c r="D101" i="68"/>
  <c r="B100" i="68"/>
  <c r="E100" i="68"/>
  <c r="C100" i="68" s="1"/>
  <c r="B100" i="63"/>
  <c r="E100" i="63"/>
  <c r="C100" i="63" s="1"/>
  <c r="D101" i="63"/>
  <c r="B101" i="62" l="1"/>
  <c r="E101" i="62"/>
  <c r="C101" i="62" s="1"/>
  <c r="D102" i="62"/>
  <c r="B101" i="61"/>
  <c r="E101" i="61"/>
  <c r="C101" i="61" s="1"/>
  <c r="D102" i="61"/>
  <c r="B101" i="60"/>
  <c r="E101" i="60"/>
  <c r="C101" i="60" s="1"/>
  <c r="D102" i="60"/>
  <c r="E209" i="68"/>
  <c r="C209" i="68" s="1"/>
  <c r="B209" i="68"/>
  <c r="D210" i="68"/>
  <c r="B101" i="68"/>
  <c r="D102" i="68"/>
  <c r="E101" i="68"/>
  <c r="C101" i="68" s="1"/>
  <c r="E101" i="63"/>
  <c r="C101" i="63" s="1"/>
  <c r="D102" i="63"/>
  <c r="B101" i="63"/>
  <c r="D103" i="62" l="1"/>
  <c r="B102" i="62"/>
  <c r="E102" i="62"/>
  <c r="C102" i="62" s="1"/>
  <c r="D103" i="61"/>
  <c r="E102" i="61"/>
  <c r="C102" i="61" s="1"/>
  <c r="B102" i="61"/>
  <c r="E102" i="60"/>
  <c r="C102" i="60" s="1"/>
  <c r="D103" i="60"/>
  <c r="B102" i="60"/>
  <c r="B210" i="68"/>
  <c r="E210" i="68"/>
  <c r="C210" i="68" s="1"/>
  <c r="D211" i="68"/>
  <c r="D103" i="68"/>
  <c r="B102" i="68"/>
  <c r="E102" i="68"/>
  <c r="C102" i="68" s="1"/>
  <c r="E102" i="63"/>
  <c r="C102" i="63" s="1"/>
  <c r="B102" i="63"/>
  <c r="D103" i="63"/>
  <c r="D104" i="62" l="1"/>
  <c r="B103" i="62"/>
  <c r="E103" i="62"/>
  <c r="C103" i="62" s="1"/>
  <c r="B103" i="61"/>
  <c r="E103" i="61"/>
  <c r="C103" i="61" s="1"/>
  <c r="D104" i="61"/>
  <c r="E103" i="60"/>
  <c r="C103" i="60" s="1"/>
  <c r="D104" i="60"/>
  <c r="B103" i="60"/>
  <c r="E211" i="68"/>
  <c r="C211" i="68" s="1"/>
  <c r="D212" i="68"/>
  <c r="B211" i="68"/>
  <c r="E103" i="68"/>
  <c r="C103" i="68" s="1"/>
  <c r="B103" i="68"/>
  <c r="D104" i="68"/>
  <c r="B103" i="63"/>
  <c r="E103" i="63"/>
  <c r="C103" i="63" s="1"/>
  <c r="D104" i="63"/>
  <c r="B104" i="62" l="1"/>
  <c r="D105" i="62"/>
  <c r="E104" i="62"/>
  <c r="C104" i="62" s="1"/>
  <c r="D105" i="61"/>
  <c r="E104" i="61"/>
  <c r="C104" i="61" s="1"/>
  <c r="B104" i="61"/>
  <c r="D105" i="60"/>
  <c r="E104" i="60"/>
  <c r="C104" i="60" s="1"/>
  <c r="B104" i="60"/>
  <c r="B212" i="68"/>
  <c r="E212" i="68"/>
  <c r="C212" i="68" s="1"/>
  <c r="D213" i="68"/>
  <c r="E104" i="68"/>
  <c r="C104" i="68" s="1"/>
  <c r="B104" i="68"/>
  <c r="D105" i="68"/>
  <c r="D105" i="63"/>
  <c r="B104" i="63"/>
  <c r="E104" i="63"/>
  <c r="C104" i="63" s="1"/>
  <c r="D106" i="62" l="1"/>
  <c r="B105" i="62"/>
  <c r="E105" i="62"/>
  <c r="C105" i="62" s="1"/>
  <c r="B105" i="61"/>
  <c r="D106" i="61"/>
  <c r="E105" i="61"/>
  <c r="C105" i="61" s="1"/>
  <c r="E105" i="60"/>
  <c r="C105" i="60" s="1"/>
  <c r="D106" i="60"/>
  <c r="B105" i="60"/>
  <c r="E213" i="68"/>
  <c r="C213" i="68" s="1"/>
  <c r="D214" i="68"/>
  <c r="B213" i="68"/>
  <c r="B105" i="68"/>
  <c r="E105" i="68"/>
  <c r="C105" i="68" s="1"/>
  <c r="D106" i="68"/>
  <c r="D106" i="63"/>
  <c r="B105" i="63"/>
  <c r="E105" i="63"/>
  <c r="C105" i="63" s="1"/>
  <c r="B106" i="62" l="1"/>
  <c r="D107" i="62"/>
  <c r="E106" i="62"/>
  <c r="C106" i="62" s="1"/>
  <c r="B106" i="61"/>
  <c r="E106" i="61"/>
  <c r="C106" i="61" s="1"/>
  <c r="D107" i="61"/>
  <c r="B106" i="60"/>
  <c r="D107" i="60"/>
  <c r="E106" i="60"/>
  <c r="C106" i="60" s="1"/>
  <c r="D215" i="68"/>
  <c r="B214" i="68"/>
  <c r="E214" i="68"/>
  <c r="C214" i="68" s="1"/>
  <c r="D107" i="68"/>
  <c r="E106" i="68"/>
  <c r="C106" i="68" s="1"/>
  <c r="B106" i="68"/>
  <c r="E106" i="63"/>
  <c r="C106" i="63" s="1"/>
  <c r="D107" i="63"/>
  <c r="B106" i="63"/>
  <c r="B107" i="62" l="1"/>
  <c r="D108" i="62"/>
  <c r="E107" i="62"/>
  <c r="C107" i="62" s="1"/>
  <c r="B107" i="61"/>
  <c r="E107" i="61"/>
  <c r="C107" i="61" s="1"/>
  <c r="D108" i="61"/>
  <c r="E107" i="60"/>
  <c r="C107" i="60" s="1"/>
  <c r="D108" i="60"/>
  <c r="B107" i="60"/>
  <c r="E215" i="68"/>
  <c r="C215" i="68" s="1"/>
  <c r="B215" i="68"/>
  <c r="E107" i="68"/>
  <c r="C107" i="68" s="1"/>
  <c r="B107" i="68"/>
  <c r="E107" i="63"/>
  <c r="C107" i="63" s="1"/>
  <c r="D108" i="63"/>
  <c r="B107" i="63"/>
  <c r="B108" i="62" l="1"/>
  <c r="D109" i="62"/>
  <c r="E108" i="62"/>
  <c r="C108" i="62" s="1"/>
  <c r="E108" i="61"/>
  <c r="C108" i="61" s="1"/>
  <c r="D109" i="61"/>
  <c r="B108" i="61"/>
  <c r="B108" i="60"/>
  <c r="E108" i="60"/>
  <c r="C108" i="60" s="1"/>
  <c r="D109" i="60"/>
  <c r="D109" i="63"/>
  <c r="E108" i="63"/>
  <c r="C108" i="63" s="1"/>
  <c r="B108" i="63"/>
  <c r="E109" i="62" l="1"/>
  <c r="C109" i="62" s="1"/>
  <c r="B109" i="62"/>
  <c r="D110" i="62"/>
  <c r="B109" i="61"/>
  <c r="E109" i="61"/>
  <c r="C109" i="61" s="1"/>
  <c r="D110" i="61"/>
  <c r="D110" i="60"/>
  <c r="B109" i="60"/>
  <c r="E109" i="60"/>
  <c r="C109" i="60" s="1"/>
  <c r="D110" i="63"/>
  <c r="B109" i="63"/>
  <c r="E109" i="63"/>
  <c r="C109" i="63" s="1"/>
  <c r="D111" i="62" l="1"/>
  <c r="B110" i="62"/>
  <c r="E110" i="62"/>
  <c r="C110" i="62" s="1"/>
  <c r="E110" i="61"/>
  <c r="C110" i="61" s="1"/>
  <c r="D111" i="61"/>
  <c r="B110" i="61"/>
  <c r="B110" i="60"/>
  <c r="D111" i="60"/>
  <c r="E110" i="60"/>
  <c r="C110" i="60" s="1"/>
  <c r="B110" i="63"/>
  <c r="E110" i="63"/>
  <c r="C110" i="63" s="1"/>
  <c r="D111" i="63"/>
  <c r="D112" i="62" l="1"/>
  <c r="E111" i="62"/>
  <c r="C111" i="62" s="1"/>
  <c r="B111" i="62"/>
  <c r="E111" i="61"/>
  <c r="C111" i="61" s="1"/>
  <c r="D112" i="61"/>
  <c r="B111" i="61"/>
  <c r="D112" i="60"/>
  <c r="E111" i="60"/>
  <c r="C111" i="60" s="1"/>
  <c r="B111" i="60"/>
  <c r="E111" i="63"/>
  <c r="C111" i="63" s="1"/>
  <c r="B111" i="63"/>
  <c r="D112" i="63"/>
  <c r="E112" i="62" l="1"/>
  <c r="C112" i="62" s="1"/>
  <c r="B112" i="62"/>
  <c r="D113" i="62"/>
  <c r="E112" i="61"/>
  <c r="C112" i="61" s="1"/>
  <c r="B112" i="61"/>
  <c r="D113" i="61"/>
  <c r="D113" i="60"/>
  <c r="E112" i="60"/>
  <c r="C112" i="60" s="1"/>
  <c r="B112" i="60"/>
  <c r="B112" i="63"/>
  <c r="D113" i="63"/>
  <c r="E112" i="63"/>
  <c r="C112" i="63" s="1"/>
  <c r="E113" i="62" l="1"/>
  <c r="C113" i="62" s="1"/>
  <c r="B113" i="62"/>
  <c r="D114" i="62"/>
  <c r="B113" i="61"/>
  <c r="E113" i="61"/>
  <c r="C113" i="61" s="1"/>
  <c r="D114" i="61"/>
  <c r="E113" i="60"/>
  <c r="C113" i="60" s="1"/>
  <c r="B113" i="60"/>
  <c r="D114" i="60"/>
  <c r="E113" i="63"/>
  <c r="C113" i="63" s="1"/>
  <c r="D114" i="63"/>
  <c r="B113" i="63"/>
  <c r="B114" i="62" l="1"/>
  <c r="E114" i="62"/>
  <c r="C114" i="62" s="1"/>
  <c r="D115" i="62"/>
  <c r="D115" i="61"/>
  <c r="B114" i="61"/>
  <c r="E114" i="61"/>
  <c r="C114" i="61" s="1"/>
  <c r="E114" i="60"/>
  <c r="C114" i="60" s="1"/>
  <c r="D115" i="60"/>
  <c r="B114" i="60"/>
  <c r="B114" i="63"/>
  <c r="E114" i="63"/>
  <c r="C114" i="63" s="1"/>
  <c r="D115" i="63"/>
  <c r="B115" i="62" l="1"/>
  <c r="E115" i="62"/>
  <c r="C115" i="62" s="1"/>
  <c r="D116" i="62"/>
  <c r="B115" i="61"/>
  <c r="D116" i="61"/>
  <c r="E115" i="61"/>
  <c r="C115" i="61" s="1"/>
  <c r="B115" i="60"/>
  <c r="D116" i="60"/>
  <c r="E115" i="60"/>
  <c r="C115" i="60" s="1"/>
  <c r="D116" i="63"/>
  <c r="E115" i="63"/>
  <c r="C115" i="63" s="1"/>
  <c r="B115" i="63"/>
  <c r="D117" i="62" l="1"/>
  <c r="E116" i="62"/>
  <c r="C116" i="62" s="1"/>
  <c r="B116" i="62"/>
  <c r="B116" i="61"/>
  <c r="D117" i="61"/>
  <c r="E116" i="61"/>
  <c r="C116" i="61" s="1"/>
  <c r="E116" i="60"/>
  <c r="C116" i="60" s="1"/>
  <c r="B116" i="60"/>
  <c r="D117" i="60"/>
  <c r="E116" i="63"/>
  <c r="C116" i="63" s="1"/>
  <c r="D117" i="63"/>
  <c r="B116" i="63"/>
  <c r="B117" i="62" l="1"/>
  <c r="E117" i="62"/>
  <c r="C117" i="62" s="1"/>
  <c r="D118" i="62"/>
  <c r="E117" i="61"/>
  <c r="C117" i="61" s="1"/>
  <c r="B117" i="61"/>
  <c r="D118" i="61"/>
  <c r="D118" i="60"/>
  <c r="E117" i="60"/>
  <c r="C117" i="60" s="1"/>
  <c r="B117" i="60"/>
  <c r="B117" i="63"/>
  <c r="E117" i="63"/>
  <c r="C117" i="63" s="1"/>
  <c r="D118" i="63"/>
  <c r="D119" i="62" l="1"/>
  <c r="E118" i="62"/>
  <c r="C118" i="62" s="1"/>
  <c r="B118" i="62"/>
  <c r="B118" i="61"/>
  <c r="E118" i="61"/>
  <c r="C118" i="61" s="1"/>
  <c r="D119" i="61"/>
  <c r="E118" i="60"/>
  <c r="C118" i="60" s="1"/>
  <c r="B118" i="60"/>
  <c r="D119" i="60"/>
  <c r="B118" i="63"/>
  <c r="E118" i="63"/>
  <c r="C118" i="63" s="1"/>
  <c r="D119" i="63"/>
  <c r="B119" i="62" l="1"/>
  <c r="E119" i="62"/>
  <c r="C119" i="62" s="1"/>
  <c r="D120" i="62"/>
  <c r="B119" i="61"/>
  <c r="D120" i="61"/>
  <c r="E119" i="61"/>
  <c r="C119" i="61" s="1"/>
  <c r="D120" i="60"/>
  <c r="B119" i="60"/>
  <c r="E119" i="60"/>
  <c r="C119" i="60" s="1"/>
  <c r="B119" i="63"/>
  <c r="E119" i="63"/>
  <c r="C119" i="63" s="1"/>
  <c r="D120" i="63"/>
  <c r="B120" i="62" l="1"/>
  <c r="E120" i="62"/>
  <c r="C120" i="62" s="1"/>
  <c r="D121" i="62"/>
  <c r="B120" i="61"/>
  <c r="D121" i="61"/>
  <c r="E120" i="61"/>
  <c r="C120" i="61" s="1"/>
  <c r="E120" i="60"/>
  <c r="C120" i="60" s="1"/>
  <c r="B120" i="60"/>
  <c r="D121" i="60"/>
  <c r="E120" i="63"/>
  <c r="C120" i="63" s="1"/>
  <c r="D121" i="63"/>
  <c r="B120" i="63"/>
  <c r="B121" i="62" l="1"/>
  <c r="E121" i="62"/>
  <c r="C121" i="62" s="1"/>
  <c r="D122" i="62"/>
  <c r="B121" i="61"/>
  <c r="E121" i="61"/>
  <c r="C121" i="61" s="1"/>
  <c r="D122" i="61"/>
  <c r="D122" i="60"/>
  <c r="B121" i="60"/>
  <c r="E121" i="60"/>
  <c r="C121" i="60" s="1"/>
  <c r="D122" i="63"/>
  <c r="B121" i="63"/>
  <c r="E121" i="63"/>
  <c r="C121" i="63" s="1"/>
  <c r="B122" i="62" l="1"/>
  <c r="E122" i="62"/>
  <c r="C122" i="62" s="1"/>
  <c r="D123" i="62"/>
  <c r="E122" i="61"/>
  <c r="C122" i="61" s="1"/>
  <c r="B122" i="61"/>
  <c r="D123" i="61"/>
  <c r="B122" i="60"/>
  <c r="D123" i="60"/>
  <c r="E122" i="60"/>
  <c r="C122" i="60" s="1"/>
  <c r="E122" i="63"/>
  <c r="C122" i="63" s="1"/>
  <c r="D123" i="63"/>
  <c r="B122" i="63"/>
  <c r="D124" i="62" l="1"/>
  <c r="E123" i="62"/>
  <c r="C123" i="62" s="1"/>
  <c r="B123" i="62"/>
  <c r="E123" i="61"/>
  <c r="C123" i="61" s="1"/>
  <c r="D124" i="61"/>
  <c r="B123" i="61"/>
  <c r="B123" i="60"/>
  <c r="E123" i="60"/>
  <c r="C123" i="60" s="1"/>
  <c r="D124" i="60"/>
  <c r="D124" i="63"/>
  <c r="E123" i="63"/>
  <c r="C123" i="63" s="1"/>
  <c r="B123" i="63"/>
  <c r="D125" i="62" l="1"/>
  <c r="B124" i="62"/>
  <c r="E124" i="62"/>
  <c r="C124" i="62" s="1"/>
  <c r="D125" i="61"/>
  <c r="B124" i="61"/>
  <c r="E124" i="61"/>
  <c r="C124" i="61" s="1"/>
  <c r="D125" i="60"/>
  <c r="B124" i="60"/>
  <c r="E124" i="60"/>
  <c r="C124" i="60" s="1"/>
  <c r="D125" i="63"/>
  <c r="E124" i="63"/>
  <c r="C124" i="63" s="1"/>
  <c r="B124" i="63"/>
  <c r="B125" i="62" l="1"/>
  <c r="E125" i="62"/>
  <c r="C125" i="62" s="1"/>
  <c r="D126" i="62"/>
  <c r="D126" i="61"/>
  <c r="E125" i="61"/>
  <c r="C125" i="61" s="1"/>
  <c r="B125" i="61"/>
  <c r="E125" i="60"/>
  <c r="C125" i="60" s="1"/>
  <c r="D126" i="60"/>
  <c r="B125" i="60"/>
  <c r="E125" i="63"/>
  <c r="C125" i="63" s="1"/>
  <c r="D126" i="63"/>
  <c r="B125" i="63"/>
  <c r="E126" i="62" l="1"/>
  <c r="C126" i="62" s="1"/>
  <c r="D127" i="62"/>
  <c r="B126" i="62"/>
  <c r="B126" i="61"/>
  <c r="E126" i="61"/>
  <c r="C126" i="61" s="1"/>
  <c r="D127" i="61"/>
  <c r="E126" i="60"/>
  <c r="C126" i="60" s="1"/>
  <c r="B126" i="60"/>
  <c r="D127" i="60"/>
  <c r="B126" i="63"/>
  <c r="E126" i="63"/>
  <c r="C126" i="63" s="1"/>
  <c r="D127" i="63"/>
  <c r="B127" i="62" l="1"/>
  <c r="E127" i="62"/>
  <c r="C127" i="62" s="1"/>
  <c r="D128" i="62"/>
  <c r="D128" i="61"/>
  <c r="E127" i="61"/>
  <c r="C127" i="61" s="1"/>
  <c r="B127" i="61"/>
  <c r="E127" i="60"/>
  <c r="C127" i="60" s="1"/>
  <c r="B127" i="60"/>
  <c r="D128" i="60"/>
  <c r="B127" i="63"/>
  <c r="E127" i="63"/>
  <c r="C127" i="63" s="1"/>
  <c r="D128" i="63"/>
  <c r="B128" i="62" l="1"/>
  <c r="D129" i="62"/>
  <c r="E128" i="62"/>
  <c r="C128" i="62" s="1"/>
  <c r="B128" i="61"/>
  <c r="E128" i="61"/>
  <c r="C128" i="61" s="1"/>
  <c r="D129" i="61"/>
  <c r="B128" i="60"/>
  <c r="E128" i="60"/>
  <c r="C128" i="60" s="1"/>
  <c r="B128" i="63"/>
  <c r="D129" i="63"/>
  <c r="E128" i="63"/>
  <c r="C128" i="63" s="1"/>
  <c r="D130" i="62" l="1"/>
  <c r="B129" i="62"/>
  <c r="E129" i="62"/>
  <c r="C129" i="62" s="1"/>
  <c r="B129" i="61"/>
  <c r="D130" i="61"/>
  <c r="E129" i="61"/>
  <c r="C129" i="61" s="1"/>
  <c r="D130" i="63"/>
  <c r="E129" i="63"/>
  <c r="C129" i="63" s="1"/>
  <c r="B129" i="63"/>
  <c r="D131" i="62" l="1"/>
  <c r="B130" i="62"/>
  <c r="E130" i="62"/>
  <c r="C130" i="62" s="1"/>
  <c r="B130" i="61"/>
  <c r="E130" i="61"/>
  <c r="C130" i="61" s="1"/>
  <c r="D131" i="61"/>
  <c r="D131" i="63"/>
  <c r="E130" i="63"/>
  <c r="C130" i="63" s="1"/>
  <c r="B130" i="63"/>
  <c r="B131" i="62" l="1"/>
  <c r="D132" i="62"/>
  <c r="E131" i="62"/>
  <c r="C131" i="62" s="1"/>
  <c r="D132" i="61"/>
  <c r="B131" i="61"/>
  <c r="E131" i="61"/>
  <c r="C131" i="61" s="1"/>
  <c r="D132" i="63"/>
  <c r="E131" i="63"/>
  <c r="C131" i="63" s="1"/>
  <c r="B131" i="63"/>
  <c r="E132" i="62" l="1"/>
  <c r="C132" i="62" s="1"/>
  <c r="B132" i="62"/>
  <c r="D133" i="62"/>
  <c r="E132" i="61"/>
  <c r="C132" i="61" s="1"/>
  <c r="D133" i="61"/>
  <c r="B132" i="61"/>
  <c r="D133" i="63"/>
  <c r="E132" i="63"/>
  <c r="C132" i="63" s="1"/>
  <c r="B132" i="63"/>
  <c r="E133" i="62" l="1"/>
  <c r="C133" i="62" s="1"/>
  <c r="D134" i="62"/>
  <c r="B133" i="62"/>
  <c r="B133" i="61"/>
  <c r="E133" i="61"/>
  <c r="C133" i="61" s="1"/>
  <c r="D134" i="61"/>
  <c r="B133" i="63"/>
  <c r="E133" i="63"/>
  <c r="C133" i="63" s="1"/>
  <c r="D134" i="63"/>
  <c r="B134" i="62" l="1"/>
  <c r="E134" i="62"/>
  <c r="C134" i="62" s="1"/>
  <c r="E134" i="61"/>
  <c r="C134" i="61" s="1"/>
  <c r="B134" i="61"/>
  <c r="E134" i="63"/>
  <c r="C134" i="63" s="1"/>
  <c r="B134" i="63"/>
</calcChain>
</file>

<file path=xl/sharedStrings.xml><?xml version="1.0" encoding="utf-8"?>
<sst xmlns="http://schemas.openxmlformats.org/spreadsheetml/2006/main" count="3879" uniqueCount="978">
  <si>
    <t>Version</t>
  </si>
  <si>
    <t>Changes</t>
  </si>
  <si>
    <t>Author</t>
  </si>
  <si>
    <t>Date</t>
  </si>
  <si>
    <t>Internal Firmware Version</t>
  </si>
  <si>
    <t>External Firmware Version</t>
  </si>
  <si>
    <t>v1.00</t>
    <phoneticPr fontId="10" type="noConversion"/>
  </si>
  <si>
    <t>/</t>
  </si>
  <si>
    <t>Block</t>
  </si>
  <si>
    <t>Sector</t>
    <phoneticPr fontId="10" type="noConversion"/>
  </si>
  <si>
    <t>Sheet</t>
  </si>
  <si>
    <t>Start</t>
  </si>
  <si>
    <t>End</t>
  </si>
  <si>
    <t>Length(reg num)</t>
  </si>
  <si>
    <t>Comments</t>
  </si>
  <si>
    <t>System Setting</t>
    <phoneticPr fontId="10" type="noConversion"/>
  </si>
  <si>
    <r>
      <t>System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Communication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Time
Settings</t>
    </r>
    <phoneticPr fontId="10" type="noConversion"/>
  </si>
  <si>
    <t>Basic Settings</t>
  </si>
  <si>
    <t>0x1000</t>
  </si>
  <si>
    <t>0x1006</t>
  </si>
  <si>
    <t>Basic Settings</t>
    <phoneticPr fontId="10" type="noConversion"/>
  </si>
  <si>
    <t>0x1040</t>
  </si>
  <si>
    <t>0x10A0</t>
  </si>
  <si>
    <t>Metrology Settings</t>
    <phoneticPr fontId="10" type="noConversion"/>
  </si>
  <si>
    <t>0x10AA</t>
  </si>
  <si>
    <t>0x17CC</t>
  </si>
  <si>
    <t>Operations</t>
  </si>
  <si>
    <t>0x17D6</t>
  </si>
  <si>
    <t>0x17DB</t>
  </si>
  <si>
    <t>Wring Check</t>
  </si>
  <si>
    <t>Wiring Check</t>
    <phoneticPr fontId="10" type="noConversion"/>
  </si>
  <si>
    <t>0x1300</t>
  </si>
  <si>
    <t>0x13EC</t>
  </si>
  <si>
    <t>HS(Half Cycle)</t>
    <phoneticPr fontId="10" type="noConversion"/>
  </si>
  <si>
    <t>RMS(Half Cycle)</t>
    <phoneticPr fontId="10" type="noConversion"/>
  </si>
  <si>
    <t>0x2000</t>
    <phoneticPr fontId="10" type="noConversion"/>
  </si>
  <si>
    <t>0x2400</t>
    <phoneticPr fontId="10" type="noConversion"/>
  </si>
  <si>
    <t>Energy</t>
  </si>
  <si>
    <t>Energy</t>
    <phoneticPr fontId="10" type="noConversion"/>
  </si>
  <si>
    <t>0x2500</t>
    <phoneticPr fontId="10" type="noConversion"/>
  </si>
  <si>
    <t>0x268E</t>
    <phoneticPr fontId="10" type="noConversion"/>
  </si>
  <si>
    <t>Demand</t>
    <phoneticPr fontId="10" type="noConversion"/>
  </si>
  <si>
    <t>0x2700</t>
    <phoneticPr fontId="10" type="noConversion"/>
  </si>
  <si>
    <t>0x2842</t>
    <phoneticPr fontId="10" type="noConversion"/>
  </si>
  <si>
    <t>10|12 Cycle</t>
    <phoneticPr fontId="10" type="noConversion"/>
  </si>
  <si>
    <t>RMS(10/12 Cycle)</t>
    <phoneticPr fontId="10" type="noConversion"/>
  </si>
  <si>
    <t>0x2900</t>
    <phoneticPr fontId="10" type="noConversion"/>
  </si>
  <si>
    <t>0x2BB1</t>
    <phoneticPr fontId="10" type="noConversion"/>
  </si>
  <si>
    <t>Power(10/12 Cycle)</t>
    <phoneticPr fontId="10" type="noConversion"/>
  </si>
  <si>
    <t>0x2BB2</t>
    <phoneticPr fontId="10" type="noConversion"/>
  </si>
  <si>
    <t>0x2C22</t>
    <phoneticPr fontId="10" type="noConversion"/>
  </si>
  <si>
    <t>Power Quality(10/12 Cycle)</t>
    <phoneticPr fontId="10" type="noConversion"/>
  </si>
  <si>
    <t>0x2C23</t>
    <phoneticPr fontId="10" type="noConversion"/>
  </si>
  <si>
    <t>0x3FF2</t>
    <phoneticPr fontId="10" type="noConversion"/>
  </si>
  <si>
    <t>150|180 Cycle</t>
    <phoneticPr fontId="10" type="noConversion"/>
  </si>
  <si>
    <t>RMS(150|180 Cycle)</t>
    <phoneticPr fontId="10" type="noConversion"/>
  </si>
  <si>
    <t>0x4000</t>
    <phoneticPr fontId="10" type="noConversion"/>
  </si>
  <si>
    <t>0x42B1</t>
    <phoneticPr fontId="10" type="noConversion"/>
  </si>
  <si>
    <t>Power(150|180 Cycle)</t>
  </si>
  <si>
    <t>Power(150|180 Cycle)</t>
    <phoneticPr fontId="10" type="noConversion"/>
  </si>
  <si>
    <t>0x42B2</t>
    <phoneticPr fontId="10" type="noConversion"/>
  </si>
  <si>
    <t>0x4322</t>
    <phoneticPr fontId="10" type="noConversion"/>
  </si>
  <si>
    <t>Power Quality(150|180 Cycle)</t>
    <phoneticPr fontId="10" type="noConversion"/>
  </si>
  <si>
    <t>0x4323</t>
    <phoneticPr fontId="10" type="noConversion"/>
  </si>
  <si>
    <t>0x56F2</t>
    <phoneticPr fontId="10" type="noConversion"/>
  </si>
  <si>
    <t>Flicker</t>
    <phoneticPr fontId="10" type="noConversion"/>
  </si>
  <si>
    <t>0x56F3</t>
    <phoneticPr fontId="10" type="noConversion"/>
  </si>
  <si>
    <t>0x56FE</t>
    <phoneticPr fontId="10" type="noConversion"/>
  </si>
  <si>
    <t xml:space="preserve">10 Min </t>
    <phoneticPr fontId="10" type="noConversion"/>
  </si>
  <si>
    <t>RMS(10 Min)</t>
    <phoneticPr fontId="10" type="noConversion"/>
  </si>
  <si>
    <t>0x5710</t>
    <phoneticPr fontId="10" type="noConversion"/>
  </si>
  <si>
    <t>0x59C1</t>
    <phoneticPr fontId="10" type="noConversion"/>
  </si>
  <si>
    <t>Power(10 Min)</t>
    <phoneticPr fontId="10" type="noConversion"/>
  </si>
  <si>
    <t>0x59C2</t>
    <phoneticPr fontId="10" type="noConversion"/>
  </si>
  <si>
    <t>0x5A32</t>
    <phoneticPr fontId="10" type="noConversion"/>
  </si>
  <si>
    <t>Power Quality(10 Min)</t>
    <phoneticPr fontId="10" type="noConversion"/>
  </si>
  <si>
    <t>0x5A33</t>
    <phoneticPr fontId="10" type="noConversion"/>
  </si>
  <si>
    <t>0x6E02</t>
    <phoneticPr fontId="10" type="noConversion"/>
  </si>
  <si>
    <t>Flicker(10 Min)</t>
    <phoneticPr fontId="10" type="noConversion"/>
  </si>
  <si>
    <t>0x6E03</t>
    <phoneticPr fontId="10" type="noConversion"/>
  </si>
  <si>
    <t>0x6E0E</t>
    <phoneticPr fontId="10" type="noConversion"/>
  </si>
  <si>
    <t>2 Hr</t>
    <phoneticPr fontId="10" type="noConversion"/>
  </si>
  <si>
    <t>RMS(2Hr)</t>
    <phoneticPr fontId="10" type="noConversion"/>
  </si>
  <si>
    <t>0x6E20</t>
    <phoneticPr fontId="10" type="noConversion"/>
  </si>
  <si>
    <t>0x70D1</t>
    <phoneticPr fontId="10" type="noConversion"/>
  </si>
  <si>
    <t>Power(2Hr)</t>
    <phoneticPr fontId="10" type="noConversion"/>
  </si>
  <si>
    <t>0x70D2</t>
    <phoneticPr fontId="10" type="noConversion"/>
  </si>
  <si>
    <t>0x7142</t>
    <phoneticPr fontId="10" type="noConversion"/>
  </si>
  <si>
    <t>Power Quality(2Hr)</t>
    <phoneticPr fontId="10" type="noConversion"/>
  </si>
  <si>
    <t>0x7143</t>
    <phoneticPr fontId="10" type="noConversion"/>
  </si>
  <si>
    <t>0x8512</t>
    <phoneticPr fontId="10" type="noConversion"/>
  </si>
  <si>
    <t>Flicker(2Hr)</t>
    <phoneticPr fontId="10" type="noConversion"/>
  </si>
  <si>
    <t>0x8513</t>
    <phoneticPr fontId="10" type="noConversion"/>
  </si>
  <si>
    <t>0x851E</t>
    <phoneticPr fontId="10" type="noConversion"/>
  </si>
  <si>
    <t>10S Freq</t>
    <phoneticPr fontId="10" type="noConversion"/>
  </si>
  <si>
    <t>0x8530</t>
    <phoneticPr fontId="10" type="noConversion"/>
  </si>
  <si>
    <t>0x853F</t>
    <phoneticPr fontId="10" type="noConversion"/>
  </si>
  <si>
    <t>MaxMin</t>
    <phoneticPr fontId="10" type="noConversion"/>
  </si>
  <si>
    <t>Max Record Value</t>
    <phoneticPr fontId="10" type="noConversion"/>
  </si>
  <si>
    <t>0x8550</t>
    <phoneticPr fontId="10" type="noConversion"/>
  </si>
  <si>
    <t>0x8BCB</t>
    <phoneticPr fontId="10" type="noConversion"/>
  </si>
  <si>
    <t>Min Record Value</t>
    <phoneticPr fontId="10" type="noConversion"/>
  </si>
  <si>
    <t>0x8BE0</t>
    <phoneticPr fontId="10" type="noConversion"/>
  </si>
  <si>
    <t>0x925B</t>
    <phoneticPr fontId="10" type="noConversion"/>
  </si>
  <si>
    <t>Max Demand</t>
    <phoneticPr fontId="10" type="noConversion"/>
  </si>
  <si>
    <t>MaxDemand</t>
    <phoneticPr fontId="10" type="noConversion"/>
  </si>
  <si>
    <t>0x9270</t>
    <phoneticPr fontId="10" type="noConversion"/>
  </si>
  <si>
    <t>0x9632</t>
    <phoneticPr fontId="10" type="noConversion"/>
  </si>
  <si>
    <t>Information</t>
    <phoneticPr fontId="10" type="noConversion"/>
  </si>
  <si>
    <t>Device Info</t>
    <phoneticPr fontId="10" type="noConversion"/>
  </si>
  <si>
    <t>0x9650</t>
    <phoneticPr fontId="10" type="noConversion"/>
  </si>
  <si>
    <t>0x9700</t>
    <phoneticPr fontId="10" type="noConversion"/>
  </si>
  <si>
    <t>MH Info</t>
    <phoneticPr fontId="10" type="noConversion"/>
  </si>
  <si>
    <t>0x9710</t>
    <phoneticPr fontId="10" type="noConversion"/>
  </si>
  <si>
    <t>0x9714</t>
    <phoneticPr fontId="10" type="noConversion"/>
  </si>
  <si>
    <t>DeviceStatus</t>
    <phoneticPr fontId="10" type="noConversion"/>
  </si>
  <si>
    <t>Configure Device Running States</t>
    <phoneticPr fontId="10" type="noConversion"/>
  </si>
  <si>
    <t>0x9720</t>
    <phoneticPr fontId="10" type="noConversion"/>
  </si>
  <si>
    <t>0x9786</t>
    <phoneticPr fontId="10" type="noConversion"/>
  </si>
  <si>
    <t>Waveform|PQ Event</t>
    <phoneticPr fontId="10" type="noConversion"/>
  </si>
  <si>
    <t>Power Quality Event setting</t>
    <phoneticPr fontId="10" type="noConversion"/>
  </si>
  <si>
    <t>0x9790</t>
    <phoneticPr fontId="10" type="noConversion"/>
  </si>
  <si>
    <t>0x92B1</t>
    <phoneticPr fontId="10" type="noConversion"/>
  </si>
  <si>
    <t>Waveform Setting</t>
    <phoneticPr fontId="10" type="noConversion"/>
  </si>
  <si>
    <t>0x92B2</t>
    <phoneticPr fontId="10" type="noConversion"/>
  </si>
  <si>
    <t>0x92B3</t>
    <phoneticPr fontId="10" type="noConversion"/>
  </si>
  <si>
    <t>PQ Event Log</t>
  </si>
  <si>
    <t>PQ Event Log</t>
    <phoneticPr fontId="10" type="noConversion"/>
  </si>
  <si>
    <t>reserved</t>
    <phoneticPr fontId="10" type="noConversion"/>
  </si>
  <si>
    <t>Waveform Log</t>
  </si>
  <si>
    <t>Waveform Log</t>
    <phoneticPr fontId="10" type="noConversion"/>
  </si>
  <si>
    <t>AlarmStatus</t>
    <phoneticPr fontId="10" type="noConversion"/>
  </si>
  <si>
    <t>Block
code function : 03H Read, 10H Write</t>
  </si>
  <si>
    <t>Start(Hex)</t>
  </si>
  <si>
    <t>End(Hex)</t>
  </si>
  <si>
    <t>Start(Dec)</t>
  </si>
  <si>
    <t>End(Dec)</t>
  </si>
  <si>
    <t>Description</t>
  </si>
  <si>
    <t>Data type</t>
  </si>
  <si>
    <t>RW</t>
  </si>
  <si>
    <t>Reg Num</t>
  </si>
  <si>
    <t>Range</t>
  </si>
  <si>
    <t>Default</t>
  </si>
  <si>
    <t>System Setting</t>
  </si>
  <si>
    <t xml:space="preserve">Communication </t>
  </si>
  <si>
    <t>Modbus Slave ID</t>
  </si>
  <si>
    <t>uint16_t</t>
  </si>
  <si>
    <t>R/W</t>
  </si>
  <si>
    <t>1-247, used for both Modbus RTU and TCP</t>
  </si>
  <si>
    <t>0x1001</t>
  </si>
  <si>
    <t>Modbus TCP Enable</t>
  </si>
  <si>
    <t>0: disable
1: enable</t>
  </si>
  <si>
    <t>0x1002</t>
  </si>
  <si>
    <t>Modbus TCP Port</t>
  </si>
  <si>
    <t>1-65534</t>
  </si>
  <si>
    <t>0x1003</t>
  </si>
  <si>
    <t>COM1 Interface</t>
  </si>
  <si>
    <t>0: Client
1: Server</t>
  </si>
  <si>
    <t>0: Client</t>
  </si>
  <si>
    <t>0x1004</t>
  </si>
  <si>
    <t>COM2 Interface</t>
  </si>
  <si>
    <t>0x1005</t>
  </si>
  <si>
    <t>Baud Rate</t>
  </si>
  <si>
    <t>0: 9600
1: 19200
2: 38400
3: 57600
4: 115200</t>
  </si>
  <si>
    <t>Parity</t>
  </si>
  <si>
    <t>0: None1
1: None2
2: Even
3: Odd</t>
  </si>
  <si>
    <t>0: None1</t>
  </si>
  <si>
    <t>0x104F</t>
  </si>
  <si>
    <t>VMM1 Serial Number</t>
  </si>
  <si>
    <t>uint8_t</t>
  </si>
  <si>
    <t>ASCII string, 32 bytes (16 registers)</t>
  </si>
  <si>
    <t>None</t>
  </si>
  <si>
    <t>0x1050</t>
  </si>
  <si>
    <t>0x105F</t>
  </si>
  <si>
    <t>VMM2  Serial Number</t>
  </si>
  <si>
    <t>0x1060</t>
  </si>
  <si>
    <t>0x106F</t>
  </si>
  <si>
    <t>CMM1  Serial Number</t>
  </si>
  <si>
    <t>0x1070</t>
  </si>
  <si>
    <t>0x107F</t>
  </si>
  <si>
    <t>CMM2  Serial Number</t>
  </si>
  <si>
    <t>0x1080</t>
  </si>
  <si>
    <t>0x108F</t>
  </si>
  <si>
    <t>CMM3  Serial Number</t>
  </si>
  <si>
    <t>0x1090</t>
  </si>
  <si>
    <t>0x109F</t>
  </si>
  <si>
    <t>CMM4  Serial Number</t>
  </si>
  <si>
    <t>VMM Operating Mode</t>
  </si>
  <si>
    <t>1: Dual VMM – Independent
2: Dual VMM – Mirrored</t>
  </si>
  <si>
    <t>Dual VMM – Independent</t>
  </si>
  <si>
    <t>Metrology Settings</t>
  </si>
  <si>
    <t>VMM1 Service Configuration</t>
  </si>
  <si>
    <t>0: ELEMENT_1_WIRE_2
1: ELEMENT_2_WIRE_3_PHASE_1
2: ELEMENT_2_WIRE_3_DELTA
3: ELEMENT_2_WIRE_3_NETWORK
4: ELEMENT_3_WIRE_4_Y
5: ELEMENT_3_WIRE_4_DELTA</t>
  </si>
  <si>
    <t>0x10AB</t>
  </si>
  <si>
    <t>0x10AC</t>
  </si>
  <si>
    <t>VMM1 PT1</t>
  </si>
  <si>
    <t>uint32_t</t>
  </si>
  <si>
    <t>50-1000000</t>
  </si>
  <si>
    <t>0x10AD</t>
  </si>
  <si>
    <t>VMM1 PT2</t>
  </si>
  <si>
    <t>50-830</t>
  </si>
  <si>
    <t>0x10AE</t>
  </si>
  <si>
    <t>VMM1 Phase Order</t>
  </si>
  <si>
    <t>0:ABC
1:ACB</t>
  </si>
  <si>
    <t>0x10AF</t>
  </si>
  <si>
    <t>VMM1 Flicker Settings</t>
  </si>
  <si>
    <t>0: Disable
1: Automatic
2:120V-50Hz-60W Incandescent
3:230V-50Hz-60W Incandescent
4:120V-60Hz-60W Incandescent
5:230V-60Hz-60W Incandescent</t>
  </si>
  <si>
    <t>0x10B0</t>
  </si>
  <si>
    <t>0x10B5</t>
  </si>
  <si>
    <t>VMM2 Metrology Settings</t>
  </si>
  <si>
    <t>0x10B6</t>
  </si>
  <si>
    <t>CMM1 Channel 1 Input Wiring ID</t>
  </si>
  <si>
    <t>1~24</t>
  </si>
  <si>
    <t>0x10B7</t>
  </si>
  <si>
    <t>CMM1 Channel 1 CT Type</t>
  </si>
  <si>
    <t>1: 333mV
2: RCT</t>
  </si>
  <si>
    <t>0x10B8</t>
  </si>
  <si>
    <t>CMM1 Channel 1 Primary</t>
  </si>
  <si>
    <t>1-50000 A</t>
  </si>
  <si>
    <t>0x10B9</t>
  </si>
  <si>
    <t>CMM1 Channel 1 Direction</t>
  </si>
  <si>
    <t>0:positive
1:negative</t>
  </si>
  <si>
    <t>0x10BA</t>
  </si>
  <si>
    <t>0x1115</t>
  </si>
  <si>
    <t>CMM1 Channel 2-24 Metrology Settings</t>
  </si>
  <si>
    <t>0x1116</t>
  </si>
  <si>
    <t>0x118E</t>
  </si>
  <si>
    <t>CMM2 Channel 25-48 Metrology Settings</t>
  </si>
  <si>
    <t>0x118F</t>
  </si>
  <si>
    <t>0x1207</t>
  </si>
  <si>
    <t>CMM3 Channel 49-72 Metrology Settings</t>
  </si>
  <si>
    <t>0x1208</t>
  </si>
  <si>
    <t>0x1280</t>
  </si>
  <si>
    <t>CMM4 Channel 73-96 Metrology Settings</t>
  </si>
  <si>
    <t>0x1281</t>
  </si>
  <si>
    <t xml:space="preserve">MP1 VMM Select </t>
  </si>
  <si>
    <t>0:VMM1,1:VMM2</t>
  </si>
  <si>
    <t>0x1282</t>
  </si>
  <si>
    <t>MP1 Wiring Type</t>
  </si>
  <si>
    <t>0x1283</t>
  </si>
  <si>
    <t>0x1285</t>
  </si>
  <si>
    <t>MP1 Phase Slot Assignment 1-3</t>
  </si>
  <si>
    <t>Three uint16_t arrays for the three slot settings(1-96); unused entries filled with 0.</t>
  </si>
  <si>
    <t>0x1286</t>
  </si>
  <si>
    <t>MP1 Neutral Source</t>
  </si>
  <si>
    <t>0:None
1:Calculated
2:Measured</t>
  </si>
  <si>
    <t>0x1287</t>
  </si>
  <si>
    <t>MP1 Neutral Measured Channel Ref</t>
  </si>
  <si>
    <t>1~96</t>
  </si>
  <si>
    <t>0x1288</t>
  </si>
  <si>
    <t>0x17C0</t>
  </si>
  <si>
    <t>MP2-MP192 Metrology Settings</t>
  </si>
  <si>
    <t>0x17C1</t>
  </si>
  <si>
    <t>Frequency Selection</t>
  </si>
  <si>
    <t xml:space="preserve">0: 50Hz
1: 60Hz </t>
  </si>
  <si>
    <t>0x17C2</t>
  </si>
  <si>
    <t>PF Convention</t>
  </si>
  <si>
    <t>PF Format IEC: 0
PF Format IEEE: 1</t>
  </si>
  <si>
    <t>0x17C3</t>
  </si>
  <si>
    <t>Demand Algorithm</t>
  </si>
  <si>
    <t>Fixed Window: 0
Sliding Window: 1</t>
  </si>
  <si>
    <t>0x17C4</t>
  </si>
  <si>
    <t>Demand Interval</t>
  </si>
  <si>
    <t>1~30 minute</t>
  </si>
  <si>
    <t>0x17C5</t>
  </si>
  <si>
    <t>Demand Update Interval</t>
  </si>
  <si>
    <t>0x17C6</t>
  </si>
  <si>
    <t>Energy Calculation Method</t>
  </si>
  <si>
    <t>Generic: 0
Fundamental: 1</t>
  </si>
  <si>
    <t>0x17C7</t>
  </si>
  <si>
    <t>0x17C8</t>
  </si>
  <si>
    <t>Energy pulse constant</t>
  </si>
  <si>
    <t>100—100000000  ( scale:0.001)</t>
  </si>
  <si>
    <t>0x17C9</t>
  </si>
  <si>
    <t>Pulse LED  width</t>
  </si>
  <si>
    <t>20~100ms</t>
  </si>
  <si>
    <t>0x17CA</t>
  </si>
  <si>
    <t>Pulse LED parameter selection</t>
  </si>
  <si>
    <t>Energy parameter IDs(1-946)</t>
  </si>
  <si>
    <t>0x17CB</t>
  </si>
  <si>
    <t>Harmonic Group Setting</t>
  </si>
  <si>
    <t>0: Harmonic group
1: Harmonic subgroup</t>
  </si>
  <si>
    <t>Harmonic/Inter-harmonic Setting</t>
  </si>
  <si>
    <t>0: Harmonic
1:Harmonic &amp; Inter-harmonic</t>
  </si>
  <si>
    <t>Operation</t>
  </si>
  <si>
    <t>Reboot</t>
  </si>
  <si>
    <t>0x17D7</t>
  </si>
  <si>
    <t>Factory Reset</t>
  </si>
  <si>
    <t>0x17D8</t>
  </si>
  <si>
    <t>Clear Runtime</t>
  </si>
  <si>
    <t>0x17D9</t>
  </si>
  <si>
    <t>Clear LoadTime</t>
  </si>
  <si>
    <t>0x17DA</t>
  </si>
  <si>
    <t>Clear MaxMin</t>
  </si>
  <si>
    <t>Clear MaxDemand</t>
  </si>
  <si>
    <t>Reg Num</t>
    <phoneticPr fontId="10" type="noConversion"/>
  </si>
  <si>
    <t>Wiring Check</t>
    <phoneticPr fontId="2" type="noConversion"/>
  </si>
  <si>
    <t>Wire Check Start</t>
    <phoneticPr fontId="2" type="noConversion"/>
  </si>
  <si>
    <t>0:Idle
1:Start</t>
  </si>
  <si>
    <t>0x1301</t>
  </si>
  <si>
    <t>Wire Check  Status</t>
  </si>
  <si>
    <t>R</t>
  </si>
  <si>
    <t>0: Not Started
1: In Progress
2: Completed</t>
  </si>
  <si>
    <t>0x1302</t>
  </si>
  <si>
    <t xml:space="preserve">VMM1 Phase Voltage  Error Code  </t>
  </si>
  <si>
    <t>Bit0:Voltage terminals Va wiring is missing
Bit1:Voltage terminals Vb wiring is missing
Bit2:Voltage terminals Vc wiring is missing
Bit3:The voltage terminals Va and Vn are reversed.
Bit4: The voltage terminals Vb and Vn are reversed.
Bit5: The voltage terminals Vc and Vn are reversed.
Bit6: Phase error of voltage terminals Vb
Bit7: Phase error of voltage terminals Vc
Bit8: ABC/ACB sequence is configured incorrectly</t>
    <phoneticPr fontId="2" type="noConversion"/>
  </si>
  <si>
    <t>0x1303</t>
  </si>
  <si>
    <t xml:space="preserve">VMM2 Phase Voltage  Error Code  </t>
  </si>
  <si>
    <t>0x1304</t>
  </si>
  <si>
    <t>0x13C3</t>
  </si>
  <si>
    <t xml:space="preserve">MP1-MP192 Phase Current  Error Code  </t>
  </si>
  <si>
    <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Bit0:Current terminals Ia wiring is missing
Bit1:Current terminals Ib wiring is missing
Bit2:Current terminals Ic wiring is missing
Bit3:Current terminals Ia positive and negative are reversed
Bit4:Current terminals Ib positive and negative are reversed
Bit5:Current terminals Ic positive and negative are reversed
Bit6:Incorrect phase sequence of current Ia
Bit7:Incorrect phase sequence of current Ib
Bit8:Incorrect phase sequence of current Ic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bit0:  Current terminals Input Channal 1 wiring is missing
Bit1: Current terminals Input Channal 1 positive and negative are reversed
Bit2: Current terminals Input Channal 2 wiring is missing
Bit3: Current terminals Input Channal 2 positive and negative are reversed
Bit4: Current terminals Input Channal 3 wiring is missing
Bit5: Current terminals Input Channal 3 positive and negative are reversed</t>
    </r>
  </si>
  <si>
    <t>0x13C4</t>
  </si>
  <si>
    <t>0x13C5</t>
  </si>
  <si>
    <t>VMM1 Phase A Line-to-Neutral / Phase AB Line-to-Line Voltage</t>
  </si>
  <si>
    <t>float</t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</si>
  <si>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1E2W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Phase A Line-to-Neutral Voltage
(2E3WDelta)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Phase AB Line-to-Line Voltage</t>
    </r>
  </si>
  <si>
    <t>0x13C6</t>
  </si>
  <si>
    <t>0x13C7</t>
  </si>
  <si>
    <t>VMM1 Phase A Line-to-Neutral / Phase AB Line-to-Line  Voltage Phase Angle</t>
  </si>
  <si>
    <t>0x13C8</t>
  </si>
  <si>
    <t>0x13C9</t>
  </si>
  <si>
    <t>VMM1 Phase B Line-to-Neutral / Phase BC Line-to-Line Voltage</t>
  </si>
  <si>
    <t>0x13CA</t>
  </si>
  <si>
    <t>0x13CB</t>
  </si>
  <si>
    <t>VMM1 Phase B Line-to-Neutral / Phase BC Line-to-Line  Voltage Phase Angle</t>
  </si>
  <si>
    <t>0x13CC</t>
  </si>
  <si>
    <t>0x13CD</t>
  </si>
  <si>
    <t>VMM1 Phase C Line-to-Neutral / Phase CA Line-to-Line Voltage</t>
  </si>
  <si>
    <t>0x13CE</t>
  </si>
  <si>
    <t>0x13CF</t>
  </si>
  <si>
    <t>VMM1 Phase C Line-to-Neutral / Phase CA Line-to-Line  Voltage Phase Angle</t>
  </si>
  <si>
    <t>0x13D0</t>
  </si>
  <si>
    <t>0x13D1</t>
  </si>
  <si>
    <t>VMM1 Voltage Phase Order</t>
  </si>
  <si>
    <t>0x13D2</t>
  </si>
  <si>
    <t>0x13DF</t>
  </si>
  <si>
    <t>VMM2 Wring Check Voltage Measured value</t>
  </si>
  <si>
    <t>0x13E0</t>
  </si>
  <si>
    <t>MP Number Select</t>
    <phoneticPr fontId="10" type="noConversion"/>
  </si>
  <si>
    <t>1~192</t>
    <phoneticPr fontId="10" type="noConversion"/>
  </si>
  <si>
    <t>0x13E1</t>
  </si>
  <si>
    <t>0x13E2</t>
  </si>
  <si>
    <t xml:space="preserve">MPx Phase A Curent 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</si>
  <si>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A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 xml:space="preserve">MP1 Input Channel 1 Curent </t>
    </r>
  </si>
  <si>
    <t>0x13E3</t>
  </si>
  <si>
    <t>0x13E4</t>
  </si>
  <si>
    <t>MPx Phase A Curent Angle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</si>
  <si>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A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Input Channel 1 Curent Angle</t>
    </r>
  </si>
  <si>
    <t>0x13E5</t>
  </si>
  <si>
    <t>0x13E6</t>
  </si>
  <si>
    <t xml:space="preserve">MPx Phase B Curent 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</si>
  <si>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B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 xml:space="preserve">MP1 Input Channel 2 Curent </t>
    </r>
  </si>
  <si>
    <t>0x13E7</t>
  </si>
  <si>
    <t>0x13E8</t>
  </si>
  <si>
    <t>MPx Phase B Curent Angle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</si>
  <si>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B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Input Channel 2 Curent Angle</t>
    </r>
  </si>
  <si>
    <t>0x13E9</t>
  </si>
  <si>
    <t>0x13EA</t>
  </si>
  <si>
    <t xml:space="preserve">MPx Phase C Curent 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</si>
  <si>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C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 xml:space="preserve">MP1 Input Channel 3 Curent </t>
    </r>
  </si>
  <si>
    <t>0x13EB</t>
  </si>
  <si>
    <t>MPx Phase C Curent Angle</t>
    <phoneticPr fontId="10" type="noConversion"/>
  </si>
  <si>
    <r>
      <rPr>
        <sz val="10"/>
        <color rgb="FFFF0000"/>
        <rFont val="Times New Roman"/>
        <family val="1"/>
      </rPr>
      <t>(2E3W1P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2E3WDelta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3E4WY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2E3WNetwork)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Phase C Curent 
(1E2W)</t>
    </r>
    <r>
      <rPr>
        <sz val="10"/>
        <color rgb="FFFF0000"/>
        <rFont val="宋体"/>
        <family val="3"/>
        <charset val="134"/>
      </rPr>
      <t xml:space="preserve">：
</t>
    </r>
    <r>
      <rPr>
        <sz val="10"/>
        <color rgb="FFFF0000"/>
        <rFont val="Times New Roman"/>
        <family val="1"/>
      </rPr>
      <t>MP1 Input Channel 3 Curent Angle</t>
    </r>
  </si>
  <si>
    <t>HS Param Update Time Stamp</t>
  </si>
  <si>
    <t>uint64_t</t>
  </si>
  <si>
    <t>VMM1 System Frequency</t>
    <phoneticPr fontId="10" type="noConversion"/>
  </si>
  <si>
    <t>VMM1 Phase A Line-to-Neutral Voltage</t>
    <phoneticPr fontId="10" type="noConversion"/>
  </si>
  <si>
    <t>VMM1 Phase B Line-to-Neutral Voltage</t>
    <phoneticPr fontId="10" type="noConversion"/>
  </si>
  <si>
    <t>VMM1 Phase C Line-to-Neutral Voltage</t>
    <phoneticPr fontId="10" type="noConversion"/>
  </si>
  <si>
    <t>VMM1 Phase A Line-to-Neutral Voltage Phase Angle</t>
    <phoneticPr fontId="10" type="noConversion"/>
  </si>
  <si>
    <t>VMM1 Phase B Line-to-Neutral Voltage Phase Angle</t>
    <phoneticPr fontId="10" type="noConversion"/>
  </si>
  <si>
    <t>VMM1 Phase C Line-to-Neutral Voltage Phase Angle</t>
    <phoneticPr fontId="10" type="noConversion"/>
  </si>
  <si>
    <t>VMM1 Average Line-to-Neutral Voltage</t>
    <phoneticPr fontId="10" type="noConversion"/>
  </si>
  <si>
    <t>VMM1 Phase AB Line-to-Line Voltage</t>
    <phoneticPr fontId="10" type="noConversion"/>
  </si>
  <si>
    <t>VMM1 Phase BC Line-to-Line Voltage</t>
    <phoneticPr fontId="10" type="noConversion"/>
  </si>
  <si>
    <t>VMM1 Phase CA Line-to-Line Voltage</t>
    <phoneticPr fontId="10" type="noConversion"/>
  </si>
  <si>
    <t>VMM1 Phase AB Line-to-Line Voltage Phase Angle</t>
    <phoneticPr fontId="10" type="noConversion"/>
  </si>
  <si>
    <t>VMM1 Phase BC Line-to-Line Voltage Phase Angle</t>
    <phoneticPr fontId="10" type="noConversion"/>
  </si>
  <si>
    <t>VMM1 Phase CA Line-to-Line Voltage Phase Angle</t>
    <phoneticPr fontId="10" type="noConversion"/>
  </si>
  <si>
    <t>VMM1 Average Line-to-Line Voltage</t>
    <phoneticPr fontId="10" type="noConversion"/>
  </si>
  <si>
    <t>VMM1 Phase A Current</t>
  </si>
  <si>
    <t>R</t>
    <phoneticPr fontId="10" type="noConversion"/>
  </si>
  <si>
    <t>VMM1 Phase B Current</t>
  </si>
  <si>
    <t>VMM1 Phase C Current</t>
  </si>
  <si>
    <t>VMM1 Neutral Current</t>
  </si>
  <si>
    <t>VMM1 Phase A Current Phase Angle</t>
  </si>
  <si>
    <t>VMM1 Phase B Current Phase Angle</t>
  </si>
  <si>
    <t>VMM1 Phase C Current Phase Angle</t>
  </si>
  <si>
    <t>VMM1 Neutral Current Phase Angle</t>
  </si>
  <si>
    <t>VMM1 CMM1 Input Channel 1-24 Current Angle</t>
    <phoneticPr fontId="10" type="noConversion"/>
  </si>
  <si>
    <t>VMM1 CMM2 Input Channel 1-24 Current Angle</t>
    <phoneticPr fontId="10" type="noConversion"/>
  </si>
  <si>
    <t>VMM1 CMM3 Input Channel 1-24 Current Angle</t>
    <phoneticPr fontId="10" type="noConversion"/>
  </si>
  <si>
    <t>VMM1 CMM4 Input Channel 1-24 Current Angle</t>
    <phoneticPr fontId="10" type="noConversion"/>
  </si>
  <si>
    <t>VMM2 Realtime Parameter</t>
  </si>
  <si>
    <t>CMM1 Input Channel 1-24 Current</t>
    <phoneticPr fontId="10" type="noConversion"/>
  </si>
  <si>
    <t>CMM2 Input Channel 25-48 Current</t>
  </si>
  <si>
    <t>CMM3 Input Channel 49-72 Current</t>
  </si>
  <si>
    <t>CMM4 Input Channel 73-96 Current</t>
  </si>
  <si>
    <t>MP1 Neutral Current</t>
  </si>
  <si>
    <t>MP1 Neutral Current Phase Angle</t>
  </si>
  <si>
    <t>VMM1 Phase A active energy import</t>
  </si>
  <si>
    <t>double</t>
  </si>
  <si>
    <t xml:space="preserve">VMM1 Phase A active energy export </t>
  </si>
  <si>
    <t>VMM1 Phase A active energy net</t>
  </si>
  <si>
    <t>VMM1 Phase A active energy total</t>
  </si>
  <si>
    <t>VMM1 Phase A reactive energy import</t>
  </si>
  <si>
    <t xml:space="preserve">VMM1 Phase A reactive energy export </t>
  </si>
  <si>
    <t>VMM1 Phase A reactive energy net</t>
  </si>
  <si>
    <t>VMM1 Phase A reactive energy total</t>
  </si>
  <si>
    <t>VMM1 Phase A apparent energy</t>
  </si>
  <si>
    <t>VMM1 Phase B active energy import</t>
  </si>
  <si>
    <t xml:space="preserve">VMM1 Phase B active energy export </t>
  </si>
  <si>
    <t>VMM1 Phase B active energy net</t>
  </si>
  <si>
    <t>VMM1 Phase B active energy total</t>
  </si>
  <si>
    <t>VMM1 Phase B reactive energy import</t>
  </si>
  <si>
    <t xml:space="preserve">VMM1 Phase B reactive energy export </t>
  </si>
  <si>
    <t>VMM1 Phase B reactive energy net</t>
  </si>
  <si>
    <t>VMM1 Phase B reactive energy total</t>
  </si>
  <si>
    <t>VMM1 Phase B apparent energy</t>
  </si>
  <si>
    <t>VMM1 Phase C active energy import</t>
  </si>
  <si>
    <t xml:space="preserve">VMM1 Phase C active energy export </t>
  </si>
  <si>
    <t>VMM1 Phase C active energy net</t>
  </si>
  <si>
    <t>VMM1 Phase C active energy total</t>
  </si>
  <si>
    <t>VMM1 Phase C reactive energy import</t>
  </si>
  <si>
    <t xml:space="preserve">VMM1 Phase C reactive energy export </t>
  </si>
  <si>
    <t>VMM1 Phase C reactive energy net</t>
  </si>
  <si>
    <t>VMM1 Phase C reactive energy total</t>
  </si>
  <si>
    <t>VMM1 Phase C apparent energy</t>
  </si>
  <si>
    <t>VMM1 System active energy import</t>
  </si>
  <si>
    <t xml:space="preserve">VMM1 System active energy export </t>
  </si>
  <si>
    <t>VMM1 System active energy net</t>
  </si>
  <si>
    <t>VMM1 System active energy total</t>
  </si>
  <si>
    <t>VMM1 System reactive energy import</t>
  </si>
  <si>
    <t xml:space="preserve">VMM1 System reactive energy export </t>
  </si>
  <si>
    <t>VMM1 System reactive energy net</t>
  </si>
  <si>
    <t>VMM1 System reactive energy total</t>
  </si>
  <si>
    <t>VMM1 System apparent energy</t>
  </si>
  <si>
    <t>Channel Number Select</t>
    <phoneticPr fontId="10" type="noConversion"/>
  </si>
  <si>
    <t>1~96</t>
    <phoneticPr fontId="10" type="noConversion"/>
  </si>
  <si>
    <t>VMM1 CMM1 Input Channel 1 active energy import</t>
  </si>
  <si>
    <t xml:space="preserve">VMM1 CMM1 Input Channel 1 active energy export </t>
  </si>
  <si>
    <t>VMM1 CMM1 Input Channel 1 active energy net</t>
  </si>
  <si>
    <t>VMM1 CMM1 Input Channel 1 active energy total</t>
  </si>
  <si>
    <t>VMM1 CMM1 Input Channel 1 reactive energy import</t>
  </si>
  <si>
    <t xml:space="preserve">VMM1 CMM1 Input Channel 1 reactive energy export </t>
  </si>
  <si>
    <t>VMM1 CMM1 Input Channel 1 reactive energy net</t>
  </si>
  <si>
    <t>VMM1 CMM1 Input Channel 1 reactive energy total</t>
  </si>
  <si>
    <t>VMM1 CMM1 Input Channel 1 apparent energy</t>
  </si>
  <si>
    <t>VMM2 Energy Parameter</t>
  </si>
  <si>
    <t>MP1 active energy import</t>
  </si>
  <si>
    <t xml:space="preserve">MP1 active energy export </t>
  </si>
  <si>
    <t>MP1 active energy net</t>
  </si>
  <si>
    <t>MP1 active energy total</t>
  </si>
  <si>
    <t>MP1 reactive energy import</t>
  </si>
  <si>
    <t xml:space="preserve">MP1 reactive energy export </t>
  </si>
  <si>
    <t>MP1 reactive energy net</t>
  </si>
  <si>
    <t>MP1 reactive energy total</t>
  </si>
  <si>
    <t>MP1 apparent energy</t>
  </si>
  <si>
    <t>VMM1 Phase A Current Demand</t>
  </si>
  <si>
    <t>VMM1 Phase A Import Active Power Demand</t>
  </si>
  <si>
    <t>VMM1 Phase A Export Active Power Demand</t>
  </si>
  <si>
    <t>VMM1 Phase A Import Reactive Power Demand</t>
  </si>
  <si>
    <t>VMM1 Phase A Export Reactive Power Demand</t>
  </si>
  <si>
    <t>VMM1 Phase A Apparent Power Demand</t>
  </si>
  <si>
    <t>VMM1 Phase B Current Demand</t>
  </si>
  <si>
    <t>VMM1 Phase B Import Active Power Demand</t>
  </si>
  <si>
    <t>VMM1 Phase B Export Active Power Demand</t>
  </si>
  <si>
    <t>VMM1 Phase B Import Reactive Power Demand</t>
  </si>
  <si>
    <t>VMM1 Phase B Export Reactive Power Demand</t>
  </si>
  <si>
    <t>VMM1 Phase B Apparent Power Demand</t>
  </si>
  <si>
    <t>VMM1 Phase C Current Demand</t>
  </si>
  <si>
    <t>VMM1 Phase C Import Active Power Demand</t>
  </si>
  <si>
    <t>VMM1 Phase C Export Active Power Demand</t>
  </si>
  <si>
    <t>VMM1 Phase C Import Reactive Power Demand</t>
  </si>
  <si>
    <t>VMM1 Phase C Export Reactive Power Demand</t>
  </si>
  <si>
    <t>VMM1 Phase C Apparent Power Demand</t>
  </si>
  <si>
    <t>VMM1 System Average Current Demand</t>
  </si>
  <si>
    <t>VMM1 System Import Active Power Demand</t>
  </si>
  <si>
    <t>VMM1 System Export Active Power Demand</t>
  </si>
  <si>
    <t>VMM1 System Import Reactive Power Demand</t>
  </si>
  <si>
    <t>VMM1 System Export Reactive Power Demand</t>
  </si>
  <si>
    <t>VMM1 System Apparent Power Demand</t>
  </si>
  <si>
    <t>VMM2 Demand Parameter</t>
  </si>
  <si>
    <t>CMM1 Input Channel 1-24 Current Demand</t>
  </si>
  <si>
    <t>CMM2 Input Channel 25-48 Current Demand</t>
  </si>
  <si>
    <t>CMM3 Input Channel 49-72 Current Demand</t>
  </si>
  <si>
    <t>CMM4 Input Channel 73-96 Current Demand</t>
  </si>
  <si>
    <t>VMM1 CMM1 Input Channel 1 Import Active Power Demand</t>
  </si>
  <si>
    <t>VMM1 CMM1 Input Channel 1 Export Active Power Demand</t>
  </si>
  <si>
    <t>VMM1 CMM1 Input Channel 1 Import Reactive Power Demand</t>
  </si>
  <si>
    <t>VMM1 CMM1 Input Channel 1 Export Reactive Power Demand</t>
  </si>
  <si>
    <t>VMM1 CMM1 Input Channel 1 Apparent Power Demand</t>
  </si>
  <si>
    <t>VMM2 CMM1 Input Channel 1 Import Active Power Demand</t>
    <phoneticPr fontId="10" type="noConversion"/>
  </si>
  <si>
    <t>VMM2 CMM1 Input Channel 1 Export Active Power Demand</t>
    <phoneticPr fontId="10" type="noConversion"/>
  </si>
  <si>
    <t>VMM2 CMM1 Input Channel 1 Import Reactive Power Demand</t>
    <phoneticPr fontId="10" type="noConversion"/>
  </si>
  <si>
    <t>VMM2 CMM1 Input Channel 1 Export Reactive Power Demand</t>
    <phoneticPr fontId="10" type="noConversion"/>
  </si>
  <si>
    <t>VMM2 CMM1 Input Channel 1 Apparent Power Demand</t>
    <phoneticPr fontId="10" type="noConversion"/>
  </si>
  <si>
    <t>MP1 Average Current Demand</t>
  </si>
  <si>
    <t>MP1 Import Active Power Demand</t>
  </si>
  <si>
    <t>MP1 Export Active Power Demand</t>
  </si>
  <si>
    <t>MP1 Import Reactive Power Demand</t>
  </si>
  <si>
    <t>MP1 Export Reactive Power Demand</t>
  </si>
  <si>
    <t>MP1  Apparent Power Demand</t>
  </si>
  <si>
    <t>10/12 Cycle  RMS Param Update Timestamp</t>
  </si>
  <si>
    <t>uint64_t</t>
    <phoneticPr fontId="0" type="noConversion"/>
  </si>
  <si>
    <t>10/12 Cycle RMS Param Valid Flag(50160)</t>
  </si>
  <si>
    <t>uint16_t</t>
    <phoneticPr fontId="0" type="noConversion"/>
  </si>
  <si>
    <t>10/12 Cycle RMS Param Event Flag</t>
  </si>
  <si>
    <t>10/12 Cycle RMS Param Block Number</t>
  </si>
  <si>
    <t>VMM1 System Average Current</t>
  </si>
  <si>
    <t>VMM1 CMM1 Input Channel 1-24 Current Angle</t>
  </si>
  <si>
    <t>VMM1 CMM2 Input Channel 1-24 Current Angle</t>
  </si>
  <si>
    <t>VMM1 CMM3 Input Channel 1-24 Current Angle</t>
  </si>
  <si>
    <t>VMM1 CMM4 Input Channel 1-24 Current Angle</t>
  </si>
  <si>
    <t>CMM1 Input Channel 1-24 Current</t>
  </si>
  <si>
    <t>MP1 Average Current</t>
  </si>
  <si>
    <t>VMM1 Phase A Active Power</t>
  </si>
  <si>
    <t>VMM1 Phase A Reactive Power</t>
  </si>
  <si>
    <t>VMM1 Phase A Apparent Power</t>
  </si>
  <si>
    <t>VMM1 Phase A Load Nature</t>
  </si>
  <si>
    <t>uint32_t</t>
    <phoneticPr fontId="10" type="noConversion"/>
  </si>
  <si>
    <t>VMM1 Phase A Power Factor</t>
  </si>
  <si>
    <t>VMM1 Phase B Active Power</t>
  </si>
  <si>
    <t>VMM1 Phase B Reactive Power</t>
  </si>
  <si>
    <t>VMM1 Phase B Apparent Power</t>
  </si>
  <si>
    <t>VMM1 Phase B Load Nature</t>
  </si>
  <si>
    <t>VMM1 Phase B Power Factor</t>
  </si>
  <si>
    <t>VMM1 Phase C Active Power</t>
  </si>
  <si>
    <t>VMM1 Phase C Reactive Power</t>
  </si>
  <si>
    <t>VMM1 Phase C Apparent Power</t>
  </si>
  <si>
    <t>VMM1 Phase C Load Nature</t>
  </si>
  <si>
    <t>VMM1 Phase C Power Factor</t>
  </si>
  <si>
    <t>VMM1 System Active Power</t>
  </si>
  <si>
    <t>VMM1 System Reactive Power</t>
  </si>
  <si>
    <t>VMM1 System Apparent Power</t>
  </si>
  <si>
    <t>VMM1 System Load Nature</t>
  </si>
  <si>
    <t>VMM1 System Power Factor</t>
  </si>
  <si>
    <t>VMM1 CMM1 Input Channel 1 Active Power</t>
  </si>
  <si>
    <t>VMM1 CMM1 Input Channel 1  Reactive Powerr</t>
  </si>
  <si>
    <t>VMM1 CMM1 Input Channel 1 Apparent Power</t>
  </si>
  <si>
    <t>VMM1 CMM1 Input Channel 1  Load Naturer</t>
  </si>
  <si>
    <t>VMM1 CMM1 Input Channel 1  Power Factor</t>
  </si>
  <si>
    <t>VMM2 Power Parameter</t>
  </si>
  <si>
    <t>MPl  Active Power</t>
    <phoneticPr fontId="10" type="noConversion"/>
  </si>
  <si>
    <t>MPl  Reactive Powerr</t>
    <phoneticPr fontId="10" type="noConversion"/>
  </si>
  <si>
    <t>MPl  Apparent Power</t>
    <phoneticPr fontId="10" type="noConversion"/>
  </si>
  <si>
    <t>MPl   Load Naturer</t>
    <phoneticPr fontId="10" type="noConversion"/>
  </si>
  <si>
    <t>MPl   Power Factor</t>
    <phoneticPr fontId="10" type="noConversion"/>
  </si>
  <si>
    <t>VMM1 Voltage Positive Sequence Magnitude</t>
  </si>
  <si>
    <t>float</t>
    <phoneticPr fontId="10" type="noConversion"/>
  </si>
  <si>
    <t>VMM1 Voltage Zero Sequence Magnitude</t>
  </si>
  <si>
    <t>VMM1 Voltage Negative Sequence Magnitude</t>
  </si>
  <si>
    <t>VMM1 Voltage Positive Sequence Angle</t>
  </si>
  <si>
    <t>VMM1 Voltage Zero Sequence Angle</t>
  </si>
  <si>
    <t>VMM1 Voltage Negative Sequence Angle</t>
  </si>
  <si>
    <t>VMM1 Voltage Unbalance Negative</t>
  </si>
  <si>
    <t>VMM1 Voltage Unbalance Zero</t>
  </si>
  <si>
    <t>VMM1 Phase A Voltage THD</t>
    <phoneticPr fontId="10" type="noConversion"/>
  </si>
  <si>
    <t>VMM1 Phase A Voltage THD Odd</t>
    <phoneticPr fontId="10" type="noConversion"/>
  </si>
  <si>
    <t>VMM1 Phase A Voltage THD Even</t>
    <phoneticPr fontId="10" type="noConversion"/>
  </si>
  <si>
    <t>VMM1 Phase A Voltage Crest Factor</t>
    <phoneticPr fontId="10" type="noConversion"/>
  </si>
  <si>
    <t>VMM1 Phase A 1-127st Voltage Magnitude Harmonics</t>
    <phoneticPr fontId="10" type="noConversion"/>
  </si>
  <si>
    <t>VMM1 Phase A 1-127st Voltage Harmonics Group</t>
    <phoneticPr fontId="10" type="noConversion"/>
  </si>
  <si>
    <t>VMM1 Phase A 1-127st Voltage Angle Harmonics</t>
    <phoneticPr fontId="10" type="noConversion"/>
  </si>
  <si>
    <t>VMM1 Phase B Voltage THD</t>
    <phoneticPr fontId="10" type="noConversion"/>
  </si>
  <si>
    <t>VMM1 Phase B Voltage THD Odd</t>
    <phoneticPr fontId="10" type="noConversion"/>
  </si>
  <si>
    <t>VMM1 Phase B Voltage THD Even</t>
    <phoneticPr fontId="10" type="noConversion"/>
  </si>
  <si>
    <t>VMM1 Phase B Voltage Crest Factor</t>
    <phoneticPr fontId="10" type="noConversion"/>
  </si>
  <si>
    <t>VMM1 Phase B 1-127st Voltage Magnitude Harmonics</t>
    <phoneticPr fontId="10" type="noConversion"/>
  </si>
  <si>
    <t>VMM1 Phase B 1-127st Voltage Harmonics Group</t>
    <phoneticPr fontId="10" type="noConversion"/>
  </si>
  <si>
    <t>VMM1 Phase B 1-127st Voltage Angle Harmonics</t>
    <phoneticPr fontId="10" type="noConversion"/>
  </si>
  <si>
    <t>VMM1 Phase C Voltage THD</t>
    <phoneticPr fontId="10" type="noConversion"/>
  </si>
  <si>
    <t>VMM1 Phase C Voltage THD Odd</t>
    <phoneticPr fontId="10" type="noConversion"/>
  </si>
  <si>
    <t>VMM1 Phase C Voltage THD Even</t>
    <phoneticPr fontId="10" type="noConversion"/>
  </si>
  <si>
    <t>VMM1 Phase C Voltage Crest Factor</t>
    <phoneticPr fontId="10" type="noConversion"/>
  </si>
  <si>
    <t>VMM1 Phase C 1-127st Voltage Magnitude Harmonics</t>
    <phoneticPr fontId="10" type="noConversion"/>
  </si>
  <si>
    <t>VMM1 Phase C 1-127st Voltage Harmonics Group</t>
    <phoneticPr fontId="10" type="noConversion"/>
  </si>
  <si>
    <t>VMM1 Phase C 1-127st Voltage Angle Harmonics</t>
    <phoneticPr fontId="10" type="noConversion"/>
  </si>
  <si>
    <t>VMM1 Average Voltage THD</t>
    <phoneticPr fontId="10" type="noConversion"/>
  </si>
  <si>
    <t>VMM1 Average Voltage THD Odd</t>
    <phoneticPr fontId="10" type="noConversion"/>
  </si>
  <si>
    <t>VMM1 Average Voltage THD Even</t>
    <phoneticPr fontId="10" type="noConversion"/>
  </si>
  <si>
    <t>VMM2 Voltage Power Quality</t>
    <phoneticPr fontId="10" type="noConversion"/>
  </si>
  <si>
    <t>CMM1 Input Channel 1 Current TDD</t>
    <phoneticPr fontId="10" type="noConversion"/>
  </si>
  <si>
    <t>CMM1 Input Channel 1 Current THD</t>
    <phoneticPr fontId="10" type="noConversion"/>
  </si>
  <si>
    <t>CMM1 Input Channel 1 Current THD Odd</t>
    <phoneticPr fontId="10" type="noConversion"/>
  </si>
  <si>
    <t>CMM1 Input Channel 1 Current THD Even</t>
    <phoneticPr fontId="10" type="noConversion"/>
  </si>
  <si>
    <t>CMM1 Input Channel 1 Current Crest Factor</t>
    <phoneticPr fontId="10" type="noConversion"/>
  </si>
  <si>
    <t>CMM1 Input Channel 1 Current K Factor</t>
    <phoneticPr fontId="10" type="noConversion"/>
  </si>
  <si>
    <t>CMM1 Input Channel 1 1-63st Current Magnitude Harmonics</t>
    <phoneticPr fontId="10" type="noConversion"/>
  </si>
  <si>
    <t>CMM1 Input Channel 1 1-63st Current Harmonics Group</t>
    <phoneticPr fontId="10" type="noConversion"/>
  </si>
  <si>
    <t>CMM1 Input Channel 1 1-63st Current Angle Harmonics</t>
    <phoneticPr fontId="10" type="noConversion"/>
  </si>
  <si>
    <t>MP1 Current Positive Sequence Magnitude</t>
  </si>
  <si>
    <t>MP1 Current Zero Sequence Magnitude</t>
  </si>
  <si>
    <t>MP1 Current Negative Sequence Magnitude</t>
  </si>
  <si>
    <t>MP1 Current Positive Sequence Angle</t>
  </si>
  <si>
    <t>MP1 Current Zero Sequence Angle</t>
  </si>
  <si>
    <t>MP1 Current Negative Sequence Angle</t>
  </si>
  <si>
    <t>MP1 Current Unbalance Negative</t>
  </si>
  <si>
    <t>MP1 Current Unbalance Zero</t>
  </si>
  <si>
    <t>150/180 Cycle  RMS Param Update Timestamp</t>
  </si>
  <si>
    <t>150/180 Cycle RMS Param Valid Flag(50160)</t>
  </si>
  <si>
    <t>150/180 Cycle RMS Param Event Flag</t>
  </si>
  <si>
    <t>150/180 Cycle RMS Param Block Number</t>
  </si>
  <si>
    <t xml:space="preserve">VMM1 Phase A Flicker Pinst Max </t>
  </si>
  <si>
    <t xml:space="preserve">VMM1 Phase B Flicker Pinst Max </t>
  </si>
  <si>
    <t>VMM1 Phase C Flicker Pinst Max</t>
  </si>
  <si>
    <t xml:space="preserve">VMM2 Phase A Flicker Pinst Max </t>
  </si>
  <si>
    <t xml:space="preserve">VMM2 Phase B Flicker Pinst Max </t>
  </si>
  <si>
    <t>VMM2 Phase C Flicker Pinst Max</t>
  </si>
  <si>
    <t>10 Min RMS Param Update Timestamp</t>
  </si>
  <si>
    <t>10 Min RMS Param Valid Flag(50160)</t>
  </si>
  <si>
    <t>10 Min RMS Param Event Flag</t>
  </si>
  <si>
    <t>10 Min RMS Param Block Number</t>
  </si>
  <si>
    <t>2 Hr RMS Param Update Timestamp</t>
  </si>
  <si>
    <t>2 Hr RMS Param Valid Flag(50160)</t>
  </si>
  <si>
    <t>2 Hr RMS Param Event Flag</t>
  </si>
  <si>
    <t>2 Hr RMS Param Block Number</t>
  </si>
  <si>
    <t>VMM1 10s Param Update Time Stamp</t>
  </si>
  <si>
    <t>uint64_t</t>
    <phoneticPr fontId="10" type="noConversion"/>
  </si>
  <si>
    <t>VMM1 10s System Frequency</t>
  </si>
  <si>
    <t>VMM1 10s Param Event Info</t>
  </si>
  <si>
    <t>uint16_t</t>
    <phoneticPr fontId="10" type="noConversion"/>
  </si>
  <si>
    <t>VMM1 10s Param Event Flag</t>
  </si>
  <si>
    <t>VMM2 10s Param Update Time Stamp</t>
  </si>
  <si>
    <t>VMM2 10s System Frequency</t>
  </si>
  <si>
    <t>VMM2 10s Param Event Info</t>
  </si>
  <si>
    <t>VMM2 10s Param Event Flag</t>
  </si>
  <si>
    <t>VMM1 System Frequency Max Value</t>
  </si>
  <si>
    <t>VMM1 System Frequency Max Value Timestamp</t>
  </si>
  <si>
    <t>VMM1 Phase A Line-to-Neutral Voltage Max Value</t>
  </si>
  <si>
    <t>VMM1 Phase A Line-to-Neutral Voltage Max Value Timestamp</t>
  </si>
  <si>
    <t>VMM1 Phase B Line-to-Neutral Voltage Max Value</t>
  </si>
  <si>
    <t>VMM1 Phase B Line-to-Neutral Voltage Max Value Timestamp</t>
  </si>
  <si>
    <t>VMM1 Phase C Line-to-Neutral Voltage Max Value</t>
  </si>
  <si>
    <t>VMM1 Phase C Line-to-Neutral Voltage Max Value Timestamp</t>
  </si>
  <si>
    <t>VMM1 Phase AB Line-to-Line Voltage Max Value</t>
  </si>
  <si>
    <t>VMM1 Phase AB Line-to-Line Voltage Max Value Timestamp</t>
  </si>
  <si>
    <t>VMM1 Phase BC Line-to-Line Voltage Max Value</t>
  </si>
  <si>
    <t>VMM1 Phase BC Line-to-Line Voltage Max Value Timestamp</t>
  </si>
  <si>
    <t>VMM1 Phase CA Line-to-Line Voltage Max Value</t>
  </si>
  <si>
    <t>VMM1 Phase CA Line-to-Line Voltage Max Value Timestamp</t>
  </si>
  <si>
    <t>VMM1 Average Line-to-Line Voltage Max Value</t>
  </si>
  <si>
    <t>VMM1 Average Line-to-Line Voltage Max Value Timestamp</t>
  </si>
  <si>
    <t>VMM1 Phase A Current Max Value</t>
  </si>
  <si>
    <t>VMM1 Phase A Current Max Value Timestamp</t>
  </si>
  <si>
    <t>VMM1 Phase B Current Max Value</t>
  </si>
  <si>
    <t>VMM1 Phase B Current Max Value Timestamp</t>
  </si>
  <si>
    <t>VMM1 Phase C Current Max Value</t>
  </si>
  <si>
    <t>VMM1 Phase C Current Max Value Timestamp</t>
  </si>
  <si>
    <t>VMM1 Neutral Current Max Value</t>
  </si>
  <si>
    <t>VMM1 Neutral Current Max Value Timestamp</t>
  </si>
  <si>
    <t>VMM2 Realtime Parameter Max Value And Timestamp</t>
  </si>
  <si>
    <t>CMM1 Input Channel 1-24 Current Max Value And Timestamp</t>
  </si>
  <si>
    <t>CMM2 Input Channel 25-48 Current Max Value And Timestamp</t>
  </si>
  <si>
    <t>CMM3 Input Channel 49-72 Current Max Value And Timestamp</t>
  </si>
  <si>
    <t>CMM4 Input Channel 73-96 Current Max Value And Timestamp</t>
  </si>
  <si>
    <t>VMM1 Phase A Active Power Max Value</t>
  </si>
  <si>
    <t>VMM1 Phase A Active Power Max Value Timestamp</t>
  </si>
  <si>
    <t>VMM1 Phase A Reactive Power Max Value</t>
  </si>
  <si>
    <t>VMM1 Phase A Reactive Power Max Value Timestamp</t>
  </si>
  <si>
    <t>VMM1 Phase A Apparent Power Max Value</t>
  </si>
  <si>
    <t>VMM1 Phase A Apparent Power Max Value Timestamp</t>
  </si>
  <si>
    <t>VMM1 Phase A Power Factor Max Value</t>
  </si>
  <si>
    <t>VMM1 Phase A Power Factor Max Value Timestamp</t>
  </si>
  <si>
    <t>VMM1 Phase B Active Power Max Value</t>
  </si>
  <si>
    <t>VMM1 Phase B Active Power Max Value Timestamp</t>
  </si>
  <si>
    <t>VMM1 Phase B Reactive Power Max Value</t>
  </si>
  <si>
    <t>VMM1 Phase B Reactive Power Max Value Timestamp</t>
  </si>
  <si>
    <t>VMM1 Phase B Apparent Power Max Value</t>
  </si>
  <si>
    <t>VMM1 Phase B Apparent Power Max Value Timestamp</t>
  </si>
  <si>
    <t>VMM1 Phase B Power Factor Max Value</t>
  </si>
  <si>
    <t>VMM1 Phase B Power Factor Max Value Timestamp</t>
  </si>
  <si>
    <t>VMM1 Phase C Active Power Max Value</t>
  </si>
  <si>
    <t>VMM1 Phase C Active Power Max Value Timestamp</t>
  </si>
  <si>
    <t>VMM1 Phase C Reactive Power Max Value</t>
  </si>
  <si>
    <t>VMM1 Phase C Reactive Power Max Value Timestamp</t>
  </si>
  <si>
    <t>VMM1 Phase C Apparent Power Max Value</t>
  </si>
  <si>
    <t>VMM1 Phase C Apparent Power Max Value Timestamp</t>
  </si>
  <si>
    <t>VMM1 Phase C Power Factor Max Value</t>
  </si>
  <si>
    <t>VMM1 Phase C Power Factor Max Value Timestamp</t>
  </si>
  <si>
    <t>VMM1 System Average Current Max Value</t>
  </si>
  <si>
    <t>VMM1 System Average Current Max Value Timestamp</t>
  </si>
  <si>
    <t>VMM1 System Active Power Max Value</t>
  </si>
  <si>
    <t>VMM1 System Active Power Max Value Timestamp</t>
  </si>
  <si>
    <t>VMM1 System Reactive Power Max Value</t>
  </si>
  <si>
    <t>VMM1 System Reactive Power Max Value Timestamp</t>
  </si>
  <si>
    <t>VMM1 System Apparent Power Max Value</t>
  </si>
  <si>
    <t>VMM1 System Apparent Power Max Value Timestamp</t>
  </si>
  <si>
    <t>VMM1 System Power Factor Max Value</t>
  </si>
  <si>
    <t>VMM1 System Power Factor Max Value Timestamp</t>
  </si>
  <si>
    <t>VMM1 CMM1 Input Channel 1 Active Power Max Value</t>
  </si>
  <si>
    <t>VMM1 CMM1 Input Channel 1 Active Power Max Value Timestamp</t>
  </si>
  <si>
    <t>VMM1 CMM1 Input Channel 1  Reactive Powerr Max Value</t>
  </si>
  <si>
    <t>VMM1 CMM1 Input Channel 1  Reactive Powerr Max Value Timestamp</t>
  </si>
  <si>
    <t>VMM1 CMM1 Input Channel 1 Apparent Power Max Value</t>
  </si>
  <si>
    <t>VMM1 CMM1 Input Channel 1 Apparent Power Max Value Timestamp</t>
  </si>
  <si>
    <t>VMM1 CMM1 Input Channel 1  Power Factor Max Value</t>
  </si>
  <si>
    <t>VMM1 CMM1 Input Channel 1  Power Factor Max Value Timestamp</t>
  </si>
  <si>
    <t>VMM2 Power Parameter Max Value And Timestamp</t>
  </si>
  <si>
    <t>MPl  Active Power Max Value</t>
  </si>
  <si>
    <t>MPl  Active Power Max Value Timestamp</t>
  </si>
  <si>
    <t>MPl  Reactive Powerr Max Value</t>
  </si>
  <si>
    <t>MPl  Reactive Powerr Max Value Timestamp</t>
  </si>
  <si>
    <t>MPl  Apparent Power Max Value</t>
  </si>
  <si>
    <t>MPl  Apparent Power Max Value Timestamp</t>
  </si>
  <si>
    <t>MPl   Power Factor Max Value</t>
  </si>
  <si>
    <t>MPl   Power Factor Max Value Timestamp</t>
  </si>
  <si>
    <t>VMM1 Voltage Unbalance Negative Max Value</t>
  </si>
  <si>
    <t>VMM1 Voltage Unbalance Negative Max Value Timestamp</t>
  </si>
  <si>
    <t>VMM1 Voltage Unbalance Zero Max Value</t>
  </si>
  <si>
    <t>VMM1 Voltage Unbalance Zero Max Value Timestamp</t>
  </si>
  <si>
    <t>VMM1 Phase A Voltage THD Max Value</t>
  </si>
  <si>
    <t>VMM1 Phase A Voltage THD Max Value Timestamp</t>
  </si>
  <si>
    <t>VMM1 Phase B Voltage THD Max Value</t>
  </si>
  <si>
    <t>VMM1 Phase B Voltage THD Max Value Timestamp</t>
  </si>
  <si>
    <t>VMM1 Phase C Voltage THD Max Value</t>
  </si>
  <si>
    <t>VMM1 Phase C Voltage THD Max Value Timestamp</t>
  </si>
  <si>
    <t>VMM1 Average Voltage THD Max Value</t>
  </si>
  <si>
    <t>VMM1 Average Voltage THD Max Value Timestamp</t>
  </si>
  <si>
    <t>VMM2 Voltage Power Quality Max Value And Timestamp</t>
  </si>
  <si>
    <t>CMM1 Input Channel 1 Current THD Max Value</t>
  </si>
  <si>
    <t>CMM1 Input Channel 1 Current THD Max Value Timestamp</t>
  </si>
  <si>
    <t>CMM1 Input Channel 2-24 Power Quality Max Value And Timestamp</t>
  </si>
  <si>
    <t>CMM2 Input Channel 25-48 Power Quality Max Value And Timestamp</t>
  </si>
  <si>
    <t>CMM3 Input Channel 49-72 Power Quality Max Value And Timestamp</t>
  </si>
  <si>
    <t>CMM4 Input Channel 73-96 Power Quality Max Value And Timestamp</t>
  </si>
  <si>
    <t>MP1 Current Unbalance Negative Max Value</t>
  </si>
  <si>
    <t>MP1 Current Unbalance Negative Max Value Timestamp</t>
  </si>
  <si>
    <t>MP1 Current Unbalance Zero Max Value</t>
  </si>
  <si>
    <t>MP1 Current Unbalance Zero Max Value Timestamp</t>
  </si>
  <si>
    <t>VMM1 System Frequency Min Value</t>
  </si>
  <si>
    <t>VMM1 System Frequency Min Value Timestamp</t>
  </si>
  <si>
    <t>VMM1 Phase A Line-to-Neutral Voltage Min Value</t>
  </si>
  <si>
    <t>VMM1 Phase A Line-to-Neutral Voltage Min Value Timestamp</t>
  </si>
  <si>
    <t>VMM1 Phase B Line-to-Neutral Voltage Min Value</t>
  </si>
  <si>
    <t>VMM1 Phase B Line-to-Neutral Voltage Min Value Timestamp</t>
  </si>
  <si>
    <t>VMM1 Phase C Line-to-Neutral Voltage Min Value</t>
  </si>
  <si>
    <t>VMM1 Phase C Line-to-Neutral Voltage Min Value Timestamp</t>
  </si>
  <si>
    <t>VMM1 Phase AB Line-to-Line Voltage Min Value</t>
  </si>
  <si>
    <t>VMM1 Phase AB Line-to-Line Voltage Min Value Timestamp</t>
  </si>
  <si>
    <t>VMM1 Phase BC Line-to-Line Voltage Min Value</t>
  </si>
  <si>
    <t>VMM1 Phase BC Line-to-Line Voltage Min Value Timestamp</t>
  </si>
  <si>
    <t>VMM1 Phase CA Line-to-Line Voltage Min Value</t>
  </si>
  <si>
    <t>VMM1 Phase CA Line-to-Line Voltage Min Value Timestamp</t>
  </si>
  <si>
    <t>VMM1 Average Line-to-Line Voltage Min Value</t>
  </si>
  <si>
    <t>VMM1 Average Line-to-Line Voltage Min Value Timestamp</t>
  </si>
  <si>
    <t>VMM1 Phase A Current Min Value</t>
  </si>
  <si>
    <t>VMM1 Phase A Current Min Value Timestamp</t>
  </si>
  <si>
    <t>VMM1 Phase B Current Min Value</t>
  </si>
  <si>
    <t>VMM1 Phase B Current Min Value Timestamp</t>
  </si>
  <si>
    <t>VMM1 Phase C Current Min Value</t>
  </si>
  <si>
    <t>VMM1 Phase C Current Min Value Timestamp</t>
  </si>
  <si>
    <t>VMM1 Neutral Current Min Value</t>
  </si>
  <si>
    <t>VMM1 Neutral Current Min Value Timestamp</t>
  </si>
  <si>
    <t>VMM2 Realtime Parameter Min Value And Timestamp</t>
  </si>
  <si>
    <t>CMM1 Input Channel 1-24 Current Min Value And Timestamp</t>
  </si>
  <si>
    <t>CMM2 Input Channel 25-48 Current Min Value And Timestamp</t>
  </si>
  <si>
    <t>CMM3 Input Channel 49-72 Current Min Value And Timestamp</t>
  </si>
  <si>
    <t>CMM4 Input Channel 73-96 Current Min Value And Timestamp</t>
  </si>
  <si>
    <t>VMM1 Phase A Active Power Min Value</t>
  </si>
  <si>
    <t>VMM1 Phase A Active Power Min Value Timestamp</t>
  </si>
  <si>
    <t>VMM1 Phase A Reactive Power Min Value</t>
  </si>
  <si>
    <t>VMM1 Phase A Reactive Power Min Value Timestamp</t>
  </si>
  <si>
    <t>VMM1 Phase A Apparent Power Min Value</t>
  </si>
  <si>
    <t>VMM1 Phase A Apparent Power Min Value Timestamp</t>
  </si>
  <si>
    <t>VMM1 Phase A Power Factor Min Value</t>
  </si>
  <si>
    <t>VMM1 Phase A Power Factor Min Value Timestamp</t>
  </si>
  <si>
    <t>VMM1 Phase B Active Power Min Value</t>
  </si>
  <si>
    <t>VMM1 Phase B Active Power Min Value Timestamp</t>
  </si>
  <si>
    <t>VMM1 Phase B Reactive Power Min Value</t>
  </si>
  <si>
    <t>VMM1 Phase B Reactive Power Min Value Timestamp</t>
  </si>
  <si>
    <t>VMM1 Phase B Apparent Power Min Value</t>
  </si>
  <si>
    <t>VMM1 Phase B Apparent Power Min Value Timestamp</t>
  </si>
  <si>
    <t>VMM1 Phase B Power Factor Min Value</t>
  </si>
  <si>
    <t>VMM1 Phase B Power Factor Min Value Timestamp</t>
  </si>
  <si>
    <t>VMM1 Phase C Active Power Min Value</t>
  </si>
  <si>
    <t>VMM1 Phase C Active Power Min Value Timestamp</t>
  </si>
  <si>
    <t>VMM1 Phase C Reactive Power Min Value</t>
  </si>
  <si>
    <t>VMM1 Phase C Reactive Power Min Value Timestamp</t>
  </si>
  <si>
    <t>VMM1 Phase C Apparent Power Min Value</t>
  </si>
  <si>
    <t>VMM1 Phase C Apparent Power Min Value Timestamp</t>
  </si>
  <si>
    <t>VMM1 Phase C Power Factor Min Value</t>
  </si>
  <si>
    <t>VMM1 Phase C Power Factor Min Value Timestamp</t>
  </si>
  <si>
    <t>VMM1 System Average Current Min Value</t>
  </si>
  <si>
    <t>VMM1 System Average Current Min Value Timestamp</t>
  </si>
  <si>
    <t>VMM1 System Active Power Min Value</t>
  </si>
  <si>
    <t>VMM1 System Active Power Min Value Timestamp</t>
  </si>
  <si>
    <t>VMM1 System Reactive Power Min Value</t>
  </si>
  <si>
    <t>VMM1 System Reactive Power Min Value Timestamp</t>
  </si>
  <si>
    <t>VMM1 System Apparent Power Min Value</t>
  </si>
  <si>
    <t>VMM1 System Apparent Power Min Value Timestamp</t>
  </si>
  <si>
    <t>VMM1 System Power Factor Min Value</t>
  </si>
  <si>
    <t>VMM1 System Power Factor Min Value Timestamp</t>
  </si>
  <si>
    <t>VMM1 CMM1 Input Channel 1 Active Power Min Value</t>
  </si>
  <si>
    <t>VMM1 CMM1 Input Channel 1 Active Power Min Value Timestamp</t>
  </si>
  <si>
    <t>VMM1 CMM1 Input Channel 1  Reactive Powerr Min Value</t>
  </si>
  <si>
    <t>VMM1 CMM1 Input Channel 1  Reactive Powerr Min Value Timestamp</t>
  </si>
  <si>
    <t>VMM1 CMM1 Input Channel 1 Apparent Power Min Value</t>
  </si>
  <si>
    <t>VMM1 CMM1 Input Channel 1 Apparent Power Min Value Timestamp</t>
  </si>
  <si>
    <t>VMM1 CMM1 Input Channel 1  Power Factor Min Value</t>
  </si>
  <si>
    <t>VMM1 CMM1 Input Channel 1  Power Factor Min Value Timestamp</t>
  </si>
  <si>
    <t>VMM2 Power Parameter Min Value And Timestamp</t>
  </si>
  <si>
    <t>MPl  Active Power Min Value</t>
  </si>
  <si>
    <t>MPl  Active Power Min Value Timestamp</t>
  </si>
  <si>
    <t>MPl  Reactive Powerr Min Value</t>
  </si>
  <si>
    <t>MPl  Reactive Powerr Min Value Timestamp</t>
  </si>
  <si>
    <t>MPl  Apparent Power Min Value</t>
  </si>
  <si>
    <t>MPl  Apparent Power Min Value Timestamp</t>
  </si>
  <si>
    <t>MPl   Power Factor Min Value</t>
  </si>
  <si>
    <t>MPl   Power Factor Min Value Timestamp</t>
  </si>
  <si>
    <t>VMM1 Voltage Unbalance Negative Min Value</t>
  </si>
  <si>
    <t>VMM1 Voltage Unbalance Negative Min Value Timestamp</t>
  </si>
  <si>
    <t>VMM1 Voltage Unbalance Zero Min Value</t>
  </si>
  <si>
    <t>VMM1 Voltage Unbalance Zero Min Value Timestamp</t>
  </si>
  <si>
    <t>VMM1 Phase A Voltage THD Min Value</t>
  </si>
  <si>
    <t>VMM1 Phase A Voltage THD Min Value Timestamp</t>
  </si>
  <si>
    <t>VMM1 Phase B Voltage THD Min Value</t>
  </si>
  <si>
    <t>VMM1 Phase B Voltage THD Min Value Timestamp</t>
  </si>
  <si>
    <t>VMM1 Phase C Voltage THD Min Value</t>
  </si>
  <si>
    <t>VMM1 Phase C Voltage THD Min Value Timestamp</t>
  </si>
  <si>
    <t>VMM1 Average Voltage THD Min Value</t>
  </si>
  <si>
    <t>VMM1 Average Voltage THD Min Value Timestamp</t>
  </si>
  <si>
    <t>VMM2 Voltage Power Quality Min Value And Timestamp</t>
  </si>
  <si>
    <t>CMM1 Input Channel 1 Current THD Min Value</t>
  </si>
  <si>
    <t>CMM1 Input Channel 1 Current THD Min Value Timestamp</t>
  </si>
  <si>
    <t>CMM1 Input Channel 2-24 Power Quality Min Value And Timestamp</t>
  </si>
  <si>
    <t>CMM2 Input Channel 25-48 Power Quality Min Value And Timestamp</t>
  </si>
  <si>
    <t>CMM3 Input Channel 49-72 Power Quality Min Value And Timestamp</t>
  </si>
  <si>
    <t>CMM4 Input Channel 73-96 Power Quality Min Value And Timestamp</t>
  </si>
  <si>
    <t>MP1 Current Unbalance Negative Min Value</t>
  </si>
  <si>
    <t>MP1 Current Unbalance Negative Min Value Timestamp</t>
  </si>
  <si>
    <t>MP1 Current Unbalance Zero Min Value</t>
  </si>
  <si>
    <t>MP1 Current Unbalance Zero Min Value Timestamp</t>
  </si>
  <si>
    <t>VMM1 Phase A Current  Max Demand</t>
  </si>
  <si>
    <t>VMM1 Phase A Current  Max Demand  Timestamp</t>
  </si>
  <si>
    <t>VMM1 Phase A Import Active Power Max Demand</t>
  </si>
  <si>
    <t>VMM1 Phase A Import Active Power Max Demand Timestamp</t>
  </si>
  <si>
    <t>VMM1 Phase A Export Active Power Max Demand</t>
  </si>
  <si>
    <t>VMM1 Phase A Export Active Power Max Demand Timestamp</t>
  </si>
  <si>
    <t>VMM1 Phase A Import Reactive Power Max Demand</t>
  </si>
  <si>
    <t>VMM1 Phase A Import Reactive Power Max Demand Timestamp</t>
  </si>
  <si>
    <t>VMM1 Phase A Export Reactive Power Max Demand</t>
  </si>
  <si>
    <t>VMM1 Phase A Export Reactive Power Max Demand Timestamp</t>
  </si>
  <si>
    <t>VMM1 Phase A Apparent Power Max Demand</t>
  </si>
  <si>
    <t>VMM1 Phase A Apparent Power Max Demand Timestamp</t>
  </si>
  <si>
    <t>VMM1 Phase B Current Max Demand</t>
  </si>
  <si>
    <t>VMM1 Phase B Current Max Demand Timestamp</t>
  </si>
  <si>
    <t>VMM1 Phase B Import Active Power Max Demand</t>
  </si>
  <si>
    <t>VMM1 Phase B Import Active Power Max Demand Timestamp</t>
  </si>
  <si>
    <t>VMM1 Phase B Export Active Power Max Demand</t>
  </si>
  <si>
    <t>VMM1 Phase B Export Active Power Max Demand Timestamp</t>
  </si>
  <si>
    <t>VMM1 Phase B Import Reactive Power Max Demand</t>
  </si>
  <si>
    <t>VMM1 Phase B Import Reactive Power Max Demand Timestamp</t>
  </si>
  <si>
    <t>VMM1 Phase B Export Reactive Power Max Demand</t>
  </si>
  <si>
    <t>VMM1 Phase B Export Reactive Power Max Demand Timestamp</t>
  </si>
  <si>
    <t>VMM1 Phase B Apparent Power Max Demand</t>
  </si>
  <si>
    <t>VMM1 Phase B Apparent Power Max Demand Timestamp</t>
  </si>
  <si>
    <t>VMM1 Phase C Current Max Demand</t>
  </si>
  <si>
    <t>VMM1 Phase C Current Max Demand Timestamp</t>
  </si>
  <si>
    <t>VMM1 Phase C Import Active Power Max Demand</t>
  </si>
  <si>
    <t>VMM1 Phase C Import Active Power Max Demand Timestamp</t>
  </si>
  <si>
    <t>VMM1 Phase C Export Active Power Max Demand</t>
  </si>
  <si>
    <t>VMM1 Phase C Export Active Power Max Demand Timestamp</t>
  </si>
  <si>
    <t>VMM1 Phase C Import Reactive Power Max Demand</t>
  </si>
  <si>
    <t>VMM1 Phase C Import Reactive Power Max Demand Timestamp</t>
  </si>
  <si>
    <t>VMM1 Phase C Export Reactive Power Max Demand</t>
  </si>
  <si>
    <t>VMM1 Phase C Export Reactive Power Max Demand Timestamp</t>
  </si>
  <si>
    <t>VMM1 Phase C Apparent Power Max Demand</t>
  </si>
  <si>
    <t>VMM1 Phase C Apparent Power Max Demand Timestamp</t>
  </si>
  <si>
    <t>VMM1 System Average Current Max Demand</t>
  </si>
  <si>
    <t>VMM1 System Average Current Max Demand Timestamp</t>
  </si>
  <si>
    <t>VMM1 System Import Active Power Max Demand</t>
  </si>
  <si>
    <t>VMM1 System Import Active Power Max Demand Timestamp</t>
  </si>
  <si>
    <t>VMM1 System Export Active Power Max Demand</t>
  </si>
  <si>
    <t>VMM1 System Export Active Power Max Demand Timestamp</t>
  </si>
  <si>
    <t>VMM1 System Import Reactive Power Max Demand</t>
  </si>
  <si>
    <t>VMM1 System Import Reactive Power Max Demand Timestamp</t>
  </si>
  <si>
    <t>VMM1 System Export Reactive Power Max Demand</t>
  </si>
  <si>
    <t>VMM1 System Export Reactive Power Max Demand Timestamp</t>
  </si>
  <si>
    <t>VMM1 System Apparent Power Max Demand</t>
  </si>
  <si>
    <t>VMM1 System Apparent Power Max Demand Timestamp</t>
  </si>
  <si>
    <t>VMM2 Max Demand Parameter And Timestamp</t>
  </si>
  <si>
    <t>CMM1 Input Channel 1 Current Max Demand</t>
  </si>
  <si>
    <t>CMM1 Input Channel 1 Current Max Demand  Timestamp</t>
  </si>
  <si>
    <t>CMM1 Input Channel 2-24 Current Max Demand And Timestamp</t>
  </si>
  <si>
    <t>CMM2 Input Channel 25-48 Current Max Demand And Timestamp</t>
  </si>
  <si>
    <t>CMM3 Input Channel 49-72 Current Max Demand And Timestamp</t>
  </si>
  <si>
    <t>CMM4 Input Channel 73-96 Current Max Demand And Timestamp</t>
  </si>
  <si>
    <t>VMM1 CMM1 Input Channel 1 Import Active Power Max Demand</t>
  </si>
  <si>
    <t>VMM1 CMM1 Input Channel 1 Import Active Power Max Demand Timestamp</t>
  </si>
  <si>
    <t>VMM1 CMM1 Input Channel 1 Export Active Power Max Demand</t>
  </si>
  <si>
    <t>VMM1 CMM1 Input Channel 1 Export Active Power Max Demand Timestamp</t>
  </si>
  <si>
    <t>VMM1 CMM1 Input Channel 1 Import Reactive Power Max Demand</t>
  </si>
  <si>
    <t>VMM1 CMM1 Input Channel 1 Import Reactive Power Max Demand Timestamp</t>
  </si>
  <si>
    <t>VMM1 CMM1 Input Channel 1 Export Reactive Power Max Demand</t>
  </si>
  <si>
    <t>VMM1 CMM1 Input Channel 1 Export Reactive Power Max Demand Timestamp</t>
  </si>
  <si>
    <t>VMM1 CMM1 Input Channel 1 Apparent Power Max Demand</t>
  </si>
  <si>
    <t>VMM1 CMM1 Input Channel 1 Apparent Power Max Demand Timestamp</t>
  </si>
  <si>
    <t>VMM2 CMM1 Input Channel 1-96 Max Demand And Timestamp</t>
    <phoneticPr fontId="10" type="noConversion"/>
  </si>
  <si>
    <t>MP1 Average Current Max Demand</t>
  </si>
  <si>
    <t>MP1 Average Current Max Demand Timestamp</t>
  </si>
  <si>
    <t>MP1 Import Active Power Max Demand</t>
  </si>
  <si>
    <t>MP1 Import Active Power Max Demand Timestamp</t>
  </si>
  <si>
    <t>MP1 Export Active Power Max Demand</t>
  </si>
  <si>
    <t>MP1 Export Active Power Max Demand Timestamp</t>
  </si>
  <si>
    <t>MP1 Import Reactive Power Max Demand</t>
  </si>
  <si>
    <t>MP1 Import Reactive Power Max Demand Timestamp</t>
  </si>
  <si>
    <t>MP1 Export Reactive Power Max Demand</t>
  </si>
  <si>
    <t>MP1 Export Reactive Power Max Demand Timestamp</t>
  </si>
  <si>
    <t>MP1 Apparent Power Max Demand</t>
    <phoneticPr fontId="10" type="noConversion"/>
  </si>
  <si>
    <t>MP1 Apparent Power Max Demand Timestamp</t>
    <phoneticPr fontId="10" type="noConversion"/>
  </si>
  <si>
    <t xml:space="preserve">VMM1 Nominal Voltage </t>
  </si>
  <si>
    <t>VMM1 Voltage Sag Enable</t>
  </si>
  <si>
    <t>VMM1 Voltage Sag Threshold</t>
  </si>
  <si>
    <t>VMM1 Voltage Sag Jitter</t>
  </si>
  <si>
    <t>VMM1  Voltage Sag  Triggers Waveform Recording</t>
  </si>
  <si>
    <t>VMM1  Voltage Swell Enable</t>
  </si>
  <si>
    <t>VMM1  Voltage Swell Threshold</t>
  </si>
  <si>
    <t>VMM1 Voltage Swell  Jitter</t>
  </si>
  <si>
    <t>VMM1 Voltage Swell  Triggers Waveform Recording</t>
  </si>
  <si>
    <t>VMM1  Voltage Interruption Enable</t>
  </si>
  <si>
    <t>VMM1  Voltage Interruption Threshold</t>
  </si>
  <si>
    <t>VMM1  Voltage Interruption Jitter</t>
  </si>
  <si>
    <t>VMM1  Voltage Interruption Triggers Waveform Recording</t>
  </si>
  <si>
    <t>VMM2  Voltage Power Quality Event Setting</t>
  </si>
  <si>
    <t>CMM1 Input Channel 1 Norminal Current</t>
  </si>
  <si>
    <t>CMM1 Input Channel 1 Current Swell Enable</t>
  </si>
  <si>
    <t>CMM1 Input Channel 1 Current Swell Threshold</t>
  </si>
  <si>
    <t>CMM1 Input Channel 1 Current Swell Jitter</t>
  </si>
  <si>
    <t>CMM1 Input Channel 1 Current Swell Triggers Waveform Recording</t>
  </si>
  <si>
    <t>The nth waveform cycle</t>
  </si>
  <si>
    <t>The nth register packet of one  waveform cycle</t>
  </si>
  <si>
    <t>Meter Type</t>
  </si>
  <si>
    <t>Meter ID</t>
  </si>
  <si>
    <t>PQ Event Log ID</t>
  </si>
  <si>
    <t>Log TimeStamp</t>
  </si>
  <si>
    <t>timestamp</t>
  </si>
  <si>
    <t>Event Type</t>
  </si>
  <si>
    <t>Event Status</t>
  </si>
  <si>
    <t>Trigger channel</t>
  </si>
  <si>
    <t>Associate with waveform ID</t>
  </si>
  <si>
    <t>Duration of power quality events</t>
  </si>
  <si>
    <t>Max Value of  Parameter #1</t>
  </si>
  <si>
    <t>Max  Value of  Parameter #2</t>
  </si>
  <si>
    <t>Max Value of  Parameter #3</t>
  </si>
  <si>
    <t>Min Value of  Parameter #1</t>
  </si>
  <si>
    <t>Min Value of  Parameter #2</t>
  </si>
  <si>
    <t>Min Value of  Parameter #3</t>
  </si>
  <si>
    <t>uin16_t</t>
  </si>
  <si>
    <t>Waveform ID</t>
  </si>
  <si>
    <t>Reason Mode</t>
  </si>
  <si>
    <t>TimeStamp</t>
  </si>
  <si>
    <t>Trigger Channel</t>
  </si>
  <si>
    <t>Data Packets</t>
  </si>
  <si>
    <t>VMM:1024*30*3*4=368640</t>
  </si>
  <si>
    <t>CMM:128*30*24*4=368640</t>
  </si>
  <si>
    <t>Device Info</t>
    <phoneticPr fontId="11" type="noConversion"/>
  </si>
  <si>
    <t>Device 1 Type</t>
  </si>
  <si>
    <t>Device 1 Serial Number</t>
  </si>
  <si>
    <t>Device 1 Hardware version</t>
  </si>
  <si>
    <t>Device 1 Firmware Version</t>
  </si>
  <si>
    <t>Device 1 Firmware release date</t>
  </si>
  <si>
    <t>Device 1 bootloader version</t>
  </si>
  <si>
    <t>Device 1 bootloader release date</t>
  </si>
  <si>
    <t>Device 1 Run Mode</t>
  </si>
  <si>
    <t>0:NONE
1:BOOT
2:APP</t>
    <phoneticPr fontId="11" type="noConversion"/>
  </si>
  <si>
    <t>Devic2-Device16  Info</t>
  </si>
  <si>
    <t>MH Info</t>
    <phoneticPr fontId="11" type="noConversion"/>
  </si>
  <si>
    <t>HM Firmware Version</t>
  </si>
  <si>
    <t>HM Firmware release date</t>
  </si>
  <si>
    <t xml:space="preserve">HM Hardware version </t>
  </si>
  <si>
    <t>Load Time</t>
  </si>
  <si>
    <t>Run Time</t>
  </si>
  <si>
    <t>0:None
1:BOOT
2:APP</t>
    <phoneticPr fontId="10" type="noConversion"/>
  </si>
  <si>
    <t>Device 1 State</t>
  </si>
  <si>
    <t>BOOT:
0:Offline
1:Discovered
2:Ready
3:Transferring
4:Success
5:Failed
APP:
0:Offline 
1:Discovered
2:Configuring
3:Running 
4:Software Rejected(Software Version Incompatible)
5:Hardware Rejected(Hardware Version Incompatible)</t>
    <phoneticPr fontId="10" type="noConversion"/>
  </si>
  <si>
    <t>Device 2-6 Running States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</si>
</sst>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宋体"/>
      <family val="2"/>
      <scheme val="minor"/>
    </font>
    <font>
      <sz val="10"/>
      <color rgb="FFFF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1"/>
      <color rgb="FF000000"/>
      <name val="宋体"/>
      <family val="3"/>
      <charset val="134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8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0" fontId="8" fillId="0" borderId="0" xfId="8">
      <alignment vertical="center"/>
    </xf>
    <xf numFmtId="0" fontId="8" fillId="0" borderId="0" xfId="3">
      <alignment vertical="center"/>
    </xf>
    <xf numFmtId="0" fontId="17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8" applyFont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0" xfId="8" applyFont="1" applyAlignment="1">
      <alignment horizontal="left" vertical="center"/>
    </xf>
    <xf numFmtId="0" fontId="21" fillId="0" borderId="0" xfId="8" applyFont="1" applyAlignment="1">
      <alignment horizontal="left" vertical="center"/>
    </xf>
    <xf numFmtId="0" fontId="18" fillId="0" borderId="0" xfId="8" applyFont="1" applyAlignment="1">
      <alignment horizontal="left" vertical="center"/>
    </xf>
    <xf numFmtId="0" fontId="17" fillId="0" borderId="0" xfId="8" applyFont="1" applyAlignment="1">
      <alignment horizontal="left" vertical="center"/>
    </xf>
    <xf numFmtId="0" fontId="20" fillId="0" borderId="0" xfId="8" applyFont="1" applyAlignment="1">
      <alignment horizontal="left" vertical="center"/>
    </xf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3" fontId="18" fillId="0" borderId="0" xfId="0" applyNumberFormat="1" applyFont="1" applyAlignment="1">
      <alignment horizontal="left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4" fillId="0" borderId="0" xfId="8" applyFont="1" applyAlignment="1">
      <alignment horizontal="left" vertical="top"/>
    </xf>
    <xf numFmtId="164" fontId="18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27" fillId="0" borderId="0" xfId="0" applyFont="1">
      <alignment vertical="center"/>
    </xf>
    <xf numFmtId="0" fontId="19" fillId="2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19" fillId="4" borderId="0" xfId="0" applyFont="1" applyFill="1">
      <alignment vertical="center"/>
    </xf>
    <xf numFmtId="0" fontId="19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37" fillId="0" borderId="0" xfId="0" applyFont="1">
      <alignment vertical="center"/>
    </xf>
    <xf numFmtId="0" fontId="32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18">
    <cellStyle name="Hyperlink" xfId="13" xr:uid="{00000000-000B-0000-0000-000008000000}"/>
    <cellStyle name="Normal 2" xfId="1" xr:uid="{00000000-0005-0000-0000-00002A000000}"/>
    <cellStyle name="Normal 3" xfId="2" xr:uid="{00000000-0005-0000-0000-00002D000000}"/>
    <cellStyle name="常规" xfId="0" builtinId="0"/>
    <cellStyle name="常规 2" xfId="8" xr:uid="{AFA2A941-21C1-4368-8958-28317D89A481}"/>
    <cellStyle name="常规 3" xfId="3" xr:uid="{00000000-0005-0000-0000-000033000000}"/>
    <cellStyle name="常规 3 2" xfId="5" xr:uid="{0D486905-F7AE-44B3-AC76-F40440C36D46}"/>
    <cellStyle name="常规 3 2 2" xfId="7" xr:uid="{5C2BAF96-9D0F-445B-BD37-9F4FFFC6208A}"/>
    <cellStyle name="常规 3 2 2 2" xfId="9" xr:uid="{E6306233-0EB7-4759-B991-E2F8EAAD39B1}"/>
    <cellStyle name="常规 3 2 2 3" xfId="17" xr:uid="{BCE9EFD4-BA82-4979-A0B5-6F0DCD7441E0}"/>
    <cellStyle name="常规 3 2 3" xfId="10" xr:uid="{3CD3FDDB-17DA-45B4-9DEF-A5D04F3007C3}"/>
    <cellStyle name="常规 3 2 4" xfId="15" xr:uid="{D36724EE-2C25-48DF-BB19-0695016B823A}"/>
    <cellStyle name="常规 4" xfId="4" xr:uid="{2F478C7A-6646-4F22-AD11-CA9D4AD71BE8}"/>
    <cellStyle name="常规 4 2" xfId="6" xr:uid="{A9EA40D3-E279-4935-B802-0EE7712ECEF0}"/>
    <cellStyle name="常规 4 2 2" xfId="11" xr:uid="{5B02D017-8111-4566-82CA-68717CDE2FF6}"/>
    <cellStyle name="常规 4 2 3" xfId="16" xr:uid="{D9C145EC-4D11-4DB4-8B47-06CBC336854F}"/>
    <cellStyle name="常规 4 3" xfId="12" xr:uid="{F180F898-D939-46FC-9388-147B8A357537}"/>
    <cellStyle name="常规 4 4" xfId="14" xr:uid="{D6F10A00-CF3C-41C2-9AB2-7B1F6023F103}"/>
  </cellStyles>
  <dxfs count="0"/>
  <tableStyles count="1" defaultTableStyle="TableStyleMedium2" defaultPivotStyle="PivotStyleLight16">
    <tableStyle name="Invisible" pivot="0" table="0" count="0" xr9:uid="{9BF7990F-BECA-40E1-A1F1-E6AB147DBC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4"/>
  <sheetViews>
    <sheetView zoomScale="115" zoomScaleNormal="115" workbookViewId="0">
      <pane ySplit="1" topLeftCell="A2" activePane="bottomLeft" state="frozen"/>
      <selection pane="bottomLeft" activeCell="D12" sqref="D12"/>
    </sheetView>
  </sheetViews>
  <sheetFormatPr defaultColWidth="9" defaultRowHeight="13.5"/>
  <cols>
    <col min="1" max="1" width="12.125" customWidth="1"/>
    <col min="2" max="2" width="78.25" customWidth="1"/>
    <col min="3" max="3" width="15" bestFit="1" customWidth="1"/>
    <col min="4" max="4" width="17" customWidth="1"/>
    <col min="5" max="5" width="24.25" customWidth="1"/>
    <col min="6" max="6" width="23.875" customWidth="1"/>
  </cols>
  <sheetData>
    <row r="1" spans="1:6" s="2" customFormat="1" ht="1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25.5" customHeight="1">
      <c r="A2" s="74" t="s">
        <v>6</v>
      </c>
      <c r="B2" s="56"/>
      <c r="C2" s="11"/>
      <c r="D2" s="12"/>
      <c r="E2" s="12" t="s">
        <v>7</v>
      </c>
      <c r="F2" s="11"/>
    </row>
    <row r="3" spans="1:6" ht="25.5" customHeight="1">
      <c r="A3" s="74"/>
      <c r="B3" s="14"/>
      <c r="C3" s="11"/>
      <c r="D3" s="12"/>
      <c r="E3" s="11"/>
      <c r="F3" s="11"/>
    </row>
    <row r="4" spans="1:6" ht="13.5" customHeight="1">
      <c r="A4" s="74"/>
      <c r="B4" s="14"/>
      <c r="C4" s="11"/>
      <c r="D4" s="12"/>
      <c r="E4" s="11"/>
      <c r="F4" s="11"/>
    </row>
    <row r="5" spans="1:6" ht="13.5" customHeight="1">
      <c r="A5" s="74"/>
      <c r="B5" s="14"/>
      <c r="C5" s="11"/>
      <c r="D5" s="12"/>
      <c r="E5" s="11"/>
      <c r="F5" s="11"/>
    </row>
    <row r="6" spans="1:6">
      <c r="A6" s="74"/>
      <c r="B6" s="14"/>
      <c r="C6" s="11"/>
      <c r="D6" s="12"/>
      <c r="E6" s="11"/>
      <c r="F6" s="11"/>
    </row>
    <row r="7" spans="1:6" ht="13.5" customHeight="1">
      <c r="A7" s="74"/>
      <c r="B7" s="14"/>
      <c r="C7" s="11"/>
      <c r="D7" s="12"/>
      <c r="E7" s="11"/>
      <c r="F7" s="11"/>
    </row>
    <row r="8" spans="1:6" ht="13.5" customHeight="1">
      <c r="A8" s="74"/>
      <c r="B8" s="14"/>
      <c r="C8" s="11"/>
      <c r="D8" s="12"/>
      <c r="E8" s="11"/>
      <c r="F8" s="11"/>
    </row>
    <row r="9" spans="1:6" ht="13.5" customHeight="1">
      <c r="A9" s="74"/>
      <c r="B9" s="14"/>
      <c r="C9" s="11"/>
      <c r="D9" s="12"/>
      <c r="E9" s="11"/>
      <c r="F9" s="11"/>
    </row>
    <row r="10" spans="1:6" ht="13.5" customHeight="1">
      <c r="A10" s="74"/>
      <c r="B10" s="14"/>
      <c r="C10" s="11"/>
      <c r="D10" s="12"/>
      <c r="E10" s="11"/>
      <c r="F10" s="11"/>
    </row>
    <row r="11" spans="1:6" ht="21.75" customHeight="1">
      <c r="A11" s="74"/>
      <c r="B11" s="14"/>
      <c r="C11" s="11"/>
      <c r="D11" s="12"/>
      <c r="E11" s="11"/>
      <c r="F11" s="11"/>
    </row>
    <row r="12" spans="1:6" ht="12.75" customHeight="1">
      <c r="A12" s="74"/>
      <c r="B12" s="14"/>
      <c r="C12" s="11"/>
      <c r="D12" s="12"/>
      <c r="E12" s="11"/>
      <c r="F12" s="11"/>
    </row>
    <row r="13" spans="1:6" ht="27.75" customHeight="1">
      <c r="A13" s="74"/>
      <c r="B13" s="14"/>
      <c r="C13" s="11"/>
      <c r="D13" s="12"/>
      <c r="E13" s="11"/>
      <c r="F13" s="11"/>
    </row>
    <row r="14" spans="1:6" ht="22.5" customHeight="1">
      <c r="A14" s="74"/>
      <c r="B14" s="14"/>
      <c r="C14" s="11"/>
      <c r="D14" s="12"/>
      <c r="E14" s="11"/>
      <c r="F14" s="11"/>
    </row>
    <row r="15" spans="1:6" ht="23.25" customHeight="1">
      <c r="A15" s="74"/>
      <c r="B15" s="14"/>
      <c r="C15" s="11"/>
      <c r="D15" s="12"/>
      <c r="E15" s="11"/>
      <c r="F15" s="11"/>
    </row>
    <row r="16" spans="1:6" ht="37.5" customHeight="1">
      <c r="A16" s="74"/>
      <c r="B16" s="14"/>
      <c r="C16" s="11"/>
      <c r="D16" s="12"/>
      <c r="E16" s="11"/>
      <c r="F16" s="11"/>
    </row>
    <row r="17" spans="1:6" ht="37.5" customHeight="1">
      <c r="A17" s="74"/>
      <c r="B17" s="14"/>
      <c r="C17" s="11"/>
      <c r="D17" s="12"/>
      <c r="E17" s="11"/>
      <c r="F17" s="11"/>
    </row>
    <row r="18" spans="1:6" ht="38.25" customHeight="1">
      <c r="A18" s="74"/>
      <c r="B18" s="14"/>
      <c r="C18" s="11"/>
      <c r="D18" s="12"/>
      <c r="E18" s="11"/>
      <c r="F18" s="11"/>
    </row>
    <row r="19" spans="1:6" ht="42.75" customHeight="1">
      <c r="A19" s="74"/>
      <c r="B19" s="11"/>
      <c r="C19" s="11"/>
      <c r="D19" s="12"/>
      <c r="E19" s="11"/>
      <c r="F19" s="11"/>
    </row>
    <row r="20" spans="1:6" ht="72" customHeight="1">
      <c r="A20" s="74"/>
      <c r="B20" s="14"/>
      <c r="C20" s="11"/>
      <c r="D20" s="12"/>
      <c r="E20" s="11"/>
      <c r="F20" s="11"/>
    </row>
    <row r="21" spans="1:6" ht="63.75" customHeight="1">
      <c r="A21" s="74"/>
      <c r="B21" s="14"/>
      <c r="C21" s="11"/>
      <c r="D21" s="12"/>
      <c r="E21" s="11"/>
      <c r="F21" s="11"/>
    </row>
    <row r="22" spans="1:6" ht="32.25" customHeight="1">
      <c r="A22" s="74"/>
      <c r="B22" s="14"/>
      <c r="C22" s="11"/>
      <c r="D22" s="12"/>
      <c r="E22" s="11"/>
      <c r="F22" s="11"/>
    </row>
    <row r="23" spans="1:6" ht="22.5" customHeight="1">
      <c r="A23" s="74"/>
      <c r="B23" s="14"/>
      <c r="C23" s="11"/>
      <c r="D23" s="12"/>
      <c r="E23" s="11"/>
      <c r="F23" s="11"/>
    </row>
    <row r="24" spans="1:6" ht="32.25" customHeight="1">
      <c r="A24" s="74"/>
      <c r="B24" s="14"/>
      <c r="C24" s="11"/>
      <c r="D24" s="12"/>
      <c r="E24" s="11"/>
      <c r="F24" s="11"/>
    </row>
    <row r="25" spans="1:6" ht="28.5" customHeight="1">
      <c r="A25" s="74"/>
      <c r="B25" s="14"/>
      <c r="C25" s="11"/>
      <c r="D25" s="12"/>
      <c r="E25" s="11"/>
      <c r="F25" s="11"/>
    </row>
    <row r="26" spans="1:6" ht="27" customHeight="1">
      <c r="A26" s="74"/>
      <c r="B26" s="14"/>
      <c r="C26" s="11"/>
      <c r="D26" s="12"/>
      <c r="E26" s="11"/>
      <c r="F26" s="11"/>
    </row>
    <row r="27" spans="1:6" ht="24.75" customHeight="1">
      <c r="A27" s="74"/>
      <c r="B27" s="14"/>
      <c r="C27" s="11"/>
      <c r="D27" s="12"/>
      <c r="E27" s="11"/>
    </row>
    <row r="28" spans="1:6" ht="23.25" customHeight="1">
      <c r="A28" s="74"/>
      <c r="B28" s="14"/>
      <c r="C28" s="11"/>
      <c r="D28" s="12"/>
      <c r="E28" s="11"/>
    </row>
    <row r="29" spans="1:6" ht="13.5" customHeight="1">
      <c r="A29" s="74"/>
      <c r="B29" s="14"/>
      <c r="C29" s="11"/>
      <c r="D29" s="12"/>
      <c r="E29" s="11"/>
    </row>
    <row r="30" spans="1:6" ht="13.5" customHeight="1">
      <c r="A30" s="74"/>
      <c r="B30" s="14"/>
      <c r="C30" s="11"/>
      <c r="D30" s="12"/>
      <c r="E30" s="11"/>
    </row>
    <row r="31" spans="1:6" ht="13.5" customHeight="1">
      <c r="A31" s="74"/>
      <c r="B31" s="14"/>
      <c r="C31" s="11"/>
      <c r="D31" s="12"/>
      <c r="E31" s="11"/>
    </row>
    <row r="32" spans="1:6" ht="13.5" customHeight="1">
      <c r="A32" s="74"/>
      <c r="B32" s="14"/>
      <c r="C32" s="11"/>
      <c r="D32" s="12"/>
      <c r="E32" s="11"/>
    </row>
    <row r="33" spans="1:5">
      <c r="A33" s="74"/>
      <c r="B33" s="14"/>
      <c r="C33" s="11"/>
      <c r="D33" s="12"/>
      <c r="E33" s="11"/>
    </row>
    <row r="34" spans="1:5">
      <c r="D34" s="6"/>
      <c r="E34" s="6"/>
    </row>
  </sheetData>
  <mergeCells count="1">
    <mergeCell ref="A2:A3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A92C-A2CA-4B9A-9608-331D62ED82D5}">
  <dimension ref="A1:G37"/>
  <sheetViews>
    <sheetView tabSelected="1" workbookViewId="0">
      <selection activeCell="J13" sqref="J13"/>
    </sheetView>
  </sheetViews>
  <sheetFormatPr defaultColWidth="9" defaultRowHeight="12.75"/>
  <cols>
    <col min="1" max="1" width="28.125" style="11" customWidth="1"/>
    <col min="2" max="2" width="24.75" style="11" bestFit="1" customWidth="1"/>
    <col min="3" max="3" width="25.25" style="11" bestFit="1" customWidth="1"/>
    <col min="4" max="4" width="5.875" style="11" bestFit="1" customWidth="1"/>
    <col min="5" max="5" width="6.625" style="11" bestFit="1" customWidth="1"/>
    <col min="6" max="6" width="15.375" style="11" customWidth="1"/>
    <col min="7" max="7" width="10.625" style="11" customWidth="1"/>
    <col min="8" max="16384" width="9" style="11"/>
  </cols>
  <sheetData>
    <row r="1" spans="1:7" s="51" customFormat="1">
      <c r="A1" s="52" t="s">
        <v>8</v>
      </c>
      <c r="B1" s="52" t="s">
        <v>9</v>
      </c>
      <c r="C1" s="52" t="s">
        <v>10</v>
      </c>
      <c r="D1" s="52" t="s">
        <v>11</v>
      </c>
      <c r="E1" s="52" t="s">
        <v>12</v>
      </c>
      <c r="F1" s="52" t="s">
        <v>13</v>
      </c>
      <c r="G1" s="52" t="s">
        <v>14</v>
      </c>
    </row>
    <row r="2" spans="1:7" ht="27">
      <c r="A2" s="72" t="s">
        <v>15</v>
      </c>
      <c r="B2" s="14" t="s">
        <v>16</v>
      </c>
      <c r="C2" s="15" t="s">
        <v>17</v>
      </c>
      <c r="D2" s="65" t="s">
        <v>18</v>
      </c>
      <c r="E2" s="65" t="s">
        <v>19</v>
      </c>
      <c r="F2" s="15">
        <v>6</v>
      </c>
    </row>
    <row r="3" spans="1:7">
      <c r="A3" s="72"/>
      <c r="B3" s="14" t="s">
        <v>20</v>
      </c>
      <c r="C3" s="15" t="s">
        <v>17</v>
      </c>
      <c r="D3" s="65" t="s">
        <v>21</v>
      </c>
      <c r="E3" s="65" t="s">
        <v>22</v>
      </c>
      <c r="F3" s="15">
        <v>97</v>
      </c>
    </row>
    <row r="4" spans="1:7">
      <c r="A4" s="72"/>
      <c r="B4" s="14" t="s">
        <v>23</v>
      </c>
      <c r="C4" s="15" t="s">
        <v>17</v>
      </c>
      <c r="D4" s="65" t="s">
        <v>24</v>
      </c>
      <c r="E4" s="65" t="s">
        <v>25</v>
      </c>
      <c r="F4" s="15">
        <v>1827</v>
      </c>
    </row>
    <row r="5" spans="1:7">
      <c r="A5" s="72"/>
      <c r="B5" s="14" t="s">
        <v>26</v>
      </c>
      <c r="C5" s="15" t="s">
        <v>17</v>
      </c>
      <c r="D5" s="65" t="s">
        <v>27</v>
      </c>
      <c r="E5" s="65" t="s">
        <v>28</v>
      </c>
      <c r="F5" s="15">
        <v>6</v>
      </c>
    </row>
    <row r="6" spans="1:7">
      <c r="A6" s="72"/>
      <c r="B6" s="14"/>
      <c r="C6" s="15"/>
      <c r="D6" s="15"/>
      <c r="E6" s="15"/>
      <c r="F6" s="15"/>
    </row>
    <row r="7" spans="1:7">
      <c r="A7" s="18" t="s">
        <v>29</v>
      </c>
      <c r="B7" s="14" t="s">
        <v>30</v>
      </c>
      <c r="C7" s="14" t="s">
        <v>30</v>
      </c>
      <c r="D7" s="15" t="s">
        <v>31</v>
      </c>
      <c r="E7" s="15" t="s">
        <v>32</v>
      </c>
      <c r="F7" s="15">
        <v>237</v>
      </c>
    </row>
    <row r="8" spans="1:7">
      <c r="A8" s="48" t="s">
        <v>33</v>
      </c>
      <c r="B8" s="14" t="s">
        <v>34</v>
      </c>
      <c r="C8" s="15" t="s">
        <v>34</v>
      </c>
      <c r="D8" s="15" t="s">
        <v>35</v>
      </c>
      <c r="E8" s="15" t="s">
        <v>36</v>
      </c>
      <c r="F8" s="15">
        <v>677</v>
      </c>
      <c r="G8" s="17"/>
    </row>
    <row r="9" spans="1:7">
      <c r="A9" s="18" t="s">
        <v>37</v>
      </c>
      <c r="B9" s="14" t="s">
        <v>38</v>
      </c>
      <c r="C9" s="15" t="s">
        <v>38</v>
      </c>
      <c r="D9" s="15" t="s">
        <v>39</v>
      </c>
      <c r="E9" s="15" t="s">
        <v>40</v>
      </c>
      <c r="F9" s="15">
        <v>399</v>
      </c>
      <c r="G9" s="17"/>
    </row>
    <row r="10" spans="1:7">
      <c r="A10" s="18" t="s">
        <v>41</v>
      </c>
      <c r="B10" s="14" t="s">
        <v>41</v>
      </c>
      <c r="C10" s="15" t="s">
        <v>41</v>
      </c>
      <c r="D10" s="15" t="s">
        <v>42</v>
      </c>
      <c r="E10" s="15" t="s">
        <v>43</v>
      </c>
      <c r="F10" s="15">
        <v>323</v>
      </c>
      <c r="G10" s="17"/>
    </row>
    <row r="11" spans="1:7">
      <c r="A11" s="72" t="s">
        <v>44</v>
      </c>
      <c r="B11" s="14" t="s">
        <v>45</v>
      </c>
      <c r="C11" s="15" t="s">
        <v>45</v>
      </c>
      <c r="D11" s="15" t="s">
        <v>46</v>
      </c>
      <c r="E11" s="15" t="s">
        <v>47</v>
      </c>
      <c r="F11" s="15">
        <v>690</v>
      </c>
      <c r="G11" s="17"/>
    </row>
    <row r="12" spans="1:7">
      <c r="A12" s="72"/>
      <c r="B12" s="17" t="s">
        <v>48</v>
      </c>
      <c r="C12" s="15" t="s">
        <v>48</v>
      </c>
      <c r="D12" s="15" t="s">
        <v>49</v>
      </c>
      <c r="E12" s="15" t="s">
        <v>50</v>
      </c>
      <c r="F12" s="15">
        <v>113</v>
      </c>
      <c r="G12" s="17"/>
    </row>
    <row r="13" spans="1:7">
      <c r="A13" s="72"/>
      <c r="B13" s="17" t="s">
        <v>51</v>
      </c>
      <c r="C13" s="15" t="s">
        <v>51</v>
      </c>
      <c r="D13" s="15" t="s">
        <v>52</v>
      </c>
      <c r="E13" s="15" t="s">
        <v>53</v>
      </c>
      <c r="F13" s="15">
        <v>5072</v>
      </c>
      <c r="G13" s="17"/>
    </row>
    <row r="14" spans="1:7">
      <c r="A14" s="72" t="s">
        <v>54</v>
      </c>
      <c r="B14" s="14" t="s">
        <v>55</v>
      </c>
      <c r="C14" s="15" t="s">
        <v>55</v>
      </c>
      <c r="D14" s="15" t="s">
        <v>56</v>
      </c>
      <c r="E14" s="15" t="s">
        <v>57</v>
      </c>
      <c r="F14" s="15">
        <v>690</v>
      </c>
      <c r="G14" s="17"/>
    </row>
    <row r="15" spans="1:7">
      <c r="A15" s="72"/>
      <c r="B15" s="14" t="s">
        <v>58</v>
      </c>
      <c r="C15" s="15" t="s">
        <v>59</v>
      </c>
      <c r="D15" s="15" t="s">
        <v>60</v>
      </c>
      <c r="E15" s="15" t="s">
        <v>61</v>
      </c>
      <c r="F15" s="15">
        <v>113</v>
      </c>
      <c r="G15" s="17"/>
    </row>
    <row r="16" spans="1:7">
      <c r="A16" s="72"/>
      <c r="B16" s="14" t="s">
        <v>62</v>
      </c>
      <c r="C16" s="15" t="s">
        <v>62</v>
      </c>
      <c r="D16" s="15" t="s">
        <v>63</v>
      </c>
      <c r="E16" s="15" t="s">
        <v>64</v>
      </c>
      <c r="F16" s="15">
        <v>5072</v>
      </c>
      <c r="G16" s="17"/>
    </row>
    <row r="17" spans="1:7">
      <c r="A17" s="72"/>
      <c r="B17" s="14" t="s">
        <v>65</v>
      </c>
      <c r="C17" s="15" t="s">
        <v>65</v>
      </c>
      <c r="D17" s="15" t="s">
        <v>66</v>
      </c>
      <c r="E17" s="15" t="s">
        <v>67</v>
      </c>
      <c r="F17" s="15">
        <v>12</v>
      </c>
      <c r="G17" s="17"/>
    </row>
    <row r="18" spans="1:7">
      <c r="A18" s="72" t="s">
        <v>68</v>
      </c>
      <c r="B18" s="14" t="s">
        <v>69</v>
      </c>
      <c r="C18" s="15" t="s">
        <v>69</v>
      </c>
      <c r="D18" s="15" t="s">
        <v>70</v>
      </c>
      <c r="E18" s="15" t="s">
        <v>71</v>
      </c>
      <c r="F18" s="15">
        <v>690</v>
      </c>
      <c r="G18" s="17"/>
    </row>
    <row r="19" spans="1:7">
      <c r="A19" s="72"/>
      <c r="B19" s="14" t="s">
        <v>72</v>
      </c>
      <c r="C19" s="15" t="s">
        <v>72</v>
      </c>
      <c r="D19" s="15" t="s">
        <v>73</v>
      </c>
      <c r="E19" s="15" t="s">
        <v>74</v>
      </c>
      <c r="F19" s="15">
        <v>113</v>
      </c>
      <c r="G19" s="17"/>
    </row>
    <row r="20" spans="1:7">
      <c r="A20" s="72"/>
      <c r="B20" s="14" t="s">
        <v>75</v>
      </c>
      <c r="C20" s="15" t="s">
        <v>75</v>
      </c>
      <c r="D20" s="15" t="s">
        <v>76</v>
      </c>
      <c r="E20" s="15" t="s">
        <v>77</v>
      </c>
      <c r="F20" s="15">
        <v>5072</v>
      </c>
      <c r="G20" s="17"/>
    </row>
    <row r="21" spans="1:7">
      <c r="A21" s="72"/>
      <c r="B21" s="14" t="s">
        <v>78</v>
      </c>
      <c r="C21" s="15" t="s">
        <v>78</v>
      </c>
      <c r="D21" s="15" t="s">
        <v>79</v>
      </c>
      <c r="E21" s="15" t="s">
        <v>80</v>
      </c>
      <c r="F21" s="15">
        <v>12</v>
      </c>
      <c r="G21" s="17"/>
    </row>
    <row r="22" spans="1:7">
      <c r="A22" s="72" t="s">
        <v>81</v>
      </c>
      <c r="B22" s="14" t="s">
        <v>82</v>
      </c>
      <c r="C22" s="15" t="s">
        <v>82</v>
      </c>
      <c r="D22" s="15" t="s">
        <v>83</v>
      </c>
      <c r="E22" s="15" t="s">
        <v>84</v>
      </c>
      <c r="F22" s="15">
        <v>690</v>
      </c>
      <c r="G22" s="17"/>
    </row>
    <row r="23" spans="1:7">
      <c r="A23" s="72"/>
      <c r="B23" s="14" t="s">
        <v>85</v>
      </c>
      <c r="C23" s="15" t="s">
        <v>85</v>
      </c>
      <c r="D23" s="15" t="s">
        <v>86</v>
      </c>
      <c r="E23" s="15" t="s">
        <v>87</v>
      </c>
      <c r="F23" s="15">
        <v>113</v>
      </c>
      <c r="G23" s="17"/>
    </row>
    <row r="24" spans="1:7">
      <c r="A24" s="72"/>
      <c r="B24" s="14" t="s">
        <v>88</v>
      </c>
      <c r="C24" s="15" t="s">
        <v>88</v>
      </c>
      <c r="D24" s="15" t="s">
        <v>89</v>
      </c>
      <c r="E24" s="15" t="s">
        <v>90</v>
      </c>
      <c r="F24" s="15">
        <v>5072</v>
      </c>
      <c r="G24" s="17"/>
    </row>
    <row r="25" spans="1:7">
      <c r="A25" s="72"/>
      <c r="B25" s="14" t="s">
        <v>91</v>
      </c>
      <c r="C25" s="15" t="s">
        <v>91</v>
      </c>
      <c r="D25" s="15" t="s">
        <v>92</v>
      </c>
      <c r="E25" s="15" t="s">
        <v>93</v>
      </c>
      <c r="F25" s="15">
        <v>12</v>
      </c>
      <c r="G25" s="17"/>
    </row>
    <row r="26" spans="1:7" ht="15" customHeight="1">
      <c r="A26" s="18" t="s">
        <v>94</v>
      </c>
      <c r="B26" s="14" t="s">
        <v>94</v>
      </c>
      <c r="C26" s="15" t="s">
        <v>94</v>
      </c>
      <c r="D26" s="15" t="s">
        <v>95</v>
      </c>
      <c r="E26" s="15" t="s">
        <v>96</v>
      </c>
      <c r="F26" s="15">
        <v>16</v>
      </c>
      <c r="G26" s="17"/>
    </row>
    <row r="27" spans="1:7">
      <c r="A27" s="73" t="s">
        <v>97</v>
      </c>
      <c r="B27" s="17" t="s">
        <v>98</v>
      </c>
      <c r="C27" s="15" t="s">
        <v>98</v>
      </c>
      <c r="D27" s="15" t="s">
        <v>99</v>
      </c>
      <c r="E27" s="15" t="s">
        <v>100</v>
      </c>
      <c r="F27" s="15">
        <v>1660</v>
      </c>
    </row>
    <row r="28" spans="1:7">
      <c r="A28" s="73"/>
      <c r="B28" s="17" t="s">
        <v>101</v>
      </c>
      <c r="C28" s="15" t="s">
        <v>101</v>
      </c>
      <c r="D28" s="15" t="s">
        <v>102</v>
      </c>
      <c r="E28" s="15" t="s">
        <v>103</v>
      </c>
      <c r="F28" s="15">
        <v>1660</v>
      </c>
    </row>
    <row r="29" spans="1:7">
      <c r="A29" s="49" t="s">
        <v>104</v>
      </c>
      <c r="B29" s="17" t="s">
        <v>105</v>
      </c>
      <c r="C29" s="15" t="s">
        <v>105</v>
      </c>
      <c r="D29" s="15" t="s">
        <v>106</v>
      </c>
      <c r="E29" s="15" t="s">
        <v>107</v>
      </c>
      <c r="F29" s="15">
        <v>963</v>
      </c>
    </row>
    <row r="30" spans="1:7">
      <c r="A30" s="72" t="s">
        <v>108</v>
      </c>
      <c r="B30" s="14" t="s">
        <v>109</v>
      </c>
      <c r="C30" s="14" t="s">
        <v>109</v>
      </c>
      <c r="D30" s="15" t="s">
        <v>110</v>
      </c>
      <c r="E30" s="15" t="s">
        <v>111</v>
      </c>
      <c r="F30" s="15">
        <v>177</v>
      </c>
      <c r="G30" s="17"/>
    </row>
    <row r="31" spans="1:7">
      <c r="A31" s="72"/>
      <c r="B31" s="14" t="s">
        <v>112</v>
      </c>
      <c r="C31" s="15" t="s">
        <v>112</v>
      </c>
      <c r="D31" s="15" t="s">
        <v>113</v>
      </c>
      <c r="E31" s="15" t="s">
        <v>114</v>
      </c>
      <c r="F31" s="15">
        <v>5</v>
      </c>
      <c r="G31" s="17"/>
    </row>
    <row r="32" spans="1:7">
      <c r="A32" s="18" t="s">
        <v>115</v>
      </c>
      <c r="B32" s="14" t="s">
        <v>116</v>
      </c>
      <c r="C32" s="15" t="s">
        <v>116</v>
      </c>
      <c r="D32" s="15" t="s">
        <v>117</v>
      </c>
      <c r="E32" s="15" t="s">
        <v>118</v>
      </c>
      <c r="F32" s="15">
        <v>103</v>
      </c>
      <c r="G32" s="17"/>
    </row>
    <row r="33" spans="1:7">
      <c r="A33" s="72" t="s">
        <v>119</v>
      </c>
      <c r="B33" s="14" t="s">
        <v>120</v>
      </c>
      <c r="C33" s="15" t="s">
        <v>120</v>
      </c>
      <c r="D33" s="15" t="s">
        <v>121</v>
      </c>
      <c r="E33" s="15" t="s">
        <v>122</v>
      </c>
      <c r="F33" s="11">
        <v>34</v>
      </c>
      <c r="G33" s="17"/>
    </row>
    <row r="34" spans="1:7">
      <c r="A34" s="72"/>
      <c r="B34" s="11" t="s">
        <v>123</v>
      </c>
      <c r="C34" s="11" t="s">
        <v>123</v>
      </c>
      <c r="D34" s="15" t="s">
        <v>124</v>
      </c>
      <c r="E34" s="15" t="s">
        <v>125</v>
      </c>
      <c r="F34" s="11">
        <v>2</v>
      </c>
    </row>
    <row r="35" spans="1:7">
      <c r="A35" s="72"/>
      <c r="B35" s="11" t="s">
        <v>126</v>
      </c>
      <c r="C35" s="11" t="s">
        <v>127</v>
      </c>
      <c r="G35" s="11" t="s">
        <v>128</v>
      </c>
    </row>
    <row r="36" spans="1:7">
      <c r="A36" s="72"/>
      <c r="B36" s="11" t="s">
        <v>129</v>
      </c>
      <c r="C36" s="11" t="s">
        <v>130</v>
      </c>
      <c r="G36" s="11" t="s">
        <v>128</v>
      </c>
    </row>
    <row r="37" spans="1:7">
      <c r="A37" s="49" t="s">
        <v>131</v>
      </c>
      <c r="G37" s="11" t="s">
        <v>128</v>
      </c>
    </row>
  </sheetData>
  <mergeCells count="8">
    <mergeCell ref="A2:A6"/>
    <mergeCell ref="A11:A13"/>
    <mergeCell ref="A30:A31"/>
    <mergeCell ref="A33:A36"/>
    <mergeCell ref="A14:A17"/>
    <mergeCell ref="A18:A21"/>
    <mergeCell ref="A22:A25"/>
    <mergeCell ref="A27:A28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0966-756B-41B4-A77A-1FA77014036B}">
  <dimension ref="A1:L61"/>
  <sheetViews>
    <sheetView topLeftCell="A43" workbookViewId="0">
      <selection activeCell="J67" sqref="J67"/>
    </sheetView>
  </sheetViews>
  <sheetFormatPr defaultRowHeight="30" customHeight="1"/>
  <cols>
    <col min="1" max="1" width="27.875" customWidth="1"/>
    <col min="2" max="2" width="8.625" bestFit="1" customWidth="1"/>
    <col min="3" max="3" width="7.625" bestFit="1" customWidth="1"/>
    <col min="4" max="4" width="8.625" bestFit="1" customWidth="1"/>
    <col min="5" max="5" width="7.625" bestFit="1" customWidth="1"/>
    <col min="6" max="6" width="35.625" customWidth="1"/>
    <col min="8" max="8" width="6" customWidth="1"/>
    <col min="10" max="10" width="32.75" bestFit="1" customWidth="1"/>
    <col min="11" max="11" width="27.5" bestFit="1" customWidth="1"/>
    <col min="12" max="12" width="20.75" bestFit="1" customWidth="1"/>
  </cols>
  <sheetData>
    <row r="1" spans="1:12" ht="30" customHeight="1">
      <c r="A1" s="62" t="s">
        <v>132</v>
      </c>
      <c r="B1" s="63" t="s">
        <v>133</v>
      </c>
      <c r="C1" s="63" t="s">
        <v>134</v>
      </c>
      <c r="D1" s="63" t="s">
        <v>135</v>
      </c>
      <c r="E1" s="63" t="s">
        <v>136</v>
      </c>
      <c r="F1" s="63" t="s">
        <v>137</v>
      </c>
      <c r="G1" s="63" t="s">
        <v>138</v>
      </c>
      <c r="H1" s="63" t="s">
        <v>139</v>
      </c>
      <c r="I1" s="63" t="s">
        <v>140</v>
      </c>
      <c r="J1" s="63" t="s">
        <v>141</v>
      </c>
      <c r="K1" s="63" t="s">
        <v>142</v>
      </c>
      <c r="L1" s="38"/>
    </row>
    <row r="2" spans="1:12" ht="30" customHeight="1">
      <c r="A2" s="64" t="s">
        <v>143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9"/>
    </row>
    <row r="3" spans="1:12" ht="30" customHeight="1">
      <c r="A3" s="64" t="s">
        <v>144</v>
      </c>
      <c r="B3" s="65" t="s">
        <v>18</v>
      </c>
      <c r="C3" s="65" t="s">
        <v>18</v>
      </c>
      <c r="D3" s="65">
        <v>4096</v>
      </c>
      <c r="E3" s="65">
        <v>4096</v>
      </c>
      <c r="F3" s="66" t="s">
        <v>145</v>
      </c>
      <c r="G3" s="66" t="s">
        <v>146</v>
      </c>
      <c r="H3" s="65" t="s">
        <v>147</v>
      </c>
      <c r="I3" s="65">
        <v>1</v>
      </c>
      <c r="J3" s="66" t="s">
        <v>148</v>
      </c>
      <c r="K3" s="67"/>
    </row>
    <row r="4" spans="1:12" ht="30" customHeight="1">
      <c r="A4" s="64"/>
      <c r="B4" s="65" t="s">
        <v>149</v>
      </c>
      <c r="C4" s="65" t="s">
        <v>149</v>
      </c>
      <c r="D4" s="65">
        <v>4097</v>
      </c>
      <c r="E4" s="65">
        <v>4097</v>
      </c>
      <c r="F4" s="66" t="s">
        <v>150</v>
      </c>
      <c r="G4" s="66" t="s">
        <v>146</v>
      </c>
      <c r="H4" s="65" t="s">
        <v>147</v>
      </c>
      <c r="I4" s="65">
        <v>1</v>
      </c>
      <c r="J4" s="66" t="s">
        <v>151</v>
      </c>
      <c r="K4" s="65">
        <v>0</v>
      </c>
    </row>
    <row r="5" spans="1:12" ht="30" customHeight="1">
      <c r="A5" s="64"/>
      <c r="B5" s="65" t="s">
        <v>152</v>
      </c>
      <c r="C5" s="65" t="s">
        <v>152</v>
      </c>
      <c r="D5" s="65">
        <v>4098</v>
      </c>
      <c r="E5" s="65">
        <v>4098</v>
      </c>
      <c r="F5" s="66" t="s">
        <v>153</v>
      </c>
      <c r="G5" s="66" t="s">
        <v>146</v>
      </c>
      <c r="H5" s="65" t="s">
        <v>147</v>
      </c>
      <c r="I5" s="65">
        <v>1</v>
      </c>
      <c r="J5" s="66" t="s">
        <v>154</v>
      </c>
      <c r="K5" s="65">
        <v>502</v>
      </c>
    </row>
    <row r="6" spans="1:12" ht="25.5">
      <c r="A6" s="64"/>
      <c r="B6" s="65" t="s">
        <v>155</v>
      </c>
      <c r="C6" s="65" t="s">
        <v>155</v>
      </c>
      <c r="D6" s="65">
        <v>4099</v>
      </c>
      <c r="E6" s="65">
        <v>4099</v>
      </c>
      <c r="F6" s="66" t="s">
        <v>156</v>
      </c>
      <c r="G6" s="66" t="s">
        <v>146</v>
      </c>
      <c r="H6" s="65" t="s">
        <v>147</v>
      </c>
      <c r="I6" s="65">
        <v>1</v>
      </c>
      <c r="J6" s="66" t="s">
        <v>157</v>
      </c>
      <c r="K6" s="66" t="s">
        <v>158</v>
      </c>
    </row>
    <row r="7" spans="1:12" ht="25.5">
      <c r="A7" s="64"/>
      <c r="B7" s="65" t="s">
        <v>159</v>
      </c>
      <c r="C7" s="65" t="s">
        <v>159</v>
      </c>
      <c r="D7" s="65">
        <v>4100</v>
      </c>
      <c r="E7" s="65">
        <v>4100</v>
      </c>
      <c r="F7" s="66" t="s">
        <v>160</v>
      </c>
      <c r="G7" s="66" t="s">
        <v>146</v>
      </c>
      <c r="H7" s="65" t="s">
        <v>147</v>
      </c>
      <c r="I7" s="65">
        <v>1</v>
      </c>
      <c r="J7" s="66" t="s">
        <v>157</v>
      </c>
      <c r="K7" s="66" t="s">
        <v>158</v>
      </c>
    </row>
    <row r="8" spans="1:12" ht="63.75">
      <c r="A8" s="64"/>
      <c r="B8" s="65" t="s">
        <v>161</v>
      </c>
      <c r="C8" s="65" t="s">
        <v>161</v>
      </c>
      <c r="D8" s="65">
        <v>4101</v>
      </c>
      <c r="E8" s="65">
        <v>4101</v>
      </c>
      <c r="F8" s="66" t="s">
        <v>162</v>
      </c>
      <c r="G8" s="66" t="s">
        <v>146</v>
      </c>
      <c r="H8" s="66" t="s">
        <v>147</v>
      </c>
      <c r="I8" s="66">
        <v>1</v>
      </c>
      <c r="J8" s="66" t="s">
        <v>163</v>
      </c>
      <c r="K8" s="66">
        <v>19200</v>
      </c>
    </row>
    <row r="9" spans="1:12" ht="30" customHeight="1">
      <c r="A9" s="64"/>
      <c r="B9" s="65" t="s">
        <v>19</v>
      </c>
      <c r="C9" s="65" t="s">
        <v>19</v>
      </c>
      <c r="D9" s="65">
        <v>4102</v>
      </c>
      <c r="E9" s="65">
        <v>4102</v>
      </c>
      <c r="F9" s="66" t="s">
        <v>164</v>
      </c>
      <c r="G9" s="66" t="s">
        <v>146</v>
      </c>
      <c r="H9" s="66" t="s">
        <v>147</v>
      </c>
      <c r="I9" s="66">
        <v>1</v>
      </c>
      <c r="J9" s="66" t="s">
        <v>165</v>
      </c>
      <c r="K9" s="66" t="s">
        <v>166</v>
      </c>
    </row>
    <row r="10" spans="1:12" ht="30" customHeight="1">
      <c r="A10" s="64"/>
      <c r="B10" s="65"/>
      <c r="C10" s="65"/>
      <c r="D10" s="65"/>
      <c r="E10" s="65"/>
      <c r="F10" s="65"/>
      <c r="G10" s="65"/>
      <c r="H10" s="67"/>
      <c r="I10" s="67"/>
      <c r="J10" s="67"/>
      <c r="K10" s="67"/>
    </row>
    <row r="11" spans="1:12" ht="30" customHeight="1">
      <c r="A11" s="64" t="s">
        <v>17</v>
      </c>
      <c r="B11" s="65" t="s">
        <v>21</v>
      </c>
      <c r="C11" s="65" t="s">
        <v>167</v>
      </c>
      <c r="D11" s="65">
        <v>4160</v>
      </c>
      <c r="E11" s="65">
        <v>4175</v>
      </c>
      <c r="F11" s="66" t="s">
        <v>168</v>
      </c>
      <c r="G11" s="65" t="s">
        <v>169</v>
      </c>
      <c r="H11" s="66" t="s">
        <v>147</v>
      </c>
      <c r="I11" s="66">
        <v>16</v>
      </c>
      <c r="J11" s="66" t="s">
        <v>170</v>
      </c>
      <c r="K11" s="67" t="s">
        <v>171</v>
      </c>
    </row>
    <row r="12" spans="1:12" ht="30" customHeight="1">
      <c r="A12" s="64"/>
      <c r="B12" s="65" t="s">
        <v>172</v>
      </c>
      <c r="C12" s="65" t="s">
        <v>173</v>
      </c>
      <c r="D12" s="65">
        <v>4176</v>
      </c>
      <c r="E12" s="65">
        <v>4191</v>
      </c>
      <c r="F12" s="66" t="s">
        <v>174</v>
      </c>
      <c r="G12" s="65" t="s">
        <v>169</v>
      </c>
      <c r="H12" s="66" t="s">
        <v>147</v>
      </c>
      <c r="I12" s="66">
        <v>16</v>
      </c>
      <c r="J12" s="66" t="s">
        <v>170</v>
      </c>
      <c r="K12" s="67" t="s">
        <v>171</v>
      </c>
    </row>
    <row r="13" spans="1:12" ht="30" customHeight="1">
      <c r="A13" s="64"/>
      <c r="B13" s="65" t="s">
        <v>175</v>
      </c>
      <c r="C13" s="65" t="s">
        <v>176</v>
      </c>
      <c r="D13" s="65">
        <v>4192</v>
      </c>
      <c r="E13" s="65">
        <v>4207</v>
      </c>
      <c r="F13" s="66" t="s">
        <v>177</v>
      </c>
      <c r="G13" s="65" t="s">
        <v>169</v>
      </c>
      <c r="H13" s="66" t="s">
        <v>147</v>
      </c>
      <c r="I13" s="66">
        <v>16</v>
      </c>
      <c r="J13" s="66" t="s">
        <v>170</v>
      </c>
      <c r="K13" s="67" t="s">
        <v>171</v>
      </c>
    </row>
    <row r="14" spans="1:12" ht="30" customHeight="1">
      <c r="A14" s="64"/>
      <c r="B14" s="65" t="s">
        <v>178</v>
      </c>
      <c r="C14" s="65" t="s">
        <v>179</v>
      </c>
      <c r="D14" s="65">
        <v>4208</v>
      </c>
      <c r="E14" s="65">
        <v>4223</v>
      </c>
      <c r="F14" s="66" t="s">
        <v>180</v>
      </c>
      <c r="G14" s="65" t="s">
        <v>169</v>
      </c>
      <c r="H14" s="66" t="s">
        <v>147</v>
      </c>
      <c r="I14" s="66">
        <v>16</v>
      </c>
      <c r="J14" s="66" t="s">
        <v>170</v>
      </c>
      <c r="K14" s="67" t="s">
        <v>171</v>
      </c>
    </row>
    <row r="15" spans="1:12" ht="30" customHeight="1">
      <c r="A15" s="64"/>
      <c r="B15" s="65" t="s">
        <v>181</v>
      </c>
      <c r="C15" s="65" t="s">
        <v>182</v>
      </c>
      <c r="D15" s="65">
        <v>4224</v>
      </c>
      <c r="E15" s="65">
        <v>4239</v>
      </c>
      <c r="F15" s="66" t="s">
        <v>183</v>
      </c>
      <c r="G15" s="65" t="s">
        <v>169</v>
      </c>
      <c r="H15" s="66" t="s">
        <v>147</v>
      </c>
      <c r="I15" s="66">
        <v>16</v>
      </c>
      <c r="J15" s="66" t="s">
        <v>170</v>
      </c>
      <c r="K15" s="67" t="s">
        <v>171</v>
      </c>
    </row>
    <row r="16" spans="1:12" ht="30" customHeight="1">
      <c r="A16" s="64"/>
      <c r="B16" s="65" t="s">
        <v>184</v>
      </c>
      <c r="C16" s="65" t="s">
        <v>185</v>
      </c>
      <c r="D16" s="65">
        <v>4240</v>
      </c>
      <c r="E16" s="65">
        <v>4255</v>
      </c>
      <c r="F16" s="66" t="s">
        <v>186</v>
      </c>
      <c r="G16" s="65" t="s">
        <v>169</v>
      </c>
      <c r="H16" s="66" t="s">
        <v>147</v>
      </c>
      <c r="I16" s="66">
        <v>16</v>
      </c>
      <c r="J16" s="66" t="s">
        <v>170</v>
      </c>
      <c r="K16" s="67" t="s">
        <v>171</v>
      </c>
    </row>
    <row r="17" spans="1:11" ht="30" customHeight="1">
      <c r="A17" s="67"/>
      <c r="B17" s="65" t="s">
        <v>22</v>
      </c>
      <c r="C17" s="65" t="s">
        <v>22</v>
      </c>
      <c r="D17" s="65">
        <v>4256</v>
      </c>
      <c r="E17" s="65">
        <v>4256</v>
      </c>
      <c r="F17" s="66" t="s">
        <v>187</v>
      </c>
      <c r="G17" s="66" t="s">
        <v>146</v>
      </c>
      <c r="H17" s="66" t="s">
        <v>147</v>
      </c>
      <c r="I17" s="66">
        <v>1</v>
      </c>
      <c r="J17" s="66" t="s">
        <v>188</v>
      </c>
      <c r="K17" s="68" t="s">
        <v>189</v>
      </c>
    </row>
    <row r="18" spans="1:11" ht="30" customHeight="1">
      <c r="A18" s="64"/>
      <c r="B18" s="65"/>
      <c r="C18" s="65"/>
      <c r="D18" s="65"/>
      <c r="E18" s="65"/>
      <c r="F18" s="66"/>
      <c r="G18" s="66"/>
      <c r="H18" s="66"/>
      <c r="I18" s="66"/>
      <c r="J18" s="67"/>
      <c r="K18" s="67"/>
    </row>
    <row r="19" spans="1:11" ht="30" customHeight="1">
      <c r="A19" s="64"/>
      <c r="B19" s="66"/>
      <c r="C19" s="66"/>
      <c r="D19" s="66"/>
      <c r="E19" s="66"/>
      <c r="F19" s="66"/>
      <c r="G19" s="66"/>
      <c r="H19" s="67"/>
      <c r="I19" s="67"/>
      <c r="J19" s="67"/>
      <c r="K19" s="67"/>
    </row>
    <row r="20" spans="1:11" ht="30" customHeight="1">
      <c r="A20" s="64" t="s">
        <v>190</v>
      </c>
      <c r="B20" s="65" t="s">
        <v>24</v>
      </c>
      <c r="C20" s="65" t="s">
        <v>24</v>
      </c>
      <c r="D20" s="65">
        <v>4266</v>
      </c>
      <c r="E20" s="65">
        <v>4266</v>
      </c>
      <c r="F20" s="66" t="s">
        <v>191</v>
      </c>
      <c r="G20" s="66" t="s">
        <v>146</v>
      </c>
      <c r="H20" s="66" t="s">
        <v>147</v>
      </c>
      <c r="I20" s="66">
        <v>1</v>
      </c>
      <c r="J20" s="66" t="s">
        <v>192</v>
      </c>
      <c r="K20" s="67"/>
    </row>
    <row r="21" spans="1:11" ht="30" customHeight="1">
      <c r="A21" s="67"/>
      <c r="B21" s="65" t="s">
        <v>193</v>
      </c>
      <c r="C21" s="65" t="s">
        <v>194</v>
      </c>
      <c r="D21" s="65">
        <v>4267</v>
      </c>
      <c r="E21" s="65">
        <v>4268</v>
      </c>
      <c r="F21" s="66" t="s">
        <v>195</v>
      </c>
      <c r="G21" s="66" t="s">
        <v>196</v>
      </c>
      <c r="H21" s="66" t="s">
        <v>147</v>
      </c>
      <c r="I21" s="66">
        <v>2</v>
      </c>
      <c r="J21" s="65" t="s">
        <v>197</v>
      </c>
      <c r="K21" s="67"/>
    </row>
    <row r="22" spans="1:11" ht="30" customHeight="1">
      <c r="A22" s="67"/>
      <c r="B22" s="65" t="s">
        <v>198</v>
      </c>
      <c r="C22" s="65" t="s">
        <v>198</v>
      </c>
      <c r="D22" s="65">
        <v>4269</v>
      </c>
      <c r="E22" s="65">
        <v>4269</v>
      </c>
      <c r="F22" s="66" t="s">
        <v>199</v>
      </c>
      <c r="G22" s="66" t="s">
        <v>146</v>
      </c>
      <c r="H22" s="66" t="s">
        <v>147</v>
      </c>
      <c r="I22" s="66">
        <v>1</v>
      </c>
      <c r="J22" s="69" t="s">
        <v>200</v>
      </c>
      <c r="K22" s="67"/>
    </row>
    <row r="23" spans="1:11" ht="30" customHeight="1">
      <c r="A23" s="67"/>
      <c r="B23" s="65" t="s">
        <v>201</v>
      </c>
      <c r="C23" s="65" t="s">
        <v>201</v>
      </c>
      <c r="D23" s="65">
        <v>4270</v>
      </c>
      <c r="E23" s="65">
        <v>4270</v>
      </c>
      <c r="F23" s="69" t="s">
        <v>202</v>
      </c>
      <c r="G23" s="70" t="s">
        <v>146</v>
      </c>
      <c r="H23" s="70" t="s">
        <v>147</v>
      </c>
      <c r="I23" s="70">
        <v>1</v>
      </c>
      <c r="J23" s="70" t="s">
        <v>203</v>
      </c>
      <c r="K23" s="67"/>
    </row>
    <row r="24" spans="1:11" ht="76.5">
      <c r="A24" s="67"/>
      <c r="B24" s="65" t="s">
        <v>204</v>
      </c>
      <c r="C24" s="65" t="s">
        <v>204</v>
      </c>
      <c r="D24" s="65">
        <v>4271</v>
      </c>
      <c r="E24" s="65">
        <v>4271</v>
      </c>
      <c r="F24" s="69" t="s">
        <v>205</v>
      </c>
      <c r="G24" s="70" t="s">
        <v>146</v>
      </c>
      <c r="H24" s="70" t="s">
        <v>147</v>
      </c>
      <c r="I24" s="70">
        <v>1</v>
      </c>
      <c r="J24" s="70" t="s">
        <v>206</v>
      </c>
      <c r="K24" s="67"/>
    </row>
    <row r="25" spans="1:11" ht="13.5">
      <c r="A25" s="67"/>
      <c r="B25" s="65" t="s">
        <v>207</v>
      </c>
      <c r="C25" s="65" t="s">
        <v>208</v>
      </c>
      <c r="D25" s="65">
        <v>4272</v>
      </c>
      <c r="E25" s="65">
        <v>4277</v>
      </c>
      <c r="F25" s="66" t="s">
        <v>209</v>
      </c>
      <c r="G25" s="66" t="s">
        <v>146</v>
      </c>
      <c r="H25" s="66" t="s">
        <v>147</v>
      </c>
      <c r="I25" s="66">
        <v>6</v>
      </c>
      <c r="J25" s="66"/>
      <c r="K25" s="67"/>
    </row>
    <row r="26" spans="1:11" ht="30" customHeight="1">
      <c r="A26" s="67"/>
      <c r="B26" s="65" t="s">
        <v>210</v>
      </c>
      <c r="C26" s="65" t="s">
        <v>210</v>
      </c>
      <c r="D26" s="65">
        <v>4278</v>
      </c>
      <c r="E26" s="65">
        <v>4278</v>
      </c>
      <c r="F26" s="66" t="s">
        <v>211</v>
      </c>
      <c r="G26" s="66" t="s">
        <v>146</v>
      </c>
      <c r="H26" s="66" t="s">
        <v>147</v>
      </c>
      <c r="I26" s="66">
        <v>1</v>
      </c>
      <c r="J26" s="66" t="s">
        <v>212</v>
      </c>
      <c r="K26" s="67"/>
    </row>
    <row r="27" spans="1:11" ht="30" customHeight="1">
      <c r="A27" s="67"/>
      <c r="B27" s="65" t="s">
        <v>213</v>
      </c>
      <c r="C27" s="65" t="s">
        <v>213</v>
      </c>
      <c r="D27" s="65">
        <v>4279</v>
      </c>
      <c r="E27" s="65">
        <v>4279</v>
      </c>
      <c r="F27" s="66" t="s">
        <v>214</v>
      </c>
      <c r="G27" s="66" t="s">
        <v>146</v>
      </c>
      <c r="H27" s="66" t="s">
        <v>147</v>
      </c>
      <c r="I27" s="66">
        <v>1</v>
      </c>
      <c r="J27" s="66" t="s">
        <v>215</v>
      </c>
      <c r="K27" s="67"/>
    </row>
    <row r="28" spans="1:11" ht="13.5">
      <c r="A28" s="67"/>
      <c r="B28" s="65" t="s">
        <v>216</v>
      </c>
      <c r="C28" s="65" t="s">
        <v>216</v>
      </c>
      <c r="D28" s="65">
        <v>4280</v>
      </c>
      <c r="E28" s="65">
        <v>4280</v>
      </c>
      <c r="F28" s="66" t="s">
        <v>217</v>
      </c>
      <c r="G28" s="66" t="s">
        <v>146</v>
      </c>
      <c r="H28" s="66" t="s">
        <v>147</v>
      </c>
      <c r="I28" s="66">
        <v>1</v>
      </c>
      <c r="J28" s="66" t="s">
        <v>218</v>
      </c>
      <c r="K28" s="67"/>
    </row>
    <row r="29" spans="1:11" ht="30" customHeight="1">
      <c r="A29" s="67"/>
      <c r="B29" s="65" t="s">
        <v>219</v>
      </c>
      <c r="C29" s="65" t="s">
        <v>219</v>
      </c>
      <c r="D29" s="65">
        <v>4281</v>
      </c>
      <c r="E29" s="65">
        <v>4281</v>
      </c>
      <c r="F29" s="66" t="s">
        <v>220</v>
      </c>
      <c r="G29" s="66" t="s">
        <v>146</v>
      </c>
      <c r="H29" s="66" t="s">
        <v>147</v>
      </c>
      <c r="I29" s="66">
        <v>1</v>
      </c>
      <c r="J29" s="66" t="s">
        <v>221</v>
      </c>
      <c r="K29" s="67"/>
    </row>
    <row r="30" spans="1:11" ht="30" customHeight="1">
      <c r="A30" s="67"/>
      <c r="B30" s="65" t="s">
        <v>222</v>
      </c>
      <c r="C30" s="65" t="s">
        <v>223</v>
      </c>
      <c r="D30" s="65">
        <v>4282</v>
      </c>
      <c r="E30" s="65">
        <v>4373</v>
      </c>
      <c r="F30" s="66" t="s">
        <v>224</v>
      </c>
      <c r="G30" s="66" t="s">
        <v>146</v>
      </c>
      <c r="H30" s="66" t="s">
        <v>147</v>
      </c>
      <c r="I30" s="66">
        <v>92</v>
      </c>
      <c r="J30" s="66"/>
      <c r="K30" s="67"/>
    </row>
    <row r="31" spans="1:11" ht="30" customHeight="1">
      <c r="A31" s="67"/>
      <c r="B31" s="65" t="s">
        <v>225</v>
      </c>
      <c r="C31" s="65" t="s">
        <v>226</v>
      </c>
      <c r="D31" s="65">
        <v>4374</v>
      </c>
      <c r="E31" s="65">
        <v>4494</v>
      </c>
      <c r="F31" s="66" t="s">
        <v>227</v>
      </c>
      <c r="G31" s="66" t="s">
        <v>146</v>
      </c>
      <c r="H31" s="66" t="s">
        <v>147</v>
      </c>
      <c r="I31" s="66">
        <v>121</v>
      </c>
      <c r="J31" s="66"/>
      <c r="K31" s="67"/>
    </row>
    <row r="32" spans="1:11" ht="30" customHeight="1">
      <c r="A32" s="67"/>
      <c r="B32" s="65" t="s">
        <v>228</v>
      </c>
      <c r="C32" s="65" t="s">
        <v>229</v>
      </c>
      <c r="D32" s="65">
        <v>4495</v>
      </c>
      <c r="E32" s="65">
        <v>4615</v>
      </c>
      <c r="F32" s="66" t="s">
        <v>230</v>
      </c>
      <c r="G32" s="66" t="s">
        <v>146</v>
      </c>
      <c r="H32" s="66" t="s">
        <v>147</v>
      </c>
      <c r="I32" s="66">
        <v>121</v>
      </c>
      <c r="J32" s="66"/>
      <c r="K32" s="67"/>
    </row>
    <row r="33" spans="1:12" ht="30" customHeight="1">
      <c r="A33" s="67"/>
      <c r="B33" s="65" t="s">
        <v>231</v>
      </c>
      <c r="C33" s="65" t="s">
        <v>232</v>
      </c>
      <c r="D33" s="65">
        <v>4616</v>
      </c>
      <c r="E33" s="65">
        <v>4736</v>
      </c>
      <c r="F33" s="66" t="s">
        <v>233</v>
      </c>
      <c r="G33" s="66" t="s">
        <v>146</v>
      </c>
      <c r="H33" s="66" t="s">
        <v>147</v>
      </c>
      <c r="I33" s="66">
        <v>121</v>
      </c>
      <c r="J33" s="66"/>
      <c r="K33" s="67"/>
    </row>
    <row r="34" spans="1:12" ht="30" customHeight="1">
      <c r="A34" s="67"/>
      <c r="B34" s="65" t="s">
        <v>234</v>
      </c>
      <c r="C34" s="65" t="s">
        <v>234</v>
      </c>
      <c r="D34" s="65">
        <v>4737</v>
      </c>
      <c r="E34" s="65">
        <v>4737</v>
      </c>
      <c r="F34" s="66" t="s">
        <v>235</v>
      </c>
      <c r="G34" s="66" t="s">
        <v>146</v>
      </c>
      <c r="H34" s="66" t="s">
        <v>147</v>
      </c>
      <c r="I34" s="66">
        <v>1</v>
      </c>
      <c r="J34" s="66" t="s">
        <v>236</v>
      </c>
      <c r="K34" s="67"/>
    </row>
    <row r="35" spans="1:12" ht="30" customHeight="1">
      <c r="A35" s="67"/>
      <c r="B35" s="65" t="s">
        <v>237</v>
      </c>
      <c r="C35" s="65" t="s">
        <v>237</v>
      </c>
      <c r="D35" s="65">
        <v>4738</v>
      </c>
      <c r="E35" s="65">
        <v>4738</v>
      </c>
      <c r="F35" s="66" t="s">
        <v>238</v>
      </c>
      <c r="G35" s="66" t="s">
        <v>146</v>
      </c>
      <c r="H35" s="66" t="s">
        <v>147</v>
      </c>
      <c r="I35" s="66">
        <v>1</v>
      </c>
      <c r="J35" s="66" t="s">
        <v>192</v>
      </c>
      <c r="K35" s="67"/>
    </row>
    <row r="36" spans="1:12" ht="30" customHeight="1">
      <c r="A36" s="67"/>
      <c r="B36" s="65" t="s">
        <v>239</v>
      </c>
      <c r="C36" s="65" t="s">
        <v>240</v>
      </c>
      <c r="D36" s="65">
        <v>4739</v>
      </c>
      <c r="E36" s="65">
        <v>4741</v>
      </c>
      <c r="F36" s="66" t="s">
        <v>241</v>
      </c>
      <c r="G36" s="66" t="s">
        <v>146</v>
      </c>
      <c r="H36" s="66" t="s">
        <v>147</v>
      </c>
      <c r="I36" s="66">
        <v>3</v>
      </c>
      <c r="J36" s="66" t="s">
        <v>242</v>
      </c>
      <c r="K36" s="67"/>
    </row>
    <row r="37" spans="1:12" ht="30" customHeight="1">
      <c r="A37" s="67"/>
      <c r="B37" s="65" t="s">
        <v>243</v>
      </c>
      <c r="C37" s="65" t="s">
        <v>243</v>
      </c>
      <c r="D37" s="65">
        <v>4742</v>
      </c>
      <c r="E37" s="65">
        <v>4742</v>
      </c>
      <c r="F37" s="66" t="s">
        <v>244</v>
      </c>
      <c r="G37" s="66" t="s">
        <v>146</v>
      </c>
      <c r="H37" s="66" t="s">
        <v>147</v>
      </c>
      <c r="I37" s="66">
        <v>1</v>
      </c>
      <c r="J37" s="66" t="s">
        <v>245</v>
      </c>
      <c r="K37" s="67"/>
    </row>
    <row r="38" spans="1:12" ht="30" customHeight="1">
      <c r="A38" s="67"/>
      <c r="B38" s="65" t="s">
        <v>246</v>
      </c>
      <c r="C38" s="65" t="s">
        <v>246</v>
      </c>
      <c r="D38" s="65">
        <v>4743</v>
      </c>
      <c r="E38" s="65">
        <v>4743</v>
      </c>
      <c r="F38" s="66" t="s">
        <v>247</v>
      </c>
      <c r="G38" s="66" t="s">
        <v>146</v>
      </c>
      <c r="H38" s="66" t="s">
        <v>147</v>
      </c>
      <c r="I38" s="66">
        <v>1</v>
      </c>
      <c r="J38" s="66" t="s">
        <v>248</v>
      </c>
      <c r="K38" s="66"/>
    </row>
    <row r="39" spans="1:12" ht="13.5">
      <c r="A39" s="67"/>
      <c r="B39" s="65" t="s">
        <v>249</v>
      </c>
      <c r="C39" s="65" t="s">
        <v>250</v>
      </c>
      <c r="D39" s="65">
        <v>4744</v>
      </c>
      <c r="E39" s="65">
        <v>6080</v>
      </c>
      <c r="F39" s="66" t="s">
        <v>251</v>
      </c>
      <c r="G39" s="66"/>
      <c r="H39" s="66" t="s">
        <v>147</v>
      </c>
      <c r="I39" s="66">
        <v>1337</v>
      </c>
      <c r="J39" s="66"/>
      <c r="K39" s="66"/>
    </row>
    <row r="40" spans="1:12" ht="30" customHeight="1">
      <c r="A40" s="67"/>
      <c r="B40" s="65" t="s">
        <v>252</v>
      </c>
      <c r="C40" s="65" t="s">
        <v>252</v>
      </c>
      <c r="D40" s="65">
        <v>6081</v>
      </c>
      <c r="E40" s="65">
        <v>6081</v>
      </c>
      <c r="F40" s="69" t="s">
        <v>253</v>
      </c>
      <c r="G40" s="70" t="s">
        <v>146</v>
      </c>
      <c r="H40" s="70" t="s">
        <v>147</v>
      </c>
      <c r="I40" s="70">
        <v>1</v>
      </c>
      <c r="J40" s="66" t="s">
        <v>254</v>
      </c>
      <c r="K40" s="66"/>
    </row>
    <row r="41" spans="1:12" ht="25.5">
      <c r="A41" s="67"/>
      <c r="B41" s="65" t="s">
        <v>255</v>
      </c>
      <c r="C41" s="65" t="s">
        <v>255</v>
      </c>
      <c r="D41" s="65">
        <v>6082</v>
      </c>
      <c r="E41" s="65">
        <v>6082</v>
      </c>
      <c r="F41" s="65" t="s">
        <v>256</v>
      </c>
      <c r="G41" s="66" t="s">
        <v>146</v>
      </c>
      <c r="H41" s="66" t="s">
        <v>147</v>
      </c>
      <c r="I41" s="66">
        <v>1</v>
      </c>
      <c r="J41" s="66" t="s">
        <v>257</v>
      </c>
      <c r="K41" s="66"/>
    </row>
    <row r="42" spans="1:12" ht="25.5">
      <c r="A42" s="67"/>
      <c r="B42" s="65" t="s">
        <v>258</v>
      </c>
      <c r="C42" s="65" t="s">
        <v>258</v>
      </c>
      <c r="D42" s="65">
        <v>6083</v>
      </c>
      <c r="E42" s="65">
        <v>6083</v>
      </c>
      <c r="F42" s="65" t="s">
        <v>259</v>
      </c>
      <c r="G42" s="66" t="s">
        <v>146</v>
      </c>
      <c r="H42" s="66" t="s">
        <v>147</v>
      </c>
      <c r="I42" s="66">
        <v>1</v>
      </c>
      <c r="J42" s="66" t="s">
        <v>260</v>
      </c>
      <c r="K42" s="66"/>
      <c r="L42" s="61"/>
    </row>
    <row r="43" spans="1:12" ht="13.5">
      <c r="A43" s="67"/>
      <c r="B43" s="65" t="s">
        <v>261</v>
      </c>
      <c r="C43" s="65" t="s">
        <v>261</v>
      </c>
      <c r="D43" s="65">
        <v>6084</v>
      </c>
      <c r="E43" s="65">
        <v>6084</v>
      </c>
      <c r="F43" s="65" t="s">
        <v>262</v>
      </c>
      <c r="G43" s="66" t="s">
        <v>146</v>
      </c>
      <c r="H43" s="66" t="s">
        <v>147</v>
      </c>
      <c r="I43" s="66">
        <v>1</v>
      </c>
      <c r="J43" s="66" t="s">
        <v>263</v>
      </c>
      <c r="K43" s="67"/>
      <c r="L43" s="61"/>
    </row>
    <row r="44" spans="1:12" ht="30" customHeight="1">
      <c r="A44" s="67"/>
      <c r="B44" s="65" t="s">
        <v>264</v>
      </c>
      <c r="C44" s="65" t="s">
        <v>264</v>
      </c>
      <c r="D44" s="65">
        <v>6085</v>
      </c>
      <c r="E44" s="65">
        <v>6085</v>
      </c>
      <c r="F44" s="65" t="s">
        <v>265</v>
      </c>
      <c r="G44" s="66" t="s">
        <v>146</v>
      </c>
      <c r="H44" s="66" t="s">
        <v>147</v>
      </c>
      <c r="I44" s="66">
        <v>1</v>
      </c>
      <c r="J44" s="66" t="s">
        <v>263</v>
      </c>
      <c r="K44" s="67"/>
      <c r="L44" s="61"/>
    </row>
    <row r="45" spans="1:12" ht="30" customHeight="1">
      <c r="A45" s="67"/>
      <c r="B45" s="65" t="s">
        <v>266</v>
      </c>
      <c r="C45" s="65" t="s">
        <v>266</v>
      </c>
      <c r="D45" s="65">
        <v>6086</v>
      </c>
      <c r="E45" s="65">
        <v>6086</v>
      </c>
      <c r="F45" s="65" t="s">
        <v>267</v>
      </c>
      <c r="G45" s="66" t="s">
        <v>146</v>
      </c>
      <c r="H45" s="66" t="s">
        <v>147</v>
      </c>
      <c r="I45" s="66">
        <v>1</v>
      </c>
      <c r="J45" s="66" t="s">
        <v>268</v>
      </c>
      <c r="K45" s="67"/>
      <c r="L45" s="61"/>
    </row>
    <row r="46" spans="1:12" ht="30" customHeight="1">
      <c r="A46" s="67"/>
      <c r="B46" s="65" t="s">
        <v>269</v>
      </c>
      <c r="C46" s="65" t="s">
        <v>270</v>
      </c>
      <c r="D46" s="65">
        <v>6087</v>
      </c>
      <c r="E46" s="65">
        <v>6088</v>
      </c>
      <c r="F46" s="65" t="s">
        <v>271</v>
      </c>
      <c r="G46" s="66" t="s">
        <v>196</v>
      </c>
      <c r="H46" s="66" t="s">
        <v>147</v>
      </c>
      <c r="I46" s="66">
        <v>2</v>
      </c>
      <c r="J46" s="65" t="s">
        <v>272</v>
      </c>
      <c r="K46" s="67"/>
      <c r="L46" s="61"/>
    </row>
    <row r="47" spans="1:12" ht="30" customHeight="1">
      <c r="A47" s="67"/>
      <c r="B47" s="65" t="s">
        <v>273</v>
      </c>
      <c r="C47" s="65" t="s">
        <v>273</v>
      </c>
      <c r="D47" s="65">
        <v>6089</v>
      </c>
      <c r="E47" s="65">
        <v>6089</v>
      </c>
      <c r="F47" s="65" t="s">
        <v>274</v>
      </c>
      <c r="G47" s="66" t="s">
        <v>146</v>
      </c>
      <c r="H47" s="66" t="s">
        <v>147</v>
      </c>
      <c r="I47" s="66">
        <v>1</v>
      </c>
      <c r="J47" s="66" t="s">
        <v>275</v>
      </c>
      <c r="K47" s="67"/>
    </row>
    <row r="48" spans="1:12" ht="30" customHeight="1">
      <c r="A48" s="67"/>
      <c r="B48" s="65" t="s">
        <v>276</v>
      </c>
      <c r="C48" s="65" t="s">
        <v>276</v>
      </c>
      <c r="D48" s="65">
        <v>6090</v>
      </c>
      <c r="E48" s="65">
        <v>6090</v>
      </c>
      <c r="F48" s="65" t="s">
        <v>277</v>
      </c>
      <c r="G48" s="66" t="s">
        <v>146</v>
      </c>
      <c r="H48" s="66" t="s">
        <v>147</v>
      </c>
      <c r="I48" s="66">
        <v>1</v>
      </c>
      <c r="J48" s="65" t="s">
        <v>278</v>
      </c>
      <c r="K48" s="67"/>
    </row>
    <row r="49" spans="1:11" ht="30" customHeight="1">
      <c r="A49" s="67"/>
      <c r="B49" s="65" t="s">
        <v>279</v>
      </c>
      <c r="C49" s="65" t="s">
        <v>279</v>
      </c>
      <c r="D49" s="65">
        <v>6091</v>
      </c>
      <c r="E49" s="65">
        <v>6091</v>
      </c>
      <c r="F49" s="65" t="s">
        <v>280</v>
      </c>
      <c r="G49" s="66" t="s">
        <v>146</v>
      </c>
      <c r="H49" s="66" t="s">
        <v>147</v>
      </c>
      <c r="I49" s="66">
        <v>1</v>
      </c>
      <c r="J49" s="66" t="s">
        <v>281</v>
      </c>
      <c r="K49" s="67"/>
    </row>
    <row r="50" spans="1:11" ht="30" customHeight="1">
      <c r="A50" s="67"/>
      <c r="B50" s="65" t="s">
        <v>25</v>
      </c>
      <c r="C50" s="65" t="s">
        <v>25</v>
      </c>
      <c r="D50" s="65">
        <v>6092</v>
      </c>
      <c r="E50" s="65">
        <v>6092</v>
      </c>
      <c r="F50" s="65" t="s">
        <v>282</v>
      </c>
      <c r="G50" s="66" t="s">
        <v>146</v>
      </c>
      <c r="H50" s="66" t="s">
        <v>147</v>
      </c>
      <c r="I50" s="66">
        <v>1</v>
      </c>
      <c r="J50" s="66" t="s">
        <v>283</v>
      </c>
      <c r="K50" s="67"/>
    </row>
    <row r="51" spans="1:11" ht="30" customHeight="1">
      <c r="A51" s="67"/>
      <c r="B51" s="65"/>
      <c r="C51" s="65"/>
      <c r="D51" s="65"/>
      <c r="E51" s="65"/>
      <c r="F51" s="66"/>
      <c r="G51" s="66"/>
      <c r="H51" s="66"/>
      <c r="I51" s="66"/>
      <c r="J51" s="66"/>
      <c r="K51" s="68"/>
    </row>
    <row r="52" spans="1:11" ht="30" customHeight="1">
      <c r="A52" s="67"/>
      <c r="B52" s="71"/>
      <c r="C52" s="65"/>
      <c r="D52" s="66"/>
      <c r="E52" s="66"/>
      <c r="F52" s="66"/>
      <c r="G52" s="66"/>
      <c r="H52" s="67"/>
      <c r="I52" s="67"/>
      <c r="J52" s="67"/>
      <c r="K52" s="67"/>
    </row>
    <row r="53" spans="1:11" ht="30" customHeight="1">
      <c r="A53" s="64" t="s">
        <v>284</v>
      </c>
      <c r="B53" s="65" t="s">
        <v>27</v>
      </c>
      <c r="C53" s="65" t="s">
        <v>27</v>
      </c>
      <c r="D53" s="65">
        <v>6102</v>
      </c>
      <c r="E53" s="65">
        <v>6102</v>
      </c>
      <c r="F53" s="65" t="s">
        <v>285</v>
      </c>
      <c r="G53" s="65" t="s">
        <v>146</v>
      </c>
      <c r="H53" s="65" t="s">
        <v>147</v>
      </c>
      <c r="I53" s="65">
        <v>1</v>
      </c>
      <c r="J53" s="65"/>
      <c r="K53" s="67"/>
    </row>
    <row r="54" spans="1:11" ht="30" customHeight="1">
      <c r="A54" s="67"/>
      <c r="B54" s="65" t="s">
        <v>286</v>
      </c>
      <c r="C54" s="65" t="s">
        <v>286</v>
      </c>
      <c r="D54" s="65">
        <v>6103</v>
      </c>
      <c r="E54" s="65">
        <v>6103</v>
      </c>
      <c r="F54" s="65" t="s">
        <v>287</v>
      </c>
      <c r="G54" s="65" t="s">
        <v>146</v>
      </c>
      <c r="H54" s="65" t="s">
        <v>147</v>
      </c>
      <c r="I54" s="65">
        <v>1</v>
      </c>
      <c r="J54" s="65"/>
      <c r="K54" s="67"/>
    </row>
    <row r="55" spans="1:11" ht="30" customHeight="1">
      <c r="A55" s="67"/>
      <c r="B55" s="65" t="s">
        <v>288</v>
      </c>
      <c r="C55" s="65" t="s">
        <v>288</v>
      </c>
      <c r="D55" s="65">
        <v>6104</v>
      </c>
      <c r="E55" s="65">
        <v>6104</v>
      </c>
      <c r="F55" s="65" t="s">
        <v>289</v>
      </c>
      <c r="G55" s="65" t="s">
        <v>146</v>
      </c>
      <c r="H55" s="65" t="s">
        <v>147</v>
      </c>
      <c r="I55" s="65">
        <v>1</v>
      </c>
      <c r="J55" s="65"/>
      <c r="K55" s="67"/>
    </row>
    <row r="56" spans="1:11" ht="30" customHeight="1">
      <c r="A56" s="67"/>
      <c r="B56" s="65" t="s">
        <v>290</v>
      </c>
      <c r="C56" s="65" t="s">
        <v>290</v>
      </c>
      <c r="D56" s="65">
        <v>6105</v>
      </c>
      <c r="E56" s="65">
        <v>6105</v>
      </c>
      <c r="F56" s="65" t="s">
        <v>291</v>
      </c>
      <c r="G56" s="65" t="s">
        <v>146</v>
      </c>
      <c r="H56" s="65" t="s">
        <v>147</v>
      </c>
      <c r="I56" s="65">
        <v>1</v>
      </c>
      <c r="J56" s="65"/>
      <c r="K56" s="67"/>
    </row>
    <row r="57" spans="1:11" ht="30" customHeight="1">
      <c r="A57" s="67"/>
      <c r="B57" s="65" t="s">
        <v>292</v>
      </c>
      <c r="C57" s="65" t="s">
        <v>292</v>
      </c>
      <c r="D57" s="65">
        <v>6106</v>
      </c>
      <c r="E57" s="65">
        <v>6106</v>
      </c>
      <c r="F57" s="65" t="s">
        <v>293</v>
      </c>
      <c r="G57" s="65" t="s">
        <v>146</v>
      </c>
      <c r="H57" s="65" t="s">
        <v>147</v>
      </c>
      <c r="I57" s="65">
        <v>1</v>
      </c>
      <c r="J57" s="65"/>
      <c r="K57" s="67"/>
    </row>
    <row r="58" spans="1:11" ht="30" customHeight="1">
      <c r="A58" s="67"/>
      <c r="B58" s="65" t="s">
        <v>28</v>
      </c>
      <c r="C58" s="65" t="s">
        <v>28</v>
      </c>
      <c r="D58" s="65">
        <v>6107</v>
      </c>
      <c r="E58" s="65">
        <v>6107</v>
      </c>
      <c r="F58" s="65" t="s">
        <v>294</v>
      </c>
      <c r="G58" s="65" t="s">
        <v>146</v>
      </c>
      <c r="H58" s="65" t="s">
        <v>147</v>
      </c>
      <c r="I58" s="65">
        <v>1</v>
      </c>
      <c r="J58" s="65"/>
      <c r="K58" s="67"/>
    </row>
    <row r="59" spans="1:11" ht="30" customHeight="1">
      <c r="B59" s="15"/>
      <c r="C59" s="15"/>
      <c r="D59" s="15"/>
      <c r="E59" s="15"/>
      <c r="J59" s="21"/>
    </row>
    <row r="60" spans="1:11" ht="30" customHeight="1">
      <c r="B60" s="28"/>
      <c r="C60" s="15"/>
      <c r="D60" s="21"/>
      <c r="E60" s="21"/>
      <c r="F60" s="15"/>
      <c r="G60" s="21"/>
      <c r="H60" s="21"/>
      <c r="I60" s="21"/>
      <c r="J60" s="21"/>
    </row>
    <row r="61" spans="1:11" ht="30" customHeight="1">
      <c r="F61" s="20"/>
      <c r="G61" s="20"/>
      <c r="H61" s="20"/>
      <c r="I61" s="20"/>
      <c r="J61" s="20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6EFA-A94E-4244-93B2-A83AEB01EFA3}">
  <dimension ref="A1:L34"/>
  <sheetViews>
    <sheetView topLeftCell="A6" workbookViewId="0"/>
  </sheetViews>
  <sheetFormatPr defaultRowHeight="30" customHeight="1"/>
  <cols>
    <col min="1" max="1" width="23.25" bestFit="1" customWidth="1"/>
    <col min="2" max="2" width="12.5" customWidth="1"/>
    <col min="3" max="3" width="7.625" bestFit="1" customWidth="1"/>
    <col min="4" max="4" width="10.375" customWidth="1"/>
    <col min="6" max="6" width="58.625" bestFit="1" customWidth="1"/>
    <col min="8" max="8" width="4.625" bestFit="1" customWidth="1"/>
    <col min="10" max="10" width="44.125" bestFit="1" customWidth="1"/>
    <col min="11" max="11" width="6.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 ht="30" customHeight="1">
      <c r="A2" s="18" t="s">
        <v>296</v>
      </c>
      <c r="B2" s="16" t="s">
        <v>31</v>
      </c>
      <c r="C2" s="16" t="s">
        <v>31</v>
      </c>
      <c r="D2" s="16">
        <v>4864</v>
      </c>
      <c r="E2" s="16">
        <v>4864</v>
      </c>
      <c r="F2" s="17" t="s">
        <v>297</v>
      </c>
      <c r="G2" s="17" t="s">
        <v>146</v>
      </c>
      <c r="H2" s="14" t="s">
        <v>147</v>
      </c>
      <c r="I2" s="14">
        <v>1</v>
      </c>
      <c r="J2" s="22" t="s">
        <v>298</v>
      </c>
    </row>
    <row r="3" spans="1:12" ht="45" customHeight="1">
      <c r="A3" s="43"/>
      <c r="B3" s="16" t="s">
        <v>299</v>
      </c>
      <c r="C3" s="16" t="s">
        <v>299</v>
      </c>
      <c r="D3" s="16">
        <v>4865</v>
      </c>
      <c r="E3" s="16">
        <v>4865</v>
      </c>
      <c r="F3" s="17" t="s">
        <v>300</v>
      </c>
      <c r="G3" s="17" t="s">
        <v>146</v>
      </c>
      <c r="H3" s="14" t="s">
        <v>301</v>
      </c>
      <c r="I3" s="14">
        <v>1</v>
      </c>
      <c r="J3" s="22" t="s">
        <v>302</v>
      </c>
    </row>
    <row r="4" spans="1:12" ht="129" customHeight="1">
      <c r="A4" s="43"/>
      <c r="B4" s="16" t="s">
        <v>303</v>
      </c>
      <c r="C4" s="16" t="s">
        <v>303</v>
      </c>
      <c r="D4" s="16">
        <v>4866</v>
      </c>
      <c r="E4" s="16">
        <v>4866</v>
      </c>
      <c r="F4" s="17" t="s">
        <v>304</v>
      </c>
      <c r="G4" s="17" t="s">
        <v>146</v>
      </c>
      <c r="H4" s="14" t="s">
        <v>301</v>
      </c>
      <c r="I4" s="14">
        <v>1</v>
      </c>
      <c r="J4" s="22" t="s">
        <v>305</v>
      </c>
    </row>
    <row r="5" spans="1:12" ht="30" customHeight="1">
      <c r="A5" s="43"/>
      <c r="B5" s="16" t="s">
        <v>306</v>
      </c>
      <c r="C5" s="16" t="s">
        <v>306</v>
      </c>
      <c r="D5" s="16">
        <v>4867</v>
      </c>
      <c r="E5" s="16">
        <v>4867</v>
      </c>
      <c r="F5" s="17" t="s">
        <v>307</v>
      </c>
      <c r="G5" s="17" t="s">
        <v>146</v>
      </c>
      <c r="H5" s="14" t="s">
        <v>301</v>
      </c>
      <c r="I5" s="14">
        <v>1</v>
      </c>
    </row>
    <row r="6" spans="1:12" ht="268.5" customHeight="1">
      <c r="A6" s="43"/>
      <c r="B6" s="16" t="s">
        <v>308</v>
      </c>
      <c r="C6" s="16" t="s">
        <v>309</v>
      </c>
      <c r="D6" s="16">
        <v>4868</v>
      </c>
      <c r="E6" s="16">
        <v>5059</v>
      </c>
      <c r="F6" s="17" t="s">
        <v>310</v>
      </c>
      <c r="G6" s="17" t="s">
        <v>146</v>
      </c>
      <c r="H6" s="14" t="s">
        <v>301</v>
      </c>
      <c r="I6" s="14">
        <v>192</v>
      </c>
      <c r="J6" s="22" t="s">
        <v>311</v>
      </c>
    </row>
    <row r="7" spans="1:12" ht="57" customHeight="1">
      <c r="B7" s="16" t="s">
        <v>312</v>
      </c>
      <c r="C7" s="16" t="s">
        <v>313</v>
      </c>
      <c r="D7" s="16">
        <v>5060</v>
      </c>
      <c r="E7" s="16">
        <v>5061</v>
      </c>
      <c r="F7" s="17" t="s">
        <v>314</v>
      </c>
      <c r="G7" s="21" t="s">
        <v>315</v>
      </c>
      <c r="H7" s="14" t="s">
        <v>301</v>
      </c>
      <c r="I7" s="21">
        <v>2</v>
      </c>
      <c r="J7" s="45" t="s">
        <v>316</v>
      </c>
    </row>
    <row r="8" spans="1:12" ht="75.75" customHeight="1">
      <c r="B8" s="16" t="s">
        <v>317</v>
      </c>
      <c r="C8" s="16" t="s">
        <v>318</v>
      </c>
      <c r="D8" s="16">
        <v>5062</v>
      </c>
      <c r="E8" s="16">
        <v>5063</v>
      </c>
      <c r="F8" s="17" t="s">
        <v>319</v>
      </c>
      <c r="G8" s="21" t="s">
        <v>315</v>
      </c>
      <c r="H8" s="14" t="s">
        <v>301</v>
      </c>
      <c r="I8" s="21">
        <v>2</v>
      </c>
      <c r="J8" s="45" t="s">
        <v>316</v>
      </c>
    </row>
    <row r="9" spans="1:12" ht="79.5" customHeight="1">
      <c r="B9" s="16" t="s">
        <v>320</v>
      </c>
      <c r="C9" s="16" t="s">
        <v>321</v>
      </c>
      <c r="D9" s="16">
        <v>5064</v>
      </c>
      <c r="E9" s="16">
        <v>5065</v>
      </c>
      <c r="F9" s="17" t="s">
        <v>322</v>
      </c>
      <c r="G9" s="21" t="s">
        <v>315</v>
      </c>
      <c r="H9" s="14" t="s">
        <v>301</v>
      </c>
      <c r="I9" s="21">
        <v>2</v>
      </c>
      <c r="J9" s="45" t="s">
        <v>316</v>
      </c>
    </row>
    <row r="10" spans="1:12" ht="63" customHeight="1">
      <c r="B10" s="16" t="s">
        <v>323</v>
      </c>
      <c r="C10" s="16" t="s">
        <v>324</v>
      </c>
      <c r="D10" s="16">
        <v>5066</v>
      </c>
      <c r="E10" s="16">
        <v>5067</v>
      </c>
      <c r="F10" s="17" t="s">
        <v>325</v>
      </c>
      <c r="G10" s="21" t="s">
        <v>315</v>
      </c>
      <c r="H10" s="14" t="s">
        <v>301</v>
      </c>
      <c r="I10" s="21">
        <v>2</v>
      </c>
      <c r="J10" s="45" t="s">
        <v>316</v>
      </c>
    </row>
    <row r="11" spans="1:12" ht="72" customHeight="1">
      <c r="B11" s="16" t="s">
        <v>326</v>
      </c>
      <c r="C11" s="16" t="s">
        <v>327</v>
      </c>
      <c r="D11" s="16">
        <v>5068</v>
      </c>
      <c r="E11" s="16">
        <v>5069</v>
      </c>
      <c r="F11" s="17" t="s">
        <v>328</v>
      </c>
      <c r="G11" s="21" t="s">
        <v>315</v>
      </c>
      <c r="H11" s="14" t="s">
        <v>301</v>
      </c>
      <c r="I11" s="21">
        <v>2</v>
      </c>
      <c r="J11" s="45" t="s">
        <v>316</v>
      </c>
    </row>
    <row r="12" spans="1:12" ht="81" customHeight="1">
      <c r="B12" s="16" t="s">
        <v>329</v>
      </c>
      <c r="C12" s="16" t="s">
        <v>330</v>
      </c>
      <c r="D12" s="16">
        <v>5070</v>
      </c>
      <c r="E12" s="16">
        <v>5071</v>
      </c>
      <c r="F12" s="17" t="s">
        <v>331</v>
      </c>
      <c r="G12" s="21" t="s">
        <v>315</v>
      </c>
      <c r="H12" s="14" t="s">
        <v>301</v>
      </c>
      <c r="I12" s="21">
        <v>2</v>
      </c>
      <c r="J12" s="45" t="s">
        <v>316</v>
      </c>
    </row>
    <row r="13" spans="1:12" ht="30" customHeight="1">
      <c r="B13" s="16" t="s">
        <v>332</v>
      </c>
      <c r="C13" s="16" t="s">
        <v>333</v>
      </c>
      <c r="D13" s="16">
        <v>5072</v>
      </c>
      <c r="E13" s="16">
        <v>5073</v>
      </c>
      <c r="F13" s="21" t="s">
        <v>334</v>
      </c>
      <c r="G13" s="21" t="s">
        <v>315</v>
      </c>
      <c r="H13" s="14" t="s">
        <v>301</v>
      </c>
      <c r="I13" s="21">
        <v>2</v>
      </c>
      <c r="J13" s="21">
        <f t="shared" ref="J13" si="0">I13*4</f>
        <v>8</v>
      </c>
    </row>
    <row r="14" spans="1:12" ht="30" customHeight="1">
      <c r="B14" s="16" t="s">
        <v>335</v>
      </c>
      <c r="C14" s="16" t="s">
        <v>336</v>
      </c>
      <c r="D14" s="16">
        <v>5074</v>
      </c>
      <c r="E14" s="16">
        <v>5087</v>
      </c>
      <c r="F14" s="21" t="s">
        <v>337</v>
      </c>
      <c r="G14" s="21" t="s">
        <v>315</v>
      </c>
      <c r="H14" s="14" t="s">
        <v>301</v>
      </c>
      <c r="I14" s="21">
        <v>14</v>
      </c>
      <c r="J14" s="21"/>
    </row>
    <row r="15" spans="1:12" ht="30" customHeight="1">
      <c r="B15" s="16" t="s">
        <v>338</v>
      </c>
      <c r="C15" s="16" t="s">
        <v>338</v>
      </c>
      <c r="D15" s="16">
        <v>5088</v>
      </c>
      <c r="E15" s="16">
        <v>5088</v>
      </c>
      <c r="F15" s="50" t="s">
        <v>339</v>
      </c>
      <c r="G15" s="21" t="s">
        <v>146</v>
      </c>
      <c r="H15" s="21" t="s">
        <v>147</v>
      </c>
      <c r="I15" s="21">
        <v>1</v>
      </c>
      <c r="J15" s="21" t="s">
        <v>340</v>
      </c>
      <c r="K15">
        <v>1</v>
      </c>
    </row>
    <row r="16" spans="1:12" ht="69.75" customHeight="1">
      <c r="B16" s="16" t="s">
        <v>341</v>
      </c>
      <c r="C16" s="16" t="s">
        <v>342</v>
      </c>
      <c r="D16" s="16">
        <v>5089</v>
      </c>
      <c r="E16" s="16">
        <v>5090</v>
      </c>
      <c r="F16" s="21" t="s">
        <v>343</v>
      </c>
      <c r="G16" s="21" t="s">
        <v>315</v>
      </c>
      <c r="H16" s="14" t="s">
        <v>301</v>
      </c>
      <c r="I16" s="21">
        <v>2</v>
      </c>
      <c r="J16" s="22" t="s">
        <v>344</v>
      </c>
    </row>
    <row r="17" spans="2:10" ht="68.25" customHeight="1">
      <c r="B17" s="16" t="s">
        <v>345</v>
      </c>
      <c r="C17" s="16" t="s">
        <v>346</v>
      </c>
      <c r="D17" s="16">
        <v>5091</v>
      </c>
      <c r="E17" s="16">
        <v>5092</v>
      </c>
      <c r="F17" s="21" t="s">
        <v>347</v>
      </c>
      <c r="G17" s="21" t="s">
        <v>315</v>
      </c>
      <c r="H17" s="14" t="s">
        <v>301</v>
      </c>
      <c r="I17" s="21">
        <v>2</v>
      </c>
      <c r="J17" s="22" t="s">
        <v>348</v>
      </c>
    </row>
    <row r="18" spans="2:10" ht="57.75" customHeight="1">
      <c r="B18" s="16" t="s">
        <v>349</v>
      </c>
      <c r="C18" s="16" t="s">
        <v>350</v>
      </c>
      <c r="D18" s="16">
        <v>5093</v>
      </c>
      <c r="E18" s="16">
        <v>5094</v>
      </c>
      <c r="F18" s="21" t="s">
        <v>351</v>
      </c>
      <c r="G18" s="21" t="s">
        <v>315</v>
      </c>
      <c r="H18" s="14" t="s">
        <v>301</v>
      </c>
      <c r="I18" s="21">
        <v>2</v>
      </c>
      <c r="J18" s="22" t="s">
        <v>352</v>
      </c>
    </row>
    <row r="19" spans="2:10" ht="59.25" customHeight="1">
      <c r="B19" s="16" t="s">
        <v>353</v>
      </c>
      <c r="C19" s="16" t="s">
        <v>354</v>
      </c>
      <c r="D19" s="16">
        <v>5095</v>
      </c>
      <c r="E19" s="16">
        <v>5096</v>
      </c>
      <c r="F19" s="21" t="s">
        <v>355</v>
      </c>
      <c r="G19" s="21" t="s">
        <v>315</v>
      </c>
      <c r="H19" s="14" t="s">
        <v>301</v>
      </c>
      <c r="I19" s="21">
        <v>2</v>
      </c>
      <c r="J19" s="22" t="s">
        <v>356</v>
      </c>
    </row>
    <row r="20" spans="2:10" ht="63.75" customHeight="1">
      <c r="B20" s="16" t="s">
        <v>357</v>
      </c>
      <c r="C20" s="16" t="s">
        <v>358</v>
      </c>
      <c r="D20" s="16">
        <v>5097</v>
      </c>
      <c r="E20" s="16">
        <v>5098</v>
      </c>
      <c r="F20" s="21" t="s">
        <v>359</v>
      </c>
      <c r="G20" s="21" t="s">
        <v>315</v>
      </c>
      <c r="H20" s="14" t="s">
        <v>301</v>
      </c>
      <c r="I20" s="21">
        <v>2</v>
      </c>
      <c r="J20" s="22" t="s">
        <v>360</v>
      </c>
    </row>
    <row r="21" spans="2:10" ht="63.75" customHeight="1">
      <c r="B21" s="16" t="s">
        <v>361</v>
      </c>
      <c r="C21" s="16" t="s">
        <v>32</v>
      </c>
      <c r="D21" s="16">
        <v>5099</v>
      </c>
      <c r="E21" s="16">
        <v>5100</v>
      </c>
      <c r="F21" s="21" t="s">
        <v>362</v>
      </c>
      <c r="G21" s="21" t="s">
        <v>315</v>
      </c>
      <c r="H21" s="14" t="s">
        <v>301</v>
      </c>
      <c r="I21" s="21">
        <v>2</v>
      </c>
      <c r="J21" s="22" t="s">
        <v>363</v>
      </c>
    </row>
    <row r="22" spans="2:10" ht="30" customHeight="1">
      <c r="B22" s="28"/>
      <c r="C22" s="15"/>
      <c r="D22" s="21"/>
      <c r="E22" s="21"/>
      <c r="F22" s="21"/>
      <c r="G22" s="21"/>
    </row>
    <row r="23" spans="2:10" ht="30" customHeight="1">
      <c r="B23" s="28"/>
      <c r="C23" s="15"/>
      <c r="D23" s="21"/>
      <c r="E23" s="21"/>
      <c r="F23" s="21"/>
      <c r="G23" s="21"/>
    </row>
    <row r="24" spans="2:10" ht="30" customHeight="1">
      <c r="B24" s="28"/>
      <c r="C24" s="15"/>
      <c r="D24" s="21"/>
      <c r="E24" s="21"/>
      <c r="F24" s="21"/>
      <c r="G24" s="21"/>
    </row>
    <row r="25" spans="2:10" ht="30" customHeight="1">
      <c r="B25" s="28"/>
      <c r="C25" s="15"/>
      <c r="D25" s="21"/>
      <c r="E25" s="21"/>
      <c r="F25" s="21"/>
      <c r="G25" s="21"/>
    </row>
    <row r="26" spans="2:10" ht="30" customHeight="1">
      <c r="B26" s="28"/>
      <c r="C26" s="15"/>
      <c r="D26" s="21"/>
      <c r="E26" s="21"/>
      <c r="F26" s="21"/>
      <c r="G26" s="21"/>
    </row>
    <row r="27" spans="2:10" ht="30" customHeight="1">
      <c r="B27" s="28"/>
      <c r="C27" s="15"/>
      <c r="D27" s="21"/>
      <c r="E27" s="21"/>
      <c r="F27" s="21"/>
      <c r="G27" s="21"/>
    </row>
    <row r="28" spans="2:10" ht="30" customHeight="1">
      <c r="B28" s="28"/>
      <c r="C28" s="15"/>
      <c r="D28" s="21"/>
      <c r="E28" s="21"/>
      <c r="F28" s="21"/>
      <c r="G28" s="21"/>
    </row>
    <row r="29" spans="2:10" ht="30" customHeight="1">
      <c r="B29" s="28"/>
      <c r="C29" s="15"/>
      <c r="D29" s="21"/>
      <c r="E29" s="21"/>
      <c r="F29" s="21"/>
      <c r="G29" s="21"/>
    </row>
    <row r="30" spans="2:10" ht="30" customHeight="1">
      <c r="B30" s="28"/>
      <c r="C30" s="15"/>
      <c r="D30" s="21"/>
      <c r="E30" s="21"/>
      <c r="F30" s="21"/>
      <c r="G30" s="21"/>
    </row>
    <row r="31" spans="2:10" ht="30" customHeight="1">
      <c r="B31" s="28"/>
      <c r="C31" s="15"/>
      <c r="D31" s="21"/>
      <c r="E31" s="21"/>
      <c r="F31" s="21"/>
      <c r="G31" s="21"/>
    </row>
    <row r="32" spans="2:10" ht="30" customHeight="1">
      <c r="B32" s="28"/>
      <c r="C32" s="15"/>
      <c r="D32" s="21"/>
      <c r="E32" s="21"/>
      <c r="F32" s="21"/>
      <c r="G32" s="21"/>
    </row>
    <row r="33" spans="2:7" ht="30" customHeight="1">
      <c r="B33" s="28"/>
      <c r="C33" s="15"/>
      <c r="D33" s="21"/>
      <c r="E33" s="21"/>
      <c r="F33" s="21"/>
      <c r="G33" s="21"/>
    </row>
    <row r="34" spans="2:7" ht="30" customHeight="1">
      <c r="B34" s="28"/>
      <c r="C34" s="15"/>
      <c r="D34" s="21"/>
      <c r="E34" s="21"/>
      <c r="F34" s="21"/>
      <c r="G34" s="21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A05-1BC7-4D60-9930-1F9BA9440CC8}">
  <dimension ref="A1:L75"/>
  <sheetViews>
    <sheetView zoomScaleNormal="100" workbookViewId="0">
      <selection activeCell="A2" sqref="A2"/>
    </sheetView>
  </sheetViews>
  <sheetFormatPr defaultRowHeight="13.5"/>
  <cols>
    <col min="1" max="1" width="24.375" customWidth="1"/>
    <col min="2" max="2" width="8.625" bestFit="1" customWidth="1"/>
    <col min="3" max="3" width="7.625" bestFit="1" customWidth="1"/>
    <col min="6" max="6" width="44.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26" t="s">
        <v>34</v>
      </c>
      <c r="B2" s="16"/>
      <c r="C2" s="16"/>
      <c r="D2" s="16"/>
      <c r="E2" s="16"/>
      <c r="F2" s="28" t="s">
        <v>364</v>
      </c>
      <c r="G2" s="28" t="s">
        <v>365</v>
      </c>
      <c r="H2" s="28" t="s">
        <v>301</v>
      </c>
      <c r="I2" s="28">
        <v>4</v>
      </c>
      <c r="J2" s="28"/>
    </row>
    <row r="3" spans="1:12">
      <c r="A3" s="26"/>
      <c r="B3" s="16" t="str">
        <f t="shared" ref="B3:B37" si="0">"0x"&amp;DEC2HEX(D3,4)</f>
        <v>0x2000</v>
      </c>
      <c r="C3" s="16" t="str">
        <f t="shared" ref="C3:C37" si="1">"0x"&amp;DEC2HEX(E3,4)</f>
        <v>0x2001</v>
      </c>
      <c r="D3" s="16">
        <v>8192</v>
      </c>
      <c r="E3" s="16">
        <f t="shared" ref="E3:E37" si="2">D3+I3-1</f>
        <v>8193</v>
      </c>
      <c r="F3" s="28" t="s">
        <v>366</v>
      </c>
      <c r="G3" s="28" t="s">
        <v>315</v>
      </c>
      <c r="H3" s="28" t="s">
        <v>301</v>
      </c>
      <c r="I3" s="28">
        <v>2</v>
      </c>
      <c r="J3" s="28"/>
    </row>
    <row r="4" spans="1:12">
      <c r="A4" s="29"/>
      <c r="B4" s="16" t="str">
        <f t="shared" si="0"/>
        <v>0x2002</v>
      </c>
      <c r="C4" s="16" t="str">
        <f t="shared" si="1"/>
        <v>0x2003</v>
      </c>
      <c r="D4" s="16">
        <f t="shared" ref="D4:D37" si="3">D3+I3</f>
        <v>8194</v>
      </c>
      <c r="E4" s="16">
        <f t="shared" si="2"/>
        <v>8195</v>
      </c>
      <c r="F4" s="28" t="s">
        <v>367</v>
      </c>
      <c r="G4" s="28" t="s">
        <v>315</v>
      </c>
      <c r="H4" s="28" t="s">
        <v>301</v>
      </c>
      <c r="I4" s="28">
        <v>2</v>
      </c>
      <c r="J4" s="28"/>
    </row>
    <row r="5" spans="1:12">
      <c r="A5" s="29"/>
      <c r="B5" s="16" t="str">
        <f t="shared" si="0"/>
        <v>0x2004</v>
      </c>
      <c r="C5" s="16" t="str">
        <f t="shared" si="1"/>
        <v>0x2005</v>
      </c>
      <c r="D5" s="16">
        <f t="shared" si="3"/>
        <v>8196</v>
      </c>
      <c r="E5" s="16">
        <f t="shared" si="2"/>
        <v>8197</v>
      </c>
      <c r="F5" s="28" t="s">
        <v>368</v>
      </c>
      <c r="G5" s="28" t="s">
        <v>315</v>
      </c>
      <c r="H5" s="28" t="s">
        <v>301</v>
      </c>
      <c r="I5" s="28">
        <v>2</v>
      </c>
      <c r="J5" s="28"/>
    </row>
    <row r="6" spans="1:12">
      <c r="A6" s="29"/>
      <c r="B6" s="16" t="str">
        <f t="shared" si="0"/>
        <v>0x2006</v>
      </c>
      <c r="C6" s="16" t="str">
        <f t="shared" si="1"/>
        <v>0x2007</v>
      </c>
      <c r="D6" s="16">
        <f t="shared" si="3"/>
        <v>8198</v>
      </c>
      <c r="E6" s="16">
        <f t="shared" si="2"/>
        <v>8199</v>
      </c>
      <c r="F6" s="28" t="s">
        <v>369</v>
      </c>
      <c r="G6" s="28" t="s">
        <v>315</v>
      </c>
      <c r="H6" s="28" t="s">
        <v>301</v>
      </c>
      <c r="I6" s="28">
        <v>2</v>
      </c>
      <c r="J6" s="28"/>
    </row>
    <row r="7" spans="1:12">
      <c r="A7" s="29"/>
      <c r="B7" s="16" t="str">
        <f t="shared" si="0"/>
        <v>0x2008</v>
      </c>
      <c r="C7" s="16" t="str">
        <f t="shared" si="1"/>
        <v>0x2009</v>
      </c>
      <c r="D7" s="16">
        <f t="shared" si="3"/>
        <v>8200</v>
      </c>
      <c r="E7" s="16">
        <f t="shared" si="2"/>
        <v>8201</v>
      </c>
      <c r="F7" s="23" t="s">
        <v>370</v>
      </c>
      <c r="G7" s="23" t="s">
        <v>315</v>
      </c>
      <c r="H7" s="28" t="s">
        <v>301</v>
      </c>
      <c r="I7" s="28">
        <v>2</v>
      </c>
      <c r="J7" s="28"/>
    </row>
    <row r="8" spans="1:12">
      <c r="A8" s="29"/>
      <c r="B8" s="16" t="str">
        <f t="shared" si="0"/>
        <v>0x200A</v>
      </c>
      <c r="C8" s="16" t="str">
        <f t="shared" si="1"/>
        <v>0x200B</v>
      </c>
      <c r="D8" s="16">
        <f t="shared" si="3"/>
        <v>8202</v>
      </c>
      <c r="E8" s="16">
        <f t="shared" si="2"/>
        <v>8203</v>
      </c>
      <c r="F8" s="23" t="s">
        <v>371</v>
      </c>
      <c r="G8" s="23" t="s">
        <v>315</v>
      </c>
      <c r="H8" s="28" t="s">
        <v>301</v>
      </c>
      <c r="I8" s="28">
        <v>2</v>
      </c>
      <c r="J8" s="28"/>
    </row>
    <row r="9" spans="1:12">
      <c r="A9" s="29"/>
      <c r="B9" s="16" t="str">
        <f t="shared" si="0"/>
        <v>0x200C</v>
      </c>
      <c r="C9" s="16" t="str">
        <f t="shared" si="1"/>
        <v>0x200D</v>
      </c>
      <c r="D9" s="16">
        <f t="shared" si="3"/>
        <v>8204</v>
      </c>
      <c r="E9" s="16">
        <f t="shared" si="2"/>
        <v>8205</v>
      </c>
      <c r="F9" s="23" t="s">
        <v>372</v>
      </c>
      <c r="G9" s="23" t="s">
        <v>315</v>
      </c>
      <c r="H9" s="28" t="s">
        <v>301</v>
      </c>
      <c r="I9" s="28">
        <v>2</v>
      </c>
      <c r="J9" s="28"/>
    </row>
    <row r="10" spans="1:12">
      <c r="A10" s="29"/>
      <c r="B10" s="16" t="str">
        <f t="shared" si="0"/>
        <v>0x200E</v>
      </c>
      <c r="C10" s="16" t="str">
        <f t="shared" si="1"/>
        <v>0x200F</v>
      </c>
      <c r="D10" s="16">
        <f t="shared" si="3"/>
        <v>8206</v>
      </c>
      <c r="E10" s="16">
        <f t="shared" si="2"/>
        <v>8207</v>
      </c>
      <c r="F10" s="23" t="s">
        <v>373</v>
      </c>
      <c r="G10" s="23" t="s">
        <v>315</v>
      </c>
      <c r="H10" s="28" t="s">
        <v>301</v>
      </c>
      <c r="I10" s="28">
        <v>2</v>
      </c>
      <c r="J10" s="28"/>
    </row>
    <row r="11" spans="1:12">
      <c r="A11" s="29"/>
      <c r="B11" s="16" t="str">
        <f t="shared" si="0"/>
        <v>0x2010</v>
      </c>
      <c r="C11" s="16" t="str">
        <f t="shared" si="1"/>
        <v>0x2011</v>
      </c>
      <c r="D11" s="16">
        <f t="shared" si="3"/>
        <v>8208</v>
      </c>
      <c r="E11" s="16">
        <f t="shared" si="2"/>
        <v>8209</v>
      </c>
      <c r="F11" s="23" t="s">
        <v>374</v>
      </c>
      <c r="G11" s="23" t="s">
        <v>315</v>
      </c>
      <c r="H11" s="28" t="s">
        <v>301</v>
      </c>
      <c r="I11" s="28">
        <v>2</v>
      </c>
      <c r="J11" s="28"/>
    </row>
    <row r="12" spans="1:12">
      <c r="A12" s="29"/>
      <c r="B12" s="16" t="str">
        <f t="shared" si="0"/>
        <v>0x2012</v>
      </c>
      <c r="C12" s="16" t="str">
        <f t="shared" si="1"/>
        <v>0x2013</v>
      </c>
      <c r="D12" s="16">
        <f t="shared" si="3"/>
        <v>8210</v>
      </c>
      <c r="E12" s="16">
        <f t="shared" si="2"/>
        <v>8211</v>
      </c>
      <c r="F12" s="23" t="s">
        <v>375</v>
      </c>
      <c r="G12" s="23" t="s">
        <v>315</v>
      </c>
      <c r="H12" s="28" t="s">
        <v>301</v>
      </c>
      <c r="I12" s="28">
        <v>2</v>
      </c>
      <c r="J12" s="28"/>
    </row>
    <row r="13" spans="1:12">
      <c r="A13" s="29"/>
      <c r="B13" s="16" t="str">
        <f t="shared" si="0"/>
        <v>0x2014</v>
      </c>
      <c r="C13" s="16" t="str">
        <f t="shared" si="1"/>
        <v>0x2015</v>
      </c>
      <c r="D13" s="16">
        <f t="shared" si="3"/>
        <v>8212</v>
      </c>
      <c r="E13" s="16">
        <f t="shared" si="2"/>
        <v>8213</v>
      </c>
      <c r="F13" s="23" t="s">
        <v>376</v>
      </c>
      <c r="G13" s="23" t="s">
        <v>315</v>
      </c>
      <c r="H13" s="28" t="s">
        <v>301</v>
      </c>
      <c r="I13" s="28">
        <v>2</v>
      </c>
      <c r="J13" s="28"/>
    </row>
    <row r="14" spans="1:12">
      <c r="A14" s="29"/>
      <c r="B14" s="16" t="str">
        <f t="shared" si="0"/>
        <v>0x2016</v>
      </c>
      <c r="C14" s="16" t="str">
        <f t="shared" si="1"/>
        <v>0x2017</v>
      </c>
      <c r="D14" s="16">
        <f t="shared" si="3"/>
        <v>8214</v>
      </c>
      <c r="E14" s="16">
        <f t="shared" si="2"/>
        <v>8215</v>
      </c>
      <c r="F14" s="23" t="s">
        <v>377</v>
      </c>
      <c r="G14" s="23" t="s">
        <v>315</v>
      </c>
      <c r="H14" s="28" t="s">
        <v>301</v>
      </c>
      <c r="I14" s="28">
        <v>2</v>
      </c>
      <c r="J14" s="28"/>
    </row>
    <row r="15" spans="1:12">
      <c r="A15" s="29"/>
      <c r="B15" s="16" t="str">
        <f t="shared" si="0"/>
        <v>0x2018</v>
      </c>
      <c r="C15" s="16" t="str">
        <f t="shared" si="1"/>
        <v>0x2019</v>
      </c>
      <c r="D15" s="16">
        <f t="shared" si="3"/>
        <v>8216</v>
      </c>
      <c r="E15" s="16">
        <f t="shared" si="2"/>
        <v>8217</v>
      </c>
      <c r="F15" s="23" t="s">
        <v>378</v>
      </c>
      <c r="G15" s="23" t="s">
        <v>315</v>
      </c>
      <c r="H15" s="28" t="s">
        <v>301</v>
      </c>
      <c r="I15" s="28">
        <v>2</v>
      </c>
      <c r="J15" s="28"/>
    </row>
    <row r="16" spans="1:12">
      <c r="A16" s="29"/>
      <c r="B16" s="16" t="str">
        <f t="shared" si="0"/>
        <v>0x201A</v>
      </c>
      <c r="C16" s="16" t="str">
        <f t="shared" si="1"/>
        <v>0x201B</v>
      </c>
      <c r="D16" s="16">
        <f t="shared" si="3"/>
        <v>8218</v>
      </c>
      <c r="E16" s="16">
        <f t="shared" si="2"/>
        <v>8219</v>
      </c>
      <c r="F16" s="23" t="s">
        <v>379</v>
      </c>
      <c r="G16" s="23" t="s">
        <v>315</v>
      </c>
      <c r="H16" s="28" t="s">
        <v>301</v>
      </c>
      <c r="I16" s="28">
        <v>2</v>
      </c>
      <c r="J16" s="28"/>
    </row>
    <row r="17" spans="1:10">
      <c r="A17" s="29"/>
      <c r="B17" s="16" t="str">
        <f t="shared" si="0"/>
        <v>0x201C</v>
      </c>
      <c r="C17" s="16" t="str">
        <f t="shared" si="1"/>
        <v>0x201D</v>
      </c>
      <c r="D17" s="16">
        <f t="shared" si="3"/>
        <v>8220</v>
      </c>
      <c r="E17" s="16">
        <f t="shared" si="2"/>
        <v>8221</v>
      </c>
      <c r="F17" s="23" t="s">
        <v>380</v>
      </c>
      <c r="G17" s="23" t="s">
        <v>315</v>
      </c>
      <c r="H17" s="28" t="s">
        <v>301</v>
      </c>
      <c r="I17" s="28">
        <v>2</v>
      </c>
      <c r="J17" s="28"/>
    </row>
    <row r="18" spans="1:10">
      <c r="A18" s="29"/>
      <c r="B18" s="16" t="str">
        <f t="shared" si="0"/>
        <v>0x201E</v>
      </c>
      <c r="C18" s="16" t="str">
        <f t="shared" si="1"/>
        <v>0x201F</v>
      </c>
      <c r="D18" s="16">
        <f t="shared" si="3"/>
        <v>8222</v>
      </c>
      <c r="E18" s="16">
        <f t="shared" si="2"/>
        <v>8223</v>
      </c>
      <c r="F18" s="17" t="s">
        <v>381</v>
      </c>
      <c r="G18" s="23" t="s">
        <v>315</v>
      </c>
      <c r="H18" s="28" t="s">
        <v>382</v>
      </c>
      <c r="I18" s="28">
        <v>2</v>
      </c>
      <c r="J18" s="28"/>
    </row>
    <row r="19" spans="1:10">
      <c r="A19" s="9"/>
      <c r="B19" s="16" t="str">
        <f t="shared" si="0"/>
        <v>0x2020</v>
      </c>
      <c r="C19" s="16" t="str">
        <f t="shared" si="1"/>
        <v>0x2021</v>
      </c>
      <c r="D19" s="16">
        <f t="shared" si="3"/>
        <v>8224</v>
      </c>
      <c r="E19" s="16">
        <f t="shared" si="2"/>
        <v>8225</v>
      </c>
      <c r="F19" s="17" t="s">
        <v>383</v>
      </c>
      <c r="G19" s="23" t="s">
        <v>315</v>
      </c>
      <c r="H19" s="28" t="s">
        <v>382</v>
      </c>
      <c r="I19" s="28">
        <v>2</v>
      </c>
      <c r="J19" s="28"/>
    </row>
    <row r="20" spans="1:10">
      <c r="A20" s="29"/>
      <c r="B20" s="16" t="str">
        <f t="shared" si="0"/>
        <v>0x2022</v>
      </c>
      <c r="C20" s="16" t="str">
        <f t="shared" si="1"/>
        <v>0x2023</v>
      </c>
      <c r="D20" s="16">
        <f t="shared" si="3"/>
        <v>8226</v>
      </c>
      <c r="E20" s="16">
        <f t="shared" si="2"/>
        <v>8227</v>
      </c>
      <c r="F20" s="17" t="s">
        <v>384</v>
      </c>
      <c r="G20" s="23" t="s">
        <v>315</v>
      </c>
      <c r="H20" s="28" t="s">
        <v>382</v>
      </c>
      <c r="I20" s="28">
        <v>2</v>
      </c>
      <c r="J20" s="28"/>
    </row>
    <row r="21" spans="1:10">
      <c r="A21" s="29"/>
      <c r="B21" s="16" t="str">
        <f t="shared" si="0"/>
        <v>0x2024</v>
      </c>
      <c r="C21" s="16" t="str">
        <f t="shared" si="1"/>
        <v>0x2025</v>
      </c>
      <c r="D21" s="16">
        <f t="shared" si="3"/>
        <v>8228</v>
      </c>
      <c r="E21" s="16">
        <f t="shared" si="2"/>
        <v>8229</v>
      </c>
      <c r="F21" s="15" t="s">
        <v>385</v>
      </c>
      <c r="G21" s="23" t="s">
        <v>315</v>
      </c>
      <c r="H21" s="28" t="s">
        <v>382</v>
      </c>
      <c r="I21" s="28">
        <v>2</v>
      </c>
      <c r="J21" s="28"/>
    </row>
    <row r="22" spans="1:10">
      <c r="A22" s="29"/>
      <c r="B22" s="16" t="str">
        <f t="shared" si="0"/>
        <v>0x2026</v>
      </c>
      <c r="C22" s="16" t="str">
        <f t="shared" si="1"/>
        <v>0x2027</v>
      </c>
      <c r="D22" s="16">
        <f t="shared" si="3"/>
        <v>8230</v>
      </c>
      <c r="E22" s="16">
        <f t="shared" si="2"/>
        <v>8231</v>
      </c>
      <c r="F22" s="15" t="s">
        <v>386</v>
      </c>
      <c r="G22" s="23" t="s">
        <v>315</v>
      </c>
      <c r="H22" s="28" t="s">
        <v>301</v>
      </c>
      <c r="I22" s="28">
        <v>2</v>
      </c>
      <c r="J22" s="28"/>
    </row>
    <row r="23" spans="1:10">
      <c r="A23" s="29"/>
      <c r="B23" s="16" t="str">
        <f t="shared" si="0"/>
        <v>0x2028</v>
      </c>
      <c r="C23" s="16" t="str">
        <f t="shared" si="1"/>
        <v>0x2029</v>
      </c>
      <c r="D23" s="16">
        <f t="shared" si="3"/>
        <v>8232</v>
      </c>
      <c r="E23" s="16">
        <f t="shared" si="2"/>
        <v>8233</v>
      </c>
      <c r="F23" s="15" t="s">
        <v>387</v>
      </c>
      <c r="G23" s="23" t="s">
        <v>315</v>
      </c>
      <c r="H23" s="28" t="s">
        <v>382</v>
      </c>
      <c r="I23" s="28">
        <v>2</v>
      </c>
      <c r="J23" s="28"/>
    </row>
    <row r="24" spans="1:10">
      <c r="A24" s="29"/>
      <c r="B24" s="16" t="str">
        <f t="shared" si="0"/>
        <v>0x202A</v>
      </c>
      <c r="C24" s="16" t="str">
        <f t="shared" si="1"/>
        <v>0x202B</v>
      </c>
      <c r="D24" s="16">
        <f t="shared" si="3"/>
        <v>8234</v>
      </c>
      <c r="E24" s="16">
        <f t="shared" si="2"/>
        <v>8235</v>
      </c>
      <c r="F24" s="15" t="s">
        <v>388</v>
      </c>
      <c r="G24" s="23" t="s">
        <v>315</v>
      </c>
      <c r="H24" s="28" t="s">
        <v>382</v>
      </c>
      <c r="I24" s="28">
        <v>2</v>
      </c>
      <c r="J24" s="28"/>
    </row>
    <row r="25" spans="1:10">
      <c r="A25" s="29"/>
      <c r="B25" s="16" t="str">
        <f t="shared" si="0"/>
        <v>0x202C</v>
      </c>
      <c r="C25" s="16" t="str">
        <f t="shared" si="1"/>
        <v>0x202D</v>
      </c>
      <c r="D25" s="16">
        <f t="shared" si="3"/>
        <v>8236</v>
      </c>
      <c r="E25" s="16">
        <f t="shared" si="2"/>
        <v>8237</v>
      </c>
      <c r="F25" s="15" t="s">
        <v>389</v>
      </c>
      <c r="G25" s="23" t="s">
        <v>315</v>
      </c>
      <c r="H25" s="28" t="s">
        <v>382</v>
      </c>
      <c r="I25" s="28">
        <v>2</v>
      </c>
      <c r="J25" s="28"/>
    </row>
    <row r="26" spans="1:10">
      <c r="A26" s="29"/>
      <c r="B26" s="16" t="str">
        <f t="shared" si="0"/>
        <v>0x202E</v>
      </c>
      <c r="C26" s="16" t="str">
        <f t="shared" si="1"/>
        <v>0x205D</v>
      </c>
      <c r="D26" s="16">
        <f t="shared" si="3"/>
        <v>8238</v>
      </c>
      <c r="E26" s="16">
        <f t="shared" si="2"/>
        <v>8285</v>
      </c>
      <c r="F26" s="23" t="s">
        <v>390</v>
      </c>
      <c r="G26" s="23" t="s">
        <v>315</v>
      </c>
      <c r="H26" s="28" t="s">
        <v>382</v>
      </c>
      <c r="I26" s="28">
        <v>48</v>
      </c>
      <c r="J26" s="28"/>
    </row>
    <row r="27" spans="1:10">
      <c r="A27" s="29"/>
      <c r="B27" s="16" t="str">
        <f t="shared" si="0"/>
        <v>0x205E</v>
      </c>
      <c r="C27" s="16" t="str">
        <f t="shared" si="1"/>
        <v>0x208D</v>
      </c>
      <c r="D27" s="16">
        <f t="shared" si="3"/>
        <v>8286</v>
      </c>
      <c r="E27" s="16">
        <f t="shared" si="2"/>
        <v>8333</v>
      </c>
      <c r="F27" s="23" t="s">
        <v>391</v>
      </c>
      <c r="G27" s="23" t="s">
        <v>315</v>
      </c>
      <c r="H27" s="28" t="s">
        <v>382</v>
      </c>
      <c r="I27" s="28">
        <v>48</v>
      </c>
      <c r="J27" s="28"/>
    </row>
    <row r="28" spans="1:10">
      <c r="A28" s="29"/>
      <c r="B28" s="16" t="str">
        <f t="shared" si="0"/>
        <v>0x208E</v>
      </c>
      <c r="C28" s="16" t="str">
        <f t="shared" si="1"/>
        <v>0x20BD</v>
      </c>
      <c r="D28" s="16">
        <f t="shared" si="3"/>
        <v>8334</v>
      </c>
      <c r="E28" s="16">
        <f t="shared" si="2"/>
        <v>8381</v>
      </c>
      <c r="F28" s="23" t="s">
        <v>392</v>
      </c>
      <c r="G28" s="23" t="s">
        <v>315</v>
      </c>
      <c r="H28" s="28" t="s">
        <v>382</v>
      </c>
      <c r="I28" s="28">
        <v>48</v>
      </c>
      <c r="J28" s="28"/>
    </row>
    <row r="29" spans="1:10">
      <c r="A29" s="29"/>
      <c r="B29" s="16" t="str">
        <f t="shared" si="0"/>
        <v>0x20BE</v>
      </c>
      <c r="C29" s="16" t="str">
        <f t="shared" si="1"/>
        <v>0x20ED</v>
      </c>
      <c r="D29" s="16">
        <f t="shared" si="3"/>
        <v>8382</v>
      </c>
      <c r="E29" s="16">
        <f t="shared" si="2"/>
        <v>8429</v>
      </c>
      <c r="F29" s="23" t="s">
        <v>393</v>
      </c>
      <c r="G29" s="23" t="s">
        <v>315</v>
      </c>
      <c r="H29" s="28" t="s">
        <v>382</v>
      </c>
      <c r="I29" s="28">
        <v>48</v>
      </c>
      <c r="J29" s="28"/>
    </row>
    <row r="30" spans="1:10">
      <c r="A30" s="29"/>
      <c r="B30" s="16" t="str">
        <f t="shared" si="0"/>
        <v>0x20EE</v>
      </c>
      <c r="C30" s="16" t="str">
        <f t="shared" si="1"/>
        <v>0x21DB</v>
      </c>
      <c r="D30" s="16">
        <f t="shared" si="3"/>
        <v>8430</v>
      </c>
      <c r="E30" s="16">
        <f t="shared" si="2"/>
        <v>8667</v>
      </c>
      <c r="F30" s="17" t="s">
        <v>394</v>
      </c>
      <c r="G30" s="23" t="s">
        <v>315</v>
      </c>
      <c r="H30" s="28" t="s">
        <v>301</v>
      </c>
      <c r="I30" s="28">
        <v>238</v>
      </c>
      <c r="J30" s="28"/>
    </row>
    <row r="31" spans="1:10">
      <c r="A31" s="29"/>
      <c r="B31" s="16" t="str">
        <f t="shared" si="0"/>
        <v>0x21DC</v>
      </c>
      <c r="C31" s="16" t="str">
        <f t="shared" si="1"/>
        <v>0x220B</v>
      </c>
      <c r="D31" s="16">
        <f t="shared" si="3"/>
        <v>8668</v>
      </c>
      <c r="E31" s="16">
        <f t="shared" si="2"/>
        <v>8715</v>
      </c>
      <c r="F31" s="23" t="s">
        <v>395</v>
      </c>
      <c r="G31" s="23" t="s">
        <v>315</v>
      </c>
      <c r="H31" s="28" t="s">
        <v>382</v>
      </c>
      <c r="I31" s="28">
        <v>48</v>
      </c>
      <c r="J31" s="28"/>
    </row>
    <row r="32" spans="1:10">
      <c r="A32" s="29"/>
      <c r="B32" s="16" t="str">
        <f t="shared" si="0"/>
        <v>0x220C</v>
      </c>
      <c r="C32" s="16" t="str">
        <f t="shared" si="1"/>
        <v>0x223B</v>
      </c>
      <c r="D32" s="16">
        <f t="shared" si="3"/>
        <v>8716</v>
      </c>
      <c r="E32" s="16">
        <f t="shared" si="2"/>
        <v>8763</v>
      </c>
      <c r="F32" s="23" t="s">
        <v>396</v>
      </c>
      <c r="G32" s="23" t="s">
        <v>315</v>
      </c>
      <c r="H32" s="28" t="s">
        <v>382</v>
      </c>
      <c r="I32" s="28">
        <v>48</v>
      </c>
      <c r="J32" s="28"/>
    </row>
    <row r="33" spans="1:11">
      <c r="A33" s="29"/>
      <c r="B33" s="16" t="str">
        <f t="shared" si="0"/>
        <v>0x223C</v>
      </c>
      <c r="C33" s="16" t="str">
        <f t="shared" si="1"/>
        <v>0x226B</v>
      </c>
      <c r="D33" s="16">
        <f t="shared" si="3"/>
        <v>8764</v>
      </c>
      <c r="E33" s="16">
        <f t="shared" si="2"/>
        <v>8811</v>
      </c>
      <c r="F33" s="23" t="s">
        <v>397</v>
      </c>
      <c r="G33" s="23" t="s">
        <v>315</v>
      </c>
      <c r="H33" s="28" t="s">
        <v>382</v>
      </c>
      <c r="I33" s="28">
        <v>48</v>
      </c>
      <c r="J33" s="28"/>
    </row>
    <row r="34" spans="1:11">
      <c r="A34" s="29"/>
      <c r="B34" s="16" t="str">
        <f t="shared" si="0"/>
        <v>0x226C</v>
      </c>
      <c r="C34" s="16" t="str">
        <f t="shared" si="1"/>
        <v>0x229B</v>
      </c>
      <c r="D34" s="16">
        <f t="shared" si="3"/>
        <v>8812</v>
      </c>
      <c r="E34" s="16">
        <f t="shared" si="2"/>
        <v>8859</v>
      </c>
      <c r="F34" s="23" t="s">
        <v>398</v>
      </c>
      <c r="G34" s="23" t="s">
        <v>315</v>
      </c>
      <c r="H34" s="28" t="s">
        <v>382</v>
      </c>
      <c r="I34" s="28">
        <v>48</v>
      </c>
      <c r="J34" s="28"/>
    </row>
    <row r="35" spans="1:11">
      <c r="A35" s="29"/>
      <c r="B35" s="16" t="str">
        <f t="shared" si="0"/>
        <v>0x229C</v>
      </c>
      <c r="C35" s="16" t="str">
        <f t="shared" si="1"/>
        <v>0x229C</v>
      </c>
      <c r="D35" s="16">
        <f t="shared" si="3"/>
        <v>8860</v>
      </c>
      <c r="E35" s="16">
        <f t="shared" si="2"/>
        <v>8860</v>
      </c>
      <c r="F35" s="50" t="s">
        <v>339</v>
      </c>
      <c r="G35" s="21" t="s">
        <v>146</v>
      </c>
      <c r="H35" s="21" t="s">
        <v>147</v>
      </c>
      <c r="I35" s="21">
        <v>1</v>
      </c>
      <c r="J35" s="21" t="s">
        <v>340</v>
      </c>
      <c r="K35">
        <v>1</v>
      </c>
    </row>
    <row r="36" spans="1:11">
      <c r="A36" s="29"/>
      <c r="B36" s="16" t="str">
        <f t="shared" si="0"/>
        <v>0x229D</v>
      </c>
      <c r="C36" s="16" t="str">
        <f t="shared" si="1"/>
        <v>0x229E</v>
      </c>
      <c r="D36" s="16">
        <f t="shared" si="3"/>
        <v>8861</v>
      </c>
      <c r="E36" s="16">
        <f t="shared" si="2"/>
        <v>8862</v>
      </c>
      <c r="F36" s="23" t="s">
        <v>399</v>
      </c>
      <c r="G36" s="23" t="s">
        <v>315</v>
      </c>
      <c r="H36" s="28" t="s">
        <v>382</v>
      </c>
      <c r="I36" s="28">
        <v>2</v>
      </c>
      <c r="J36" s="28"/>
    </row>
    <row r="37" spans="1:11">
      <c r="A37" s="29"/>
      <c r="B37" s="16" t="str">
        <f t="shared" si="0"/>
        <v>0x229F</v>
      </c>
      <c r="C37" s="16" t="str">
        <f t="shared" si="1"/>
        <v>0x22A0</v>
      </c>
      <c r="D37" s="16">
        <f t="shared" si="3"/>
        <v>8863</v>
      </c>
      <c r="E37" s="16">
        <f t="shared" si="2"/>
        <v>8864</v>
      </c>
      <c r="F37" s="23" t="s">
        <v>400</v>
      </c>
      <c r="G37" s="23" t="s">
        <v>315</v>
      </c>
      <c r="H37" s="28" t="s">
        <v>382</v>
      </c>
      <c r="I37" s="28">
        <v>2</v>
      </c>
      <c r="J37" s="28"/>
    </row>
    <row r="38" spans="1:11">
      <c r="A38" s="29"/>
      <c r="B38" s="28"/>
      <c r="F38" s="23"/>
      <c r="G38" s="23"/>
      <c r="H38" s="28"/>
      <c r="I38" s="28"/>
      <c r="J38" s="28"/>
    </row>
    <row r="39" spans="1:11">
      <c r="A39" s="26"/>
      <c r="B39" s="28"/>
      <c r="C39" s="17"/>
      <c r="D39" s="23"/>
      <c r="E39" s="28"/>
      <c r="F39" s="28"/>
      <c r="G39" s="28"/>
    </row>
    <row r="40" spans="1:11">
      <c r="A40" s="27"/>
      <c r="B40" s="28"/>
      <c r="C40" s="17"/>
      <c r="D40" s="23"/>
      <c r="E40" s="28"/>
      <c r="F40" s="28"/>
      <c r="G40" s="28"/>
    </row>
    <row r="41" spans="1:11">
      <c r="A41" s="27"/>
      <c r="B41" s="28"/>
      <c r="C41" s="17"/>
      <c r="D41" s="23"/>
      <c r="E41" s="28"/>
      <c r="F41" s="28"/>
      <c r="G41" s="28"/>
    </row>
    <row r="42" spans="1:11">
      <c r="A42" s="27"/>
      <c r="B42" s="28"/>
      <c r="C42" s="20"/>
      <c r="D42" s="23"/>
      <c r="E42" s="28"/>
      <c r="F42" s="28"/>
      <c r="G42" s="28"/>
    </row>
    <row r="43" spans="1:11">
      <c r="A43" s="27"/>
      <c r="B43" s="28"/>
      <c r="C43" s="17"/>
      <c r="D43" s="23"/>
      <c r="E43" s="28"/>
      <c r="F43" s="28"/>
      <c r="G43" s="28"/>
    </row>
    <row r="44" spans="1:11">
      <c r="A44" s="27"/>
      <c r="B44" s="28"/>
      <c r="C44" s="17"/>
      <c r="D44" s="23"/>
      <c r="E44" s="28"/>
      <c r="F44" s="28"/>
      <c r="G44" s="28"/>
    </row>
    <row r="45" spans="1:11">
      <c r="A45" s="27"/>
      <c r="B45" s="28"/>
      <c r="C45" s="17"/>
      <c r="D45" s="23"/>
      <c r="E45" s="28"/>
      <c r="F45" s="28"/>
      <c r="G45" s="28"/>
    </row>
    <row r="46" spans="1:11">
      <c r="A46" s="27"/>
      <c r="B46" s="28"/>
      <c r="C46" s="17"/>
      <c r="D46" s="23"/>
      <c r="E46" s="28"/>
      <c r="F46" s="28"/>
      <c r="G46" s="28"/>
    </row>
    <row r="47" spans="1:11">
      <c r="A47" s="27"/>
      <c r="B47" s="28"/>
      <c r="C47" s="20"/>
      <c r="D47" s="23"/>
      <c r="E47" s="28"/>
      <c r="F47" s="28"/>
      <c r="G47" s="28"/>
    </row>
    <row r="48" spans="1:11">
      <c r="A48" s="27"/>
      <c r="B48" s="28"/>
      <c r="C48" s="17"/>
      <c r="D48" s="23"/>
      <c r="E48" s="28"/>
      <c r="F48" s="28"/>
      <c r="G48" s="28"/>
    </row>
    <row r="49" spans="1:7">
      <c r="A49" s="27"/>
      <c r="B49" s="28"/>
      <c r="C49" s="17"/>
      <c r="D49" s="23"/>
      <c r="E49" s="28"/>
      <c r="F49" s="28"/>
      <c r="G49" s="28"/>
    </row>
    <row r="50" spans="1:7">
      <c r="A50" s="27"/>
      <c r="B50" s="28"/>
      <c r="C50" s="17"/>
      <c r="D50" s="23"/>
      <c r="E50" s="28"/>
      <c r="F50" s="28"/>
      <c r="G50" s="28"/>
    </row>
    <row r="51" spans="1:7">
      <c r="A51" s="27"/>
      <c r="B51" s="28"/>
      <c r="C51" s="17"/>
      <c r="D51" s="23"/>
      <c r="E51" s="28"/>
      <c r="F51" s="28"/>
      <c r="G51" s="28"/>
    </row>
    <row r="52" spans="1:7">
      <c r="A52" s="27"/>
      <c r="B52" s="28"/>
      <c r="C52" s="20"/>
      <c r="D52" s="23"/>
      <c r="E52" s="28"/>
      <c r="F52" s="28"/>
      <c r="G52" s="28"/>
    </row>
    <row r="53" spans="1:7">
      <c r="A53" s="27"/>
      <c r="B53" s="28"/>
      <c r="C53" s="17"/>
      <c r="D53" s="23"/>
      <c r="E53" s="28"/>
      <c r="F53" s="28"/>
      <c r="G53" s="28"/>
    </row>
    <row r="54" spans="1:7">
      <c r="A54" s="27"/>
      <c r="B54" s="28"/>
      <c r="C54" s="20"/>
      <c r="D54" s="23"/>
      <c r="E54" s="28"/>
      <c r="F54" s="28"/>
      <c r="G54" s="28"/>
    </row>
    <row r="55" spans="1:7">
      <c r="A55" s="27"/>
      <c r="B55" s="28"/>
      <c r="C55" s="20"/>
      <c r="D55" s="23"/>
      <c r="E55" s="28"/>
      <c r="F55" s="28"/>
      <c r="G55" s="28"/>
    </row>
    <row r="56" spans="1:7">
      <c r="A56" s="27"/>
      <c r="B56" s="28"/>
      <c r="C56" s="20"/>
      <c r="D56" s="23"/>
      <c r="E56" s="28"/>
      <c r="F56" s="28"/>
      <c r="G56" s="28"/>
    </row>
    <row r="57" spans="1:7">
      <c r="A57" s="27"/>
      <c r="B57" s="28"/>
      <c r="C57" s="20"/>
      <c r="D57" s="23"/>
      <c r="E57" s="28"/>
      <c r="F57" s="28"/>
      <c r="G57" s="28"/>
    </row>
    <row r="58" spans="1:7">
      <c r="A58" s="27"/>
      <c r="B58" s="28"/>
      <c r="C58" s="20"/>
      <c r="D58" s="23"/>
      <c r="E58" s="28"/>
      <c r="F58" s="28"/>
      <c r="G58" s="28"/>
    </row>
    <row r="59" spans="1:7">
      <c r="A59" s="27"/>
      <c r="B59" s="28"/>
      <c r="C59" s="20"/>
      <c r="D59" s="23"/>
      <c r="E59" s="28"/>
      <c r="F59" s="28"/>
      <c r="G59" s="28"/>
    </row>
    <row r="60" spans="1:7">
      <c r="A60" s="27"/>
      <c r="B60" s="28"/>
      <c r="C60" s="17"/>
      <c r="D60" s="23"/>
      <c r="E60" s="28"/>
      <c r="F60" s="28"/>
      <c r="G60" s="28"/>
    </row>
    <row r="61" spans="1:7">
      <c r="A61" s="27"/>
      <c r="B61" s="28"/>
      <c r="C61" s="17"/>
      <c r="D61" s="23"/>
      <c r="E61" s="28"/>
      <c r="F61" s="28"/>
      <c r="G61" s="28"/>
    </row>
    <row r="62" spans="1:7">
      <c r="A62" s="27"/>
      <c r="B62" s="28"/>
      <c r="C62" s="17"/>
      <c r="D62" s="23"/>
      <c r="E62" s="28"/>
      <c r="F62" s="28"/>
      <c r="G62" s="28"/>
    </row>
    <row r="63" spans="1:7">
      <c r="A63" s="27"/>
      <c r="B63" s="28"/>
      <c r="C63" s="17"/>
      <c r="D63" s="23"/>
      <c r="E63" s="28"/>
      <c r="F63" s="28"/>
      <c r="G63" s="28"/>
    </row>
    <row r="64" spans="1:7">
      <c r="A64" s="27"/>
      <c r="B64" s="28"/>
      <c r="C64" s="17"/>
      <c r="D64" s="23"/>
      <c r="E64" s="28"/>
      <c r="F64" s="28"/>
      <c r="G64" s="28"/>
    </row>
    <row r="65" spans="1:7">
      <c r="A65" s="27"/>
      <c r="B65" s="28"/>
      <c r="C65" s="17"/>
      <c r="D65" s="23"/>
      <c r="E65" s="28"/>
      <c r="F65" s="28"/>
      <c r="G65" s="28"/>
    </row>
    <row r="66" spans="1:7">
      <c r="A66" s="27"/>
      <c r="B66" s="28"/>
      <c r="C66" s="17"/>
      <c r="D66" s="23"/>
      <c r="E66" s="28"/>
      <c r="F66" s="28"/>
      <c r="G66" s="28"/>
    </row>
    <row r="67" spans="1:7">
      <c r="A67" s="27"/>
      <c r="B67" s="28"/>
      <c r="C67" s="17"/>
      <c r="D67" s="23"/>
      <c r="E67" s="28"/>
      <c r="F67" s="28"/>
      <c r="G67" s="28"/>
    </row>
    <row r="68" spans="1:7">
      <c r="A68" s="27"/>
      <c r="B68" s="28"/>
      <c r="C68" s="17"/>
      <c r="D68" s="23"/>
      <c r="E68" s="28"/>
      <c r="F68" s="28"/>
      <c r="G68" s="28"/>
    </row>
    <row r="69" spans="1:7">
      <c r="A69" s="27"/>
      <c r="B69" s="28"/>
      <c r="C69" s="20"/>
      <c r="D69" s="23"/>
      <c r="E69" s="28"/>
      <c r="F69" s="28"/>
      <c r="G69" s="28"/>
    </row>
    <row r="70" spans="1:7">
      <c r="A70" s="29"/>
      <c r="B70" s="28"/>
      <c r="C70" s="17"/>
      <c r="D70" s="23"/>
      <c r="E70" s="28"/>
      <c r="F70" s="28"/>
      <c r="G70" s="28"/>
    </row>
    <row r="71" spans="1:7">
      <c r="A71" s="29"/>
      <c r="B71" s="28"/>
      <c r="C71" s="17"/>
      <c r="D71" s="23"/>
      <c r="E71" s="28"/>
      <c r="F71" s="28"/>
      <c r="G71" s="28"/>
    </row>
    <row r="72" spans="1:7">
      <c r="A72" s="30"/>
      <c r="B72" s="28"/>
      <c r="C72" s="17"/>
      <c r="D72" s="23"/>
      <c r="E72" s="28"/>
      <c r="F72" s="28"/>
      <c r="G72" s="28"/>
    </row>
    <row r="73" spans="1:7">
      <c r="A73" s="30"/>
      <c r="B73" s="28"/>
      <c r="C73" s="17"/>
      <c r="D73" s="23"/>
      <c r="E73" s="28"/>
      <c r="F73" s="28"/>
      <c r="G73" s="28"/>
    </row>
    <row r="74" spans="1:7">
      <c r="A74" s="27"/>
      <c r="B74" s="28"/>
      <c r="C74" s="17"/>
      <c r="D74" s="23"/>
      <c r="E74" s="28"/>
      <c r="F74" s="28"/>
      <c r="G74" s="28"/>
    </row>
    <row r="75" spans="1:7">
      <c r="A75" s="27"/>
      <c r="B75" s="28"/>
      <c r="C75" s="24"/>
      <c r="D75" s="23"/>
      <c r="E75" s="28"/>
      <c r="F75" s="28"/>
      <c r="G75" s="2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CD34-6CBB-4189-9E60-7E744B86C61B}">
  <dimension ref="A1:L59"/>
  <sheetViews>
    <sheetView workbookViewId="0">
      <selection activeCell="A2" sqref="A2"/>
    </sheetView>
  </sheetViews>
  <sheetFormatPr defaultRowHeight="13.5"/>
  <cols>
    <col min="1" max="1" width="20.125" customWidth="1"/>
    <col min="2" max="2" width="8.625" bestFit="1" customWidth="1"/>
    <col min="3" max="3" width="7.625" bestFit="1" customWidth="1"/>
    <col min="4" max="4" width="8.625" bestFit="1" customWidth="1"/>
    <col min="5" max="5" width="7.625" bestFit="1" customWidth="1"/>
    <col min="6" max="6" width="40.8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49" t="s">
        <v>38</v>
      </c>
      <c r="B2" s="16" t="str">
        <f t="shared" ref="B2:C3" si="0">"0x"&amp;DEC2HEX(D2,4)</f>
        <v>0x2500</v>
      </c>
      <c r="C2" s="16" t="str">
        <f t="shared" si="0"/>
        <v>0x2503</v>
      </c>
      <c r="D2" s="16">
        <v>9472</v>
      </c>
      <c r="E2" s="16">
        <f t="shared" ref="E2:E3" si="1">D2+I2-1</f>
        <v>9475</v>
      </c>
      <c r="F2" s="20" t="s">
        <v>401</v>
      </c>
      <c r="G2" s="17" t="s">
        <v>402</v>
      </c>
      <c r="H2" s="28" t="s">
        <v>301</v>
      </c>
      <c r="I2" s="28">
        <v>4</v>
      </c>
      <c r="J2" s="28"/>
    </row>
    <row r="3" spans="1:12">
      <c r="B3" s="16" t="str">
        <f t="shared" si="0"/>
        <v>0x2504</v>
      </c>
      <c r="C3" s="16" t="str">
        <f t="shared" si="0"/>
        <v>0x2507</v>
      </c>
      <c r="D3" s="16">
        <f>D2+I2</f>
        <v>9476</v>
      </c>
      <c r="E3" s="16">
        <f t="shared" si="1"/>
        <v>9479</v>
      </c>
      <c r="F3" s="20" t="s">
        <v>403</v>
      </c>
      <c r="G3" s="17" t="s">
        <v>402</v>
      </c>
      <c r="H3" s="28" t="s">
        <v>301</v>
      </c>
      <c r="I3" s="28">
        <v>4</v>
      </c>
      <c r="J3" s="28"/>
    </row>
    <row r="4" spans="1:12">
      <c r="B4" s="16" t="str">
        <f t="shared" ref="B4:B58" si="2">"0x"&amp;DEC2HEX(D4,4)</f>
        <v>0x2508</v>
      </c>
      <c r="C4" s="16" t="str">
        <f t="shared" ref="C4:C58" si="3">"0x"&amp;DEC2HEX(E4,4)</f>
        <v>0x250B</v>
      </c>
      <c r="D4" s="16">
        <f t="shared" ref="D4:D58" si="4">D3+I3</f>
        <v>9480</v>
      </c>
      <c r="E4" s="16">
        <f t="shared" ref="E4:E58" si="5">D4+I4-1</f>
        <v>9483</v>
      </c>
      <c r="F4" s="42" t="s">
        <v>404</v>
      </c>
      <c r="G4" s="17" t="s">
        <v>402</v>
      </c>
      <c r="H4" s="28" t="s">
        <v>301</v>
      </c>
      <c r="I4" s="28">
        <v>4</v>
      </c>
      <c r="J4" s="28"/>
    </row>
    <row r="5" spans="1:12">
      <c r="B5" s="16" t="str">
        <f t="shared" si="2"/>
        <v>0x250C</v>
      </c>
      <c r="C5" s="16" t="str">
        <f t="shared" si="3"/>
        <v>0x250F</v>
      </c>
      <c r="D5" s="16">
        <f t="shared" si="4"/>
        <v>9484</v>
      </c>
      <c r="E5" s="16">
        <f t="shared" si="5"/>
        <v>9487</v>
      </c>
      <c r="F5" s="42" t="s">
        <v>405</v>
      </c>
      <c r="G5" s="17" t="s">
        <v>402</v>
      </c>
      <c r="H5" s="28" t="s">
        <v>301</v>
      </c>
      <c r="I5" s="28">
        <v>4</v>
      </c>
      <c r="J5" s="28"/>
    </row>
    <row r="6" spans="1:12">
      <c r="B6" s="16" t="str">
        <f t="shared" si="2"/>
        <v>0x2510</v>
      </c>
      <c r="C6" s="16" t="str">
        <f t="shared" si="3"/>
        <v>0x2513</v>
      </c>
      <c r="D6" s="16">
        <f t="shared" si="4"/>
        <v>9488</v>
      </c>
      <c r="E6" s="16">
        <f t="shared" si="5"/>
        <v>9491</v>
      </c>
      <c r="F6" s="20" t="s">
        <v>406</v>
      </c>
      <c r="G6" s="17" t="s">
        <v>402</v>
      </c>
      <c r="H6" s="28" t="s">
        <v>301</v>
      </c>
      <c r="I6" s="28">
        <v>4</v>
      </c>
      <c r="J6" s="28"/>
    </row>
    <row r="7" spans="1:12">
      <c r="B7" s="16" t="str">
        <f t="shared" si="2"/>
        <v>0x2514</v>
      </c>
      <c r="C7" s="16" t="str">
        <f t="shared" si="3"/>
        <v>0x2517</v>
      </c>
      <c r="D7" s="16">
        <f t="shared" si="4"/>
        <v>9492</v>
      </c>
      <c r="E7" s="16">
        <f t="shared" si="5"/>
        <v>9495</v>
      </c>
      <c r="F7" s="20" t="s">
        <v>407</v>
      </c>
      <c r="G7" s="17" t="s">
        <v>402</v>
      </c>
      <c r="H7" s="28" t="s">
        <v>301</v>
      </c>
      <c r="I7" s="28">
        <v>4</v>
      </c>
      <c r="J7" s="28"/>
    </row>
    <row r="8" spans="1:12">
      <c r="B8" s="16" t="str">
        <f t="shared" si="2"/>
        <v>0x2518</v>
      </c>
      <c r="C8" s="16" t="str">
        <f t="shared" si="3"/>
        <v>0x251B</v>
      </c>
      <c r="D8" s="16">
        <f t="shared" si="4"/>
        <v>9496</v>
      </c>
      <c r="E8" s="16">
        <f t="shared" si="5"/>
        <v>9499</v>
      </c>
      <c r="F8" s="20" t="s">
        <v>408</v>
      </c>
      <c r="G8" s="17" t="s">
        <v>402</v>
      </c>
      <c r="H8" s="28" t="s">
        <v>301</v>
      </c>
      <c r="I8" s="28">
        <v>4</v>
      </c>
      <c r="J8" s="28"/>
    </row>
    <row r="9" spans="1:12">
      <c r="B9" s="16" t="str">
        <f t="shared" si="2"/>
        <v>0x251C</v>
      </c>
      <c r="C9" s="16" t="str">
        <f t="shared" si="3"/>
        <v>0x251F</v>
      </c>
      <c r="D9" s="16">
        <f t="shared" si="4"/>
        <v>9500</v>
      </c>
      <c r="E9" s="16">
        <f t="shared" si="5"/>
        <v>9503</v>
      </c>
      <c r="F9" s="42" t="s">
        <v>409</v>
      </c>
      <c r="G9" s="17" t="s">
        <v>402</v>
      </c>
      <c r="H9" s="28" t="s">
        <v>301</v>
      </c>
      <c r="I9" s="28">
        <v>4</v>
      </c>
      <c r="J9" s="28"/>
    </row>
    <row r="10" spans="1:12">
      <c r="B10" s="16" t="str">
        <f t="shared" si="2"/>
        <v>0x2520</v>
      </c>
      <c r="C10" s="16" t="str">
        <f t="shared" si="3"/>
        <v>0x2523</v>
      </c>
      <c r="D10" s="16">
        <f t="shared" si="4"/>
        <v>9504</v>
      </c>
      <c r="E10" s="16">
        <f t="shared" si="5"/>
        <v>9507</v>
      </c>
      <c r="F10" s="42" t="s">
        <v>410</v>
      </c>
      <c r="G10" s="17" t="s">
        <v>402</v>
      </c>
      <c r="H10" s="28" t="s">
        <v>301</v>
      </c>
      <c r="I10" s="28">
        <v>4</v>
      </c>
      <c r="J10" s="28"/>
    </row>
    <row r="11" spans="1:12">
      <c r="B11" s="16" t="str">
        <f t="shared" si="2"/>
        <v>0x2524</v>
      </c>
      <c r="C11" s="16" t="str">
        <f t="shared" si="3"/>
        <v>0x2527</v>
      </c>
      <c r="D11" s="16">
        <f t="shared" si="4"/>
        <v>9508</v>
      </c>
      <c r="E11" s="16">
        <f t="shared" si="5"/>
        <v>9511</v>
      </c>
      <c r="F11" s="20" t="s">
        <v>411</v>
      </c>
      <c r="G11" s="17" t="s">
        <v>402</v>
      </c>
      <c r="H11" s="28" t="s">
        <v>301</v>
      </c>
      <c r="I11" s="28">
        <v>4</v>
      </c>
      <c r="J11" s="28"/>
    </row>
    <row r="12" spans="1:12">
      <c r="B12" s="16" t="str">
        <f t="shared" si="2"/>
        <v>0x2528</v>
      </c>
      <c r="C12" s="16" t="str">
        <f t="shared" si="3"/>
        <v>0x252B</v>
      </c>
      <c r="D12" s="16">
        <f t="shared" si="4"/>
        <v>9512</v>
      </c>
      <c r="E12" s="16">
        <f t="shared" si="5"/>
        <v>9515</v>
      </c>
      <c r="F12" s="20" t="s">
        <v>412</v>
      </c>
      <c r="G12" s="17" t="s">
        <v>402</v>
      </c>
      <c r="H12" s="28" t="s">
        <v>301</v>
      </c>
      <c r="I12" s="28">
        <v>4</v>
      </c>
      <c r="J12" s="28"/>
    </row>
    <row r="13" spans="1:12">
      <c r="B13" s="16" t="str">
        <f t="shared" si="2"/>
        <v>0x252C</v>
      </c>
      <c r="C13" s="16" t="str">
        <f t="shared" si="3"/>
        <v>0x252F</v>
      </c>
      <c r="D13" s="16">
        <f t="shared" si="4"/>
        <v>9516</v>
      </c>
      <c r="E13" s="16">
        <f t="shared" si="5"/>
        <v>9519</v>
      </c>
      <c r="F13" s="20" t="s">
        <v>413</v>
      </c>
      <c r="G13" s="17" t="s">
        <v>402</v>
      </c>
      <c r="H13" s="28" t="s">
        <v>301</v>
      </c>
      <c r="I13" s="28">
        <v>4</v>
      </c>
      <c r="J13" s="28"/>
    </row>
    <row r="14" spans="1:12">
      <c r="B14" s="16" t="str">
        <f t="shared" si="2"/>
        <v>0x2530</v>
      </c>
      <c r="C14" s="16" t="str">
        <f t="shared" si="3"/>
        <v>0x2533</v>
      </c>
      <c r="D14" s="16">
        <f t="shared" si="4"/>
        <v>9520</v>
      </c>
      <c r="E14" s="16">
        <f t="shared" si="5"/>
        <v>9523</v>
      </c>
      <c r="F14" s="42" t="s">
        <v>414</v>
      </c>
      <c r="G14" s="17" t="s">
        <v>402</v>
      </c>
      <c r="H14" s="28" t="s">
        <v>301</v>
      </c>
      <c r="I14" s="28">
        <v>4</v>
      </c>
      <c r="J14" s="28"/>
    </row>
    <row r="15" spans="1:12">
      <c r="B15" s="16" t="str">
        <f t="shared" si="2"/>
        <v>0x2534</v>
      </c>
      <c r="C15" s="16" t="str">
        <f t="shared" si="3"/>
        <v>0x2537</v>
      </c>
      <c r="D15" s="16">
        <f t="shared" si="4"/>
        <v>9524</v>
      </c>
      <c r="E15" s="16">
        <f t="shared" si="5"/>
        <v>9527</v>
      </c>
      <c r="F15" s="42" t="s">
        <v>415</v>
      </c>
      <c r="G15" s="17" t="s">
        <v>402</v>
      </c>
      <c r="H15" s="28" t="s">
        <v>301</v>
      </c>
      <c r="I15" s="28">
        <v>4</v>
      </c>
      <c r="J15" s="28"/>
    </row>
    <row r="16" spans="1:12">
      <c r="B16" s="16" t="str">
        <f t="shared" si="2"/>
        <v>0x2538</v>
      </c>
      <c r="C16" s="16" t="str">
        <f t="shared" si="3"/>
        <v>0x253B</v>
      </c>
      <c r="D16" s="16">
        <f t="shared" si="4"/>
        <v>9528</v>
      </c>
      <c r="E16" s="16">
        <f t="shared" si="5"/>
        <v>9531</v>
      </c>
      <c r="F16" s="20" t="s">
        <v>416</v>
      </c>
      <c r="G16" s="17" t="s">
        <v>402</v>
      </c>
      <c r="H16" s="28" t="s">
        <v>301</v>
      </c>
      <c r="I16" s="28">
        <v>4</v>
      </c>
      <c r="J16" s="28"/>
    </row>
    <row r="17" spans="2:10">
      <c r="B17" s="16" t="str">
        <f t="shared" si="2"/>
        <v>0x253C</v>
      </c>
      <c r="C17" s="16" t="str">
        <f t="shared" si="3"/>
        <v>0x253F</v>
      </c>
      <c r="D17" s="16">
        <f t="shared" si="4"/>
        <v>9532</v>
      </c>
      <c r="E17" s="16">
        <f t="shared" si="5"/>
        <v>9535</v>
      </c>
      <c r="F17" s="20" t="s">
        <v>417</v>
      </c>
      <c r="G17" s="17" t="s">
        <v>402</v>
      </c>
      <c r="H17" s="28" t="s">
        <v>301</v>
      </c>
      <c r="I17" s="28">
        <v>4</v>
      </c>
      <c r="J17" s="28"/>
    </row>
    <row r="18" spans="2:10">
      <c r="B18" s="16" t="str">
        <f t="shared" si="2"/>
        <v>0x2540</v>
      </c>
      <c r="C18" s="16" t="str">
        <f t="shared" si="3"/>
        <v>0x2543</v>
      </c>
      <c r="D18" s="16">
        <f t="shared" si="4"/>
        <v>9536</v>
      </c>
      <c r="E18" s="16">
        <f t="shared" si="5"/>
        <v>9539</v>
      </c>
      <c r="F18" s="20" t="s">
        <v>418</v>
      </c>
      <c r="G18" s="17" t="s">
        <v>402</v>
      </c>
      <c r="H18" s="28" t="s">
        <v>301</v>
      </c>
      <c r="I18" s="28">
        <v>4</v>
      </c>
      <c r="J18" s="28"/>
    </row>
    <row r="19" spans="2:10">
      <c r="B19" s="16" t="str">
        <f t="shared" si="2"/>
        <v>0x2544</v>
      </c>
      <c r="C19" s="16" t="str">
        <f t="shared" si="3"/>
        <v>0x2547</v>
      </c>
      <c r="D19" s="16">
        <f t="shared" si="4"/>
        <v>9540</v>
      </c>
      <c r="E19" s="16">
        <f t="shared" si="5"/>
        <v>9543</v>
      </c>
      <c r="F19" s="42" t="s">
        <v>419</v>
      </c>
      <c r="G19" s="17" t="s">
        <v>402</v>
      </c>
      <c r="H19" s="28" t="s">
        <v>301</v>
      </c>
      <c r="I19" s="28">
        <v>4</v>
      </c>
      <c r="J19" s="28"/>
    </row>
    <row r="20" spans="2:10">
      <c r="B20" s="16" t="str">
        <f t="shared" si="2"/>
        <v>0x2548</v>
      </c>
      <c r="C20" s="16" t="str">
        <f t="shared" si="3"/>
        <v>0x254B</v>
      </c>
      <c r="D20" s="16">
        <f t="shared" si="4"/>
        <v>9544</v>
      </c>
      <c r="E20" s="16">
        <f t="shared" si="5"/>
        <v>9547</v>
      </c>
      <c r="F20" s="42" t="s">
        <v>420</v>
      </c>
      <c r="G20" s="17" t="s">
        <v>402</v>
      </c>
      <c r="H20" s="28" t="s">
        <v>301</v>
      </c>
      <c r="I20" s="28">
        <v>4</v>
      </c>
      <c r="J20" s="28"/>
    </row>
    <row r="21" spans="2:10">
      <c r="B21" s="16" t="str">
        <f t="shared" si="2"/>
        <v>0x254C</v>
      </c>
      <c r="C21" s="16" t="str">
        <f t="shared" si="3"/>
        <v>0x254F</v>
      </c>
      <c r="D21" s="16">
        <f t="shared" si="4"/>
        <v>9548</v>
      </c>
      <c r="E21" s="16">
        <f t="shared" si="5"/>
        <v>9551</v>
      </c>
      <c r="F21" s="20" t="s">
        <v>421</v>
      </c>
      <c r="G21" s="17" t="s">
        <v>402</v>
      </c>
      <c r="H21" s="28" t="s">
        <v>301</v>
      </c>
      <c r="I21" s="28">
        <v>4</v>
      </c>
      <c r="J21" s="28"/>
    </row>
    <row r="22" spans="2:10">
      <c r="B22" s="16" t="str">
        <f t="shared" si="2"/>
        <v>0x2550</v>
      </c>
      <c r="C22" s="16" t="str">
        <f t="shared" si="3"/>
        <v>0x2553</v>
      </c>
      <c r="D22" s="16">
        <f t="shared" si="4"/>
        <v>9552</v>
      </c>
      <c r="E22" s="16">
        <f t="shared" si="5"/>
        <v>9555</v>
      </c>
      <c r="F22" s="20" t="s">
        <v>422</v>
      </c>
      <c r="G22" s="17" t="s">
        <v>402</v>
      </c>
      <c r="H22" s="28" t="s">
        <v>301</v>
      </c>
      <c r="I22" s="28">
        <v>4</v>
      </c>
      <c r="J22" s="28"/>
    </row>
    <row r="23" spans="2:10">
      <c r="B23" s="16" t="str">
        <f t="shared" si="2"/>
        <v>0x2554</v>
      </c>
      <c r="C23" s="16" t="str">
        <f t="shared" si="3"/>
        <v>0x2557</v>
      </c>
      <c r="D23" s="16">
        <f t="shared" si="4"/>
        <v>9556</v>
      </c>
      <c r="E23" s="16">
        <f t="shared" si="5"/>
        <v>9559</v>
      </c>
      <c r="F23" s="20" t="s">
        <v>423</v>
      </c>
      <c r="G23" s="17" t="s">
        <v>402</v>
      </c>
      <c r="H23" s="28" t="s">
        <v>301</v>
      </c>
      <c r="I23" s="28">
        <v>4</v>
      </c>
      <c r="J23" s="28"/>
    </row>
    <row r="24" spans="2:10">
      <c r="B24" s="16" t="str">
        <f t="shared" si="2"/>
        <v>0x2558</v>
      </c>
      <c r="C24" s="16" t="str">
        <f t="shared" si="3"/>
        <v>0x255B</v>
      </c>
      <c r="D24" s="16">
        <f t="shared" si="4"/>
        <v>9560</v>
      </c>
      <c r="E24" s="16">
        <f t="shared" si="5"/>
        <v>9563</v>
      </c>
      <c r="F24" s="42" t="s">
        <v>424</v>
      </c>
      <c r="G24" s="17" t="s">
        <v>402</v>
      </c>
      <c r="H24" s="28" t="s">
        <v>301</v>
      </c>
      <c r="I24" s="28">
        <v>4</v>
      </c>
      <c r="J24" s="28"/>
    </row>
    <row r="25" spans="2:10">
      <c r="B25" s="16" t="str">
        <f t="shared" si="2"/>
        <v>0x255C</v>
      </c>
      <c r="C25" s="16" t="str">
        <f t="shared" si="3"/>
        <v>0x255F</v>
      </c>
      <c r="D25" s="16">
        <f t="shared" si="4"/>
        <v>9564</v>
      </c>
      <c r="E25" s="16">
        <f t="shared" si="5"/>
        <v>9567</v>
      </c>
      <c r="F25" s="42" t="s">
        <v>425</v>
      </c>
      <c r="G25" s="17" t="s">
        <v>402</v>
      </c>
      <c r="H25" s="28" t="s">
        <v>301</v>
      </c>
      <c r="I25" s="28">
        <v>4</v>
      </c>
      <c r="J25" s="28"/>
    </row>
    <row r="26" spans="2:10">
      <c r="B26" s="16" t="str">
        <f t="shared" si="2"/>
        <v>0x2560</v>
      </c>
      <c r="C26" s="16" t="str">
        <f t="shared" si="3"/>
        <v>0x2563</v>
      </c>
      <c r="D26" s="16">
        <f t="shared" si="4"/>
        <v>9568</v>
      </c>
      <c r="E26" s="16">
        <f t="shared" si="5"/>
        <v>9571</v>
      </c>
      <c r="F26" s="20" t="s">
        <v>426</v>
      </c>
      <c r="G26" s="17" t="s">
        <v>402</v>
      </c>
      <c r="H26" s="28" t="s">
        <v>301</v>
      </c>
      <c r="I26" s="28">
        <v>4</v>
      </c>
      <c r="J26" s="28"/>
    </row>
    <row r="27" spans="2:10">
      <c r="B27" s="16" t="str">
        <f t="shared" si="2"/>
        <v>0x2564</v>
      </c>
      <c r="C27" s="16" t="str">
        <f t="shared" si="3"/>
        <v>0x2567</v>
      </c>
      <c r="D27" s="16">
        <f t="shared" si="4"/>
        <v>9572</v>
      </c>
      <c r="E27" s="16">
        <f t="shared" si="5"/>
        <v>9575</v>
      </c>
      <c r="F27" s="20" t="s">
        <v>427</v>
      </c>
      <c r="G27" s="17" t="s">
        <v>402</v>
      </c>
      <c r="H27" s="28" t="s">
        <v>301</v>
      </c>
      <c r="I27" s="28">
        <v>4</v>
      </c>
      <c r="J27" s="28"/>
    </row>
    <row r="28" spans="2:10">
      <c r="B28" s="16" t="str">
        <f t="shared" si="2"/>
        <v>0x2568</v>
      </c>
      <c r="C28" s="16" t="str">
        <f t="shared" si="3"/>
        <v>0x256B</v>
      </c>
      <c r="D28" s="16">
        <f t="shared" si="4"/>
        <v>9576</v>
      </c>
      <c r="E28" s="16">
        <f t="shared" si="5"/>
        <v>9579</v>
      </c>
      <c r="F28" s="20" t="s">
        <v>428</v>
      </c>
      <c r="G28" s="17" t="s">
        <v>402</v>
      </c>
      <c r="H28" s="28" t="s">
        <v>301</v>
      </c>
      <c r="I28" s="28">
        <v>4</v>
      </c>
      <c r="J28" s="28"/>
    </row>
    <row r="29" spans="2:10">
      <c r="B29" s="16" t="str">
        <f t="shared" si="2"/>
        <v>0x256C</v>
      </c>
      <c r="C29" s="16" t="str">
        <f t="shared" si="3"/>
        <v>0x256F</v>
      </c>
      <c r="D29" s="16">
        <f t="shared" si="4"/>
        <v>9580</v>
      </c>
      <c r="E29" s="16">
        <f t="shared" si="5"/>
        <v>9583</v>
      </c>
      <c r="F29" s="42" t="s">
        <v>429</v>
      </c>
      <c r="G29" s="17" t="s">
        <v>402</v>
      </c>
      <c r="H29" s="28" t="s">
        <v>301</v>
      </c>
      <c r="I29" s="28">
        <v>4</v>
      </c>
      <c r="J29" s="28"/>
    </row>
    <row r="30" spans="2:10">
      <c r="B30" s="16" t="str">
        <f t="shared" si="2"/>
        <v>0x2570</v>
      </c>
      <c r="C30" s="16" t="str">
        <f t="shared" si="3"/>
        <v>0x2573</v>
      </c>
      <c r="D30" s="16">
        <f t="shared" si="4"/>
        <v>9584</v>
      </c>
      <c r="E30" s="16">
        <f t="shared" si="5"/>
        <v>9587</v>
      </c>
      <c r="F30" s="42" t="s">
        <v>430</v>
      </c>
      <c r="G30" s="17" t="s">
        <v>402</v>
      </c>
      <c r="H30" s="28" t="s">
        <v>301</v>
      </c>
      <c r="I30" s="28">
        <v>4</v>
      </c>
      <c r="J30" s="28"/>
    </row>
    <row r="31" spans="2:10">
      <c r="B31" s="16" t="str">
        <f t="shared" si="2"/>
        <v>0x2574</v>
      </c>
      <c r="C31" s="16" t="str">
        <f t="shared" si="3"/>
        <v>0x2577</v>
      </c>
      <c r="D31" s="16">
        <f t="shared" si="4"/>
        <v>9588</v>
      </c>
      <c r="E31" s="16">
        <f t="shared" si="5"/>
        <v>9591</v>
      </c>
      <c r="F31" s="20" t="s">
        <v>431</v>
      </c>
      <c r="G31" s="17" t="s">
        <v>402</v>
      </c>
      <c r="H31" s="28" t="s">
        <v>301</v>
      </c>
      <c r="I31" s="28">
        <v>4</v>
      </c>
      <c r="J31" s="28"/>
    </row>
    <row r="32" spans="2:10">
      <c r="B32" s="16" t="str">
        <f t="shared" si="2"/>
        <v>0x2578</v>
      </c>
      <c r="C32" s="16" t="str">
        <f t="shared" si="3"/>
        <v>0x257B</v>
      </c>
      <c r="D32" s="16">
        <f t="shared" si="4"/>
        <v>9592</v>
      </c>
      <c r="E32" s="16">
        <f t="shared" si="5"/>
        <v>9595</v>
      </c>
      <c r="F32" s="20" t="s">
        <v>432</v>
      </c>
      <c r="G32" s="17" t="s">
        <v>402</v>
      </c>
      <c r="H32" s="28" t="s">
        <v>301</v>
      </c>
      <c r="I32" s="28">
        <v>4</v>
      </c>
      <c r="J32" s="28"/>
    </row>
    <row r="33" spans="2:10">
      <c r="B33" s="16" t="str">
        <f t="shared" si="2"/>
        <v>0x257C</v>
      </c>
      <c r="C33" s="16" t="str">
        <f t="shared" si="3"/>
        <v>0x257F</v>
      </c>
      <c r="D33" s="16">
        <f t="shared" si="4"/>
        <v>9596</v>
      </c>
      <c r="E33" s="16">
        <f t="shared" si="5"/>
        <v>9599</v>
      </c>
      <c r="F33" s="20" t="s">
        <v>433</v>
      </c>
      <c r="G33" s="17" t="s">
        <v>402</v>
      </c>
      <c r="H33" s="28" t="s">
        <v>301</v>
      </c>
      <c r="I33" s="28">
        <v>4</v>
      </c>
      <c r="J33" s="28"/>
    </row>
    <row r="34" spans="2:10">
      <c r="B34" s="16" t="str">
        <f t="shared" si="2"/>
        <v>0x2580</v>
      </c>
      <c r="C34" s="16" t="str">
        <f t="shared" si="3"/>
        <v>0x2583</v>
      </c>
      <c r="D34" s="16">
        <f t="shared" si="4"/>
        <v>9600</v>
      </c>
      <c r="E34" s="16">
        <f t="shared" si="5"/>
        <v>9603</v>
      </c>
      <c r="F34" s="42" t="s">
        <v>434</v>
      </c>
      <c r="G34" s="17" t="s">
        <v>402</v>
      </c>
      <c r="H34" s="28" t="s">
        <v>301</v>
      </c>
      <c r="I34" s="28">
        <v>4</v>
      </c>
      <c r="J34" s="28"/>
    </row>
    <row r="35" spans="2:10">
      <c r="B35" s="16" t="str">
        <f t="shared" si="2"/>
        <v>0x2584</v>
      </c>
      <c r="C35" s="16" t="str">
        <f t="shared" si="3"/>
        <v>0x2587</v>
      </c>
      <c r="D35" s="16">
        <f t="shared" si="4"/>
        <v>9604</v>
      </c>
      <c r="E35" s="16">
        <f t="shared" si="5"/>
        <v>9607</v>
      </c>
      <c r="F35" s="42" t="s">
        <v>435</v>
      </c>
      <c r="G35" s="17" t="s">
        <v>402</v>
      </c>
      <c r="H35" s="28" t="s">
        <v>301</v>
      </c>
      <c r="I35" s="28">
        <v>4</v>
      </c>
      <c r="J35" s="28"/>
    </row>
    <row r="36" spans="2:10">
      <c r="B36" s="16" t="str">
        <f t="shared" si="2"/>
        <v>0x2588</v>
      </c>
      <c r="C36" s="16" t="str">
        <f t="shared" si="3"/>
        <v>0x258B</v>
      </c>
      <c r="D36" s="16">
        <f t="shared" si="4"/>
        <v>9608</v>
      </c>
      <c r="E36" s="16">
        <f t="shared" si="5"/>
        <v>9611</v>
      </c>
      <c r="F36" s="20" t="s">
        <v>436</v>
      </c>
      <c r="G36" s="17" t="s">
        <v>402</v>
      </c>
      <c r="H36" s="28" t="s">
        <v>301</v>
      </c>
      <c r="I36" s="28">
        <v>4</v>
      </c>
      <c r="J36" s="28"/>
    </row>
    <row r="37" spans="2:10">
      <c r="B37" s="16" t="str">
        <f t="shared" si="2"/>
        <v>0x258C</v>
      </c>
      <c r="C37" s="16" t="str">
        <f t="shared" si="3"/>
        <v>0x258F</v>
      </c>
      <c r="D37" s="16">
        <f t="shared" si="4"/>
        <v>9612</v>
      </c>
      <c r="E37" s="16">
        <f t="shared" si="5"/>
        <v>9615</v>
      </c>
      <c r="F37" s="20" t="s">
        <v>437</v>
      </c>
      <c r="G37" s="17" t="s">
        <v>402</v>
      </c>
      <c r="H37" s="28" t="s">
        <v>301</v>
      </c>
      <c r="I37" s="28">
        <v>4</v>
      </c>
      <c r="J37" s="28"/>
    </row>
    <row r="38" spans="2:10">
      <c r="B38" s="16" t="str">
        <f t="shared" ref="B38:B39" si="6">"0x"&amp;DEC2HEX(D38,4)</f>
        <v>0x2590</v>
      </c>
      <c r="C38" s="16" t="str">
        <f t="shared" ref="C38:C39" si="7">"0x"&amp;DEC2HEX(E38,4)</f>
        <v>0x2590</v>
      </c>
      <c r="D38" s="16">
        <f t="shared" ref="D38:D39" si="8">D37+I37</f>
        <v>9616</v>
      </c>
      <c r="E38" s="16">
        <f t="shared" ref="E38:E39" si="9">D38+I38-1</f>
        <v>9616</v>
      </c>
      <c r="F38" s="50" t="s">
        <v>438</v>
      </c>
      <c r="G38" s="21" t="s">
        <v>146</v>
      </c>
      <c r="H38" s="21" t="s">
        <v>147</v>
      </c>
      <c r="I38" s="21">
        <v>1</v>
      </c>
      <c r="J38" s="21" t="s">
        <v>439</v>
      </c>
    </row>
    <row r="39" spans="2:10">
      <c r="B39" s="16" t="str">
        <f t="shared" si="6"/>
        <v>0x2591</v>
      </c>
      <c r="C39" s="16" t="str">
        <f t="shared" si="7"/>
        <v>0x2594</v>
      </c>
      <c r="D39" s="16">
        <f t="shared" si="8"/>
        <v>9617</v>
      </c>
      <c r="E39" s="16">
        <f t="shared" si="9"/>
        <v>9620</v>
      </c>
      <c r="F39" s="15" t="s">
        <v>440</v>
      </c>
      <c r="G39" s="17" t="s">
        <v>402</v>
      </c>
      <c r="H39" s="17" t="s">
        <v>301</v>
      </c>
      <c r="I39" s="28">
        <v>4</v>
      </c>
      <c r="J39" s="17"/>
    </row>
    <row r="40" spans="2:10">
      <c r="B40" s="16" t="str">
        <f t="shared" si="2"/>
        <v>0x2595</v>
      </c>
      <c r="C40" s="16" t="str">
        <f t="shared" si="3"/>
        <v>0x2598</v>
      </c>
      <c r="D40" s="16">
        <f t="shared" si="4"/>
        <v>9621</v>
      </c>
      <c r="E40" s="16">
        <f t="shared" si="5"/>
        <v>9624</v>
      </c>
      <c r="F40" s="15" t="s">
        <v>441</v>
      </c>
      <c r="G40" s="17" t="s">
        <v>402</v>
      </c>
      <c r="H40" s="17" t="s">
        <v>301</v>
      </c>
      <c r="I40" s="28">
        <v>4</v>
      </c>
      <c r="J40" s="17"/>
    </row>
    <row r="41" spans="2:10">
      <c r="B41" s="16" t="str">
        <f t="shared" si="2"/>
        <v>0x2599</v>
      </c>
      <c r="C41" s="16" t="str">
        <f t="shared" si="3"/>
        <v>0x259C</v>
      </c>
      <c r="D41" s="16">
        <f t="shared" si="4"/>
        <v>9625</v>
      </c>
      <c r="E41" s="16">
        <f t="shared" si="5"/>
        <v>9628</v>
      </c>
      <c r="F41" s="15" t="s">
        <v>442</v>
      </c>
      <c r="G41" s="17" t="s">
        <v>402</v>
      </c>
      <c r="H41" s="17" t="s">
        <v>301</v>
      </c>
      <c r="I41" s="28">
        <v>4</v>
      </c>
      <c r="J41" s="17"/>
    </row>
    <row r="42" spans="2:10">
      <c r="B42" s="16" t="str">
        <f t="shared" si="2"/>
        <v>0x259D</v>
      </c>
      <c r="C42" s="16" t="str">
        <f t="shared" si="3"/>
        <v>0x25A0</v>
      </c>
      <c r="D42" s="16">
        <f t="shared" si="4"/>
        <v>9629</v>
      </c>
      <c r="E42" s="16">
        <f t="shared" si="5"/>
        <v>9632</v>
      </c>
      <c r="F42" s="15" t="s">
        <v>443</v>
      </c>
      <c r="G42" s="17" t="s">
        <v>402</v>
      </c>
      <c r="H42" s="17" t="s">
        <v>301</v>
      </c>
      <c r="I42" s="28">
        <v>4</v>
      </c>
      <c r="J42" s="17"/>
    </row>
    <row r="43" spans="2:10">
      <c r="B43" s="16" t="str">
        <f t="shared" si="2"/>
        <v>0x25A1</v>
      </c>
      <c r="C43" s="16" t="str">
        <f t="shared" si="3"/>
        <v>0x25A4</v>
      </c>
      <c r="D43" s="16">
        <f t="shared" si="4"/>
        <v>9633</v>
      </c>
      <c r="E43" s="16">
        <f t="shared" si="5"/>
        <v>9636</v>
      </c>
      <c r="F43" s="15" t="s">
        <v>444</v>
      </c>
      <c r="G43" s="17" t="s">
        <v>402</v>
      </c>
      <c r="H43" s="17" t="s">
        <v>301</v>
      </c>
      <c r="I43" s="28">
        <v>4</v>
      </c>
      <c r="J43" s="17"/>
    </row>
    <row r="44" spans="2:10">
      <c r="B44" s="16" t="str">
        <f t="shared" si="2"/>
        <v>0x25A5</v>
      </c>
      <c r="C44" s="16" t="str">
        <f t="shared" si="3"/>
        <v>0x25A8</v>
      </c>
      <c r="D44" s="16">
        <f t="shared" si="4"/>
        <v>9637</v>
      </c>
      <c r="E44" s="16">
        <f t="shared" si="5"/>
        <v>9640</v>
      </c>
      <c r="F44" s="15" t="s">
        <v>445</v>
      </c>
      <c r="G44" s="17" t="s">
        <v>402</v>
      </c>
      <c r="H44" s="17" t="s">
        <v>301</v>
      </c>
      <c r="I44" s="28">
        <v>4</v>
      </c>
      <c r="J44" s="17"/>
    </row>
    <row r="45" spans="2:10">
      <c r="B45" s="16" t="str">
        <f t="shared" si="2"/>
        <v>0x25A9</v>
      </c>
      <c r="C45" s="16" t="str">
        <f t="shared" si="3"/>
        <v>0x25AC</v>
      </c>
      <c r="D45" s="16">
        <f t="shared" si="4"/>
        <v>9641</v>
      </c>
      <c r="E45" s="16">
        <f t="shared" si="5"/>
        <v>9644</v>
      </c>
      <c r="F45" s="15" t="s">
        <v>446</v>
      </c>
      <c r="G45" s="17" t="s">
        <v>402</v>
      </c>
      <c r="H45" s="17" t="s">
        <v>301</v>
      </c>
      <c r="I45" s="28">
        <v>4</v>
      </c>
      <c r="J45" s="17"/>
    </row>
    <row r="46" spans="2:10">
      <c r="B46" s="16" t="str">
        <f t="shared" si="2"/>
        <v>0x25AD</v>
      </c>
      <c r="C46" s="16" t="str">
        <f t="shared" si="3"/>
        <v>0x25B0</v>
      </c>
      <c r="D46" s="16">
        <f t="shared" si="4"/>
        <v>9645</v>
      </c>
      <c r="E46" s="16">
        <f t="shared" si="5"/>
        <v>9648</v>
      </c>
      <c r="F46" s="15" t="s">
        <v>447</v>
      </c>
      <c r="G46" s="17" t="s">
        <v>402</v>
      </c>
      <c r="H46" s="17" t="s">
        <v>301</v>
      </c>
      <c r="I46" s="28">
        <v>4</v>
      </c>
      <c r="J46" s="17"/>
    </row>
    <row r="47" spans="2:10">
      <c r="B47" s="16" t="str">
        <f t="shared" si="2"/>
        <v>0x25B1</v>
      </c>
      <c r="C47" s="16" t="str">
        <f t="shared" si="3"/>
        <v>0x25B4</v>
      </c>
      <c r="D47" s="16">
        <f t="shared" si="4"/>
        <v>9649</v>
      </c>
      <c r="E47" s="16">
        <f t="shared" si="5"/>
        <v>9652</v>
      </c>
      <c r="F47" s="15" t="s">
        <v>448</v>
      </c>
      <c r="G47" s="17" t="s">
        <v>402</v>
      </c>
      <c r="H47" s="17" t="s">
        <v>301</v>
      </c>
      <c r="I47" s="28">
        <v>4</v>
      </c>
      <c r="J47" s="17"/>
    </row>
    <row r="48" spans="2:10">
      <c r="B48" s="16" t="str">
        <f t="shared" ref="B48" si="10">"0x"&amp;DEC2HEX(D48,4)</f>
        <v>0x25B5</v>
      </c>
      <c r="C48" s="16" t="str">
        <f t="shared" ref="C48" si="11">"0x"&amp;DEC2HEX(E48,4)</f>
        <v>0x2669</v>
      </c>
      <c r="D48" s="16">
        <f t="shared" ref="D48" si="12">D47+I47</f>
        <v>9653</v>
      </c>
      <c r="E48" s="16">
        <f t="shared" ref="E48" si="13">D48+I48-1</f>
        <v>9833</v>
      </c>
      <c r="F48" s="20" t="s">
        <v>449</v>
      </c>
      <c r="G48" s="43"/>
      <c r="H48" s="17" t="s">
        <v>301</v>
      </c>
      <c r="I48" s="17">
        <v>181</v>
      </c>
      <c r="J48" s="17"/>
    </row>
    <row r="49" spans="2:11">
      <c r="B49" s="16" t="str">
        <f t="shared" si="2"/>
        <v>0x266A</v>
      </c>
      <c r="C49" s="16" t="str">
        <f t="shared" si="3"/>
        <v>0x266A</v>
      </c>
      <c r="D49" s="16">
        <f t="shared" si="4"/>
        <v>9834</v>
      </c>
      <c r="E49" s="16">
        <f t="shared" si="5"/>
        <v>9834</v>
      </c>
      <c r="F49" s="50" t="s">
        <v>339</v>
      </c>
      <c r="G49" s="21" t="s">
        <v>146</v>
      </c>
      <c r="H49" s="21" t="s">
        <v>147</v>
      </c>
      <c r="I49" s="21">
        <v>1</v>
      </c>
      <c r="J49" s="21" t="s">
        <v>340</v>
      </c>
      <c r="K49">
        <v>1</v>
      </c>
    </row>
    <row r="50" spans="2:11">
      <c r="B50" s="16" t="str">
        <f t="shared" si="2"/>
        <v>0x266B</v>
      </c>
      <c r="C50" s="16" t="str">
        <f t="shared" si="3"/>
        <v>0x266E</v>
      </c>
      <c r="D50" s="16">
        <f t="shared" si="4"/>
        <v>9835</v>
      </c>
      <c r="E50" s="16">
        <f t="shared" si="5"/>
        <v>9838</v>
      </c>
      <c r="F50" s="46" t="s">
        <v>450</v>
      </c>
      <c r="G50" s="17" t="s">
        <v>402</v>
      </c>
      <c r="H50" s="28" t="s">
        <v>301</v>
      </c>
      <c r="I50" s="28">
        <v>4</v>
      </c>
      <c r="J50" s="28"/>
    </row>
    <row r="51" spans="2:11">
      <c r="B51" s="16" t="str">
        <f t="shared" si="2"/>
        <v>0x266F</v>
      </c>
      <c r="C51" s="16" t="str">
        <f t="shared" si="3"/>
        <v>0x2672</v>
      </c>
      <c r="D51" s="16">
        <f t="shared" si="4"/>
        <v>9839</v>
      </c>
      <c r="E51" s="16">
        <f t="shared" si="5"/>
        <v>9842</v>
      </c>
      <c r="F51" s="46" t="s">
        <v>451</v>
      </c>
      <c r="G51" s="17" t="s">
        <v>402</v>
      </c>
      <c r="H51" s="28" t="s">
        <v>301</v>
      </c>
      <c r="I51" s="28">
        <v>4</v>
      </c>
      <c r="J51" s="28"/>
    </row>
    <row r="52" spans="2:11">
      <c r="B52" s="16" t="str">
        <f t="shared" si="2"/>
        <v>0x2673</v>
      </c>
      <c r="C52" s="16" t="str">
        <f t="shared" si="3"/>
        <v>0x2676</v>
      </c>
      <c r="D52" s="16">
        <f t="shared" si="4"/>
        <v>9843</v>
      </c>
      <c r="E52" s="16">
        <f t="shared" si="5"/>
        <v>9846</v>
      </c>
      <c r="F52" s="46" t="s">
        <v>452</v>
      </c>
      <c r="G52" s="17" t="s">
        <v>402</v>
      </c>
      <c r="H52" s="28" t="s">
        <v>301</v>
      </c>
      <c r="I52" s="28">
        <v>4</v>
      </c>
      <c r="J52" s="28"/>
    </row>
    <row r="53" spans="2:11">
      <c r="B53" s="16" t="str">
        <f t="shared" si="2"/>
        <v>0x2677</v>
      </c>
      <c r="C53" s="16" t="str">
        <f t="shared" si="3"/>
        <v>0x267A</v>
      </c>
      <c r="D53" s="16">
        <f t="shared" si="4"/>
        <v>9847</v>
      </c>
      <c r="E53" s="16">
        <f t="shared" si="5"/>
        <v>9850</v>
      </c>
      <c r="F53" s="46" t="s">
        <v>453</v>
      </c>
      <c r="G53" s="17" t="s">
        <v>402</v>
      </c>
      <c r="H53" s="28" t="s">
        <v>301</v>
      </c>
      <c r="I53" s="28">
        <v>4</v>
      </c>
      <c r="J53" s="28"/>
    </row>
    <row r="54" spans="2:11">
      <c r="B54" s="16" t="str">
        <f t="shared" si="2"/>
        <v>0x267B</v>
      </c>
      <c r="C54" s="16" t="str">
        <f t="shared" si="3"/>
        <v>0x267E</v>
      </c>
      <c r="D54" s="16">
        <f t="shared" si="4"/>
        <v>9851</v>
      </c>
      <c r="E54" s="16">
        <f t="shared" si="5"/>
        <v>9854</v>
      </c>
      <c r="F54" s="46" t="s">
        <v>454</v>
      </c>
      <c r="G54" s="17" t="s">
        <v>402</v>
      </c>
      <c r="H54" s="28" t="s">
        <v>301</v>
      </c>
      <c r="I54" s="28">
        <v>4</v>
      </c>
      <c r="J54" s="28"/>
    </row>
    <row r="55" spans="2:11">
      <c r="B55" s="16" t="str">
        <f t="shared" si="2"/>
        <v>0x267F</v>
      </c>
      <c r="C55" s="16" t="str">
        <f t="shared" si="3"/>
        <v>0x2682</v>
      </c>
      <c r="D55" s="16">
        <f t="shared" si="4"/>
        <v>9855</v>
      </c>
      <c r="E55" s="16">
        <f t="shared" si="5"/>
        <v>9858</v>
      </c>
      <c r="F55" s="46" t="s">
        <v>455</v>
      </c>
      <c r="G55" s="17" t="s">
        <v>402</v>
      </c>
      <c r="H55" s="28" t="s">
        <v>301</v>
      </c>
      <c r="I55" s="28">
        <v>4</v>
      </c>
      <c r="J55" s="28"/>
    </row>
    <row r="56" spans="2:11">
      <c r="B56" s="16" t="str">
        <f t="shared" si="2"/>
        <v>0x2683</v>
      </c>
      <c r="C56" s="16" t="str">
        <f t="shared" si="3"/>
        <v>0x2686</v>
      </c>
      <c r="D56" s="16">
        <f t="shared" si="4"/>
        <v>9859</v>
      </c>
      <c r="E56" s="16">
        <f t="shared" si="5"/>
        <v>9862</v>
      </c>
      <c r="F56" s="46" t="s">
        <v>456</v>
      </c>
      <c r="G56" s="17" t="s">
        <v>402</v>
      </c>
      <c r="H56" s="28" t="s">
        <v>301</v>
      </c>
      <c r="I56" s="28">
        <v>4</v>
      </c>
      <c r="J56" s="28"/>
    </row>
    <row r="57" spans="2:11">
      <c r="B57" s="16" t="str">
        <f t="shared" si="2"/>
        <v>0x2687</v>
      </c>
      <c r="C57" s="16" t="str">
        <f t="shared" si="3"/>
        <v>0x268A</v>
      </c>
      <c r="D57" s="16">
        <f t="shared" si="4"/>
        <v>9863</v>
      </c>
      <c r="E57" s="16">
        <f t="shared" si="5"/>
        <v>9866</v>
      </c>
      <c r="F57" s="46" t="s">
        <v>457</v>
      </c>
      <c r="G57" s="17" t="s">
        <v>402</v>
      </c>
      <c r="H57" s="28" t="s">
        <v>301</v>
      </c>
      <c r="I57" s="28">
        <v>4</v>
      </c>
      <c r="J57" s="28"/>
    </row>
    <row r="58" spans="2:11">
      <c r="B58" s="16" t="str">
        <f t="shared" si="2"/>
        <v>0x268B</v>
      </c>
      <c r="C58" s="16" t="str">
        <f t="shared" si="3"/>
        <v>0x268E</v>
      </c>
      <c r="D58" s="16">
        <f t="shared" si="4"/>
        <v>9867</v>
      </c>
      <c r="E58" s="16">
        <f t="shared" si="5"/>
        <v>9870</v>
      </c>
      <c r="F58" s="46" t="s">
        <v>458</v>
      </c>
      <c r="G58" s="17" t="s">
        <v>402</v>
      </c>
      <c r="H58" s="28" t="s">
        <v>301</v>
      </c>
      <c r="I58" s="28">
        <v>4</v>
      </c>
      <c r="J58" s="28"/>
    </row>
    <row r="59" spans="2:11">
      <c r="B59" s="28"/>
      <c r="F59" s="46"/>
      <c r="H59" s="28"/>
      <c r="I59" s="28"/>
      <c r="J59" s="28"/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3D77-1797-4644-9E70-B011F2C5BE7C}">
  <dimension ref="A1:L50"/>
  <sheetViews>
    <sheetView workbookViewId="0">
      <selection activeCell="A2" sqref="A2"/>
    </sheetView>
  </sheetViews>
  <sheetFormatPr defaultRowHeight="13.5"/>
  <cols>
    <col min="1" max="1" width="15.125" bestFit="1" customWidth="1"/>
    <col min="2" max="2" width="8.625" bestFit="1" customWidth="1"/>
    <col min="3" max="3" width="7.625" bestFit="1" customWidth="1"/>
    <col min="4" max="4" width="10.125" customWidth="1"/>
    <col min="6" max="6" width="47.25" bestFit="1" customWidth="1"/>
    <col min="10" max="10" width="5.8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18" t="s">
        <v>41</v>
      </c>
      <c r="B2" s="16" t="str">
        <f t="shared" ref="B2:C3" si="0">"0x"&amp;DEC2HEX(D2,4)</f>
        <v>0x2700</v>
      </c>
      <c r="C2" s="16" t="str">
        <f t="shared" si="0"/>
        <v>0x2701</v>
      </c>
      <c r="D2" s="16">
        <v>9984</v>
      </c>
      <c r="E2" s="16">
        <f t="shared" ref="E2:E3" si="1">D2+I2-1</f>
        <v>9985</v>
      </c>
      <c r="F2" s="15" t="s">
        <v>459</v>
      </c>
      <c r="G2" s="23" t="s">
        <v>315</v>
      </c>
      <c r="H2" s="23" t="s">
        <v>301</v>
      </c>
      <c r="I2" s="17">
        <v>2</v>
      </c>
      <c r="J2" s="17"/>
    </row>
    <row r="3" spans="1:12">
      <c r="B3" s="16" t="str">
        <f t="shared" si="0"/>
        <v>0x2702</v>
      </c>
      <c r="C3" s="16" t="str">
        <f t="shared" si="0"/>
        <v>0x2703</v>
      </c>
      <c r="D3" s="16">
        <f>D2+I2</f>
        <v>9986</v>
      </c>
      <c r="E3" s="16">
        <f t="shared" si="1"/>
        <v>9987</v>
      </c>
      <c r="F3" s="15" t="s">
        <v>460</v>
      </c>
      <c r="G3" s="23" t="s">
        <v>315</v>
      </c>
      <c r="H3" s="23" t="s">
        <v>301</v>
      </c>
      <c r="I3" s="17">
        <v>2</v>
      </c>
      <c r="J3" s="17"/>
    </row>
    <row r="4" spans="1:12">
      <c r="B4" s="16" t="str">
        <f t="shared" ref="B4:B49" si="2">"0x"&amp;DEC2HEX(D4,4)</f>
        <v>0x2704</v>
      </c>
      <c r="C4" s="16" t="str">
        <f t="shared" ref="C4:C49" si="3">"0x"&amp;DEC2HEX(E4,4)</f>
        <v>0x2705</v>
      </c>
      <c r="D4" s="16">
        <f t="shared" ref="D4:D49" si="4">D3+I3</f>
        <v>9988</v>
      </c>
      <c r="E4" s="16">
        <f t="shared" ref="E4:E49" si="5">D4+I4-1</f>
        <v>9989</v>
      </c>
      <c r="F4" s="15" t="s">
        <v>461</v>
      </c>
      <c r="G4" s="23" t="s">
        <v>315</v>
      </c>
      <c r="H4" s="23" t="s">
        <v>301</v>
      </c>
      <c r="I4" s="17">
        <v>2</v>
      </c>
      <c r="J4" s="17"/>
    </row>
    <row r="5" spans="1:12">
      <c r="B5" s="16" t="str">
        <f t="shared" si="2"/>
        <v>0x2706</v>
      </c>
      <c r="C5" s="16" t="str">
        <f t="shared" si="3"/>
        <v>0x2707</v>
      </c>
      <c r="D5" s="16">
        <f t="shared" si="4"/>
        <v>9990</v>
      </c>
      <c r="E5" s="16">
        <f t="shared" si="5"/>
        <v>9991</v>
      </c>
      <c r="F5" s="15" t="s">
        <v>462</v>
      </c>
      <c r="G5" s="23" t="s">
        <v>315</v>
      </c>
      <c r="H5" s="23" t="s">
        <v>301</v>
      </c>
      <c r="I5" s="17">
        <v>2</v>
      </c>
      <c r="J5" s="17"/>
    </row>
    <row r="6" spans="1:12">
      <c r="B6" s="16" t="str">
        <f t="shared" si="2"/>
        <v>0x2708</v>
      </c>
      <c r="C6" s="16" t="str">
        <f t="shared" si="3"/>
        <v>0x2709</v>
      </c>
      <c r="D6" s="16">
        <f t="shared" si="4"/>
        <v>9992</v>
      </c>
      <c r="E6" s="16">
        <f t="shared" si="5"/>
        <v>9993</v>
      </c>
      <c r="F6" s="15" t="s">
        <v>463</v>
      </c>
      <c r="G6" s="23" t="s">
        <v>315</v>
      </c>
      <c r="H6" s="23" t="s">
        <v>301</v>
      </c>
      <c r="I6" s="17">
        <v>2</v>
      </c>
      <c r="J6" s="17"/>
    </row>
    <row r="7" spans="1:12">
      <c r="B7" s="16" t="str">
        <f t="shared" si="2"/>
        <v>0x270A</v>
      </c>
      <c r="C7" s="16" t="str">
        <f t="shared" si="3"/>
        <v>0x270B</v>
      </c>
      <c r="D7" s="16">
        <f t="shared" si="4"/>
        <v>9994</v>
      </c>
      <c r="E7" s="16">
        <f t="shared" si="5"/>
        <v>9995</v>
      </c>
      <c r="F7" s="15" t="s">
        <v>464</v>
      </c>
      <c r="G7" s="23" t="s">
        <v>315</v>
      </c>
      <c r="H7" s="23" t="s">
        <v>301</v>
      </c>
      <c r="I7" s="17">
        <v>2</v>
      </c>
      <c r="J7" s="20"/>
    </row>
    <row r="8" spans="1:12">
      <c r="B8" s="16" t="str">
        <f t="shared" si="2"/>
        <v>0x270C</v>
      </c>
      <c r="C8" s="16" t="str">
        <f t="shared" si="3"/>
        <v>0x270D</v>
      </c>
      <c r="D8" s="16">
        <f t="shared" si="4"/>
        <v>9996</v>
      </c>
      <c r="E8" s="16">
        <f t="shared" si="5"/>
        <v>9997</v>
      </c>
      <c r="F8" s="15" t="s">
        <v>465</v>
      </c>
      <c r="G8" s="23" t="s">
        <v>315</v>
      </c>
      <c r="H8" s="23" t="s">
        <v>301</v>
      </c>
      <c r="I8" s="17">
        <v>2</v>
      </c>
      <c r="J8" s="17"/>
    </row>
    <row r="9" spans="1:12">
      <c r="B9" s="16" t="str">
        <f t="shared" si="2"/>
        <v>0x270E</v>
      </c>
      <c r="C9" s="16" t="str">
        <f t="shared" si="3"/>
        <v>0x270F</v>
      </c>
      <c r="D9" s="16">
        <f t="shared" si="4"/>
        <v>9998</v>
      </c>
      <c r="E9" s="16">
        <f t="shared" si="5"/>
        <v>9999</v>
      </c>
      <c r="F9" s="15" t="s">
        <v>466</v>
      </c>
      <c r="G9" s="23" t="s">
        <v>315</v>
      </c>
      <c r="H9" s="23" t="s">
        <v>301</v>
      </c>
      <c r="I9" s="17">
        <v>2</v>
      </c>
      <c r="J9" s="17"/>
    </row>
    <row r="10" spans="1:12">
      <c r="B10" s="16" t="str">
        <f t="shared" si="2"/>
        <v>0x2710</v>
      </c>
      <c r="C10" s="16" t="str">
        <f t="shared" si="3"/>
        <v>0x2711</v>
      </c>
      <c r="D10" s="16">
        <f t="shared" si="4"/>
        <v>10000</v>
      </c>
      <c r="E10" s="16">
        <f t="shared" si="5"/>
        <v>10001</v>
      </c>
      <c r="F10" s="15" t="s">
        <v>467</v>
      </c>
      <c r="G10" s="23" t="s">
        <v>315</v>
      </c>
      <c r="H10" s="23" t="s">
        <v>301</v>
      </c>
      <c r="I10" s="17">
        <v>2</v>
      </c>
      <c r="J10" s="17"/>
    </row>
    <row r="11" spans="1:12">
      <c r="B11" s="16" t="str">
        <f t="shared" si="2"/>
        <v>0x2712</v>
      </c>
      <c r="C11" s="16" t="str">
        <f t="shared" si="3"/>
        <v>0x2713</v>
      </c>
      <c r="D11" s="16">
        <f t="shared" si="4"/>
        <v>10002</v>
      </c>
      <c r="E11" s="16">
        <f t="shared" si="5"/>
        <v>10003</v>
      </c>
      <c r="F11" s="15" t="s">
        <v>468</v>
      </c>
      <c r="G11" s="23" t="s">
        <v>315</v>
      </c>
      <c r="H11" s="23" t="s">
        <v>301</v>
      </c>
      <c r="I11" s="17">
        <v>2</v>
      </c>
      <c r="J11" s="17"/>
    </row>
    <row r="12" spans="1:12">
      <c r="B12" s="16" t="str">
        <f t="shared" si="2"/>
        <v>0x2714</v>
      </c>
      <c r="C12" s="16" t="str">
        <f t="shared" si="3"/>
        <v>0x2715</v>
      </c>
      <c r="D12" s="16">
        <f t="shared" si="4"/>
        <v>10004</v>
      </c>
      <c r="E12" s="16">
        <f t="shared" si="5"/>
        <v>10005</v>
      </c>
      <c r="F12" s="15" t="s">
        <v>469</v>
      </c>
      <c r="G12" s="23" t="s">
        <v>315</v>
      </c>
      <c r="H12" s="23" t="s">
        <v>301</v>
      </c>
      <c r="I12" s="17">
        <v>2</v>
      </c>
      <c r="J12" s="17"/>
    </row>
    <row r="13" spans="1:12">
      <c r="B13" s="16" t="str">
        <f t="shared" si="2"/>
        <v>0x2716</v>
      </c>
      <c r="C13" s="16" t="str">
        <f t="shared" si="3"/>
        <v>0x2717</v>
      </c>
      <c r="D13" s="16">
        <f t="shared" si="4"/>
        <v>10006</v>
      </c>
      <c r="E13" s="16">
        <f t="shared" si="5"/>
        <v>10007</v>
      </c>
      <c r="F13" s="15" t="s">
        <v>470</v>
      </c>
      <c r="G13" s="23" t="s">
        <v>315</v>
      </c>
      <c r="H13" s="23" t="s">
        <v>301</v>
      </c>
      <c r="I13" s="17">
        <v>2</v>
      </c>
      <c r="J13" s="20"/>
    </row>
    <row r="14" spans="1:12">
      <c r="B14" s="16" t="str">
        <f t="shared" si="2"/>
        <v>0x2718</v>
      </c>
      <c r="C14" s="16" t="str">
        <f t="shared" si="3"/>
        <v>0x2719</v>
      </c>
      <c r="D14" s="16">
        <f t="shared" si="4"/>
        <v>10008</v>
      </c>
      <c r="E14" s="16">
        <f t="shared" si="5"/>
        <v>10009</v>
      </c>
      <c r="F14" s="15" t="s">
        <v>471</v>
      </c>
      <c r="G14" s="23" t="s">
        <v>315</v>
      </c>
      <c r="H14" s="23" t="s">
        <v>301</v>
      </c>
      <c r="I14" s="17">
        <v>2</v>
      </c>
      <c r="J14" s="17"/>
    </row>
    <row r="15" spans="1:12">
      <c r="B15" s="16" t="str">
        <f t="shared" si="2"/>
        <v>0x271A</v>
      </c>
      <c r="C15" s="16" t="str">
        <f t="shared" si="3"/>
        <v>0x271B</v>
      </c>
      <c r="D15" s="16">
        <f t="shared" si="4"/>
        <v>10010</v>
      </c>
      <c r="E15" s="16">
        <f t="shared" si="5"/>
        <v>10011</v>
      </c>
      <c r="F15" s="15" t="s">
        <v>472</v>
      </c>
      <c r="G15" s="23" t="s">
        <v>315</v>
      </c>
      <c r="H15" s="23" t="s">
        <v>301</v>
      </c>
      <c r="I15" s="17">
        <v>2</v>
      </c>
      <c r="J15" s="15"/>
    </row>
    <row r="16" spans="1:12">
      <c r="B16" s="16" t="str">
        <f t="shared" si="2"/>
        <v>0x271C</v>
      </c>
      <c r="C16" s="16" t="str">
        <f t="shared" si="3"/>
        <v>0x271D</v>
      </c>
      <c r="D16" s="16">
        <f t="shared" si="4"/>
        <v>10012</v>
      </c>
      <c r="E16" s="16">
        <f t="shared" si="5"/>
        <v>10013</v>
      </c>
      <c r="F16" s="15" t="s">
        <v>473</v>
      </c>
      <c r="G16" s="23" t="s">
        <v>315</v>
      </c>
      <c r="H16" s="23" t="s">
        <v>301</v>
      </c>
      <c r="I16" s="17">
        <v>2</v>
      </c>
      <c r="J16" s="17"/>
    </row>
    <row r="17" spans="2:10">
      <c r="B17" s="16" t="str">
        <f t="shared" si="2"/>
        <v>0x271E</v>
      </c>
      <c r="C17" s="16" t="str">
        <f t="shared" si="3"/>
        <v>0x271F</v>
      </c>
      <c r="D17" s="16">
        <f t="shared" si="4"/>
        <v>10014</v>
      </c>
      <c r="E17" s="16">
        <f t="shared" si="5"/>
        <v>10015</v>
      </c>
      <c r="F17" s="15" t="s">
        <v>474</v>
      </c>
      <c r="G17" s="23" t="s">
        <v>315</v>
      </c>
      <c r="H17" s="23" t="s">
        <v>301</v>
      </c>
      <c r="I17" s="17">
        <v>2</v>
      </c>
      <c r="J17" s="17"/>
    </row>
    <row r="18" spans="2:10">
      <c r="B18" s="16" t="str">
        <f t="shared" si="2"/>
        <v>0x2720</v>
      </c>
      <c r="C18" s="16" t="str">
        <f t="shared" si="3"/>
        <v>0x2721</v>
      </c>
      <c r="D18" s="16">
        <f t="shared" si="4"/>
        <v>10016</v>
      </c>
      <c r="E18" s="16">
        <f t="shared" si="5"/>
        <v>10017</v>
      </c>
      <c r="F18" s="15" t="s">
        <v>475</v>
      </c>
      <c r="G18" s="23" t="s">
        <v>315</v>
      </c>
      <c r="H18" s="23" t="s">
        <v>301</v>
      </c>
      <c r="I18" s="17">
        <v>2</v>
      </c>
      <c r="J18" s="17"/>
    </row>
    <row r="19" spans="2:10">
      <c r="B19" s="16" t="str">
        <f t="shared" si="2"/>
        <v>0x2722</v>
      </c>
      <c r="C19" s="16" t="str">
        <f t="shared" si="3"/>
        <v>0x2723</v>
      </c>
      <c r="D19" s="16">
        <f t="shared" si="4"/>
        <v>10018</v>
      </c>
      <c r="E19" s="16">
        <f t="shared" si="5"/>
        <v>10019</v>
      </c>
      <c r="F19" s="15" t="s">
        <v>476</v>
      </c>
      <c r="G19" s="23" t="s">
        <v>315</v>
      </c>
      <c r="H19" s="23" t="s">
        <v>301</v>
      </c>
      <c r="I19" s="17">
        <v>2</v>
      </c>
      <c r="J19" s="17"/>
    </row>
    <row r="20" spans="2:10">
      <c r="B20" s="16" t="str">
        <f t="shared" si="2"/>
        <v>0x2724</v>
      </c>
      <c r="C20" s="16" t="str">
        <f t="shared" si="3"/>
        <v>0x2725</v>
      </c>
      <c r="D20" s="16">
        <f t="shared" si="4"/>
        <v>10020</v>
      </c>
      <c r="E20" s="16">
        <f t="shared" si="5"/>
        <v>10021</v>
      </c>
      <c r="F20" s="15" t="s">
        <v>477</v>
      </c>
      <c r="G20" s="23" t="s">
        <v>315</v>
      </c>
      <c r="H20" s="23" t="s">
        <v>301</v>
      </c>
      <c r="I20" s="17">
        <v>2</v>
      </c>
      <c r="J20" s="17"/>
    </row>
    <row r="21" spans="2:10">
      <c r="B21" s="16" t="str">
        <f t="shared" si="2"/>
        <v>0x2726</v>
      </c>
      <c r="C21" s="16" t="str">
        <f t="shared" si="3"/>
        <v>0x2727</v>
      </c>
      <c r="D21" s="16">
        <f t="shared" si="4"/>
        <v>10022</v>
      </c>
      <c r="E21" s="16">
        <f t="shared" si="5"/>
        <v>10023</v>
      </c>
      <c r="F21" s="15" t="s">
        <v>478</v>
      </c>
      <c r="G21" s="23" t="s">
        <v>315</v>
      </c>
      <c r="H21" s="23" t="s">
        <v>301</v>
      </c>
      <c r="I21" s="17">
        <v>2</v>
      </c>
      <c r="J21" s="20"/>
    </row>
    <row r="22" spans="2:10">
      <c r="B22" s="16" t="str">
        <f t="shared" si="2"/>
        <v>0x2728</v>
      </c>
      <c r="C22" s="16" t="str">
        <f t="shared" si="3"/>
        <v>0x2729</v>
      </c>
      <c r="D22" s="16">
        <f t="shared" si="4"/>
        <v>10024</v>
      </c>
      <c r="E22" s="16">
        <f t="shared" si="5"/>
        <v>10025</v>
      </c>
      <c r="F22" s="15" t="s">
        <v>479</v>
      </c>
      <c r="G22" s="23" t="s">
        <v>315</v>
      </c>
      <c r="H22" s="23" t="s">
        <v>301</v>
      </c>
      <c r="I22" s="17">
        <v>2</v>
      </c>
      <c r="J22" s="17"/>
    </row>
    <row r="23" spans="2:10">
      <c r="B23" s="16" t="str">
        <f t="shared" si="2"/>
        <v>0x272A</v>
      </c>
      <c r="C23" s="16" t="str">
        <f t="shared" si="3"/>
        <v>0x272B</v>
      </c>
      <c r="D23" s="16">
        <f t="shared" si="4"/>
        <v>10026</v>
      </c>
      <c r="E23" s="16">
        <f t="shared" si="5"/>
        <v>10027</v>
      </c>
      <c r="F23" s="15" t="s">
        <v>480</v>
      </c>
      <c r="G23" s="23" t="s">
        <v>315</v>
      </c>
      <c r="H23" s="23" t="s">
        <v>301</v>
      </c>
      <c r="I23" s="17">
        <v>2</v>
      </c>
      <c r="J23" s="17"/>
    </row>
    <row r="24" spans="2:10">
      <c r="B24" s="16" t="str">
        <f t="shared" si="2"/>
        <v>0x272C</v>
      </c>
      <c r="C24" s="16" t="str">
        <f t="shared" si="3"/>
        <v>0x272D</v>
      </c>
      <c r="D24" s="16">
        <f t="shared" si="4"/>
        <v>10028</v>
      </c>
      <c r="E24" s="16">
        <f t="shared" si="5"/>
        <v>10029</v>
      </c>
      <c r="F24" s="15" t="s">
        <v>481</v>
      </c>
      <c r="G24" s="23" t="s">
        <v>315</v>
      </c>
      <c r="H24" s="23" t="s">
        <v>301</v>
      </c>
      <c r="I24" s="17">
        <v>2</v>
      </c>
      <c r="J24" s="17"/>
    </row>
    <row r="25" spans="2:10">
      <c r="B25" s="16" t="str">
        <f t="shared" si="2"/>
        <v>0x272E</v>
      </c>
      <c r="C25" s="16" t="str">
        <f t="shared" si="3"/>
        <v>0x272F</v>
      </c>
      <c r="D25" s="16">
        <f t="shared" si="4"/>
        <v>10030</v>
      </c>
      <c r="E25" s="16">
        <f t="shared" si="5"/>
        <v>10031</v>
      </c>
      <c r="F25" s="15" t="s">
        <v>482</v>
      </c>
      <c r="G25" s="23" t="s">
        <v>315</v>
      </c>
      <c r="H25" s="23" t="s">
        <v>301</v>
      </c>
      <c r="I25" s="17">
        <v>2</v>
      </c>
      <c r="J25" s="17"/>
    </row>
    <row r="26" spans="2:10">
      <c r="B26" s="16" t="str">
        <f t="shared" si="2"/>
        <v>0x2730</v>
      </c>
      <c r="C26" s="16" t="str">
        <f t="shared" si="3"/>
        <v>0x275F</v>
      </c>
      <c r="D26" s="16">
        <f t="shared" si="4"/>
        <v>10032</v>
      </c>
      <c r="E26" s="16">
        <f t="shared" si="5"/>
        <v>10079</v>
      </c>
      <c r="F26" s="15" t="s">
        <v>483</v>
      </c>
      <c r="G26" s="23" t="s">
        <v>315</v>
      </c>
      <c r="H26" s="23" t="s">
        <v>301</v>
      </c>
      <c r="I26" s="17">
        <v>48</v>
      </c>
      <c r="J26" s="17"/>
    </row>
    <row r="27" spans="2:10">
      <c r="B27" s="16" t="str">
        <f t="shared" si="2"/>
        <v>0x2760</v>
      </c>
      <c r="C27" s="16" t="str">
        <f t="shared" si="3"/>
        <v>0x278F</v>
      </c>
      <c r="D27" s="16">
        <f t="shared" si="4"/>
        <v>10080</v>
      </c>
      <c r="E27" s="16">
        <f t="shared" si="5"/>
        <v>10127</v>
      </c>
      <c r="F27" s="15" t="s">
        <v>484</v>
      </c>
      <c r="G27" s="23" t="s">
        <v>315</v>
      </c>
      <c r="H27" s="23" t="s">
        <v>301</v>
      </c>
      <c r="I27" s="17">
        <v>48</v>
      </c>
      <c r="J27" s="17"/>
    </row>
    <row r="28" spans="2:10">
      <c r="B28" s="16" t="str">
        <f t="shared" si="2"/>
        <v>0x2790</v>
      </c>
      <c r="C28" s="16" t="str">
        <f t="shared" si="3"/>
        <v>0x27BF</v>
      </c>
      <c r="D28" s="16">
        <f t="shared" si="4"/>
        <v>10128</v>
      </c>
      <c r="E28" s="16">
        <f t="shared" si="5"/>
        <v>10175</v>
      </c>
      <c r="F28" s="15" t="s">
        <v>485</v>
      </c>
      <c r="G28" s="23" t="s">
        <v>315</v>
      </c>
      <c r="H28" s="23" t="s">
        <v>301</v>
      </c>
      <c r="I28" s="17">
        <v>48</v>
      </c>
      <c r="J28" s="17"/>
    </row>
    <row r="29" spans="2:10">
      <c r="B29" s="16" t="str">
        <f t="shared" si="2"/>
        <v>0x27C0</v>
      </c>
      <c r="C29" s="16" t="str">
        <f t="shared" si="3"/>
        <v>0x27EF</v>
      </c>
      <c r="D29" s="16">
        <f t="shared" si="4"/>
        <v>10176</v>
      </c>
      <c r="E29" s="16">
        <f t="shared" si="5"/>
        <v>10223</v>
      </c>
      <c r="F29" s="15" t="s">
        <v>486</v>
      </c>
      <c r="G29" s="23" t="s">
        <v>315</v>
      </c>
      <c r="H29" s="23" t="s">
        <v>301</v>
      </c>
      <c r="I29" s="17">
        <v>48</v>
      </c>
      <c r="J29" s="17"/>
    </row>
    <row r="30" spans="2:10">
      <c r="B30" s="16" t="str">
        <f t="shared" ref="B30:B43" si="6">"0x"&amp;DEC2HEX(D30,4)</f>
        <v>0x27F0</v>
      </c>
      <c r="C30" s="16" t="str">
        <f t="shared" ref="C30:C43" si="7">"0x"&amp;DEC2HEX(E30,4)</f>
        <v>0x281F</v>
      </c>
      <c r="D30" s="16">
        <f t="shared" ref="D30:D43" si="8">D29+I29</f>
        <v>10224</v>
      </c>
      <c r="E30" s="16">
        <f t="shared" ref="E30:E43" si="9">D30+I30-1</f>
        <v>10271</v>
      </c>
      <c r="F30" s="15" t="s">
        <v>487</v>
      </c>
      <c r="G30" s="23" t="s">
        <v>315</v>
      </c>
      <c r="H30" s="23" t="s">
        <v>301</v>
      </c>
      <c r="I30" s="17">
        <v>48</v>
      </c>
      <c r="J30" s="17"/>
    </row>
    <row r="31" spans="2:10">
      <c r="B31" s="16" t="str">
        <f t="shared" si="6"/>
        <v>0x2820</v>
      </c>
      <c r="C31" s="16" t="str">
        <f t="shared" si="7"/>
        <v>0x2820</v>
      </c>
      <c r="D31" s="16">
        <f t="shared" si="8"/>
        <v>10272</v>
      </c>
      <c r="E31" s="16">
        <f t="shared" si="9"/>
        <v>10272</v>
      </c>
      <c r="F31" s="50" t="s">
        <v>438</v>
      </c>
      <c r="G31" s="21" t="s">
        <v>146</v>
      </c>
      <c r="H31" s="21" t="s">
        <v>147</v>
      </c>
      <c r="I31" s="21">
        <v>1</v>
      </c>
      <c r="J31" s="21" t="s">
        <v>439</v>
      </c>
    </row>
    <row r="32" spans="2:10">
      <c r="B32" s="16" t="str">
        <f t="shared" si="6"/>
        <v>0x2821</v>
      </c>
      <c r="C32" s="16" t="str">
        <f t="shared" si="7"/>
        <v>0x2822</v>
      </c>
      <c r="D32" s="16">
        <f t="shared" si="8"/>
        <v>10273</v>
      </c>
      <c r="E32" s="16">
        <f t="shared" si="9"/>
        <v>10274</v>
      </c>
      <c r="F32" s="15" t="s">
        <v>488</v>
      </c>
      <c r="G32" s="15" t="s">
        <v>315</v>
      </c>
      <c r="H32" s="15" t="s">
        <v>301</v>
      </c>
      <c r="I32" s="17">
        <v>2</v>
      </c>
      <c r="J32" s="17"/>
    </row>
    <row r="33" spans="2:11">
      <c r="B33" s="16" t="str">
        <f t="shared" si="6"/>
        <v>0x2823</v>
      </c>
      <c r="C33" s="16" t="str">
        <f t="shared" si="7"/>
        <v>0x2824</v>
      </c>
      <c r="D33" s="16">
        <f t="shared" si="8"/>
        <v>10275</v>
      </c>
      <c r="E33" s="16">
        <f t="shared" si="9"/>
        <v>10276</v>
      </c>
      <c r="F33" s="15" t="s">
        <v>489</v>
      </c>
      <c r="G33" s="15" t="s">
        <v>315</v>
      </c>
      <c r="H33" s="15" t="s">
        <v>301</v>
      </c>
      <c r="I33" s="17">
        <v>2</v>
      </c>
      <c r="J33" s="17"/>
    </row>
    <row r="34" spans="2:11">
      <c r="B34" s="16" t="str">
        <f t="shared" si="6"/>
        <v>0x2825</v>
      </c>
      <c r="C34" s="16" t="str">
        <f t="shared" si="7"/>
        <v>0x2826</v>
      </c>
      <c r="D34" s="16">
        <f t="shared" si="8"/>
        <v>10277</v>
      </c>
      <c r="E34" s="16">
        <f t="shared" si="9"/>
        <v>10278</v>
      </c>
      <c r="F34" s="17" t="s">
        <v>490</v>
      </c>
      <c r="G34" s="17" t="s">
        <v>315</v>
      </c>
      <c r="H34" s="17" t="s">
        <v>301</v>
      </c>
      <c r="I34" s="17">
        <v>2</v>
      </c>
      <c r="J34" s="17"/>
    </row>
    <row r="35" spans="2:11">
      <c r="B35" s="16" t="str">
        <f t="shared" si="6"/>
        <v>0x2827</v>
      </c>
      <c r="C35" s="16" t="str">
        <f t="shared" si="7"/>
        <v>0x2828</v>
      </c>
      <c r="D35" s="16">
        <f t="shared" si="8"/>
        <v>10279</v>
      </c>
      <c r="E35" s="16">
        <f t="shared" si="9"/>
        <v>10280</v>
      </c>
      <c r="F35" s="17" t="s">
        <v>491</v>
      </c>
      <c r="G35" s="17" t="s">
        <v>315</v>
      </c>
      <c r="H35" s="17" t="s">
        <v>301</v>
      </c>
      <c r="I35" s="17">
        <v>2</v>
      </c>
      <c r="J35" s="17"/>
    </row>
    <row r="36" spans="2:11">
      <c r="B36" s="16" t="str">
        <f t="shared" si="6"/>
        <v>0x2829</v>
      </c>
      <c r="C36" s="16" t="str">
        <f t="shared" si="7"/>
        <v>0x282A</v>
      </c>
      <c r="D36" s="16">
        <f t="shared" si="8"/>
        <v>10281</v>
      </c>
      <c r="E36" s="16">
        <f t="shared" si="9"/>
        <v>10282</v>
      </c>
      <c r="F36" s="17" t="s">
        <v>492</v>
      </c>
      <c r="G36" s="17" t="s">
        <v>315</v>
      </c>
      <c r="H36" s="17" t="s">
        <v>301</v>
      </c>
      <c r="I36" s="17">
        <v>2</v>
      </c>
      <c r="J36" s="17"/>
    </row>
    <row r="37" spans="2:11">
      <c r="B37" s="16" t="str">
        <f t="shared" si="6"/>
        <v>0x282B</v>
      </c>
      <c r="C37" s="16" t="str">
        <f t="shared" si="7"/>
        <v>0x282B</v>
      </c>
      <c r="D37" s="16">
        <f t="shared" si="8"/>
        <v>10283</v>
      </c>
      <c r="E37" s="16">
        <f t="shared" si="9"/>
        <v>10283</v>
      </c>
      <c r="F37" s="50" t="s">
        <v>438</v>
      </c>
      <c r="G37" s="21" t="s">
        <v>146</v>
      </c>
      <c r="H37" s="21" t="s">
        <v>147</v>
      </c>
      <c r="I37" s="21">
        <v>1</v>
      </c>
      <c r="J37" s="21" t="s">
        <v>439</v>
      </c>
    </row>
    <row r="38" spans="2:11">
      <c r="B38" s="16" t="str">
        <f t="shared" si="6"/>
        <v>0x282C</v>
      </c>
      <c r="C38" s="16" t="str">
        <f t="shared" si="7"/>
        <v>0x282D</v>
      </c>
      <c r="D38" s="16">
        <f t="shared" si="8"/>
        <v>10284</v>
      </c>
      <c r="E38" s="16">
        <f t="shared" si="9"/>
        <v>10285</v>
      </c>
      <c r="F38" s="15" t="s">
        <v>493</v>
      </c>
      <c r="G38" s="15" t="s">
        <v>315</v>
      </c>
      <c r="H38" s="15" t="s">
        <v>301</v>
      </c>
      <c r="I38" s="17">
        <v>2</v>
      </c>
      <c r="J38" s="17"/>
    </row>
    <row r="39" spans="2:11">
      <c r="B39" s="16" t="str">
        <f t="shared" si="6"/>
        <v>0x282E</v>
      </c>
      <c r="C39" s="16" t="str">
        <f t="shared" si="7"/>
        <v>0x282F</v>
      </c>
      <c r="D39" s="16">
        <f t="shared" si="8"/>
        <v>10286</v>
      </c>
      <c r="E39" s="16">
        <f t="shared" si="9"/>
        <v>10287</v>
      </c>
      <c r="F39" s="15" t="s">
        <v>494</v>
      </c>
      <c r="G39" s="15" t="s">
        <v>315</v>
      </c>
      <c r="H39" s="15" t="s">
        <v>301</v>
      </c>
      <c r="I39" s="17">
        <v>2</v>
      </c>
      <c r="J39" s="17"/>
    </row>
    <row r="40" spans="2:11">
      <c r="B40" s="16" t="str">
        <f t="shared" si="6"/>
        <v>0x2830</v>
      </c>
      <c r="C40" s="16" t="str">
        <f t="shared" si="7"/>
        <v>0x2831</v>
      </c>
      <c r="D40" s="16">
        <f t="shared" si="8"/>
        <v>10288</v>
      </c>
      <c r="E40" s="16">
        <f t="shared" si="9"/>
        <v>10289</v>
      </c>
      <c r="F40" s="17" t="s">
        <v>495</v>
      </c>
      <c r="G40" s="17" t="s">
        <v>315</v>
      </c>
      <c r="H40" s="17" t="s">
        <v>301</v>
      </c>
      <c r="I40" s="17">
        <v>2</v>
      </c>
      <c r="J40" s="17"/>
    </row>
    <row r="41" spans="2:11">
      <c r="B41" s="16" t="str">
        <f t="shared" si="6"/>
        <v>0x2832</v>
      </c>
      <c r="C41" s="16" t="str">
        <f t="shared" si="7"/>
        <v>0x2833</v>
      </c>
      <c r="D41" s="16">
        <f t="shared" si="8"/>
        <v>10290</v>
      </c>
      <c r="E41" s="16">
        <f t="shared" si="9"/>
        <v>10291</v>
      </c>
      <c r="F41" s="17" t="s">
        <v>496</v>
      </c>
      <c r="G41" s="17" t="s">
        <v>315</v>
      </c>
      <c r="H41" s="17" t="s">
        <v>301</v>
      </c>
      <c r="I41" s="17">
        <v>2</v>
      </c>
      <c r="J41" s="17"/>
    </row>
    <row r="42" spans="2:11">
      <c r="B42" s="16" t="str">
        <f t="shared" si="6"/>
        <v>0x2834</v>
      </c>
      <c r="C42" s="16" t="str">
        <f t="shared" si="7"/>
        <v>0x2835</v>
      </c>
      <c r="D42" s="16">
        <f t="shared" si="8"/>
        <v>10292</v>
      </c>
      <c r="E42" s="16">
        <f t="shared" si="9"/>
        <v>10293</v>
      </c>
      <c r="F42" s="17" t="s">
        <v>497</v>
      </c>
      <c r="G42" s="17" t="s">
        <v>315</v>
      </c>
      <c r="H42" s="17" t="s">
        <v>301</v>
      </c>
      <c r="I42" s="17">
        <v>2</v>
      </c>
      <c r="J42" s="17"/>
    </row>
    <row r="43" spans="2:11">
      <c r="B43" s="16" t="str">
        <f t="shared" si="6"/>
        <v>0x2836</v>
      </c>
      <c r="C43" s="16" t="str">
        <f t="shared" si="7"/>
        <v>0x2836</v>
      </c>
      <c r="D43" s="16">
        <f t="shared" si="8"/>
        <v>10294</v>
      </c>
      <c r="E43" s="16">
        <f t="shared" si="9"/>
        <v>10294</v>
      </c>
      <c r="F43" s="50" t="s">
        <v>339</v>
      </c>
      <c r="G43" s="21" t="s">
        <v>146</v>
      </c>
      <c r="H43" s="21" t="s">
        <v>147</v>
      </c>
      <c r="I43" s="21">
        <v>1</v>
      </c>
      <c r="J43" s="21" t="s">
        <v>340</v>
      </c>
      <c r="K43">
        <v>1</v>
      </c>
    </row>
    <row r="44" spans="2:11">
      <c r="B44" s="16" t="str">
        <f t="shared" si="2"/>
        <v>0x2837</v>
      </c>
      <c r="C44" s="16" t="str">
        <f t="shared" si="3"/>
        <v>0x2838</v>
      </c>
      <c r="D44" s="16">
        <f t="shared" si="4"/>
        <v>10295</v>
      </c>
      <c r="E44" s="16">
        <f t="shared" si="5"/>
        <v>10296</v>
      </c>
      <c r="F44" s="17" t="s">
        <v>498</v>
      </c>
      <c r="G44" s="17" t="s">
        <v>315</v>
      </c>
      <c r="H44" s="17" t="s">
        <v>301</v>
      </c>
      <c r="I44" s="17">
        <v>2</v>
      </c>
      <c r="J44" s="17"/>
    </row>
    <row r="45" spans="2:11">
      <c r="B45" s="16" t="str">
        <f t="shared" si="2"/>
        <v>0x2839</v>
      </c>
      <c r="C45" s="16" t="str">
        <f t="shared" si="3"/>
        <v>0x283A</v>
      </c>
      <c r="D45" s="16">
        <f t="shared" si="4"/>
        <v>10297</v>
      </c>
      <c r="E45" s="16">
        <f t="shared" si="5"/>
        <v>10298</v>
      </c>
      <c r="F45" s="17" t="s">
        <v>499</v>
      </c>
      <c r="G45" s="17" t="s">
        <v>315</v>
      </c>
      <c r="H45" s="17" t="s">
        <v>301</v>
      </c>
      <c r="I45" s="17">
        <v>2</v>
      </c>
      <c r="J45" s="17"/>
    </row>
    <row r="46" spans="2:11">
      <c r="B46" s="16" t="str">
        <f t="shared" si="2"/>
        <v>0x283B</v>
      </c>
      <c r="C46" s="16" t="str">
        <f t="shared" si="3"/>
        <v>0x283C</v>
      </c>
      <c r="D46" s="16">
        <f t="shared" si="4"/>
        <v>10299</v>
      </c>
      <c r="E46" s="16">
        <f t="shared" si="5"/>
        <v>10300</v>
      </c>
      <c r="F46" s="17" t="s">
        <v>500</v>
      </c>
      <c r="G46" s="17" t="s">
        <v>315</v>
      </c>
      <c r="H46" s="17" t="s">
        <v>301</v>
      </c>
      <c r="I46" s="17">
        <v>2</v>
      </c>
      <c r="J46" s="17"/>
    </row>
    <row r="47" spans="2:11">
      <c r="B47" s="16" t="str">
        <f t="shared" si="2"/>
        <v>0x283D</v>
      </c>
      <c r="C47" s="16" t="str">
        <f t="shared" si="3"/>
        <v>0x283E</v>
      </c>
      <c r="D47" s="16">
        <f t="shared" si="4"/>
        <v>10301</v>
      </c>
      <c r="E47" s="16">
        <f t="shared" si="5"/>
        <v>10302</v>
      </c>
      <c r="F47" s="17" t="s">
        <v>501</v>
      </c>
      <c r="G47" s="17" t="s">
        <v>315</v>
      </c>
      <c r="H47" s="17" t="s">
        <v>301</v>
      </c>
      <c r="I47" s="17">
        <v>2</v>
      </c>
      <c r="J47" s="17"/>
    </row>
    <row r="48" spans="2:11">
      <c r="B48" s="16" t="str">
        <f t="shared" si="2"/>
        <v>0x283F</v>
      </c>
      <c r="C48" s="16" t="str">
        <f t="shared" si="3"/>
        <v>0x2840</v>
      </c>
      <c r="D48" s="16">
        <f t="shared" si="4"/>
        <v>10303</v>
      </c>
      <c r="E48" s="16">
        <f t="shared" si="5"/>
        <v>10304</v>
      </c>
      <c r="F48" s="17" t="s">
        <v>502</v>
      </c>
      <c r="G48" s="17" t="s">
        <v>315</v>
      </c>
      <c r="H48" s="17" t="s">
        <v>301</v>
      </c>
      <c r="I48" s="17">
        <v>2</v>
      </c>
      <c r="J48" s="17"/>
    </row>
    <row r="49" spans="2:10">
      <c r="B49" s="16" t="str">
        <f t="shared" si="2"/>
        <v>0x2841</v>
      </c>
      <c r="C49" s="16" t="str">
        <f t="shared" si="3"/>
        <v>0x2842</v>
      </c>
      <c r="D49" s="16">
        <f t="shared" si="4"/>
        <v>10305</v>
      </c>
      <c r="E49" s="16">
        <f t="shared" si="5"/>
        <v>10306</v>
      </c>
      <c r="F49" s="17" t="s">
        <v>503</v>
      </c>
      <c r="G49" s="17" t="s">
        <v>315</v>
      </c>
      <c r="H49" s="17" t="s">
        <v>301</v>
      </c>
      <c r="I49" s="17">
        <v>2</v>
      </c>
      <c r="J49" s="17"/>
    </row>
    <row r="50" spans="2:10">
      <c r="C50" s="17"/>
      <c r="D50" s="17"/>
      <c r="E50" s="17"/>
      <c r="F50" s="17"/>
      <c r="G50" s="17"/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3572-F940-42C2-87A8-976248F5812C}">
  <dimension ref="A1:L128"/>
  <sheetViews>
    <sheetView workbookViewId="0">
      <selection activeCell="F110" sqref="F110:J110"/>
    </sheetView>
  </sheetViews>
  <sheetFormatPr defaultRowHeight="13.5"/>
  <cols>
    <col min="1" max="1" width="21.375" customWidth="1"/>
    <col min="2" max="2" width="8.625" bestFit="1" customWidth="1"/>
    <col min="3" max="3" width="7.625" bestFit="1" customWidth="1"/>
    <col min="4" max="4" width="10.125" customWidth="1"/>
    <col min="5" max="5" width="9.875" customWidth="1"/>
    <col min="6" max="6" width="45.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26" t="s">
        <v>45</v>
      </c>
      <c r="B2" s="16" t="str">
        <f t="shared" ref="B2:C3" si="0">"0x"&amp;DEC2HEX(D2,4)</f>
        <v>0x2900</v>
      </c>
      <c r="C2" s="16" t="str">
        <f t="shared" si="0"/>
        <v>0x2903</v>
      </c>
      <c r="D2" s="16">
        <v>10496</v>
      </c>
      <c r="E2" s="16">
        <f t="shared" ref="E2:E3" si="1">D2+I2-1</f>
        <v>10499</v>
      </c>
      <c r="F2" s="20" t="s">
        <v>504</v>
      </c>
      <c r="G2" s="17" t="s">
        <v>505</v>
      </c>
      <c r="H2" s="28" t="s">
        <v>301</v>
      </c>
      <c r="I2" s="28">
        <v>4</v>
      </c>
      <c r="J2" s="28"/>
    </row>
    <row r="3" spans="1:12">
      <c r="B3" s="16" t="str">
        <f t="shared" si="0"/>
        <v>0x2904</v>
      </c>
      <c r="C3" s="16" t="str">
        <f t="shared" si="0"/>
        <v>0x2904</v>
      </c>
      <c r="D3" s="16">
        <f>D2+I2</f>
        <v>10500</v>
      </c>
      <c r="E3" s="16">
        <f t="shared" si="1"/>
        <v>10500</v>
      </c>
      <c r="F3" s="20" t="s">
        <v>506</v>
      </c>
      <c r="G3" s="17" t="s">
        <v>507</v>
      </c>
      <c r="H3" s="28" t="s">
        <v>301</v>
      </c>
      <c r="I3" s="28">
        <v>1</v>
      </c>
      <c r="J3" s="28"/>
    </row>
    <row r="4" spans="1:12">
      <c r="B4" s="16" t="str">
        <f t="shared" ref="B4:B68" si="2">"0x"&amp;DEC2HEX(D4,4)</f>
        <v>0x2905</v>
      </c>
      <c r="C4" s="16" t="str">
        <f t="shared" ref="C4:C68" si="3">"0x"&amp;DEC2HEX(E4,4)</f>
        <v>0x2905</v>
      </c>
      <c r="D4" s="16">
        <f t="shared" ref="D4:D68" si="4">D3+I3</f>
        <v>10501</v>
      </c>
      <c r="E4" s="16">
        <f t="shared" ref="E4:E68" si="5">D4+I4-1</f>
        <v>10501</v>
      </c>
      <c r="F4" s="42" t="s">
        <v>508</v>
      </c>
      <c r="G4" s="17" t="s">
        <v>507</v>
      </c>
      <c r="H4" s="28" t="s">
        <v>301</v>
      </c>
      <c r="I4" s="28">
        <v>1</v>
      </c>
      <c r="J4" s="28"/>
    </row>
    <row r="5" spans="1:12">
      <c r="B5" s="16" t="str">
        <f t="shared" si="2"/>
        <v>0x2906</v>
      </c>
      <c r="C5" s="16" t="str">
        <f t="shared" si="3"/>
        <v>0x2906</v>
      </c>
      <c r="D5" s="16">
        <f t="shared" si="4"/>
        <v>10502</v>
      </c>
      <c r="E5" s="16">
        <f t="shared" si="5"/>
        <v>10502</v>
      </c>
      <c r="F5" s="20" t="s">
        <v>509</v>
      </c>
      <c r="G5" s="17" t="s">
        <v>507</v>
      </c>
      <c r="H5" s="28" t="s">
        <v>301</v>
      </c>
      <c r="I5" s="28">
        <v>1</v>
      </c>
      <c r="J5" s="28"/>
    </row>
    <row r="6" spans="1:12">
      <c r="B6" s="16" t="str">
        <f t="shared" si="2"/>
        <v>0x2907</v>
      </c>
      <c r="C6" s="16" t="str">
        <f t="shared" si="3"/>
        <v>0x2908</v>
      </c>
      <c r="D6" s="16">
        <f t="shared" si="4"/>
        <v>10503</v>
      </c>
      <c r="E6" s="16">
        <f t="shared" si="5"/>
        <v>10504</v>
      </c>
      <c r="F6" s="23" t="s">
        <v>366</v>
      </c>
      <c r="G6" s="23" t="s">
        <v>315</v>
      </c>
      <c r="H6" s="28" t="s">
        <v>301</v>
      </c>
      <c r="I6" s="28">
        <v>2</v>
      </c>
      <c r="J6" s="28"/>
    </row>
    <row r="7" spans="1:12">
      <c r="B7" s="16" t="str">
        <f t="shared" si="2"/>
        <v>0x2909</v>
      </c>
      <c r="C7" s="16" t="str">
        <f t="shared" si="3"/>
        <v>0x290A</v>
      </c>
      <c r="D7" s="16">
        <f t="shared" si="4"/>
        <v>10505</v>
      </c>
      <c r="E7" s="16">
        <f t="shared" si="5"/>
        <v>10506</v>
      </c>
      <c r="F7" s="23" t="s">
        <v>367</v>
      </c>
      <c r="G7" s="23" t="s">
        <v>315</v>
      </c>
      <c r="H7" s="28" t="s">
        <v>301</v>
      </c>
      <c r="I7" s="28">
        <v>2</v>
      </c>
      <c r="J7" s="28"/>
    </row>
    <row r="8" spans="1:12">
      <c r="B8" s="16" t="str">
        <f t="shared" si="2"/>
        <v>0x290B</v>
      </c>
      <c r="C8" s="16" t="str">
        <f t="shared" si="3"/>
        <v>0x290C</v>
      </c>
      <c r="D8" s="16">
        <f t="shared" si="4"/>
        <v>10507</v>
      </c>
      <c r="E8" s="16">
        <f t="shared" si="5"/>
        <v>10508</v>
      </c>
      <c r="F8" s="23" t="s">
        <v>368</v>
      </c>
      <c r="G8" s="23" t="s">
        <v>315</v>
      </c>
      <c r="H8" s="28" t="s">
        <v>301</v>
      </c>
      <c r="I8" s="28">
        <v>2</v>
      </c>
      <c r="J8" s="28"/>
    </row>
    <row r="9" spans="1:12">
      <c r="B9" s="16" t="str">
        <f t="shared" si="2"/>
        <v>0x290D</v>
      </c>
      <c r="C9" s="16" t="str">
        <f t="shared" si="3"/>
        <v>0x290E</v>
      </c>
      <c r="D9" s="16">
        <f t="shared" si="4"/>
        <v>10509</v>
      </c>
      <c r="E9" s="16">
        <f t="shared" si="5"/>
        <v>10510</v>
      </c>
      <c r="F9" s="23" t="s">
        <v>369</v>
      </c>
      <c r="G9" s="23" t="s">
        <v>315</v>
      </c>
      <c r="H9" s="28" t="s">
        <v>301</v>
      </c>
      <c r="I9" s="28">
        <v>2</v>
      </c>
      <c r="J9" s="28"/>
    </row>
    <row r="10" spans="1:12">
      <c r="B10" s="16" t="str">
        <f t="shared" si="2"/>
        <v>0x290F</v>
      </c>
      <c r="C10" s="16" t="str">
        <f t="shared" si="3"/>
        <v>0x2910</v>
      </c>
      <c r="D10" s="16">
        <f t="shared" si="4"/>
        <v>10511</v>
      </c>
      <c r="E10" s="16">
        <f t="shared" si="5"/>
        <v>10512</v>
      </c>
      <c r="F10" s="23" t="s">
        <v>370</v>
      </c>
      <c r="G10" s="23" t="s">
        <v>315</v>
      </c>
      <c r="H10" s="28" t="s">
        <v>301</v>
      </c>
      <c r="I10" s="28">
        <v>2</v>
      </c>
      <c r="J10" s="28"/>
    </row>
    <row r="11" spans="1:12">
      <c r="B11" s="16" t="str">
        <f t="shared" si="2"/>
        <v>0x2911</v>
      </c>
      <c r="C11" s="16" t="str">
        <f t="shared" si="3"/>
        <v>0x2912</v>
      </c>
      <c r="D11" s="16">
        <f t="shared" si="4"/>
        <v>10513</v>
      </c>
      <c r="E11" s="16">
        <f t="shared" si="5"/>
        <v>10514</v>
      </c>
      <c r="F11" s="23" t="s">
        <v>371</v>
      </c>
      <c r="G11" s="23" t="s">
        <v>315</v>
      </c>
      <c r="H11" s="28" t="s">
        <v>301</v>
      </c>
      <c r="I11" s="28">
        <v>2</v>
      </c>
      <c r="J11" s="28"/>
    </row>
    <row r="12" spans="1:12">
      <c r="B12" s="16" t="str">
        <f t="shared" si="2"/>
        <v>0x2913</v>
      </c>
      <c r="C12" s="16" t="str">
        <f t="shared" si="3"/>
        <v>0x2914</v>
      </c>
      <c r="D12" s="16">
        <f t="shared" si="4"/>
        <v>10515</v>
      </c>
      <c r="E12" s="16">
        <f t="shared" si="5"/>
        <v>10516</v>
      </c>
      <c r="F12" s="23" t="s">
        <v>372</v>
      </c>
      <c r="G12" s="23" t="s">
        <v>315</v>
      </c>
      <c r="H12" s="28" t="s">
        <v>301</v>
      </c>
      <c r="I12" s="28">
        <v>2</v>
      </c>
      <c r="J12" s="28"/>
    </row>
    <row r="13" spans="1:12">
      <c r="B13" s="16" t="str">
        <f t="shared" si="2"/>
        <v>0x2915</v>
      </c>
      <c r="C13" s="16" t="str">
        <f t="shared" si="3"/>
        <v>0x2916</v>
      </c>
      <c r="D13" s="16">
        <f t="shared" si="4"/>
        <v>10517</v>
      </c>
      <c r="E13" s="16">
        <f t="shared" si="5"/>
        <v>10518</v>
      </c>
      <c r="F13" s="23" t="s">
        <v>373</v>
      </c>
      <c r="G13" s="23" t="s">
        <v>315</v>
      </c>
      <c r="H13" s="28" t="s">
        <v>301</v>
      </c>
      <c r="I13" s="28">
        <v>2</v>
      </c>
      <c r="J13" s="28"/>
    </row>
    <row r="14" spans="1:12">
      <c r="B14" s="16" t="str">
        <f t="shared" si="2"/>
        <v>0x2917</v>
      </c>
      <c r="C14" s="16" t="str">
        <f t="shared" si="3"/>
        <v>0x2918</v>
      </c>
      <c r="D14" s="16">
        <f t="shared" si="4"/>
        <v>10519</v>
      </c>
      <c r="E14" s="16">
        <f t="shared" si="5"/>
        <v>10520</v>
      </c>
      <c r="F14" s="23" t="s">
        <v>374</v>
      </c>
      <c r="G14" s="23" t="s">
        <v>315</v>
      </c>
      <c r="H14" s="28" t="s">
        <v>301</v>
      </c>
      <c r="I14" s="28">
        <v>2</v>
      </c>
      <c r="J14" s="28"/>
    </row>
    <row r="15" spans="1:12">
      <c r="B15" s="16" t="str">
        <f t="shared" si="2"/>
        <v>0x2919</v>
      </c>
      <c r="C15" s="16" t="str">
        <f t="shared" si="3"/>
        <v>0x291A</v>
      </c>
      <c r="D15" s="16">
        <f t="shared" si="4"/>
        <v>10521</v>
      </c>
      <c r="E15" s="16">
        <f t="shared" si="5"/>
        <v>10522</v>
      </c>
      <c r="F15" s="23" t="s">
        <v>375</v>
      </c>
      <c r="G15" s="23" t="s">
        <v>315</v>
      </c>
      <c r="H15" s="28" t="s">
        <v>301</v>
      </c>
      <c r="I15" s="28">
        <v>2</v>
      </c>
      <c r="J15" s="28"/>
    </row>
    <row r="16" spans="1:12">
      <c r="B16" s="16" t="str">
        <f t="shared" si="2"/>
        <v>0x291B</v>
      </c>
      <c r="C16" s="16" t="str">
        <f t="shared" si="3"/>
        <v>0x291C</v>
      </c>
      <c r="D16" s="16">
        <f t="shared" si="4"/>
        <v>10523</v>
      </c>
      <c r="E16" s="16">
        <f t="shared" si="5"/>
        <v>10524</v>
      </c>
      <c r="F16" s="23" t="s">
        <v>376</v>
      </c>
      <c r="G16" s="23" t="s">
        <v>315</v>
      </c>
      <c r="H16" s="28" t="s">
        <v>301</v>
      </c>
      <c r="I16" s="28">
        <v>2</v>
      </c>
      <c r="J16" s="28"/>
    </row>
    <row r="17" spans="2:10">
      <c r="B17" s="16" t="str">
        <f t="shared" si="2"/>
        <v>0x291D</v>
      </c>
      <c r="C17" s="16" t="str">
        <f t="shared" si="3"/>
        <v>0x291E</v>
      </c>
      <c r="D17" s="16">
        <f t="shared" si="4"/>
        <v>10525</v>
      </c>
      <c r="E17" s="16">
        <f t="shared" si="5"/>
        <v>10526</v>
      </c>
      <c r="F17" s="23" t="s">
        <v>377</v>
      </c>
      <c r="G17" s="23" t="s">
        <v>315</v>
      </c>
      <c r="H17" s="28" t="s">
        <v>301</v>
      </c>
      <c r="I17" s="28">
        <v>2</v>
      </c>
      <c r="J17" s="28"/>
    </row>
    <row r="18" spans="2:10">
      <c r="B18" s="16" t="str">
        <f t="shared" si="2"/>
        <v>0x291F</v>
      </c>
      <c r="C18" s="16" t="str">
        <f t="shared" si="3"/>
        <v>0x2920</v>
      </c>
      <c r="D18" s="16">
        <f t="shared" si="4"/>
        <v>10527</v>
      </c>
      <c r="E18" s="16">
        <f t="shared" si="5"/>
        <v>10528</v>
      </c>
      <c r="F18" s="23" t="s">
        <v>378</v>
      </c>
      <c r="G18" s="23" t="s">
        <v>315</v>
      </c>
      <c r="H18" s="28" t="s">
        <v>301</v>
      </c>
      <c r="I18" s="28">
        <v>2</v>
      </c>
      <c r="J18" s="28"/>
    </row>
    <row r="19" spans="2:10">
      <c r="B19" s="16" t="str">
        <f t="shared" si="2"/>
        <v>0x2921</v>
      </c>
      <c r="C19" s="16" t="str">
        <f t="shared" si="3"/>
        <v>0x2922</v>
      </c>
      <c r="D19" s="16">
        <f t="shared" si="4"/>
        <v>10529</v>
      </c>
      <c r="E19" s="16">
        <f t="shared" si="5"/>
        <v>10530</v>
      </c>
      <c r="F19" s="23" t="s">
        <v>379</v>
      </c>
      <c r="G19" s="23" t="s">
        <v>315</v>
      </c>
      <c r="H19" s="28" t="s">
        <v>301</v>
      </c>
      <c r="I19" s="28">
        <v>2</v>
      </c>
      <c r="J19" s="28"/>
    </row>
    <row r="20" spans="2:10">
      <c r="B20" s="16" t="str">
        <f t="shared" si="2"/>
        <v>0x2923</v>
      </c>
      <c r="C20" s="16" t="str">
        <f t="shared" si="3"/>
        <v>0x2924</v>
      </c>
      <c r="D20" s="16">
        <f t="shared" si="4"/>
        <v>10531</v>
      </c>
      <c r="E20" s="16">
        <f t="shared" si="5"/>
        <v>10532</v>
      </c>
      <c r="F20" s="23" t="s">
        <v>380</v>
      </c>
      <c r="G20" s="23" t="s">
        <v>315</v>
      </c>
      <c r="H20" s="28" t="s">
        <v>301</v>
      </c>
      <c r="I20" s="28">
        <v>2</v>
      </c>
      <c r="J20" s="28"/>
    </row>
    <row r="21" spans="2:10">
      <c r="B21" s="16" t="str">
        <f t="shared" si="2"/>
        <v>0x2925</v>
      </c>
      <c r="C21" s="16" t="str">
        <f t="shared" si="3"/>
        <v>0x2926</v>
      </c>
      <c r="D21" s="16">
        <f t="shared" si="4"/>
        <v>10533</v>
      </c>
      <c r="E21" s="16">
        <f t="shared" si="5"/>
        <v>10534</v>
      </c>
      <c r="F21" s="23" t="s">
        <v>334</v>
      </c>
      <c r="G21" s="23" t="s">
        <v>315</v>
      </c>
      <c r="H21" s="28" t="s">
        <v>301</v>
      </c>
      <c r="I21" s="28">
        <v>2</v>
      </c>
      <c r="J21" s="28"/>
    </row>
    <row r="22" spans="2:10">
      <c r="B22" s="16" t="str">
        <f t="shared" si="2"/>
        <v>0x2927</v>
      </c>
      <c r="C22" s="16" t="str">
        <f t="shared" si="3"/>
        <v>0x2928</v>
      </c>
      <c r="D22" s="16">
        <f t="shared" si="4"/>
        <v>10535</v>
      </c>
      <c r="E22" s="16">
        <f t="shared" si="5"/>
        <v>10536</v>
      </c>
      <c r="F22" s="17" t="s">
        <v>381</v>
      </c>
      <c r="G22" s="23" t="s">
        <v>315</v>
      </c>
      <c r="H22" s="28" t="s">
        <v>382</v>
      </c>
      <c r="I22" s="28">
        <v>2</v>
      </c>
      <c r="J22" s="28"/>
    </row>
    <row r="23" spans="2:10">
      <c r="B23" s="16" t="str">
        <f t="shared" si="2"/>
        <v>0x2929</v>
      </c>
      <c r="C23" s="16" t="str">
        <f t="shared" si="3"/>
        <v>0x292A</v>
      </c>
      <c r="D23" s="16">
        <f t="shared" si="4"/>
        <v>10537</v>
      </c>
      <c r="E23" s="16">
        <f t="shared" si="5"/>
        <v>10538</v>
      </c>
      <c r="F23" s="17" t="s">
        <v>383</v>
      </c>
      <c r="G23" s="23" t="s">
        <v>315</v>
      </c>
      <c r="H23" s="28" t="s">
        <v>382</v>
      </c>
      <c r="I23" s="28">
        <v>2</v>
      </c>
      <c r="J23" s="28"/>
    </row>
    <row r="24" spans="2:10">
      <c r="B24" s="16" t="str">
        <f t="shared" si="2"/>
        <v>0x292B</v>
      </c>
      <c r="C24" s="16" t="str">
        <f t="shared" si="3"/>
        <v>0x292C</v>
      </c>
      <c r="D24" s="16">
        <f t="shared" si="4"/>
        <v>10539</v>
      </c>
      <c r="E24" s="16">
        <f t="shared" si="5"/>
        <v>10540</v>
      </c>
      <c r="F24" s="17" t="s">
        <v>384</v>
      </c>
      <c r="G24" s="23" t="s">
        <v>315</v>
      </c>
      <c r="H24" s="28" t="s">
        <v>382</v>
      </c>
      <c r="I24" s="28">
        <v>2</v>
      </c>
      <c r="J24" s="28"/>
    </row>
    <row r="25" spans="2:10">
      <c r="B25" s="16" t="str">
        <f t="shared" si="2"/>
        <v>0x292D</v>
      </c>
      <c r="C25" s="16" t="str">
        <f t="shared" si="3"/>
        <v>0x292E</v>
      </c>
      <c r="D25" s="16">
        <f t="shared" si="4"/>
        <v>10541</v>
      </c>
      <c r="E25" s="16">
        <f t="shared" si="5"/>
        <v>10542</v>
      </c>
      <c r="F25" s="15" t="s">
        <v>385</v>
      </c>
      <c r="G25" s="23" t="s">
        <v>315</v>
      </c>
      <c r="H25" s="28" t="s">
        <v>382</v>
      </c>
      <c r="I25" s="28">
        <v>2</v>
      </c>
      <c r="J25" s="28"/>
    </row>
    <row r="26" spans="2:10">
      <c r="B26" s="16" t="str">
        <f t="shared" si="2"/>
        <v>0x292F</v>
      </c>
      <c r="C26" s="16" t="str">
        <f t="shared" si="3"/>
        <v>0x2930</v>
      </c>
      <c r="D26" s="16">
        <f t="shared" si="4"/>
        <v>10543</v>
      </c>
      <c r="E26" s="16">
        <f t="shared" si="5"/>
        <v>10544</v>
      </c>
      <c r="F26" s="15" t="s">
        <v>510</v>
      </c>
      <c r="G26" s="15" t="s">
        <v>315</v>
      </c>
      <c r="H26" s="17" t="s">
        <v>301</v>
      </c>
      <c r="I26" s="17">
        <v>2</v>
      </c>
      <c r="J26" s="17"/>
    </row>
    <row r="27" spans="2:10">
      <c r="B27" s="16" t="str">
        <f t="shared" si="2"/>
        <v>0x2931</v>
      </c>
      <c r="C27" s="16" t="str">
        <f t="shared" si="3"/>
        <v>0x2932</v>
      </c>
      <c r="D27" s="16">
        <f t="shared" si="4"/>
        <v>10545</v>
      </c>
      <c r="E27" s="16">
        <f t="shared" si="5"/>
        <v>10546</v>
      </c>
      <c r="F27" s="15" t="s">
        <v>386</v>
      </c>
      <c r="G27" s="23" t="s">
        <v>315</v>
      </c>
      <c r="H27" s="28" t="s">
        <v>301</v>
      </c>
      <c r="I27" s="28">
        <v>2</v>
      </c>
      <c r="J27" s="28"/>
    </row>
    <row r="28" spans="2:10">
      <c r="B28" s="16" t="str">
        <f t="shared" si="2"/>
        <v>0x2933</v>
      </c>
      <c r="C28" s="16" t="str">
        <f t="shared" si="3"/>
        <v>0x2934</v>
      </c>
      <c r="D28" s="16">
        <f t="shared" si="4"/>
        <v>10547</v>
      </c>
      <c r="E28" s="16">
        <f t="shared" si="5"/>
        <v>10548</v>
      </c>
      <c r="F28" s="15" t="s">
        <v>387</v>
      </c>
      <c r="G28" s="23" t="s">
        <v>315</v>
      </c>
      <c r="H28" s="28" t="s">
        <v>382</v>
      </c>
      <c r="I28" s="28">
        <v>2</v>
      </c>
      <c r="J28" s="28"/>
    </row>
    <row r="29" spans="2:10">
      <c r="B29" s="16" t="str">
        <f t="shared" si="2"/>
        <v>0x2935</v>
      </c>
      <c r="C29" s="16" t="str">
        <f t="shared" si="3"/>
        <v>0x2936</v>
      </c>
      <c r="D29" s="16">
        <f t="shared" si="4"/>
        <v>10549</v>
      </c>
      <c r="E29" s="16">
        <f t="shared" si="5"/>
        <v>10550</v>
      </c>
      <c r="F29" s="15" t="s">
        <v>388</v>
      </c>
      <c r="G29" s="23" t="s">
        <v>315</v>
      </c>
      <c r="H29" s="28" t="s">
        <v>382</v>
      </c>
      <c r="I29" s="28">
        <v>2</v>
      </c>
      <c r="J29" s="28"/>
    </row>
    <row r="30" spans="2:10">
      <c r="B30" s="16" t="str">
        <f t="shared" si="2"/>
        <v>0x2937</v>
      </c>
      <c r="C30" s="16" t="str">
        <f t="shared" si="3"/>
        <v>0x2938</v>
      </c>
      <c r="D30" s="16">
        <f t="shared" si="4"/>
        <v>10551</v>
      </c>
      <c r="E30" s="16">
        <f t="shared" si="5"/>
        <v>10552</v>
      </c>
      <c r="F30" s="15" t="s">
        <v>389</v>
      </c>
      <c r="G30" s="23" t="s">
        <v>315</v>
      </c>
      <c r="H30" s="28" t="s">
        <v>382</v>
      </c>
      <c r="I30" s="28">
        <v>2</v>
      </c>
      <c r="J30" s="28"/>
    </row>
    <row r="31" spans="2:10">
      <c r="B31" s="16" t="str">
        <f t="shared" si="2"/>
        <v>0x2939</v>
      </c>
      <c r="C31" s="16" t="str">
        <f t="shared" si="3"/>
        <v>0x2968</v>
      </c>
      <c r="D31" s="16">
        <f t="shared" si="4"/>
        <v>10553</v>
      </c>
      <c r="E31" s="16">
        <f t="shared" si="5"/>
        <v>10600</v>
      </c>
      <c r="F31" s="23" t="s">
        <v>511</v>
      </c>
      <c r="G31" s="23" t="s">
        <v>315</v>
      </c>
      <c r="H31" s="28" t="s">
        <v>382</v>
      </c>
      <c r="I31" s="28">
        <v>48</v>
      </c>
      <c r="J31" s="28"/>
    </row>
    <row r="32" spans="2:10">
      <c r="B32" s="16" t="str">
        <f t="shared" si="2"/>
        <v>0x2969</v>
      </c>
      <c r="C32" s="16" t="str">
        <f t="shared" si="3"/>
        <v>0x2998</v>
      </c>
      <c r="D32" s="16">
        <f t="shared" si="4"/>
        <v>10601</v>
      </c>
      <c r="E32" s="16">
        <f t="shared" si="5"/>
        <v>10648</v>
      </c>
      <c r="F32" s="23" t="s">
        <v>512</v>
      </c>
      <c r="G32" s="23" t="s">
        <v>315</v>
      </c>
      <c r="H32" s="28" t="s">
        <v>382</v>
      </c>
      <c r="I32" s="28">
        <v>48</v>
      </c>
      <c r="J32" s="28"/>
    </row>
    <row r="33" spans="1:11">
      <c r="B33" s="16" t="str">
        <f t="shared" si="2"/>
        <v>0x2999</v>
      </c>
      <c r="C33" s="16" t="str">
        <f t="shared" si="3"/>
        <v>0x29C8</v>
      </c>
      <c r="D33" s="16">
        <f t="shared" si="4"/>
        <v>10649</v>
      </c>
      <c r="E33" s="16">
        <f t="shared" si="5"/>
        <v>10696</v>
      </c>
      <c r="F33" s="23" t="s">
        <v>513</v>
      </c>
      <c r="G33" s="23" t="s">
        <v>315</v>
      </c>
      <c r="H33" s="28" t="s">
        <v>382</v>
      </c>
      <c r="I33" s="28">
        <v>48</v>
      </c>
      <c r="J33" s="28"/>
    </row>
    <row r="34" spans="1:11">
      <c r="B34" s="16" t="str">
        <f t="shared" si="2"/>
        <v>0x29C9</v>
      </c>
      <c r="C34" s="16" t="str">
        <f t="shared" si="3"/>
        <v>0x29F8</v>
      </c>
      <c r="D34" s="16">
        <f t="shared" si="4"/>
        <v>10697</v>
      </c>
      <c r="E34" s="16">
        <f t="shared" si="5"/>
        <v>10744</v>
      </c>
      <c r="F34" s="23" t="s">
        <v>514</v>
      </c>
      <c r="G34" s="23" t="s">
        <v>315</v>
      </c>
      <c r="H34" s="28" t="s">
        <v>382</v>
      </c>
      <c r="I34" s="28">
        <v>48</v>
      </c>
      <c r="J34" s="28"/>
    </row>
    <row r="35" spans="1:11">
      <c r="B35" s="16" t="str">
        <f t="shared" si="2"/>
        <v>0x29F9</v>
      </c>
      <c r="C35" s="16" t="str">
        <f t="shared" si="3"/>
        <v>0x2AEA</v>
      </c>
      <c r="D35" s="16">
        <f t="shared" si="4"/>
        <v>10745</v>
      </c>
      <c r="E35" s="16">
        <f t="shared" si="5"/>
        <v>10986</v>
      </c>
      <c r="F35" s="17" t="s">
        <v>394</v>
      </c>
      <c r="G35" s="23" t="s">
        <v>315</v>
      </c>
      <c r="H35" s="28" t="s">
        <v>301</v>
      </c>
      <c r="I35" s="28">
        <v>242</v>
      </c>
      <c r="J35" s="28"/>
    </row>
    <row r="36" spans="1:11">
      <c r="B36" s="16" t="str">
        <f t="shared" si="2"/>
        <v>0x2AEB</v>
      </c>
      <c r="C36" s="16" t="str">
        <f t="shared" si="3"/>
        <v>0x2B1A</v>
      </c>
      <c r="D36" s="16">
        <f t="shared" si="4"/>
        <v>10987</v>
      </c>
      <c r="E36" s="16">
        <f t="shared" si="5"/>
        <v>11034</v>
      </c>
      <c r="F36" s="23" t="s">
        <v>515</v>
      </c>
      <c r="G36" s="23" t="s">
        <v>315</v>
      </c>
      <c r="H36" s="28" t="s">
        <v>382</v>
      </c>
      <c r="I36" s="28">
        <v>48</v>
      </c>
      <c r="J36" s="28"/>
    </row>
    <row r="37" spans="1:11">
      <c r="B37" s="16" t="str">
        <f t="shared" si="2"/>
        <v>0x2B1B</v>
      </c>
      <c r="C37" s="16" t="str">
        <f t="shared" si="3"/>
        <v>0x2B4A</v>
      </c>
      <c r="D37" s="16">
        <f t="shared" si="4"/>
        <v>11035</v>
      </c>
      <c r="E37" s="16">
        <f t="shared" si="5"/>
        <v>11082</v>
      </c>
      <c r="F37" s="23" t="s">
        <v>396</v>
      </c>
      <c r="G37" s="23" t="s">
        <v>315</v>
      </c>
      <c r="H37" s="28" t="s">
        <v>382</v>
      </c>
      <c r="I37" s="28">
        <v>48</v>
      </c>
      <c r="J37" s="28"/>
    </row>
    <row r="38" spans="1:11">
      <c r="B38" s="16" t="str">
        <f t="shared" si="2"/>
        <v>0x2B4B</v>
      </c>
      <c r="C38" s="16" t="str">
        <f t="shared" si="3"/>
        <v>0x2B7A</v>
      </c>
      <c r="D38" s="16">
        <f t="shared" si="4"/>
        <v>11083</v>
      </c>
      <c r="E38" s="16">
        <f t="shared" si="5"/>
        <v>11130</v>
      </c>
      <c r="F38" s="23" t="s">
        <v>397</v>
      </c>
      <c r="G38" s="23" t="s">
        <v>315</v>
      </c>
      <c r="H38" s="28" t="s">
        <v>382</v>
      </c>
      <c r="I38" s="28">
        <v>48</v>
      </c>
      <c r="J38" s="28"/>
    </row>
    <row r="39" spans="1:11">
      <c r="B39" s="16" t="str">
        <f t="shared" si="2"/>
        <v>0x2B7B</v>
      </c>
      <c r="C39" s="16" t="str">
        <f t="shared" si="3"/>
        <v>0x2BAA</v>
      </c>
      <c r="D39" s="16">
        <f t="shared" si="4"/>
        <v>11131</v>
      </c>
      <c r="E39" s="16">
        <f t="shared" si="5"/>
        <v>11178</v>
      </c>
      <c r="F39" s="23" t="s">
        <v>398</v>
      </c>
      <c r="G39" s="23" t="s">
        <v>315</v>
      </c>
      <c r="H39" s="28" t="s">
        <v>382</v>
      </c>
      <c r="I39" s="28">
        <v>48</v>
      </c>
      <c r="J39" s="28"/>
    </row>
    <row r="40" spans="1:11">
      <c r="B40" s="16" t="str">
        <f t="shared" si="2"/>
        <v>0x2BAB</v>
      </c>
      <c r="C40" s="16" t="str">
        <f t="shared" si="3"/>
        <v>0x2BAB</v>
      </c>
      <c r="D40" s="16">
        <f t="shared" si="4"/>
        <v>11179</v>
      </c>
      <c r="E40" s="16">
        <f t="shared" si="5"/>
        <v>11179</v>
      </c>
      <c r="F40" s="50" t="s">
        <v>339</v>
      </c>
      <c r="G40" s="21" t="s">
        <v>146</v>
      </c>
      <c r="H40" s="21" t="s">
        <v>147</v>
      </c>
      <c r="I40" s="21">
        <v>1</v>
      </c>
      <c r="J40" s="21" t="s">
        <v>340</v>
      </c>
      <c r="K40">
        <v>1</v>
      </c>
    </row>
    <row r="41" spans="1:11">
      <c r="B41" s="16" t="str">
        <f t="shared" si="2"/>
        <v>0x2BAC</v>
      </c>
      <c r="C41" s="16" t="str">
        <f t="shared" si="3"/>
        <v>0x2BAD</v>
      </c>
      <c r="D41" s="16">
        <f t="shared" si="4"/>
        <v>11180</v>
      </c>
      <c r="E41" s="16">
        <f t="shared" si="5"/>
        <v>11181</v>
      </c>
      <c r="F41" s="15" t="s">
        <v>516</v>
      </c>
      <c r="G41" s="15" t="s">
        <v>315</v>
      </c>
      <c r="H41" s="17" t="s">
        <v>301</v>
      </c>
      <c r="I41" s="17">
        <v>2</v>
      </c>
      <c r="J41" s="17"/>
    </row>
    <row r="42" spans="1:11">
      <c r="B42" s="16" t="str">
        <f t="shared" si="2"/>
        <v>0x2BAE</v>
      </c>
      <c r="C42" s="16" t="str">
        <f t="shared" si="3"/>
        <v>0x2BAF</v>
      </c>
      <c r="D42" s="16">
        <f t="shared" si="4"/>
        <v>11182</v>
      </c>
      <c r="E42" s="16">
        <f t="shared" si="5"/>
        <v>11183</v>
      </c>
      <c r="F42" s="23" t="s">
        <v>399</v>
      </c>
      <c r="G42" s="23" t="s">
        <v>315</v>
      </c>
      <c r="H42" s="28" t="s">
        <v>382</v>
      </c>
      <c r="I42" s="28">
        <v>2</v>
      </c>
      <c r="J42" s="28"/>
    </row>
    <row r="43" spans="1:11">
      <c r="B43" s="16" t="str">
        <f t="shared" si="2"/>
        <v>0x2BB0</v>
      </c>
      <c r="C43" s="16" t="str">
        <f t="shared" si="3"/>
        <v>0x2BB1</v>
      </c>
      <c r="D43" s="16">
        <f t="shared" si="4"/>
        <v>11184</v>
      </c>
      <c r="E43" s="16">
        <f t="shared" si="5"/>
        <v>11185</v>
      </c>
      <c r="F43" s="23" t="s">
        <v>400</v>
      </c>
      <c r="G43" s="23" t="s">
        <v>315</v>
      </c>
      <c r="H43" s="28" t="s">
        <v>382</v>
      </c>
      <c r="I43" s="28">
        <v>2</v>
      </c>
      <c r="J43" s="28"/>
    </row>
    <row r="44" spans="1:11">
      <c r="A44" s="26" t="s">
        <v>48</v>
      </c>
      <c r="B44" s="16" t="str">
        <f t="shared" si="2"/>
        <v>0x2BB2</v>
      </c>
      <c r="C44" s="16" t="str">
        <f t="shared" si="3"/>
        <v>0x2BB3</v>
      </c>
      <c r="D44" s="16">
        <f t="shared" si="4"/>
        <v>11186</v>
      </c>
      <c r="E44" s="16">
        <f t="shared" si="5"/>
        <v>11187</v>
      </c>
      <c r="F44" s="17" t="s">
        <v>517</v>
      </c>
      <c r="G44" s="23" t="s">
        <v>315</v>
      </c>
      <c r="H44" s="28" t="s">
        <v>382</v>
      </c>
      <c r="I44" s="28">
        <v>2</v>
      </c>
      <c r="J44" s="28"/>
    </row>
    <row r="45" spans="1:11">
      <c r="B45" s="16" t="str">
        <f t="shared" si="2"/>
        <v>0x2BB4</v>
      </c>
      <c r="C45" s="16" t="str">
        <f t="shared" si="3"/>
        <v>0x2BB5</v>
      </c>
      <c r="D45" s="16">
        <f t="shared" si="4"/>
        <v>11188</v>
      </c>
      <c r="E45" s="16">
        <f t="shared" si="5"/>
        <v>11189</v>
      </c>
      <c r="F45" s="17" t="s">
        <v>518</v>
      </c>
      <c r="G45" s="23" t="s">
        <v>315</v>
      </c>
      <c r="H45" s="28" t="s">
        <v>382</v>
      </c>
      <c r="I45" s="28">
        <v>2</v>
      </c>
      <c r="J45" s="28"/>
    </row>
    <row r="46" spans="1:11">
      <c r="B46" s="16" t="str">
        <f t="shared" si="2"/>
        <v>0x2BB6</v>
      </c>
      <c r="C46" s="16" t="str">
        <f t="shared" si="3"/>
        <v>0x2BB7</v>
      </c>
      <c r="D46" s="16">
        <f t="shared" si="4"/>
        <v>11190</v>
      </c>
      <c r="E46" s="16">
        <f t="shared" si="5"/>
        <v>11191</v>
      </c>
      <c r="F46" s="17" t="s">
        <v>519</v>
      </c>
      <c r="G46" s="23" t="s">
        <v>315</v>
      </c>
      <c r="H46" s="28" t="s">
        <v>382</v>
      </c>
      <c r="I46" s="28">
        <v>2</v>
      </c>
      <c r="J46" s="28"/>
    </row>
    <row r="47" spans="1:11">
      <c r="B47" s="16" t="str">
        <f t="shared" si="2"/>
        <v>0x2BB8</v>
      </c>
      <c r="C47" s="16" t="str">
        <f t="shared" si="3"/>
        <v>0x2BB9</v>
      </c>
      <c r="D47" s="16">
        <f t="shared" si="4"/>
        <v>11192</v>
      </c>
      <c r="E47" s="16">
        <f t="shared" si="5"/>
        <v>11193</v>
      </c>
      <c r="F47" s="20" t="s">
        <v>520</v>
      </c>
      <c r="G47" s="23" t="s">
        <v>521</v>
      </c>
      <c r="H47" s="28" t="s">
        <v>382</v>
      </c>
      <c r="I47" s="28">
        <v>2</v>
      </c>
      <c r="J47" s="28"/>
    </row>
    <row r="48" spans="1:11">
      <c r="B48" s="16" t="str">
        <f t="shared" si="2"/>
        <v>0x2BBA</v>
      </c>
      <c r="C48" s="16" t="str">
        <f t="shared" si="3"/>
        <v>0x2BBB</v>
      </c>
      <c r="D48" s="16">
        <f t="shared" si="4"/>
        <v>11194</v>
      </c>
      <c r="E48" s="16">
        <f t="shared" si="5"/>
        <v>11195</v>
      </c>
      <c r="F48" s="17" t="s">
        <v>522</v>
      </c>
      <c r="G48" s="23" t="s">
        <v>315</v>
      </c>
      <c r="H48" s="28" t="s">
        <v>382</v>
      </c>
      <c r="I48" s="28">
        <v>2</v>
      </c>
      <c r="J48" s="28"/>
    </row>
    <row r="49" spans="2:10">
      <c r="B49" s="16" t="str">
        <f t="shared" si="2"/>
        <v>0x2BBC</v>
      </c>
      <c r="C49" s="16" t="str">
        <f t="shared" si="3"/>
        <v>0x2BBD</v>
      </c>
      <c r="D49" s="16">
        <f t="shared" si="4"/>
        <v>11196</v>
      </c>
      <c r="E49" s="16">
        <f t="shared" si="5"/>
        <v>11197</v>
      </c>
      <c r="F49" s="17" t="s">
        <v>523</v>
      </c>
      <c r="G49" s="23" t="s">
        <v>315</v>
      </c>
      <c r="H49" s="28" t="s">
        <v>382</v>
      </c>
      <c r="I49" s="28">
        <v>2</v>
      </c>
      <c r="J49" s="28"/>
    </row>
    <row r="50" spans="2:10">
      <c r="B50" s="16" t="str">
        <f t="shared" si="2"/>
        <v>0x2BBE</v>
      </c>
      <c r="C50" s="16" t="str">
        <f t="shared" si="3"/>
        <v>0x2BBF</v>
      </c>
      <c r="D50" s="16">
        <f t="shared" si="4"/>
        <v>11198</v>
      </c>
      <c r="E50" s="16">
        <f t="shared" si="5"/>
        <v>11199</v>
      </c>
      <c r="F50" s="17" t="s">
        <v>524</v>
      </c>
      <c r="G50" s="23" t="s">
        <v>315</v>
      </c>
      <c r="H50" s="28" t="s">
        <v>382</v>
      </c>
      <c r="I50" s="28">
        <v>2</v>
      </c>
      <c r="J50" s="28"/>
    </row>
    <row r="51" spans="2:10">
      <c r="B51" s="16" t="str">
        <f t="shared" si="2"/>
        <v>0x2BC0</v>
      </c>
      <c r="C51" s="16" t="str">
        <f t="shared" si="3"/>
        <v>0x2BC1</v>
      </c>
      <c r="D51" s="16">
        <f t="shared" si="4"/>
        <v>11200</v>
      </c>
      <c r="E51" s="16">
        <f t="shared" si="5"/>
        <v>11201</v>
      </c>
      <c r="F51" s="17" t="s">
        <v>525</v>
      </c>
      <c r="G51" s="23" t="s">
        <v>315</v>
      </c>
      <c r="H51" s="28" t="s">
        <v>382</v>
      </c>
      <c r="I51" s="28">
        <v>2</v>
      </c>
      <c r="J51" s="28"/>
    </row>
    <row r="52" spans="2:10">
      <c r="B52" s="16" t="str">
        <f t="shared" si="2"/>
        <v>0x2BC2</v>
      </c>
      <c r="C52" s="16" t="str">
        <f t="shared" si="3"/>
        <v>0x2BC3</v>
      </c>
      <c r="D52" s="16">
        <f t="shared" si="4"/>
        <v>11202</v>
      </c>
      <c r="E52" s="16">
        <f t="shared" si="5"/>
        <v>11203</v>
      </c>
      <c r="F52" s="20" t="s">
        <v>526</v>
      </c>
      <c r="G52" s="23" t="s">
        <v>521</v>
      </c>
      <c r="H52" s="28" t="s">
        <v>382</v>
      </c>
      <c r="I52" s="28">
        <v>2</v>
      </c>
      <c r="J52" s="28"/>
    </row>
    <row r="53" spans="2:10">
      <c r="B53" s="16" t="str">
        <f t="shared" si="2"/>
        <v>0x2BC4</v>
      </c>
      <c r="C53" s="16" t="str">
        <f t="shared" si="3"/>
        <v>0x2BC5</v>
      </c>
      <c r="D53" s="16">
        <f t="shared" si="4"/>
        <v>11204</v>
      </c>
      <c r="E53" s="16">
        <f t="shared" si="5"/>
        <v>11205</v>
      </c>
      <c r="F53" s="17" t="s">
        <v>527</v>
      </c>
      <c r="G53" s="23" t="s">
        <v>315</v>
      </c>
      <c r="H53" s="28" t="s">
        <v>382</v>
      </c>
      <c r="I53" s="28">
        <v>2</v>
      </c>
      <c r="J53" s="28"/>
    </row>
    <row r="54" spans="2:10">
      <c r="B54" s="16" t="str">
        <f t="shared" si="2"/>
        <v>0x2BC6</v>
      </c>
      <c r="C54" s="16" t="str">
        <f t="shared" si="3"/>
        <v>0x2BC7</v>
      </c>
      <c r="D54" s="16">
        <f t="shared" si="4"/>
        <v>11206</v>
      </c>
      <c r="E54" s="16">
        <f t="shared" si="5"/>
        <v>11207</v>
      </c>
      <c r="F54" s="17" t="s">
        <v>528</v>
      </c>
      <c r="G54" s="23" t="s">
        <v>315</v>
      </c>
      <c r="H54" s="28" t="s">
        <v>382</v>
      </c>
      <c r="I54" s="28">
        <v>2</v>
      </c>
      <c r="J54" s="28"/>
    </row>
    <row r="55" spans="2:10">
      <c r="B55" s="16" t="str">
        <f t="shared" si="2"/>
        <v>0x2BC8</v>
      </c>
      <c r="C55" s="16" t="str">
        <f t="shared" si="3"/>
        <v>0x2BC9</v>
      </c>
      <c r="D55" s="16">
        <f t="shared" si="4"/>
        <v>11208</v>
      </c>
      <c r="E55" s="16">
        <f t="shared" si="5"/>
        <v>11209</v>
      </c>
      <c r="F55" s="17" t="s">
        <v>529</v>
      </c>
      <c r="G55" s="23" t="s">
        <v>315</v>
      </c>
      <c r="H55" s="28" t="s">
        <v>382</v>
      </c>
      <c r="I55" s="28">
        <v>2</v>
      </c>
      <c r="J55" s="28"/>
    </row>
    <row r="56" spans="2:10">
      <c r="B56" s="16" t="str">
        <f t="shared" si="2"/>
        <v>0x2BCA</v>
      </c>
      <c r="C56" s="16" t="str">
        <f t="shared" si="3"/>
        <v>0x2BCB</v>
      </c>
      <c r="D56" s="16">
        <f t="shared" si="4"/>
        <v>11210</v>
      </c>
      <c r="E56" s="16">
        <f t="shared" si="5"/>
        <v>11211</v>
      </c>
      <c r="F56" s="17" t="s">
        <v>530</v>
      </c>
      <c r="G56" s="23" t="s">
        <v>315</v>
      </c>
      <c r="H56" s="28" t="s">
        <v>382</v>
      </c>
      <c r="I56" s="28">
        <v>2</v>
      </c>
      <c r="J56" s="28"/>
    </row>
    <row r="57" spans="2:10">
      <c r="B57" s="16" t="str">
        <f t="shared" si="2"/>
        <v>0x2BCC</v>
      </c>
      <c r="C57" s="16" t="str">
        <f t="shared" si="3"/>
        <v>0x2BCD</v>
      </c>
      <c r="D57" s="16">
        <f t="shared" si="4"/>
        <v>11212</v>
      </c>
      <c r="E57" s="16">
        <f t="shared" si="5"/>
        <v>11213</v>
      </c>
      <c r="F57" s="20" t="s">
        <v>531</v>
      </c>
      <c r="G57" s="23" t="s">
        <v>521</v>
      </c>
      <c r="H57" s="28" t="s">
        <v>382</v>
      </c>
      <c r="I57" s="28">
        <v>2</v>
      </c>
      <c r="J57" s="28"/>
    </row>
    <row r="58" spans="2:10">
      <c r="B58" s="16" t="str">
        <f t="shared" si="2"/>
        <v>0x2BCE</v>
      </c>
      <c r="C58" s="16" t="str">
        <f t="shared" si="3"/>
        <v>0x2BCF</v>
      </c>
      <c r="D58" s="16">
        <f t="shared" si="4"/>
        <v>11214</v>
      </c>
      <c r="E58" s="16">
        <f t="shared" si="5"/>
        <v>11215</v>
      </c>
      <c r="F58" s="17" t="s">
        <v>532</v>
      </c>
      <c r="G58" s="23" t="s">
        <v>315</v>
      </c>
      <c r="H58" s="28" t="s">
        <v>382</v>
      </c>
      <c r="I58" s="28">
        <v>2</v>
      </c>
      <c r="J58" s="28"/>
    </row>
    <row r="59" spans="2:10">
      <c r="B59" s="16" t="str">
        <f t="shared" si="2"/>
        <v>0x2BD0</v>
      </c>
      <c r="C59" s="16" t="str">
        <f t="shared" si="3"/>
        <v>0x2BD1</v>
      </c>
      <c r="D59" s="16">
        <f t="shared" si="4"/>
        <v>11216</v>
      </c>
      <c r="E59" s="16">
        <f t="shared" si="5"/>
        <v>11217</v>
      </c>
      <c r="F59" s="20" t="s">
        <v>533</v>
      </c>
      <c r="G59" s="23" t="s">
        <v>315</v>
      </c>
      <c r="H59" s="28" t="s">
        <v>382</v>
      </c>
      <c r="I59" s="28">
        <v>2</v>
      </c>
      <c r="J59" s="28"/>
    </row>
    <row r="60" spans="2:10">
      <c r="B60" s="16" t="str">
        <f t="shared" si="2"/>
        <v>0x2BD2</v>
      </c>
      <c r="C60" s="16" t="str">
        <f t="shared" si="3"/>
        <v>0x2BD3</v>
      </c>
      <c r="D60" s="16">
        <f t="shared" si="4"/>
        <v>11218</v>
      </c>
      <c r="E60" s="16">
        <f t="shared" si="5"/>
        <v>11219</v>
      </c>
      <c r="F60" s="20" t="s">
        <v>534</v>
      </c>
      <c r="G60" s="23" t="s">
        <v>315</v>
      </c>
      <c r="H60" s="28" t="s">
        <v>382</v>
      </c>
      <c r="I60" s="28">
        <v>2</v>
      </c>
      <c r="J60" s="28"/>
    </row>
    <row r="61" spans="2:10">
      <c r="B61" s="16" t="str">
        <f t="shared" si="2"/>
        <v>0x2BD4</v>
      </c>
      <c r="C61" s="16" t="str">
        <f t="shared" si="3"/>
        <v>0x2BD5</v>
      </c>
      <c r="D61" s="16">
        <f t="shared" si="4"/>
        <v>11220</v>
      </c>
      <c r="E61" s="16">
        <f t="shared" si="5"/>
        <v>11221</v>
      </c>
      <c r="F61" s="20" t="s">
        <v>535</v>
      </c>
      <c r="G61" s="23" t="s">
        <v>315</v>
      </c>
      <c r="H61" s="28" t="s">
        <v>382</v>
      </c>
      <c r="I61" s="28">
        <v>2</v>
      </c>
      <c r="J61" s="28"/>
    </row>
    <row r="62" spans="2:10">
      <c r="B62" s="16" t="str">
        <f t="shared" si="2"/>
        <v>0x2BD6</v>
      </c>
      <c r="C62" s="16" t="str">
        <f t="shared" si="3"/>
        <v>0x2BD7</v>
      </c>
      <c r="D62" s="16">
        <f t="shared" si="4"/>
        <v>11222</v>
      </c>
      <c r="E62" s="16">
        <f t="shared" si="5"/>
        <v>11223</v>
      </c>
      <c r="F62" s="20" t="s">
        <v>536</v>
      </c>
      <c r="G62" s="23" t="s">
        <v>521</v>
      </c>
      <c r="H62" s="28" t="s">
        <v>382</v>
      </c>
      <c r="I62" s="28">
        <v>2</v>
      </c>
      <c r="J62" s="28"/>
    </row>
    <row r="63" spans="2:10">
      <c r="B63" s="16" t="str">
        <f t="shared" ref="B63:B65" si="6">"0x"&amp;DEC2HEX(D63,4)</f>
        <v>0x2BD8</v>
      </c>
      <c r="C63" s="16" t="str">
        <f t="shared" ref="C63:C65" si="7">"0x"&amp;DEC2HEX(E63,4)</f>
        <v>0x2BD9</v>
      </c>
      <c r="D63" s="16">
        <f t="shared" ref="D63:D65" si="8">D62+I62</f>
        <v>11224</v>
      </c>
      <c r="E63" s="16">
        <f t="shared" ref="E63:E65" si="9">D63+I63-1</f>
        <v>11225</v>
      </c>
      <c r="F63" s="20" t="s">
        <v>537</v>
      </c>
      <c r="G63" s="23" t="s">
        <v>315</v>
      </c>
      <c r="H63" s="28" t="s">
        <v>301</v>
      </c>
      <c r="I63" s="28">
        <v>2</v>
      </c>
      <c r="J63" s="28"/>
    </row>
    <row r="64" spans="2:10">
      <c r="B64" s="16" t="str">
        <f t="shared" si="6"/>
        <v>0x2BDA</v>
      </c>
      <c r="C64" s="16" t="str">
        <f t="shared" si="7"/>
        <v>0x2BDA</v>
      </c>
      <c r="D64" s="16">
        <f t="shared" si="8"/>
        <v>11226</v>
      </c>
      <c r="E64" s="16">
        <f t="shared" si="9"/>
        <v>11226</v>
      </c>
      <c r="F64" s="50" t="s">
        <v>438</v>
      </c>
      <c r="G64" s="21" t="s">
        <v>146</v>
      </c>
      <c r="H64" s="21" t="s">
        <v>147</v>
      </c>
      <c r="I64" s="21">
        <v>1</v>
      </c>
      <c r="J64" s="21" t="s">
        <v>439</v>
      </c>
    </row>
    <row r="65" spans="1:11">
      <c r="B65" s="16" t="str">
        <f t="shared" si="6"/>
        <v>0x2BDB</v>
      </c>
      <c r="C65" s="16" t="str">
        <f t="shared" si="7"/>
        <v>0x2BDC</v>
      </c>
      <c r="D65" s="16">
        <f t="shared" si="8"/>
        <v>11227</v>
      </c>
      <c r="E65" s="16">
        <f t="shared" si="9"/>
        <v>11228</v>
      </c>
      <c r="F65" s="17" t="s">
        <v>538</v>
      </c>
      <c r="G65" s="23" t="s">
        <v>315</v>
      </c>
      <c r="H65" s="28" t="s">
        <v>301</v>
      </c>
      <c r="I65" s="28">
        <v>2</v>
      </c>
      <c r="J65" s="28"/>
    </row>
    <row r="66" spans="1:11">
      <c r="B66" s="16" t="str">
        <f t="shared" si="2"/>
        <v>0x2BDD</v>
      </c>
      <c r="C66" s="16" t="str">
        <f t="shared" si="3"/>
        <v>0x2BDE</v>
      </c>
      <c r="D66" s="16">
        <f t="shared" si="4"/>
        <v>11229</v>
      </c>
      <c r="E66" s="16">
        <f t="shared" si="5"/>
        <v>11230</v>
      </c>
      <c r="F66" s="17" t="s">
        <v>539</v>
      </c>
      <c r="G66" s="23" t="s">
        <v>315</v>
      </c>
      <c r="H66" s="28" t="s">
        <v>301</v>
      </c>
      <c r="I66" s="28">
        <v>2</v>
      </c>
      <c r="J66" s="28"/>
    </row>
    <row r="67" spans="1:11">
      <c r="B67" s="16" t="str">
        <f t="shared" si="2"/>
        <v>0x2BDF</v>
      </c>
      <c r="C67" s="16" t="str">
        <f t="shared" si="3"/>
        <v>0x2BE0</v>
      </c>
      <c r="D67" s="16">
        <f t="shared" si="4"/>
        <v>11231</v>
      </c>
      <c r="E67" s="16">
        <f t="shared" si="5"/>
        <v>11232</v>
      </c>
      <c r="F67" s="17" t="s">
        <v>540</v>
      </c>
      <c r="G67" s="23" t="s">
        <v>315</v>
      </c>
      <c r="H67" s="28" t="s">
        <v>301</v>
      </c>
      <c r="I67" s="28">
        <v>2</v>
      </c>
      <c r="J67" s="28"/>
    </row>
    <row r="68" spans="1:11">
      <c r="B68" s="16" t="str">
        <f t="shared" si="2"/>
        <v>0x2BE1</v>
      </c>
      <c r="C68" s="16" t="str">
        <f t="shared" si="3"/>
        <v>0x2BE2</v>
      </c>
      <c r="D68" s="16">
        <f t="shared" si="4"/>
        <v>11233</v>
      </c>
      <c r="E68" s="16">
        <f t="shared" si="5"/>
        <v>11234</v>
      </c>
      <c r="F68" s="17" t="s">
        <v>541</v>
      </c>
      <c r="G68" s="23" t="s">
        <v>521</v>
      </c>
      <c r="H68" s="28" t="s">
        <v>301</v>
      </c>
      <c r="I68" s="28">
        <v>2</v>
      </c>
      <c r="J68" s="28"/>
    </row>
    <row r="69" spans="1:11">
      <c r="B69" s="16" t="str">
        <f t="shared" ref="B69:B128" si="10">"0x"&amp;DEC2HEX(D69,4)</f>
        <v>0x2BE3</v>
      </c>
      <c r="C69" s="16" t="str">
        <f t="shared" ref="C69:C128" si="11">"0x"&amp;DEC2HEX(E69,4)</f>
        <v>0x2BE4</v>
      </c>
      <c r="D69" s="16">
        <f t="shared" ref="D69:D128" si="12">D68+I68</f>
        <v>11235</v>
      </c>
      <c r="E69" s="16">
        <f t="shared" ref="E69:E128" si="13">D69+I69-1</f>
        <v>11236</v>
      </c>
      <c r="F69" s="17" t="s">
        <v>542</v>
      </c>
      <c r="G69" s="23" t="s">
        <v>315</v>
      </c>
      <c r="H69" s="28" t="s">
        <v>301</v>
      </c>
      <c r="I69" s="28">
        <v>2</v>
      </c>
      <c r="J69" s="28"/>
    </row>
    <row r="70" spans="1:11">
      <c r="B70" s="16" t="str">
        <f t="shared" ref="B70:B71" si="14">"0x"&amp;DEC2HEX(D70,4)</f>
        <v>0x2BE5</v>
      </c>
      <c r="C70" s="16" t="str">
        <f t="shared" ref="C70:C71" si="15">"0x"&amp;DEC2HEX(E70,4)</f>
        <v>0x2C17</v>
      </c>
      <c r="D70" s="16">
        <f t="shared" ref="D70:D71" si="16">D69+I69</f>
        <v>11237</v>
      </c>
      <c r="E70" s="16">
        <f t="shared" ref="E70:E71" si="17">D70+I70-1</f>
        <v>11287</v>
      </c>
      <c r="F70" s="20" t="s">
        <v>543</v>
      </c>
      <c r="G70" s="23"/>
      <c r="H70" s="28" t="s">
        <v>301</v>
      </c>
      <c r="I70" s="28">
        <v>51</v>
      </c>
      <c r="J70" s="28"/>
    </row>
    <row r="71" spans="1:11">
      <c r="B71" s="16" t="str">
        <f t="shared" si="14"/>
        <v>0x2C18</v>
      </c>
      <c r="C71" s="16" t="str">
        <f t="shared" si="15"/>
        <v>0x2C18</v>
      </c>
      <c r="D71" s="16">
        <f t="shared" si="16"/>
        <v>11288</v>
      </c>
      <c r="E71" s="16">
        <f t="shared" si="17"/>
        <v>11288</v>
      </c>
      <c r="F71" s="50" t="s">
        <v>339</v>
      </c>
      <c r="G71" s="21" t="s">
        <v>146</v>
      </c>
      <c r="H71" s="21" t="s">
        <v>147</v>
      </c>
      <c r="I71" s="21">
        <v>1</v>
      </c>
      <c r="J71" s="21" t="s">
        <v>340</v>
      </c>
      <c r="K71">
        <v>1</v>
      </c>
    </row>
    <row r="72" spans="1:11">
      <c r="B72" s="16" t="str">
        <f t="shared" si="10"/>
        <v>0x2C19</v>
      </c>
      <c r="C72" s="16" t="str">
        <f t="shared" si="11"/>
        <v>0x2C1A</v>
      </c>
      <c r="D72" s="16">
        <f t="shared" si="12"/>
        <v>11289</v>
      </c>
      <c r="E72" s="16">
        <f t="shared" si="13"/>
        <v>11290</v>
      </c>
      <c r="F72" s="17" t="s">
        <v>544</v>
      </c>
      <c r="G72" s="23" t="s">
        <v>315</v>
      </c>
      <c r="H72" s="28" t="s">
        <v>382</v>
      </c>
      <c r="I72" s="28">
        <v>2</v>
      </c>
      <c r="J72" s="28"/>
    </row>
    <row r="73" spans="1:11">
      <c r="B73" s="16" t="str">
        <f t="shared" si="10"/>
        <v>0x2C1B</v>
      </c>
      <c r="C73" s="16" t="str">
        <f t="shared" si="11"/>
        <v>0x2C1C</v>
      </c>
      <c r="D73" s="16">
        <f t="shared" si="12"/>
        <v>11291</v>
      </c>
      <c r="E73" s="16">
        <f t="shared" si="13"/>
        <v>11292</v>
      </c>
      <c r="F73" s="17" t="s">
        <v>545</v>
      </c>
      <c r="G73" s="23" t="s">
        <v>315</v>
      </c>
      <c r="H73" s="28" t="s">
        <v>382</v>
      </c>
      <c r="I73" s="28">
        <v>2</v>
      </c>
      <c r="J73" s="28"/>
    </row>
    <row r="74" spans="1:11">
      <c r="B74" s="16" t="str">
        <f t="shared" si="10"/>
        <v>0x2C1D</v>
      </c>
      <c r="C74" s="16" t="str">
        <f t="shared" si="11"/>
        <v>0x2C1E</v>
      </c>
      <c r="D74" s="16">
        <f t="shared" si="12"/>
        <v>11293</v>
      </c>
      <c r="E74" s="16">
        <f t="shared" si="13"/>
        <v>11294</v>
      </c>
      <c r="F74" s="17" t="s">
        <v>546</v>
      </c>
      <c r="G74" s="23" t="s">
        <v>315</v>
      </c>
      <c r="H74" s="28" t="s">
        <v>382</v>
      </c>
      <c r="I74" s="28">
        <v>2</v>
      </c>
      <c r="J74" s="28"/>
    </row>
    <row r="75" spans="1:11">
      <c r="B75" s="16" t="str">
        <f t="shared" si="10"/>
        <v>0x2C1F</v>
      </c>
      <c r="C75" s="16" t="str">
        <f t="shared" si="11"/>
        <v>0x2C20</v>
      </c>
      <c r="D75" s="16">
        <f t="shared" si="12"/>
        <v>11295</v>
      </c>
      <c r="E75" s="16">
        <f t="shared" si="13"/>
        <v>11296</v>
      </c>
      <c r="F75" s="17" t="s">
        <v>547</v>
      </c>
      <c r="G75" s="23" t="s">
        <v>521</v>
      </c>
      <c r="H75" s="28" t="s">
        <v>382</v>
      </c>
      <c r="I75" s="28">
        <v>2</v>
      </c>
      <c r="J75" s="28"/>
    </row>
    <row r="76" spans="1:11">
      <c r="B76" s="16" t="str">
        <f t="shared" si="10"/>
        <v>0x2C21</v>
      </c>
      <c r="C76" s="16" t="str">
        <f t="shared" si="11"/>
        <v>0x2C22</v>
      </c>
      <c r="D76" s="16">
        <f t="shared" si="12"/>
        <v>11297</v>
      </c>
      <c r="E76" s="16">
        <f t="shared" si="13"/>
        <v>11298</v>
      </c>
      <c r="F76" s="17" t="s">
        <v>548</v>
      </c>
      <c r="G76" s="23" t="s">
        <v>315</v>
      </c>
      <c r="H76" s="28" t="s">
        <v>382</v>
      </c>
      <c r="I76" s="28">
        <v>2</v>
      </c>
      <c r="J76" s="28"/>
    </row>
    <row r="77" spans="1:11">
      <c r="A77" s="26" t="s">
        <v>51</v>
      </c>
      <c r="B77" s="16" t="str">
        <f t="shared" si="10"/>
        <v>0x2C23</v>
      </c>
      <c r="C77" s="16" t="str">
        <f t="shared" si="11"/>
        <v>0x2C24</v>
      </c>
      <c r="D77" s="16">
        <f t="shared" si="12"/>
        <v>11299</v>
      </c>
      <c r="E77" s="16">
        <f t="shared" si="13"/>
        <v>11300</v>
      </c>
      <c r="F77" s="17" t="s">
        <v>549</v>
      </c>
      <c r="G77" s="23" t="s">
        <v>550</v>
      </c>
      <c r="H77" s="28" t="s">
        <v>301</v>
      </c>
      <c r="I77" s="28">
        <v>2</v>
      </c>
      <c r="J77" s="28"/>
    </row>
    <row r="78" spans="1:11">
      <c r="B78" s="16" t="str">
        <f t="shared" si="10"/>
        <v>0x2C25</v>
      </c>
      <c r="C78" s="16" t="str">
        <f t="shared" si="11"/>
        <v>0x2C26</v>
      </c>
      <c r="D78" s="16">
        <f t="shared" si="12"/>
        <v>11301</v>
      </c>
      <c r="E78" s="16">
        <f t="shared" si="13"/>
        <v>11302</v>
      </c>
      <c r="F78" s="17" t="s">
        <v>551</v>
      </c>
      <c r="G78" s="23" t="s">
        <v>550</v>
      </c>
      <c r="H78" s="28" t="s">
        <v>301</v>
      </c>
      <c r="I78" s="28">
        <v>2</v>
      </c>
      <c r="J78" s="28"/>
    </row>
    <row r="79" spans="1:11">
      <c r="B79" s="16" t="str">
        <f t="shared" si="10"/>
        <v>0x2C27</v>
      </c>
      <c r="C79" s="16" t="str">
        <f t="shared" si="11"/>
        <v>0x2C28</v>
      </c>
      <c r="D79" s="16">
        <f t="shared" si="12"/>
        <v>11303</v>
      </c>
      <c r="E79" s="16">
        <f t="shared" si="13"/>
        <v>11304</v>
      </c>
      <c r="F79" s="17" t="s">
        <v>552</v>
      </c>
      <c r="G79" s="23" t="s">
        <v>550</v>
      </c>
      <c r="H79" s="28" t="s">
        <v>301</v>
      </c>
      <c r="I79" s="28">
        <v>2</v>
      </c>
      <c r="J79" s="28"/>
    </row>
    <row r="80" spans="1:11">
      <c r="B80" s="16" t="str">
        <f t="shared" si="10"/>
        <v>0x2C29</v>
      </c>
      <c r="C80" s="16" t="str">
        <f t="shared" si="11"/>
        <v>0x2C2A</v>
      </c>
      <c r="D80" s="16">
        <f t="shared" si="12"/>
        <v>11305</v>
      </c>
      <c r="E80" s="16">
        <f t="shared" si="13"/>
        <v>11306</v>
      </c>
      <c r="F80" s="17" t="s">
        <v>553</v>
      </c>
      <c r="G80" s="23" t="s">
        <v>550</v>
      </c>
      <c r="H80" s="28" t="s">
        <v>301</v>
      </c>
      <c r="I80" s="28">
        <v>2</v>
      </c>
      <c r="J80" s="28"/>
    </row>
    <row r="81" spans="2:10">
      <c r="B81" s="16" t="str">
        <f t="shared" si="10"/>
        <v>0x2C2B</v>
      </c>
      <c r="C81" s="16" t="str">
        <f t="shared" si="11"/>
        <v>0x2C2C</v>
      </c>
      <c r="D81" s="16">
        <f t="shared" si="12"/>
        <v>11307</v>
      </c>
      <c r="E81" s="16">
        <f t="shared" si="13"/>
        <v>11308</v>
      </c>
      <c r="F81" s="17" t="s">
        <v>554</v>
      </c>
      <c r="G81" s="23" t="s">
        <v>550</v>
      </c>
      <c r="H81" s="28" t="s">
        <v>301</v>
      </c>
      <c r="I81" s="28">
        <v>2</v>
      </c>
      <c r="J81" s="28"/>
    </row>
    <row r="82" spans="2:10">
      <c r="B82" s="16" t="str">
        <f t="shared" si="10"/>
        <v>0x2C2D</v>
      </c>
      <c r="C82" s="16" t="str">
        <f t="shared" si="11"/>
        <v>0x2C2E</v>
      </c>
      <c r="D82" s="16">
        <f t="shared" si="12"/>
        <v>11309</v>
      </c>
      <c r="E82" s="16">
        <f t="shared" si="13"/>
        <v>11310</v>
      </c>
      <c r="F82" s="17" t="s">
        <v>555</v>
      </c>
      <c r="G82" s="23" t="s">
        <v>550</v>
      </c>
      <c r="H82" s="28" t="s">
        <v>301</v>
      </c>
      <c r="I82" s="28">
        <v>2</v>
      </c>
      <c r="J82" s="28"/>
    </row>
    <row r="83" spans="2:10">
      <c r="B83" s="16" t="str">
        <f t="shared" si="10"/>
        <v>0x2C2F</v>
      </c>
      <c r="C83" s="16" t="str">
        <f t="shared" si="11"/>
        <v>0x2C30</v>
      </c>
      <c r="D83" s="16">
        <f t="shared" si="12"/>
        <v>11311</v>
      </c>
      <c r="E83" s="16">
        <f t="shared" si="13"/>
        <v>11312</v>
      </c>
      <c r="F83" s="24" t="s">
        <v>556</v>
      </c>
      <c r="G83" s="23" t="s">
        <v>550</v>
      </c>
      <c r="H83" s="28" t="s">
        <v>301</v>
      </c>
      <c r="I83" s="28">
        <v>2</v>
      </c>
      <c r="J83" s="28"/>
    </row>
    <row r="84" spans="2:10">
      <c r="B84" s="16" t="str">
        <f t="shared" si="10"/>
        <v>0x2C31</v>
      </c>
      <c r="C84" s="16" t="str">
        <f t="shared" si="11"/>
        <v>0x2C32</v>
      </c>
      <c r="D84" s="16">
        <f t="shared" si="12"/>
        <v>11313</v>
      </c>
      <c r="E84" s="16">
        <f t="shared" si="13"/>
        <v>11314</v>
      </c>
      <c r="F84" s="24" t="s">
        <v>557</v>
      </c>
      <c r="G84" s="23" t="s">
        <v>550</v>
      </c>
      <c r="H84" s="28" t="s">
        <v>301</v>
      </c>
      <c r="I84" s="28">
        <v>2</v>
      </c>
      <c r="J84" s="28"/>
    </row>
    <row r="85" spans="2:10">
      <c r="B85" s="16" t="str">
        <f t="shared" si="10"/>
        <v>0x2C33</v>
      </c>
      <c r="C85" s="16" t="str">
        <f t="shared" si="11"/>
        <v>0x2C34</v>
      </c>
      <c r="D85" s="16">
        <f t="shared" si="12"/>
        <v>11315</v>
      </c>
      <c r="E85" s="16">
        <f t="shared" si="13"/>
        <v>11316</v>
      </c>
      <c r="F85" s="17" t="s">
        <v>558</v>
      </c>
      <c r="G85" s="23" t="s">
        <v>550</v>
      </c>
      <c r="H85" s="28" t="s">
        <v>382</v>
      </c>
      <c r="I85" s="28">
        <v>2</v>
      </c>
      <c r="J85" s="28"/>
    </row>
    <row r="86" spans="2:10">
      <c r="B86" s="16" t="str">
        <f t="shared" si="10"/>
        <v>0x2C35</v>
      </c>
      <c r="C86" s="16" t="str">
        <f t="shared" si="11"/>
        <v>0x2C36</v>
      </c>
      <c r="D86" s="16">
        <f t="shared" si="12"/>
        <v>11317</v>
      </c>
      <c r="E86" s="16">
        <f t="shared" si="13"/>
        <v>11318</v>
      </c>
      <c r="F86" s="17" t="s">
        <v>559</v>
      </c>
      <c r="G86" s="23" t="s">
        <v>550</v>
      </c>
      <c r="H86" s="28" t="s">
        <v>382</v>
      </c>
      <c r="I86" s="28">
        <v>2</v>
      </c>
      <c r="J86" s="28"/>
    </row>
    <row r="87" spans="2:10">
      <c r="B87" s="16" t="str">
        <f t="shared" si="10"/>
        <v>0x2C37</v>
      </c>
      <c r="C87" s="16" t="str">
        <f t="shared" si="11"/>
        <v>0x2C38</v>
      </c>
      <c r="D87" s="16">
        <f t="shared" si="12"/>
        <v>11319</v>
      </c>
      <c r="E87" s="16">
        <f t="shared" si="13"/>
        <v>11320</v>
      </c>
      <c r="F87" s="17" t="s">
        <v>560</v>
      </c>
      <c r="G87" s="23" t="s">
        <v>550</v>
      </c>
      <c r="H87" s="28" t="s">
        <v>382</v>
      </c>
      <c r="I87" s="28">
        <v>2</v>
      </c>
      <c r="J87" s="28"/>
    </row>
    <row r="88" spans="2:10">
      <c r="B88" s="16" t="str">
        <f t="shared" si="10"/>
        <v>0x2C39</v>
      </c>
      <c r="C88" s="16" t="str">
        <f t="shared" si="11"/>
        <v>0x2C3A</v>
      </c>
      <c r="D88" s="16">
        <f t="shared" si="12"/>
        <v>11321</v>
      </c>
      <c r="E88" s="16">
        <f t="shared" si="13"/>
        <v>11322</v>
      </c>
      <c r="F88" s="17" t="s">
        <v>561</v>
      </c>
      <c r="G88" s="23" t="s">
        <v>550</v>
      </c>
      <c r="H88" s="28" t="s">
        <v>382</v>
      </c>
      <c r="I88" s="28">
        <v>2</v>
      </c>
      <c r="J88" s="28"/>
    </row>
    <row r="89" spans="2:10">
      <c r="B89" s="16" t="str">
        <f t="shared" si="10"/>
        <v>0x2C3B</v>
      </c>
      <c r="C89" s="16" t="str">
        <f t="shared" si="11"/>
        <v>0x2D38</v>
      </c>
      <c r="D89" s="16">
        <f t="shared" si="12"/>
        <v>11323</v>
      </c>
      <c r="E89" s="16">
        <f t="shared" si="13"/>
        <v>11576</v>
      </c>
      <c r="F89" s="17" t="s">
        <v>562</v>
      </c>
      <c r="G89" s="23" t="s">
        <v>550</v>
      </c>
      <c r="H89" s="28" t="s">
        <v>382</v>
      </c>
      <c r="I89" s="28">
        <v>254</v>
      </c>
      <c r="J89" s="28"/>
    </row>
    <row r="90" spans="2:10">
      <c r="B90" s="16" t="str">
        <f t="shared" si="10"/>
        <v>0x2D39</v>
      </c>
      <c r="C90" s="16" t="str">
        <f t="shared" si="11"/>
        <v>0x2E36</v>
      </c>
      <c r="D90" s="16">
        <f t="shared" si="12"/>
        <v>11577</v>
      </c>
      <c r="E90" s="16">
        <f t="shared" si="13"/>
        <v>11830</v>
      </c>
      <c r="F90" s="17" t="s">
        <v>563</v>
      </c>
      <c r="G90" s="23" t="s">
        <v>550</v>
      </c>
      <c r="H90" s="28" t="s">
        <v>382</v>
      </c>
      <c r="I90" s="28">
        <v>254</v>
      </c>
      <c r="J90" s="28"/>
    </row>
    <row r="91" spans="2:10">
      <c r="B91" s="16" t="str">
        <f t="shared" si="10"/>
        <v>0x2E37</v>
      </c>
      <c r="C91" s="16" t="str">
        <f t="shared" si="11"/>
        <v>0x2F34</v>
      </c>
      <c r="D91" s="16">
        <f t="shared" si="12"/>
        <v>11831</v>
      </c>
      <c r="E91" s="16">
        <f t="shared" si="13"/>
        <v>12084</v>
      </c>
      <c r="F91" s="17" t="s">
        <v>564</v>
      </c>
      <c r="G91" s="23" t="s">
        <v>550</v>
      </c>
      <c r="H91" s="28" t="s">
        <v>382</v>
      </c>
      <c r="I91" s="28">
        <v>254</v>
      </c>
      <c r="J91" s="28"/>
    </row>
    <row r="92" spans="2:10">
      <c r="B92" s="16" t="str">
        <f t="shared" si="10"/>
        <v>0x2F35</v>
      </c>
      <c r="C92" s="16" t="str">
        <f t="shared" si="11"/>
        <v>0x2F36</v>
      </c>
      <c r="D92" s="16">
        <f t="shared" si="12"/>
        <v>12085</v>
      </c>
      <c r="E92" s="16">
        <f t="shared" si="13"/>
        <v>12086</v>
      </c>
      <c r="F92" s="17" t="s">
        <v>565</v>
      </c>
      <c r="G92" s="23" t="s">
        <v>550</v>
      </c>
      <c r="H92" s="28" t="s">
        <v>382</v>
      </c>
      <c r="I92" s="28">
        <v>2</v>
      </c>
      <c r="J92" s="28"/>
    </row>
    <row r="93" spans="2:10">
      <c r="B93" s="16" t="str">
        <f t="shared" si="10"/>
        <v>0x2F37</v>
      </c>
      <c r="C93" s="16" t="str">
        <f t="shared" si="11"/>
        <v>0x2F38</v>
      </c>
      <c r="D93" s="16">
        <f t="shared" si="12"/>
        <v>12087</v>
      </c>
      <c r="E93" s="16">
        <f t="shared" si="13"/>
        <v>12088</v>
      </c>
      <c r="F93" s="17" t="s">
        <v>566</v>
      </c>
      <c r="G93" s="23" t="s">
        <v>550</v>
      </c>
      <c r="H93" s="28" t="s">
        <v>382</v>
      </c>
      <c r="I93" s="28">
        <v>2</v>
      </c>
      <c r="J93" s="28"/>
    </row>
    <row r="94" spans="2:10">
      <c r="B94" s="16" t="str">
        <f t="shared" si="10"/>
        <v>0x2F39</v>
      </c>
      <c r="C94" s="16" t="str">
        <f t="shared" si="11"/>
        <v>0x2F3A</v>
      </c>
      <c r="D94" s="16">
        <f t="shared" si="12"/>
        <v>12089</v>
      </c>
      <c r="E94" s="16">
        <f t="shared" si="13"/>
        <v>12090</v>
      </c>
      <c r="F94" s="17" t="s">
        <v>567</v>
      </c>
      <c r="G94" s="23" t="s">
        <v>550</v>
      </c>
      <c r="H94" s="28" t="s">
        <v>382</v>
      </c>
      <c r="I94" s="28">
        <v>2</v>
      </c>
      <c r="J94" s="28"/>
    </row>
    <row r="95" spans="2:10">
      <c r="B95" s="16" t="str">
        <f t="shared" si="10"/>
        <v>0x2F3B</v>
      </c>
      <c r="C95" s="16" t="str">
        <f t="shared" si="11"/>
        <v>0x2F3C</v>
      </c>
      <c r="D95" s="16">
        <f t="shared" si="12"/>
        <v>12091</v>
      </c>
      <c r="E95" s="16">
        <f t="shared" si="13"/>
        <v>12092</v>
      </c>
      <c r="F95" s="17" t="s">
        <v>568</v>
      </c>
      <c r="G95" s="23" t="s">
        <v>550</v>
      </c>
      <c r="H95" s="28" t="s">
        <v>382</v>
      </c>
      <c r="I95" s="28">
        <v>2</v>
      </c>
      <c r="J95" s="28"/>
    </row>
    <row r="96" spans="2:10">
      <c r="B96" s="16" t="str">
        <f t="shared" si="10"/>
        <v>0x2F3D</v>
      </c>
      <c r="C96" s="16" t="str">
        <f t="shared" si="11"/>
        <v>0x303A</v>
      </c>
      <c r="D96" s="16">
        <f t="shared" si="12"/>
        <v>12093</v>
      </c>
      <c r="E96" s="16">
        <f t="shared" si="13"/>
        <v>12346</v>
      </c>
      <c r="F96" s="17" t="s">
        <v>569</v>
      </c>
      <c r="G96" s="23" t="s">
        <v>550</v>
      </c>
      <c r="H96" s="28" t="s">
        <v>382</v>
      </c>
      <c r="I96" s="28">
        <v>254</v>
      </c>
      <c r="J96" s="28"/>
    </row>
    <row r="97" spans="2:10">
      <c r="B97" s="16" t="str">
        <f t="shared" si="10"/>
        <v>0x303B</v>
      </c>
      <c r="C97" s="16" t="str">
        <f t="shared" si="11"/>
        <v>0x3138</v>
      </c>
      <c r="D97" s="16">
        <f t="shared" si="12"/>
        <v>12347</v>
      </c>
      <c r="E97" s="16">
        <f t="shared" si="13"/>
        <v>12600</v>
      </c>
      <c r="F97" s="17" t="s">
        <v>570</v>
      </c>
      <c r="G97" s="23" t="s">
        <v>550</v>
      </c>
      <c r="H97" s="28" t="s">
        <v>382</v>
      </c>
      <c r="I97" s="28">
        <v>254</v>
      </c>
      <c r="J97" s="28"/>
    </row>
    <row r="98" spans="2:10">
      <c r="B98" s="16" t="str">
        <f t="shared" si="10"/>
        <v>0x3139</v>
      </c>
      <c r="C98" s="16" t="str">
        <f t="shared" si="11"/>
        <v>0x3236</v>
      </c>
      <c r="D98" s="16">
        <f t="shared" si="12"/>
        <v>12601</v>
      </c>
      <c r="E98" s="16">
        <f t="shared" si="13"/>
        <v>12854</v>
      </c>
      <c r="F98" s="17" t="s">
        <v>571</v>
      </c>
      <c r="G98" s="23" t="s">
        <v>550</v>
      </c>
      <c r="H98" s="28" t="s">
        <v>382</v>
      </c>
      <c r="I98" s="28">
        <v>254</v>
      </c>
      <c r="J98" s="28"/>
    </row>
    <row r="99" spans="2:10">
      <c r="B99" s="16" t="str">
        <f t="shared" si="10"/>
        <v>0x3237</v>
      </c>
      <c r="C99" s="16" t="str">
        <f t="shared" si="11"/>
        <v>0x3238</v>
      </c>
      <c r="D99" s="16">
        <f t="shared" si="12"/>
        <v>12855</v>
      </c>
      <c r="E99" s="16">
        <f t="shared" si="13"/>
        <v>12856</v>
      </c>
      <c r="F99" s="17" t="s">
        <v>572</v>
      </c>
      <c r="G99" s="23" t="s">
        <v>550</v>
      </c>
      <c r="H99" s="28" t="s">
        <v>382</v>
      </c>
      <c r="I99" s="28">
        <v>2</v>
      </c>
      <c r="J99" s="28"/>
    </row>
    <row r="100" spans="2:10">
      <c r="B100" s="16" t="str">
        <f t="shared" si="10"/>
        <v>0x3239</v>
      </c>
      <c r="C100" s="16" t="str">
        <f t="shared" si="11"/>
        <v>0x323A</v>
      </c>
      <c r="D100" s="16">
        <f t="shared" si="12"/>
        <v>12857</v>
      </c>
      <c r="E100" s="16">
        <f t="shared" si="13"/>
        <v>12858</v>
      </c>
      <c r="F100" s="17" t="s">
        <v>573</v>
      </c>
      <c r="G100" s="23" t="s">
        <v>550</v>
      </c>
      <c r="H100" s="28" t="s">
        <v>382</v>
      </c>
      <c r="I100" s="28">
        <v>2</v>
      </c>
      <c r="J100" s="28"/>
    </row>
    <row r="101" spans="2:10">
      <c r="B101" s="16" t="str">
        <f t="shared" si="10"/>
        <v>0x323B</v>
      </c>
      <c r="C101" s="16" t="str">
        <f t="shared" si="11"/>
        <v>0x323C</v>
      </c>
      <c r="D101" s="16">
        <f t="shared" si="12"/>
        <v>12859</v>
      </c>
      <c r="E101" s="16">
        <f t="shared" si="13"/>
        <v>12860</v>
      </c>
      <c r="F101" s="17" t="s">
        <v>574</v>
      </c>
      <c r="G101" s="23" t="s">
        <v>550</v>
      </c>
      <c r="H101" s="28" t="s">
        <v>382</v>
      </c>
      <c r="I101" s="28">
        <v>2</v>
      </c>
      <c r="J101" s="28"/>
    </row>
    <row r="102" spans="2:10">
      <c r="B102" s="16" t="str">
        <f t="shared" si="10"/>
        <v>0x323D</v>
      </c>
      <c r="C102" s="16" t="str">
        <f t="shared" si="11"/>
        <v>0x323E</v>
      </c>
      <c r="D102" s="16">
        <f t="shared" si="12"/>
        <v>12861</v>
      </c>
      <c r="E102" s="16">
        <f t="shared" si="13"/>
        <v>12862</v>
      </c>
      <c r="F102" s="17" t="s">
        <v>575</v>
      </c>
      <c r="G102" s="23" t="s">
        <v>550</v>
      </c>
      <c r="H102" s="28" t="s">
        <v>382</v>
      </c>
      <c r="I102" s="28">
        <v>2</v>
      </c>
      <c r="J102" s="28"/>
    </row>
    <row r="103" spans="2:10">
      <c r="B103" s="16" t="str">
        <f t="shared" si="10"/>
        <v>0x323F</v>
      </c>
      <c r="C103" s="16" t="str">
        <f t="shared" si="11"/>
        <v>0x333C</v>
      </c>
      <c r="D103" s="16">
        <f t="shared" si="12"/>
        <v>12863</v>
      </c>
      <c r="E103" s="16">
        <f t="shared" si="13"/>
        <v>13116</v>
      </c>
      <c r="F103" s="17" t="s">
        <v>576</v>
      </c>
      <c r="G103" s="23" t="s">
        <v>550</v>
      </c>
      <c r="H103" s="28" t="s">
        <v>382</v>
      </c>
      <c r="I103" s="28">
        <v>254</v>
      </c>
      <c r="J103" s="28"/>
    </row>
    <row r="104" spans="2:10">
      <c r="B104" s="16" t="str">
        <f t="shared" si="10"/>
        <v>0x333D</v>
      </c>
      <c r="C104" s="16" t="str">
        <f t="shared" si="11"/>
        <v>0x343A</v>
      </c>
      <c r="D104" s="16">
        <f t="shared" si="12"/>
        <v>13117</v>
      </c>
      <c r="E104" s="16">
        <f t="shared" si="13"/>
        <v>13370</v>
      </c>
      <c r="F104" s="17" t="s">
        <v>577</v>
      </c>
      <c r="G104" s="23" t="s">
        <v>550</v>
      </c>
      <c r="H104" s="28" t="s">
        <v>382</v>
      </c>
      <c r="I104" s="28">
        <v>254</v>
      </c>
      <c r="J104" s="28"/>
    </row>
    <row r="105" spans="2:10">
      <c r="B105" s="16" t="str">
        <f t="shared" si="10"/>
        <v>0x343B</v>
      </c>
      <c r="C105" s="16" t="str">
        <f t="shared" si="11"/>
        <v>0x3538</v>
      </c>
      <c r="D105" s="16">
        <f t="shared" si="12"/>
        <v>13371</v>
      </c>
      <c r="E105" s="16">
        <f t="shared" si="13"/>
        <v>13624</v>
      </c>
      <c r="F105" s="17" t="s">
        <v>578</v>
      </c>
      <c r="G105" s="23" t="s">
        <v>550</v>
      </c>
      <c r="H105" s="28" t="s">
        <v>382</v>
      </c>
      <c r="I105" s="28">
        <v>254</v>
      </c>
      <c r="J105" s="28"/>
    </row>
    <row r="106" spans="2:10">
      <c r="B106" s="16" t="str">
        <f t="shared" si="10"/>
        <v>0x3539</v>
      </c>
      <c r="C106" s="16" t="str">
        <f t="shared" si="11"/>
        <v>0x353A</v>
      </c>
      <c r="D106" s="16">
        <f t="shared" si="12"/>
        <v>13625</v>
      </c>
      <c r="E106" s="16">
        <f t="shared" si="13"/>
        <v>13626</v>
      </c>
      <c r="F106" s="17" t="s">
        <v>579</v>
      </c>
      <c r="G106" s="23" t="s">
        <v>550</v>
      </c>
      <c r="H106" s="28" t="s">
        <v>382</v>
      </c>
      <c r="I106" s="28">
        <v>2</v>
      </c>
      <c r="J106" s="28"/>
    </row>
    <row r="107" spans="2:10">
      <c r="B107" s="16" t="str">
        <f t="shared" si="10"/>
        <v>0x353B</v>
      </c>
      <c r="C107" s="16" t="str">
        <f t="shared" si="11"/>
        <v>0x353C</v>
      </c>
      <c r="D107" s="16">
        <f t="shared" si="12"/>
        <v>13627</v>
      </c>
      <c r="E107" s="16">
        <f t="shared" si="13"/>
        <v>13628</v>
      </c>
      <c r="F107" s="17" t="s">
        <v>580</v>
      </c>
      <c r="G107" s="23" t="s">
        <v>550</v>
      </c>
      <c r="H107" s="28" t="s">
        <v>382</v>
      </c>
      <c r="I107" s="28">
        <v>2</v>
      </c>
      <c r="J107" s="28"/>
    </row>
    <row r="108" spans="2:10">
      <c r="B108" s="16" t="str">
        <f t="shared" si="10"/>
        <v>0x353D</v>
      </c>
      <c r="C108" s="16" t="str">
        <f t="shared" si="11"/>
        <v>0x353E</v>
      </c>
      <c r="D108" s="16">
        <f t="shared" si="12"/>
        <v>13629</v>
      </c>
      <c r="E108" s="16">
        <f t="shared" si="13"/>
        <v>13630</v>
      </c>
      <c r="F108" s="17" t="s">
        <v>581</v>
      </c>
      <c r="G108" s="23" t="s">
        <v>550</v>
      </c>
      <c r="H108" s="28" t="s">
        <v>382</v>
      </c>
      <c r="I108" s="28">
        <v>2</v>
      </c>
      <c r="J108" s="28"/>
    </row>
    <row r="109" spans="2:10">
      <c r="B109" s="16" t="str">
        <f t="shared" si="10"/>
        <v>0x353F</v>
      </c>
      <c r="C109" s="16" t="str">
        <f t="shared" si="11"/>
        <v>0x3E5A</v>
      </c>
      <c r="D109" s="16">
        <f t="shared" si="12"/>
        <v>13631</v>
      </c>
      <c r="E109" s="16">
        <f t="shared" si="13"/>
        <v>15962</v>
      </c>
      <c r="F109" s="17" t="s">
        <v>582</v>
      </c>
      <c r="G109" s="23" t="s">
        <v>550</v>
      </c>
      <c r="H109" s="28" t="s">
        <v>382</v>
      </c>
      <c r="I109" s="28">
        <v>2332</v>
      </c>
      <c r="J109" s="28"/>
    </row>
    <row r="110" spans="2:10">
      <c r="B110" s="16" t="str">
        <f t="shared" si="10"/>
        <v>0x3E5B</v>
      </c>
      <c r="C110" s="16" t="str">
        <f t="shared" si="11"/>
        <v>0x3E5B</v>
      </c>
      <c r="D110" s="16">
        <f t="shared" si="12"/>
        <v>15963</v>
      </c>
      <c r="E110" s="16">
        <f t="shared" si="13"/>
        <v>15963</v>
      </c>
      <c r="F110" s="50" t="s">
        <v>438</v>
      </c>
      <c r="G110" s="21" t="s">
        <v>146</v>
      </c>
      <c r="H110" s="21" t="s">
        <v>147</v>
      </c>
      <c r="I110" s="21">
        <v>1</v>
      </c>
      <c r="J110" s="21" t="s">
        <v>439</v>
      </c>
    </row>
    <row r="111" spans="2:10">
      <c r="B111" s="16" t="str">
        <f t="shared" si="10"/>
        <v>0x3E5C</v>
      </c>
      <c r="C111" s="16" t="str">
        <f t="shared" si="11"/>
        <v>0x3E5D</v>
      </c>
      <c r="D111" s="16">
        <f t="shared" si="12"/>
        <v>15964</v>
      </c>
      <c r="E111" s="16">
        <f t="shared" si="13"/>
        <v>15965</v>
      </c>
      <c r="F111" s="15" t="s">
        <v>583</v>
      </c>
      <c r="G111" s="23" t="s">
        <v>550</v>
      </c>
      <c r="H111" s="28" t="s">
        <v>382</v>
      </c>
      <c r="I111" s="28">
        <v>2</v>
      </c>
      <c r="J111" s="28"/>
    </row>
    <row r="112" spans="2:10">
      <c r="B112" s="16" t="str">
        <f t="shared" si="10"/>
        <v>0x3E5E</v>
      </c>
      <c r="C112" s="16" t="str">
        <f t="shared" si="11"/>
        <v>0x3E5F</v>
      </c>
      <c r="D112" s="16">
        <f t="shared" si="12"/>
        <v>15966</v>
      </c>
      <c r="E112" s="16">
        <f t="shared" si="13"/>
        <v>15967</v>
      </c>
      <c r="F112" s="15" t="s">
        <v>584</v>
      </c>
      <c r="G112" s="23" t="s">
        <v>550</v>
      </c>
      <c r="H112" s="28" t="s">
        <v>382</v>
      </c>
      <c r="I112" s="28">
        <v>2</v>
      </c>
      <c r="J112" s="28"/>
    </row>
    <row r="113" spans="2:11">
      <c r="B113" s="16" t="str">
        <f t="shared" si="10"/>
        <v>0x3E60</v>
      </c>
      <c r="C113" s="16" t="str">
        <f t="shared" si="11"/>
        <v>0x3E61</v>
      </c>
      <c r="D113" s="16">
        <f t="shared" si="12"/>
        <v>15968</v>
      </c>
      <c r="E113" s="16">
        <f t="shared" si="13"/>
        <v>15969</v>
      </c>
      <c r="F113" s="15" t="s">
        <v>585</v>
      </c>
      <c r="G113" s="23" t="s">
        <v>550</v>
      </c>
      <c r="H113" s="28" t="s">
        <v>382</v>
      </c>
      <c r="I113" s="28">
        <v>2</v>
      </c>
      <c r="J113" s="28"/>
    </row>
    <row r="114" spans="2:11">
      <c r="B114" s="16" t="str">
        <f t="shared" si="10"/>
        <v>0x3E62</v>
      </c>
      <c r="C114" s="16" t="str">
        <f t="shared" si="11"/>
        <v>0x3E63</v>
      </c>
      <c r="D114" s="16">
        <f t="shared" si="12"/>
        <v>15970</v>
      </c>
      <c r="E114" s="16">
        <f t="shared" si="13"/>
        <v>15971</v>
      </c>
      <c r="F114" s="15" t="s">
        <v>586</v>
      </c>
      <c r="G114" s="23" t="s">
        <v>550</v>
      </c>
      <c r="H114" s="28" t="s">
        <v>382</v>
      </c>
      <c r="I114" s="28">
        <v>2</v>
      </c>
      <c r="J114" s="28"/>
    </row>
    <row r="115" spans="2:11">
      <c r="B115" s="16" t="str">
        <f t="shared" si="10"/>
        <v>0x3E64</v>
      </c>
      <c r="C115" s="16" t="str">
        <f t="shared" si="11"/>
        <v>0x3E65</v>
      </c>
      <c r="D115" s="16">
        <f t="shared" si="12"/>
        <v>15972</v>
      </c>
      <c r="E115" s="16">
        <f t="shared" si="13"/>
        <v>15973</v>
      </c>
      <c r="F115" s="17" t="s">
        <v>587</v>
      </c>
      <c r="G115" s="23" t="s">
        <v>550</v>
      </c>
      <c r="H115" s="28" t="s">
        <v>382</v>
      </c>
      <c r="I115" s="28">
        <v>2</v>
      </c>
      <c r="J115" s="28"/>
    </row>
    <row r="116" spans="2:11">
      <c r="B116" s="16" t="str">
        <f t="shared" si="10"/>
        <v>0x3E66</v>
      </c>
      <c r="C116" s="16" t="str">
        <f t="shared" si="11"/>
        <v>0x3E67</v>
      </c>
      <c r="D116" s="16">
        <f t="shared" si="12"/>
        <v>15974</v>
      </c>
      <c r="E116" s="16">
        <f t="shared" si="13"/>
        <v>15975</v>
      </c>
      <c r="F116" s="15" t="s">
        <v>588</v>
      </c>
      <c r="G116" s="23" t="s">
        <v>550</v>
      </c>
      <c r="H116" s="28" t="s">
        <v>382</v>
      </c>
      <c r="I116" s="28">
        <v>2</v>
      </c>
      <c r="J116" s="28"/>
    </row>
    <row r="117" spans="2:11">
      <c r="B117" s="16" t="str">
        <f t="shared" si="10"/>
        <v>0x3E68</v>
      </c>
      <c r="C117" s="16" t="str">
        <f t="shared" si="11"/>
        <v>0x3EE5</v>
      </c>
      <c r="D117" s="16">
        <f t="shared" si="12"/>
        <v>15976</v>
      </c>
      <c r="E117" s="16">
        <f t="shared" si="13"/>
        <v>16101</v>
      </c>
      <c r="F117" s="17" t="s">
        <v>589</v>
      </c>
      <c r="G117" s="23" t="s">
        <v>550</v>
      </c>
      <c r="H117" s="28" t="s">
        <v>382</v>
      </c>
      <c r="I117" s="28">
        <v>126</v>
      </c>
      <c r="J117" s="28"/>
    </row>
    <row r="118" spans="2:11">
      <c r="B118" s="16" t="str">
        <f t="shared" si="10"/>
        <v>0x3EE6</v>
      </c>
      <c r="C118" s="16" t="str">
        <f t="shared" si="11"/>
        <v>0x3F63</v>
      </c>
      <c r="D118" s="16">
        <f t="shared" si="12"/>
        <v>16102</v>
      </c>
      <c r="E118" s="16">
        <f t="shared" si="13"/>
        <v>16227</v>
      </c>
      <c r="F118" s="17" t="s">
        <v>590</v>
      </c>
      <c r="G118" s="23" t="s">
        <v>550</v>
      </c>
      <c r="H118" s="28" t="s">
        <v>382</v>
      </c>
      <c r="I118" s="28">
        <v>126</v>
      </c>
      <c r="J118" s="28"/>
    </row>
    <row r="119" spans="2:11">
      <c r="B119" s="16" t="str">
        <f t="shared" si="10"/>
        <v>0x3F64</v>
      </c>
      <c r="C119" s="16" t="str">
        <f t="shared" si="11"/>
        <v>0x3FE1</v>
      </c>
      <c r="D119" s="16">
        <f t="shared" si="12"/>
        <v>16228</v>
      </c>
      <c r="E119" s="16">
        <f t="shared" si="13"/>
        <v>16353</v>
      </c>
      <c r="F119" s="17" t="s">
        <v>591</v>
      </c>
      <c r="G119" s="23" t="s">
        <v>550</v>
      </c>
      <c r="H119" s="28" t="s">
        <v>382</v>
      </c>
      <c r="I119" s="28">
        <v>126</v>
      </c>
      <c r="J119" s="28"/>
    </row>
    <row r="120" spans="2:11">
      <c r="B120" s="16" t="str">
        <f t="shared" si="10"/>
        <v>0x3FE2</v>
      </c>
      <c r="C120" s="16" t="str">
        <f t="shared" si="11"/>
        <v>0x3FE2</v>
      </c>
      <c r="D120" s="16">
        <f t="shared" si="12"/>
        <v>16354</v>
      </c>
      <c r="E120" s="16">
        <f t="shared" si="13"/>
        <v>16354</v>
      </c>
      <c r="F120" s="50" t="s">
        <v>339</v>
      </c>
      <c r="G120" s="21" t="s">
        <v>146</v>
      </c>
      <c r="H120" s="21" t="s">
        <v>147</v>
      </c>
      <c r="I120" s="21">
        <v>1</v>
      </c>
      <c r="J120" s="21" t="s">
        <v>340</v>
      </c>
      <c r="K120">
        <v>1</v>
      </c>
    </row>
    <row r="121" spans="2:11">
      <c r="B121" s="16" t="str">
        <f t="shared" si="10"/>
        <v>0x3FE3</v>
      </c>
      <c r="C121" s="16" t="str">
        <f t="shared" si="11"/>
        <v>0x3FE4</v>
      </c>
      <c r="D121" s="16">
        <f t="shared" si="12"/>
        <v>16355</v>
      </c>
      <c r="E121" s="16">
        <f t="shared" si="13"/>
        <v>16356</v>
      </c>
      <c r="F121" s="15" t="s">
        <v>592</v>
      </c>
      <c r="G121" s="23" t="s">
        <v>550</v>
      </c>
      <c r="H121" s="28" t="s">
        <v>382</v>
      </c>
      <c r="I121" s="28">
        <v>2</v>
      </c>
      <c r="J121" s="28"/>
    </row>
    <row r="122" spans="2:11">
      <c r="B122" s="16" t="str">
        <f t="shared" si="10"/>
        <v>0x3FE5</v>
      </c>
      <c r="C122" s="16" t="str">
        <f t="shared" si="11"/>
        <v>0x3FE6</v>
      </c>
      <c r="D122" s="16">
        <f t="shared" si="12"/>
        <v>16357</v>
      </c>
      <c r="E122" s="16">
        <f t="shared" si="13"/>
        <v>16358</v>
      </c>
      <c r="F122" s="15" t="s">
        <v>593</v>
      </c>
      <c r="G122" s="23" t="s">
        <v>550</v>
      </c>
      <c r="H122" s="28" t="s">
        <v>382</v>
      </c>
      <c r="I122" s="28">
        <v>2</v>
      </c>
      <c r="J122" s="28"/>
    </row>
    <row r="123" spans="2:11">
      <c r="B123" s="16" t="str">
        <f t="shared" si="10"/>
        <v>0x3FE7</v>
      </c>
      <c r="C123" s="16" t="str">
        <f t="shared" si="11"/>
        <v>0x3FE8</v>
      </c>
      <c r="D123" s="16">
        <f t="shared" si="12"/>
        <v>16359</v>
      </c>
      <c r="E123" s="16">
        <f t="shared" si="13"/>
        <v>16360</v>
      </c>
      <c r="F123" s="15" t="s">
        <v>594</v>
      </c>
      <c r="G123" s="23" t="s">
        <v>550</v>
      </c>
      <c r="H123" s="28" t="s">
        <v>382</v>
      </c>
      <c r="I123" s="28">
        <v>2</v>
      </c>
      <c r="J123" s="28"/>
    </row>
    <row r="124" spans="2:11">
      <c r="B124" s="16" t="str">
        <f t="shared" si="10"/>
        <v>0x3FE9</v>
      </c>
      <c r="C124" s="16" t="str">
        <f t="shared" si="11"/>
        <v>0x3FEA</v>
      </c>
      <c r="D124" s="16">
        <f t="shared" si="12"/>
        <v>16361</v>
      </c>
      <c r="E124" s="16">
        <f t="shared" si="13"/>
        <v>16362</v>
      </c>
      <c r="F124" s="15" t="s">
        <v>595</v>
      </c>
      <c r="G124" s="23" t="s">
        <v>550</v>
      </c>
      <c r="H124" s="28" t="s">
        <v>382</v>
      </c>
      <c r="I124" s="28">
        <v>2</v>
      </c>
      <c r="J124" s="28"/>
    </row>
    <row r="125" spans="2:11">
      <c r="B125" s="16" t="str">
        <f t="shared" si="10"/>
        <v>0x3FEB</v>
      </c>
      <c r="C125" s="16" t="str">
        <f t="shared" si="11"/>
        <v>0x3FEC</v>
      </c>
      <c r="D125" s="16">
        <f t="shared" si="12"/>
        <v>16363</v>
      </c>
      <c r="E125" s="16">
        <f t="shared" si="13"/>
        <v>16364</v>
      </c>
      <c r="F125" s="15" t="s">
        <v>596</v>
      </c>
      <c r="G125" s="23" t="s">
        <v>550</v>
      </c>
      <c r="H125" s="28" t="s">
        <v>382</v>
      </c>
      <c r="I125" s="28">
        <v>2</v>
      </c>
      <c r="J125" s="28"/>
    </row>
    <row r="126" spans="2:11">
      <c r="B126" s="16" t="str">
        <f t="shared" si="10"/>
        <v>0x3FED</v>
      </c>
      <c r="C126" s="16" t="str">
        <f t="shared" si="11"/>
        <v>0x3FEE</v>
      </c>
      <c r="D126" s="16">
        <f t="shared" si="12"/>
        <v>16365</v>
      </c>
      <c r="E126" s="16">
        <f t="shared" si="13"/>
        <v>16366</v>
      </c>
      <c r="F126" s="15" t="s">
        <v>597</v>
      </c>
      <c r="G126" s="23" t="s">
        <v>550</v>
      </c>
      <c r="H126" s="28" t="s">
        <v>382</v>
      </c>
      <c r="I126" s="28">
        <v>2</v>
      </c>
      <c r="J126" s="28"/>
    </row>
    <row r="127" spans="2:11">
      <c r="B127" s="16" t="str">
        <f t="shared" si="10"/>
        <v>0x3FEF</v>
      </c>
      <c r="C127" s="16" t="str">
        <f t="shared" si="11"/>
        <v>0x3FF0</v>
      </c>
      <c r="D127" s="16">
        <f t="shared" si="12"/>
        <v>16367</v>
      </c>
      <c r="E127" s="16">
        <f t="shared" si="13"/>
        <v>16368</v>
      </c>
      <c r="F127" s="17" t="s">
        <v>598</v>
      </c>
      <c r="G127" s="23" t="s">
        <v>550</v>
      </c>
      <c r="H127" s="28" t="s">
        <v>382</v>
      </c>
      <c r="I127" s="28">
        <v>2</v>
      </c>
      <c r="J127" s="28"/>
    </row>
    <row r="128" spans="2:11">
      <c r="B128" s="16" t="str">
        <f t="shared" si="10"/>
        <v>0x3FF1</v>
      </c>
      <c r="C128" s="16" t="str">
        <f t="shared" si="11"/>
        <v>0x3FF2</v>
      </c>
      <c r="D128" s="16">
        <f t="shared" si="12"/>
        <v>16369</v>
      </c>
      <c r="E128" s="16">
        <f t="shared" si="13"/>
        <v>16370</v>
      </c>
      <c r="F128" s="17" t="s">
        <v>599</v>
      </c>
      <c r="G128" s="23" t="s">
        <v>550</v>
      </c>
      <c r="H128" s="28" t="s">
        <v>301</v>
      </c>
      <c r="I128" s="28">
        <v>2</v>
      </c>
      <c r="J128" s="28"/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E134-7002-4E52-A0B3-F716D5000769}">
  <dimension ref="A1:L134"/>
  <sheetViews>
    <sheetView workbookViewId="0">
      <selection activeCell="F110" sqref="F110:J110"/>
    </sheetView>
  </sheetViews>
  <sheetFormatPr defaultRowHeight="13.5"/>
  <cols>
    <col min="1" max="1" width="21.375" customWidth="1"/>
    <col min="2" max="2" width="16" customWidth="1"/>
    <col min="3" max="3" width="7.625" bestFit="1" customWidth="1"/>
    <col min="4" max="4" width="10.125" customWidth="1"/>
    <col min="5" max="5" width="9.875" customWidth="1"/>
    <col min="6" max="6" width="45.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26" t="s">
        <v>55</v>
      </c>
      <c r="B2" s="16" t="str">
        <f t="shared" ref="B2:C3" si="0">"0x"&amp;DEC2HEX(D2,4)</f>
        <v>0x4000</v>
      </c>
      <c r="C2" s="16" t="str">
        <f t="shared" si="0"/>
        <v>0x4003</v>
      </c>
      <c r="D2" s="16">
        <v>16384</v>
      </c>
      <c r="E2" s="16">
        <f t="shared" ref="E2:E3" si="1">D2+I2-1</f>
        <v>16387</v>
      </c>
      <c r="F2" s="20" t="s">
        <v>600</v>
      </c>
      <c r="G2" s="17" t="s">
        <v>505</v>
      </c>
      <c r="H2" s="28" t="s">
        <v>301</v>
      </c>
      <c r="I2" s="28">
        <v>4</v>
      </c>
      <c r="J2" s="28"/>
    </row>
    <row r="3" spans="1:12">
      <c r="B3" s="16" t="str">
        <f t="shared" si="0"/>
        <v>0x4004</v>
      </c>
      <c r="C3" s="16" t="str">
        <f t="shared" si="0"/>
        <v>0x4004</v>
      </c>
      <c r="D3" s="16">
        <f>D2+I2</f>
        <v>16388</v>
      </c>
      <c r="E3" s="16">
        <f t="shared" si="1"/>
        <v>16388</v>
      </c>
      <c r="F3" s="20" t="s">
        <v>601</v>
      </c>
      <c r="G3" s="17" t="s">
        <v>507</v>
      </c>
      <c r="H3" s="28" t="s">
        <v>301</v>
      </c>
      <c r="I3" s="28">
        <v>1</v>
      </c>
      <c r="J3" s="28"/>
    </row>
    <row r="4" spans="1:12">
      <c r="B4" s="16" t="str">
        <f t="shared" ref="B4:B68" si="2">"0x"&amp;DEC2HEX(D4,4)</f>
        <v>0x4005</v>
      </c>
      <c r="C4" s="16" t="str">
        <f t="shared" ref="C4:C68" si="3">"0x"&amp;DEC2HEX(E4,4)</f>
        <v>0x4005</v>
      </c>
      <c r="D4" s="16">
        <f t="shared" ref="D4:D68" si="4">D3+I3</f>
        <v>16389</v>
      </c>
      <c r="E4" s="16">
        <f t="shared" ref="E4:E68" si="5">D4+I4-1</f>
        <v>16389</v>
      </c>
      <c r="F4" s="42" t="s">
        <v>602</v>
      </c>
      <c r="G4" s="17" t="s">
        <v>507</v>
      </c>
      <c r="H4" s="28" t="s">
        <v>301</v>
      </c>
      <c r="I4" s="28">
        <v>1</v>
      </c>
      <c r="J4" s="28"/>
    </row>
    <row r="5" spans="1:12">
      <c r="B5" s="16" t="str">
        <f t="shared" si="2"/>
        <v>0x4006</v>
      </c>
      <c r="C5" s="16" t="str">
        <f t="shared" si="3"/>
        <v>0x4006</v>
      </c>
      <c r="D5" s="16">
        <f t="shared" si="4"/>
        <v>16390</v>
      </c>
      <c r="E5" s="16">
        <f t="shared" si="5"/>
        <v>16390</v>
      </c>
      <c r="F5" s="20" t="s">
        <v>603</v>
      </c>
      <c r="G5" s="17" t="s">
        <v>507</v>
      </c>
      <c r="H5" s="28" t="s">
        <v>301</v>
      </c>
      <c r="I5" s="28">
        <v>1</v>
      </c>
      <c r="J5" s="28"/>
    </row>
    <row r="6" spans="1:12">
      <c r="B6" s="16" t="str">
        <f t="shared" si="2"/>
        <v>0x4007</v>
      </c>
      <c r="C6" s="16" t="str">
        <f t="shared" si="3"/>
        <v>0x4008</v>
      </c>
      <c r="D6" s="16">
        <f t="shared" si="4"/>
        <v>16391</v>
      </c>
      <c r="E6" s="16">
        <f t="shared" si="5"/>
        <v>16392</v>
      </c>
      <c r="F6" s="23" t="s">
        <v>366</v>
      </c>
      <c r="G6" s="23" t="s">
        <v>315</v>
      </c>
      <c r="H6" s="28" t="s">
        <v>301</v>
      </c>
      <c r="I6" s="28">
        <v>2</v>
      </c>
      <c r="J6" s="28"/>
    </row>
    <row r="7" spans="1:12">
      <c r="B7" s="16" t="str">
        <f t="shared" si="2"/>
        <v>0x4009</v>
      </c>
      <c r="C7" s="16" t="str">
        <f t="shared" si="3"/>
        <v>0x400A</v>
      </c>
      <c r="D7" s="16">
        <f t="shared" si="4"/>
        <v>16393</v>
      </c>
      <c r="E7" s="16">
        <f t="shared" si="5"/>
        <v>16394</v>
      </c>
      <c r="F7" s="23" t="s">
        <v>367</v>
      </c>
      <c r="G7" s="23" t="s">
        <v>315</v>
      </c>
      <c r="H7" s="28" t="s">
        <v>301</v>
      </c>
      <c r="I7" s="28">
        <v>2</v>
      </c>
      <c r="J7" s="28"/>
    </row>
    <row r="8" spans="1:12">
      <c r="B8" s="16" t="str">
        <f t="shared" si="2"/>
        <v>0x400B</v>
      </c>
      <c r="C8" s="16" t="str">
        <f t="shared" si="3"/>
        <v>0x400C</v>
      </c>
      <c r="D8" s="16">
        <f t="shared" si="4"/>
        <v>16395</v>
      </c>
      <c r="E8" s="16">
        <f t="shared" si="5"/>
        <v>16396</v>
      </c>
      <c r="F8" s="23" t="s">
        <v>368</v>
      </c>
      <c r="G8" s="23" t="s">
        <v>315</v>
      </c>
      <c r="H8" s="28" t="s">
        <v>301</v>
      </c>
      <c r="I8" s="28">
        <v>2</v>
      </c>
      <c r="J8" s="28"/>
    </row>
    <row r="9" spans="1:12">
      <c r="B9" s="16" t="str">
        <f t="shared" si="2"/>
        <v>0x400D</v>
      </c>
      <c r="C9" s="16" t="str">
        <f t="shared" si="3"/>
        <v>0x400E</v>
      </c>
      <c r="D9" s="16">
        <f t="shared" si="4"/>
        <v>16397</v>
      </c>
      <c r="E9" s="16">
        <f t="shared" si="5"/>
        <v>16398</v>
      </c>
      <c r="F9" s="23" t="s">
        <v>369</v>
      </c>
      <c r="G9" s="23" t="s">
        <v>315</v>
      </c>
      <c r="H9" s="28" t="s">
        <v>301</v>
      </c>
      <c r="I9" s="28">
        <v>2</v>
      </c>
      <c r="J9" s="28"/>
    </row>
    <row r="10" spans="1:12">
      <c r="B10" s="16" t="str">
        <f t="shared" si="2"/>
        <v>0x400F</v>
      </c>
      <c r="C10" s="16" t="str">
        <f t="shared" si="3"/>
        <v>0x4010</v>
      </c>
      <c r="D10" s="16">
        <f t="shared" si="4"/>
        <v>16399</v>
      </c>
      <c r="E10" s="16">
        <f t="shared" si="5"/>
        <v>16400</v>
      </c>
      <c r="F10" s="23" t="s">
        <v>370</v>
      </c>
      <c r="G10" s="23" t="s">
        <v>315</v>
      </c>
      <c r="H10" s="28" t="s">
        <v>301</v>
      </c>
      <c r="I10" s="28">
        <v>2</v>
      </c>
      <c r="J10" s="28"/>
    </row>
    <row r="11" spans="1:12">
      <c r="B11" s="16" t="str">
        <f t="shared" si="2"/>
        <v>0x4011</v>
      </c>
      <c r="C11" s="16" t="str">
        <f t="shared" si="3"/>
        <v>0x4012</v>
      </c>
      <c r="D11" s="16">
        <f t="shared" si="4"/>
        <v>16401</v>
      </c>
      <c r="E11" s="16">
        <f t="shared" si="5"/>
        <v>16402</v>
      </c>
      <c r="F11" s="23" t="s">
        <v>371</v>
      </c>
      <c r="G11" s="23" t="s">
        <v>315</v>
      </c>
      <c r="H11" s="28" t="s">
        <v>301</v>
      </c>
      <c r="I11" s="28">
        <v>2</v>
      </c>
      <c r="J11" s="28"/>
    </row>
    <row r="12" spans="1:12">
      <c r="B12" s="16" t="str">
        <f t="shared" si="2"/>
        <v>0x4013</v>
      </c>
      <c r="C12" s="16" t="str">
        <f t="shared" si="3"/>
        <v>0x4014</v>
      </c>
      <c r="D12" s="16">
        <f t="shared" si="4"/>
        <v>16403</v>
      </c>
      <c r="E12" s="16">
        <f t="shared" si="5"/>
        <v>16404</v>
      </c>
      <c r="F12" s="23" t="s">
        <v>372</v>
      </c>
      <c r="G12" s="23" t="s">
        <v>315</v>
      </c>
      <c r="H12" s="28" t="s">
        <v>301</v>
      </c>
      <c r="I12" s="28">
        <v>2</v>
      </c>
      <c r="J12" s="28"/>
    </row>
    <row r="13" spans="1:12">
      <c r="B13" s="16" t="str">
        <f t="shared" si="2"/>
        <v>0x4015</v>
      </c>
      <c r="C13" s="16" t="str">
        <f t="shared" si="3"/>
        <v>0x4016</v>
      </c>
      <c r="D13" s="16">
        <f t="shared" si="4"/>
        <v>16405</v>
      </c>
      <c r="E13" s="16">
        <f t="shared" si="5"/>
        <v>16406</v>
      </c>
      <c r="F13" s="23" t="s">
        <v>373</v>
      </c>
      <c r="G13" s="23" t="s">
        <v>315</v>
      </c>
      <c r="H13" s="28" t="s">
        <v>301</v>
      </c>
      <c r="I13" s="28">
        <v>2</v>
      </c>
      <c r="J13" s="28"/>
    </row>
    <row r="14" spans="1:12">
      <c r="B14" s="16" t="str">
        <f t="shared" si="2"/>
        <v>0x4017</v>
      </c>
      <c r="C14" s="16" t="str">
        <f t="shared" si="3"/>
        <v>0x4018</v>
      </c>
      <c r="D14" s="16">
        <f t="shared" si="4"/>
        <v>16407</v>
      </c>
      <c r="E14" s="16">
        <f t="shared" si="5"/>
        <v>16408</v>
      </c>
      <c r="F14" s="23" t="s">
        <v>374</v>
      </c>
      <c r="G14" s="23" t="s">
        <v>315</v>
      </c>
      <c r="H14" s="28" t="s">
        <v>301</v>
      </c>
      <c r="I14" s="28">
        <v>2</v>
      </c>
      <c r="J14" s="28"/>
    </row>
    <row r="15" spans="1:12">
      <c r="B15" s="16" t="str">
        <f t="shared" si="2"/>
        <v>0x4019</v>
      </c>
      <c r="C15" s="16" t="str">
        <f t="shared" si="3"/>
        <v>0x401A</v>
      </c>
      <c r="D15" s="16">
        <f t="shared" si="4"/>
        <v>16409</v>
      </c>
      <c r="E15" s="16">
        <f t="shared" si="5"/>
        <v>16410</v>
      </c>
      <c r="F15" s="23" t="s">
        <v>375</v>
      </c>
      <c r="G15" s="23" t="s">
        <v>315</v>
      </c>
      <c r="H15" s="28" t="s">
        <v>301</v>
      </c>
      <c r="I15" s="28">
        <v>2</v>
      </c>
      <c r="J15" s="28"/>
    </row>
    <row r="16" spans="1:12">
      <c r="B16" s="16" t="str">
        <f t="shared" si="2"/>
        <v>0x401B</v>
      </c>
      <c r="C16" s="16" t="str">
        <f t="shared" si="3"/>
        <v>0x401C</v>
      </c>
      <c r="D16" s="16">
        <f t="shared" si="4"/>
        <v>16411</v>
      </c>
      <c r="E16" s="16">
        <f t="shared" si="5"/>
        <v>16412</v>
      </c>
      <c r="F16" s="23" t="s">
        <v>376</v>
      </c>
      <c r="G16" s="23" t="s">
        <v>315</v>
      </c>
      <c r="H16" s="28" t="s">
        <v>301</v>
      </c>
      <c r="I16" s="28">
        <v>2</v>
      </c>
      <c r="J16" s="28"/>
    </row>
    <row r="17" spans="2:10">
      <c r="B17" s="16" t="str">
        <f t="shared" si="2"/>
        <v>0x401D</v>
      </c>
      <c r="C17" s="16" t="str">
        <f t="shared" si="3"/>
        <v>0x401E</v>
      </c>
      <c r="D17" s="16">
        <f t="shared" si="4"/>
        <v>16413</v>
      </c>
      <c r="E17" s="16">
        <f t="shared" si="5"/>
        <v>16414</v>
      </c>
      <c r="F17" s="23" t="s">
        <v>377</v>
      </c>
      <c r="G17" s="23" t="s">
        <v>315</v>
      </c>
      <c r="H17" s="28" t="s">
        <v>301</v>
      </c>
      <c r="I17" s="28">
        <v>2</v>
      </c>
      <c r="J17" s="28"/>
    </row>
    <row r="18" spans="2:10">
      <c r="B18" s="16" t="str">
        <f t="shared" si="2"/>
        <v>0x401F</v>
      </c>
      <c r="C18" s="16" t="str">
        <f t="shared" si="3"/>
        <v>0x4020</v>
      </c>
      <c r="D18" s="16">
        <f t="shared" si="4"/>
        <v>16415</v>
      </c>
      <c r="E18" s="16">
        <f t="shared" si="5"/>
        <v>16416</v>
      </c>
      <c r="F18" s="23" t="s">
        <v>378</v>
      </c>
      <c r="G18" s="23" t="s">
        <v>315</v>
      </c>
      <c r="H18" s="28" t="s">
        <v>301</v>
      </c>
      <c r="I18" s="28">
        <v>2</v>
      </c>
      <c r="J18" s="28"/>
    </row>
    <row r="19" spans="2:10">
      <c r="B19" s="16" t="str">
        <f t="shared" si="2"/>
        <v>0x4021</v>
      </c>
      <c r="C19" s="16" t="str">
        <f t="shared" si="3"/>
        <v>0x4022</v>
      </c>
      <c r="D19" s="16">
        <f t="shared" si="4"/>
        <v>16417</v>
      </c>
      <c r="E19" s="16">
        <f t="shared" si="5"/>
        <v>16418</v>
      </c>
      <c r="F19" s="23" t="s">
        <v>379</v>
      </c>
      <c r="G19" s="23" t="s">
        <v>315</v>
      </c>
      <c r="H19" s="28" t="s">
        <v>301</v>
      </c>
      <c r="I19" s="28">
        <v>2</v>
      </c>
      <c r="J19" s="28"/>
    </row>
    <row r="20" spans="2:10">
      <c r="B20" s="16" t="str">
        <f t="shared" si="2"/>
        <v>0x4023</v>
      </c>
      <c r="C20" s="16" t="str">
        <f t="shared" si="3"/>
        <v>0x4024</v>
      </c>
      <c r="D20" s="16">
        <f t="shared" si="4"/>
        <v>16419</v>
      </c>
      <c r="E20" s="16">
        <f t="shared" si="5"/>
        <v>16420</v>
      </c>
      <c r="F20" s="23" t="s">
        <v>380</v>
      </c>
      <c r="G20" s="23" t="s">
        <v>315</v>
      </c>
      <c r="H20" s="28" t="s">
        <v>301</v>
      </c>
      <c r="I20" s="28">
        <v>2</v>
      </c>
      <c r="J20" s="28"/>
    </row>
    <row r="21" spans="2:10">
      <c r="B21" s="16" t="str">
        <f t="shared" si="2"/>
        <v>0x4025</v>
      </c>
      <c r="C21" s="16" t="str">
        <f t="shared" si="3"/>
        <v>0x4026</v>
      </c>
      <c r="D21" s="16">
        <f t="shared" si="4"/>
        <v>16421</v>
      </c>
      <c r="E21" s="16">
        <f t="shared" si="5"/>
        <v>16422</v>
      </c>
      <c r="F21" s="23" t="s">
        <v>334</v>
      </c>
      <c r="G21" s="23" t="s">
        <v>315</v>
      </c>
      <c r="H21" s="28" t="s">
        <v>301</v>
      </c>
      <c r="I21" s="28">
        <v>2</v>
      </c>
      <c r="J21" s="28"/>
    </row>
    <row r="22" spans="2:10">
      <c r="B22" s="16" t="str">
        <f t="shared" si="2"/>
        <v>0x4027</v>
      </c>
      <c r="C22" s="16" t="str">
        <f t="shared" si="3"/>
        <v>0x4028</v>
      </c>
      <c r="D22" s="16">
        <f t="shared" si="4"/>
        <v>16423</v>
      </c>
      <c r="E22" s="16">
        <f t="shared" si="5"/>
        <v>16424</v>
      </c>
      <c r="F22" s="17" t="s">
        <v>381</v>
      </c>
      <c r="G22" s="23" t="s">
        <v>315</v>
      </c>
      <c r="H22" s="28" t="s">
        <v>382</v>
      </c>
      <c r="I22" s="28">
        <v>2</v>
      </c>
      <c r="J22" s="28"/>
    </row>
    <row r="23" spans="2:10">
      <c r="B23" s="16" t="str">
        <f t="shared" si="2"/>
        <v>0x4029</v>
      </c>
      <c r="C23" s="16" t="str">
        <f t="shared" si="3"/>
        <v>0x402A</v>
      </c>
      <c r="D23" s="16">
        <f t="shared" si="4"/>
        <v>16425</v>
      </c>
      <c r="E23" s="16">
        <f t="shared" si="5"/>
        <v>16426</v>
      </c>
      <c r="F23" s="17" t="s">
        <v>383</v>
      </c>
      <c r="G23" s="23" t="s">
        <v>315</v>
      </c>
      <c r="H23" s="28" t="s">
        <v>382</v>
      </c>
      <c r="I23" s="28">
        <v>2</v>
      </c>
      <c r="J23" s="28"/>
    </row>
    <row r="24" spans="2:10">
      <c r="B24" s="16" t="str">
        <f t="shared" si="2"/>
        <v>0x402B</v>
      </c>
      <c r="C24" s="16" t="str">
        <f t="shared" si="3"/>
        <v>0x402C</v>
      </c>
      <c r="D24" s="16">
        <f t="shared" si="4"/>
        <v>16427</v>
      </c>
      <c r="E24" s="16">
        <f t="shared" si="5"/>
        <v>16428</v>
      </c>
      <c r="F24" s="17" t="s">
        <v>384</v>
      </c>
      <c r="G24" s="23" t="s">
        <v>315</v>
      </c>
      <c r="H24" s="28" t="s">
        <v>382</v>
      </c>
      <c r="I24" s="28">
        <v>2</v>
      </c>
      <c r="J24" s="28"/>
    </row>
    <row r="25" spans="2:10">
      <c r="B25" s="16" t="str">
        <f t="shared" si="2"/>
        <v>0x402D</v>
      </c>
      <c r="C25" s="16" t="str">
        <f t="shared" si="3"/>
        <v>0x402E</v>
      </c>
      <c r="D25" s="16">
        <f t="shared" si="4"/>
        <v>16429</v>
      </c>
      <c r="E25" s="16">
        <f t="shared" si="5"/>
        <v>16430</v>
      </c>
      <c r="F25" s="15" t="s">
        <v>385</v>
      </c>
      <c r="G25" s="23" t="s">
        <v>315</v>
      </c>
      <c r="H25" s="28" t="s">
        <v>382</v>
      </c>
      <c r="I25" s="28">
        <v>2</v>
      </c>
      <c r="J25" s="28"/>
    </row>
    <row r="26" spans="2:10">
      <c r="B26" s="16" t="str">
        <f t="shared" si="2"/>
        <v>0x402F</v>
      </c>
      <c r="C26" s="16" t="str">
        <f t="shared" si="3"/>
        <v>0x4030</v>
      </c>
      <c r="D26" s="16">
        <f t="shared" si="4"/>
        <v>16431</v>
      </c>
      <c r="E26" s="16">
        <f t="shared" si="5"/>
        <v>16432</v>
      </c>
      <c r="F26" s="15" t="s">
        <v>510</v>
      </c>
      <c r="G26" s="15" t="s">
        <v>315</v>
      </c>
      <c r="H26" s="17" t="s">
        <v>301</v>
      </c>
      <c r="I26" s="17">
        <v>2</v>
      </c>
      <c r="J26" s="17"/>
    </row>
    <row r="27" spans="2:10">
      <c r="B27" s="16" t="str">
        <f t="shared" si="2"/>
        <v>0x4031</v>
      </c>
      <c r="C27" s="16" t="str">
        <f t="shared" si="3"/>
        <v>0x4032</v>
      </c>
      <c r="D27" s="16">
        <f t="shared" si="4"/>
        <v>16433</v>
      </c>
      <c r="E27" s="16">
        <f t="shared" si="5"/>
        <v>16434</v>
      </c>
      <c r="F27" s="15" t="s">
        <v>386</v>
      </c>
      <c r="G27" s="23" t="s">
        <v>315</v>
      </c>
      <c r="H27" s="28" t="s">
        <v>382</v>
      </c>
      <c r="I27" s="28">
        <v>2</v>
      </c>
      <c r="J27" s="28"/>
    </row>
    <row r="28" spans="2:10">
      <c r="B28" s="16" t="str">
        <f t="shared" si="2"/>
        <v>0x4033</v>
      </c>
      <c r="C28" s="16" t="str">
        <f t="shared" si="3"/>
        <v>0x4034</v>
      </c>
      <c r="D28" s="16">
        <f t="shared" si="4"/>
        <v>16435</v>
      </c>
      <c r="E28" s="16">
        <f t="shared" si="5"/>
        <v>16436</v>
      </c>
      <c r="F28" s="15" t="s">
        <v>387</v>
      </c>
      <c r="G28" s="23" t="s">
        <v>315</v>
      </c>
      <c r="H28" s="28" t="s">
        <v>382</v>
      </c>
      <c r="I28" s="28">
        <v>2</v>
      </c>
      <c r="J28" s="28"/>
    </row>
    <row r="29" spans="2:10">
      <c r="B29" s="16" t="str">
        <f t="shared" si="2"/>
        <v>0x4035</v>
      </c>
      <c r="C29" s="16" t="str">
        <f t="shared" si="3"/>
        <v>0x4036</v>
      </c>
      <c r="D29" s="16">
        <f t="shared" si="4"/>
        <v>16437</v>
      </c>
      <c r="E29" s="16">
        <f t="shared" si="5"/>
        <v>16438</v>
      </c>
      <c r="F29" s="15" t="s">
        <v>388</v>
      </c>
      <c r="G29" s="23" t="s">
        <v>315</v>
      </c>
      <c r="H29" s="28" t="s">
        <v>382</v>
      </c>
      <c r="I29" s="28">
        <v>2</v>
      </c>
      <c r="J29" s="28"/>
    </row>
    <row r="30" spans="2:10">
      <c r="B30" s="16" t="str">
        <f t="shared" si="2"/>
        <v>0x4037</v>
      </c>
      <c r="C30" s="16" t="str">
        <f t="shared" si="3"/>
        <v>0x4038</v>
      </c>
      <c r="D30" s="16">
        <f t="shared" si="4"/>
        <v>16439</v>
      </c>
      <c r="E30" s="16">
        <f t="shared" si="5"/>
        <v>16440</v>
      </c>
      <c r="F30" s="15" t="s">
        <v>389</v>
      </c>
      <c r="G30" s="23" t="s">
        <v>315</v>
      </c>
      <c r="H30" s="28" t="s">
        <v>382</v>
      </c>
      <c r="I30" s="28">
        <v>2</v>
      </c>
      <c r="J30" s="28"/>
    </row>
    <row r="31" spans="2:10">
      <c r="B31" s="16" t="str">
        <f t="shared" si="2"/>
        <v>0x4039</v>
      </c>
      <c r="C31" s="16" t="str">
        <f t="shared" si="3"/>
        <v>0x4068</v>
      </c>
      <c r="D31" s="16">
        <f t="shared" si="4"/>
        <v>16441</v>
      </c>
      <c r="E31" s="16">
        <f t="shared" si="5"/>
        <v>16488</v>
      </c>
      <c r="F31" s="23" t="s">
        <v>511</v>
      </c>
      <c r="G31" s="23" t="s">
        <v>315</v>
      </c>
      <c r="H31" s="28" t="s">
        <v>382</v>
      </c>
      <c r="I31" s="28">
        <v>48</v>
      </c>
      <c r="J31" s="28"/>
    </row>
    <row r="32" spans="2:10">
      <c r="B32" s="16" t="str">
        <f t="shared" si="2"/>
        <v>0x4069</v>
      </c>
      <c r="C32" s="16" t="str">
        <f t="shared" si="3"/>
        <v>0x4098</v>
      </c>
      <c r="D32" s="16">
        <f t="shared" si="4"/>
        <v>16489</v>
      </c>
      <c r="E32" s="16">
        <f t="shared" si="5"/>
        <v>16536</v>
      </c>
      <c r="F32" s="23" t="s">
        <v>512</v>
      </c>
      <c r="G32" s="23" t="s">
        <v>315</v>
      </c>
      <c r="H32" s="28" t="s">
        <v>382</v>
      </c>
      <c r="I32" s="28">
        <v>48</v>
      </c>
      <c r="J32" s="28"/>
    </row>
    <row r="33" spans="1:11">
      <c r="B33" s="16" t="str">
        <f t="shared" si="2"/>
        <v>0x4099</v>
      </c>
      <c r="C33" s="16" t="str">
        <f t="shared" si="3"/>
        <v>0x40C8</v>
      </c>
      <c r="D33" s="16">
        <f t="shared" si="4"/>
        <v>16537</v>
      </c>
      <c r="E33" s="16">
        <f t="shared" si="5"/>
        <v>16584</v>
      </c>
      <c r="F33" s="23" t="s">
        <v>513</v>
      </c>
      <c r="G33" s="23" t="s">
        <v>315</v>
      </c>
      <c r="H33" s="28" t="s">
        <v>382</v>
      </c>
      <c r="I33" s="28">
        <v>48</v>
      </c>
      <c r="J33" s="28"/>
    </row>
    <row r="34" spans="1:11">
      <c r="B34" s="16" t="str">
        <f t="shared" si="2"/>
        <v>0x40C9</v>
      </c>
      <c r="C34" s="16" t="str">
        <f t="shared" si="3"/>
        <v>0x40F8</v>
      </c>
      <c r="D34" s="16">
        <f t="shared" si="4"/>
        <v>16585</v>
      </c>
      <c r="E34" s="16">
        <f t="shared" si="5"/>
        <v>16632</v>
      </c>
      <c r="F34" s="23" t="s">
        <v>514</v>
      </c>
      <c r="G34" s="23" t="s">
        <v>315</v>
      </c>
      <c r="H34" s="28" t="s">
        <v>382</v>
      </c>
      <c r="I34" s="28">
        <v>48</v>
      </c>
      <c r="J34" s="28"/>
    </row>
    <row r="35" spans="1:11">
      <c r="B35" s="16" t="str">
        <f t="shared" si="2"/>
        <v>0x40F9</v>
      </c>
      <c r="C35" s="16" t="str">
        <f t="shared" si="3"/>
        <v>0x41EA</v>
      </c>
      <c r="D35" s="16">
        <f t="shared" si="4"/>
        <v>16633</v>
      </c>
      <c r="E35" s="16">
        <f t="shared" si="5"/>
        <v>16874</v>
      </c>
      <c r="F35" s="17" t="s">
        <v>394</v>
      </c>
      <c r="G35" s="23" t="s">
        <v>315</v>
      </c>
      <c r="H35" s="28" t="s">
        <v>301</v>
      </c>
      <c r="I35" s="28">
        <v>242</v>
      </c>
      <c r="J35" s="28"/>
    </row>
    <row r="36" spans="1:11">
      <c r="B36" s="16" t="str">
        <f t="shared" si="2"/>
        <v>0x41EB</v>
      </c>
      <c r="C36" s="16" t="str">
        <f t="shared" si="3"/>
        <v>0x421A</v>
      </c>
      <c r="D36" s="16">
        <f t="shared" si="4"/>
        <v>16875</v>
      </c>
      <c r="E36" s="16">
        <f t="shared" si="5"/>
        <v>16922</v>
      </c>
      <c r="F36" s="23" t="s">
        <v>515</v>
      </c>
      <c r="G36" s="23" t="s">
        <v>315</v>
      </c>
      <c r="H36" s="28" t="s">
        <v>382</v>
      </c>
      <c r="I36" s="28">
        <v>48</v>
      </c>
      <c r="J36" s="28"/>
    </row>
    <row r="37" spans="1:11">
      <c r="B37" s="16" t="str">
        <f t="shared" si="2"/>
        <v>0x421B</v>
      </c>
      <c r="C37" s="16" t="str">
        <f t="shared" si="3"/>
        <v>0x424A</v>
      </c>
      <c r="D37" s="16">
        <f t="shared" si="4"/>
        <v>16923</v>
      </c>
      <c r="E37" s="16">
        <f t="shared" si="5"/>
        <v>16970</v>
      </c>
      <c r="F37" s="23" t="s">
        <v>396</v>
      </c>
      <c r="G37" s="23" t="s">
        <v>315</v>
      </c>
      <c r="H37" s="28" t="s">
        <v>382</v>
      </c>
      <c r="I37" s="28">
        <v>48</v>
      </c>
      <c r="J37" s="28"/>
    </row>
    <row r="38" spans="1:11">
      <c r="B38" s="16" t="str">
        <f t="shared" si="2"/>
        <v>0x424B</v>
      </c>
      <c r="C38" s="16" t="str">
        <f t="shared" si="3"/>
        <v>0x427A</v>
      </c>
      <c r="D38" s="16">
        <f t="shared" si="4"/>
        <v>16971</v>
      </c>
      <c r="E38" s="16">
        <f t="shared" si="5"/>
        <v>17018</v>
      </c>
      <c r="F38" s="23" t="s">
        <v>397</v>
      </c>
      <c r="G38" s="23" t="s">
        <v>315</v>
      </c>
      <c r="H38" s="28" t="s">
        <v>382</v>
      </c>
      <c r="I38" s="28">
        <v>48</v>
      </c>
      <c r="J38" s="28"/>
    </row>
    <row r="39" spans="1:11">
      <c r="B39" s="16" t="str">
        <f t="shared" si="2"/>
        <v>0x427B</v>
      </c>
      <c r="C39" s="16" t="str">
        <f t="shared" si="3"/>
        <v>0x42AA</v>
      </c>
      <c r="D39" s="16">
        <f t="shared" si="4"/>
        <v>17019</v>
      </c>
      <c r="E39" s="16">
        <f t="shared" si="5"/>
        <v>17066</v>
      </c>
      <c r="F39" s="23" t="s">
        <v>398</v>
      </c>
      <c r="G39" s="23" t="s">
        <v>315</v>
      </c>
      <c r="H39" s="28" t="s">
        <v>382</v>
      </c>
      <c r="I39" s="28">
        <v>48</v>
      </c>
      <c r="J39" s="28"/>
    </row>
    <row r="40" spans="1:11">
      <c r="B40" s="16" t="str">
        <f t="shared" si="2"/>
        <v>0x42AB</v>
      </c>
      <c r="C40" s="16" t="str">
        <f t="shared" si="3"/>
        <v>0x42AB</v>
      </c>
      <c r="D40" s="16">
        <f t="shared" si="4"/>
        <v>17067</v>
      </c>
      <c r="E40" s="16">
        <f t="shared" si="5"/>
        <v>17067</v>
      </c>
      <c r="F40" s="50" t="s">
        <v>339</v>
      </c>
      <c r="G40" s="21" t="s">
        <v>146</v>
      </c>
      <c r="H40" s="21" t="s">
        <v>147</v>
      </c>
      <c r="I40" s="21">
        <v>1</v>
      </c>
      <c r="J40" s="21" t="s">
        <v>340</v>
      </c>
      <c r="K40">
        <v>1</v>
      </c>
    </row>
    <row r="41" spans="1:11">
      <c r="B41" s="16" t="str">
        <f t="shared" si="2"/>
        <v>0x42AC</v>
      </c>
      <c r="C41" s="16" t="str">
        <f t="shared" si="3"/>
        <v>0x42AD</v>
      </c>
      <c r="D41" s="16">
        <f t="shared" si="4"/>
        <v>17068</v>
      </c>
      <c r="E41" s="16">
        <f t="shared" si="5"/>
        <v>17069</v>
      </c>
      <c r="F41" s="15" t="s">
        <v>516</v>
      </c>
      <c r="G41" s="15" t="s">
        <v>315</v>
      </c>
      <c r="H41" s="17" t="s">
        <v>301</v>
      </c>
      <c r="I41" s="17">
        <v>2</v>
      </c>
      <c r="J41" s="17"/>
    </row>
    <row r="42" spans="1:11">
      <c r="B42" s="16" t="str">
        <f t="shared" si="2"/>
        <v>0x42AE</v>
      </c>
      <c r="C42" s="16" t="str">
        <f t="shared" si="3"/>
        <v>0x42AF</v>
      </c>
      <c r="D42" s="16">
        <f t="shared" si="4"/>
        <v>17070</v>
      </c>
      <c r="E42" s="16">
        <f t="shared" si="5"/>
        <v>17071</v>
      </c>
      <c r="F42" s="23" t="s">
        <v>399</v>
      </c>
      <c r="G42" s="23" t="s">
        <v>315</v>
      </c>
      <c r="H42" s="28" t="s">
        <v>382</v>
      </c>
      <c r="I42" s="28">
        <v>2</v>
      </c>
      <c r="J42" s="28"/>
    </row>
    <row r="43" spans="1:11">
      <c r="B43" s="16" t="str">
        <f t="shared" si="2"/>
        <v>0x42B0</v>
      </c>
      <c r="C43" s="16" t="str">
        <f t="shared" si="3"/>
        <v>0x42B1</v>
      </c>
      <c r="D43" s="16">
        <f t="shared" si="4"/>
        <v>17072</v>
      </c>
      <c r="E43" s="16">
        <f t="shared" si="5"/>
        <v>17073</v>
      </c>
      <c r="F43" s="23" t="s">
        <v>400</v>
      </c>
      <c r="G43" s="23" t="s">
        <v>315</v>
      </c>
      <c r="H43" s="28" t="s">
        <v>382</v>
      </c>
      <c r="I43" s="28">
        <v>2</v>
      </c>
      <c r="J43" s="28"/>
    </row>
    <row r="44" spans="1:11">
      <c r="A44" s="26" t="s">
        <v>59</v>
      </c>
      <c r="B44" s="16" t="str">
        <f t="shared" si="2"/>
        <v>0x42B2</v>
      </c>
      <c r="C44" s="16" t="str">
        <f t="shared" si="3"/>
        <v>0x42B3</v>
      </c>
      <c r="D44" s="16">
        <f t="shared" si="4"/>
        <v>17074</v>
      </c>
      <c r="E44" s="16">
        <f t="shared" si="5"/>
        <v>17075</v>
      </c>
      <c r="F44" s="17" t="s">
        <v>517</v>
      </c>
      <c r="G44" s="23" t="s">
        <v>315</v>
      </c>
      <c r="H44" s="28" t="s">
        <v>382</v>
      </c>
      <c r="I44" s="28">
        <v>2</v>
      </c>
      <c r="J44" s="28"/>
    </row>
    <row r="45" spans="1:11">
      <c r="B45" s="16" t="str">
        <f t="shared" si="2"/>
        <v>0x42B4</v>
      </c>
      <c r="C45" s="16" t="str">
        <f t="shared" si="3"/>
        <v>0x42B5</v>
      </c>
      <c r="D45" s="16">
        <f t="shared" si="4"/>
        <v>17076</v>
      </c>
      <c r="E45" s="16">
        <f t="shared" si="5"/>
        <v>17077</v>
      </c>
      <c r="F45" s="17" t="s">
        <v>518</v>
      </c>
      <c r="G45" s="23" t="s">
        <v>315</v>
      </c>
      <c r="H45" s="28" t="s">
        <v>382</v>
      </c>
      <c r="I45" s="28">
        <v>2</v>
      </c>
      <c r="J45" s="28"/>
    </row>
    <row r="46" spans="1:11">
      <c r="B46" s="16" t="str">
        <f t="shared" si="2"/>
        <v>0x42B6</v>
      </c>
      <c r="C46" s="16" t="str">
        <f t="shared" si="3"/>
        <v>0x42B7</v>
      </c>
      <c r="D46" s="16">
        <f t="shared" si="4"/>
        <v>17078</v>
      </c>
      <c r="E46" s="16">
        <f t="shared" si="5"/>
        <v>17079</v>
      </c>
      <c r="F46" s="17" t="s">
        <v>519</v>
      </c>
      <c r="G46" s="23" t="s">
        <v>315</v>
      </c>
      <c r="H46" s="28" t="s">
        <v>382</v>
      </c>
      <c r="I46" s="28">
        <v>2</v>
      </c>
      <c r="J46" s="28"/>
    </row>
    <row r="47" spans="1:11">
      <c r="B47" s="16" t="str">
        <f t="shared" si="2"/>
        <v>0x42B8</v>
      </c>
      <c r="C47" s="16" t="str">
        <f t="shared" si="3"/>
        <v>0x42B9</v>
      </c>
      <c r="D47" s="16">
        <f t="shared" si="4"/>
        <v>17080</v>
      </c>
      <c r="E47" s="16">
        <f t="shared" si="5"/>
        <v>17081</v>
      </c>
      <c r="F47" s="20" t="s">
        <v>520</v>
      </c>
      <c r="G47" s="23" t="s">
        <v>521</v>
      </c>
      <c r="H47" s="28" t="s">
        <v>382</v>
      </c>
      <c r="I47" s="28">
        <v>2</v>
      </c>
      <c r="J47" s="28"/>
    </row>
    <row r="48" spans="1:11">
      <c r="B48" s="16" t="str">
        <f t="shared" si="2"/>
        <v>0x42BA</v>
      </c>
      <c r="C48" s="16" t="str">
        <f t="shared" si="3"/>
        <v>0x42BB</v>
      </c>
      <c r="D48" s="16">
        <f t="shared" si="4"/>
        <v>17082</v>
      </c>
      <c r="E48" s="16">
        <f t="shared" si="5"/>
        <v>17083</v>
      </c>
      <c r="F48" s="17" t="s">
        <v>522</v>
      </c>
      <c r="G48" s="23" t="s">
        <v>315</v>
      </c>
      <c r="H48" s="28" t="s">
        <v>382</v>
      </c>
      <c r="I48" s="28">
        <v>2</v>
      </c>
      <c r="J48" s="28"/>
    </row>
    <row r="49" spans="2:10">
      <c r="B49" s="16" t="str">
        <f t="shared" si="2"/>
        <v>0x42BC</v>
      </c>
      <c r="C49" s="16" t="str">
        <f t="shared" si="3"/>
        <v>0x42BD</v>
      </c>
      <c r="D49" s="16">
        <f t="shared" si="4"/>
        <v>17084</v>
      </c>
      <c r="E49" s="16">
        <f t="shared" si="5"/>
        <v>17085</v>
      </c>
      <c r="F49" s="17" t="s">
        <v>523</v>
      </c>
      <c r="G49" s="23" t="s">
        <v>315</v>
      </c>
      <c r="H49" s="28" t="s">
        <v>382</v>
      </c>
      <c r="I49" s="28">
        <v>2</v>
      </c>
      <c r="J49" s="28"/>
    </row>
    <row r="50" spans="2:10">
      <c r="B50" s="16" t="str">
        <f t="shared" si="2"/>
        <v>0x42BE</v>
      </c>
      <c r="C50" s="16" t="str">
        <f t="shared" si="3"/>
        <v>0x42BF</v>
      </c>
      <c r="D50" s="16">
        <f t="shared" si="4"/>
        <v>17086</v>
      </c>
      <c r="E50" s="16">
        <f t="shared" si="5"/>
        <v>17087</v>
      </c>
      <c r="F50" s="17" t="s">
        <v>524</v>
      </c>
      <c r="G50" s="23" t="s">
        <v>315</v>
      </c>
      <c r="H50" s="28" t="s">
        <v>382</v>
      </c>
      <c r="I50" s="28">
        <v>2</v>
      </c>
      <c r="J50" s="28"/>
    </row>
    <row r="51" spans="2:10">
      <c r="B51" s="16" t="str">
        <f t="shared" si="2"/>
        <v>0x42C0</v>
      </c>
      <c r="C51" s="16" t="str">
        <f t="shared" si="3"/>
        <v>0x42C1</v>
      </c>
      <c r="D51" s="16">
        <f t="shared" si="4"/>
        <v>17088</v>
      </c>
      <c r="E51" s="16">
        <f t="shared" si="5"/>
        <v>17089</v>
      </c>
      <c r="F51" s="17" t="s">
        <v>525</v>
      </c>
      <c r="G51" s="23" t="s">
        <v>315</v>
      </c>
      <c r="H51" s="28" t="s">
        <v>382</v>
      </c>
      <c r="I51" s="28">
        <v>2</v>
      </c>
      <c r="J51" s="28"/>
    </row>
    <row r="52" spans="2:10">
      <c r="B52" s="16" t="str">
        <f t="shared" si="2"/>
        <v>0x42C2</v>
      </c>
      <c r="C52" s="16" t="str">
        <f t="shared" si="3"/>
        <v>0x42C3</v>
      </c>
      <c r="D52" s="16">
        <f t="shared" si="4"/>
        <v>17090</v>
      </c>
      <c r="E52" s="16">
        <f t="shared" si="5"/>
        <v>17091</v>
      </c>
      <c r="F52" s="20" t="s">
        <v>526</v>
      </c>
      <c r="G52" s="23" t="s">
        <v>521</v>
      </c>
      <c r="H52" s="28" t="s">
        <v>382</v>
      </c>
      <c r="I52" s="28">
        <v>2</v>
      </c>
      <c r="J52" s="28"/>
    </row>
    <row r="53" spans="2:10">
      <c r="B53" s="16" t="str">
        <f t="shared" si="2"/>
        <v>0x42C4</v>
      </c>
      <c r="C53" s="16" t="str">
        <f t="shared" si="3"/>
        <v>0x42C5</v>
      </c>
      <c r="D53" s="16">
        <f t="shared" si="4"/>
        <v>17092</v>
      </c>
      <c r="E53" s="16">
        <f t="shared" si="5"/>
        <v>17093</v>
      </c>
      <c r="F53" s="17" t="s">
        <v>527</v>
      </c>
      <c r="G53" s="23" t="s">
        <v>315</v>
      </c>
      <c r="H53" s="28" t="s">
        <v>382</v>
      </c>
      <c r="I53" s="28">
        <v>2</v>
      </c>
      <c r="J53" s="28"/>
    </row>
    <row r="54" spans="2:10">
      <c r="B54" s="16" t="str">
        <f t="shared" si="2"/>
        <v>0x42C6</v>
      </c>
      <c r="C54" s="16" t="str">
        <f t="shared" si="3"/>
        <v>0x42C7</v>
      </c>
      <c r="D54" s="16">
        <f t="shared" si="4"/>
        <v>17094</v>
      </c>
      <c r="E54" s="16">
        <f t="shared" si="5"/>
        <v>17095</v>
      </c>
      <c r="F54" s="17" t="s">
        <v>528</v>
      </c>
      <c r="G54" s="23" t="s">
        <v>315</v>
      </c>
      <c r="H54" s="28" t="s">
        <v>382</v>
      </c>
      <c r="I54" s="28">
        <v>2</v>
      </c>
      <c r="J54" s="28"/>
    </row>
    <row r="55" spans="2:10">
      <c r="B55" s="16" t="str">
        <f t="shared" si="2"/>
        <v>0x42C8</v>
      </c>
      <c r="C55" s="16" t="str">
        <f t="shared" si="3"/>
        <v>0x42C9</v>
      </c>
      <c r="D55" s="16">
        <f t="shared" si="4"/>
        <v>17096</v>
      </c>
      <c r="E55" s="16">
        <f t="shared" si="5"/>
        <v>17097</v>
      </c>
      <c r="F55" s="17" t="s">
        <v>529</v>
      </c>
      <c r="G55" s="23" t="s">
        <v>315</v>
      </c>
      <c r="H55" s="28" t="s">
        <v>382</v>
      </c>
      <c r="I55" s="28">
        <v>2</v>
      </c>
      <c r="J55" s="28"/>
    </row>
    <row r="56" spans="2:10">
      <c r="B56" s="16" t="str">
        <f t="shared" si="2"/>
        <v>0x42CA</v>
      </c>
      <c r="C56" s="16" t="str">
        <f t="shared" si="3"/>
        <v>0x42CB</v>
      </c>
      <c r="D56" s="16">
        <f t="shared" si="4"/>
        <v>17098</v>
      </c>
      <c r="E56" s="16">
        <f t="shared" si="5"/>
        <v>17099</v>
      </c>
      <c r="F56" s="17" t="s">
        <v>530</v>
      </c>
      <c r="G56" s="23" t="s">
        <v>315</v>
      </c>
      <c r="H56" s="28" t="s">
        <v>382</v>
      </c>
      <c r="I56" s="28">
        <v>2</v>
      </c>
      <c r="J56" s="28"/>
    </row>
    <row r="57" spans="2:10">
      <c r="B57" s="16" t="str">
        <f t="shared" si="2"/>
        <v>0x42CC</v>
      </c>
      <c r="C57" s="16" t="str">
        <f t="shared" si="3"/>
        <v>0x42CD</v>
      </c>
      <c r="D57" s="16">
        <f t="shared" si="4"/>
        <v>17100</v>
      </c>
      <c r="E57" s="16">
        <f t="shared" si="5"/>
        <v>17101</v>
      </c>
      <c r="F57" s="20" t="s">
        <v>531</v>
      </c>
      <c r="G57" s="23" t="s">
        <v>521</v>
      </c>
      <c r="H57" s="28" t="s">
        <v>382</v>
      </c>
      <c r="I57" s="28">
        <v>2</v>
      </c>
      <c r="J57" s="28"/>
    </row>
    <row r="58" spans="2:10">
      <c r="B58" s="16" t="str">
        <f t="shared" si="2"/>
        <v>0x42CE</v>
      </c>
      <c r="C58" s="16" t="str">
        <f t="shared" si="3"/>
        <v>0x42CF</v>
      </c>
      <c r="D58" s="16">
        <f t="shared" si="4"/>
        <v>17102</v>
      </c>
      <c r="E58" s="16">
        <f t="shared" si="5"/>
        <v>17103</v>
      </c>
      <c r="F58" s="17" t="s">
        <v>532</v>
      </c>
      <c r="G58" s="23" t="s">
        <v>315</v>
      </c>
      <c r="H58" s="28" t="s">
        <v>382</v>
      </c>
      <c r="I58" s="28">
        <v>2</v>
      </c>
      <c r="J58" s="28"/>
    </row>
    <row r="59" spans="2:10">
      <c r="B59" s="16" t="str">
        <f t="shared" si="2"/>
        <v>0x42D0</v>
      </c>
      <c r="C59" s="16" t="str">
        <f t="shared" si="3"/>
        <v>0x42D1</v>
      </c>
      <c r="D59" s="16">
        <f t="shared" si="4"/>
        <v>17104</v>
      </c>
      <c r="E59" s="16">
        <f t="shared" si="5"/>
        <v>17105</v>
      </c>
      <c r="F59" s="20" t="s">
        <v>533</v>
      </c>
      <c r="G59" s="23" t="s">
        <v>315</v>
      </c>
      <c r="H59" s="28" t="s">
        <v>382</v>
      </c>
      <c r="I59" s="28">
        <v>2</v>
      </c>
      <c r="J59" s="28"/>
    </row>
    <row r="60" spans="2:10">
      <c r="B60" s="16" t="str">
        <f t="shared" si="2"/>
        <v>0x42D2</v>
      </c>
      <c r="C60" s="16" t="str">
        <f t="shared" si="3"/>
        <v>0x42D3</v>
      </c>
      <c r="D60" s="16">
        <f t="shared" si="4"/>
        <v>17106</v>
      </c>
      <c r="E60" s="16">
        <f t="shared" si="5"/>
        <v>17107</v>
      </c>
      <c r="F60" s="20" t="s">
        <v>534</v>
      </c>
      <c r="G60" s="23" t="s">
        <v>315</v>
      </c>
      <c r="H60" s="28" t="s">
        <v>382</v>
      </c>
      <c r="I60" s="28">
        <v>2</v>
      </c>
      <c r="J60" s="28"/>
    </row>
    <row r="61" spans="2:10">
      <c r="B61" s="16" t="str">
        <f t="shared" si="2"/>
        <v>0x42D4</v>
      </c>
      <c r="C61" s="16" t="str">
        <f t="shared" si="3"/>
        <v>0x42D5</v>
      </c>
      <c r="D61" s="16">
        <f t="shared" si="4"/>
        <v>17108</v>
      </c>
      <c r="E61" s="16">
        <f t="shared" si="5"/>
        <v>17109</v>
      </c>
      <c r="F61" s="20" t="s">
        <v>535</v>
      </c>
      <c r="G61" s="23" t="s">
        <v>315</v>
      </c>
      <c r="H61" s="28" t="s">
        <v>382</v>
      </c>
      <c r="I61" s="28">
        <v>2</v>
      </c>
      <c r="J61" s="28"/>
    </row>
    <row r="62" spans="2:10">
      <c r="B62" s="16" t="str">
        <f t="shared" si="2"/>
        <v>0x42D6</v>
      </c>
      <c r="C62" s="16" t="str">
        <f t="shared" si="3"/>
        <v>0x42D7</v>
      </c>
      <c r="D62" s="16">
        <f t="shared" si="4"/>
        <v>17110</v>
      </c>
      <c r="E62" s="16">
        <f t="shared" si="5"/>
        <v>17111</v>
      </c>
      <c r="F62" s="20" t="s">
        <v>536</v>
      </c>
      <c r="G62" s="23" t="s">
        <v>521</v>
      </c>
      <c r="H62" s="28" t="s">
        <v>382</v>
      </c>
      <c r="I62" s="28">
        <v>2</v>
      </c>
      <c r="J62" s="28"/>
    </row>
    <row r="63" spans="2:10">
      <c r="B63" s="16" t="str">
        <f t="shared" ref="B63:B70" si="6">"0x"&amp;DEC2HEX(D63,4)</f>
        <v>0x42D8</v>
      </c>
      <c r="C63" s="16" t="str">
        <f t="shared" ref="C63:C70" si="7">"0x"&amp;DEC2HEX(E63,4)</f>
        <v>0x42D9</v>
      </c>
      <c r="D63" s="16">
        <f t="shared" ref="D63:D70" si="8">D62+I62</f>
        <v>17112</v>
      </c>
      <c r="E63" s="16">
        <f t="shared" ref="E63:E70" si="9">D63+I63-1</f>
        <v>17113</v>
      </c>
      <c r="F63" s="20" t="s">
        <v>537</v>
      </c>
      <c r="G63" s="23" t="s">
        <v>315</v>
      </c>
      <c r="H63" s="28" t="s">
        <v>301</v>
      </c>
      <c r="I63" s="28">
        <v>2</v>
      </c>
      <c r="J63" s="28"/>
    </row>
    <row r="64" spans="2:10">
      <c r="B64" s="16" t="str">
        <f t="shared" si="6"/>
        <v>0x42DA</v>
      </c>
      <c r="C64" s="16" t="str">
        <f t="shared" si="7"/>
        <v>0x42DA</v>
      </c>
      <c r="D64" s="16">
        <f t="shared" si="8"/>
        <v>17114</v>
      </c>
      <c r="E64" s="16">
        <f t="shared" si="9"/>
        <v>17114</v>
      </c>
      <c r="F64" s="50" t="s">
        <v>438</v>
      </c>
      <c r="G64" s="21" t="s">
        <v>146</v>
      </c>
      <c r="H64" s="21" t="s">
        <v>147</v>
      </c>
      <c r="I64" s="21">
        <v>1</v>
      </c>
      <c r="J64" s="21" t="s">
        <v>439</v>
      </c>
    </row>
    <row r="65" spans="1:11">
      <c r="B65" s="16" t="str">
        <f t="shared" si="6"/>
        <v>0x42DB</v>
      </c>
      <c r="C65" s="16" t="str">
        <f t="shared" si="7"/>
        <v>0x42DC</v>
      </c>
      <c r="D65" s="16">
        <f t="shared" si="8"/>
        <v>17115</v>
      </c>
      <c r="E65" s="16">
        <f t="shared" si="9"/>
        <v>17116</v>
      </c>
      <c r="F65" s="17" t="s">
        <v>538</v>
      </c>
      <c r="G65" s="23" t="s">
        <v>315</v>
      </c>
      <c r="H65" s="28" t="s">
        <v>301</v>
      </c>
      <c r="I65" s="28">
        <v>2</v>
      </c>
      <c r="J65" s="28"/>
    </row>
    <row r="66" spans="1:11">
      <c r="B66" s="16" t="str">
        <f t="shared" si="6"/>
        <v>0x42DD</v>
      </c>
      <c r="C66" s="16" t="str">
        <f t="shared" si="7"/>
        <v>0x42DE</v>
      </c>
      <c r="D66" s="16">
        <f t="shared" si="8"/>
        <v>17117</v>
      </c>
      <c r="E66" s="16">
        <f t="shared" si="9"/>
        <v>17118</v>
      </c>
      <c r="F66" s="17" t="s">
        <v>539</v>
      </c>
      <c r="G66" s="23" t="s">
        <v>315</v>
      </c>
      <c r="H66" s="28" t="s">
        <v>301</v>
      </c>
      <c r="I66" s="28">
        <v>2</v>
      </c>
      <c r="J66" s="28"/>
    </row>
    <row r="67" spans="1:11">
      <c r="B67" s="16" t="str">
        <f t="shared" si="6"/>
        <v>0x42DF</v>
      </c>
      <c r="C67" s="16" t="str">
        <f t="shared" si="7"/>
        <v>0x42E0</v>
      </c>
      <c r="D67" s="16">
        <f t="shared" si="8"/>
        <v>17119</v>
      </c>
      <c r="E67" s="16">
        <f t="shared" si="9"/>
        <v>17120</v>
      </c>
      <c r="F67" s="17" t="s">
        <v>540</v>
      </c>
      <c r="G67" s="23" t="s">
        <v>315</v>
      </c>
      <c r="H67" s="28" t="s">
        <v>301</v>
      </c>
      <c r="I67" s="28">
        <v>2</v>
      </c>
      <c r="J67" s="28"/>
    </row>
    <row r="68" spans="1:11">
      <c r="B68" s="16" t="str">
        <f t="shared" si="6"/>
        <v>0x42E1</v>
      </c>
      <c r="C68" s="16" t="str">
        <f t="shared" si="7"/>
        <v>0x42E2</v>
      </c>
      <c r="D68" s="16">
        <f t="shared" si="8"/>
        <v>17121</v>
      </c>
      <c r="E68" s="16">
        <f t="shared" si="9"/>
        <v>17122</v>
      </c>
      <c r="F68" s="17" t="s">
        <v>541</v>
      </c>
      <c r="G68" s="23" t="s">
        <v>521</v>
      </c>
      <c r="H68" s="28" t="s">
        <v>301</v>
      </c>
      <c r="I68" s="28">
        <v>2</v>
      </c>
      <c r="J68" s="28"/>
    </row>
    <row r="69" spans="1:11">
      <c r="B69" s="16" t="str">
        <f t="shared" si="6"/>
        <v>0x42E3</v>
      </c>
      <c r="C69" s="16" t="str">
        <f t="shared" si="7"/>
        <v>0x42E4</v>
      </c>
      <c r="D69" s="16">
        <f t="shared" si="8"/>
        <v>17123</v>
      </c>
      <c r="E69" s="16">
        <f t="shared" si="9"/>
        <v>17124</v>
      </c>
      <c r="F69" s="17" t="s">
        <v>542</v>
      </c>
      <c r="G69" s="23" t="s">
        <v>315</v>
      </c>
      <c r="H69" s="28" t="s">
        <v>301</v>
      </c>
      <c r="I69" s="28">
        <v>2</v>
      </c>
      <c r="J69" s="28"/>
    </row>
    <row r="70" spans="1:11">
      <c r="B70" s="16" t="str">
        <f t="shared" si="6"/>
        <v>0x42E5</v>
      </c>
      <c r="C70" s="16" t="str">
        <f t="shared" si="7"/>
        <v>0x4317</v>
      </c>
      <c r="D70" s="16">
        <f t="shared" si="8"/>
        <v>17125</v>
      </c>
      <c r="E70" s="16">
        <f t="shared" si="9"/>
        <v>17175</v>
      </c>
      <c r="F70" s="20" t="s">
        <v>543</v>
      </c>
      <c r="G70" s="23"/>
      <c r="H70" s="28" t="s">
        <v>301</v>
      </c>
      <c r="I70" s="28">
        <v>51</v>
      </c>
      <c r="J70" s="28"/>
    </row>
    <row r="71" spans="1:11">
      <c r="B71" s="16" t="str">
        <f t="shared" ref="B69:B128" si="10">"0x"&amp;DEC2HEX(D71,4)</f>
        <v>0x4318</v>
      </c>
      <c r="C71" s="16" t="str">
        <f t="shared" ref="C69:C128" si="11">"0x"&amp;DEC2HEX(E71,4)</f>
        <v>0x4318</v>
      </c>
      <c r="D71" s="16">
        <f t="shared" ref="D69:D128" si="12">D70+I70</f>
        <v>17176</v>
      </c>
      <c r="E71" s="16">
        <f t="shared" ref="E69:E128" si="13">D71+I71-1</f>
        <v>17176</v>
      </c>
      <c r="F71" s="50" t="s">
        <v>339</v>
      </c>
      <c r="G71" s="21" t="s">
        <v>146</v>
      </c>
      <c r="H71" s="21" t="s">
        <v>147</v>
      </c>
      <c r="I71" s="21">
        <v>1</v>
      </c>
      <c r="J71" s="21" t="s">
        <v>340</v>
      </c>
      <c r="K71">
        <v>1</v>
      </c>
    </row>
    <row r="72" spans="1:11">
      <c r="B72" s="16" t="str">
        <f t="shared" si="10"/>
        <v>0x4319</v>
      </c>
      <c r="C72" s="16" t="str">
        <f t="shared" si="11"/>
        <v>0x431A</v>
      </c>
      <c r="D72" s="16">
        <f t="shared" si="12"/>
        <v>17177</v>
      </c>
      <c r="E72" s="16">
        <f t="shared" si="13"/>
        <v>17178</v>
      </c>
      <c r="F72" s="17" t="s">
        <v>544</v>
      </c>
      <c r="G72" s="23" t="s">
        <v>315</v>
      </c>
      <c r="H72" s="28" t="s">
        <v>382</v>
      </c>
      <c r="I72" s="28">
        <v>2</v>
      </c>
      <c r="J72" s="28"/>
    </row>
    <row r="73" spans="1:11">
      <c r="B73" s="16" t="str">
        <f t="shared" si="10"/>
        <v>0x431B</v>
      </c>
      <c r="C73" s="16" t="str">
        <f t="shared" si="11"/>
        <v>0x431C</v>
      </c>
      <c r="D73" s="16">
        <f t="shared" si="12"/>
        <v>17179</v>
      </c>
      <c r="E73" s="16">
        <f t="shared" si="13"/>
        <v>17180</v>
      </c>
      <c r="F73" s="17" t="s">
        <v>545</v>
      </c>
      <c r="G73" s="23" t="s">
        <v>315</v>
      </c>
      <c r="H73" s="28" t="s">
        <v>382</v>
      </c>
      <c r="I73" s="28">
        <v>2</v>
      </c>
      <c r="J73" s="28"/>
    </row>
    <row r="74" spans="1:11">
      <c r="B74" s="16" t="str">
        <f t="shared" si="10"/>
        <v>0x431D</v>
      </c>
      <c r="C74" s="16" t="str">
        <f t="shared" si="11"/>
        <v>0x431E</v>
      </c>
      <c r="D74" s="16">
        <f t="shared" si="12"/>
        <v>17181</v>
      </c>
      <c r="E74" s="16">
        <f t="shared" si="13"/>
        <v>17182</v>
      </c>
      <c r="F74" s="17" t="s">
        <v>546</v>
      </c>
      <c r="G74" s="23" t="s">
        <v>315</v>
      </c>
      <c r="H74" s="28" t="s">
        <v>382</v>
      </c>
      <c r="I74" s="28">
        <v>2</v>
      </c>
      <c r="J74" s="28"/>
    </row>
    <row r="75" spans="1:11">
      <c r="B75" s="16" t="str">
        <f t="shared" si="10"/>
        <v>0x431F</v>
      </c>
      <c r="C75" s="16" t="str">
        <f t="shared" si="11"/>
        <v>0x4320</v>
      </c>
      <c r="D75" s="16">
        <f t="shared" si="12"/>
        <v>17183</v>
      </c>
      <c r="E75" s="16">
        <f t="shared" si="13"/>
        <v>17184</v>
      </c>
      <c r="F75" s="17" t="s">
        <v>547</v>
      </c>
      <c r="G75" s="23" t="s">
        <v>521</v>
      </c>
      <c r="H75" s="28" t="s">
        <v>382</v>
      </c>
      <c r="I75" s="28">
        <v>2</v>
      </c>
      <c r="J75" s="28"/>
    </row>
    <row r="76" spans="1:11">
      <c r="B76" s="16" t="str">
        <f t="shared" si="10"/>
        <v>0x4321</v>
      </c>
      <c r="C76" s="16" t="str">
        <f t="shared" si="11"/>
        <v>0x4322</v>
      </c>
      <c r="D76" s="16">
        <f t="shared" si="12"/>
        <v>17185</v>
      </c>
      <c r="E76" s="16">
        <f t="shared" si="13"/>
        <v>17186</v>
      </c>
      <c r="F76" s="17" t="s">
        <v>548</v>
      </c>
      <c r="G76" s="23" t="s">
        <v>315</v>
      </c>
      <c r="H76" s="28" t="s">
        <v>382</v>
      </c>
      <c r="I76" s="28">
        <v>2</v>
      </c>
      <c r="J76" s="28"/>
    </row>
    <row r="77" spans="1:11">
      <c r="A77" s="26" t="s">
        <v>62</v>
      </c>
      <c r="B77" s="16" t="str">
        <f t="shared" si="10"/>
        <v>0x4323</v>
      </c>
      <c r="C77" s="16" t="str">
        <f t="shared" si="11"/>
        <v>0x4324</v>
      </c>
      <c r="D77" s="16">
        <f t="shared" si="12"/>
        <v>17187</v>
      </c>
      <c r="E77" s="16">
        <f t="shared" si="13"/>
        <v>17188</v>
      </c>
      <c r="F77" s="17" t="s">
        <v>549</v>
      </c>
      <c r="G77" s="23" t="s">
        <v>550</v>
      </c>
      <c r="H77" s="28" t="s">
        <v>301</v>
      </c>
      <c r="I77" s="28">
        <v>2</v>
      </c>
      <c r="J77" s="28"/>
    </row>
    <row r="78" spans="1:11">
      <c r="B78" s="16" t="str">
        <f t="shared" si="10"/>
        <v>0x4325</v>
      </c>
      <c r="C78" s="16" t="str">
        <f t="shared" si="11"/>
        <v>0x4326</v>
      </c>
      <c r="D78" s="16">
        <f t="shared" si="12"/>
        <v>17189</v>
      </c>
      <c r="E78" s="16">
        <f t="shared" si="13"/>
        <v>17190</v>
      </c>
      <c r="F78" s="17" t="s">
        <v>551</v>
      </c>
      <c r="G78" s="23" t="s">
        <v>550</v>
      </c>
      <c r="H78" s="28" t="s">
        <v>301</v>
      </c>
      <c r="I78" s="28">
        <v>2</v>
      </c>
      <c r="J78" s="28"/>
    </row>
    <row r="79" spans="1:11">
      <c r="B79" s="16" t="str">
        <f t="shared" si="10"/>
        <v>0x4327</v>
      </c>
      <c r="C79" s="16" t="str">
        <f t="shared" si="11"/>
        <v>0x4328</v>
      </c>
      <c r="D79" s="16">
        <f t="shared" si="12"/>
        <v>17191</v>
      </c>
      <c r="E79" s="16">
        <f t="shared" si="13"/>
        <v>17192</v>
      </c>
      <c r="F79" s="17" t="s">
        <v>552</v>
      </c>
      <c r="G79" s="23" t="s">
        <v>550</v>
      </c>
      <c r="H79" s="28" t="s">
        <v>301</v>
      </c>
      <c r="I79" s="28">
        <v>2</v>
      </c>
      <c r="J79" s="28"/>
    </row>
    <row r="80" spans="1:11">
      <c r="B80" s="16" t="str">
        <f t="shared" si="10"/>
        <v>0x4329</v>
      </c>
      <c r="C80" s="16" t="str">
        <f t="shared" si="11"/>
        <v>0x432A</v>
      </c>
      <c r="D80" s="16">
        <f t="shared" si="12"/>
        <v>17193</v>
      </c>
      <c r="E80" s="16">
        <f t="shared" si="13"/>
        <v>17194</v>
      </c>
      <c r="F80" s="17" t="s">
        <v>553</v>
      </c>
      <c r="G80" s="23" t="s">
        <v>550</v>
      </c>
      <c r="H80" s="28" t="s">
        <v>301</v>
      </c>
      <c r="I80" s="28">
        <v>2</v>
      </c>
      <c r="J80" s="28"/>
    </row>
    <row r="81" spans="2:10">
      <c r="B81" s="16" t="str">
        <f t="shared" si="10"/>
        <v>0x432B</v>
      </c>
      <c r="C81" s="16" t="str">
        <f t="shared" si="11"/>
        <v>0x432C</v>
      </c>
      <c r="D81" s="16">
        <f t="shared" si="12"/>
        <v>17195</v>
      </c>
      <c r="E81" s="16">
        <f t="shared" si="13"/>
        <v>17196</v>
      </c>
      <c r="F81" s="17" t="s">
        <v>554</v>
      </c>
      <c r="G81" s="23" t="s">
        <v>550</v>
      </c>
      <c r="H81" s="28" t="s">
        <v>301</v>
      </c>
      <c r="I81" s="28">
        <v>2</v>
      </c>
      <c r="J81" s="28"/>
    </row>
    <row r="82" spans="2:10">
      <c r="B82" s="16" t="str">
        <f t="shared" si="10"/>
        <v>0x432D</v>
      </c>
      <c r="C82" s="16" t="str">
        <f t="shared" si="11"/>
        <v>0x432E</v>
      </c>
      <c r="D82" s="16">
        <f t="shared" si="12"/>
        <v>17197</v>
      </c>
      <c r="E82" s="16">
        <f t="shared" si="13"/>
        <v>17198</v>
      </c>
      <c r="F82" s="17" t="s">
        <v>555</v>
      </c>
      <c r="G82" s="23" t="s">
        <v>550</v>
      </c>
      <c r="H82" s="28" t="s">
        <v>301</v>
      </c>
      <c r="I82" s="28">
        <v>2</v>
      </c>
      <c r="J82" s="28"/>
    </row>
    <row r="83" spans="2:10">
      <c r="B83" s="16" t="str">
        <f t="shared" si="10"/>
        <v>0x432F</v>
      </c>
      <c r="C83" s="16" t="str">
        <f t="shared" si="11"/>
        <v>0x4330</v>
      </c>
      <c r="D83" s="16">
        <f t="shared" si="12"/>
        <v>17199</v>
      </c>
      <c r="E83" s="16">
        <f t="shared" si="13"/>
        <v>17200</v>
      </c>
      <c r="F83" s="24" t="s">
        <v>556</v>
      </c>
      <c r="G83" s="23" t="s">
        <v>550</v>
      </c>
      <c r="H83" s="28" t="s">
        <v>301</v>
      </c>
      <c r="I83" s="28">
        <v>2</v>
      </c>
      <c r="J83" s="28"/>
    </row>
    <row r="84" spans="2:10">
      <c r="B84" s="16" t="str">
        <f t="shared" si="10"/>
        <v>0x4331</v>
      </c>
      <c r="C84" s="16" t="str">
        <f t="shared" si="11"/>
        <v>0x4332</v>
      </c>
      <c r="D84" s="16">
        <f t="shared" si="12"/>
        <v>17201</v>
      </c>
      <c r="E84" s="16">
        <f t="shared" si="13"/>
        <v>17202</v>
      </c>
      <c r="F84" s="24" t="s">
        <v>557</v>
      </c>
      <c r="G84" s="23" t="s">
        <v>550</v>
      </c>
      <c r="H84" s="28" t="s">
        <v>301</v>
      </c>
      <c r="I84" s="28">
        <v>2</v>
      </c>
      <c r="J84" s="28"/>
    </row>
    <row r="85" spans="2:10">
      <c r="B85" s="16" t="str">
        <f t="shared" si="10"/>
        <v>0x4333</v>
      </c>
      <c r="C85" s="16" t="str">
        <f t="shared" si="11"/>
        <v>0x4334</v>
      </c>
      <c r="D85" s="16">
        <f t="shared" si="12"/>
        <v>17203</v>
      </c>
      <c r="E85" s="16">
        <f t="shared" si="13"/>
        <v>17204</v>
      </c>
      <c r="F85" s="17" t="s">
        <v>558</v>
      </c>
      <c r="G85" s="23" t="s">
        <v>550</v>
      </c>
      <c r="H85" s="28" t="s">
        <v>382</v>
      </c>
      <c r="I85" s="28">
        <v>2</v>
      </c>
      <c r="J85" s="28"/>
    </row>
    <row r="86" spans="2:10">
      <c r="B86" s="16" t="str">
        <f t="shared" si="10"/>
        <v>0x4335</v>
      </c>
      <c r="C86" s="16" t="str">
        <f t="shared" si="11"/>
        <v>0x4336</v>
      </c>
      <c r="D86" s="16">
        <f t="shared" si="12"/>
        <v>17205</v>
      </c>
      <c r="E86" s="16">
        <f t="shared" si="13"/>
        <v>17206</v>
      </c>
      <c r="F86" s="17" t="s">
        <v>559</v>
      </c>
      <c r="G86" s="23" t="s">
        <v>550</v>
      </c>
      <c r="H86" s="28" t="s">
        <v>382</v>
      </c>
      <c r="I86" s="28">
        <v>2</v>
      </c>
      <c r="J86" s="28"/>
    </row>
    <row r="87" spans="2:10">
      <c r="B87" s="16" t="str">
        <f t="shared" si="10"/>
        <v>0x4337</v>
      </c>
      <c r="C87" s="16" t="str">
        <f t="shared" si="11"/>
        <v>0x4338</v>
      </c>
      <c r="D87" s="16">
        <f t="shared" si="12"/>
        <v>17207</v>
      </c>
      <c r="E87" s="16">
        <f t="shared" si="13"/>
        <v>17208</v>
      </c>
      <c r="F87" s="17" t="s">
        <v>560</v>
      </c>
      <c r="G87" s="23" t="s">
        <v>550</v>
      </c>
      <c r="H87" s="28" t="s">
        <v>382</v>
      </c>
      <c r="I87" s="28">
        <v>2</v>
      </c>
      <c r="J87" s="28"/>
    </row>
    <row r="88" spans="2:10">
      <c r="B88" s="16" t="str">
        <f t="shared" si="10"/>
        <v>0x4339</v>
      </c>
      <c r="C88" s="16" t="str">
        <f t="shared" si="11"/>
        <v>0x433A</v>
      </c>
      <c r="D88" s="16">
        <f t="shared" si="12"/>
        <v>17209</v>
      </c>
      <c r="E88" s="16">
        <f t="shared" si="13"/>
        <v>17210</v>
      </c>
      <c r="F88" s="17" t="s">
        <v>561</v>
      </c>
      <c r="G88" s="23" t="s">
        <v>550</v>
      </c>
      <c r="H88" s="28" t="s">
        <v>382</v>
      </c>
      <c r="I88" s="28">
        <v>2</v>
      </c>
      <c r="J88" s="28"/>
    </row>
    <row r="89" spans="2:10">
      <c r="B89" s="16" t="str">
        <f t="shared" si="10"/>
        <v>0x433B</v>
      </c>
      <c r="C89" s="16" t="str">
        <f t="shared" si="11"/>
        <v>0x4438</v>
      </c>
      <c r="D89" s="16">
        <f t="shared" si="12"/>
        <v>17211</v>
      </c>
      <c r="E89" s="16">
        <f t="shared" si="13"/>
        <v>17464</v>
      </c>
      <c r="F89" s="17" t="s">
        <v>562</v>
      </c>
      <c r="G89" s="23" t="s">
        <v>550</v>
      </c>
      <c r="H89" s="28" t="s">
        <v>382</v>
      </c>
      <c r="I89" s="28">
        <v>254</v>
      </c>
      <c r="J89" s="28"/>
    </row>
    <row r="90" spans="2:10">
      <c r="B90" s="16" t="str">
        <f t="shared" si="10"/>
        <v>0x4439</v>
      </c>
      <c r="C90" s="16" t="str">
        <f t="shared" si="11"/>
        <v>0x4536</v>
      </c>
      <c r="D90" s="16">
        <f t="shared" si="12"/>
        <v>17465</v>
      </c>
      <c r="E90" s="16">
        <f t="shared" si="13"/>
        <v>17718</v>
      </c>
      <c r="F90" s="17" t="s">
        <v>563</v>
      </c>
      <c r="G90" s="23" t="s">
        <v>550</v>
      </c>
      <c r="H90" s="28" t="s">
        <v>382</v>
      </c>
      <c r="I90" s="28">
        <v>254</v>
      </c>
      <c r="J90" s="28"/>
    </row>
    <row r="91" spans="2:10">
      <c r="B91" s="16" t="str">
        <f t="shared" si="10"/>
        <v>0x4537</v>
      </c>
      <c r="C91" s="16" t="str">
        <f t="shared" si="11"/>
        <v>0x4634</v>
      </c>
      <c r="D91" s="16">
        <f t="shared" si="12"/>
        <v>17719</v>
      </c>
      <c r="E91" s="16">
        <f t="shared" si="13"/>
        <v>17972</v>
      </c>
      <c r="F91" s="17" t="s">
        <v>564</v>
      </c>
      <c r="G91" s="23" t="s">
        <v>550</v>
      </c>
      <c r="H91" s="28" t="s">
        <v>382</v>
      </c>
      <c r="I91" s="28">
        <v>254</v>
      </c>
      <c r="J91" s="28"/>
    </row>
    <row r="92" spans="2:10">
      <c r="B92" s="16" t="str">
        <f t="shared" si="10"/>
        <v>0x4635</v>
      </c>
      <c r="C92" s="16" t="str">
        <f t="shared" si="11"/>
        <v>0x4636</v>
      </c>
      <c r="D92" s="16">
        <f t="shared" si="12"/>
        <v>17973</v>
      </c>
      <c r="E92" s="16">
        <f t="shared" si="13"/>
        <v>17974</v>
      </c>
      <c r="F92" s="17" t="s">
        <v>565</v>
      </c>
      <c r="G92" s="23" t="s">
        <v>550</v>
      </c>
      <c r="H92" s="28" t="s">
        <v>382</v>
      </c>
      <c r="I92" s="28">
        <v>2</v>
      </c>
      <c r="J92" s="28"/>
    </row>
    <row r="93" spans="2:10">
      <c r="B93" s="16" t="str">
        <f t="shared" si="10"/>
        <v>0x4637</v>
      </c>
      <c r="C93" s="16" t="str">
        <f t="shared" si="11"/>
        <v>0x4638</v>
      </c>
      <c r="D93" s="16">
        <f t="shared" si="12"/>
        <v>17975</v>
      </c>
      <c r="E93" s="16">
        <f t="shared" si="13"/>
        <v>17976</v>
      </c>
      <c r="F93" s="17" t="s">
        <v>566</v>
      </c>
      <c r="G93" s="23" t="s">
        <v>550</v>
      </c>
      <c r="H93" s="28" t="s">
        <v>382</v>
      </c>
      <c r="I93" s="28">
        <v>2</v>
      </c>
      <c r="J93" s="28"/>
    </row>
    <row r="94" spans="2:10">
      <c r="B94" s="16" t="str">
        <f t="shared" si="10"/>
        <v>0x4639</v>
      </c>
      <c r="C94" s="16" t="str">
        <f t="shared" si="11"/>
        <v>0x463A</v>
      </c>
      <c r="D94" s="16">
        <f t="shared" si="12"/>
        <v>17977</v>
      </c>
      <c r="E94" s="16">
        <f t="shared" si="13"/>
        <v>17978</v>
      </c>
      <c r="F94" s="17" t="s">
        <v>567</v>
      </c>
      <c r="G94" s="23" t="s">
        <v>550</v>
      </c>
      <c r="H94" s="28" t="s">
        <v>382</v>
      </c>
      <c r="I94" s="28">
        <v>2</v>
      </c>
      <c r="J94" s="28"/>
    </row>
    <row r="95" spans="2:10">
      <c r="B95" s="16" t="str">
        <f t="shared" si="10"/>
        <v>0x463B</v>
      </c>
      <c r="C95" s="16" t="str">
        <f t="shared" si="11"/>
        <v>0x463C</v>
      </c>
      <c r="D95" s="16">
        <f t="shared" si="12"/>
        <v>17979</v>
      </c>
      <c r="E95" s="16">
        <f t="shared" si="13"/>
        <v>17980</v>
      </c>
      <c r="F95" s="17" t="s">
        <v>568</v>
      </c>
      <c r="G95" s="23" t="s">
        <v>550</v>
      </c>
      <c r="H95" s="28" t="s">
        <v>382</v>
      </c>
      <c r="I95" s="28">
        <v>2</v>
      </c>
      <c r="J95" s="28"/>
    </row>
    <row r="96" spans="2:10">
      <c r="B96" s="16" t="str">
        <f t="shared" si="10"/>
        <v>0x463D</v>
      </c>
      <c r="C96" s="16" t="str">
        <f t="shared" si="11"/>
        <v>0x473A</v>
      </c>
      <c r="D96" s="16">
        <f t="shared" si="12"/>
        <v>17981</v>
      </c>
      <c r="E96" s="16">
        <f t="shared" si="13"/>
        <v>18234</v>
      </c>
      <c r="F96" s="17" t="s">
        <v>569</v>
      </c>
      <c r="G96" s="23" t="s">
        <v>550</v>
      </c>
      <c r="H96" s="28" t="s">
        <v>382</v>
      </c>
      <c r="I96" s="28">
        <v>254</v>
      </c>
      <c r="J96" s="28"/>
    </row>
    <row r="97" spans="2:10">
      <c r="B97" s="16" t="str">
        <f t="shared" si="10"/>
        <v>0x473B</v>
      </c>
      <c r="C97" s="16" t="str">
        <f t="shared" si="11"/>
        <v>0x4838</v>
      </c>
      <c r="D97" s="16">
        <f t="shared" si="12"/>
        <v>18235</v>
      </c>
      <c r="E97" s="16">
        <f t="shared" si="13"/>
        <v>18488</v>
      </c>
      <c r="F97" s="17" t="s">
        <v>570</v>
      </c>
      <c r="G97" s="23" t="s">
        <v>550</v>
      </c>
      <c r="H97" s="28" t="s">
        <v>382</v>
      </c>
      <c r="I97" s="28">
        <v>254</v>
      </c>
      <c r="J97" s="28"/>
    </row>
    <row r="98" spans="2:10">
      <c r="B98" s="16" t="str">
        <f t="shared" si="10"/>
        <v>0x4839</v>
      </c>
      <c r="C98" s="16" t="str">
        <f t="shared" si="11"/>
        <v>0x4936</v>
      </c>
      <c r="D98" s="16">
        <f t="shared" si="12"/>
        <v>18489</v>
      </c>
      <c r="E98" s="16">
        <f t="shared" si="13"/>
        <v>18742</v>
      </c>
      <c r="F98" s="17" t="s">
        <v>571</v>
      </c>
      <c r="G98" s="23" t="s">
        <v>550</v>
      </c>
      <c r="H98" s="28" t="s">
        <v>382</v>
      </c>
      <c r="I98" s="28">
        <v>254</v>
      </c>
      <c r="J98" s="28"/>
    </row>
    <row r="99" spans="2:10">
      <c r="B99" s="16" t="str">
        <f t="shared" si="10"/>
        <v>0x4937</v>
      </c>
      <c r="C99" s="16" t="str">
        <f t="shared" si="11"/>
        <v>0x4938</v>
      </c>
      <c r="D99" s="16">
        <f t="shared" si="12"/>
        <v>18743</v>
      </c>
      <c r="E99" s="16">
        <f t="shared" si="13"/>
        <v>18744</v>
      </c>
      <c r="F99" s="17" t="s">
        <v>572</v>
      </c>
      <c r="G99" s="23" t="s">
        <v>550</v>
      </c>
      <c r="H99" s="28" t="s">
        <v>382</v>
      </c>
      <c r="I99" s="28">
        <v>2</v>
      </c>
      <c r="J99" s="28"/>
    </row>
    <row r="100" spans="2:10">
      <c r="B100" s="16" t="str">
        <f t="shared" si="10"/>
        <v>0x4939</v>
      </c>
      <c r="C100" s="16" t="str">
        <f t="shared" si="11"/>
        <v>0x493A</v>
      </c>
      <c r="D100" s="16">
        <f t="shared" si="12"/>
        <v>18745</v>
      </c>
      <c r="E100" s="16">
        <f t="shared" si="13"/>
        <v>18746</v>
      </c>
      <c r="F100" s="17" t="s">
        <v>573</v>
      </c>
      <c r="G100" s="23" t="s">
        <v>550</v>
      </c>
      <c r="H100" s="28" t="s">
        <v>382</v>
      </c>
      <c r="I100" s="28">
        <v>2</v>
      </c>
      <c r="J100" s="28"/>
    </row>
    <row r="101" spans="2:10">
      <c r="B101" s="16" t="str">
        <f t="shared" si="10"/>
        <v>0x493B</v>
      </c>
      <c r="C101" s="16" t="str">
        <f t="shared" si="11"/>
        <v>0x493C</v>
      </c>
      <c r="D101" s="16">
        <f t="shared" si="12"/>
        <v>18747</v>
      </c>
      <c r="E101" s="16">
        <f t="shared" si="13"/>
        <v>18748</v>
      </c>
      <c r="F101" s="17" t="s">
        <v>574</v>
      </c>
      <c r="G101" s="23" t="s">
        <v>550</v>
      </c>
      <c r="H101" s="28" t="s">
        <v>382</v>
      </c>
      <c r="I101" s="28">
        <v>2</v>
      </c>
      <c r="J101" s="28"/>
    </row>
    <row r="102" spans="2:10">
      <c r="B102" s="16" t="str">
        <f t="shared" si="10"/>
        <v>0x493D</v>
      </c>
      <c r="C102" s="16" t="str">
        <f t="shared" si="11"/>
        <v>0x493E</v>
      </c>
      <c r="D102" s="16">
        <f t="shared" si="12"/>
        <v>18749</v>
      </c>
      <c r="E102" s="16">
        <f t="shared" si="13"/>
        <v>18750</v>
      </c>
      <c r="F102" s="17" t="s">
        <v>575</v>
      </c>
      <c r="G102" s="23" t="s">
        <v>550</v>
      </c>
      <c r="H102" s="28" t="s">
        <v>382</v>
      </c>
      <c r="I102" s="28">
        <v>2</v>
      </c>
      <c r="J102" s="28"/>
    </row>
    <row r="103" spans="2:10">
      <c r="B103" s="16" t="str">
        <f t="shared" si="10"/>
        <v>0x493F</v>
      </c>
      <c r="C103" s="16" t="str">
        <f t="shared" si="11"/>
        <v>0x4A3C</v>
      </c>
      <c r="D103" s="16">
        <f t="shared" si="12"/>
        <v>18751</v>
      </c>
      <c r="E103" s="16">
        <f t="shared" si="13"/>
        <v>19004</v>
      </c>
      <c r="F103" s="17" t="s">
        <v>576</v>
      </c>
      <c r="G103" s="23" t="s">
        <v>550</v>
      </c>
      <c r="H103" s="28" t="s">
        <v>382</v>
      </c>
      <c r="I103" s="28">
        <v>254</v>
      </c>
      <c r="J103" s="28"/>
    </row>
    <row r="104" spans="2:10">
      <c r="B104" s="16" t="str">
        <f t="shared" si="10"/>
        <v>0x4A3D</v>
      </c>
      <c r="C104" s="16" t="str">
        <f t="shared" si="11"/>
        <v>0x4B3A</v>
      </c>
      <c r="D104" s="16">
        <f t="shared" si="12"/>
        <v>19005</v>
      </c>
      <c r="E104" s="16">
        <f t="shared" si="13"/>
        <v>19258</v>
      </c>
      <c r="F104" s="17" t="s">
        <v>577</v>
      </c>
      <c r="G104" s="23" t="s">
        <v>550</v>
      </c>
      <c r="H104" s="28" t="s">
        <v>382</v>
      </c>
      <c r="I104" s="28">
        <v>254</v>
      </c>
      <c r="J104" s="28"/>
    </row>
    <row r="105" spans="2:10">
      <c r="B105" s="16" t="str">
        <f t="shared" si="10"/>
        <v>0x4B3B</v>
      </c>
      <c r="C105" s="16" t="str">
        <f t="shared" si="11"/>
        <v>0x4C38</v>
      </c>
      <c r="D105" s="16">
        <f t="shared" si="12"/>
        <v>19259</v>
      </c>
      <c r="E105" s="16">
        <f t="shared" si="13"/>
        <v>19512</v>
      </c>
      <c r="F105" s="17" t="s">
        <v>578</v>
      </c>
      <c r="G105" s="23" t="s">
        <v>550</v>
      </c>
      <c r="H105" s="28" t="s">
        <v>382</v>
      </c>
      <c r="I105" s="28">
        <v>254</v>
      </c>
      <c r="J105" s="28"/>
    </row>
    <row r="106" spans="2:10">
      <c r="B106" s="16" t="str">
        <f t="shared" si="10"/>
        <v>0x4C39</v>
      </c>
      <c r="C106" s="16" t="str">
        <f t="shared" si="11"/>
        <v>0x4C3A</v>
      </c>
      <c r="D106" s="16">
        <f t="shared" si="12"/>
        <v>19513</v>
      </c>
      <c r="E106" s="16">
        <f t="shared" si="13"/>
        <v>19514</v>
      </c>
      <c r="F106" s="17" t="s">
        <v>579</v>
      </c>
      <c r="G106" s="23" t="s">
        <v>550</v>
      </c>
      <c r="H106" s="28" t="s">
        <v>382</v>
      </c>
      <c r="I106" s="28">
        <v>2</v>
      </c>
      <c r="J106" s="28"/>
    </row>
    <row r="107" spans="2:10">
      <c r="B107" s="16" t="str">
        <f t="shared" si="10"/>
        <v>0x4C3B</v>
      </c>
      <c r="C107" s="16" t="str">
        <f t="shared" si="11"/>
        <v>0x4C3C</v>
      </c>
      <c r="D107" s="16">
        <f t="shared" si="12"/>
        <v>19515</v>
      </c>
      <c r="E107" s="16">
        <f t="shared" si="13"/>
        <v>19516</v>
      </c>
      <c r="F107" s="17" t="s">
        <v>580</v>
      </c>
      <c r="G107" s="23" t="s">
        <v>550</v>
      </c>
      <c r="H107" s="28" t="s">
        <v>382</v>
      </c>
      <c r="I107" s="28">
        <v>2</v>
      </c>
      <c r="J107" s="28"/>
    </row>
    <row r="108" spans="2:10">
      <c r="B108" s="16" t="str">
        <f t="shared" si="10"/>
        <v>0x4C3D</v>
      </c>
      <c r="C108" s="16" t="str">
        <f t="shared" si="11"/>
        <v>0x4C3E</v>
      </c>
      <c r="D108" s="16">
        <f t="shared" si="12"/>
        <v>19517</v>
      </c>
      <c r="E108" s="16">
        <f t="shared" si="13"/>
        <v>19518</v>
      </c>
      <c r="F108" s="17" t="s">
        <v>581</v>
      </c>
      <c r="G108" s="23" t="s">
        <v>550</v>
      </c>
      <c r="H108" s="28" t="s">
        <v>382</v>
      </c>
      <c r="I108" s="28">
        <v>2</v>
      </c>
      <c r="J108" s="28"/>
    </row>
    <row r="109" spans="2:10">
      <c r="B109" s="16" t="str">
        <f t="shared" si="10"/>
        <v>0x4C3F</v>
      </c>
      <c r="C109" s="16" t="str">
        <f t="shared" si="11"/>
        <v>0x555A</v>
      </c>
      <c r="D109" s="16">
        <f t="shared" si="12"/>
        <v>19519</v>
      </c>
      <c r="E109" s="16">
        <f t="shared" si="13"/>
        <v>21850</v>
      </c>
      <c r="F109" s="17" t="s">
        <v>582</v>
      </c>
      <c r="G109" s="23" t="s">
        <v>550</v>
      </c>
      <c r="H109" s="28" t="s">
        <v>382</v>
      </c>
      <c r="I109" s="28">
        <v>2332</v>
      </c>
      <c r="J109" s="28"/>
    </row>
    <row r="110" spans="2:10">
      <c r="B110" s="16" t="str">
        <f t="shared" si="10"/>
        <v>0x555B</v>
      </c>
      <c r="C110" s="16" t="str">
        <f t="shared" si="11"/>
        <v>0x555B</v>
      </c>
      <c r="D110" s="16">
        <f t="shared" si="12"/>
        <v>21851</v>
      </c>
      <c r="E110" s="16">
        <f t="shared" si="13"/>
        <v>21851</v>
      </c>
      <c r="F110" s="50" t="s">
        <v>438</v>
      </c>
      <c r="G110" s="21" t="s">
        <v>146</v>
      </c>
      <c r="H110" s="21" t="s">
        <v>147</v>
      </c>
      <c r="I110" s="21">
        <v>1</v>
      </c>
      <c r="J110" s="21" t="s">
        <v>439</v>
      </c>
    </row>
    <row r="111" spans="2:10">
      <c r="B111" s="16" t="str">
        <f t="shared" si="10"/>
        <v>0x555C</v>
      </c>
      <c r="C111" s="16" t="str">
        <f t="shared" si="11"/>
        <v>0x555D</v>
      </c>
      <c r="D111" s="16">
        <f t="shared" si="12"/>
        <v>21852</v>
      </c>
      <c r="E111" s="16">
        <f t="shared" si="13"/>
        <v>21853</v>
      </c>
      <c r="F111" s="15" t="s">
        <v>583</v>
      </c>
      <c r="G111" s="23" t="s">
        <v>550</v>
      </c>
      <c r="H111" s="28" t="s">
        <v>382</v>
      </c>
      <c r="I111" s="28">
        <v>2</v>
      </c>
      <c r="J111" s="28"/>
    </row>
    <row r="112" spans="2:10">
      <c r="B112" s="16" t="str">
        <f t="shared" si="10"/>
        <v>0x555E</v>
      </c>
      <c r="C112" s="16" t="str">
        <f t="shared" si="11"/>
        <v>0x555F</v>
      </c>
      <c r="D112" s="16">
        <f t="shared" si="12"/>
        <v>21854</v>
      </c>
      <c r="E112" s="16">
        <f t="shared" si="13"/>
        <v>21855</v>
      </c>
      <c r="F112" s="15" t="s">
        <v>584</v>
      </c>
      <c r="G112" s="23" t="s">
        <v>550</v>
      </c>
      <c r="H112" s="28" t="s">
        <v>382</v>
      </c>
      <c r="I112" s="28">
        <v>2</v>
      </c>
      <c r="J112" s="28"/>
    </row>
    <row r="113" spans="2:11">
      <c r="B113" s="16" t="str">
        <f t="shared" si="10"/>
        <v>0x5560</v>
      </c>
      <c r="C113" s="16" t="str">
        <f t="shared" si="11"/>
        <v>0x5561</v>
      </c>
      <c r="D113" s="16">
        <f t="shared" si="12"/>
        <v>21856</v>
      </c>
      <c r="E113" s="16">
        <f t="shared" si="13"/>
        <v>21857</v>
      </c>
      <c r="F113" s="15" t="s">
        <v>585</v>
      </c>
      <c r="G113" s="23" t="s">
        <v>550</v>
      </c>
      <c r="H113" s="28" t="s">
        <v>382</v>
      </c>
      <c r="I113" s="28">
        <v>2</v>
      </c>
      <c r="J113" s="28"/>
    </row>
    <row r="114" spans="2:11">
      <c r="B114" s="16" t="str">
        <f t="shared" si="10"/>
        <v>0x5562</v>
      </c>
      <c r="C114" s="16" t="str">
        <f t="shared" si="11"/>
        <v>0x5563</v>
      </c>
      <c r="D114" s="16">
        <f t="shared" si="12"/>
        <v>21858</v>
      </c>
      <c r="E114" s="16">
        <f t="shared" si="13"/>
        <v>21859</v>
      </c>
      <c r="F114" s="15" t="s">
        <v>586</v>
      </c>
      <c r="G114" s="23" t="s">
        <v>550</v>
      </c>
      <c r="H114" s="28" t="s">
        <v>382</v>
      </c>
      <c r="I114" s="28">
        <v>2</v>
      </c>
      <c r="J114" s="28"/>
    </row>
    <row r="115" spans="2:11">
      <c r="B115" s="16" t="str">
        <f t="shared" si="10"/>
        <v>0x5564</v>
      </c>
      <c r="C115" s="16" t="str">
        <f t="shared" si="11"/>
        <v>0x5565</v>
      </c>
      <c r="D115" s="16">
        <f t="shared" si="12"/>
        <v>21860</v>
      </c>
      <c r="E115" s="16">
        <f t="shared" si="13"/>
        <v>21861</v>
      </c>
      <c r="F115" s="17" t="s">
        <v>587</v>
      </c>
      <c r="G115" s="23" t="s">
        <v>550</v>
      </c>
      <c r="H115" s="28" t="s">
        <v>382</v>
      </c>
      <c r="I115" s="28">
        <v>2</v>
      </c>
      <c r="J115" s="28"/>
    </row>
    <row r="116" spans="2:11">
      <c r="B116" s="16" t="str">
        <f t="shared" si="10"/>
        <v>0x5566</v>
      </c>
      <c r="C116" s="16" t="str">
        <f t="shared" si="11"/>
        <v>0x5567</v>
      </c>
      <c r="D116" s="16">
        <f t="shared" si="12"/>
        <v>21862</v>
      </c>
      <c r="E116" s="16">
        <f t="shared" si="13"/>
        <v>21863</v>
      </c>
      <c r="F116" s="15" t="s">
        <v>588</v>
      </c>
      <c r="G116" s="23" t="s">
        <v>550</v>
      </c>
      <c r="H116" s="28" t="s">
        <v>382</v>
      </c>
      <c r="I116" s="28">
        <v>2</v>
      </c>
      <c r="J116" s="28"/>
    </row>
    <row r="117" spans="2:11">
      <c r="B117" s="16" t="str">
        <f t="shared" si="10"/>
        <v>0x5568</v>
      </c>
      <c r="C117" s="16" t="str">
        <f t="shared" si="11"/>
        <v>0x55E5</v>
      </c>
      <c r="D117" s="16">
        <f t="shared" si="12"/>
        <v>21864</v>
      </c>
      <c r="E117" s="16">
        <f t="shared" si="13"/>
        <v>21989</v>
      </c>
      <c r="F117" s="17" t="s">
        <v>589</v>
      </c>
      <c r="G117" s="23" t="s">
        <v>550</v>
      </c>
      <c r="H117" s="28" t="s">
        <v>382</v>
      </c>
      <c r="I117" s="28">
        <v>126</v>
      </c>
      <c r="J117" s="28"/>
    </row>
    <row r="118" spans="2:11">
      <c r="B118" s="16" t="str">
        <f t="shared" si="10"/>
        <v>0x55E6</v>
      </c>
      <c r="C118" s="16" t="str">
        <f t="shared" si="11"/>
        <v>0x5663</v>
      </c>
      <c r="D118" s="16">
        <f t="shared" si="12"/>
        <v>21990</v>
      </c>
      <c r="E118" s="16">
        <f t="shared" si="13"/>
        <v>22115</v>
      </c>
      <c r="F118" s="17" t="s">
        <v>590</v>
      </c>
      <c r="G118" s="23" t="s">
        <v>550</v>
      </c>
      <c r="H118" s="28" t="s">
        <v>382</v>
      </c>
      <c r="I118" s="28">
        <v>126</v>
      </c>
      <c r="J118" s="28"/>
    </row>
    <row r="119" spans="2:11">
      <c r="B119" s="16" t="str">
        <f t="shared" si="10"/>
        <v>0x5664</v>
      </c>
      <c r="C119" s="16" t="str">
        <f t="shared" si="11"/>
        <v>0x56E1</v>
      </c>
      <c r="D119" s="16">
        <f t="shared" si="12"/>
        <v>22116</v>
      </c>
      <c r="E119" s="16">
        <f t="shared" si="13"/>
        <v>22241</v>
      </c>
      <c r="F119" s="17" t="s">
        <v>591</v>
      </c>
      <c r="G119" s="23" t="s">
        <v>550</v>
      </c>
      <c r="H119" s="28" t="s">
        <v>382</v>
      </c>
      <c r="I119" s="28">
        <v>126</v>
      </c>
      <c r="J119" s="28"/>
    </row>
    <row r="120" spans="2:11">
      <c r="B120" s="16" t="str">
        <f t="shared" si="10"/>
        <v>0x56E2</v>
      </c>
      <c r="C120" s="16" t="str">
        <f t="shared" si="11"/>
        <v>0x56E2</v>
      </c>
      <c r="D120" s="16">
        <f t="shared" si="12"/>
        <v>22242</v>
      </c>
      <c r="E120" s="16">
        <f t="shared" si="13"/>
        <v>22242</v>
      </c>
      <c r="F120" s="50" t="s">
        <v>339</v>
      </c>
      <c r="G120" s="21" t="s">
        <v>146</v>
      </c>
      <c r="H120" s="21" t="s">
        <v>147</v>
      </c>
      <c r="I120" s="21">
        <v>1</v>
      </c>
      <c r="J120" s="21" t="s">
        <v>340</v>
      </c>
      <c r="K120">
        <v>1</v>
      </c>
    </row>
    <row r="121" spans="2:11">
      <c r="B121" s="16" t="str">
        <f t="shared" si="10"/>
        <v>0x56E3</v>
      </c>
      <c r="C121" s="16" t="str">
        <f t="shared" si="11"/>
        <v>0x56E4</v>
      </c>
      <c r="D121" s="16">
        <f t="shared" si="12"/>
        <v>22243</v>
      </c>
      <c r="E121" s="16">
        <f t="shared" si="13"/>
        <v>22244</v>
      </c>
      <c r="F121" s="15" t="s">
        <v>592</v>
      </c>
      <c r="G121" s="23" t="s">
        <v>550</v>
      </c>
      <c r="H121" s="28" t="s">
        <v>382</v>
      </c>
      <c r="I121" s="28">
        <v>2</v>
      </c>
      <c r="J121" s="28"/>
    </row>
    <row r="122" spans="2:11">
      <c r="B122" s="16" t="str">
        <f t="shared" si="10"/>
        <v>0x56E5</v>
      </c>
      <c r="C122" s="16" t="str">
        <f t="shared" si="11"/>
        <v>0x56E6</v>
      </c>
      <c r="D122" s="16">
        <f t="shared" si="12"/>
        <v>22245</v>
      </c>
      <c r="E122" s="16">
        <f t="shared" si="13"/>
        <v>22246</v>
      </c>
      <c r="F122" s="15" t="s">
        <v>593</v>
      </c>
      <c r="G122" s="23" t="s">
        <v>550</v>
      </c>
      <c r="H122" s="28" t="s">
        <v>382</v>
      </c>
      <c r="I122" s="28">
        <v>2</v>
      </c>
      <c r="J122" s="28"/>
    </row>
    <row r="123" spans="2:11">
      <c r="B123" s="16" t="str">
        <f t="shared" si="10"/>
        <v>0x56E7</v>
      </c>
      <c r="C123" s="16" t="str">
        <f t="shared" si="11"/>
        <v>0x56E8</v>
      </c>
      <c r="D123" s="16">
        <f t="shared" si="12"/>
        <v>22247</v>
      </c>
      <c r="E123" s="16">
        <f t="shared" si="13"/>
        <v>22248</v>
      </c>
      <c r="F123" s="15" t="s">
        <v>594</v>
      </c>
      <c r="G123" s="23" t="s">
        <v>550</v>
      </c>
      <c r="H123" s="28" t="s">
        <v>382</v>
      </c>
      <c r="I123" s="28">
        <v>2</v>
      </c>
      <c r="J123" s="28"/>
    </row>
    <row r="124" spans="2:11">
      <c r="B124" s="16" t="str">
        <f t="shared" si="10"/>
        <v>0x56E9</v>
      </c>
      <c r="C124" s="16" t="str">
        <f t="shared" si="11"/>
        <v>0x56EA</v>
      </c>
      <c r="D124" s="16">
        <f t="shared" si="12"/>
        <v>22249</v>
      </c>
      <c r="E124" s="16">
        <f t="shared" si="13"/>
        <v>22250</v>
      </c>
      <c r="F124" s="15" t="s">
        <v>595</v>
      </c>
      <c r="G124" s="23" t="s">
        <v>550</v>
      </c>
      <c r="H124" s="28" t="s">
        <v>382</v>
      </c>
      <c r="I124" s="28">
        <v>2</v>
      </c>
      <c r="J124" s="28"/>
    </row>
    <row r="125" spans="2:11">
      <c r="B125" s="16" t="str">
        <f t="shared" si="10"/>
        <v>0x56EB</v>
      </c>
      <c r="C125" s="16" t="str">
        <f t="shared" si="11"/>
        <v>0x56EC</v>
      </c>
      <c r="D125" s="16">
        <f t="shared" si="12"/>
        <v>22251</v>
      </c>
      <c r="E125" s="16">
        <f t="shared" si="13"/>
        <v>22252</v>
      </c>
      <c r="F125" s="15" t="s">
        <v>596</v>
      </c>
      <c r="G125" s="23" t="s">
        <v>550</v>
      </c>
      <c r="H125" s="28" t="s">
        <v>382</v>
      </c>
      <c r="I125" s="28">
        <v>2</v>
      </c>
      <c r="J125" s="28"/>
    </row>
    <row r="126" spans="2:11">
      <c r="B126" s="16" t="str">
        <f t="shared" si="10"/>
        <v>0x56ED</v>
      </c>
      <c r="C126" s="16" t="str">
        <f t="shared" si="11"/>
        <v>0x56EE</v>
      </c>
      <c r="D126" s="16">
        <f t="shared" si="12"/>
        <v>22253</v>
      </c>
      <c r="E126" s="16">
        <f t="shared" si="13"/>
        <v>22254</v>
      </c>
      <c r="F126" s="15" t="s">
        <v>597</v>
      </c>
      <c r="G126" s="23" t="s">
        <v>550</v>
      </c>
      <c r="H126" s="28" t="s">
        <v>382</v>
      </c>
      <c r="I126" s="28">
        <v>2</v>
      </c>
      <c r="J126" s="28"/>
    </row>
    <row r="127" spans="2:11">
      <c r="B127" s="16" t="str">
        <f t="shared" si="10"/>
        <v>0x56EF</v>
      </c>
      <c r="C127" s="16" t="str">
        <f t="shared" si="11"/>
        <v>0x56F0</v>
      </c>
      <c r="D127" s="16">
        <f t="shared" si="12"/>
        <v>22255</v>
      </c>
      <c r="E127" s="16">
        <f t="shared" si="13"/>
        <v>22256</v>
      </c>
      <c r="F127" s="17" t="s">
        <v>598</v>
      </c>
      <c r="G127" s="23" t="s">
        <v>550</v>
      </c>
      <c r="H127" s="28" t="s">
        <v>382</v>
      </c>
      <c r="I127" s="28">
        <v>2</v>
      </c>
      <c r="J127" s="28"/>
    </row>
    <row r="128" spans="2:11">
      <c r="B128" s="16" t="str">
        <f t="shared" si="10"/>
        <v>0x56F1</v>
      </c>
      <c r="C128" s="16" t="str">
        <f t="shared" si="11"/>
        <v>0x56F2</v>
      </c>
      <c r="D128" s="16">
        <f t="shared" si="12"/>
        <v>22257</v>
      </c>
      <c r="E128" s="16">
        <f t="shared" si="13"/>
        <v>22258</v>
      </c>
      <c r="F128" s="17" t="s">
        <v>599</v>
      </c>
      <c r="G128" s="23" t="s">
        <v>550</v>
      </c>
      <c r="H128" s="28" t="s">
        <v>382</v>
      </c>
      <c r="I128" s="28">
        <v>2</v>
      </c>
      <c r="J128" s="28"/>
    </row>
    <row r="129" spans="1:10">
      <c r="A129" s="26" t="s">
        <v>65</v>
      </c>
      <c r="B129" s="16" t="str">
        <f t="shared" ref="B129:B134" si="14">"0x"&amp;DEC2HEX(D129,4)</f>
        <v>0x56F3</v>
      </c>
      <c r="C129" s="16" t="str">
        <f t="shared" ref="C129:C134" si="15">"0x"&amp;DEC2HEX(E129,4)</f>
        <v>0x56F4</v>
      </c>
      <c r="D129" s="16">
        <f t="shared" ref="D129:D134" si="16">D128+I128</f>
        <v>22259</v>
      </c>
      <c r="E129" s="16">
        <f t="shared" ref="E129:E134" si="17">D129+I129-1</f>
        <v>22260</v>
      </c>
      <c r="F129" s="20" t="s">
        <v>604</v>
      </c>
      <c r="G129" s="28" t="s">
        <v>550</v>
      </c>
      <c r="H129" s="28" t="s">
        <v>301</v>
      </c>
      <c r="I129" s="28">
        <v>2</v>
      </c>
      <c r="J129" s="28"/>
    </row>
    <row r="130" spans="1:10">
      <c r="B130" s="16" t="str">
        <f t="shared" si="14"/>
        <v>0x56F5</v>
      </c>
      <c r="C130" s="16" t="str">
        <f t="shared" si="15"/>
        <v>0x56F6</v>
      </c>
      <c r="D130" s="16">
        <f t="shared" si="16"/>
        <v>22261</v>
      </c>
      <c r="E130" s="16">
        <f t="shared" si="17"/>
        <v>22262</v>
      </c>
      <c r="F130" s="20" t="s">
        <v>605</v>
      </c>
      <c r="G130" s="28" t="s">
        <v>550</v>
      </c>
      <c r="H130" s="28" t="s">
        <v>301</v>
      </c>
      <c r="I130" s="28">
        <v>2</v>
      </c>
      <c r="J130" s="28"/>
    </row>
    <row r="131" spans="1:10">
      <c r="B131" s="16" t="str">
        <f t="shared" si="14"/>
        <v>0x56F7</v>
      </c>
      <c r="C131" s="16" t="str">
        <f t="shared" si="15"/>
        <v>0x56F8</v>
      </c>
      <c r="D131" s="16">
        <f t="shared" si="16"/>
        <v>22263</v>
      </c>
      <c r="E131" s="16">
        <f t="shared" si="17"/>
        <v>22264</v>
      </c>
      <c r="F131" s="20" t="s">
        <v>606</v>
      </c>
      <c r="G131" s="28" t="s">
        <v>550</v>
      </c>
      <c r="H131" s="28" t="s">
        <v>301</v>
      </c>
      <c r="I131" s="28">
        <v>2</v>
      </c>
      <c r="J131" s="28"/>
    </row>
    <row r="132" spans="1:10">
      <c r="B132" s="16" t="str">
        <f t="shared" si="14"/>
        <v>0x56F9</v>
      </c>
      <c r="C132" s="16" t="str">
        <f t="shared" si="15"/>
        <v>0x56FA</v>
      </c>
      <c r="D132" s="16">
        <f t="shared" si="16"/>
        <v>22265</v>
      </c>
      <c r="E132" s="16">
        <f t="shared" si="17"/>
        <v>22266</v>
      </c>
      <c r="F132" s="20" t="s">
        <v>607</v>
      </c>
      <c r="G132" s="28" t="s">
        <v>550</v>
      </c>
      <c r="H132" s="28" t="s">
        <v>301</v>
      </c>
      <c r="I132" s="28">
        <v>2</v>
      </c>
      <c r="J132" s="28"/>
    </row>
    <row r="133" spans="1:10">
      <c r="B133" s="16" t="str">
        <f t="shared" si="14"/>
        <v>0x56FB</v>
      </c>
      <c r="C133" s="16" t="str">
        <f t="shared" si="15"/>
        <v>0x56FC</v>
      </c>
      <c r="D133" s="16">
        <f t="shared" si="16"/>
        <v>22267</v>
      </c>
      <c r="E133" s="16">
        <f t="shared" si="17"/>
        <v>22268</v>
      </c>
      <c r="F133" s="20" t="s">
        <v>608</v>
      </c>
      <c r="G133" s="28" t="s">
        <v>550</v>
      </c>
      <c r="H133" s="28" t="s">
        <v>301</v>
      </c>
      <c r="I133" s="28">
        <v>2</v>
      </c>
      <c r="J133" s="28"/>
    </row>
    <row r="134" spans="1:10">
      <c r="B134" s="16" t="str">
        <f t="shared" si="14"/>
        <v>0x56FD</v>
      </c>
      <c r="C134" s="16" t="str">
        <f t="shared" si="15"/>
        <v>0x56FE</v>
      </c>
      <c r="D134" s="16">
        <f t="shared" si="16"/>
        <v>22269</v>
      </c>
      <c r="E134" s="16">
        <f t="shared" si="17"/>
        <v>22270</v>
      </c>
      <c r="F134" s="20" t="s">
        <v>609</v>
      </c>
      <c r="G134" s="28" t="s">
        <v>550</v>
      </c>
      <c r="H134" s="28" t="s">
        <v>301</v>
      </c>
      <c r="I134" s="28">
        <v>2</v>
      </c>
      <c r="J134" s="28"/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674A-94A4-46EF-BAD0-BD3A15B0156C}">
  <dimension ref="A1:L134"/>
  <sheetViews>
    <sheetView workbookViewId="0">
      <selection activeCell="A129" sqref="A129"/>
    </sheetView>
  </sheetViews>
  <sheetFormatPr defaultRowHeight="13.5"/>
  <cols>
    <col min="1" max="1" width="21.375" customWidth="1"/>
    <col min="2" max="2" width="8.625" bestFit="1" customWidth="1"/>
    <col min="3" max="3" width="7.625" bestFit="1" customWidth="1"/>
    <col min="4" max="4" width="10.125" customWidth="1"/>
    <col min="5" max="5" width="9.875" customWidth="1"/>
    <col min="6" max="6" width="45.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26" t="s">
        <v>69</v>
      </c>
      <c r="B2" s="16" t="str">
        <f t="shared" ref="B2:C3" si="0">"0x"&amp;DEC2HEX(D2,4)</f>
        <v>0x5710</v>
      </c>
      <c r="C2" s="16" t="str">
        <f t="shared" si="0"/>
        <v>0x5713</v>
      </c>
      <c r="D2" s="16">
        <v>22288</v>
      </c>
      <c r="E2" s="16">
        <f t="shared" ref="E2:E3" si="1">D2+I2-1</f>
        <v>22291</v>
      </c>
      <c r="F2" s="20" t="s">
        <v>610</v>
      </c>
      <c r="G2" s="17" t="s">
        <v>505</v>
      </c>
      <c r="H2" s="28" t="s">
        <v>301</v>
      </c>
      <c r="I2" s="28">
        <v>4</v>
      </c>
      <c r="J2" s="28"/>
    </row>
    <row r="3" spans="1:12">
      <c r="B3" s="16" t="str">
        <f t="shared" si="0"/>
        <v>0x5714</v>
      </c>
      <c r="C3" s="16" t="str">
        <f t="shared" si="0"/>
        <v>0x5714</v>
      </c>
      <c r="D3" s="16">
        <f>D2+I2</f>
        <v>22292</v>
      </c>
      <c r="E3" s="16">
        <f t="shared" si="1"/>
        <v>22292</v>
      </c>
      <c r="F3" s="20" t="s">
        <v>611</v>
      </c>
      <c r="G3" s="17" t="s">
        <v>507</v>
      </c>
      <c r="H3" s="28" t="s">
        <v>301</v>
      </c>
      <c r="I3" s="28">
        <v>1</v>
      </c>
      <c r="J3" s="28"/>
    </row>
    <row r="4" spans="1:12">
      <c r="B4" s="16" t="str">
        <f t="shared" ref="B4:B68" si="2">"0x"&amp;DEC2HEX(D4,4)</f>
        <v>0x5715</v>
      </c>
      <c r="C4" s="16" t="str">
        <f t="shared" ref="C4:C68" si="3">"0x"&amp;DEC2HEX(E4,4)</f>
        <v>0x5715</v>
      </c>
      <c r="D4" s="16">
        <f t="shared" ref="D4:D68" si="4">D3+I3</f>
        <v>22293</v>
      </c>
      <c r="E4" s="16">
        <f t="shared" ref="E4:E68" si="5">D4+I4-1</f>
        <v>22293</v>
      </c>
      <c r="F4" s="42" t="s">
        <v>612</v>
      </c>
      <c r="G4" s="17" t="s">
        <v>507</v>
      </c>
      <c r="H4" s="28" t="s">
        <v>301</v>
      </c>
      <c r="I4" s="28">
        <v>1</v>
      </c>
      <c r="J4" s="28"/>
    </row>
    <row r="5" spans="1:12">
      <c r="B5" s="16" t="str">
        <f t="shared" si="2"/>
        <v>0x5716</v>
      </c>
      <c r="C5" s="16" t="str">
        <f t="shared" si="3"/>
        <v>0x5716</v>
      </c>
      <c r="D5" s="16">
        <f t="shared" si="4"/>
        <v>22294</v>
      </c>
      <c r="E5" s="16">
        <f t="shared" si="5"/>
        <v>22294</v>
      </c>
      <c r="F5" s="20" t="s">
        <v>613</v>
      </c>
      <c r="G5" s="17" t="s">
        <v>507</v>
      </c>
      <c r="H5" s="28" t="s">
        <v>301</v>
      </c>
      <c r="I5" s="28">
        <v>1</v>
      </c>
      <c r="J5" s="28"/>
    </row>
    <row r="6" spans="1:12">
      <c r="B6" s="16" t="str">
        <f t="shared" si="2"/>
        <v>0x5717</v>
      </c>
      <c r="C6" s="16" t="str">
        <f t="shared" si="3"/>
        <v>0x5718</v>
      </c>
      <c r="D6" s="16">
        <f t="shared" si="4"/>
        <v>22295</v>
      </c>
      <c r="E6" s="16">
        <f t="shared" si="5"/>
        <v>22296</v>
      </c>
      <c r="F6" s="23" t="s">
        <v>366</v>
      </c>
      <c r="G6" s="23" t="s">
        <v>315</v>
      </c>
      <c r="H6" s="28" t="s">
        <v>301</v>
      </c>
      <c r="I6" s="28">
        <v>2</v>
      </c>
      <c r="J6" s="28"/>
    </row>
    <row r="7" spans="1:12">
      <c r="B7" s="16" t="str">
        <f t="shared" si="2"/>
        <v>0x5719</v>
      </c>
      <c r="C7" s="16" t="str">
        <f t="shared" si="3"/>
        <v>0x571A</v>
      </c>
      <c r="D7" s="16">
        <f t="shared" si="4"/>
        <v>22297</v>
      </c>
      <c r="E7" s="16">
        <f t="shared" si="5"/>
        <v>22298</v>
      </c>
      <c r="F7" s="23" t="s">
        <v>367</v>
      </c>
      <c r="G7" s="23" t="s">
        <v>315</v>
      </c>
      <c r="H7" s="28" t="s">
        <v>301</v>
      </c>
      <c r="I7" s="28">
        <v>2</v>
      </c>
      <c r="J7" s="28"/>
    </row>
    <row r="8" spans="1:12">
      <c r="B8" s="16" t="str">
        <f t="shared" si="2"/>
        <v>0x571B</v>
      </c>
      <c r="C8" s="16" t="str">
        <f t="shared" si="3"/>
        <v>0x571C</v>
      </c>
      <c r="D8" s="16">
        <f t="shared" si="4"/>
        <v>22299</v>
      </c>
      <c r="E8" s="16">
        <f t="shared" si="5"/>
        <v>22300</v>
      </c>
      <c r="F8" s="23" t="s">
        <v>368</v>
      </c>
      <c r="G8" s="23" t="s">
        <v>315</v>
      </c>
      <c r="H8" s="28" t="s">
        <v>301</v>
      </c>
      <c r="I8" s="28">
        <v>2</v>
      </c>
      <c r="J8" s="28"/>
    </row>
    <row r="9" spans="1:12">
      <c r="B9" s="16" t="str">
        <f t="shared" si="2"/>
        <v>0x571D</v>
      </c>
      <c r="C9" s="16" t="str">
        <f t="shared" si="3"/>
        <v>0x571E</v>
      </c>
      <c r="D9" s="16">
        <f t="shared" si="4"/>
        <v>22301</v>
      </c>
      <c r="E9" s="16">
        <f t="shared" si="5"/>
        <v>22302</v>
      </c>
      <c r="F9" s="23" t="s">
        <v>369</v>
      </c>
      <c r="G9" s="23" t="s">
        <v>315</v>
      </c>
      <c r="H9" s="28" t="s">
        <v>301</v>
      </c>
      <c r="I9" s="28">
        <v>2</v>
      </c>
      <c r="J9" s="28"/>
    </row>
    <row r="10" spans="1:12">
      <c r="B10" s="16" t="str">
        <f t="shared" si="2"/>
        <v>0x571F</v>
      </c>
      <c r="C10" s="16" t="str">
        <f t="shared" si="3"/>
        <v>0x5720</v>
      </c>
      <c r="D10" s="16">
        <f t="shared" si="4"/>
        <v>22303</v>
      </c>
      <c r="E10" s="16">
        <f t="shared" si="5"/>
        <v>22304</v>
      </c>
      <c r="F10" s="23" t="s">
        <v>370</v>
      </c>
      <c r="G10" s="23" t="s">
        <v>315</v>
      </c>
      <c r="H10" s="28" t="s">
        <v>301</v>
      </c>
      <c r="I10" s="28">
        <v>2</v>
      </c>
      <c r="J10" s="28"/>
    </row>
    <row r="11" spans="1:12">
      <c r="B11" s="16" t="str">
        <f t="shared" si="2"/>
        <v>0x5721</v>
      </c>
      <c r="C11" s="16" t="str">
        <f t="shared" si="3"/>
        <v>0x5722</v>
      </c>
      <c r="D11" s="16">
        <f t="shared" si="4"/>
        <v>22305</v>
      </c>
      <c r="E11" s="16">
        <f t="shared" si="5"/>
        <v>22306</v>
      </c>
      <c r="F11" s="23" t="s">
        <v>371</v>
      </c>
      <c r="G11" s="23" t="s">
        <v>315</v>
      </c>
      <c r="H11" s="28" t="s">
        <v>301</v>
      </c>
      <c r="I11" s="28">
        <v>2</v>
      </c>
      <c r="J11" s="28"/>
    </row>
    <row r="12" spans="1:12">
      <c r="B12" s="16" t="str">
        <f t="shared" si="2"/>
        <v>0x5723</v>
      </c>
      <c r="C12" s="16" t="str">
        <f t="shared" si="3"/>
        <v>0x5724</v>
      </c>
      <c r="D12" s="16">
        <f t="shared" si="4"/>
        <v>22307</v>
      </c>
      <c r="E12" s="16">
        <f t="shared" si="5"/>
        <v>22308</v>
      </c>
      <c r="F12" s="23" t="s">
        <v>372</v>
      </c>
      <c r="G12" s="23" t="s">
        <v>315</v>
      </c>
      <c r="H12" s="28" t="s">
        <v>301</v>
      </c>
      <c r="I12" s="28">
        <v>2</v>
      </c>
      <c r="J12" s="28"/>
    </row>
    <row r="13" spans="1:12">
      <c r="B13" s="16" t="str">
        <f t="shared" si="2"/>
        <v>0x5725</v>
      </c>
      <c r="C13" s="16" t="str">
        <f t="shared" si="3"/>
        <v>0x5726</v>
      </c>
      <c r="D13" s="16">
        <f t="shared" si="4"/>
        <v>22309</v>
      </c>
      <c r="E13" s="16">
        <f t="shared" si="5"/>
        <v>22310</v>
      </c>
      <c r="F13" s="23" t="s">
        <v>373</v>
      </c>
      <c r="G13" s="23" t="s">
        <v>315</v>
      </c>
      <c r="H13" s="28" t="s">
        <v>301</v>
      </c>
      <c r="I13" s="28">
        <v>2</v>
      </c>
      <c r="J13" s="28"/>
    </row>
    <row r="14" spans="1:12">
      <c r="B14" s="16" t="str">
        <f t="shared" si="2"/>
        <v>0x5727</v>
      </c>
      <c r="C14" s="16" t="str">
        <f t="shared" si="3"/>
        <v>0x5728</v>
      </c>
      <c r="D14" s="16">
        <f t="shared" si="4"/>
        <v>22311</v>
      </c>
      <c r="E14" s="16">
        <f t="shared" si="5"/>
        <v>22312</v>
      </c>
      <c r="F14" s="23" t="s">
        <v>374</v>
      </c>
      <c r="G14" s="23" t="s">
        <v>315</v>
      </c>
      <c r="H14" s="28" t="s">
        <v>301</v>
      </c>
      <c r="I14" s="28">
        <v>2</v>
      </c>
      <c r="J14" s="28"/>
    </row>
    <row r="15" spans="1:12">
      <c r="B15" s="16" t="str">
        <f t="shared" si="2"/>
        <v>0x5729</v>
      </c>
      <c r="C15" s="16" t="str">
        <f t="shared" si="3"/>
        <v>0x572A</v>
      </c>
      <c r="D15" s="16">
        <f t="shared" si="4"/>
        <v>22313</v>
      </c>
      <c r="E15" s="16">
        <f t="shared" si="5"/>
        <v>22314</v>
      </c>
      <c r="F15" s="23" t="s">
        <v>375</v>
      </c>
      <c r="G15" s="23" t="s">
        <v>315</v>
      </c>
      <c r="H15" s="28" t="s">
        <v>301</v>
      </c>
      <c r="I15" s="28">
        <v>2</v>
      </c>
      <c r="J15" s="28"/>
    </row>
    <row r="16" spans="1:12">
      <c r="B16" s="16" t="str">
        <f t="shared" si="2"/>
        <v>0x572B</v>
      </c>
      <c r="C16" s="16" t="str">
        <f t="shared" si="3"/>
        <v>0x572C</v>
      </c>
      <c r="D16" s="16">
        <f t="shared" si="4"/>
        <v>22315</v>
      </c>
      <c r="E16" s="16">
        <f t="shared" si="5"/>
        <v>22316</v>
      </c>
      <c r="F16" s="23" t="s">
        <v>376</v>
      </c>
      <c r="G16" s="23" t="s">
        <v>315</v>
      </c>
      <c r="H16" s="28" t="s">
        <v>301</v>
      </c>
      <c r="I16" s="28">
        <v>2</v>
      </c>
      <c r="J16" s="28"/>
    </row>
    <row r="17" spans="2:10">
      <c r="B17" s="16" t="str">
        <f t="shared" si="2"/>
        <v>0x572D</v>
      </c>
      <c r="C17" s="16" t="str">
        <f t="shared" si="3"/>
        <v>0x572E</v>
      </c>
      <c r="D17" s="16">
        <f t="shared" si="4"/>
        <v>22317</v>
      </c>
      <c r="E17" s="16">
        <f t="shared" si="5"/>
        <v>22318</v>
      </c>
      <c r="F17" s="23" t="s">
        <v>377</v>
      </c>
      <c r="G17" s="23" t="s">
        <v>315</v>
      </c>
      <c r="H17" s="28" t="s">
        <v>301</v>
      </c>
      <c r="I17" s="28">
        <v>2</v>
      </c>
      <c r="J17" s="28"/>
    </row>
    <row r="18" spans="2:10">
      <c r="B18" s="16" t="str">
        <f t="shared" si="2"/>
        <v>0x572F</v>
      </c>
      <c r="C18" s="16" t="str">
        <f t="shared" si="3"/>
        <v>0x5730</v>
      </c>
      <c r="D18" s="16">
        <f t="shared" si="4"/>
        <v>22319</v>
      </c>
      <c r="E18" s="16">
        <f t="shared" si="5"/>
        <v>22320</v>
      </c>
      <c r="F18" s="23" t="s">
        <v>378</v>
      </c>
      <c r="G18" s="23" t="s">
        <v>315</v>
      </c>
      <c r="H18" s="28" t="s">
        <v>301</v>
      </c>
      <c r="I18" s="28">
        <v>2</v>
      </c>
      <c r="J18" s="28"/>
    </row>
    <row r="19" spans="2:10">
      <c r="B19" s="16" t="str">
        <f t="shared" si="2"/>
        <v>0x5731</v>
      </c>
      <c r="C19" s="16" t="str">
        <f t="shared" si="3"/>
        <v>0x5732</v>
      </c>
      <c r="D19" s="16">
        <f t="shared" si="4"/>
        <v>22321</v>
      </c>
      <c r="E19" s="16">
        <f t="shared" si="5"/>
        <v>22322</v>
      </c>
      <c r="F19" s="23" t="s">
        <v>379</v>
      </c>
      <c r="G19" s="23" t="s">
        <v>315</v>
      </c>
      <c r="H19" s="28" t="s">
        <v>301</v>
      </c>
      <c r="I19" s="28">
        <v>2</v>
      </c>
      <c r="J19" s="28"/>
    </row>
    <row r="20" spans="2:10">
      <c r="B20" s="16" t="str">
        <f t="shared" si="2"/>
        <v>0x5733</v>
      </c>
      <c r="C20" s="16" t="str">
        <f t="shared" si="3"/>
        <v>0x5734</v>
      </c>
      <c r="D20" s="16">
        <f t="shared" si="4"/>
        <v>22323</v>
      </c>
      <c r="E20" s="16">
        <f t="shared" si="5"/>
        <v>22324</v>
      </c>
      <c r="F20" s="23" t="s">
        <v>380</v>
      </c>
      <c r="G20" s="23" t="s">
        <v>315</v>
      </c>
      <c r="H20" s="28" t="s">
        <v>301</v>
      </c>
      <c r="I20" s="28">
        <v>2</v>
      </c>
      <c r="J20" s="28"/>
    </row>
    <row r="21" spans="2:10">
      <c r="B21" s="16" t="str">
        <f t="shared" si="2"/>
        <v>0x5735</v>
      </c>
      <c r="C21" s="16" t="str">
        <f t="shared" si="3"/>
        <v>0x5736</v>
      </c>
      <c r="D21" s="16">
        <f t="shared" si="4"/>
        <v>22325</v>
      </c>
      <c r="E21" s="16">
        <f t="shared" si="5"/>
        <v>22326</v>
      </c>
      <c r="F21" s="23" t="s">
        <v>334</v>
      </c>
      <c r="G21" s="23" t="s">
        <v>315</v>
      </c>
      <c r="H21" s="28" t="s">
        <v>301</v>
      </c>
      <c r="I21" s="28">
        <v>2</v>
      </c>
      <c r="J21" s="28"/>
    </row>
    <row r="22" spans="2:10">
      <c r="B22" s="16" t="str">
        <f t="shared" si="2"/>
        <v>0x5737</v>
      </c>
      <c r="C22" s="16" t="str">
        <f t="shared" si="3"/>
        <v>0x5738</v>
      </c>
      <c r="D22" s="16">
        <f t="shared" si="4"/>
        <v>22327</v>
      </c>
      <c r="E22" s="16">
        <f t="shared" si="5"/>
        <v>22328</v>
      </c>
      <c r="F22" s="17" t="s">
        <v>381</v>
      </c>
      <c r="G22" s="23" t="s">
        <v>315</v>
      </c>
      <c r="H22" s="28" t="s">
        <v>382</v>
      </c>
      <c r="I22" s="28">
        <v>2</v>
      </c>
      <c r="J22" s="28"/>
    </row>
    <row r="23" spans="2:10">
      <c r="B23" s="16" t="str">
        <f t="shared" si="2"/>
        <v>0x5739</v>
      </c>
      <c r="C23" s="16" t="str">
        <f t="shared" si="3"/>
        <v>0x573A</v>
      </c>
      <c r="D23" s="16">
        <f t="shared" si="4"/>
        <v>22329</v>
      </c>
      <c r="E23" s="16">
        <f t="shared" si="5"/>
        <v>22330</v>
      </c>
      <c r="F23" s="17" t="s">
        <v>383</v>
      </c>
      <c r="G23" s="23" t="s">
        <v>315</v>
      </c>
      <c r="H23" s="28" t="s">
        <v>382</v>
      </c>
      <c r="I23" s="28">
        <v>2</v>
      </c>
      <c r="J23" s="28"/>
    </row>
    <row r="24" spans="2:10">
      <c r="B24" s="16" t="str">
        <f t="shared" si="2"/>
        <v>0x573B</v>
      </c>
      <c r="C24" s="16" t="str">
        <f t="shared" si="3"/>
        <v>0x573C</v>
      </c>
      <c r="D24" s="16">
        <f t="shared" si="4"/>
        <v>22331</v>
      </c>
      <c r="E24" s="16">
        <f t="shared" si="5"/>
        <v>22332</v>
      </c>
      <c r="F24" s="17" t="s">
        <v>384</v>
      </c>
      <c r="G24" s="23" t="s">
        <v>315</v>
      </c>
      <c r="H24" s="28" t="s">
        <v>382</v>
      </c>
      <c r="I24" s="28">
        <v>2</v>
      </c>
      <c r="J24" s="28"/>
    </row>
    <row r="25" spans="2:10">
      <c r="B25" s="16" t="str">
        <f t="shared" si="2"/>
        <v>0x573D</v>
      </c>
      <c r="C25" s="16" t="str">
        <f t="shared" si="3"/>
        <v>0x573E</v>
      </c>
      <c r="D25" s="16">
        <f t="shared" si="4"/>
        <v>22333</v>
      </c>
      <c r="E25" s="16">
        <f t="shared" si="5"/>
        <v>22334</v>
      </c>
      <c r="F25" s="15" t="s">
        <v>385</v>
      </c>
      <c r="G25" s="23" t="s">
        <v>315</v>
      </c>
      <c r="H25" s="28" t="s">
        <v>382</v>
      </c>
      <c r="I25" s="28">
        <v>2</v>
      </c>
      <c r="J25" s="28"/>
    </row>
    <row r="26" spans="2:10">
      <c r="B26" s="16" t="str">
        <f t="shared" si="2"/>
        <v>0x573F</v>
      </c>
      <c r="C26" s="16" t="str">
        <f t="shared" si="3"/>
        <v>0x5740</v>
      </c>
      <c r="D26" s="16">
        <f t="shared" si="4"/>
        <v>22335</v>
      </c>
      <c r="E26" s="16">
        <f t="shared" si="5"/>
        <v>22336</v>
      </c>
      <c r="F26" s="20" t="s">
        <v>510</v>
      </c>
      <c r="G26" s="15" t="s">
        <v>315</v>
      </c>
      <c r="H26" s="17" t="s">
        <v>301</v>
      </c>
      <c r="I26" s="28">
        <v>2</v>
      </c>
      <c r="J26" s="28"/>
    </row>
    <row r="27" spans="2:10">
      <c r="B27" s="16" t="str">
        <f t="shared" si="2"/>
        <v>0x5741</v>
      </c>
      <c r="C27" s="16" t="str">
        <f t="shared" si="3"/>
        <v>0x5742</v>
      </c>
      <c r="D27" s="16">
        <f t="shared" si="4"/>
        <v>22337</v>
      </c>
      <c r="E27" s="16">
        <f t="shared" si="5"/>
        <v>22338</v>
      </c>
      <c r="F27" s="15" t="s">
        <v>386</v>
      </c>
      <c r="G27" s="23" t="s">
        <v>315</v>
      </c>
      <c r="H27" s="28" t="s">
        <v>382</v>
      </c>
      <c r="I27" s="28">
        <v>2</v>
      </c>
      <c r="J27" s="28"/>
    </row>
    <row r="28" spans="2:10">
      <c r="B28" s="16" t="str">
        <f t="shared" si="2"/>
        <v>0x5743</v>
      </c>
      <c r="C28" s="16" t="str">
        <f t="shared" si="3"/>
        <v>0x5744</v>
      </c>
      <c r="D28" s="16">
        <f t="shared" si="4"/>
        <v>22339</v>
      </c>
      <c r="E28" s="16">
        <f t="shared" si="5"/>
        <v>22340</v>
      </c>
      <c r="F28" s="15" t="s">
        <v>387</v>
      </c>
      <c r="G28" s="23" t="s">
        <v>315</v>
      </c>
      <c r="H28" s="28" t="s">
        <v>382</v>
      </c>
      <c r="I28" s="28">
        <v>2</v>
      </c>
      <c r="J28" s="28"/>
    </row>
    <row r="29" spans="2:10">
      <c r="B29" s="16" t="str">
        <f t="shared" si="2"/>
        <v>0x5745</v>
      </c>
      <c r="C29" s="16" t="str">
        <f t="shared" si="3"/>
        <v>0x5746</v>
      </c>
      <c r="D29" s="16">
        <f t="shared" si="4"/>
        <v>22341</v>
      </c>
      <c r="E29" s="16">
        <f t="shared" si="5"/>
        <v>22342</v>
      </c>
      <c r="F29" s="15" t="s">
        <v>388</v>
      </c>
      <c r="G29" s="23" t="s">
        <v>315</v>
      </c>
      <c r="H29" s="28" t="s">
        <v>382</v>
      </c>
      <c r="I29" s="28">
        <v>2</v>
      </c>
      <c r="J29" s="28"/>
    </row>
    <row r="30" spans="2:10">
      <c r="B30" s="16" t="str">
        <f t="shared" si="2"/>
        <v>0x5747</v>
      </c>
      <c r="C30" s="16" t="str">
        <f t="shared" si="3"/>
        <v>0x5748</v>
      </c>
      <c r="D30" s="16">
        <f t="shared" si="4"/>
        <v>22343</v>
      </c>
      <c r="E30" s="16">
        <f t="shared" si="5"/>
        <v>22344</v>
      </c>
      <c r="F30" s="15" t="s">
        <v>389</v>
      </c>
      <c r="G30" s="23" t="s">
        <v>315</v>
      </c>
      <c r="H30" s="28" t="s">
        <v>382</v>
      </c>
      <c r="I30" s="28">
        <v>2</v>
      </c>
      <c r="J30" s="28"/>
    </row>
    <row r="31" spans="2:10">
      <c r="B31" s="16" t="str">
        <f t="shared" si="2"/>
        <v>0x5749</v>
      </c>
      <c r="C31" s="16" t="str">
        <f t="shared" si="3"/>
        <v>0x5778</v>
      </c>
      <c r="D31" s="16">
        <f t="shared" si="4"/>
        <v>22345</v>
      </c>
      <c r="E31" s="16">
        <f t="shared" si="5"/>
        <v>22392</v>
      </c>
      <c r="F31" s="23" t="s">
        <v>511</v>
      </c>
      <c r="G31" s="23" t="s">
        <v>315</v>
      </c>
      <c r="H31" s="28" t="s">
        <v>382</v>
      </c>
      <c r="I31" s="28">
        <v>48</v>
      </c>
      <c r="J31" s="28"/>
    </row>
    <row r="32" spans="2:10">
      <c r="B32" s="16" t="str">
        <f t="shared" si="2"/>
        <v>0x5779</v>
      </c>
      <c r="C32" s="16" t="str">
        <f t="shared" si="3"/>
        <v>0x57A8</v>
      </c>
      <c r="D32" s="16">
        <f t="shared" si="4"/>
        <v>22393</v>
      </c>
      <c r="E32" s="16">
        <f t="shared" si="5"/>
        <v>22440</v>
      </c>
      <c r="F32" s="23" t="s">
        <v>512</v>
      </c>
      <c r="G32" s="23" t="s">
        <v>315</v>
      </c>
      <c r="H32" s="28" t="s">
        <v>382</v>
      </c>
      <c r="I32" s="28">
        <v>48</v>
      </c>
      <c r="J32" s="28"/>
    </row>
    <row r="33" spans="1:11">
      <c r="B33" s="16" t="str">
        <f t="shared" si="2"/>
        <v>0x57A9</v>
      </c>
      <c r="C33" s="16" t="str">
        <f t="shared" si="3"/>
        <v>0x57D8</v>
      </c>
      <c r="D33" s="16">
        <f t="shared" si="4"/>
        <v>22441</v>
      </c>
      <c r="E33" s="16">
        <f t="shared" si="5"/>
        <v>22488</v>
      </c>
      <c r="F33" s="23" t="s">
        <v>513</v>
      </c>
      <c r="G33" s="23" t="s">
        <v>315</v>
      </c>
      <c r="H33" s="28" t="s">
        <v>382</v>
      </c>
      <c r="I33" s="28">
        <v>48</v>
      </c>
      <c r="J33" s="28"/>
    </row>
    <row r="34" spans="1:11">
      <c r="B34" s="16" t="str">
        <f t="shared" si="2"/>
        <v>0x57D9</v>
      </c>
      <c r="C34" s="16" t="str">
        <f t="shared" si="3"/>
        <v>0x5808</v>
      </c>
      <c r="D34" s="16">
        <f t="shared" si="4"/>
        <v>22489</v>
      </c>
      <c r="E34" s="16">
        <f t="shared" si="5"/>
        <v>22536</v>
      </c>
      <c r="F34" s="23" t="s">
        <v>514</v>
      </c>
      <c r="G34" s="23" t="s">
        <v>315</v>
      </c>
      <c r="H34" s="28" t="s">
        <v>382</v>
      </c>
      <c r="I34" s="28">
        <v>48</v>
      </c>
      <c r="J34" s="28"/>
    </row>
    <row r="35" spans="1:11">
      <c r="B35" s="16" t="str">
        <f t="shared" si="2"/>
        <v>0x5809</v>
      </c>
      <c r="C35" s="16" t="str">
        <f t="shared" si="3"/>
        <v>0x58FA</v>
      </c>
      <c r="D35" s="16">
        <f t="shared" si="4"/>
        <v>22537</v>
      </c>
      <c r="E35" s="16">
        <f t="shared" si="5"/>
        <v>22778</v>
      </c>
      <c r="F35" s="17" t="s">
        <v>394</v>
      </c>
      <c r="G35" s="23" t="s">
        <v>315</v>
      </c>
      <c r="H35" s="28" t="s">
        <v>301</v>
      </c>
      <c r="I35" s="28">
        <v>242</v>
      </c>
      <c r="J35" s="28"/>
    </row>
    <row r="36" spans="1:11">
      <c r="B36" s="16" t="str">
        <f t="shared" si="2"/>
        <v>0x58FB</v>
      </c>
      <c r="C36" s="16" t="str">
        <f t="shared" si="3"/>
        <v>0x592A</v>
      </c>
      <c r="D36" s="16">
        <f t="shared" si="4"/>
        <v>22779</v>
      </c>
      <c r="E36" s="16">
        <f t="shared" si="5"/>
        <v>22826</v>
      </c>
      <c r="F36" s="23" t="s">
        <v>515</v>
      </c>
      <c r="G36" s="23" t="s">
        <v>315</v>
      </c>
      <c r="H36" s="28" t="s">
        <v>382</v>
      </c>
      <c r="I36" s="28">
        <v>48</v>
      </c>
      <c r="J36" s="28"/>
    </row>
    <row r="37" spans="1:11">
      <c r="B37" s="16" t="str">
        <f t="shared" si="2"/>
        <v>0x592B</v>
      </c>
      <c r="C37" s="16" t="str">
        <f t="shared" si="3"/>
        <v>0x595A</v>
      </c>
      <c r="D37" s="16">
        <f t="shared" si="4"/>
        <v>22827</v>
      </c>
      <c r="E37" s="16">
        <f t="shared" si="5"/>
        <v>22874</v>
      </c>
      <c r="F37" s="23" t="s">
        <v>396</v>
      </c>
      <c r="G37" s="23" t="s">
        <v>315</v>
      </c>
      <c r="H37" s="28" t="s">
        <v>382</v>
      </c>
      <c r="I37" s="28">
        <v>48</v>
      </c>
      <c r="J37" s="28"/>
    </row>
    <row r="38" spans="1:11">
      <c r="B38" s="16" t="str">
        <f t="shared" si="2"/>
        <v>0x595B</v>
      </c>
      <c r="C38" s="16" t="str">
        <f t="shared" si="3"/>
        <v>0x598A</v>
      </c>
      <c r="D38" s="16">
        <f t="shared" si="4"/>
        <v>22875</v>
      </c>
      <c r="E38" s="16">
        <f t="shared" si="5"/>
        <v>22922</v>
      </c>
      <c r="F38" s="23" t="s">
        <v>397</v>
      </c>
      <c r="G38" s="23" t="s">
        <v>315</v>
      </c>
      <c r="H38" s="28" t="s">
        <v>382</v>
      </c>
      <c r="I38" s="28">
        <v>48</v>
      </c>
      <c r="J38" s="28"/>
    </row>
    <row r="39" spans="1:11">
      <c r="B39" s="16" t="str">
        <f t="shared" si="2"/>
        <v>0x598B</v>
      </c>
      <c r="C39" s="16" t="str">
        <f t="shared" si="3"/>
        <v>0x59BA</v>
      </c>
      <c r="D39" s="16">
        <f t="shared" si="4"/>
        <v>22923</v>
      </c>
      <c r="E39" s="16">
        <f t="shared" si="5"/>
        <v>22970</v>
      </c>
      <c r="F39" s="23" t="s">
        <v>398</v>
      </c>
      <c r="G39" s="23" t="s">
        <v>315</v>
      </c>
      <c r="H39" s="28" t="s">
        <v>382</v>
      </c>
      <c r="I39" s="28">
        <v>48</v>
      </c>
      <c r="J39" s="28"/>
    </row>
    <row r="40" spans="1:11">
      <c r="B40" s="16" t="str">
        <f t="shared" si="2"/>
        <v>0x59BB</v>
      </c>
      <c r="C40" s="16" t="str">
        <f t="shared" si="3"/>
        <v>0x59BB</v>
      </c>
      <c r="D40" s="16">
        <f t="shared" si="4"/>
        <v>22971</v>
      </c>
      <c r="E40" s="16">
        <f t="shared" si="5"/>
        <v>22971</v>
      </c>
      <c r="F40" s="50" t="s">
        <v>339</v>
      </c>
      <c r="G40" s="21" t="s">
        <v>146</v>
      </c>
      <c r="H40" s="21" t="s">
        <v>147</v>
      </c>
      <c r="I40" s="21">
        <v>1</v>
      </c>
      <c r="J40" s="21" t="s">
        <v>340</v>
      </c>
      <c r="K40">
        <v>1</v>
      </c>
    </row>
    <row r="41" spans="1:11">
      <c r="B41" s="16" t="str">
        <f t="shared" si="2"/>
        <v>0x59BC</v>
      </c>
      <c r="C41" s="16" t="str">
        <f t="shared" si="3"/>
        <v>0x59BD</v>
      </c>
      <c r="D41" s="16">
        <f t="shared" si="4"/>
        <v>22972</v>
      </c>
      <c r="E41" s="16">
        <f t="shared" si="5"/>
        <v>22973</v>
      </c>
      <c r="F41" s="15" t="s">
        <v>516</v>
      </c>
      <c r="G41" s="15" t="s">
        <v>315</v>
      </c>
      <c r="H41" s="17" t="s">
        <v>301</v>
      </c>
      <c r="I41" s="17">
        <v>2</v>
      </c>
      <c r="J41" s="17"/>
    </row>
    <row r="42" spans="1:11">
      <c r="B42" s="16" t="str">
        <f t="shared" si="2"/>
        <v>0x59BE</v>
      </c>
      <c r="C42" s="16" t="str">
        <f t="shared" si="3"/>
        <v>0x59BF</v>
      </c>
      <c r="D42" s="16">
        <f t="shared" si="4"/>
        <v>22974</v>
      </c>
      <c r="E42" s="16">
        <f t="shared" si="5"/>
        <v>22975</v>
      </c>
      <c r="F42" s="23" t="s">
        <v>399</v>
      </c>
      <c r="G42" s="23" t="s">
        <v>315</v>
      </c>
      <c r="H42" s="28" t="s">
        <v>382</v>
      </c>
      <c r="I42" s="28">
        <v>2</v>
      </c>
      <c r="J42" s="28"/>
    </row>
    <row r="43" spans="1:11">
      <c r="B43" s="16" t="str">
        <f t="shared" si="2"/>
        <v>0x59C0</v>
      </c>
      <c r="C43" s="16" t="str">
        <f t="shared" si="3"/>
        <v>0x59C1</v>
      </c>
      <c r="D43" s="16">
        <f t="shared" si="4"/>
        <v>22976</v>
      </c>
      <c r="E43" s="16">
        <f t="shared" si="5"/>
        <v>22977</v>
      </c>
      <c r="F43" s="23" t="s">
        <v>400</v>
      </c>
      <c r="G43" s="23" t="s">
        <v>315</v>
      </c>
      <c r="H43" s="28" t="s">
        <v>382</v>
      </c>
      <c r="I43" s="28">
        <v>2</v>
      </c>
      <c r="J43" s="28"/>
    </row>
    <row r="44" spans="1:11">
      <c r="A44" s="26" t="s">
        <v>72</v>
      </c>
      <c r="B44" s="16" t="str">
        <f t="shared" si="2"/>
        <v>0x59C2</v>
      </c>
      <c r="C44" s="16" t="str">
        <f t="shared" si="3"/>
        <v>0x59C3</v>
      </c>
      <c r="D44" s="16">
        <f t="shared" si="4"/>
        <v>22978</v>
      </c>
      <c r="E44" s="16">
        <f t="shared" si="5"/>
        <v>22979</v>
      </c>
      <c r="F44" s="17" t="s">
        <v>517</v>
      </c>
      <c r="G44" s="23" t="s">
        <v>315</v>
      </c>
      <c r="H44" s="28" t="s">
        <v>382</v>
      </c>
      <c r="I44" s="28">
        <v>2</v>
      </c>
      <c r="J44" s="28"/>
    </row>
    <row r="45" spans="1:11">
      <c r="B45" s="16" t="str">
        <f t="shared" si="2"/>
        <v>0x59C4</v>
      </c>
      <c r="C45" s="16" t="str">
        <f t="shared" si="3"/>
        <v>0x59C5</v>
      </c>
      <c r="D45" s="16">
        <f t="shared" si="4"/>
        <v>22980</v>
      </c>
      <c r="E45" s="16">
        <f t="shared" si="5"/>
        <v>22981</v>
      </c>
      <c r="F45" s="17" t="s">
        <v>518</v>
      </c>
      <c r="G45" s="23" t="s">
        <v>315</v>
      </c>
      <c r="H45" s="28" t="s">
        <v>382</v>
      </c>
      <c r="I45" s="28">
        <v>2</v>
      </c>
      <c r="J45" s="28"/>
    </row>
    <row r="46" spans="1:11">
      <c r="B46" s="16" t="str">
        <f t="shared" si="2"/>
        <v>0x59C6</v>
      </c>
      <c r="C46" s="16" t="str">
        <f t="shared" si="3"/>
        <v>0x59C7</v>
      </c>
      <c r="D46" s="16">
        <f t="shared" si="4"/>
        <v>22982</v>
      </c>
      <c r="E46" s="16">
        <f t="shared" si="5"/>
        <v>22983</v>
      </c>
      <c r="F46" s="17" t="s">
        <v>519</v>
      </c>
      <c r="G46" s="23" t="s">
        <v>315</v>
      </c>
      <c r="H46" s="28" t="s">
        <v>382</v>
      </c>
      <c r="I46" s="28">
        <v>2</v>
      </c>
      <c r="J46" s="28"/>
    </row>
    <row r="47" spans="1:11">
      <c r="B47" s="16" t="str">
        <f t="shared" si="2"/>
        <v>0x59C8</v>
      </c>
      <c r="C47" s="16" t="str">
        <f t="shared" si="3"/>
        <v>0x59C9</v>
      </c>
      <c r="D47" s="16">
        <f t="shared" si="4"/>
        <v>22984</v>
      </c>
      <c r="E47" s="16">
        <f t="shared" si="5"/>
        <v>22985</v>
      </c>
      <c r="F47" s="20" t="s">
        <v>520</v>
      </c>
      <c r="G47" s="23" t="s">
        <v>521</v>
      </c>
      <c r="H47" s="28" t="s">
        <v>382</v>
      </c>
      <c r="I47" s="28">
        <v>2</v>
      </c>
      <c r="J47" s="28"/>
    </row>
    <row r="48" spans="1:11">
      <c r="B48" s="16" t="str">
        <f t="shared" si="2"/>
        <v>0x59CA</v>
      </c>
      <c r="C48" s="16" t="str">
        <f t="shared" si="3"/>
        <v>0x59CB</v>
      </c>
      <c r="D48" s="16">
        <f t="shared" si="4"/>
        <v>22986</v>
      </c>
      <c r="E48" s="16">
        <f t="shared" si="5"/>
        <v>22987</v>
      </c>
      <c r="F48" s="17" t="s">
        <v>522</v>
      </c>
      <c r="G48" s="23" t="s">
        <v>315</v>
      </c>
      <c r="H48" s="28" t="s">
        <v>382</v>
      </c>
      <c r="I48" s="28">
        <v>2</v>
      </c>
      <c r="J48" s="28"/>
    </row>
    <row r="49" spans="2:10">
      <c r="B49" s="16" t="str">
        <f t="shared" si="2"/>
        <v>0x59CC</v>
      </c>
      <c r="C49" s="16" t="str">
        <f t="shared" si="3"/>
        <v>0x59CD</v>
      </c>
      <c r="D49" s="16">
        <f t="shared" si="4"/>
        <v>22988</v>
      </c>
      <c r="E49" s="16">
        <f t="shared" si="5"/>
        <v>22989</v>
      </c>
      <c r="F49" s="17" t="s">
        <v>523</v>
      </c>
      <c r="G49" s="23" t="s">
        <v>315</v>
      </c>
      <c r="H49" s="28" t="s">
        <v>382</v>
      </c>
      <c r="I49" s="28">
        <v>2</v>
      </c>
      <c r="J49" s="28"/>
    </row>
    <row r="50" spans="2:10">
      <c r="B50" s="16" t="str">
        <f t="shared" si="2"/>
        <v>0x59CE</v>
      </c>
      <c r="C50" s="16" t="str">
        <f t="shared" si="3"/>
        <v>0x59CF</v>
      </c>
      <c r="D50" s="16">
        <f t="shared" si="4"/>
        <v>22990</v>
      </c>
      <c r="E50" s="16">
        <f t="shared" si="5"/>
        <v>22991</v>
      </c>
      <c r="F50" s="17" t="s">
        <v>524</v>
      </c>
      <c r="G50" s="23" t="s">
        <v>315</v>
      </c>
      <c r="H50" s="28" t="s">
        <v>382</v>
      </c>
      <c r="I50" s="28">
        <v>2</v>
      </c>
      <c r="J50" s="28"/>
    </row>
    <row r="51" spans="2:10">
      <c r="B51" s="16" t="str">
        <f t="shared" si="2"/>
        <v>0x59D0</v>
      </c>
      <c r="C51" s="16" t="str">
        <f t="shared" si="3"/>
        <v>0x59D1</v>
      </c>
      <c r="D51" s="16">
        <f t="shared" si="4"/>
        <v>22992</v>
      </c>
      <c r="E51" s="16">
        <f t="shared" si="5"/>
        <v>22993</v>
      </c>
      <c r="F51" s="17" t="s">
        <v>525</v>
      </c>
      <c r="G51" s="23" t="s">
        <v>315</v>
      </c>
      <c r="H51" s="28" t="s">
        <v>382</v>
      </c>
      <c r="I51" s="28">
        <v>2</v>
      </c>
      <c r="J51" s="28"/>
    </row>
    <row r="52" spans="2:10">
      <c r="B52" s="16" t="str">
        <f t="shared" si="2"/>
        <v>0x59D2</v>
      </c>
      <c r="C52" s="16" t="str">
        <f t="shared" si="3"/>
        <v>0x59D3</v>
      </c>
      <c r="D52" s="16">
        <f t="shared" si="4"/>
        <v>22994</v>
      </c>
      <c r="E52" s="16">
        <f t="shared" si="5"/>
        <v>22995</v>
      </c>
      <c r="F52" s="20" t="s">
        <v>526</v>
      </c>
      <c r="G52" s="23" t="s">
        <v>521</v>
      </c>
      <c r="H52" s="28" t="s">
        <v>382</v>
      </c>
      <c r="I52" s="28">
        <v>2</v>
      </c>
      <c r="J52" s="28"/>
    </row>
    <row r="53" spans="2:10">
      <c r="B53" s="16" t="str">
        <f t="shared" si="2"/>
        <v>0x59D4</v>
      </c>
      <c r="C53" s="16" t="str">
        <f t="shared" si="3"/>
        <v>0x59D5</v>
      </c>
      <c r="D53" s="16">
        <f t="shared" si="4"/>
        <v>22996</v>
      </c>
      <c r="E53" s="16">
        <f t="shared" si="5"/>
        <v>22997</v>
      </c>
      <c r="F53" s="17" t="s">
        <v>527</v>
      </c>
      <c r="G53" s="23" t="s">
        <v>315</v>
      </c>
      <c r="H53" s="28" t="s">
        <v>382</v>
      </c>
      <c r="I53" s="28">
        <v>2</v>
      </c>
      <c r="J53" s="28"/>
    </row>
    <row r="54" spans="2:10">
      <c r="B54" s="16" t="str">
        <f t="shared" si="2"/>
        <v>0x59D6</v>
      </c>
      <c r="C54" s="16" t="str">
        <f t="shared" si="3"/>
        <v>0x59D7</v>
      </c>
      <c r="D54" s="16">
        <f t="shared" si="4"/>
        <v>22998</v>
      </c>
      <c r="E54" s="16">
        <f t="shared" si="5"/>
        <v>22999</v>
      </c>
      <c r="F54" s="17" t="s">
        <v>528</v>
      </c>
      <c r="G54" s="23" t="s">
        <v>315</v>
      </c>
      <c r="H54" s="28" t="s">
        <v>382</v>
      </c>
      <c r="I54" s="28">
        <v>2</v>
      </c>
      <c r="J54" s="28"/>
    </row>
    <row r="55" spans="2:10">
      <c r="B55" s="16" t="str">
        <f t="shared" si="2"/>
        <v>0x59D8</v>
      </c>
      <c r="C55" s="16" t="str">
        <f t="shared" si="3"/>
        <v>0x59D9</v>
      </c>
      <c r="D55" s="16">
        <f t="shared" si="4"/>
        <v>23000</v>
      </c>
      <c r="E55" s="16">
        <f t="shared" si="5"/>
        <v>23001</v>
      </c>
      <c r="F55" s="17" t="s">
        <v>529</v>
      </c>
      <c r="G55" s="23" t="s">
        <v>315</v>
      </c>
      <c r="H55" s="28" t="s">
        <v>382</v>
      </c>
      <c r="I55" s="28">
        <v>2</v>
      </c>
      <c r="J55" s="28"/>
    </row>
    <row r="56" spans="2:10">
      <c r="B56" s="16" t="str">
        <f t="shared" si="2"/>
        <v>0x59DA</v>
      </c>
      <c r="C56" s="16" t="str">
        <f t="shared" si="3"/>
        <v>0x59DB</v>
      </c>
      <c r="D56" s="16">
        <f t="shared" si="4"/>
        <v>23002</v>
      </c>
      <c r="E56" s="16">
        <f t="shared" si="5"/>
        <v>23003</v>
      </c>
      <c r="F56" s="17" t="s">
        <v>530</v>
      </c>
      <c r="G56" s="23" t="s">
        <v>315</v>
      </c>
      <c r="H56" s="28" t="s">
        <v>382</v>
      </c>
      <c r="I56" s="28">
        <v>2</v>
      </c>
      <c r="J56" s="28"/>
    </row>
    <row r="57" spans="2:10">
      <c r="B57" s="16" t="str">
        <f t="shared" si="2"/>
        <v>0x59DC</v>
      </c>
      <c r="C57" s="16" t="str">
        <f t="shared" si="3"/>
        <v>0x59DD</v>
      </c>
      <c r="D57" s="16">
        <f t="shared" si="4"/>
        <v>23004</v>
      </c>
      <c r="E57" s="16">
        <f t="shared" si="5"/>
        <v>23005</v>
      </c>
      <c r="F57" s="20" t="s">
        <v>531</v>
      </c>
      <c r="G57" s="23" t="s">
        <v>521</v>
      </c>
      <c r="H57" s="28" t="s">
        <v>382</v>
      </c>
      <c r="I57" s="28">
        <v>2</v>
      </c>
      <c r="J57" s="28"/>
    </row>
    <row r="58" spans="2:10">
      <c r="B58" s="16" t="str">
        <f t="shared" si="2"/>
        <v>0x59DE</v>
      </c>
      <c r="C58" s="16" t="str">
        <f t="shared" si="3"/>
        <v>0x59DF</v>
      </c>
      <c r="D58" s="16">
        <f t="shared" si="4"/>
        <v>23006</v>
      </c>
      <c r="E58" s="16">
        <f t="shared" si="5"/>
        <v>23007</v>
      </c>
      <c r="F58" s="17" t="s">
        <v>532</v>
      </c>
      <c r="G58" s="23" t="s">
        <v>315</v>
      </c>
      <c r="H58" s="28" t="s">
        <v>382</v>
      </c>
      <c r="I58" s="28">
        <v>2</v>
      </c>
      <c r="J58" s="28"/>
    </row>
    <row r="59" spans="2:10">
      <c r="B59" s="16" t="str">
        <f t="shared" si="2"/>
        <v>0x59E0</v>
      </c>
      <c r="C59" s="16" t="str">
        <f t="shared" si="3"/>
        <v>0x59E1</v>
      </c>
      <c r="D59" s="16">
        <f t="shared" si="4"/>
        <v>23008</v>
      </c>
      <c r="E59" s="16">
        <f t="shared" si="5"/>
        <v>23009</v>
      </c>
      <c r="F59" s="20" t="s">
        <v>533</v>
      </c>
      <c r="G59" s="23" t="s">
        <v>315</v>
      </c>
      <c r="H59" s="28" t="s">
        <v>382</v>
      </c>
      <c r="I59" s="28">
        <v>2</v>
      </c>
      <c r="J59" s="28"/>
    </row>
    <row r="60" spans="2:10">
      <c r="B60" s="16" t="str">
        <f t="shared" si="2"/>
        <v>0x59E2</v>
      </c>
      <c r="C60" s="16" t="str">
        <f t="shared" si="3"/>
        <v>0x59E3</v>
      </c>
      <c r="D60" s="16">
        <f t="shared" si="4"/>
        <v>23010</v>
      </c>
      <c r="E60" s="16">
        <f t="shared" si="5"/>
        <v>23011</v>
      </c>
      <c r="F60" s="20" t="s">
        <v>534</v>
      </c>
      <c r="G60" s="23" t="s">
        <v>315</v>
      </c>
      <c r="H60" s="28" t="s">
        <v>382</v>
      </c>
      <c r="I60" s="28">
        <v>2</v>
      </c>
      <c r="J60" s="28"/>
    </row>
    <row r="61" spans="2:10">
      <c r="B61" s="16" t="str">
        <f t="shared" si="2"/>
        <v>0x59E4</v>
      </c>
      <c r="C61" s="16" t="str">
        <f t="shared" si="3"/>
        <v>0x59E5</v>
      </c>
      <c r="D61" s="16">
        <f t="shared" si="4"/>
        <v>23012</v>
      </c>
      <c r="E61" s="16">
        <f t="shared" si="5"/>
        <v>23013</v>
      </c>
      <c r="F61" s="20" t="s">
        <v>535</v>
      </c>
      <c r="G61" s="23" t="s">
        <v>315</v>
      </c>
      <c r="H61" s="28" t="s">
        <v>382</v>
      </c>
      <c r="I61" s="28">
        <v>2</v>
      </c>
      <c r="J61" s="28"/>
    </row>
    <row r="62" spans="2:10">
      <c r="B62" s="16" t="str">
        <f t="shared" si="2"/>
        <v>0x59E6</v>
      </c>
      <c r="C62" s="16" t="str">
        <f t="shared" si="3"/>
        <v>0x59E7</v>
      </c>
      <c r="D62" s="16">
        <f t="shared" si="4"/>
        <v>23014</v>
      </c>
      <c r="E62" s="16">
        <f t="shared" si="5"/>
        <v>23015</v>
      </c>
      <c r="F62" s="20" t="s">
        <v>536</v>
      </c>
      <c r="G62" s="23" t="s">
        <v>521</v>
      </c>
      <c r="H62" s="28" t="s">
        <v>382</v>
      </c>
      <c r="I62" s="28">
        <v>2</v>
      </c>
      <c r="J62" s="28"/>
    </row>
    <row r="63" spans="2:10">
      <c r="B63" s="16" t="str">
        <f t="shared" ref="B63:B72" si="6">"0x"&amp;DEC2HEX(D63,4)</f>
        <v>0x59E8</v>
      </c>
      <c r="C63" s="16" t="str">
        <f t="shared" ref="C63:C72" si="7">"0x"&amp;DEC2HEX(E63,4)</f>
        <v>0x59E9</v>
      </c>
      <c r="D63" s="16">
        <f t="shared" ref="D63:D72" si="8">D62+I62</f>
        <v>23016</v>
      </c>
      <c r="E63" s="16">
        <f t="shared" ref="E63:E72" si="9">D63+I63-1</f>
        <v>23017</v>
      </c>
      <c r="F63" s="20" t="s">
        <v>537</v>
      </c>
      <c r="G63" s="23" t="s">
        <v>315</v>
      </c>
      <c r="H63" s="28" t="s">
        <v>301</v>
      </c>
      <c r="I63" s="28">
        <v>2</v>
      </c>
      <c r="J63" s="28"/>
    </row>
    <row r="64" spans="2:10">
      <c r="B64" s="16" t="str">
        <f t="shared" si="6"/>
        <v>0x59EA</v>
      </c>
      <c r="C64" s="16" t="str">
        <f t="shared" si="7"/>
        <v>0x59EA</v>
      </c>
      <c r="D64" s="16">
        <f t="shared" si="8"/>
        <v>23018</v>
      </c>
      <c r="E64" s="16">
        <f t="shared" si="9"/>
        <v>23018</v>
      </c>
      <c r="F64" s="50" t="s">
        <v>438</v>
      </c>
      <c r="G64" s="21" t="s">
        <v>146</v>
      </c>
      <c r="H64" s="21" t="s">
        <v>147</v>
      </c>
      <c r="I64" s="21">
        <v>1</v>
      </c>
      <c r="J64" s="21" t="s">
        <v>439</v>
      </c>
    </row>
    <row r="65" spans="1:11">
      <c r="B65" s="16" t="str">
        <f t="shared" si="6"/>
        <v>0x59EB</v>
      </c>
      <c r="C65" s="16" t="str">
        <f t="shared" si="7"/>
        <v>0x59EC</v>
      </c>
      <c r="D65" s="16">
        <f t="shared" si="8"/>
        <v>23019</v>
      </c>
      <c r="E65" s="16">
        <f t="shared" si="9"/>
        <v>23020</v>
      </c>
      <c r="F65" s="17" t="s">
        <v>538</v>
      </c>
      <c r="G65" s="23" t="s">
        <v>315</v>
      </c>
      <c r="H65" s="28" t="s">
        <v>301</v>
      </c>
      <c r="I65" s="28">
        <v>2</v>
      </c>
      <c r="J65" s="28"/>
    </row>
    <row r="66" spans="1:11">
      <c r="B66" s="16" t="str">
        <f t="shared" si="6"/>
        <v>0x59ED</v>
      </c>
      <c r="C66" s="16" t="str">
        <f t="shared" si="7"/>
        <v>0x59EE</v>
      </c>
      <c r="D66" s="16">
        <f t="shared" si="8"/>
        <v>23021</v>
      </c>
      <c r="E66" s="16">
        <f t="shared" si="9"/>
        <v>23022</v>
      </c>
      <c r="F66" s="17" t="s">
        <v>539</v>
      </c>
      <c r="G66" s="23" t="s">
        <v>315</v>
      </c>
      <c r="H66" s="28" t="s">
        <v>301</v>
      </c>
      <c r="I66" s="28">
        <v>2</v>
      </c>
      <c r="J66" s="28"/>
    </row>
    <row r="67" spans="1:11">
      <c r="B67" s="16" t="str">
        <f t="shared" si="6"/>
        <v>0x59EF</v>
      </c>
      <c r="C67" s="16" t="str">
        <f t="shared" si="7"/>
        <v>0x59F0</v>
      </c>
      <c r="D67" s="16">
        <f t="shared" si="8"/>
        <v>23023</v>
      </c>
      <c r="E67" s="16">
        <f t="shared" si="9"/>
        <v>23024</v>
      </c>
      <c r="F67" s="17" t="s">
        <v>540</v>
      </c>
      <c r="G67" s="23" t="s">
        <v>315</v>
      </c>
      <c r="H67" s="28" t="s">
        <v>301</v>
      </c>
      <c r="I67" s="28">
        <v>2</v>
      </c>
      <c r="J67" s="28"/>
    </row>
    <row r="68" spans="1:11">
      <c r="B68" s="16" t="str">
        <f t="shared" si="6"/>
        <v>0x59F1</v>
      </c>
      <c r="C68" s="16" t="str">
        <f t="shared" si="7"/>
        <v>0x59F2</v>
      </c>
      <c r="D68" s="16">
        <f t="shared" si="8"/>
        <v>23025</v>
      </c>
      <c r="E68" s="16">
        <f t="shared" si="9"/>
        <v>23026</v>
      </c>
      <c r="F68" s="17" t="s">
        <v>541</v>
      </c>
      <c r="G68" s="23" t="s">
        <v>521</v>
      </c>
      <c r="H68" s="28" t="s">
        <v>301</v>
      </c>
      <c r="I68" s="28">
        <v>2</v>
      </c>
      <c r="J68" s="28"/>
    </row>
    <row r="69" spans="1:11">
      <c r="B69" s="16" t="str">
        <f t="shared" si="6"/>
        <v>0x59F3</v>
      </c>
      <c r="C69" s="16" t="str">
        <f t="shared" si="7"/>
        <v>0x59F4</v>
      </c>
      <c r="D69" s="16">
        <f t="shared" si="8"/>
        <v>23027</v>
      </c>
      <c r="E69" s="16">
        <f t="shared" si="9"/>
        <v>23028</v>
      </c>
      <c r="F69" s="17" t="s">
        <v>542</v>
      </c>
      <c r="G69" s="23" t="s">
        <v>315</v>
      </c>
      <c r="H69" s="28" t="s">
        <v>301</v>
      </c>
      <c r="I69" s="28">
        <v>2</v>
      </c>
      <c r="J69" s="28"/>
    </row>
    <row r="70" spans="1:11">
      <c r="B70" s="16" t="str">
        <f t="shared" si="6"/>
        <v>0x59F5</v>
      </c>
      <c r="C70" s="16" t="str">
        <f t="shared" si="7"/>
        <v>0x5A27</v>
      </c>
      <c r="D70" s="16">
        <f t="shared" si="8"/>
        <v>23029</v>
      </c>
      <c r="E70" s="16">
        <f t="shared" si="9"/>
        <v>23079</v>
      </c>
      <c r="F70" s="20" t="s">
        <v>543</v>
      </c>
      <c r="G70" s="23"/>
      <c r="H70" s="28" t="s">
        <v>301</v>
      </c>
      <c r="I70" s="28">
        <v>51</v>
      </c>
      <c r="J70" s="28"/>
    </row>
    <row r="71" spans="1:11">
      <c r="B71" s="16" t="str">
        <f t="shared" si="6"/>
        <v>0x5A28</v>
      </c>
      <c r="C71" s="16" t="str">
        <f t="shared" si="7"/>
        <v>0x5A28</v>
      </c>
      <c r="D71" s="16">
        <f t="shared" si="8"/>
        <v>23080</v>
      </c>
      <c r="E71" s="16">
        <f t="shared" si="9"/>
        <v>23080</v>
      </c>
      <c r="F71" s="50" t="s">
        <v>339</v>
      </c>
      <c r="G71" s="21" t="s">
        <v>146</v>
      </c>
      <c r="H71" s="21" t="s">
        <v>147</v>
      </c>
      <c r="I71" s="21">
        <v>1</v>
      </c>
      <c r="J71" s="21" t="s">
        <v>340</v>
      </c>
      <c r="K71">
        <v>1</v>
      </c>
    </row>
    <row r="72" spans="1:11">
      <c r="B72" s="16" t="str">
        <f t="shared" si="6"/>
        <v>0x5A29</v>
      </c>
      <c r="C72" s="16" t="str">
        <f t="shared" si="7"/>
        <v>0x5A2A</v>
      </c>
      <c r="D72" s="16">
        <f t="shared" si="8"/>
        <v>23081</v>
      </c>
      <c r="E72" s="16">
        <f t="shared" si="9"/>
        <v>23082</v>
      </c>
      <c r="F72" s="17" t="s">
        <v>544</v>
      </c>
      <c r="G72" s="23" t="s">
        <v>315</v>
      </c>
      <c r="H72" s="28" t="s">
        <v>382</v>
      </c>
      <c r="I72" s="28">
        <v>2</v>
      </c>
      <c r="J72" s="28"/>
    </row>
    <row r="73" spans="1:11">
      <c r="B73" s="16" t="str">
        <f t="shared" ref="B69:B128" si="10">"0x"&amp;DEC2HEX(D73,4)</f>
        <v>0x5A2B</v>
      </c>
      <c r="C73" s="16" t="str">
        <f t="shared" ref="C69:C128" si="11">"0x"&amp;DEC2HEX(E73,4)</f>
        <v>0x5A2C</v>
      </c>
      <c r="D73" s="16">
        <f t="shared" ref="D69:D128" si="12">D72+I72</f>
        <v>23083</v>
      </c>
      <c r="E73" s="16">
        <f t="shared" ref="E69:E128" si="13">D73+I73-1</f>
        <v>23084</v>
      </c>
      <c r="F73" s="17" t="s">
        <v>545</v>
      </c>
      <c r="G73" s="23" t="s">
        <v>315</v>
      </c>
      <c r="H73" s="28" t="s">
        <v>382</v>
      </c>
      <c r="I73" s="28">
        <v>2</v>
      </c>
      <c r="J73" s="28"/>
    </row>
    <row r="74" spans="1:11">
      <c r="B74" s="16" t="str">
        <f t="shared" si="10"/>
        <v>0x5A2D</v>
      </c>
      <c r="C74" s="16" t="str">
        <f t="shared" si="11"/>
        <v>0x5A2E</v>
      </c>
      <c r="D74" s="16">
        <f t="shared" si="12"/>
        <v>23085</v>
      </c>
      <c r="E74" s="16">
        <f t="shared" si="13"/>
        <v>23086</v>
      </c>
      <c r="F74" s="17" t="s">
        <v>546</v>
      </c>
      <c r="G74" s="23" t="s">
        <v>315</v>
      </c>
      <c r="H74" s="28" t="s">
        <v>382</v>
      </c>
      <c r="I74" s="28">
        <v>2</v>
      </c>
      <c r="J74" s="28"/>
    </row>
    <row r="75" spans="1:11">
      <c r="B75" s="16" t="str">
        <f t="shared" si="10"/>
        <v>0x5A2F</v>
      </c>
      <c r="C75" s="16" t="str">
        <f t="shared" si="11"/>
        <v>0x5A30</v>
      </c>
      <c r="D75" s="16">
        <f t="shared" si="12"/>
        <v>23087</v>
      </c>
      <c r="E75" s="16">
        <f t="shared" si="13"/>
        <v>23088</v>
      </c>
      <c r="F75" s="17" t="s">
        <v>547</v>
      </c>
      <c r="G75" s="23" t="s">
        <v>521</v>
      </c>
      <c r="H75" s="28" t="s">
        <v>382</v>
      </c>
      <c r="I75" s="28">
        <v>2</v>
      </c>
      <c r="J75" s="28"/>
    </row>
    <row r="76" spans="1:11">
      <c r="B76" s="16" t="str">
        <f t="shared" si="10"/>
        <v>0x5A31</v>
      </c>
      <c r="C76" s="16" t="str">
        <f t="shared" si="11"/>
        <v>0x5A32</v>
      </c>
      <c r="D76" s="16">
        <f t="shared" si="12"/>
        <v>23089</v>
      </c>
      <c r="E76" s="16">
        <f t="shared" si="13"/>
        <v>23090</v>
      </c>
      <c r="F76" s="17" t="s">
        <v>548</v>
      </c>
      <c r="G76" s="23" t="s">
        <v>315</v>
      </c>
      <c r="H76" s="28" t="s">
        <v>382</v>
      </c>
      <c r="I76" s="28">
        <v>2</v>
      </c>
      <c r="J76" s="28"/>
    </row>
    <row r="77" spans="1:11">
      <c r="A77" s="26" t="s">
        <v>75</v>
      </c>
      <c r="B77" s="16" t="str">
        <f t="shared" si="10"/>
        <v>0x5A33</v>
      </c>
      <c r="C77" s="16" t="str">
        <f t="shared" si="11"/>
        <v>0x5A34</v>
      </c>
      <c r="D77" s="16">
        <f t="shared" si="12"/>
        <v>23091</v>
      </c>
      <c r="E77" s="16">
        <f t="shared" si="13"/>
        <v>23092</v>
      </c>
      <c r="F77" s="17" t="s">
        <v>549</v>
      </c>
      <c r="G77" s="23" t="s">
        <v>550</v>
      </c>
      <c r="H77" s="28" t="s">
        <v>301</v>
      </c>
      <c r="I77" s="28">
        <v>2</v>
      </c>
      <c r="J77" s="28"/>
    </row>
    <row r="78" spans="1:11">
      <c r="B78" s="16" t="str">
        <f t="shared" si="10"/>
        <v>0x5A35</v>
      </c>
      <c r="C78" s="16" t="str">
        <f t="shared" si="11"/>
        <v>0x5A36</v>
      </c>
      <c r="D78" s="16">
        <f t="shared" si="12"/>
        <v>23093</v>
      </c>
      <c r="E78" s="16">
        <f t="shared" si="13"/>
        <v>23094</v>
      </c>
      <c r="F78" s="17" t="s">
        <v>551</v>
      </c>
      <c r="G78" s="23" t="s">
        <v>550</v>
      </c>
      <c r="H78" s="28" t="s">
        <v>301</v>
      </c>
      <c r="I78" s="28">
        <v>2</v>
      </c>
      <c r="J78" s="28"/>
    </row>
    <row r="79" spans="1:11">
      <c r="B79" s="16" t="str">
        <f t="shared" si="10"/>
        <v>0x5A37</v>
      </c>
      <c r="C79" s="16" t="str">
        <f t="shared" si="11"/>
        <v>0x5A38</v>
      </c>
      <c r="D79" s="16">
        <f t="shared" si="12"/>
        <v>23095</v>
      </c>
      <c r="E79" s="16">
        <f t="shared" si="13"/>
        <v>23096</v>
      </c>
      <c r="F79" s="17" t="s">
        <v>552</v>
      </c>
      <c r="G79" s="23" t="s">
        <v>550</v>
      </c>
      <c r="H79" s="28" t="s">
        <v>301</v>
      </c>
      <c r="I79" s="28">
        <v>2</v>
      </c>
      <c r="J79" s="28"/>
    </row>
    <row r="80" spans="1:11">
      <c r="B80" s="16" t="str">
        <f t="shared" si="10"/>
        <v>0x5A39</v>
      </c>
      <c r="C80" s="16" t="str">
        <f t="shared" si="11"/>
        <v>0x5A3A</v>
      </c>
      <c r="D80" s="16">
        <f t="shared" si="12"/>
        <v>23097</v>
      </c>
      <c r="E80" s="16">
        <f t="shared" si="13"/>
        <v>23098</v>
      </c>
      <c r="F80" s="17" t="s">
        <v>553</v>
      </c>
      <c r="G80" s="23" t="s">
        <v>550</v>
      </c>
      <c r="H80" s="28" t="s">
        <v>301</v>
      </c>
      <c r="I80" s="28">
        <v>2</v>
      </c>
      <c r="J80" s="28"/>
    </row>
    <row r="81" spans="2:10">
      <c r="B81" s="16" t="str">
        <f t="shared" si="10"/>
        <v>0x5A3B</v>
      </c>
      <c r="C81" s="16" t="str">
        <f t="shared" si="11"/>
        <v>0x5A3C</v>
      </c>
      <c r="D81" s="16">
        <f t="shared" si="12"/>
        <v>23099</v>
      </c>
      <c r="E81" s="16">
        <f t="shared" si="13"/>
        <v>23100</v>
      </c>
      <c r="F81" s="17" t="s">
        <v>554</v>
      </c>
      <c r="G81" s="23" t="s">
        <v>550</v>
      </c>
      <c r="H81" s="28" t="s">
        <v>301</v>
      </c>
      <c r="I81" s="28">
        <v>2</v>
      </c>
      <c r="J81" s="28"/>
    </row>
    <row r="82" spans="2:10">
      <c r="B82" s="16" t="str">
        <f t="shared" si="10"/>
        <v>0x5A3D</v>
      </c>
      <c r="C82" s="16" t="str">
        <f t="shared" si="11"/>
        <v>0x5A3E</v>
      </c>
      <c r="D82" s="16">
        <f t="shared" si="12"/>
        <v>23101</v>
      </c>
      <c r="E82" s="16">
        <f t="shared" si="13"/>
        <v>23102</v>
      </c>
      <c r="F82" s="17" t="s">
        <v>555</v>
      </c>
      <c r="G82" s="23" t="s">
        <v>550</v>
      </c>
      <c r="H82" s="28" t="s">
        <v>301</v>
      </c>
      <c r="I82" s="28">
        <v>2</v>
      </c>
      <c r="J82" s="28"/>
    </row>
    <row r="83" spans="2:10">
      <c r="B83" s="16" t="str">
        <f t="shared" si="10"/>
        <v>0x5A3F</v>
      </c>
      <c r="C83" s="16" t="str">
        <f t="shared" si="11"/>
        <v>0x5A40</v>
      </c>
      <c r="D83" s="16">
        <f t="shared" si="12"/>
        <v>23103</v>
      </c>
      <c r="E83" s="16">
        <f t="shared" si="13"/>
        <v>23104</v>
      </c>
      <c r="F83" s="24" t="s">
        <v>556</v>
      </c>
      <c r="G83" s="23" t="s">
        <v>550</v>
      </c>
      <c r="H83" s="28" t="s">
        <v>301</v>
      </c>
      <c r="I83" s="28">
        <v>2</v>
      </c>
      <c r="J83" s="28"/>
    </row>
    <row r="84" spans="2:10">
      <c r="B84" s="16" t="str">
        <f t="shared" si="10"/>
        <v>0x5A41</v>
      </c>
      <c r="C84" s="16" t="str">
        <f t="shared" si="11"/>
        <v>0x5A42</v>
      </c>
      <c r="D84" s="16">
        <f t="shared" si="12"/>
        <v>23105</v>
      </c>
      <c r="E84" s="16">
        <f t="shared" si="13"/>
        <v>23106</v>
      </c>
      <c r="F84" s="24" t="s">
        <v>557</v>
      </c>
      <c r="G84" s="23" t="s">
        <v>550</v>
      </c>
      <c r="H84" s="28" t="s">
        <v>301</v>
      </c>
      <c r="I84" s="28">
        <v>2</v>
      </c>
      <c r="J84" s="28"/>
    </row>
    <row r="85" spans="2:10">
      <c r="B85" s="16" t="str">
        <f t="shared" si="10"/>
        <v>0x5A43</v>
      </c>
      <c r="C85" s="16" t="str">
        <f t="shared" si="11"/>
        <v>0x5A44</v>
      </c>
      <c r="D85" s="16">
        <f t="shared" si="12"/>
        <v>23107</v>
      </c>
      <c r="E85" s="16">
        <f t="shared" si="13"/>
        <v>23108</v>
      </c>
      <c r="F85" s="17" t="s">
        <v>558</v>
      </c>
      <c r="G85" s="23" t="s">
        <v>550</v>
      </c>
      <c r="H85" s="28" t="s">
        <v>382</v>
      </c>
      <c r="I85" s="28">
        <v>2</v>
      </c>
      <c r="J85" s="28"/>
    </row>
    <row r="86" spans="2:10">
      <c r="B86" s="16" t="str">
        <f t="shared" si="10"/>
        <v>0x5A45</v>
      </c>
      <c r="C86" s="16" t="str">
        <f t="shared" si="11"/>
        <v>0x5A46</v>
      </c>
      <c r="D86" s="16">
        <f t="shared" si="12"/>
        <v>23109</v>
      </c>
      <c r="E86" s="16">
        <f t="shared" si="13"/>
        <v>23110</v>
      </c>
      <c r="F86" s="17" t="s">
        <v>559</v>
      </c>
      <c r="G86" s="23" t="s">
        <v>550</v>
      </c>
      <c r="H86" s="28" t="s">
        <v>382</v>
      </c>
      <c r="I86" s="28">
        <v>2</v>
      </c>
      <c r="J86" s="28"/>
    </row>
    <row r="87" spans="2:10">
      <c r="B87" s="16" t="str">
        <f t="shared" si="10"/>
        <v>0x5A47</v>
      </c>
      <c r="C87" s="16" t="str">
        <f t="shared" si="11"/>
        <v>0x5A48</v>
      </c>
      <c r="D87" s="16">
        <f t="shared" si="12"/>
        <v>23111</v>
      </c>
      <c r="E87" s="16">
        <f t="shared" si="13"/>
        <v>23112</v>
      </c>
      <c r="F87" s="17" t="s">
        <v>560</v>
      </c>
      <c r="G87" s="23" t="s">
        <v>550</v>
      </c>
      <c r="H87" s="28" t="s">
        <v>382</v>
      </c>
      <c r="I87" s="28">
        <v>2</v>
      </c>
      <c r="J87" s="28"/>
    </row>
    <row r="88" spans="2:10">
      <c r="B88" s="16" t="str">
        <f t="shared" si="10"/>
        <v>0x5A49</v>
      </c>
      <c r="C88" s="16" t="str">
        <f t="shared" si="11"/>
        <v>0x5A4A</v>
      </c>
      <c r="D88" s="16">
        <f t="shared" si="12"/>
        <v>23113</v>
      </c>
      <c r="E88" s="16">
        <f t="shared" si="13"/>
        <v>23114</v>
      </c>
      <c r="F88" s="17" t="s">
        <v>561</v>
      </c>
      <c r="G88" s="23" t="s">
        <v>550</v>
      </c>
      <c r="H88" s="28" t="s">
        <v>382</v>
      </c>
      <c r="I88" s="28">
        <v>2</v>
      </c>
      <c r="J88" s="28"/>
    </row>
    <row r="89" spans="2:10">
      <c r="B89" s="16" t="str">
        <f t="shared" si="10"/>
        <v>0x5A4B</v>
      </c>
      <c r="C89" s="16" t="str">
        <f t="shared" si="11"/>
        <v>0x5B48</v>
      </c>
      <c r="D89" s="16">
        <f t="shared" si="12"/>
        <v>23115</v>
      </c>
      <c r="E89" s="16">
        <f t="shared" si="13"/>
        <v>23368</v>
      </c>
      <c r="F89" s="54" t="s">
        <v>562</v>
      </c>
      <c r="G89" s="23" t="s">
        <v>550</v>
      </c>
      <c r="H89" s="28" t="s">
        <v>382</v>
      </c>
      <c r="I89" s="28">
        <v>254</v>
      </c>
      <c r="J89" s="28"/>
    </row>
    <row r="90" spans="2:10">
      <c r="B90" s="16" t="str">
        <f t="shared" si="10"/>
        <v>0x5B49</v>
      </c>
      <c r="C90" s="16" t="str">
        <f t="shared" si="11"/>
        <v>0x5C46</v>
      </c>
      <c r="D90" s="16">
        <f t="shared" si="12"/>
        <v>23369</v>
      </c>
      <c r="E90" s="16">
        <f t="shared" si="13"/>
        <v>23622</v>
      </c>
      <c r="F90" s="17" t="s">
        <v>563</v>
      </c>
      <c r="G90" s="23" t="s">
        <v>550</v>
      </c>
      <c r="H90" s="28" t="s">
        <v>382</v>
      </c>
      <c r="I90" s="28">
        <v>254</v>
      </c>
      <c r="J90" s="28"/>
    </row>
    <row r="91" spans="2:10">
      <c r="B91" s="16" t="str">
        <f t="shared" si="10"/>
        <v>0x5C47</v>
      </c>
      <c r="C91" s="16" t="str">
        <f t="shared" si="11"/>
        <v>0x5D44</v>
      </c>
      <c r="D91" s="16">
        <f t="shared" si="12"/>
        <v>23623</v>
      </c>
      <c r="E91" s="16">
        <f t="shared" si="13"/>
        <v>23876</v>
      </c>
      <c r="F91" s="17" t="s">
        <v>564</v>
      </c>
      <c r="G91" s="23" t="s">
        <v>550</v>
      </c>
      <c r="H91" s="28" t="s">
        <v>382</v>
      </c>
      <c r="I91" s="28">
        <v>254</v>
      </c>
      <c r="J91" s="28"/>
    </row>
    <row r="92" spans="2:10">
      <c r="B92" s="16" t="str">
        <f t="shared" si="10"/>
        <v>0x5D45</v>
      </c>
      <c r="C92" s="16" t="str">
        <f t="shared" si="11"/>
        <v>0x5D46</v>
      </c>
      <c r="D92" s="16">
        <f t="shared" si="12"/>
        <v>23877</v>
      </c>
      <c r="E92" s="16">
        <f t="shared" si="13"/>
        <v>23878</v>
      </c>
      <c r="F92" s="17" t="s">
        <v>565</v>
      </c>
      <c r="G92" s="23" t="s">
        <v>550</v>
      </c>
      <c r="H92" s="28" t="s">
        <v>382</v>
      </c>
      <c r="I92" s="28">
        <v>2</v>
      </c>
      <c r="J92" s="28"/>
    </row>
    <row r="93" spans="2:10">
      <c r="B93" s="16" t="str">
        <f t="shared" si="10"/>
        <v>0x5D47</v>
      </c>
      <c r="C93" s="16" t="str">
        <f t="shared" si="11"/>
        <v>0x5D48</v>
      </c>
      <c r="D93" s="16">
        <f t="shared" si="12"/>
        <v>23879</v>
      </c>
      <c r="E93" s="16">
        <f t="shared" si="13"/>
        <v>23880</v>
      </c>
      <c r="F93" s="17" t="s">
        <v>566</v>
      </c>
      <c r="G93" s="23" t="s">
        <v>550</v>
      </c>
      <c r="H93" s="28" t="s">
        <v>382</v>
      </c>
      <c r="I93" s="28">
        <v>2</v>
      </c>
      <c r="J93" s="28"/>
    </row>
    <row r="94" spans="2:10">
      <c r="B94" s="16" t="str">
        <f t="shared" si="10"/>
        <v>0x5D49</v>
      </c>
      <c r="C94" s="16" t="str">
        <f t="shared" si="11"/>
        <v>0x5D4A</v>
      </c>
      <c r="D94" s="16">
        <f t="shared" si="12"/>
        <v>23881</v>
      </c>
      <c r="E94" s="16">
        <f t="shared" si="13"/>
        <v>23882</v>
      </c>
      <c r="F94" s="17" t="s">
        <v>567</v>
      </c>
      <c r="G94" s="23" t="s">
        <v>550</v>
      </c>
      <c r="H94" s="28" t="s">
        <v>382</v>
      </c>
      <c r="I94" s="28">
        <v>2</v>
      </c>
      <c r="J94" s="28"/>
    </row>
    <row r="95" spans="2:10">
      <c r="B95" s="16" t="str">
        <f t="shared" si="10"/>
        <v>0x5D4B</v>
      </c>
      <c r="C95" s="16" t="str">
        <f t="shared" si="11"/>
        <v>0x5D4C</v>
      </c>
      <c r="D95" s="16">
        <f t="shared" si="12"/>
        <v>23883</v>
      </c>
      <c r="E95" s="16">
        <f t="shared" si="13"/>
        <v>23884</v>
      </c>
      <c r="F95" s="17" t="s">
        <v>568</v>
      </c>
      <c r="G95" s="23" t="s">
        <v>550</v>
      </c>
      <c r="H95" s="28" t="s">
        <v>382</v>
      </c>
      <c r="I95" s="28">
        <v>2</v>
      </c>
      <c r="J95" s="28"/>
    </row>
    <row r="96" spans="2:10">
      <c r="B96" s="16" t="str">
        <f t="shared" si="10"/>
        <v>0x5D4D</v>
      </c>
      <c r="C96" s="16" t="str">
        <f t="shared" si="11"/>
        <v>0x5E4A</v>
      </c>
      <c r="D96" s="16">
        <f t="shared" si="12"/>
        <v>23885</v>
      </c>
      <c r="E96" s="16">
        <f t="shared" si="13"/>
        <v>24138</v>
      </c>
      <c r="F96" s="17" t="s">
        <v>569</v>
      </c>
      <c r="G96" s="23" t="s">
        <v>550</v>
      </c>
      <c r="H96" s="28" t="s">
        <v>382</v>
      </c>
      <c r="I96" s="28">
        <v>254</v>
      </c>
      <c r="J96" s="28"/>
    </row>
    <row r="97" spans="2:10">
      <c r="B97" s="16" t="str">
        <f t="shared" si="10"/>
        <v>0x5E4B</v>
      </c>
      <c r="C97" s="16" t="str">
        <f t="shared" si="11"/>
        <v>0x5F48</v>
      </c>
      <c r="D97" s="16">
        <f t="shared" si="12"/>
        <v>24139</v>
      </c>
      <c r="E97" s="16">
        <f t="shared" si="13"/>
        <v>24392</v>
      </c>
      <c r="F97" s="17" t="s">
        <v>570</v>
      </c>
      <c r="G97" s="23" t="s">
        <v>550</v>
      </c>
      <c r="H97" s="28" t="s">
        <v>382</v>
      </c>
      <c r="I97" s="28">
        <v>254</v>
      </c>
      <c r="J97" s="28"/>
    </row>
    <row r="98" spans="2:10">
      <c r="B98" s="16" t="str">
        <f t="shared" si="10"/>
        <v>0x5F49</v>
      </c>
      <c r="C98" s="16" t="str">
        <f t="shared" si="11"/>
        <v>0x6046</v>
      </c>
      <c r="D98" s="16">
        <f t="shared" si="12"/>
        <v>24393</v>
      </c>
      <c r="E98" s="16">
        <f t="shared" si="13"/>
        <v>24646</v>
      </c>
      <c r="F98" s="17" t="s">
        <v>571</v>
      </c>
      <c r="G98" s="23" t="s">
        <v>550</v>
      </c>
      <c r="H98" s="28" t="s">
        <v>382</v>
      </c>
      <c r="I98" s="28">
        <v>254</v>
      </c>
      <c r="J98" s="28"/>
    </row>
    <row r="99" spans="2:10">
      <c r="B99" s="16" t="str">
        <f t="shared" si="10"/>
        <v>0x6047</v>
      </c>
      <c r="C99" s="16" t="str">
        <f t="shared" si="11"/>
        <v>0x6048</v>
      </c>
      <c r="D99" s="16">
        <f t="shared" si="12"/>
        <v>24647</v>
      </c>
      <c r="E99" s="16">
        <f t="shared" si="13"/>
        <v>24648</v>
      </c>
      <c r="F99" s="17" t="s">
        <v>572</v>
      </c>
      <c r="G99" s="23" t="s">
        <v>550</v>
      </c>
      <c r="H99" s="28" t="s">
        <v>382</v>
      </c>
      <c r="I99" s="28">
        <v>2</v>
      </c>
      <c r="J99" s="28"/>
    </row>
    <row r="100" spans="2:10">
      <c r="B100" s="16" t="str">
        <f t="shared" si="10"/>
        <v>0x6049</v>
      </c>
      <c r="C100" s="16" t="str">
        <f t="shared" si="11"/>
        <v>0x604A</v>
      </c>
      <c r="D100" s="16">
        <f t="shared" si="12"/>
        <v>24649</v>
      </c>
      <c r="E100" s="16">
        <f t="shared" si="13"/>
        <v>24650</v>
      </c>
      <c r="F100" s="17" t="s">
        <v>573</v>
      </c>
      <c r="G100" s="23" t="s">
        <v>550</v>
      </c>
      <c r="H100" s="28" t="s">
        <v>382</v>
      </c>
      <c r="I100" s="28">
        <v>2</v>
      </c>
      <c r="J100" s="28"/>
    </row>
    <row r="101" spans="2:10">
      <c r="B101" s="16" t="str">
        <f t="shared" si="10"/>
        <v>0x604B</v>
      </c>
      <c r="C101" s="16" t="str">
        <f t="shared" si="11"/>
        <v>0x604C</v>
      </c>
      <c r="D101" s="16">
        <f t="shared" si="12"/>
        <v>24651</v>
      </c>
      <c r="E101" s="16">
        <f t="shared" si="13"/>
        <v>24652</v>
      </c>
      <c r="F101" s="17" t="s">
        <v>574</v>
      </c>
      <c r="G101" s="23" t="s">
        <v>550</v>
      </c>
      <c r="H101" s="28" t="s">
        <v>382</v>
      </c>
      <c r="I101" s="28">
        <v>2</v>
      </c>
      <c r="J101" s="28"/>
    </row>
    <row r="102" spans="2:10">
      <c r="B102" s="16" t="str">
        <f t="shared" si="10"/>
        <v>0x604D</v>
      </c>
      <c r="C102" s="16" t="str">
        <f t="shared" si="11"/>
        <v>0x604E</v>
      </c>
      <c r="D102" s="16">
        <f t="shared" si="12"/>
        <v>24653</v>
      </c>
      <c r="E102" s="16">
        <f t="shared" si="13"/>
        <v>24654</v>
      </c>
      <c r="F102" s="17" t="s">
        <v>575</v>
      </c>
      <c r="G102" s="23" t="s">
        <v>550</v>
      </c>
      <c r="H102" s="28" t="s">
        <v>382</v>
      </c>
      <c r="I102" s="28">
        <v>2</v>
      </c>
      <c r="J102" s="28"/>
    </row>
    <row r="103" spans="2:10">
      <c r="B103" s="16" t="str">
        <f t="shared" si="10"/>
        <v>0x604F</v>
      </c>
      <c r="C103" s="16" t="str">
        <f t="shared" si="11"/>
        <v>0x614C</v>
      </c>
      <c r="D103" s="16">
        <f t="shared" si="12"/>
        <v>24655</v>
      </c>
      <c r="E103" s="16">
        <f t="shared" si="13"/>
        <v>24908</v>
      </c>
      <c r="F103" s="17" t="s">
        <v>576</v>
      </c>
      <c r="G103" s="23" t="s">
        <v>550</v>
      </c>
      <c r="H103" s="28" t="s">
        <v>382</v>
      </c>
      <c r="I103" s="28">
        <v>254</v>
      </c>
      <c r="J103" s="28"/>
    </row>
    <row r="104" spans="2:10">
      <c r="B104" s="16" t="str">
        <f t="shared" si="10"/>
        <v>0x614D</v>
      </c>
      <c r="C104" s="16" t="str">
        <f t="shared" si="11"/>
        <v>0x624A</v>
      </c>
      <c r="D104" s="16">
        <f t="shared" si="12"/>
        <v>24909</v>
      </c>
      <c r="E104" s="16">
        <f t="shared" si="13"/>
        <v>25162</v>
      </c>
      <c r="F104" s="17" t="s">
        <v>577</v>
      </c>
      <c r="G104" s="23" t="s">
        <v>550</v>
      </c>
      <c r="H104" s="28" t="s">
        <v>382</v>
      </c>
      <c r="I104" s="28">
        <v>254</v>
      </c>
      <c r="J104" s="28"/>
    </row>
    <row r="105" spans="2:10">
      <c r="B105" s="16" t="str">
        <f t="shared" si="10"/>
        <v>0x624B</v>
      </c>
      <c r="C105" s="16" t="str">
        <f t="shared" si="11"/>
        <v>0x6348</v>
      </c>
      <c r="D105" s="16">
        <f t="shared" si="12"/>
        <v>25163</v>
      </c>
      <c r="E105" s="16">
        <f t="shared" si="13"/>
        <v>25416</v>
      </c>
      <c r="F105" s="17" t="s">
        <v>578</v>
      </c>
      <c r="G105" s="23" t="s">
        <v>550</v>
      </c>
      <c r="H105" s="28" t="s">
        <v>382</v>
      </c>
      <c r="I105" s="28">
        <v>254</v>
      </c>
      <c r="J105" s="28"/>
    </row>
    <row r="106" spans="2:10">
      <c r="B106" s="16" t="str">
        <f t="shared" si="10"/>
        <v>0x6349</v>
      </c>
      <c r="C106" s="16" t="str">
        <f t="shared" si="11"/>
        <v>0x634A</v>
      </c>
      <c r="D106" s="16">
        <f t="shared" si="12"/>
        <v>25417</v>
      </c>
      <c r="E106" s="16">
        <f t="shared" si="13"/>
        <v>25418</v>
      </c>
      <c r="F106" s="17" t="s">
        <v>579</v>
      </c>
      <c r="G106" s="23" t="s">
        <v>550</v>
      </c>
      <c r="H106" s="28" t="s">
        <v>382</v>
      </c>
      <c r="I106" s="28">
        <v>2</v>
      </c>
      <c r="J106" s="28"/>
    </row>
    <row r="107" spans="2:10">
      <c r="B107" s="16" t="str">
        <f t="shared" si="10"/>
        <v>0x634B</v>
      </c>
      <c r="C107" s="16" t="str">
        <f t="shared" si="11"/>
        <v>0x634C</v>
      </c>
      <c r="D107" s="16">
        <f t="shared" si="12"/>
        <v>25419</v>
      </c>
      <c r="E107" s="16">
        <f t="shared" si="13"/>
        <v>25420</v>
      </c>
      <c r="F107" s="17" t="s">
        <v>580</v>
      </c>
      <c r="G107" s="23" t="s">
        <v>550</v>
      </c>
      <c r="H107" s="28" t="s">
        <v>382</v>
      </c>
      <c r="I107" s="28">
        <v>2</v>
      </c>
      <c r="J107" s="28"/>
    </row>
    <row r="108" spans="2:10">
      <c r="B108" s="16" t="str">
        <f t="shared" si="10"/>
        <v>0x634D</v>
      </c>
      <c r="C108" s="16" t="str">
        <f t="shared" si="11"/>
        <v>0x634E</v>
      </c>
      <c r="D108" s="16">
        <f t="shared" si="12"/>
        <v>25421</v>
      </c>
      <c r="E108" s="16">
        <f t="shared" si="13"/>
        <v>25422</v>
      </c>
      <c r="F108" s="17" t="s">
        <v>581</v>
      </c>
      <c r="G108" s="23" t="s">
        <v>550</v>
      </c>
      <c r="H108" s="28" t="s">
        <v>382</v>
      </c>
      <c r="I108" s="28">
        <v>2</v>
      </c>
      <c r="J108" s="28"/>
    </row>
    <row r="109" spans="2:10">
      <c r="B109" s="16" t="str">
        <f t="shared" si="10"/>
        <v>0x634F</v>
      </c>
      <c r="C109" s="16" t="str">
        <f t="shared" si="11"/>
        <v>0x6C6A</v>
      </c>
      <c r="D109" s="16">
        <f t="shared" si="12"/>
        <v>25423</v>
      </c>
      <c r="E109" s="16">
        <f t="shared" si="13"/>
        <v>27754</v>
      </c>
      <c r="F109" s="17" t="s">
        <v>582</v>
      </c>
      <c r="G109" s="23" t="s">
        <v>550</v>
      </c>
      <c r="H109" s="28" t="s">
        <v>382</v>
      </c>
      <c r="I109" s="28">
        <v>2332</v>
      </c>
      <c r="J109" s="28"/>
    </row>
    <row r="110" spans="2:10">
      <c r="B110" s="16" t="str">
        <f t="shared" si="10"/>
        <v>0x6C6B</v>
      </c>
      <c r="C110" s="16" t="str">
        <f t="shared" si="11"/>
        <v>0x6C6B</v>
      </c>
      <c r="D110" s="16">
        <f t="shared" si="12"/>
        <v>27755</v>
      </c>
      <c r="E110" s="16">
        <f t="shared" si="13"/>
        <v>27755</v>
      </c>
      <c r="F110" s="50" t="s">
        <v>438</v>
      </c>
      <c r="G110" s="21" t="s">
        <v>146</v>
      </c>
      <c r="H110" s="21" t="s">
        <v>147</v>
      </c>
      <c r="I110" s="21">
        <v>1</v>
      </c>
      <c r="J110" s="21" t="s">
        <v>439</v>
      </c>
    </row>
    <row r="111" spans="2:10">
      <c r="B111" s="16" t="str">
        <f t="shared" si="10"/>
        <v>0x6C6C</v>
      </c>
      <c r="C111" s="16" t="str">
        <f t="shared" si="11"/>
        <v>0x6C6D</v>
      </c>
      <c r="D111" s="16">
        <f t="shared" si="12"/>
        <v>27756</v>
      </c>
      <c r="E111" s="16">
        <f t="shared" si="13"/>
        <v>27757</v>
      </c>
      <c r="F111" s="15" t="s">
        <v>583</v>
      </c>
      <c r="G111" s="23" t="s">
        <v>550</v>
      </c>
      <c r="H111" s="28" t="s">
        <v>382</v>
      </c>
      <c r="I111" s="28">
        <v>2</v>
      </c>
      <c r="J111" s="28"/>
    </row>
    <row r="112" spans="2:10">
      <c r="B112" s="16" t="str">
        <f t="shared" si="10"/>
        <v>0x6C6E</v>
      </c>
      <c r="C112" s="16" t="str">
        <f t="shared" si="11"/>
        <v>0x6C6F</v>
      </c>
      <c r="D112" s="16">
        <f t="shared" si="12"/>
        <v>27758</v>
      </c>
      <c r="E112" s="16">
        <f t="shared" si="13"/>
        <v>27759</v>
      </c>
      <c r="F112" s="15" t="s">
        <v>584</v>
      </c>
      <c r="G112" s="23" t="s">
        <v>550</v>
      </c>
      <c r="H112" s="28" t="s">
        <v>382</v>
      </c>
      <c r="I112" s="28">
        <v>2</v>
      </c>
      <c r="J112" s="28"/>
    </row>
    <row r="113" spans="2:10">
      <c r="B113" s="16" t="str">
        <f t="shared" si="10"/>
        <v>0x6C70</v>
      </c>
      <c r="C113" s="16" t="str">
        <f t="shared" si="11"/>
        <v>0x6C71</v>
      </c>
      <c r="D113" s="16">
        <f t="shared" si="12"/>
        <v>27760</v>
      </c>
      <c r="E113" s="16">
        <f t="shared" si="13"/>
        <v>27761</v>
      </c>
      <c r="F113" s="15" t="s">
        <v>585</v>
      </c>
      <c r="G113" s="23" t="s">
        <v>550</v>
      </c>
      <c r="H113" s="28" t="s">
        <v>382</v>
      </c>
      <c r="I113" s="28">
        <v>2</v>
      </c>
      <c r="J113" s="28"/>
    </row>
    <row r="114" spans="2:10">
      <c r="B114" s="16" t="str">
        <f t="shared" si="10"/>
        <v>0x6C72</v>
      </c>
      <c r="C114" s="16" t="str">
        <f t="shared" si="11"/>
        <v>0x6C73</v>
      </c>
      <c r="D114" s="16">
        <f t="shared" si="12"/>
        <v>27762</v>
      </c>
      <c r="E114" s="16">
        <f t="shared" si="13"/>
        <v>27763</v>
      </c>
      <c r="F114" s="15" t="s">
        <v>586</v>
      </c>
      <c r="G114" s="23" t="s">
        <v>550</v>
      </c>
      <c r="H114" s="28" t="s">
        <v>382</v>
      </c>
      <c r="I114" s="28">
        <v>2</v>
      </c>
      <c r="J114" s="28"/>
    </row>
    <row r="115" spans="2:10">
      <c r="B115" s="16" t="str">
        <f t="shared" si="10"/>
        <v>0x6C74</v>
      </c>
      <c r="C115" s="16" t="str">
        <f t="shared" si="11"/>
        <v>0x6C75</v>
      </c>
      <c r="D115" s="16">
        <f t="shared" si="12"/>
        <v>27764</v>
      </c>
      <c r="E115" s="16">
        <f t="shared" si="13"/>
        <v>27765</v>
      </c>
      <c r="F115" s="17" t="s">
        <v>587</v>
      </c>
      <c r="G115" s="23" t="s">
        <v>550</v>
      </c>
      <c r="H115" s="28" t="s">
        <v>382</v>
      </c>
      <c r="I115" s="28">
        <v>2</v>
      </c>
      <c r="J115" s="28"/>
    </row>
    <row r="116" spans="2:10">
      <c r="B116" s="16" t="str">
        <f t="shared" si="10"/>
        <v>0x6C76</v>
      </c>
      <c r="C116" s="16" t="str">
        <f t="shared" si="11"/>
        <v>0x6C77</v>
      </c>
      <c r="D116" s="16">
        <f t="shared" si="12"/>
        <v>27766</v>
      </c>
      <c r="E116" s="16">
        <f t="shared" si="13"/>
        <v>27767</v>
      </c>
      <c r="F116" s="15" t="s">
        <v>588</v>
      </c>
      <c r="G116" s="23" t="s">
        <v>550</v>
      </c>
      <c r="H116" s="28" t="s">
        <v>382</v>
      </c>
      <c r="I116" s="28">
        <v>2</v>
      </c>
      <c r="J116" s="28"/>
    </row>
    <row r="117" spans="2:10">
      <c r="B117" s="16" t="str">
        <f t="shared" si="10"/>
        <v>0x6C78</v>
      </c>
      <c r="C117" s="16" t="str">
        <f t="shared" si="11"/>
        <v>0x6CF5</v>
      </c>
      <c r="D117" s="16">
        <f t="shared" si="12"/>
        <v>27768</v>
      </c>
      <c r="E117" s="16">
        <f t="shared" si="13"/>
        <v>27893</v>
      </c>
      <c r="F117" s="17" t="s">
        <v>589</v>
      </c>
      <c r="G117" s="23" t="s">
        <v>550</v>
      </c>
      <c r="H117" s="28" t="s">
        <v>382</v>
      </c>
      <c r="I117" s="28">
        <v>126</v>
      </c>
      <c r="J117" s="28"/>
    </row>
    <row r="118" spans="2:10">
      <c r="B118" s="16" t="str">
        <f t="shared" si="10"/>
        <v>0x6CF6</v>
      </c>
      <c r="C118" s="16" t="str">
        <f t="shared" si="11"/>
        <v>0x6D73</v>
      </c>
      <c r="D118" s="16">
        <f t="shared" si="12"/>
        <v>27894</v>
      </c>
      <c r="E118" s="16">
        <f t="shared" si="13"/>
        <v>28019</v>
      </c>
      <c r="F118" s="17" t="s">
        <v>590</v>
      </c>
      <c r="G118" s="23" t="s">
        <v>550</v>
      </c>
      <c r="H118" s="28" t="s">
        <v>382</v>
      </c>
      <c r="I118" s="28">
        <v>126</v>
      </c>
      <c r="J118" s="28"/>
    </row>
    <row r="119" spans="2:10">
      <c r="B119" s="16" t="str">
        <f t="shared" si="10"/>
        <v>0x6D74</v>
      </c>
      <c r="C119" s="16" t="str">
        <f t="shared" si="11"/>
        <v>0x6DF1</v>
      </c>
      <c r="D119" s="16">
        <f t="shared" si="12"/>
        <v>28020</v>
      </c>
      <c r="E119" s="16">
        <f t="shared" si="13"/>
        <v>28145</v>
      </c>
      <c r="F119" s="17" t="s">
        <v>591</v>
      </c>
      <c r="G119" s="23" t="s">
        <v>550</v>
      </c>
      <c r="H119" s="28" t="s">
        <v>382</v>
      </c>
      <c r="I119" s="28">
        <v>126</v>
      </c>
      <c r="J119" s="28"/>
    </row>
    <row r="120" spans="2:10">
      <c r="B120" s="16" t="str">
        <f t="shared" si="10"/>
        <v>0x6DF2</v>
      </c>
      <c r="C120" s="16" t="str">
        <f t="shared" si="11"/>
        <v>0x6DF2</v>
      </c>
      <c r="D120" s="16">
        <f t="shared" si="12"/>
        <v>28146</v>
      </c>
      <c r="E120" s="16">
        <f t="shared" si="13"/>
        <v>28146</v>
      </c>
      <c r="F120" s="50" t="s">
        <v>339</v>
      </c>
      <c r="G120" s="21" t="s">
        <v>146</v>
      </c>
      <c r="H120" s="21" t="s">
        <v>147</v>
      </c>
      <c r="I120" s="21">
        <v>1</v>
      </c>
      <c r="J120" s="21" t="s">
        <v>340</v>
      </c>
    </row>
    <row r="121" spans="2:10">
      <c r="B121" s="16" t="str">
        <f t="shared" si="10"/>
        <v>0x6DF3</v>
      </c>
      <c r="C121" s="16" t="str">
        <f t="shared" si="11"/>
        <v>0x6DF4</v>
      </c>
      <c r="D121" s="16">
        <f t="shared" si="12"/>
        <v>28147</v>
      </c>
      <c r="E121" s="16">
        <f t="shared" si="13"/>
        <v>28148</v>
      </c>
      <c r="F121" s="15" t="s">
        <v>592</v>
      </c>
      <c r="G121" s="23" t="s">
        <v>550</v>
      </c>
      <c r="H121" s="28" t="s">
        <v>382</v>
      </c>
      <c r="I121" s="28">
        <v>2</v>
      </c>
      <c r="J121" s="28"/>
    </row>
    <row r="122" spans="2:10">
      <c r="B122" s="16" t="str">
        <f t="shared" si="10"/>
        <v>0x6DF5</v>
      </c>
      <c r="C122" s="16" t="str">
        <f t="shared" si="11"/>
        <v>0x6DF6</v>
      </c>
      <c r="D122" s="16">
        <f t="shared" si="12"/>
        <v>28149</v>
      </c>
      <c r="E122" s="16">
        <f t="shared" si="13"/>
        <v>28150</v>
      </c>
      <c r="F122" s="15" t="s">
        <v>593</v>
      </c>
      <c r="G122" s="23" t="s">
        <v>550</v>
      </c>
      <c r="H122" s="28" t="s">
        <v>382</v>
      </c>
      <c r="I122" s="28">
        <v>2</v>
      </c>
      <c r="J122" s="28"/>
    </row>
    <row r="123" spans="2:10">
      <c r="B123" s="16" t="str">
        <f t="shared" si="10"/>
        <v>0x6DF7</v>
      </c>
      <c r="C123" s="16" t="str">
        <f t="shared" si="11"/>
        <v>0x6DF8</v>
      </c>
      <c r="D123" s="16">
        <f t="shared" si="12"/>
        <v>28151</v>
      </c>
      <c r="E123" s="16">
        <f t="shared" si="13"/>
        <v>28152</v>
      </c>
      <c r="F123" s="15" t="s">
        <v>594</v>
      </c>
      <c r="G123" s="23" t="s">
        <v>550</v>
      </c>
      <c r="H123" s="28" t="s">
        <v>382</v>
      </c>
      <c r="I123" s="28">
        <v>2</v>
      </c>
      <c r="J123" s="28"/>
    </row>
    <row r="124" spans="2:10">
      <c r="B124" s="16" t="str">
        <f t="shared" si="10"/>
        <v>0x6DF9</v>
      </c>
      <c r="C124" s="16" t="str">
        <f t="shared" si="11"/>
        <v>0x6DFA</v>
      </c>
      <c r="D124" s="16">
        <f t="shared" si="12"/>
        <v>28153</v>
      </c>
      <c r="E124" s="16">
        <f t="shared" si="13"/>
        <v>28154</v>
      </c>
      <c r="F124" s="15" t="s">
        <v>595</v>
      </c>
      <c r="G124" s="23" t="s">
        <v>550</v>
      </c>
      <c r="H124" s="28" t="s">
        <v>382</v>
      </c>
      <c r="I124" s="28">
        <v>2</v>
      </c>
      <c r="J124" s="28"/>
    </row>
    <row r="125" spans="2:10">
      <c r="B125" s="16" t="str">
        <f t="shared" si="10"/>
        <v>0x6DFB</v>
      </c>
      <c r="C125" s="16" t="str">
        <f t="shared" si="11"/>
        <v>0x6DFC</v>
      </c>
      <c r="D125" s="16">
        <f t="shared" si="12"/>
        <v>28155</v>
      </c>
      <c r="E125" s="16">
        <f t="shared" si="13"/>
        <v>28156</v>
      </c>
      <c r="F125" s="15" t="s">
        <v>596</v>
      </c>
      <c r="G125" s="23" t="s">
        <v>550</v>
      </c>
      <c r="H125" s="28" t="s">
        <v>382</v>
      </c>
      <c r="I125" s="28">
        <v>2</v>
      </c>
      <c r="J125" s="28"/>
    </row>
    <row r="126" spans="2:10">
      <c r="B126" s="16" t="str">
        <f t="shared" si="10"/>
        <v>0x6DFD</v>
      </c>
      <c r="C126" s="16" t="str">
        <f t="shared" si="11"/>
        <v>0x6DFE</v>
      </c>
      <c r="D126" s="16">
        <f t="shared" si="12"/>
        <v>28157</v>
      </c>
      <c r="E126" s="16">
        <f t="shared" si="13"/>
        <v>28158</v>
      </c>
      <c r="F126" s="15" t="s">
        <v>597</v>
      </c>
      <c r="G126" s="23" t="s">
        <v>550</v>
      </c>
      <c r="H126" s="28" t="s">
        <v>382</v>
      </c>
      <c r="I126" s="28">
        <v>2</v>
      </c>
      <c r="J126" s="28"/>
    </row>
    <row r="127" spans="2:10">
      <c r="B127" s="16" t="str">
        <f t="shared" si="10"/>
        <v>0x6DFF</v>
      </c>
      <c r="C127" s="16" t="str">
        <f t="shared" si="11"/>
        <v>0x6E00</v>
      </c>
      <c r="D127" s="16">
        <f t="shared" si="12"/>
        <v>28159</v>
      </c>
      <c r="E127" s="16">
        <f t="shared" si="13"/>
        <v>28160</v>
      </c>
      <c r="F127" s="17" t="s">
        <v>598</v>
      </c>
      <c r="G127" s="23" t="s">
        <v>550</v>
      </c>
      <c r="H127" s="28" t="s">
        <v>382</v>
      </c>
      <c r="I127" s="28">
        <v>2</v>
      </c>
      <c r="J127" s="28"/>
    </row>
    <row r="128" spans="2:10">
      <c r="B128" s="16" t="str">
        <f t="shared" si="10"/>
        <v>0x6E01</v>
      </c>
      <c r="C128" s="16" t="str">
        <f t="shared" si="11"/>
        <v>0x6E02</v>
      </c>
      <c r="D128" s="16">
        <f t="shared" si="12"/>
        <v>28161</v>
      </c>
      <c r="E128" s="16">
        <f t="shared" si="13"/>
        <v>28162</v>
      </c>
      <c r="F128" s="17" t="s">
        <v>599</v>
      </c>
      <c r="G128" s="23" t="s">
        <v>550</v>
      </c>
      <c r="H128" s="28" t="s">
        <v>382</v>
      </c>
      <c r="I128" s="28">
        <v>2</v>
      </c>
      <c r="J128" s="28"/>
    </row>
    <row r="129" spans="1:10">
      <c r="A129" s="26" t="s">
        <v>78</v>
      </c>
      <c r="B129" s="16" t="str">
        <f t="shared" ref="B129:B134" si="14">"0x"&amp;DEC2HEX(D129,4)</f>
        <v>0x6E03</v>
      </c>
      <c r="C129" s="16" t="str">
        <f t="shared" ref="C129:C134" si="15">"0x"&amp;DEC2HEX(E129,4)</f>
        <v>0x6E04</v>
      </c>
      <c r="D129" s="16">
        <f t="shared" ref="D129:D134" si="16">D128+I128</f>
        <v>28163</v>
      </c>
      <c r="E129" s="16">
        <f t="shared" ref="E129:E134" si="17">D129+I129-1</f>
        <v>28164</v>
      </c>
      <c r="F129" s="20" t="s">
        <v>604</v>
      </c>
      <c r="G129" s="28" t="s">
        <v>550</v>
      </c>
      <c r="H129" s="28" t="s">
        <v>301</v>
      </c>
      <c r="I129" s="28">
        <v>2</v>
      </c>
      <c r="J129" s="28"/>
    </row>
    <row r="130" spans="1:10">
      <c r="B130" s="16" t="str">
        <f t="shared" si="14"/>
        <v>0x6E05</v>
      </c>
      <c r="C130" s="16" t="str">
        <f t="shared" si="15"/>
        <v>0x6E06</v>
      </c>
      <c r="D130" s="16">
        <f t="shared" si="16"/>
        <v>28165</v>
      </c>
      <c r="E130" s="16">
        <f t="shared" si="17"/>
        <v>28166</v>
      </c>
      <c r="F130" s="20" t="s">
        <v>605</v>
      </c>
      <c r="G130" s="28" t="s">
        <v>550</v>
      </c>
      <c r="H130" s="28" t="s">
        <v>301</v>
      </c>
      <c r="I130" s="28">
        <v>2</v>
      </c>
      <c r="J130" s="28"/>
    </row>
    <row r="131" spans="1:10">
      <c r="B131" s="16" t="str">
        <f t="shared" si="14"/>
        <v>0x6E07</v>
      </c>
      <c r="C131" s="16" t="str">
        <f t="shared" si="15"/>
        <v>0x6E08</v>
      </c>
      <c r="D131" s="16">
        <f t="shared" si="16"/>
        <v>28167</v>
      </c>
      <c r="E131" s="16">
        <f t="shared" si="17"/>
        <v>28168</v>
      </c>
      <c r="F131" s="20" t="s">
        <v>606</v>
      </c>
      <c r="G131" s="28" t="s">
        <v>550</v>
      </c>
      <c r="H131" s="28" t="s">
        <v>301</v>
      </c>
      <c r="I131" s="28">
        <v>2</v>
      </c>
      <c r="J131" s="28"/>
    </row>
    <row r="132" spans="1:10">
      <c r="B132" s="16" t="str">
        <f t="shared" si="14"/>
        <v>0x6E09</v>
      </c>
      <c r="C132" s="16" t="str">
        <f t="shared" si="15"/>
        <v>0x6E0A</v>
      </c>
      <c r="D132" s="16">
        <f t="shared" si="16"/>
        <v>28169</v>
      </c>
      <c r="E132" s="16">
        <f t="shared" si="17"/>
        <v>28170</v>
      </c>
      <c r="F132" s="20" t="s">
        <v>607</v>
      </c>
      <c r="G132" s="28" t="s">
        <v>550</v>
      </c>
      <c r="H132" s="28" t="s">
        <v>301</v>
      </c>
      <c r="I132" s="28">
        <v>2</v>
      </c>
      <c r="J132" s="28"/>
    </row>
    <row r="133" spans="1:10">
      <c r="B133" s="16" t="str">
        <f t="shared" si="14"/>
        <v>0x6E0B</v>
      </c>
      <c r="C133" s="16" t="str">
        <f t="shared" si="15"/>
        <v>0x6E0C</v>
      </c>
      <c r="D133" s="16">
        <f t="shared" si="16"/>
        <v>28171</v>
      </c>
      <c r="E133" s="16">
        <f t="shared" si="17"/>
        <v>28172</v>
      </c>
      <c r="F133" s="20" t="s">
        <v>608</v>
      </c>
      <c r="G133" s="28" t="s">
        <v>550</v>
      </c>
      <c r="H133" s="28" t="s">
        <v>301</v>
      </c>
      <c r="I133" s="28">
        <v>2</v>
      </c>
      <c r="J133" s="28"/>
    </row>
    <row r="134" spans="1:10">
      <c r="B134" s="16" t="str">
        <f t="shared" si="14"/>
        <v>0x6E0D</v>
      </c>
      <c r="C134" s="16" t="str">
        <f t="shared" si="15"/>
        <v>0x6E0E</v>
      </c>
      <c r="D134" s="16">
        <f t="shared" si="16"/>
        <v>28173</v>
      </c>
      <c r="E134" s="16">
        <f t="shared" si="17"/>
        <v>28174</v>
      </c>
      <c r="F134" s="20" t="s">
        <v>609</v>
      </c>
      <c r="G134" s="28" t="s">
        <v>550</v>
      </c>
      <c r="H134" s="28" t="s">
        <v>301</v>
      </c>
      <c r="I134" s="28">
        <v>2</v>
      </c>
      <c r="J134" s="28"/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53E0-9EB1-4604-A55E-B9F6B163AE87}">
  <dimension ref="A1:L134"/>
  <sheetViews>
    <sheetView topLeftCell="A92" workbookViewId="0">
      <selection activeCell="C134" sqref="C134"/>
    </sheetView>
  </sheetViews>
  <sheetFormatPr defaultRowHeight="13.5"/>
  <cols>
    <col min="1" max="1" width="21.375" customWidth="1"/>
    <col min="2" max="2" width="8.625" bestFit="1" customWidth="1"/>
    <col min="3" max="3" width="7.625" bestFit="1" customWidth="1"/>
    <col min="4" max="4" width="10.125" customWidth="1"/>
    <col min="5" max="5" width="9.875" customWidth="1"/>
    <col min="6" max="6" width="45.7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26" t="s">
        <v>82</v>
      </c>
      <c r="B2" s="16" t="str">
        <f t="shared" ref="B2:C3" si="0">"0x"&amp;DEC2HEX(D2,4)</f>
        <v>0x6E20</v>
      </c>
      <c r="C2" s="16" t="str">
        <f t="shared" si="0"/>
        <v>0x6E23</v>
      </c>
      <c r="D2" s="16">
        <v>28192</v>
      </c>
      <c r="E2" s="16">
        <f t="shared" ref="E2:E3" si="1">D2+I2-1</f>
        <v>28195</v>
      </c>
      <c r="F2" s="20" t="s">
        <v>614</v>
      </c>
      <c r="G2" s="17" t="s">
        <v>505</v>
      </c>
      <c r="H2" s="28" t="s">
        <v>301</v>
      </c>
      <c r="I2" s="28">
        <v>4</v>
      </c>
      <c r="J2" s="28"/>
    </row>
    <row r="3" spans="1:12">
      <c r="B3" s="16" t="str">
        <f t="shared" si="0"/>
        <v>0x6E24</v>
      </c>
      <c r="C3" s="16" t="str">
        <f t="shared" si="0"/>
        <v>0x6E24</v>
      </c>
      <c r="D3" s="16">
        <f>D2+I2</f>
        <v>28196</v>
      </c>
      <c r="E3" s="16">
        <f t="shared" si="1"/>
        <v>28196</v>
      </c>
      <c r="F3" s="20" t="s">
        <v>615</v>
      </c>
      <c r="G3" s="17" t="s">
        <v>507</v>
      </c>
      <c r="H3" s="28" t="s">
        <v>301</v>
      </c>
      <c r="I3" s="28">
        <v>1</v>
      </c>
      <c r="J3" s="28"/>
    </row>
    <row r="4" spans="1:12">
      <c r="B4" s="16" t="str">
        <f t="shared" ref="B4:B68" si="2">"0x"&amp;DEC2HEX(D4,4)</f>
        <v>0x6E25</v>
      </c>
      <c r="C4" s="16" t="str">
        <f t="shared" ref="C4:C68" si="3">"0x"&amp;DEC2HEX(E4,4)</f>
        <v>0x6E25</v>
      </c>
      <c r="D4" s="16">
        <f t="shared" ref="D4:D68" si="4">D3+I3</f>
        <v>28197</v>
      </c>
      <c r="E4" s="16">
        <f t="shared" ref="E4:E68" si="5">D4+I4-1</f>
        <v>28197</v>
      </c>
      <c r="F4" s="42" t="s">
        <v>616</v>
      </c>
      <c r="G4" s="17" t="s">
        <v>507</v>
      </c>
      <c r="H4" s="28" t="s">
        <v>301</v>
      </c>
      <c r="I4" s="28">
        <v>1</v>
      </c>
      <c r="J4" s="28"/>
    </row>
    <row r="5" spans="1:12">
      <c r="B5" s="16" t="str">
        <f t="shared" si="2"/>
        <v>0x6E26</v>
      </c>
      <c r="C5" s="16" t="str">
        <f t="shared" si="3"/>
        <v>0x6E26</v>
      </c>
      <c r="D5" s="16">
        <f t="shared" si="4"/>
        <v>28198</v>
      </c>
      <c r="E5" s="16">
        <f t="shared" si="5"/>
        <v>28198</v>
      </c>
      <c r="F5" s="20" t="s">
        <v>617</v>
      </c>
      <c r="G5" s="17" t="s">
        <v>507</v>
      </c>
      <c r="H5" s="28" t="s">
        <v>301</v>
      </c>
      <c r="I5" s="28">
        <v>1</v>
      </c>
      <c r="J5" s="28"/>
    </row>
    <row r="6" spans="1:12">
      <c r="B6" s="16" t="str">
        <f t="shared" si="2"/>
        <v>0x6E27</v>
      </c>
      <c r="C6" s="16" t="str">
        <f t="shared" si="3"/>
        <v>0x6E28</v>
      </c>
      <c r="D6" s="16">
        <f t="shared" si="4"/>
        <v>28199</v>
      </c>
      <c r="E6" s="16">
        <f t="shared" si="5"/>
        <v>28200</v>
      </c>
      <c r="F6" s="23" t="s">
        <v>366</v>
      </c>
      <c r="G6" s="23" t="s">
        <v>315</v>
      </c>
      <c r="H6" s="28" t="s">
        <v>301</v>
      </c>
      <c r="I6" s="28">
        <v>2</v>
      </c>
      <c r="J6" s="28"/>
    </row>
    <row r="7" spans="1:12">
      <c r="B7" s="16" t="str">
        <f t="shared" si="2"/>
        <v>0x6E29</v>
      </c>
      <c r="C7" s="16" t="str">
        <f t="shared" si="3"/>
        <v>0x6E2A</v>
      </c>
      <c r="D7" s="16">
        <f t="shared" si="4"/>
        <v>28201</v>
      </c>
      <c r="E7" s="16">
        <f t="shared" si="5"/>
        <v>28202</v>
      </c>
      <c r="F7" s="23" t="s">
        <v>367</v>
      </c>
      <c r="G7" s="23" t="s">
        <v>315</v>
      </c>
      <c r="H7" s="28" t="s">
        <v>301</v>
      </c>
      <c r="I7" s="28">
        <v>2</v>
      </c>
      <c r="J7" s="28"/>
    </row>
    <row r="8" spans="1:12">
      <c r="B8" s="16" t="str">
        <f t="shared" si="2"/>
        <v>0x6E2B</v>
      </c>
      <c r="C8" s="16" t="str">
        <f t="shared" si="3"/>
        <v>0x6E2C</v>
      </c>
      <c r="D8" s="16">
        <f t="shared" si="4"/>
        <v>28203</v>
      </c>
      <c r="E8" s="16">
        <f t="shared" si="5"/>
        <v>28204</v>
      </c>
      <c r="F8" s="23" t="s">
        <v>368</v>
      </c>
      <c r="G8" s="23" t="s">
        <v>315</v>
      </c>
      <c r="H8" s="28" t="s">
        <v>301</v>
      </c>
      <c r="I8" s="28">
        <v>2</v>
      </c>
      <c r="J8" s="28"/>
    </row>
    <row r="9" spans="1:12">
      <c r="B9" s="16" t="str">
        <f t="shared" si="2"/>
        <v>0x6E2D</v>
      </c>
      <c r="C9" s="16" t="str">
        <f t="shared" si="3"/>
        <v>0x6E2E</v>
      </c>
      <c r="D9" s="16">
        <f t="shared" si="4"/>
        <v>28205</v>
      </c>
      <c r="E9" s="16">
        <f t="shared" si="5"/>
        <v>28206</v>
      </c>
      <c r="F9" s="23" t="s">
        <v>369</v>
      </c>
      <c r="G9" s="23" t="s">
        <v>315</v>
      </c>
      <c r="H9" s="28" t="s">
        <v>301</v>
      </c>
      <c r="I9" s="28">
        <v>2</v>
      </c>
      <c r="J9" s="28"/>
    </row>
    <row r="10" spans="1:12">
      <c r="B10" s="16" t="str">
        <f t="shared" si="2"/>
        <v>0x6E2F</v>
      </c>
      <c r="C10" s="16" t="str">
        <f t="shared" si="3"/>
        <v>0x6E30</v>
      </c>
      <c r="D10" s="16">
        <f t="shared" si="4"/>
        <v>28207</v>
      </c>
      <c r="E10" s="16">
        <f t="shared" si="5"/>
        <v>28208</v>
      </c>
      <c r="F10" s="23" t="s">
        <v>370</v>
      </c>
      <c r="G10" s="23" t="s">
        <v>315</v>
      </c>
      <c r="H10" s="28" t="s">
        <v>301</v>
      </c>
      <c r="I10" s="28">
        <v>2</v>
      </c>
      <c r="J10" s="28"/>
    </row>
    <row r="11" spans="1:12">
      <c r="B11" s="16" t="str">
        <f t="shared" si="2"/>
        <v>0x6E31</v>
      </c>
      <c r="C11" s="16" t="str">
        <f t="shared" si="3"/>
        <v>0x6E32</v>
      </c>
      <c r="D11" s="16">
        <f t="shared" si="4"/>
        <v>28209</v>
      </c>
      <c r="E11" s="16">
        <f t="shared" si="5"/>
        <v>28210</v>
      </c>
      <c r="F11" s="23" t="s">
        <v>371</v>
      </c>
      <c r="G11" s="23" t="s">
        <v>315</v>
      </c>
      <c r="H11" s="28" t="s">
        <v>301</v>
      </c>
      <c r="I11" s="28">
        <v>2</v>
      </c>
      <c r="J11" s="28"/>
    </row>
    <row r="12" spans="1:12">
      <c r="B12" s="16" t="str">
        <f t="shared" si="2"/>
        <v>0x6E33</v>
      </c>
      <c r="C12" s="16" t="str">
        <f t="shared" si="3"/>
        <v>0x6E34</v>
      </c>
      <c r="D12" s="16">
        <f t="shared" si="4"/>
        <v>28211</v>
      </c>
      <c r="E12" s="16">
        <f t="shared" si="5"/>
        <v>28212</v>
      </c>
      <c r="F12" s="23" t="s">
        <v>372</v>
      </c>
      <c r="G12" s="23" t="s">
        <v>315</v>
      </c>
      <c r="H12" s="28" t="s">
        <v>301</v>
      </c>
      <c r="I12" s="28">
        <v>2</v>
      </c>
      <c r="J12" s="28"/>
    </row>
    <row r="13" spans="1:12">
      <c r="B13" s="16" t="str">
        <f t="shared" si="2"/>
        <v>0x6E35</v>
      </c>
      <c r="C13" s="16" t="str">
        <f t="shared" si="3"/>
        <v>0x6E36</v>
      </c>
      <c r="D13" s="16">
        <f t="shared" si="4"/>
        <v>28213</v>
      </c>
      <c r="E13" s="16">
        <f t="shared" si="5"/>
        <v>28214</v>
      </c>
      <c r="F13" s="23" t="s">
        <v>373</v>
      </c>
      <c r="G13" s="23" t="s">
        <v>315</v>
      </c>
      <c r="H13" s="28" t="s">
        <v>301</v>
      </c>
      <c r="I13" s="28">
        <v>2</v>
      </c>
      <c r="J13" s="28"/>
    </row>
    <row r="14" spans="1:12">
      <c r="B14" s="16" t="str">
        <f t="shared" si="2"/>
        <v>0x6E37</v>
      </c>
      <c r="C14" s="16" t="str">
        <f t="shared" si="3"/>
        <v>0x6E38</v>
      </c>
      <c r="D14" s="16">
        <f t="shared" si="4"/>
        <v>28215</v>
      </c>
      <c r="E14" s="16">
        <f t="shared" si="5"/>
        <v>28216</v>
      </c>
      <c r="F14" s="23" t="s">
        <v>374</v>
      </c>
      <c r="G14" s="23" t="s">
        <v>315</v>
      </c>
      <c r="H14" s="28" t="s">
        <v>301</v>
      </c>
      <c r="I14" s="28">
        <v>2</v>
      </c>
      <c r="J14" s="28"/>
    </row>
    <row r="15" spans="1:12">
      <c r="B15" s="16" t="str">
        <f t="shared" si="2"/>
        <v>0x6E39</v>
      </c>
      <c r="C15" s="16" t="str">
        <f t="shared" si="3"/>
        <v>0x6E3A</v>
      </c>
      <c r="D15" s="16">
        <f t="shared" si="4"/>
        <v>28217</v>
      </c>
      <c r="E15" s="16">
        <f t="shared" si="5"/>
        <v>28218</v>
      </c>
      <c r="F15" s="23" t="s">
        <v>375</v>
      </c>
      <c r="G15" s="23" t="s">
        <v>315</v>
      </c>
      <c r="H15" s="28" t="s">
        <v>301</v>
      </c>
      <c r="I15" s="28">
        <v>2</v>
      </c>
      <c r="J15" s="28"/>
    </row>
    <row r="16" spans="1:12">
      <c r="B16" s="16" t="str">
        <f t="shared" si="2"/>
        <v>0x6E3B</v>
      </c>
      <c r="C16" s="16" t="str">
        <f t="shared" si="3"/>
        <v>0x6E3C</v>
      </c>
      <c r="D16" s="16">
        <f t="shared" si="4"/>
        <v>28219</v>
      </c>
      <c r="E16" s="16">
        <f t="shared" si="5"/>
        <v>28220</v>
      </c>
      <c r="F16" s="23" t="s">
        <v>376</v>
      </c>
      <c r="G16" s="23" t="s">
        <v>315</v>
      </c>
      <c r="H16" s="28" t="s">
        <v>301</v>
      </c>
      <c r="I16" s="28">
        <v>2</v>
      </c>
      <c r="J16" s="28"/>
    </row>
    <row r="17" spans="2:10">
      <c r="B17" s="16" t="str">
        <f t="shared" si="2"/>
        <v>0x6E3D</v>
      </c>
      <c r="C17" s="16" t="str">
        <f t="shared" si="3"/>
        <v>0x6E3E</v>
      </c>
      <c r="D17" s="16">
        <f t="shared" si="4"/>
        <v>28221</v>
      </c>
      <c r="E17" s="16">
        <f t="shared" si="5"/>
        <v>28222</v>
      </c>
      <c r="F17" s="23" t="s">
        <v>377</v>
      </c>
      <c r="G17" s="23" t="s">
        <v>315</v>
      </c>
      <c r="H17" s="28" t="s">
        <v>301</v>
      </c>
      <c r="I17" s="28">
        <v>2</v>
      </c>
      <c r="J17" s="28"/>
    </row>
    <row r="18" spans="2:10">
      <c r="B18" s="16" t="str">
        <f t="shared" si="2"/>
        <v>0x6E3F</v>
      </c>
      <c r="C18" s="16" t="str">
        <f t="shared" si="3"/>
        <v>0x6E40</v>
      </c>
      <c r="D18" s="16">
        <f t="shared" si="4"/>
        <v>28223</v>
      </c>
      <c r="E18" s="16">
        <f t="shared" si="5"/>
        <v>28224</v>
      </c>
      <c r="F18" s="23" t="s">
        <v>378</v>
      </c>
      <c r="G18" s="23" t="s">
        <v>315</v>
      </c>
      <c r="H18" s="28" t="s">
        <v>301</v>
      </c>
      <c r="I18" s="28">
        <v>2</v>
      </c>
      <c r="J18" s="28"/>
    </row>
    <row r="19" spans="2:10">
      <c r="B19" s="16" t="str">
        <f t="shared" si="2"/>
        <v>0x6E41</v>
      </c>
      <c r="C19" s="16" t="str">
        <f t="shared" si="3"/>
        <v>0x6E42</v>
      </c>
      <c r="D19" s="16">
        <f t="shared" si="4"/>
        <v>28225</v>
      </c>
      <c r="E19" s="16">
        <f t="shared" si="5"/>
        <v>28226</v>
      </c>
      <c r="F19" s="23" t="s">
        <v>379</v>
      </c>
      <c r="G19" s="23" t="s">
        <v>315</v>
      </c>
      <c r="H19" s="28" t="s">
        <v>301</v>
      </c>
      <c r="I19" s="28">
        <v>2</v>
      </c>
      <c r="J19" s="28"/>
    </row>
    <row r="20" spans="2:10">
      <c r="B20" s="16" t="str">
        <f t="shared" si="2"/>
        <v>0x6E43</v>
      </c>
      <c r="C20" s="16" t="str">
        <f t="shared" si="3"/>
        <v>0x6E44</v>
      </c>
      <c r="D20" s="16">
        <f t="shared" si="4"/>
        <v>28227</v>
      </c>
      <c r="E20" s="16">
        <f t="shared" si="5"/>
        <v>28228</v>
      </c>
      <c r="F20" s="23" t="s">
        <v>380</v>
      </c>
      <c r="G20" s="23" t="s">
        <v>315</v>
      </c>
      <c r="H20" s="28" t="s">
        <v>301</v>
      </c>
      <c r="I20" s="28">
        <v>2</v>
      </c>
      <c r="J20" s="28"/>
    </row>
    <row r="21" spans="2:10">
      <c r="B21" s="16" t="str">
        <f t="shared" si="2"/>
        <v>0x6E45</v>
      </c>
      <c r="C21" s="16" t="str">
        <f t="shared" si="3"/>
        <v>0x6E46</v>
      </c>
      <c r="D21" s="16">
        <f t="shared" si="4"/>
        <v>28229</v>
      </c>
      <c r="E21" s="16">
        <f t="shared" si="5"/>
        <v>28230</v>
      </c>
      <c r="F21" s="23" t="s">
        <v>334</v>
      </c>
      <c r="G21" s="23" t="s">
        <v>315</v>
      </c>
      <c r="H21" s="28" t="s">
        <v>301</v>
      </c>
      <c r="I21" s="28">
        <v>2</v>
      </c>
      <c r="J21" s="28"/>
    </row>
    <row r="22" spans="2:10">
      <c r="B22" s="16" t="str">
        <f t="shared" si="2"/>
        <v>0x6E47</v>
      </c>
      <c r="C22" s="16" t="str">
        <f t="shared" si="3"/>
        <v>0x6E48</v>
      </c>
      <c r="D22" s="16">
        <f t="shared" si="4"/>
        <v>28231</v>
      </c>
      <c r="E22" s="16">
        <f t="shared" si="5"/>
        <v>28232</v>
      </c>
      <c r="F22" s="17" t="s">
        <v>381</v>
      </c>
      <c r="G22" s="23" t="s">
        <v>315</v>
      </c>
      <c r="H22" s="28" t="s">
        <v>382</v>
      </c>
      <c r="I22" s="28">
        <v>2</v>
      </c>
      <c r="J22" s="28"/>
    </row>
    <row r="23" spans="2:10">
      <c r="B23" s="16" t="str">
        <f t="shared" si="2"/>
        <v>0x6E49</v>
      </c>
      <c r="C23" s="16" t="str">
        <f t="shared" si="3"/>
        <v>0x6E4A</v>
      </c>
      <c r="D23" s="16">
        <f t="shared" si="4"/>
        <v>28233</v>
      </c>
      <c r="E23" s="16">
        <f t="shared" si="5"/>
        <v>28234</v>
      </c>
      <c r="F23" s="17" t="s">
        <v>383</v>
      </c>
      <c r="G23" s="23" t="s">
        <v>315</v>
      </c>
      <c r="H23" s="28" t="s">
        <v>382</v>
      </c>
      <c r="I23" s="28">
        <v>2</v>
      </c>
      <c r="J23" s="28"/>
    </row>
    <row r="24" spans="2:10">
      <c r="B24" s="16" t="str">
        <f t="shared" si="2"/>
        <v>0x6E4B</v>
      </c>
      <c r="C24" s="16" t="str">
        <f t="shared" si="3"/>
        <v>0x6E4C</v>
      </c>
      <c r="D24" s="16">
        <f t="shared" si="4"/>
        <v>28235</v>
      </c>
      <c r="E24" s="16">
        <f t="shared" si="5"/>
        <v>28236</v>
      </c>
      <c r="F24" s="17" t="s">
        <v>384</v>
      </c>
      <c r="G24" s="23" t="s">
        <v>315</v>
      </c>
      <c r="H24" s="28" t="s">
        <v>382</v>
      </c>
      <c r="I24" s="28">
        <v>2</v>
      </c>
      <c r="J24" s="28"/>
    </row>
    <row r="25" spans="2:10">
      <c r="B25" s="16" t="str">
        <f t="shared" si="2"/>
        <v>0x6E4D</v>
      </c>
      <c r="C25" s="16" t="str">
        <f t="shared" si="3"/>
        <v>0x6E4E</v>
      </c>
      <c r="D25" s="16">
        <f t="shared" si="4"/>
        <v>28237</v>
      </c>
      <c r="E25" s="16">
        <f t="shared" si="5"/>
        <v>28238</v>
      </c>
      <c r="F25" s="15" t="s">
        <v>385</v>
      </c>
      <c r="G25" s="23" t="s">
        <v>315</v>
      </c>
      <c r="H25" s="28" t="s">
        <v>382</v>
      </c>
      <c r="I25" s="28">
        <v>2</v>
      </c>
      <c r="J25" s="28"/>
    </row>
    <row r="26" spans="2:10">
      <c r="B26" s="16" t="str">
        <f t="shared" si="2"/>
        <v>0x6E4F</v>
      </c>
      <c r="C26" s="16" t="str">
        <f t="shared" si="3"/>
        <v>0x6E50</v>
      </c>
      <c r="D26" s="16">
        <f t="shared" si="4"/>
        <v>28239</v>
      </c>
      <c r="E26" s="16">
        <f t="shared" si="5"/>
        <v>28240</v>
      </c>
      <c r="F26" s="20" t="s">
        <v>510</v>
      </c>
      <c r="G26" s="15" t="s">
        <v>315</v>
      </c>
      <c r="H26" s="17" t="s">
        <v>301</v>
      </c>
      <c r="I26" s="28">
        <v>2</v>
      </c>
      <c r="J26" s="17"/>
    </row>
    <row r="27" spans="2:10">
      <c r="B27" s="16" t="str">
        <f t="shared" si="2"/>
        <v>0x6E51</v>
      </c>
      <c r="C27" s="16" t="str">
        <f t="shared" si="3"/>
        <v>0x6E52</v>
      </c>
      <c r="D27" s="16">
        <f t="shared" si="4"/>
        <v>28241</v>
      </c>
      <c r="E27" s="16">
        <f t="shared" si="5"/>
        <v>28242</v>
      </c>
      <c r="F27" s="15" t="s">
        <v>386</v>
      </c>
      <c r="G27" s="23" t="s">
        <v>315</v>
      </c>
      <c r="H27" s="28" t="s">
        <v>382</v>
      </c>
      <c r="I27" s="28">
        <v>2</v>
      </c>
      <c r="J27" s="28"/>
    </row>
    <row r="28" spans="2:10">
      <c r="B28" s="16" t="str">
        <f t="shared" si="2"/>
        <v>0x6E53</v>
      </c>
      <c r="C28" s="16" t="str">
        <f t="shared" si="3"/>
        <v>0x6E54</v>
      </c>
      <c r="D28" s="16">
        <f t="shared" si="4"/>
        <v>28243</v>
      </c>
      <c r="E28" s="16">
        <f t="shared" si="5"/>
        <v>28244</v>
      </c>
      <c r="F28" s="15" t="s">
        <v>387</v>
      </c>
      <c r="G28" s="23" t="s">
        <v>315</v>
      </c>
      <c r="H28" s="28" t="s">
        <v>382</v>
      </c>
      <c r="I28" s="28">
        <v>2</v>
      </c>
      <c r="J28" s="28"/>
    </row>
    <row r="29" spans="2:10">
      <c r="B29" s="16" t="str">
        <f t="shared" si="2"/>
        <v>0x6E55</v>
      </c>
      <c r="C29" s="16" t="str">
        <f t="shared" si="3"/>
        <v>0x6E56</v>
      </c>
      <c r="D29" s="16">
        <f t="shared" si="4"/>
        <v>28245</v>
      </c>
      <c r="E29" s="16">
        <f t="shared" si="5"/>
        <v>28246</v>
      </c>
      <c r="F29" s="15" t="s">
        <v>388</v>
      </c>
      <c r="G29" s="23" t="s">
        <v>315</v>
      </c>
      <c r="H29" s="28" t="s">
        <v>382</v>
      </c>
      <c r="I29" s="28">
        <v>2</v>
      </c>
      <c r="J29" s="28"/>
    </row>
    <row r="30" spans="2:10">
      <c r="B30" s="16" t="str">
        <f t="shared" si="2"/>
        <v>0x6E57</v>
      </c>
      <c r="C30" s="16" t="str">
        <f t="shared" si="3"/>
        <v>0x6E58</v>
      </c>
      <c r="D30" s="16">
        <f t="shared" si="4"/>
        <v>28247</v>
      </c>
      <c r="E30" s="16">
        <f t="shared" si="5"/>
        <v>28248</v>
      </c>
      <c r="F30" s="15" t="s">
        <v>389</v>
      </c>
      <c r="G30" s="23" t="s">
        <v>315</v>
      </c>
      <c r="H30" s="28" t="s">
        <v>382</v>
      </c>
      <c r="I30" s="28">
        <v>2</v>
      </c>
      <c r="J30" s="28"/>
    </row>
    <row r="31" spans="2:10">
      <c r="B31" s="16" t="str">
        <f t="shared" si="2"/>
        <v>0x6E59</v>
      </c>
      <c r="C31" s="16" t="str">
        <f t="shared" si="3"/>
        <v>0x6E88</v>
      </c>
      <c r="D31" s="16">
        <f t="shared" si="4"/>
        <v>28249</v>
      </c>
      <c r="E31" s="16">
        <f t="shared" si="5"/>
        <v>28296</v>
      </c>
      <c r="F31" s="23" t="s">
        <v>511</v>
      </c>
      <c r="G31" s="23" t="s">
        <v>315</v>
      </c>
      <c r="H31" s="28" t="s">
        <v>382</v>
      </c>
      <c r="I31" s="28">
        <v>48</v>
      </c>
      <c r="J31" s="28"/>
    </row>
    <row r="32" spans="2:10">
      <c r="B32" s="16" t="str">
        <f t="shared" si="2"/>
        <v>0x6E89</v>
      </c>
      <c r="C32" s="16" t="str">
        <f t="shared" si="3"/>
        <v>0x6EB8</v>
      </c>
      <c r="D32" s="16">
        <f t="shared" si="4"/>
        <v>28297</v>
      </c>
      <c r="E32" s="16">
        <f t="shared" si="5"/>
        <v>28344</v>
      </c>
      <c r="F32" s="23" t="s">
        <v>512</v>
      </c>
      <c r="G32" s="23" t="s">
        <v>315</v>
      </c>
      <c r="H32" s="28" t="s">
        <v>382</v>
      </c>
      <c r="I32" s="28">
        <v>48</v>
      </c>
      <c r="J32" s="28"/>
    </row>
    <row r="33" spans="1:11">
      <c r="B33" s="16" t="str">
        <f t="shared" si="2"/>
        <v>0x6EB9</v>
      </c>
      <c r="C33" s="16" t="str">
        <f t="shared" si="3"/>
        <v>0x6EE8</v>
      </c>
      <c r="D33" s="16">
        <f t="shared" si="4"/>
        <v>28345</v>
      </c>
      <c r="E33" s="16">
        <f t="shared" si="5"/>
        <v>28392</v>
      </c>
      <c r="F33" s="23" t="s">
        <v>513</v>
      </c>
      <c r="G33" s="23" t="s">
        <v>315</v>
      </c>
      <c r="H33" s="28" t="s">
        <v>382</v>
      </c>
      <c r="I33" s="28">
        <v>48</v>
      </c>
      <c r="J33" s="28"/>
    </row>
    <row r="34" spans="1:11">
      <c r="B34" s="16" t="str">
        <f t="shared" si="2"/>
        <v>0x6EE9</v>
      </c>
      <c r="C34" s="16" t="str">
        <f t="shared" si="3"/>
        <v>0x6F18</v>
      </c>
      <c r="D34" s="16">
        <f t="shared" si="4"/>
        <v>28393</v>
      </c>
      <c r="E34" s="16">
        <f t="shared" si="5"/>
        <v>28440</v>
      </c>
      <c r="F34" s="23" t="s">
        <v>514</v>
      </c>
      <c r="G34" s="23" t="s">
        <v>315</v>
      </c>
      <c r="H34" s="28" t="s">
        <v>382</v>
      </c>
      <c r="I34" s="28">
        <v>48</v>
      </c>
      <c r="J34" s="28"/>
    </row>
    <row r="35" spans="1:11">
      <c r="B35" s="16" t="str">
        <f t="shared" si="2"/>
        <v>0x6F19</v>
      </c>
      <c r="C35" s="16" t="str">
        <f t="shared" si="3"/>
        <v>0x700A</v>
      </c>
      <c r="D35" s="16">
        <f t="shared" si="4"/>
        <v>28441</v>
      </c>
      <c r="E35" s="16">
        <f t="shared" si="5"/>
        <v>28682</v>
      </c>
      <c r="F35" s="17" t="s">
        <v>394</v>
      </c>
      <c r="G35" s="23" t="s">
        <v>315</v>
      </c>
      <c r="H35" s="28" t="s">
        <v>301</v>
      </c>
      <c r="I35" s="28">
        <v>242</v>
      </c>
      <c r="J35" s="28"/>
    </row>
    <row r="36" spans="1:11">
      <c r="B36" s="16" t="str">
        <f t="shared" si="2"/>
        <v>0x700B</v>
      </c>
      <c r="C36" s="16" t="str">
        <f t="shared" si="3"/>
        <v>0x703A</v>
      </c>
      <c r="D36" s="16">
        <f t="shared" si="4"/>
        <v>28683</v>
      </c>
      <c r="E36" s="16">
        <f t="shared" si="5"/>
        <v>28730</v>
      </c>
      <c r="F36" s="23" t="s">
        <v>515</v>
      </c>
      <c r="G36" s="23" t="s">
        <v>315</v>
      </c>
      <c r="H36" s="28" t="s">
        <v>382</v>
      </c>
      <c r="I36" s="28">
        <v>48</v>
      </c>
      <c r="J36" s="28"/>
    </row>
    <row r="37" spans="1:11">
      <c r="B37" s="16" t="str">
        <f t="shared" si="2"/>
        <v>0x703B</v>
      </c>
      <c r="C37" s="16" t="str">
        <f t="shared" si="3"/>
        <v>0x706A</v>
      </c>
      <c r="D37" s="16">
        <f t="shared" si="4"/>
        <v>28731</v>
      </c>
      <c r="E37" s="16">
        <f t="shared" si="5"/>
        <v>28778</v>
      </c>
      <c r="F37" s="23" t="s">
        <v>396</v>
      </c>
      <c r="G37" s="23" t="s">
        <v>315</v>
      </c>
      <c r="H37" s="28" t="s">
        <v>382</v>
      </c>
      <c r="I37" s="28">
        <v>48</v>
      </c>
      <c r="J37" s="28"/>
    </row>
    <row r="38" spans="1:11">
      <c r="B38" s="16" t="str">
        <f t="shared" si="2"/>
        <v>0x706B</v>
      </c>
      <c r="C38" s="16" t="str">
        <f t="shared" si="3"/>
        <v>0x709A</v>
      </c>
      <c r="D38" s="16">
        <f t="shared" si="4"/>
        <v>28779</v>
      </c>
      <c r="E38" s="16">
        <f t="shared" si="5"/>
        <v>28826</v>
      </c>
      <c r="F38" s="23" t="s">
        <v>397</v>
      </c>
      <c r="G38" s="23" t="s">
        <v>315</v>
      </c>
      <c r="H38" s="28" t="s">
        <v>382</v>
      </c>
      <c r="I38" s="28">
        <v>48</v>
      </c>
      <c r="J38" s="28"/>
    </row>
    <row r="39" spans="1:11">
      <c r="B39" s="16" t="str">
        <f t="shared" si="2"/>
        <v>0x709B</v>
      </c>
      <c r="C39" s="16" t="str">
        <f t="shared" si="3"/>
        <v>0x70CA</v>
      </c>
      <c r="D39" s="16">
        <f t="shared" si="4"/>
        <v>28827</v>
      </c>
      <c r="E39" s="16">
        <f t="shared" si="5"/>
        <v>28874</v>
      </c>
      <c r="F39" s="23" t="s">
        <v>398</v>
      </c>
      <c r="G39" s="23" t="s">
        <v>315</v>
      </c>
      <c r="H39" s="28" t="s">
        <v>382</v>
      </c>
      <c r="I39" s="28">
        <v>48</v>
      </c>
      <c r="J39" s="28"/>
    </row>
    <row r="40" spans="1:11">
      <c r="B40" s="16" t="str">
        <f t="shared" si="2"/>
        <v>0x70CB</v>
      </c>
      <c r="C40" s="16" t="str">
        <f t="shared" si="3"/>
        <v>0x70CB</v>
      </c>
      <c r="D40" s="16">
        <f t="shared" si="4"/>
        <v>28875</v>
      </c>
      <c r="E40" s="16">
        <f t="shared" si="5"/>
        <v>28875</v>
      </c>
      <c r="F40" s="50" t="s">
        <v>339</v>
      </c>
      <c r="G40" s="21" t="s">
        <v>146</v>
      </c>
      <c r="H40" s="21" t="s">
        <v>147</v>
      </c>
      <c r="I40" s="21">
        <v>1</v>
      </c>
      <c r="J40" s="21" t="s">
        <v>340</v>
      </c>
      <c r="K40">
        <v>1</v>
      </c>
    </row>
    <row r="41" spans="1:11">
      <c r="B41" s="16" t="str">
        <f t="shared" si="2"/>
        <v>0x70CC</v>
      </c>
      <c r="C41" s="16" t="str">
        <f t="shared" si="3"/>
        <v>0x70CD</v>
      </c>
      <c r="D41" s="16">
        <f t="shared" si="4"/>
        <v>28876</v>
      </c>
      <c r="E41" s="16">
        <f t="shared" si="5"/>
        <v>28877</v>
      </c>
      <c r="F41" s="15" t="s">
        <v>516</v>
      </c>
      <c r="G41" s="15" t="s">
        <v>315</v>
      </c>
      <c r="H41" s="17" t="s">
        <v>301</v>
      </c>
      <c r="I41" s="17">
        <v>2</v>
      </c>
      <c r="J41" s="17"/>
    </row>
    <row r="42" spans="1:11">
      <c r="B42" s="16" t="str">
        <f t="shared" si="2"/>
        <v>0x70CE</v>
      </c>
      <c r="C42" s="16" t="str">
        <f t="shared" si="3"/>
        <v>0x70CF</v>
      </c>
      <c r="D42" s="16">
        <f t="shared" si="4"/>
        <v>28878</v>
      </c>
      <c r="E42" s="16">
        <f t="shared" si="5"/>
        <v>28879</v>
      </c>
      <c r="F42" s="23" t="s">
        <v>399</v>
      </c>
      <c r="G42" s="23" t="s">
        <v>315</v>
      </c>
      <c r="H42" s="28" t="s">
        <v>382</v>
      </c>
      <c r="I42" s="28">
        <v>2</v>
      </c>
      <c r="J42" s="28"/>
    </row>
    <row r="43" spans="1:11">
      <c r="B43" s="16" t="str">
        <f t="shared" si="2"/>
        <v>0x70D0</v>
      </c>
      <c r="C43" s="16" t="str">
        <f t="shared" si="3"/>
        <v>0x70D1</v>
      </c>
      <c r="D43" s="16">
        <f t="shared" si="4"/>
        <v>28880</v>
      </c>
      <c r="E43" s="16">
        <f t="shared" si="5"/>
        <v>28881</v>
      </c>
      <c r="F43" s="23" t="s">
        <v>400</v>
      </c>
      <c r="G43" s="23" t="s">
        <v>315</v>
      </c>
      <c r="H43" s="28" t="s">
        <v>382</v>
      </c>
      <c r="I43" s="28">
        <v>2</v>
      </c>
      <c r="J43" s="28"/>
    </row>
    <row r="44" spans="1:11">
      <c r="A44" s="26" t="s">
        <v>85</v>
      </c>
      <c r="B44" s="16" t="str">
        <f t="shared" si="2"/>
        <v>0x70D2</v>
      </c>
      <c r="C44" s="16" t="str">
        <f t="shared" si="3"/>
        <v>0x70D3</v>
      </c>
      <c r="D44" s="16">
        <f t="shared" si="4"/>
        <v>28882</v>
      </c>
      <c r="E44" s="16">
        <f t="shared" si="5"/>
        <v>28883</v>
      </c>
      <c r="F44" s="17" t="s">
        <v>517</v>
      </c>
      <c r="G44" s="23" t="s">
        <v>315</v>
      </c>
      <c r="H44" s="28" t="s">
        <v>382</v>
      </c>
      <c r="I44" s="28">
        <v>2</v>
      </c>
      <c r="J44" s="28"/>
    </row>
    <row r="45" spans="1:11">
      <c r="B45" s="16" t="str">
        <f t="shared" si="2"/>
        <v>0x70D4</v>
      </c>
      <c r="C45" s="16" t="str">
        <f t="shared" si="3"/>
        <v>0x70D5</v>
      </c>
      <c r="D45" s="16">
        <f t="shared" si="4"/>
        <v>28884</v>
      </c>
      <c r="E45" s="16">
        <f t="shared" si="5"/>
        <v>28885</v>
      </c>
      <c r="F45" s="17" t="s">
        <v>518</v>
      </c>
      <c r="G45" s="23" t="s">
        <v>315</v>
      </c>
      <c r="H45" s="28" t="s">
        <v>382</v>
      </c>
      <c r="I45" s="28">
        <v>2</v>
      </c>
      <c r="J45" s="28"/>
    </row>
    <row r="46" spans="1:11">
      <c r="B46" s="16" t="str">
        <f t="shared" si="2"/>
        <v>0x70D6</v>
      </c>
      <c r="C46" s="16" t="str">
        <f t="shared" si="3"/>
        <v>0x70D7</v>
      </c>
      <c r="D46" s="16">
        <f t="shared" si="4"/>
        <v>28886</v>
      </c>
      <c r="E46" s="16">
        <f t="shared" si="5"/>
        <v>28887</v>
      </c>
      <c r="F46" s="17" t="s">
        <v>519</v>
      </c>
      <c r="G46" s="23" t="s">
        <v>315</v>
      </c>
      <c r="H46" s="28" t="s">
        <v>382</v>
      </c>
      <c r="I46" s="28">
        <v>2</v>
      </c>
      <c r="J46" s="28"/>
    </row>
    <row r="47" spans="1:11">
      <c r="B47" s="16" t="str">
        <f t="shared" si="2"/>
        <v>0x70D8</v>
      </c>
      <c r="C47" s="16" t="str">
        <f t="shared" si="3"/>
        <v>0x70D9</v>
      </c>
      <c r="D47" s="16">
        <f t="shared" si="4"/>
        <v>28888</v>
      </c>
      <c r="E47" s="16">
        <f t="shared" si="5"/>
        <v>28889</v>
      </c>
      <c r="F47" s="20" t="s">
        <v>520</v>
      </c>
      <c r="G47" s="23" t="s">
        <v>521</v>
      </c>
      <c r="H47" s="28" t="s">
        <v>382</v>
      </c>
      <c r="I47" s="28">
        <v>2</v>
      </c>
      <c r="J47" s="28"/>
    </row>
    <row r="48" spans="1:11">
      <c r="B48" s="16" t="str">
        <f t="shared" si="2"/>
        <v>0x70DA</v>
      </c>
      <c r="C48" s="16" t="str">
        <f t="shared" si="3"/>
        <v>0x70DB</v>
      </c>
      <c r="D48" s="16">
        <f t="shared" si="4"/>
        <v>28890</v>
      </c>
      <c r="E48" s="16">
        <f t="shared" si="5"/>
        <v>28891</v>
      </c>
      <c r="F48" s="17" t="s">
        <v>522</v>
      </c>
      <c r="G48" s="23" t="s">
        <v>315</v>
      </c>
      <c r="H48" s="28" t="s">
        <v>382</v>
      </c>
      <c r="I48" s="28">
        <v>2</v>
      </c>
      <c r="J48" s="28"/>
    </row>
    <row r="49" spans="2:10">
      <c r="B49" s="16" t="str">
        <f t="shared" si="2"/>
        <v>0x70DC</v>
      </c>
      <c r="C49" s="16" t="str">
        <f t="shared" si="3"/>
        <v>0x70DD</v>
      </c>
      <c r="D49" s="16">
        <f t="shared" si="4"/>
        <v>28892</v>
      </c>
      <c r="E49" s="16">
        <f t="shared" si="5"/>
        <v>28893</v>
      </c>
      <c r="F49" s="17" t="s">
        <v>523</v>
      </c>
      <c r="G49" s="23" t="s">
        <v>315</v>
      </c>
      <c r="H49" s="28" t="s">
        <v>382</v>
      </c>
      <c r="I49" s="28">
        <v>2</v>
      </c>
      <c r="J49" s="28"/>
    </row>
    <row r="50" spans="2:10">
      <c r="B50" s="16" t="str">
        <f t="shared" si="2"/>
        <v>0x70DE</v>
      </c>
      <c r="C50" s="16" t="str">
        <f t="shared" si="3"/>
        <v>0x70DF</v>
      </c>
      <c r="D50" s="16">
        <f t="shared" si="4"/>
        <v>28894</v>
      </c>
      <c r="E50" s="16">
        <f t="shared" si="5"/>
        <v>28895</v>
      </c>
      <c r="F50" s="17" t="s">
        <v>524</v>
      </c>
      <c r="G50" s="23" t="s">
        <v>315</v>
      </c>
      <c r="H50" s="28" t="s">
        <v>382</v>
      </c>
      <c r="I50" s="28">
        <v>2</v>
      </c>
      <c r="J50" s="28"/>
    </row>
    <row r="51" spans="2:10">
      <c r="B51" s="16" t="str">
        <f t="shared" si="2"/>
        <v>0x70E0</v>
      </c>
      <c r="C51" s="16" t="str">
        <f t="shared" si="3"/>
        <v>0x70E1</v>
      </c>
      <c r="D51" s="16">
        <f t="shared" si="4"/>
        <v>28896</v>
      </c>
      <c r="E51" s="16">
        <f t="shared" si="5"/>
        <v>28897</v>
      </c>
      <c r="F51" s="17" t="s">
        <v>525</v>
      </c>
      <c r="G51" s="23" t="s">
        <v>315</v>
      </c>
      <c r="H51" s="28" t="s">
        <v>382</v>
      </c>
      <c r="I51" s="28">
        <v>2</v>
      </c>
      <c r="J51" s="28"/>
    </row>
    <row r="52" spans="2:10">
      <c r="B52" s="16" t="str">
        <f t="shared" si="2"/>
        <v>0x70E2</v>
      </c>
      <c r="C52" s="16" t="str">
        <f t="shared" si="3"/>
        <v>0x70E3</v>
      </c>
      <c r="D52" s="16">
        <f t="shared" si="4"/>
        <v>28898</v>
      </c>
      <c r="E52" s="16">
        <f t="shared" si="5"/>
        <v>28899</v>
      </c>
      <c r="F52" s="20" t="s">
        <v>526</v>
      </c>
      <c r="G52" s="23" t="s">
        <v>521</v>
      </c>
      <c r="H52" s="28" t="s">
        <v>382</v>
      </c>
      <c r="I52" s="28">
        <v>2</v>
      </c>
      <c r="J52" s="28"/>
    </row>
    <row r="53" spans="2:10">
      <c r="B53" s="16" t="str">
        <f t="shared" si="2"/>
        <v>0x70E4</v>
      </c>
      <c r="C53" s="16" t="str">
        <f t="shared" si="3"/>
        <v>0x70E5</v>
      </c>
      <c r="D53" s="16">
        <f t="shared" si="4"/>
        <v>28900</v>
      </c>
      <c r="E53" s="16">
        <f t="shared" si="5"/>
        <v>28901</v>
      </c>
      <c r="F53" s="17" t="s">
        <v>527</v>
      </c>
      <c r="G53" s="23" t="s">
        <v>315</v>
      </c>
      <c r="H53" s="28" t="s">
        <v>382</v>
      </c>
      <c r="I53" s="28">
        <v>2</v>
      </c>
      <c r="J53" s="28"/>
    </row>
    <row r="54" spans="2:10">
      <c r="B54" s="16" t="str">
        <f t="shared" si="2"/>
        <v>0x70E6</v>
      </c>
      <c r="C54" s="16" t="str">
        <f t="shared" si="3"/>
        <v>0x70E7</v>
      </c>
      <c r="D54" s="16">
        <f t="shared" si="4"/>
        <v>28902</v>
      </c>
      <c r="E54" s="16">
        <f t="shared" si="5"/>
        <v>28903</v>
      </c>
      <c r="F54" s="17" t="s">
        <v>528</v>
      </c>
      <c r="G54" s="23" t="s">
        <v>315</v>
      </c>
      <c r="H54" s="28" t="s">
        <v>382</v>
      </c>
      <c r="I54" s="28">
        <v>2</v>
      </c>
      <c r="J54" s="28"/>
    </row>
    <row r="55" spans="2:10">
      <c r="B55" s="16" t="str">
        <f t="shared" si="2"/>
        <v>0x70E8</v>
      </c>
      <c r="C55" s="16" t="str">
        <f t="shared" si="3"/>
        <v>0x70E9</v>
      </c>
      <c r="D55" s="16">
        <f t="shared" si="4"/>
        <v>28904</v>
      </c>
      <c r="E55" s="16">
        <f t="shared" si="5"/>
        <v>28905</v>
      </c>
      <c r="F55" s="17" t="s">
        <v>529</v>
      </c>
      <c r="G55" s="23" t="s">
        <v>315</v>
      </c>
      <c r="H55" s="28" t="s">
        <v>382</v>
      </c>
      <c r="I55" s="28">
        <v>2</v>
      </c>
      <c r="J55" s="28"/>
    </row>
    <row r="56" spans="2:10">
      <c r="B56" s="16" t="str">
        <f t="shared" si="2"/>
        <v>0x70EA</v>
      </c>
      <c r="C56" s="16" t="str">
        <f t="shared" si="3"/>
        <v>0x70EB</v>
      </c>
      <c r="D56" s="16">
        <f t="shared" si="4"/>
        <v>28906</v>
      </c>
      <c r="E56" s="16">
        <f t="shared" si="5"/>
        <v>28907</v>
      </c>
      <c r="F56" s="17" t="s">
        <v>530</v>
      </c>
      <c r="G56" s="23" t="s">
        <v>315</v>
      </c>
      <c r="H56" s="28" t="s">
        <v>382</v>
      </c>
      <c r="I56" s="28">
        <v>2</v>
      </c>
      <c r="J56" s="28"/>
    </row>
    <row r="57" spans="2:10">
      <c r="B57" s="16" t="str">
        <f t="shared" si="2"/>
        <v>0x70EC</v>
      </c>
      <c r="C57" s="16" t="str">
        <f t="shared" si="3"/>
        <v>0x70ED</v>
      </c>
      <c r="D57" s="16">
        <f t="shared" si="4"/>
        <v>28908</v>
      </c>
      <c r="E57" s="16">
        <f t="shared" si="5"/>
        <v>28909</v>
      </c>
      <c r="F57" s="20" t="s">
        <v>531</v>
      </c>
      <c r="G57" s="23" t="s">
        <v>521</v>
      </c>
      <c r="H57" s="28" t="s">
        <v>382</v>
      </c>
      <c r="I57" s="28">
        <v>2</v>
      </c>
      <c r="J57" s="28"/>
    </row>
    <row r="58" spans="2:10">
      <c r="B58" s="16" t="str">
        <f t="shared" si="2"/>
        <v>0x70EE</v>
      </c>
      <c r="C58" s="16" t="str">
        <f t="shared" si="3"/>
        <v>0x70EF</v>
      </c>
      <c r="D58" s="16">
        <f t="shared" si="4"/>
        <v>28910</v>
      </c>
      <c r="E58" s="16">
        <f t="shared" si="5"/>
        <v>28911</v>
      </c>
      <c r="F58" s="17" t="s">
        <v>532</v>
      </c>
      <c r="G58" s="23" t="s">
        <v>315</v>
      </c>
      <c r="H58" s="28" t="s">
        <v>382</v>
      </c>
      <c r="I58" s="28">
        <v>2</v>
      </c>
      <c r="J58" s="28"/>
    </row>
    <row r="59" spans="2:10">
      <c r="B59" s="16" t="str">
        <f t="shared" si="2"/>
        <v>0x70F0</v>
      </c>
      <c r="C59" s="16" t="str">
        <f t="shared" si="3"/>
        <v>0x70F1</v>
      </c>
      <c r="D59" s="16">
        <f t="shared" si="4"/>
        <v>28912</v>
      </c>
      <c r="E59" s="16">
        <f t="shared" si="5"/>
        <v>28913</v>
      </c>
      <c r="F59" s="20" t="s">
        <v>533</v>
      </c>
      <c r="G59" s="23" t="s">
        <v>315</v>
      </c>
      <c r="H59" s="28" t="s">
        <v>382</v>
      </c>
      <c r="I59" s="28">
        <v>2</v>
      </c>
      <c r="J59" s="28"/>
    </row>
    <row r="60" spans="2:10">
      <c r="B60" s="16" t="str">
        <f t="shared" si="2"/>
        <v>0x70F2</v>
      </c>
      <c r="C60" s="16" t="str">
        <f t="shared" si="3"/>
        <v>0x70F3</v>
      </c>
      <c r="D60" s="16">
        <f t="shared" si="4"/>
        <v>28914</v>
      </c>
      <c r="E60" s="16">
        <f t="shared" si="5"/>
        <v>28915</v>
      </c>
      <c r="F60" s="20" t="s">
        <v>534</v>
      </c>
      <c r="G60" s="23" t="s">
        <v>315</v>
      </c>
      <c r="H60" s="28" t="s">
        <v>382</v>
      </c>
      <c r="I60" s="28">
        <v>2</v>
      </c>
      <c r="J60" s="28"/>
    </row>
    <row r="61" spans="2:10">
      <c r="B61" s="16" t="str">
        <f t="shared" si="2"/>
        <v>0x70F4</v>
      </c>
      <c r="C61" s="16" t="str">
        <f t="shared" si="3"/>
        <v>0x70F5</v>
      </c>
      <c r="D61" s="16">
        <f t="shared" si="4"/>
        <v>28916</v>
      </c>
      <c r="E61" s="16">
        <f t="shared" si="5"/>
        <v>28917</v>
      </c>
      <c r="F61" s="20" t="s">
        <v>535</v>
      </c>
      <c r="G61" s="23" t="s">
        <v>315</v>
      </c>
      <c r="H61" s="28" t="s">
        <v>382</v>
      </c>
      <c r="I61" s="28">
        <v>2</v>
      </c>
      <c r="J61" s="28"/>
    </row>
    <row r="62" spans="2:10">
      <c r="B62" s="16" t="str">
        <f t="shared" si="2"/>
        <v>0x70F6</v>
      </c>
      <c r="C62" s="16" t="str">
        <f t="shared" si="3"/>
        <v>0x70F7</v>
      </c>
      <c r="D62" s="16">
        <f t="shared" si="4"/>
        <v>28918</v>
      </c>
      <c r="E62" s="16">
        <f t="shared" si="5"/>
        <v>28919</v>
      </c>
      <c r="F62" s="20" t="s">
        <v>536</v>
      </c>
      <c r="G62" s="23" t="s">
        <v>521</v>
      </c>
      <c r="H62" s="28" t="s">
        <v>382</v>
      </c>
      <c r="I62" s="28">
        <v>2</v>
      </c>
      <c r="J62" s="28"/>
    </row>
    <row r="63" spans="2:10">
      <c r="B63" s="16" t="str">
        <f t="shared" ref="B63:B72" si="6">"0x"&amp;DEC2HEX(D63,4)</f>
        <v>0x70F8</v>
      </c>
      <c r="C63" s="16" t="str">
        <f t="shared" ref="C63:C72" si="7">"0x"&amp;DEC2HEX(E63,4)</f>
        <v>0x70F9</v>
      </c>
      <c r="D63" s="16">
        <f t="shared" ref="D63:D72" si="8">D62+I62</f>
        <v>28920</v>
      </c>
      <c r="E63" s="16">
        <f t="shared" ref="E63:E72" si="9">D63+I63-1</f>
        <v>28921</v>
      </c>
      <c r="F63" s="20" t="s">
        <v>537</v>
      </c>
      <c r="G63" s="23" t="s">
        <v>315</v>
      </c>
      <c r="H63" s="28" t="s">
        <v>301</v>
      </c>
      <c r="I63" s="28">
        <v>2</v>
      </c>
      <c r="J63" s="28"/>
    </row>
    <row r="64" spans="2:10">
      <c r="B64" s="16" t="str">
        <f t="shared" si="6"/>
        <v>0x70FA</v>
      </c>
      <c r="C64" s="16" t="str">
        <f t="shared" si="7"/>
        <v>0x70FA</v>
      </c>
      <c r="D64" s="16">
        <f t="shared" si="8"/>
        <v>28922</v>
      </c>
      <c r="E64" s="16">
        <f t="shared" si="9"/>
        <v>28922</v>
      </c>
      <c r="F64" s="50" t="s">
        <v>438</v>
      </c>
      <c r="G64" s="21" t="s">
        <v>146</v>
      </c>
      <c r="H64" s="21" t="s">
        <v>147</v>
      </c>
      <c r="I64" s="21">
        <v>1</v>
      </c>
      <c r="J64" s="21" t="s">
        <v>439</v>
      </c>
    </row>
    <row r="65" spans="1:11">
      <c r="B65" s="16" t="str">
        <f t="shared" si="6"/>
        <v>0x70FB</v>
      </c>
      <c r="C65" s="16" t="str">
        <f t="shared" si="7"/>
        <v>0x70FC</v>
      </c>
      <c r="D65" s="16">
        <f t="shared" si="8"/>
        <v>28923</v>
      </c>
      <c r="E65" s="16">
        <f t="shared" si="9"/>
        <v>28924</v>
      </c>
      <c r="F65" s="17" t="s">
        <v>538</v>
      </c>
      <c r="G65" s="23" t="s">
        <v>315</v>
      </c>
      <c r="H65" s="28" t="s">
        <v>301</v>
      </c>
      <c r="I65" s="28">
        <v>2</v>
      </c>
      <c r="J65" s="28"/>
    </row>
    <row r="66" spans="1:11">
      <c r="B66" s="16" t="str">
        <f t="shared" si="6"/>
        <v>0x70FD</v>
      </c>
      <c r="C66" s="16" t="str">
        <f t="shared" si="7"/>
        <v>0x70FE</v>
      </c>
      <c r="D66" s="16">
        <f t="shared" si="8"/>
        <v>28925</v>
      </c>
      <c r="E66" s="16">
        <f t="shared" si="9"/>
        <v>28926</v>
      </c>
      <c r="F66" s="17" t="s">
        <v>539</v>
      </c>
      <c r="G66" s="23" t="s">
        <v>315</v>
      </c>
      <c r="H66" s="28" t="s">
        <v>301</v>
      </c>
      <c r="I66" s="28">
        <v>2</v>
      </c>
      <c r="J66" s="28"/>
    </row>
    <row r="67" spans="1:11">
      <c r="B67" s="16" t="str">
        <f t="shared" si="6"/>
        <v>0x70FF</v>
      </c>
      <c r="C67" s="16" t="str">
        <f t="shared" si="7"/>
        <v>0x7100</v>
      </c>
      <c r="D67" s="16">
        <f t="shared" si="8"/>
        <v>28927</v>
      </c>
      <c r="E67" s="16">
        <f t="shared" si="9"/>
        <v>28928</v>
      </c>
      <c r="F67" s="17" t="s">
        <v>540</v>
      </c>
      <c r="G67" s="23" t="s">
        <v>315</v>
      </c>
      <c r="H67" s="28" t="s">
        <v>301</v>
      </c>
      <c r="I67" s="28">
        <v>2</v>
      </c>
      <c r="J67" s="28"/>
    </row>
    <row r="68" spans="1:11">
      <c r="B68" s="16" t="str">
        <f t="shared" si="6"/>
        <v>0x7101</v>
      </c>
      <c r="C68" s="16" t="str">
        <f t="shared" si="7"/>
        <v>0x7102</v>
      </c>
      <c r="D68" s="16">
        <f t="shared" si="8"/>
        <v>28929</v>
      </c>
      <c r="E68" s="16">
        <f t="shared" si="9"/>
        <v>28930</v>
      </c>
      <c r="F68" s="17" t="s">
        <v>541</v>
      </c>
      <c r="G68" s="23" t="s">
        <v>521</v>
      </c>
      <c r="H68" s="28" t="s">
        <v>301</v>
      </c>
      <c r="I68" s="28">
        <v>2</v>
      </c>
      <c r="J68" s="28"/>
    </row>
    <row r="69" spans="1:11">
      <c r="B69" s="16" t="str">
        <f t="shared" si="6"/>
        <v>0x7103</v>
      </c>
      <c r="C69" s="16" t="str">
        <f t="shared" si="7"/>
        <v>0x7104</v>
      </c>
      <c r="D69" s="16">
        <f t="shared" si="8"/>
        <v>28931</v>
      </c>
      <c r="E69" s="16">
        <f t="shared" si="9"/>
        <v>28932</v>
      </c>
      <c r="F69" s="17" t="s">
        <v>542</v>
      </c>
      <c r="G69" s="23" t="s">
        <v>315</v>
      </c>
      <c r="H69" s="28" t="s">
        <v>301</v>
      </c>
      <c r="I69" s="28">
        <v>2</v>
      </c>
      <c r="J69" s="28"/>
    </row>
    <row r="70" spans="1:11">
      <c r="B70" s="16" t="str">
        <f t="shared" si="6"/>
        <v>0x7105</v>
      </c>
      <c r="C70" s="16" t="str">
        <f t="shared" si="7"/>
        <v>0x7137</v>
      </c>
      <c r="D70" s="16">
        <f t="shared" si="8"/>
        <v>28933</v>
      </c>
      <c r="E70" s="16">
        <f t="shared" si="9"/>
        <v>28983</v>
      </c>
      <c r="F70" s="20" t="s">
        <v>543</v>
      </c>
      <c r="G70" s="23"/>
      <c r="H70" s="28" t="s">
        <v>301</v>
      </c>
      <c r="I70" s="28">
        <v>51</v>
      </c>
      <c r="J70" s="28"/>
    </row>
    <row r="71" spans="1:11">
      <c r="B71" s="16" t="str">
        <f t="shared" si="6"/>
        <v>0x7138</v>
      </c>
      <c r="C71" s="16" t="str">
        <f t="shared" si="7"/>
        <v>0x7138</v>
      </c>
      <c r="D71" s="16">
        <f t="shared" si="8"/>
        <v>28984</v>
      </c>
      <c r="E71" s="16">
        <f t="shared" si="9"/>
        <v>28984</v>
      </c>
      <c r="F71" s="50" t="s">
        <v>339</v>
      </c>
      <c r="G71" s="21" t="s">
        <v>146</v>
      </c>
      <c r="H71" s="21" t="s">
        <v>147</v>
      </c>
      <c r="I71" s="21">
        <v>1</v>
      </c>
      <c r="J71" s="21" t="s">
        <v>340</v>
      </c>
      <c r="K71">
        <v>1</v>
      </c>
    </row>
    <row r="72" spans="1:11">
      <c r="B72" s="16" t="str">
        <f t="shared" si="6"/>
        <v>0x7139</v>
      </c>
      <c r="C72" s="16" t="str">
        <f t="shared" si="7"/>
        <v>0x713A</v>
      </c>
      <c r="D72" s="16">
        <f t="shared" si="8"/>
        <v>28985</v>
      </c>
      <c r="E72" s="16">
        <f t="shared" si="9"/>
        <v>28986</v>
      </c>
      <c r="F72" s="17" t="s">
        <v>544</v>
      </c>
      <c r="G72" s="23" t="s">
        <v>315</v>
      </c>
      <c r="H72" s="28" t="s">
        <v>382</v>
      </c>
      <c r="I72" s="28">
        <v>2</v>
      </c>
      <c r="J72" s="28"/>
    </row>
    <row r="73" spans="1:11">
      <c r="B73" s="16" t="str">
        <f t="shared" ref="B69:B128" si="10">"0x"&amp;DEC2HEX(D73,4)</f>
        <v>0x713B</v>
      </c>
      <c r="C73" s="16" t="str">
        <f t="shared" ref="C69:C128" si="11">"0x"&amp;DEC2HEX(E73,4)</f>
        <v>0x713C</v>
      </c>
      <c r="D73" s="16">
        <f t="shared" ref="D69:D128" si="12">D72+I72</f>
        <v>28987</v>
      </c>
      <c r="E73" s="16">
        <f t="shared" ref="E69:E128" si="13">D73+I73-1</f>
        <v>28988</v>
      </c>
      <c r="F73" s="17" t="s">
        <v>545</v>
      </c>
      <c r="G73" s="23" t="s">
        <v>315</v>
      </c>
      <c r="H73" s="28" t="s">
        <v>382</v>
      </c>
      <c r="I73" s="28">
        <v>2</v>
      </c>
      <c r="J73" s="28"/>
    </row>
    <row r="74" spans="1:11">
      <c r="B74" s="16" t="str">
        <f t="shared" si="10"/>
        <v>0x713D</v>
      </c>
      <c r="C74" s="16" t="str">
        <f t="shared" si="11"/>
        <v>0x713E</v>
      </c>
      <c r="D74" s="16">
        <f t="shared" si="12"/>
        <v>28989</v>
      </c>
      <c r="E74" s="16">
        <f t="shared" si="13"/>
        <v>28990</v>
      </c>
      <c r="F74" s="17" t="s">
        <v>546</v>
      </c>
      <c r="G74" s="23" t="s">
        <v>315</v>
      </c>
      <c r="H74" s="28" t="s">
        <v>382</v>
      </c>
      <c r="I74" s="28">
        <v>2</v>
      </c>
      <c r="J74" s="28"/>
    </row>
    <row r="75" spans="1:11">
      <c r="B75" s="16" t="str">
        <f t="shared" si="10"/>
        <v>0x713F</v>
      </c>
      <c r="C75" s="16" t="str">
        <f t="shared" si="11"/>
        <v>0x7140</v>
      </c>
      <c r="D75" s="16">
        <f t="shared" si="12"/>
        <v>28991</v>
      </c>
      <c r="E75" s="16">
        <f t="shared" si="13"/>
        <v>28992</v>
      </c>
      <c r="F75" s="17" t="s">
        <v>547</v>
      </c>
      <c r="G75" s="23" t="s">
        <v>521</v>
      </c>
      <c r="H75" s="28" t="s">
        <v>382</v>
      </c>
      <c r="I75" s="28">
        <v>2</v>
      </c>
      <c r="J75" s="28"/>
    </row>
    <row r="76" spans="1:11">
      <c r="B76" s="16" t="str">
        <f t="shared" si="10"/>
        <v>0x7141</v>
      </c>
      <c r="C76" s="16" t="str">
        <f t="shared" si="11"/>
        <v>0x7142</v>
      </c>
      <c r="D76" s="16">
        <f t="shared" si="12"/>
        <v>28993</v>
      </c>
      <c r="E76" s="16">
        <f t="shared" si="13"/>
        <v>28994</v>
      </c>
      <c r="F76" s="17" t="s">
        <v>548</v>
      </c>
      <c r="G76" s="23" t="s">
        <v>315</v>
      </c>
      <c r="H76" s="28" t="s">
        <v>382</v>
      </c>
      <c r="I76" s="28">
        <v>2</v>
      </c>
      <c r="J76" s="28"/>
    </row>
    <row r="77" spans="1:11">
      <c r="A77" s="26" t="s">
        <v>88</v>
      </c>
      <c r="B77" s="16" t="str">
        <f t="shared" si="10"/>
        <v>0x7143</v>
      </c>
      <c r="C77" s="16" t="str">
        <f t="shared" si="11"/>
        <v>0x7144</v>
      </c>
      <c r="D77" s="16">
        <f t="shared" si="12"/>
        <v>28995</v>
      </c>
      <c r="E77" s="16">
        <f t="shared" si="13"/>
        <v>28996</v>
      </c>
      <c r="F77" s="17" t="s">
        <v>549</v>
      </c>
      <c r="G77" s="23" t="s">
        <v>550</v>
      </c>
      <c r="H77" s="28" t="s">
        <v>301</v>
      </c>
      <c r="I77" s="28">
        <v>2</v>
      </c>
      <c r="J77" s="28"/>
    </row>
    <row r="78" spans="1:11">
      <c r="B78" s="16" t="str">
        <f t="shared" si="10"/>
        <v>0x7145</v>
      </c>
      <c r="C78" s="16" t="str">
        <f t="shared" si="11"/>
        <v>0x7146</v>
      </c>
      <c r="D78" s="16">
        <f t="shared" si="12"/>
        <v>28997</v>
      </c>
      <c r="E78" s="16">
        <f t="shared" si="13"/>
        <v>28998</v>
      </c>
      <c r="F78" s="17" t="s">
        <v>551</v>
      </c>
      <c r="G78" s="23" t="s">
        <v>550</v>
      </c>
      <c r="H78" s="28" t="s">
        <v>301</v>
      </c>
      <c r="I78" s="28">
        <v>2</v>
      </c>
      <c r="J78" s="28"/>
    </row>
    <row r="79" spans="1:11">
      <c r="B79" s="16" t="str">
        <f t="shared" si="10"/>
        <v>0x7147</v>
      </c>
      <c r="C79" s="16" t="str">
        <f t="shared" si="11"/>
        <v>0x7148</v>
      </c>
      <c r="D79" s="16">
        <f t="shared" si="12"/>
        <v>28999</v>
      </c>
      <c r="E79" s="16">
        <f t="shared" si="13"/>
        <v>29000</v>
      </c>
      <c r="F79" s="17" t="s">
        <v>552</v>
      </c>
      <c r="G79" s="23" t="s">
        <v>550</v>
      </c>
      <c r="H79" s="28" t="s">
        <v>301</v>
      </c>
      <c r="I79" s="28">
        <v>2</v>
      </c>
      <c r="J79" s="28"/>
    </row>
    <row r="80" spans="1:11">
      <c r="B80" s="16" t="str">
        <f t="shared" si="10"/>
        <v>0x7149</v>
      </c>
      <c r="C80" s="16" t="str">
        <f t="shared" si="11"/>
        <v>0x714A</v>
      </c>
      <c r="D80" s="16">
        <f t="shared" si="12"/>
        <v>29001</v>
      </c>
      <c r="E80" s="16">
        <f t="shared" si="13"/>
        <v>29002</v>
      </c>
      <c r="F80" s="17" t="s">
        <v>553</v>
      </c>
      <c r="G80" s="23" t="s">
        <v>550</v>
      </c>
      <c r="H80" s="28" t="s">
        <v>301</v>
      </c>
      <c r="I80" s="28">
        <v>2</v>
      </c>
      <c r="J80" s="28"/>
    </row>
    <row r="81" spans="2:10">
      <c r="B81" s="16" t="str">
        <f t="shared" si="10"/>
        <v>0x714B</v>
      </c>
      <c r="C81" s="16" t="str">
        <f t="shared" si="11"/>
        <v>0x714C</v>
      </c>
      <c r="D81" s="16">
        <f t="shared" si="12"/>
        <v>29003</v>
      </c>
      <c r="E81" s="16">
        <f t="shared" si="13"/>
        <v>29004</v>
      </c>
      <c r="F81" s="17" t="s">
        <v>554</v>
      </c>
      <c r="G81" s="23" t="s">
        <v>550</v>
      </c>
      <c r="H81" s="28" t="s">
        <v>301</v>
      </c>
      <c r="I81" s="28">
        <v>2</v>
      </c>
      <c r="J81" s="28"/>
    </row>
    <row r="82" spans="2:10">
      <c r="B82" s="16" t="str">
        <f t="shared" si="10"/>
        <v>0x714D</v>
      </c>
      <c r="C82" s="16" t="str">
        <f t="shared" si="11"/>
        <v>0x714E</v>
      </c>
      <c r="D82" s="16">
        <f t="shared" si="12"/>
        <v>29005</v>
      </c>
      <c r="E82" s="16">
        <f t="shared" si="13"/>
        <v>29006</v>
      </c>
      <c r="F82" s="17" t="s">
        <v>555</v>
      </c>
      <c r="G82" s="23" t="s">
        <v>550</v>
      </c>
      <c r="H82" s="28" t="s">
        <v>301</v>
      </c>
      <c r="I82" s="28">
        <v>2</v>
      </c>
      <c r="J82" s="28"/>
    </row>
    <row r="83" spans="2:10">
      <c r="B83" s="16" t="str">
        <f t="shared" si="10"/>
        <v>0x714F</v>
      </c>
      <c r="C83" s="16" t="str">
        <f t="shared" si="11"/>
        <v>0x7150</v>
      </c>
      <c r="D83" s="16">
        <f t="shared" si="12"/>
        <v>29007</v>
      </c>
      <c r="E83" s="16">
        <f t="shared" si="13"/>
        <v>29008</v>
      </c>
      <c r="F83" s="24" t="s">
        <v>556</v>
      </c>
      <c r="G83" s="23" t="s">
        <v>550</v>
      </c>
      <c r="H83" s="28" t="s">
        <v>301</v>
      </c>
      <c r="I83" s="28">
        <v>2</v>
      </c>
      <c r="J83" s="28"/>
    </row>
    <row r="84" spans="2:10">
      <c r="B84" s="16" t="str">
        <f t="shared" si="10"/>
        <v>0x7151</v>
      </c>
      <c r="C84" s="16" t="str">
        <f t="shared" si="11"/>
        <v>0x7152</v>
      </c>
      <c r="D84" s="16">
        <f t="shared" si="12"/>
        <v>29009</v>
      </c>
      <c r="E84" s="16">
        <f t="shared" si="13"/>
        <v>29010</v>
      </c>
      <c r="F84" s="24" t="s">
        <v>557</v>
      </c>
      <c r="G84" s="23" t="s">
        <v>550</v>
      </c>
      <c r="H84" s="28" t="s">
        <v>301</v>
      </c>
      <c r="I84" s="28">
        <v>2</v>
      </c>
      <c r="J84" s="28"/>
    </row>
    <row r="85" spans="2:10">
      <c r="B85" s="16" t="str">
        <f t="shared" si="10"/>
        <v>0x7153</v>
      </c>
      <c r="C85" s="16" t="str">
        <f t="shared" si="11"/>
        <v>0x7154</v>
      </c>
      <c r="D85" s="16">
        <f t="shared" si="12"/>
        <v>29011</v>
      </c>
      <c r="E85" s="16">
        <f t="shared" si="13"/>
        <v>29012</v>
      </c>
      <c r="F85" s="17" t="s">
        <v>558</v>
      </c>
      <c r="G85" s="23" t="s">
        <v>550</v>
      </c>
      <c r="H85" s="28" t="s">
        <v>382</v>
      </c>
      <c r="I85" s="28">
        <v>2</v>
      </c>
      <c r="J85" s="28"/>
    </row>
    <row r="86" spans="2:10">
      <c r="B86" s="16" t="str">
        <f t="shared" si="10"/>
        <v>0x7155</v>
      </c>
      <c r="C86" s="16" t="str">
        <f t="shared" si="11"/>
        <v>0x7156</v>
      </c>
      <c r="D86" s="16">
        <f t="shared" si="12"/>
        <v>29013</v>
      </c>
      <c r="E86" s="16">
        <f t="shared" si="13"/>
        <v>29014</v>
      </c>
      <c r="F86" s="17" t="s">
        <v>559</v>
      </c>
      <c r="G86" s="23" t="s">
        <v>550</v>
      </c>
      <c r="H86" s="28" t="s">
        <v>382</v>
      </c>
      <c r="I86" s="28">
        <v>2</v>
      </c>
      <c r="J86" s="28"/>
    </row>
    <row r="87" spans="2:10">
      <c r="B87" s="16" t="str">
        <f t="shared" si="10"/>
        <v>0x7157</v>
      </c>
      <c r="C87" s="16" t="str">
        <f t="shared" si="11"/>
        <v>0x7158</v>
      </c>
      <c r="D87" s="16">
        <f t="shared" si="12"/>
        <v>29015</v>
      </c>
      <c r="E87" s="16">
        <f t="shared" si="13"/>
        <v>29016</v>
      </c>
      <c r="F87" s="17" t="s">
        <v>560</v>
      </c>
      <c r="G87" s="23" t="s">
        <v>550</v>
      </c>
      <c r="H87" s="28" t="s">
        <v>382</v>
      </c>
      <c r="I87" s="28">
        <v>2</v>
      </c>
      <c r="J87" s="28"/>
    </row>
    <row r="88" spans="2:10">
      <c r="B88" s="16" t="str">
        <f t="shared" si="10"/>
        <v>0x7159</v>
      </c>
      <c r="C88" s="16" t="str">
        <f t="shared" si="11"/>
        <v>0x715A</v>
      </c>
      <c r="D88" s="16">
        <f t="shared" si="12"/>
        <v>29017</v>
      </c>
      <c r="E88" s="16">
        <f t="shared" si="13"/>
        <v>29018</v>
      </c>
      <c r="F88" s="17" t="s">
        <v>561</v>
      </c>
      <c r="G88" s="23" t="s">
        <v>550</v>
      </c>
      <c r="H88" s="28" t="s">
        <v>382</v>
      </c>
      <c r="I88" s="28">
        <v>2</v>
      </c>
      <c r="J88" s="28"/>
    </row>
    <row r="89" spans="2:10">
      <c r="B89" s="16" t="str">
        <f t="shared" si="10"/>
        <v>0x715B</v>
      </c>
      <c r="C89" s="16" t="str">
        <f t="shared" si="11"/>
        <v>0x7258</v>
      </c>
      <c r="D89" s="16">
        <f t="shared" si="12"/>
        <v>29019</v>
      </c>
      <c r="E89" s="16">
        <f t="shared" si="13"/>
        <v>29272</v>
      </c>
      <c r="F89" s="17" t="s">
        <v>562</v>
      </c>
      <c r="G89" s="23" t="s">
        <v>550</v>
      </c>
      <c r="H89" s="28" t="s">
        <v>382</v>
      </c>
      <c r="I89" s="28">
        <v>254</v>
      </c>
      <c r="J89" s="28"/>
    </row>
    <row r="90" spans="2:10">
      <c r="B90" s="16" t="str">
        <f t="shared" si="10"/>
        <v>0x7259</v>
      </c>
      <c r="C90" s="16" t="str">
        <f t="shared" si="11"/>
        <v>0x7356</v>
      </c>
      <c r="D90" s="16">
        <f t="shared" si="12"/>
        <v>29273</v>
      </c>
      <c r="E90" s="16">
        <f t="shared" si="13"/>
        <v>29526</v>
      </c>
      <c r="F90" s="17" t="s">
        <v>563</v>
      </c>
      <c r="G90" s="23" t="s">
        <v>550</v>
      </c>
      <c r="H90" s="28" t="s">
        <v>382</v>
      </c>
      <c r="I90" s="28">
        <v>254</v>
      </c>
      <c r="J90" s="28"/>
    </row>
    <row r="91" spans="2:10">
      <c r="B91" s="16" t="str">
        <f t="shared" si="10"/>
        <v>0x7357</v>
      </c>
      <c r="C91" s="16" t="str">
        <f t="shared" si="11"/>
        <v>0x7454</v>
      </c>
      <c r="D91" s="16">
        <f t="shared" si="12"/>
        <v>29527</v>
      </c>
      <c r="E91" s="16">
        <f t="shared" si="13"/>
        <v>29780</v>
      </c>
      <c r="F91" s="17" t="s">
        <v>564</v>
      </c>
      <c r="G91" s="23" t="s">
        <v>550</v>
      </c>
      <c r="H91" s="28" t="s">
        <v>382</v>
      </c>
      <c r="I91" s="28">
        <v>254</v>
      </c>
      <c r="J91" s="28"/>
    </row>
    <row r="92" spans="2:10">
      <c r="B92" s="16" t="str">
        <f t="shared" si="10"/>
        <v>0x7455</v>
      </c>
      <c r="C92" s="16" t="str">
        <f t="shared" si="11"/>
        <v>0x7456</v>
      </c>
      <c r="D92" s="16">
        <f t="shared" si="12"/>
        <v>29781</v>
      </c>
      <c r="E92" s="16">
        <f t="shared" si="13"/>
        <v>29782</v>
      </c>
      <c r="F92" s="17" t="s">
        <v>565</v>
      </c>
      <c r="G92" s="23" t="s">
        <v>550</v>
      </c>
      <c r="H92" s="28" t="s">
        <v>382</v>
      </c>
      <c r="I92" s="28">
        <v>2</v>
      </c>
      <c r="J92" s="28"/>
    </row>
    <row r="93" spans="2:10">
      <c r="B93" s="16" t="str">
        <f t="shared" si="10"/>
        <v>0x7457</v>
      </c>
      <c r="C93" s="16" t="str">
        <f t="shared" si="11"/>
        <v>0x7458</v>
      </c>
      <c r="D93" s="16">
        <f t="shared" si="12"/>
        <v>29783</v>
      </c>
      <c r="E93" s="16">
        <f t="shared" si="13"/>
        <v>29784</v>
      </c>
      <c r="F93" s="17" t="s">
        <v>566</v>
      </c>
      <c r="G93" s="23" t="s">
        <v>550</v>
      </c>
      <c r="H93" s="28" t="s">
        <v>382</v>
      </c>
      <c r="I93" s="28">
        <v>2</v>
      </c>
      <c r="J93" s="28"/>
    </row>
    <row r="94" spans="2:10">
      <c r="B94" s="16" t="str">
        <f t="shared" si="10"/>
        <v>0x7459</v>
      </c>
      <c r="C94" s="16" t="str">
        <f t="shared" si="11"/>
        <v>0x745A</v>
      </c>
      <c r="D94" s="16">
        <f t="shared" si="12"/>
        <v>29785</v>
      </c>
      <c r="E94" s="16">
        <f t="shared" si="13"/>
        <v>29786</v>
      </c>
      <c r="F94" s="17" t="s">
        <v>567</v>
      </c>
      <c r="G94" s="23" t="s">
        <v>550</v>
      </c>
      <c r="H94" s="28" t="s">
        <v>382</v>
      </c>
      <c r="I94" s="28">
        <v>2</v>
      </c>
      <c r="J94" s="28"/>
    </row>
    <row r="95" spans="2:10">
      <c r="B95" s="16" t="str">
        <f t="shared" si="10"/>
        <v>0x745B</v>
      </c>
      <c r="C95" s="16" t="str">
        <f t="shared" si="11"/>
        <v>0x745C</v>
      </c>
      <c r="D95" s="16">
        <f t="shared" si="12"/>
        <v>29787</v>
      </c>
      <c r="E95" s="16">
        <f t="shared" si="13"/>
        <v>29788</v>
      </c>
      <c r="F95" s="17" t="s">
        <v>568</v>
      </c>
      <c r="G95" s="23" t="s">
        <v>550</v>
      </c>
      <c r="H95" s="28" t="s">
        <v>382</v>
      </c>
      <c r="I95" s="28">
        <v>2</v>
      </c>
      <c r="J95" s="28"/>
    </row>
    <row r="96" spans="2:10">
      <c r="B96" s="16" t="str">
        <f t="shared" si="10"/>
        <v>0x745D</v>
      </c>
      <c r="C96" s="16" t="str">
        <f t="shared" si="11"/>
        <v>0x755A</v>
      </c>
      <c r="D96" s="16">
        <f t="shared" si="12"/>
        <v>29789</v>
      </c>
      <c r="E96" s="16">
        <f t="shared" si="13"/>
        <v>30042</v>
      </c>
      <c r="F96" s="17" t="s">
        <v>569</v>
      </c>
      <c r="G96" s="23" t="s">
        <v>550</v>
      </c>
      <c r="H96" s="28" t="s">
        <v>382</v>
      </c>
      <c r="I96" s="28">
        <v>254</v>
      </c>
      <c r="J96" s="28"/>
    </row>
    <row r="97" spans="2:10">
      <c r="B97" s="16" t="str">
        <f t="shared" si="10"/>
        <v>0x755B</v>
      </c>
      <c r="C97" s="16" t="str">
        <f t="shared" si="11"/>
        <v>0x7658</v>
      </c>
      <c r="D97" s="16">
        <f t="shared" si="12"/>
        <v>30043</v>
      </c>
      <c r="E97" s="16">
        <f t="shared" si="13"/>
        <v>30296</v>
      </c>
      <c r="F97" s="17" t="s">
        <v>570</v>
      </c>
      <c r="G97" s="23" t="s">
        <v>550</v>
      </c>
      <c r="H97" s="28" t="s">
        <v>382</v>
      </c>
      <c r="I97" s="28">
        <v>254</v>
      </c>
      <c r="J97" s="28"/>
    </row>
    <row r="98" spans="2:10">
      <c r="B98" s="16" t="str">
        <f t="shared" si="10"/>
        <v>0x7659</v>
      </c>
      <c r="C98" s="16" t="str">
        <f t="shared" si="11"/>
        <v>0x7756</v>
      </c>
      <c r="D98" s="16">
        <f t="shared" si="12"/>
        <v>30297</v>
      </c>
      <c r="E98" s="16">
        <f t="shared" si="13"/>
        <v>30550</v>
      </c>
      <c r="F98" s="17" t="s">
        <v>571</v>
      </c>
      <c r="G98" s="23" t="s">
        <v>550</v>
      </c>
      <c r="H98" s="28" t="s">
        <v>382</v>
      </c>
      <c r="I98" s="28">
        <v>254</v>
      </c>
      <c r="J98" s="28"/>
    </row>
    <row r="99" spans="2:10">
      <c r="B99" s="16" t="str">
        <f t="shared" si="10"/>
        <v>0x7757</v>
      </c>
      <c r="C99" s="16" t="str">
        <f t="shared" si="11"/>
        <v>0x7758</v>
      </c>
      <c r="D99" s="16">
        <f t="shared" si="12"/>
        <v>30551</v>
      </c>
      <c r="E99" s="16">
        <f t="shared" si="13"/>
        <v>30552</v>
      </c>
      <c r="F99" s="17" t="s">
        <v>572</v>
      </c>
      <c r="G99" s="23" t="s">
        <v>550</v>
      </c>
      <c r="H99" s="28" t="s">
        <v>382</v>
      </c>
      <c r="I99" s="28">
        <v>2</v>
      </c>
      <c r="J99" s="28"/>
    </row>
    <row r="100" spans="2:10">
      <c r="B100" s="16" t="str">
        <f t="shared" si="10"/>
        <v>0x7759</v>
      </c>
      <c r="C100" s="16" t="str">
        <f t="shared" si="11"/>
        <v>0x775A</v>
      </c>
      <c r="D100" s="16">
        <f t="shared" si="12"/>
        <v>30553</v>
      </c>
      <c r="E100" s="16">
        <f t="shared" si="13"/>
        <v>30554</v>
      </c>
      <c r="F100" s="17" t="s">
        <v>573</v>
      </c>
      <c r="G100" s="23" t="s">
        <v>550</v>
      </c>
      <c r="H100" s="28" t="s">
        <v>382</v>
      </c>
      <c r="I100" s="28">
        <v>2</v>
      </c>
      <c r="J100" s="28"/>
    </row>
    <row r="101" spans="2:10">
      <c r="B101" s="16" t="str">
        <f t="shared" si="10"/>
        <v>0x775B</v>
      </c>
      <c r="C101" s="16" t="str">
        <f t="shared" si="11"/>
        <v>0x775C</v>
      </c>
      <c r="D101" s="16">
        <f t="shared" si="12"/>
        <v>30555</v>
      </c>
      <c r="E101" s="16">
        <f t="shared" si="13"/>
        <v>30556</v>
      </c>
      <c r="F101" s="17" t="s">
        <v>574</v>
      </c>
      <c r="G101" s="23" t="s">
        <v>550</v>
      </c>
      <c r="H101" s="28" t="s">
        <v>382</v>
      </c>
      <c r="I101" s="28">
        <v>2</v>
      </c>
      <c r="J101" s="28"/>
    </row>
    <row r="102" spans="2:10">
      <c r="B102" s="16" t="str">
        <f t="shared" si="10"/>
        <v>0x775D</v>
      </c>
      <c r="C102" s="16" t="str">
        <f t="shared" si="11"/>
        <v>0x775E</v>
      </c>
      <c r="D102" s="16">
        <f t="shared" si="12"/>
        <v>30557</v>
      </c>
      <c r="E102" s="16">
        <f t="shared" si="13"/>
        <v>30558</v>
      </c>
      <c r="F102" s="17" t="s">
        <v>575</v>
      </c>
      <c r="G102" s="23" t="s">
        <v>550</v>
      </c>
      <c r="H102" s="28" t="s">
        <v>382</v>
      </c>
      <c r="I102" s="28">
        <v>2</v>
      </c>
      <c r="J102" s="28"/>
    </row>
    <row r="103" spans="2:10">
      <c r="B103" s="16" t="str">
        <f t="shared" si="10"/>
        <v>0x775F</v>
      </c>
      <c r="C103" s="16" t="str">
        <f t="shared" si="11"/>
        <v>0x785C</v>
      </c>
      <c r="D103" s="16">
        <f t="shared" si="12"/>
        <v>30559</v>
      </c>
      <c r="E103" s="16">
        <f t="shared" si="13"/>
        <v>30812</v>
      </c>
      <c r="F103" s="17" t="s">
        <v>576</v>
      </c>
      <c r="G103" s="23" t="s">
        <v>550</v>
      </c>
      <c r="H103" s="28" t="s">
        <v>382</v>
      </c>
      <c r="I103" s="28">
        <v>254</v>
      </c>
      <c r="J103" s="28"/>
    </row>
    <row r="104" spans="2:10">
      <c r="B104" s="16" t="str">
        <f t="shared" si="10"/>
        <v>0x785D</v>
      </c>
      <c r="C104" s="16" t="str">
        <f t="shared" si="11"/>
        <v>0x795A</v>
      </c>
      <c r="D104" s="16">
        <f t="shared" si="12"/>
        <v>30813</v>
      </c>
      <c r="E104" s="16">
        <f t="shared" si="13"/>
        <v>31066</v>
      </c>
      <c r="F104" s="17" t="s">
        <v>577</v>
      </c>
      <c r="G104" s="23" t="s">
        <v>550</v>
      </c>
      <c r="H104" s="28" t="s">
        <v>382</v>
      </c>
      <c r="I104" s="28">
        <v>254</v>
      </c>
      <c r="J104" s="28"/>
    </row>
    <row r="105" spans="2:10">
      <c r="B105" s="16" t="str">
        <f t="shared" si="10"/>
        <v>0x795B</v>
      </c>
      <c r="C105" s="16" t="str">
        <f t="shared" si="11"/>
        <v>0x7A58</v>
      </c>
      <c r="D105" s="16">
        <f t="shared" si="12"/>
        <v>31067</v>
      </c>
      <c r="E105" s="16">
        <f t="shared" si="13"/>
        <v>31320</v>
      </c>
      <c r="F105" s="17" t="s">
        <v>578</v>
      </c>
      <c r="G105" s="23" t="s">
        <v>550</v>
      </c>
      <c r="H105" s="28" t="s">
        <v>382</v>
      </c>
      <c r="I105" s="28">
        <v>254</v>
      </c>
      <c r="J105" s="28"/>
    </row>
    <row r="106" spans="2:10">
      <c r="B106" s="16" t="str">
        <f t="shared" si="10"/>
        <v>0x7A59</v>
      </c>
      <c r="C106" s="16" t="str">
        <f t="shared" si="11"/>
        <v>0x7A5A</v>
      </c>
      <c r="D106" s="16">
        <f t="shared" si="12"/>
        <v>31321</v>
      </c>
      <c r="E106" s="16">
        <f t="shared" si="13"/>
        <v>31322</v>
      </c>
      <c r="F106" s="17" t="s">
        <v>579</v>
      </c>
      <c r="G106" s="23" t="s">
        <v>550</v>
      </c>
      <c r="H106" s="28" t="s">
        <v>382</v>
      </c>
      <c r="I106" s="28">
        <v>2</v>
      </c>
      <c r="J106" s="28"/>
    </row>
    <row r="107" spans="2:10">
      <c r="B107" s="16" t="str">
        <f t="shared" si="10"/>
        <v>0x7A5B</v>
      </c>
      <c r="C107" s="16" t="str">
        <f t="shared" si="11"/>
        <v>0x7A5C</v>
      </c>
      <c r="D107" s="16">
        <f t="shared" si="12"/>
        <v>31323</v>
      </c>
      <c r="E107" s="16">
        <f t="shared" si="13"/>
        <v>31324</v>
      </c>
      <c r="F107" s="17" t="s">
        <v>580</v>
      </c>
      <c r="G107" s="23" t="s">
        <v>550</v>
      </c>
      <c r="H107" s="28" t="s">
        <v>382</v>
      </c>
      <c r="I107" s="28">
        <v>2</v>
      </c>
      <c r="J107" s="28"/>
    </row>
    <row r="108" spans="2:10">
      <c r="B108" s="16" t="str">
        <f t="shared" si="10"/>
        <v>0x7A5D</v>
      </c>
      <c r="C108" s="16" t="str">
        <f t="shared" si="11"/>
        <v>0x7A5E</v>
      </c>
      <c r="D108" s="16">
        <f t="shared" si="12"/>
        <v>31325</v>
      </c>
      <c r="E108" s="16">
        <f t="shared" si="13"/>
        <v>31326</v>
      </c>
      <c r="F108" s="17" t="s">
        <v>581</v>
      </c>
      <c r="G108" s="23" t="s">
        <v>550</v>
      </c>
      <c r="H108" s="28" t="s">
        <v>382</v>
      </c>
      <c r="I108" s="28">
        <v>2</v>
      </c>
      <c r="J108" s="28"/>
    </row>
    <row r="109" spans="2:10">
      <c r="B109" s="16" t="str">
        <f t="shared" si="10"/>
        <v>0x7A5F</v>
      </c>
      <c r="C109" s="16" t="str">
        <f t="shared" si="11"/>
        <v>0x837A</v>
      </c>
      <c r="D109" s="16">
        <f t="shared" si="12"/>
        <v>31327</v>
      </c>
      <c r="E109" s="16">
        <f t="shared" si="13"/>
        <v>33658</v>
      </c>
      <c r="F109" s="17" t="s">
        <v>582</v>
      </c>
      <c r="G109" s="23" t="s">
        <v>550</v>
      </c>
      <c r="H109" s="28" t="s">
        <v>382</v>
      </c>
      <c r="I109" s="28">
        <v>2332</v>
      </c>
      <c r="J109" s="28"/>
    </row>
    <row r="110" spans="2:10">
      <c r="B110" s="16" t="str">
        <f t="shared" si="10"/>
        <v>0x837B</v>
      </c>
      <c r="C110" s="16" t="str">
        <f t="shared" si="11"/>
        <v>0x837B</v>
      </c>
      <c r="D110" s="16">
        <f t="shared" si="12"/>
        <v>33659</v>
      </c>
      <c r="E110" s="16">
        <f t="shared" si="13"/>
        <v>33659</v>
      </c>
      <c r="F110" s="50" t="s">
        <v>438</v>
      </c>
      <c r="G110" s="21" t="s">
        <v>146</v>
      </c>
      <c r="H110" s="21" t="s">
        <v>147</v>
      </c>
      <c r="I110" s="21">
        <v>1</v>
      </c>
      <c r="J110" s="21" t="s">
        <v>439</v>
      </c>
    </row>
    <row r="111" spans="2:10">
      <c r="B111" s="16" t="str">
        <f t="shared" si="10"/>
        <v>0x837C</v>
      </c>
      <c r="C111" s="16" t="str">
        <f t="shared" si="11"/>
        <v>0x837D</v>
      </c>
      <c r="D111" s="16">
        <f t="shared" si="12"/>
        <v>33660</v>
      </c>
      <c r="E111" s="16">
        <f t="shared" si="13"/>
        <v>33661</v>
      </c>
      <c r="F111" s="15" t="s">
        <v>583</v>
      </c>
      <c r="G111" s="23" t="s">
        <v>550</v>
      </c>
      <c r="H111" s="28" t="s">
        <v>382</v>
      </c>
      <c r="I111" s="28">
        <v>2</v>
      </c>
      <c r="J111" s="28"/>
    </row>
    <row r="112" spans="2:10">
      <c r="B112" s="16" t="str">
        <f t="shared" si="10"/>
        <v>0x837E</v>
      </c>
      <c r="C112" s="16" t="str">
        <f t="shared" si="11"/>
        <v>0x837F</v>
      </c>
      <c r="D112" s="16">
        <f t="shared" si="12"/>
        <v>33662</v>
      </c>
      <c r="E112" s="16">
        <f t="shared" si="13"/>
        <v>33663</v>
      </c>
      <c r="F112" s="15" t="s">
        <v>584</v>
      </c>
      <c r="G112" s="23" t="s">
        <v>550</v>
      </c>
      <c r="H112" s="28" t="s">
        <v>382</v>
      </c>
      <c r="I112" s="28">
        <v>2</v>
      </c>
      <c r="J112" s="28"/>
    </row>
    <row r="113" spans="2:10">
      <c r="B113" s="16" t="str">
        <f t="shared" si="10"/>
        <v>0x8380</v>
      </c>
      <c r="C113" s="16" t="str">
        <f t="shared" si="11"/>
        <v>0x8381</v>
      </c>
      <c r="D113" s="16">
        <f t="shared" si="12"/>
        <v>33664</v>
      </c>
      <c r="E113" s="16">
        <f t="shared" si="13"/>
        <v>33665</v>
      </c>
      <c r="F113" s="15" t="s">
        <v>585</v>
      </c>
      <c r="G113" s="23" t="s">
        <v>550</v>
      </c>
      <c r="H113" s="28" t="s">
        <v>382</v>
      </c>
      <c r="I113" s="28">
        <v>2</v>
      </c>
      <c r="J113" s="28"/>
    </row>
    <row r="114" spans="2:10">
      <c r="B114" s="16" t="str">
        <f t="shared" si="10"/>
        <v>0x8382</v>
      </c>
      <c r="C114" s="16" t="str">
        <f t="shared" si="11"/>
        <v>0x8383</v>
      </c>
      <c r="D114" s="16">
        <f t="shared" si="12"/>
        <v>33666</v>
      </c>
      <c r="E114" s="16">
        <f t="shared" si="13"/>
        <v>33667</v>
      </c>
      <c r="F114" s="15" t="s">
        <v>586</v>
      </c>
      <c r="G114" s="23" t="s">
        <v>550</v>
      </c>
      <c r="H114" s="28" t="s">
        <v>382</v>
      </c>
      <c r="I114" s="28">
        <v>2</v>
      </c>
      <c r="J114" s="28"/>
    </row>
    <row r="115" spans="2:10">
      <c r="B115" s="16" t="str">
        <f t="shared" si="10"/>
        <v>0x8384</v>
      </c>
      <c r="C115" s="16" t="str">
        <f t="shared" si="11"/>
        <v>0x8385</v>
      </c>
      <c r="D115" s="16">
        <f t="shared" si="12"/>
        <v>33668</v>
      </c>
      <c r="E115" s="16">
        <f t="shared" si="13"/>
        <v>33669</v>
      </c>
      <c r="F115" s="17" t="s">
        <v>587</v>
      </c>
      <c r="G115" s="23" t="s">
        <v>550</v>
      </c>
      <c r="H115" s="28" t="s">
        <v>382</v>
      </c>
      <c r="I115" s="28">
        <v>2</v>
      </c>
      <c r="J115" s="28"/>
    </row>
    <row r="116" spans="2:10">
      <c r="B116" s="16" t="str">
        <f t="shared" si="10"/>
        <v>0x8386</v>
      </c>
      <c r="C116" s="16" t="str">
        <f t="shared" si="11"/>
        <v>0x8387</v>
      </c>
      <c r="D116" s="16">
        <f t="shared" si="12"/>
        <v>33670</v>
      </c>
      <c r="E116" s="16">
        <f t="shared" si="13"/>
        <v>33671</v>
      </c>
      <c r="F116" s="15" t="s">
        <v>588</v>
      </c>
      <c r="G116" s="23" t="s">
        <v>550</v>
      </c>
      <c r="H116" s="28" t="s">
        <v>382</v>
      </c>
      <c r="I116" s="28">
        <v>2</v>
      </c>
      <c r="J116" s="28"/>
    </row>
    <row r="117" spans="2:10">
      <c r="B117" s="16" t="str">
        <f t="shared" si="10"/>
        <v>0x8388</v>
      </c>
      <c r="C117" s="16" t="str">
        <f t="shared" si="11"/>
        <v>0x8405</v>
      </c>
      <c r="D117" s="16">
        <f t="shared" si="12"/>
        <v>33672</v>
      </c>
      <c r="E117" s="16">
        <f t="shared" si="13"/>
        <v>33797</v>
      </c>
      <c r="F117" s="17" t="s">
        <v>589</v>
      </c>
      <c r="G117" s="23" t="s">
        <v>550</v>
      </c>
      <c r="H117" s="28" t="s">
        <v>382</v>
      </c>
      <c r="I117" s="28">
        <v>126</v>
      </c>
      <c r="J117" s="28"/>
    </row>
    <row r="118" spans="2:10">
      <c r="B118" s="16" t="str">
        <f t="shared" si="10"/>
        <v>0x8406</v>
      </c>
      <c r="C118" s="16" t="str">
        <f t="shared" si="11"/>
        <v>0x8483</v>
      </c>
      <c r="D118" s="16">
        <f t="shared" si="12"/>
        <v>33798</v>
      </c>
      <c r="E118" s="16">
        <f t="shared" si="13"/>
        <v>33923</v>
      </c>
      <c r="F118" s="17" t="s">
        <v>590</v>
      </c>
      <c r="G118" s="23" t="s">
        <v>550</v>
      </c>
      <c r="H118" s="28" t="s">
        <v>382</v>
      </c>
      <c r="I118" s="28">
        <v>126</v>
      </c>
      <c r="J118" s="28"/>
    </row>
    <row r="119" spans="2:10">
      <c r="B119" s="16" t="str">
        <f t="shared" si="10"/>
        <v>0x8484</v>
      </c>
      <c r="C119" s="16" t="str">
        <f t="shared" si="11"/>
        <v>0x8501</v>
      </c>
      <c r="D119" s="16">
        <f t="shared" si="12"/>
        <v>33924</v>
      </c>
      <c r="E119" s="16">
        <f t="shared" si="13"/>
        <v>34049</v>
      </c>
      <c r="F119" s="17" t="s">
        <v>591</v>
      </c>
      <c r="G119" s="23" t="s">
        <v>550</v>
      </c>
      <c r="H119" s="28" t="s">
        <v>382</v>
      </c>
      <c r="I119" s="28">
        <v>126</v>
      </c>
      <c r="J119" s="28"/>
    </row>
    <row r="120" spans="2:10">
      <c r="B120" s="16" t="str">
        <f t="shared" si="10"/>
        <v>0x8502</v>
      </c>
      <c r="C120" s="16" t="str">
        <f t="shared" si="11"/>
        <v>0x8502</v>
      </c>
      <c r="D120" s="16">
        <f t="shared" si="12"/>
        <v>34050</v>
      </c>
      <c r="E120" s="16">
        <f t="shared" si="13"/>
        <v>34050</v>
      </c>
      <c r="F120" s="50" t="s">
        <v>339</v>
      </c>
      <c r="G120" s="21" t="s">
        <v>146</v>
      </c>
      <c r="H120" s="21" t="s">
        <v>147</v>
      </c>
      <c r="I120" s="21">
        <v>1</v>
      </c>
      <c r="J120" s="21" t="s">
        <v>340</v>
      </c>
    </row>
    <row r="121" spans="2:10">
      <c r="B121" s="16" t="str">
        <f t="shared" si="10"/>
        <v>0x8503</v>
      </c>
      <c r="C121" s="16" t="str">
        <f t="shared" si="11"/>
        <v>0x8504</v>
      </c>
      <c r="D121" s="16">
        <f t="shared" si="12"/>
        <v>34051</v>
      </c>
      <c r="E121" s="16">
        <f t="shared" si="13"/>
        <v>34052</v>
      </c>
      <c r="F121" s="15" t="s">
        <v>592</v>
      </c>
      <c r="G121" s="23" t="s">
        <v>550</v>
      </c>
      <c r="H121" s="28" t="s">
        <v>382</v>
      </c>
      <c r="I121" s="28">
        <v>2</v>
      </c>
      <c r="J121" s="28"/>
    </row>
    <row r="122" spans="2:10">
      <c r="B122" s="16" t="str">
        <f t="shared" si="10"/>
        <v>0x8505</v>
      </c>
      <c r="C122" s="16" t="str">
        <f t="shared" si="11"/>
        <v>0x8506</v>
      </c>
      <c r="D122" s="16">
        <f t="shared" si="12"/>
        <v>34053</v>
      </c>
      <c r="E122" s="16">
        <f t="shared" si="13"/>
        <v>34054</v>
      </c>
      <c r="F122" s="15" t="s">
        <v>593</v>
      </c>
      <c r="G122" s="23" t="s">
        <v>550</v>
      </c>
      <c r="H122" s="28" t="s">
        <v>382</v>
      </c>
      <c r="I122" s="28">
        <v>2</v>
      </c>
      <c r="J122" s="28"/>
    </row>
    <row r="123" spans="2:10">
      <c r="B123" s="16" t="str">
        <f t="shared" si="10"/>
        <v>0x8507</v>
      </c>
      <c r="C123" s="16" t="str">
        <f t="shared" si="11"/>
        <v>0x8508</v>
      </c>
      <c r="D123" s="16">
        <f t="shared" si="12"/>
        <v>34055</v>
      </c>
      <c r="E123" s="16">
        <f t="shared" si="13"/>
        <v>34056</v>
      </c>
      <c r="F123" s="15" t="s">
        <v>594</v>
      </c>
      <c r="G123" s="23" t="s">
        <v>550</v>
      </c>
      <c r="H123" s="28" t="s">
        <v>382</v>
      </c>
      <c r="I123" s="28">
        <v>2</v>
      </c>
      <c r="J123" s="28"/>
    </row>
    <row r="124" spans="2:10">
      <c r="B124" s="16" t="str">
        <f t="shared" si="10"/>
        <v>0x8509</v>
      </c>
      <c r="C124" s="16" t="str">
        <f t="shared" si="11"/>
        <v>0x850A</v>
      </c>
      <c r="D124" s="16">
        <f t="shared" si="12"/>
        <v>34057</v>
      </c>
      <c r="E124" s="16">
        <f t="shared" si="13"/>
        <v>34058</v>
      </c>
      <c r="F124" s="15" t="s">
        <v>595</v>
      </c>
      <c r="G124" s="23" t="s">
        <v>550</v>
      </c>
      <c r="H124" s="28" t="s">
        <v>382</v>
      </c>
      <c r="I124" s="28">
        <v>2</v>
      </c>
      <c r="J124" s="28"/>
    </row>
    <row r="125" spans="2:10">
      <c r="B125" s="16" t="str">
        <f t="shared" si="10"/>
        <v>0x850B</v>
      </c>
      <c r="C125" s="16" t="str">
        <f t="shared" si="11"/>
        <v>0x850C</v>
      </c>
      <c r="D125" s="16">
        <f t="shared" si="12"/>
        <v>34059</v>
      </c>
      <c r="E125" s="16">
        <f t="shared" si="13"/>
        <v>34060</v>
      </c>
      <c r="F125" s="15" t="s">
        <v>596</v>
      </c>
      <c r="G125" s="23" t="s">
        <v>550</v>
      </c>
      <c r="H125" s="28" t="s">
        <v>382</v>
      </c>
      <c r="I125" s="28">
        <v>2</v>
      </c>
      <c r="J125" s="28"/>
    </row>
    <row r="126" spans="2:10">
      <c r="B126" s="16" t="str">
        <f t="shared" si="10"/>
        <v>0x850D</v>
      </c>
      <c r="C126" s="16" t="str">
        <f t="shared" si="11"/>
        <v>0x850E</v>
      </c>
      <c r="D126" s="16">
        <f t="shared" si="12"/>
        <v>34061</v>
      </c>
      <c r="E126" s="16">
        <f t="shared" si="13"/>
        <v>34062</v>
      </c>
      <c r="F126" s="15" t="s">
        <v>597</v>
      </c>
      <c r="G126" s="23" t="s">
        <v>550</v>
      </c>
      <c r="H126" s="28" t="s">
        <v>382</v>
      </c>
      <c r="I126" s="28">
        <v>2</v>
      </c>
      <c r="J126" s="28"/>
    </row>
    <row r="127" spans="2:10">
      <c r="B127" s="16" t="str">
        <f t="shared" si="10"/>
        <v>0x850F</v>
      </c>
      <c r="C127" s="16" t="str">
        <f t="shared" si="11"/>
        <v>0x8510</v>
      </c>
      <c r="D127" s="16">
        <f t="shared" si="12"/>
        <v>34063</v>
      </c>
      <c r="E127" s="16">
        <f t="shared" si="13"/>
        <v>34064</v>
      </c>
      <c r="F127" s="17" t="s">
        <v>598</v>
      </c>
      <c r="G127" s="23" t="s">
        <v>550</v>
      </c>
      <c r="H127" s="28" t="s">
        <v>382</v>
      </c>
      <c r="I127" s="28">
        <v>2</v>
      </c>
      <c r="J127" s="28"/>
    </row>
    <row r="128" spans="2:10">
      <c r="B128" s="16" t="str">
        <f t="shared" si="10"/>
        <v>0x8511</v>
      </c>
      <c r="C128" s="16" t="str">
        <f t="shared" si="11"/>
        <v>0x8512</v>
      </c>
      <c r="D128" s="16">
        <f t="shared" si="12"/>
        <v>34065</v>
      </c>
      <c r="E128" s="16">
        <f t="shared" si="13"/>
        <v>34066</v>
      </c>
      <c r="F128" s="17" t="s">
        <v>599</v>
      </c>
      <c r="G128" s="23" t="s">
        <v>550</v>
      </c>
      <c r="H128" s="28" t="s">
        <v>382</v>
      </c>
      <c r="I128" s="28">
        <v>2</v>
      </c>
      <c r="J128" s="28"/>
    </row>
    <row r="129" spans="1:10">
      <c r="A129" s="26" t="s">
        <v>91</v>
      </c>
      <c r="B129" s="16" t="str">
        <f t="shared" ref="B129:B134" si="14">"0x"&amp;DEC2HEX(D129,4)</f>
        <v>0x8513</v>
      </c>
      <c r="C129" s="16" t="str">
        <f t="shared" ref="C129:C134" si="15">"0x"&amp;DEC2HEX(E129,4)</f>
        <v>0x8514</v>
      </c>
      <c r="D129" s="16">
        <f t="shared" ref="D129:D134" si="16">D128+I128</f>
        <v>34067</v>
      </c>
      <c r="E129" s="16">
        <f t="shared" ref="E129:E134" si="17">D129+I129-1</f>
        <v>34068</v>
      </c>
      <c r="F129" s="20" t="s">
        <v>604</v>
      </c>
      <c r="G129" s="28" t="s">
        <v>550</v>
      </c>
      <c r="H129" s="28" t="s">
        <v>301</v>
      </c>
      <c r="I129" s="28">
        <v>2</v>
      </c>
      <c r="J129" s="28"/>
    </row>
    <row r="130" spans="1:10">
      <c r="B130" s="16" t="str">
        <f t="shared" si="14"/>
        <v>0x8515</v>
      </c>
      <c r="C130" s="16" t="str">
        <f t="shared" si="15"/>
        <v>0x8516</v>
      </c>
      <c r="D130" s="16">
        <f t="shared" si="16"/>
        <v>34069</v>
      </c>
      <c r="E130" s="16">
        <f t="shared" si="17"/>
        <v>34070</v>
      </c>
      <c r="F130" s="20" t="s">
        <v>605</v>
      </c>
      <c r="G130" s="28" t="s">
        <v>550</v>
      </c>
      <c r="H130" s="28" t="s">
        <v>301</v>
      </c>
      <c r="I130" s="28">
        <v>2</v>
      </c>
      <c r="J130" s="28"/>
    </row>
    <row r="131" spans="1:10">
      <c r="B131" s="16" t="str">
        <f t="shared" si="14"/>
        <v>0x8517</v>
      </c>
      <c r="C131" s="16" t="str">
        <f t="shared" si="15"/>
        <v>0x8518</v>
      </c>
      <c r="D131" s="16">
        <f t="shared" si="16"/>
        <v>34071</v>
      </c>
      <c r="E131" s="16">
        <f t="shared" si="17"/>
        <v>34072</v>
      </c>
      <c r="F131" s="20" t="s">
        <v>606</v>
      </c>
      <c r="G131" s="28" t="s">
        <v>550</v>
      </c>
      <c r="H131" s="28" t="s">
        <v>301</v>
      </c>
      <c r="I131" s="28">
        <v>2</v>
      </c>
      <c r="J131" s="28"/>
    </row>
    <row r="132" spans="1:10">
      <c r="B132" s="16" t="str">
        <f t="shared" si="14"/>
        <v>0x8519</v>
      </c>
      <c r="C132" s="16" t="str">
        <f t="shared" si="15"/>
        <v>0x851A</v>
      </c>
      <c r="D132" s="16">
        <f t="shared" si="16"/>
        <v>34073</v>
      </c>
      <c r="E132" s="16">
        <f t="shared" si="17"/>
        <v>34074</v>
      </c>
      <c r="F132" s="20" t="s">
        <v>607</v>
      </c>
      <c r="G132" s="28" t="s">
        <v>550</v>
      </c>
      <c r="H132" s="28" t="s">
        <v>301</v>
      </c>
      <c r="I132" s="28">
        <v>2</v>
      </c>
      <c r="J132" s="28"/>
    </row>
    <row r="133" spans="1:10">
      <c r="B133" s="16" t="str">
        <f t="shared" si="14"/>
        <v>0x851B</v>
      </c>
      <c r="C133" s="16" t="str">
        <f t="shared" si="15"/>
        <v>0x851C</v>
      </c>
      <c r="D133" s="16">
        <f t="shared" si="16"/>
        <v>34075</v>
      </c>
      <c r="E133" s="16">
        <f t="shared" si="17"/>
        <v>34076</v>
      </c>
      <c r="F133" s="20" t="s">
        <v>608</v>
      </c>
      <c r="G133" s="28" t="s">
        <v>550</v>
      </c>
      <c r="H133" s="28" t="s">
        <v>301</v>
      </c>
      <c r="I133" s="28">
        <v>2</v>
      </c>
      <c r="J133" s="28"/>
    </row>
    <row r="134" spans="1:10">
      <c r="B134" s="16" t="str">
        <f t="shared" si="14"/>
        <v>0x851D</v>
      </c>
      <c r="C134" s="16" t="str">
        <f t="shared" si="15"/>
        <v>0x851E</v>
      </c>
      <c r="D134" s="16">
        <f t="shared" si="16"/>
        <v>34077</v>
      </c>
      <c r="E134" s="16">
        <f t="shared" si="17"/>
        <v>34078</v>
      </c>
      <c r="F134" s="20" t="s">
        <v>609</v>
      </c>
      <c r="G134" s="28" t="s">
        <v>550</v>
      </c>
      <c r="H134" s="28" t="s">
        <v>301</v>
      </c>
      <c r="I134" s="28">
        <v>2</v>
      </c>
      <c r="J134" s="28"/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32C9-D75F-4494-9170-8A1DEFAAC6EE}">
  <sheetPr codeName="Sheet11"/>
  <dimension ref="A1:L135"/>
  <sheetViews>
    <sheetView workbookViewId="0">
      <selection activeCell="A2" sqref="A2"/>
    </sheetView>
  </sheetViews>
  <sheetFormatPr defaultColWidth="9" defaultRowHeight="13.5"/>
  <cols>
    <col min="1" max="1" width="15.125" style="7" bestFit="1" customWidth="1"/>
    <col min="2" max="2" width="11.375" style="7" customWidth="1"/>
    <col min="3" max="3" width="7.625" style="7" bestFit="1" customWidth="1"/>
    <col min="4" max="5" width="9" style="7"/>
    <col min="6" max="6" width="28.375" bestFit="1" customWidth="1"/>
    <col min="7" max="7" width="8.625" style="7" customWidth="1"/>
    <col min="8" max="16384" width="9" style="7"/>
  </cols>
  <sheetData>
    <row r="1" spans="1:12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11" t="s">
        <v>94</v>
      </c>
      <c r="B2" s="16" t="str">
        <f t="shared" ref="B2:C3" si="0">"0x"&amp;DEC2HEX(D2,4)</f>
        <v>0x8530</v>
      </c>
      <c r="C2" s="16" t="str">
        <f t="shared" si="0"/>
        <v>0x8533</v>
      </c>
      <c r="D2" s="16">
        <v>34096</v>
      </c>
      <c r="E2" s="16">
        <f t="shared" ref="E2:E3" si="1">D2+I2-1</f>
        <v>34099</v>
      </c>
      <c r="F2" s="31" t="s">
        <v>618</v>
      </c>
      <c r="G2" s="31" t="s">
        <v>619</v>
      </c>
      <c r="H2" s="31" t="s">
        <v>301</v>
      </c>
      <c r="I2" s="28">
        <v>4</v>
      </c>
      <c r="J2" s="28"/>
      <c r="K2" s="31"/>
      <c r="L2" s="31"/>
    </row>
    <row r="3" spans="1:12">
      <c r="A3" s="11"/>
      <c r="B3" s="16" t="str">
        <f t="shared" si="0"/>
        <v>0x8534</v>
      </c>
      <c r="C3" s="16" t="str">
        <f t="shared" si="0"/>
        <v>0x8535</v>
      </c>
      <c r="D3" s="16">
        <f>D2+I2</f>
        <v>34100</v>
      </c>
      <c r="E3" s="16">
        <f t="shared" si="1"/>
        <v>34101</v>
      </c>
      <c r="F3" s="31" t="s">
        <v>620</v>
      </c>
      <c r="G3" s="31" t="s">
        <v>521</v>
      </c>
      <c r="H3" s="31" t="s">
        <v>301</v>
      </c>
      <c r="I3" s="28">
        <v>2</v>
      </c>
      <c r="J3" s="31"/>
      <c r="K3" s="31"/>
      <c r="L3" s="31"/>
    </row>
    <row r="4" spans="1:12">
      <c r="A4" s="11"/>
      <c r="B4" s="16" t="str">
        <f t="shared" ref="B4:B9" si="2">"0x"&amp;DEC2HEX(D4,4)</f>
        <v>0x8536</v>
      </c>
      <c r="C4" s="16" t="str">
        <f t="shared" ref="C4:C9" si="3">"0x"&amp;DEC2HEX(E4,4)</f>
        <v>0x8536</v>
      </c>
      <c r="D4" s="16">
        <f t="shared" ref="D4:D9" si="4">D3+I3</f>
        <v>34102</v>
      </c>
      <c r="E4" s="16">
        <f t="shared" ref="E4:E9" si="5">D4+I4-1</f>
        <v>34102</v>
      </c>
      <c r="F4" s="31" t="s">
        <v>621</v>
      </c>
      <c r="G4" s="31" t="s">
        <v>622</v>
      </c>
      <c r="H4" s="31" t="s">
        <v>301</v>
      </c>
      <c r="I4" s="28">
        <v>1</v>
      </c>
      <c r="J4" s="31"/>
      <c r="K4" s="31"/>
      <c r="L4" s="31"/>
    </row>
    <row r="5" spans="1:12">
      <c r="A5" s="11"/>
      <c r="B5" s="16" t="str">
        <f t="shared" si="2"/>
        <v>0x8537</v>
      </c>
      <c r="C5" s="16" t="str">
        <f t="shared" si="3"/>
        <v>0x8537</v>
      </c>
      <c r="D5" s="16">
        <f t="shared" si="4"/>
        <v>34103</v>
      </c>
      <c r="E5" s="16">
        <f t="shared" si="5"/>
        <v>34103</v>
      </c>
      <c r="F5" s="31" t="s">
        <v>623</v>
      </c>
      <c r="G5" s="31" t="s">
        <v>622</v>
      </c>
      <c r="H5" s="31" t="s">
        <v>301</v>
      </c>
      <c r="I5" s="28">
        <v>1</v>
      </c>
      <c r="J5" s="31"/>
      <c r="K5" s="31"/>
      <c r="L5" s="31"/>
    </row>
    <row r="6" spans="1:12">
      <c r="A6" s="11"/>
      <c r="B6" s="16" t="str">
        <f t="shared" si="2"/>
        <v>0x8538</v>
      </c>
      <c r="C6" s="16" t="str">
        <f t="shared" si="3"/>
        <v>0x853B</v>
      </c>
      <c r="D6" s="16">
        <f t="shared" si="4"/>
        <v>34104</v>
      </c>
      <c r="E6" s="16">
        <f t="shared" si="5"/>
        <v>34107</v>
      </c>
      <c r="F6" s="31" t="s">
        <v>624</v>
      </c>
      <c r="G6" s="31" t="s">
        <v>619</v>
      </c>
      <c r="H6" s="31" t="s">
        <v>301</v>
      </c>
      <c r="I6" s="28">
        <v>4</v>
      </c>
      <c r="J6" s="28"/>
      <c r="K6" s="11"/>
      <c r="L6" s="11"/>
    </row>
    <row r="7" spans="1:12">
      <c r="B7" s="16" t="str">
        <f t="shared" si="2"/>
        <v>0x853C</v>
      </c>
      <c r="C7" s="16" t="str">
        <f t="shared" si="3"/>
        <v>0x853D</v>
      </c>
      <c r="D7" s="16">
        <f t="shared" si="4"/>
        <v>34108</v>
      </c>
      <c r="E7" s="16">
        <f t="shared" si="5"/>
        <v>34109</v>
      </c>
      <c r="F7" s="31" t="s">
        <v>625</v>
      </c>
      <c r="G7" s="31" t="s">
        <v>521</v>
      </c>
      <c r="H7" s="31" t="s">
        <v>301</v>
      </c>
      <c r="I7" s="28">
        <v>2</v>
      </c>
      <c r="J7" s="31"/>
    </row>
    <row r="8" spans="1:12">
      <c r="B8" s="16" t="str">
        <f t="shared" si="2"/>
        <v>0x853E</v>
      </c>
      <c r="C8" s="16" t="str">
        <f t="shared" si="3"/>
        <v>0x853E</v>
      </c>
      <c r="D8" s="16">
        <f t="shared" si="4"/>
        <v>34110</v>
      </c>
      <c r="E8" s="16">
        <f t="shared" si="5"/>
        <v>34110</v>
      </c>
      <c r="F8" s="31" t="s">
        <v>626</v>
      </c>
      <c r="G8" s="31" t="s">
        <v>622</v>
      </c>
      <c r="H8" s="31" t="s">
        <v>301</v>
      </c>
      <c r="I8" s="28">
        <v>1</v>
      </c>
      <c r="J8" s="31"/>
    </row>
    <row r="9" spans="1:12">
      <c r="B9" s="16" t="str">
        <f t="shared" si="2"/>
        <v>0x853F</v>
      </c>
      <c r="C9" s="16" t="str">
        <f t="shared" si="3"/>
        <v>0x853F</v>
      </c>
      <c r="D9" s="16">
        <f t="shared" si="4"/>
        <v>34111</v>
      </c>
      <c r="E9" s="16">
        <f t="shared" si="5"/>
        <v>34111</v>
      </c>
      <c r="F9" s="31" t="s">
        <v>627</v>
      </c>
      <c r="G9" s="31" t="s">
        <v>622</v>
      </c>
      <c r="H9" s="31" t="s">
        <v>301</v>
      </c>
      <c r="I9" s="28">
        <v>1</v>
      </c>
      <c r="J9" s="31"/>
    </row>
    <row r="10" spans="1:12">
      <c r="F10" s="28"/>
    </row>
    <row r="11" spans="1:12">
      <c r="F11" s="28"/>
    </row>
    <row r="12" spans="1:12">
      <c r="F12" s="28"/>
    </row>
    <row r="13" spans="1:12">
      <c r="F13" s="28"/>
    </row>
    <row r="14" spans="1:12">
      <c r="F14" s="28"/>
    </row>
    <row r="15" spans="1:12">
      <c r="F15" s="28"/>
    </row>
    <row r="16" spans="1:12">
      <c r="F16" s="28"/>
    </row>
    <row r="17" spans="6:6">
      <c r="F17" s="28"/>
    </row>
    <row r="18" spans="6:6">
      <c r="F18" s="28"/>
    </row>
    <row r="19" spans="6:6">
      <c r="F19" s="28"/>
    </row>
    <row r="20" spans="6:6">
      <c r="F20" s="28"/>
    </row>
    <row r="21" spans="6:6">
      <c r="F21" s="28"/>
    </row>
    <row r="22" spans="6:6">
      <c r="F22" s="28"/>
    </row>
    <row r="23" spans="6:6">
      <c r="F23" s="28"/>
    </row>
    <row r="24" spans="6:6">
      <c r="F24" s="28"/>
    </row>
    <row r="25" spans="6:6">
      <c r="F25" s="28"/>
    </row>
    <row r="26" spans="6:6">
      <c r="F26" s="28"/>
    </row>
    <row r="27" spans="6:6">
      <c r="F27" s="28"/>
    </row>
    <row r="28" spans="6:6">
      <c r="F28" s="28"/>
    </row>
    <row r="29" spans="6:6">
      <c r="F29" s="28"/>
    </row>
    <row r="30" spans="6:6">
      <c r="F30" s="28"/>
    </row>
    <row r="31" spans="6:6">
      <c r="F31" s="28"/>
    </row>
    <row r="32" spans="6:6">
      <c r="F32" s="28"/>
    </row>
    <row r="33" spans="6:6">
      <c r="F33" s="28"/>
    </row>
    <row r="34" spans="6:6">
      <c r="F34" s="28"/>
    </row>
    <row r="35" spans="6:6">
      <c r="F35" s="28"/>
    </row>
    <row r="36" spans="6:6">
      <c r="F36" s="28"/>
    </row>
    <row r="37" spans="6:6">
      <c r="F37" s="28"/>
    </row>
    <row r="38" spans="6:6">
      <c r="F38" s="28"/>
    </row>
    <row r="39" spans="6:6">
      <c r="F39" s="28"/>
    </row>
    <row r="40" spans="6:6">
      <c r="F40" s="28"/>
    </row>
    <row r="41" spans="6:6">
      <c r="F41" s="28"/>
    </row>
    <row r="42" spans="6:6">
      <c r="F42" s="28"/>
    </row>
    <row r="43" spans="6:6">
      <c r="F43" s="28"/>
    </row>
    <row r="44" spans="6:6">
      <c r="F44" s="28"/>
    </row>
    <row r="45" spans="6:6">
      <c r="F45" s="28"/>
    </row>
    <row r="46" spans="6:6">
      <c r="F46" s="28"/>
    </row>
    <row r="47" spans="6:6">
      <c r="F47" s="28"/>
    </row>
    <row r="48" spans="6:6">
      <c r="F48" s="28"/>
    </row>
    <row r="49" spans="6:6">
      <c r="F49" s="28"/>
    </row>
    <row r="50" spans="6:6">
      <c r="F50" s="28"/>
    </row>
    <row r="51" spans="6:6">
      <c r="F51" s="28"/>
    </row>
    <row r="52" spans="6:6">
      <c r="F52" s="28"/>
    </row>
    <row r="53" spans="6:6">
      <c r="F53" s="28"/>
    </row>
    <row r="54" spans="6:6">
      <c r="F54" s="28"/>
    </row>
    <row r="55" spans="6:6">
      <c r="F55" s="28"/>
    </row>
    <row r="56" spans="6:6">
      <c r="F56" s="28"/>
    </row>
    <row r="57" spans="6:6">
      <c r="F57" s="28"/>
    </row>
    <row r="58" spans="6:6">
      <c r="F58" s="28"/>
    </row>
    <row r="59" spans="6:6">
      <c r="F59" s="28"/>
    </row>
    <row r="60" spans="6:6">
      <c r="F60" s="28"/>
    </row>
    <row r="61" spans="6:6">
      <c r="F61" s="28"/>
    </row>
    <row r="62" spans="6:6">
      <c r="F62" s="28"/>
    </row>
    <row r="63" spans="6:6">
      <c r="F63" s="28"/>
    </row>
    <row r="64" spans="6:6">
      <c r="F64" s="28"/>
    </row>
    <row r="65" spans="6:6">
      <c r="F65" s="28"/>
    </row>
    <row r="66" spans="6:6">
      <c r="F66" s="28"/>
    </row>
    <row r="67" spans="6:6">
      <c r="F67" s="28"/>
    </row>
    <row r="68" spans="6:6">
      <c r="F68" s="28"/>
    </row>
    <row r="69" spans="6:6">
      <c r="F69" s="28"/>
    </row>
    <row r="70" spans="6:6">
      <c r="F70" s="28"/>
    </row>
    <row r="71" spans="6:6">
      <c r="F71" s="28"/>
    </row>
    <row r="72" spans="6:6">
      <c r="F72" s="28"/>
    </row>
    <row r="73" spans="6:6">
      <c r="F73" s="28"/>
    </row>
    <row r="74" spans="6:6">
      <c r="F74" s="28"/>
    </row>
    <row r="75" spans="6:6">
      <c r="F75" s="28"/>
    </row>
    <row r="76" spans="6:6">
      <c r="F76" s="28"/>
    </row>
    <row r="77" spans="6:6">
      <c r="F77" s="28"/>
    </row>
    <row r="78" spans="6:6">
      <c r="F78" s="28"/>
    </row>
    <row r="79" spans="6:6">
      <c r="F79" s="28"/>
    </row>
    <row r="80" spans="6:6">
      <c r="F80" s="28"/>
    </row>
    <row r="81" spans="6:6">
      <c r="F81" s="28"/>
    </row>
    <row r="82" spans="6:6">
      <c r="F82" s="28"/>
    </row>
    <row r="83" spans="6:6">
      <c r="F83" s="28"/>
    </row>
    <row r="84" spans="6:6">
      <c r="F84" s="28"/>
    </row>
    <row r="85" spans="6:6">
      <c r="F85" s="28"/>
    </row>
    <row r="86" spans="6:6">
      <c r="F86" s="28"/>
    </row>
    <row r="87" spans="6:6">
      <c r="F87" s="28"/>
    </row>
    <row r="88" spans="6:6">
      <c r="F88" s="28"/>
    </row>
    <row r="89" spans="6:6">
      <c r="F89" s="28"/>
    </row>
    <row r="90" spans="6:6">
      <c r="F90" s="28"/>
    </row>
    <row r="91" spans="6:6">
      <c r="F91" s="28"/>
    </row>
    <row r="92" spans="6:6">
      <c r="F92" s="28"/>
    </row>
    <row r="93" spans="6:6">
      <c r="F93" s="28"/>
    </row>
    <row r="94" spans="6:6">
      <c r="F94" s="28"/>
    </row>
    <row r="95" spans="6:6">
      <c r="F95" s="28"/>
    </row>
    <row r="96" spans="6:6">
      <c r="F96" s="28"/>
    </row>
    <row r="97" spans="6:6">
      <c r="F97" s="28"/>
    </row>
    <row r="98" spans="6:6">
      <c r="F98" s="28"/>
    </row>
    <row r="99" spans="6:6">
      <c r="F99" s="28"/>
    </row>
    <row r="100" spans="6:6">
      <c r="F100" s="28"/>
    </row>
    <row r="101" spans="6:6">
      <c r="F101" s="28"/>
    </row>
    <row r="102" spans="6:6">
      <c r="F102" s="28"/>
    </row>
    <row r="103" spans="6:6">
      <c r="F103" s="28"/>
    </row>
    <row r="104" spans="6:6">
      <c r="F104" s="28"/>
    </row>
    <row r="105" spans="6:6">
      <c r="F105" s="28"/>
    </row>
    <row r="106" spans="6:6">
      <c r="F106" s="28"/>
    </row>
    <row r="107" spans="6:6">
      <c r="F107" s="28"/>
    </row>
    <row r="108" spans="6:6">
      <c r="F108" s="28"/>
    </row>
    <row r="109" spans="6:6">
      <c r="F109" s="28"/>
    </row>
    <row r="110" spans="6:6">
      <c r="F110" s="28"/>
    </row>
    <row r="111" spans="6:6">
      <c r="F111" s="28"/>
    </row>
    <row r="112" spans="6:6">
      <c r="F112" s="28"/>
    </row>
    <row r="113" spans="6:6">
      <c r="F113" s="28"/>
    </row>
    <row r="114" spans="6:6">
      <c r="F114" s="28"/>
    </row>
    <row r="115" spans="6:6">
      <c r="F115" s="28"/>
    </row>
    <row r="116" spans="6:6">
      <c r="F116" s="28"/>
    </row>
    <row r="117" spans="6:6">
      <c r="F117" s="28"/>
    </row>
    <row r="118" spans="6:6">
      <c r="F118" s="28"/>
    </row>
    <row r="119" spans="6:6">
      <c r="F119" s="28"/>
    </row>
    <row r="120" spans="6:6">
      <c r="F120" s="28"/>
    </row>
    <row r="121" spans="6:6">
      <c r="F121" s="28"/>
    </row>
    <row r="122" spans="6:6">
      <c r="F122" s="28"/>
    </row>
    <row r="123" spans="6:6">
      <c r="F123" s="28"/>
    </row>
    <row r="124" spans="6:6">
      <c r="F124" s="28"/>
    </row>
    <row r="125" spans="6:6">
      <c r="F125" s="28"/>
    </row>
    <row r="126" spans="6:6">
      <c r="F126" s="28"/>
    </row>
    <row r="127" spans="6:6">
      <c r="F127" s="28"/>
    </row>
    <row r="128" spans="6:6">
      <c r="F128" s="28"/>
    </row>
    <row r="129" spans="6:6">
      <c r="F129" s="28"/>
    </row>
    <row r="130" spans="6:6">
      <c r="F130" s="28"/>
    </row>
    <row r="131" spans="6:6">
      <c r="F131" s="28"/>
    </row>
    <row r="132" spans="6:6">
      <c r="F132" s="28"/>
    </row>
    <row r="133" spans="6:6">
      <c r="F133" s="28"/>
    </row>
    <row r="134" spans="6:6">
      <c r="F134" s="28"/>
    </row>
    <row r="135" spans="6:6">
      <c r="F135" s="28"/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730B-ACC8-45ED-B4CB-75054E261EDD}">
  <dimension ref="A1:L293"/>
  <sheetViews>
    <sheetView topLeftCell="A178" workbookViewId="0">
      <selection activeCell="I181" sqref="I139:I181"/>
    </sheetView>
  </sheetViews>
  <sheetFormatPr defaultColWidth="9" defaultRowHeight="13.5"/>
  <cols>
    <col min="1" max="1" width="19.75" style="7" bestFit="1" customWidth="1"/>
    <col min="2" max="2" width="9" style="7"/>
    <col min="3" max="3" width="7.625" style="7" bestFit="1" customWidth="1"/>
    <col min="4" max="5" width="9" style="7"/>
    <col min="6" max="6" width="59.75" style="7" bestFit="1" customWidth="1"/>
    <col min="7" max="16384" width="9" style="7"/>
  </cols>
  <sheetData>
    <row r="1" spans="1:12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18" t="s">
        <v>98</v>
      </c>
      <c r="B2" s="16" t="str">
        <f t="shared" ref="B2:C3" si="0">"0x"&amp;DEC2HEX(D2,4)</f>
        <v>0x8550</v>
      </c>
      <c r="C2" s="16" t="str">
        <f t="shared" si="0"/>
        <v>0x8551</v>
      </c>
      <c r="D2" s="16">
        <v>34128</v>
      </c>
      <c r="E2" s="16">
        <f t="shared" ref="E2:E3" si="1">D2+I2-1</f>
        <v>34129</v>
      </c>
      <c r="F2" s="15" t="s">
        <v>628</v>
      </c>
      <c r="G2" s="15" t="s">
        <v>315</v>
      </c>
      <c r="H2" s="15" t="s">
        <v>301</v>
      </c>
      <c r="I2" s="15">
        <v>2</v>
      </c>
      <c r="J2" s="15"/>
    </row>
    <row r="3" spans="1:12">
      <c r="A3" s="55"/>
      <c r="B3" s="16" t="str">
        <f t="shared" si="0"/>
        <v>0x8552</v>
      </c>
      <c r="C3" s="16" t="str">
        <f t="shared" si="0"/>
        <v>0x8555</v>
      </c>
      <c r="D3" s="16">
        <f>D2+I2</f>
        <v>34130</v>
      </c>
      <c r="E3" s="16">
        <f t="shared" si="1"/>
        <v>34133</v>
      </c>
      <c r="F3" s="15" t="s">
        <v>629</v>
      </c>
      <c r="G3" s="15" t="s">
        <v>365</v>
      </c>
      <c r="H3" s="15" t="s">
        <v>301</v>
      </c>
      <c r="I3" s="15">
        <v>4</v>
      </c>
      <c r="J3" s="15"/>
    </row>
    <row r="4" spans="1:12">
      <c r="A4" s="18"/>
      <c r="B4" s="16" t="str">
        <f t="shared" ref="B4:B68" si="2">"0x"&amp;DEC2HEX(D4,4)</f>
        <v>0x8556</v>
      </c>
      <c r="C4" s="16" t="str">
        <f t="shared" ref="C4:C68" si="3">"0x"&amp;DEC2HEX(E4,4)</f>
        <v>0x8557</v>
      </c>
      <c r="D4" s="16">
        <f t="shared" ref="D4:D68" si="4">D3+I3</f>
        <v>34134</v>
      </c>
      <c r="E4" s="16">
        <f t="shared" ref="E4:E68" si="5">D4+I4-1</f>
        <v>34135</v>
      </c>
      <c r="F4" s="15" t="s">
        <v>630</v>
      </c>
      <c r="G4" s="15" t="s">
        <v>315</v>
      </c>
      <c r="H4" s="15" t="s">
        <v>301</v>
      </c>
      <c r="I4" s="15">
        <v>2</v>
      </c>
      <c r="J4" s="15"/>
    </row>
    <row r="5" spans="1:12">
      <c r="A5" s="55"/>
      <c r="B5" s="16" t="str">
        <f t="shared" si="2"/>
        <v>0x8558</v>
      </c>
      <c r="C5" s="16" t="str">
        <f t="shared" si="3"/>
        <v>0x855B</v>
      </c>
      <c r="D5" s="16">
        <f t="shared" si="4"/>
        <v>34136</v>
      </c>
      <c r="E5" s="16">
        <f t="shared" si="5"/>
        <v>34139</v>
      </c>
      <c r="F5" s="15" t="s">
        <v>631</v>
      </c>
      <c r="G5" s="15" t="s">
        <v>365</v>
      </c>
      <c r="H5" s="15" t="s">
        <v>301</v>
      </c>
      <c r="I5" s="15">
        <v>4</v>
      </c>
      <c r="J5" s="15"/>
    </row>
    <row r="6" spans="1:12">
      <c r="A6" s="18"/>
      <c r="B6" s="16" t="str">
        <f t="shared" si="2"/>
        <v>0x855C</v>
      </c>
      <c r="C6" s="16" t="str">
        <f t="shared" si="3"/>
        <v>0x855D</v>
      </c>
      <c r="D6" s="16">
        <f t="shared" si="4"/>
        <v>34140</v>
      </c>
      <c r="E6" s="16">
        <f t="shared" si="5"/>
        <v>34141</v>
      </c>
      <c r="F6" s="15" t="s">
        <v>632</v>
      </c>
      <c r="G6" s="15" t="s">
        <v>315</v>
      </c>
      <c r="H6" s="15" t="s">
        <v>301</v>
      </c>
      <c r="I6" s="15">
        <v>2</v>
      </c>
      <c r="J6" s="15"/>
    </row>
    <row r="7" spans="1:12">
      <c r="A7" s="55"/>
      <c r="B7" s="16" t="str">
        <f t="shared" si="2"/>
        <v>0x855E</v>
      </c>
      <c r="C7" s="16" t="str">
        <f t="shared" si="3"/>
        <v>0x8561</v>
      </c>
      <c r="D7" s="16">
        <f t="shared" si="4"/>
        <v>34142</v>
      </c>
      <c r="E7" s="16">
        <f t="shared" si="5"/>
        <v>34145</v>
      </c>
      <c r="F7" s="15" t="s">
        <v>633</v>
      </c>
      <c r="G7" s="15" t="s">
        <v>365</v>
      </c>
      <c r="H7" s="15" t="s">
        <v>301</v>
      </c>
      <c r="I7" s="15">
        <v>4</v>
      </c>
      <c r="J7" s="15"/>
    </row>
    <row r="8" spans="1:12">
      <c r="A8" s="18"/>
      <c r="B8" s="16" t="str">
        <f t="shared" si="2"/>
        <v>0x8562</v>
      </c>
      <c r="C8" s="16" t="str">
        <f t="shared" si="3"/>
        <v>0x8563</v>
      </c>
      <c r="D8" s="16">
        <f t="shared" si="4"/>
        <v>34146</v>
      </c>
      <c r="E8" s="16">
        <f t="shared" si="5"/>
        <v>34147</v>
      </c>
      <c r="F8" s="15" t="s">
        <v>634</v>
      </c>
      <c r="G8" s="15" t="s">
        <v>315</v>
      </c>
      <c r="H8" s="15" t="s">
        <v>301</v>
      </c>
      <c r="I8" s="15">
        <v>2</v>
      </c>
      <c r="J8" s="15"/>
    </row>
    <row r="9" spans="1:12">
      <c r="A9" s="55"/>
      <c r="B9" s="16" t="str">
        <f t="shared" si="2"/>
        <v>0x8564</v>
      </c>
      <c r="C9" s="16" t="str">
        <f t="shared" si="3"/>
        <v>0x8567</v>
      </c>
      <c r="D9" s="16">
        <f t="shared" si="4"/>
        <v>34148</v>
      </c>
      <c r="E9" s="16">
        <f t="shared" si="5"/>
        <v>34151</v>
      </c>
      <c r="F9" s="15" t="s">
        <v>635</v>
      </c>
      <c r="G9" s="15" t="s">
        <v>365</v>
      </c>
      <c r="H9" s="15" t="s">
        <v>301</v>
      </c>
      <c r="I9" s="15">
        <v>4</v>
      </c>
      <c r="J9" s="15"/>
    </row>
    <row r="10" spans="1:12">
      <c r="A10" s="18"/>
      <c r="B10" s="16" t="str">
        <f t="shared" si="2"/>
        <v>0x8568</v>
      </c>
      <c r="C10" s="16" t="str">
        <f t="shared" si="3"/>
        <v>0x8569</v>
      </c>
      <c r="D10" s="16">
        <f t="shared" si="4"/>
        <v>34152</v>
      </c>
      <c r="E10" s="16">
        <f t="shared" si="5"/>
        <v>34153</v>
      </c>
      <c r="F10" s="15" t="s">
        <v>636</v>
      </c>
      <c r="G10" s="15" t="s">
        <v>315</v>
      </c>
      <c r="H10" s="15" t="s">
        <v>301</v>
      </c>
      <c r="I10" s="15">
        <v>2</v>
      </c>
      <c r="J10" s="15"/>
    </row>
    <row r="11" spans="1:12">
      <c r="A11" s="55"/>
      <c r="B11" s="16" t="str">
        <f t="shared" si="2"/>
        <v>0x856A</v>
      </c>
      <c r="C11" s="16" t="str">
        <f t="shared" si="3"/>
        <v>0x856D</v>
      </c>
      <c r="D11" s="16">
        <f t="shared" si="4"/>
        <v>34154</v>
      </c>
      <c r="E11" s="16">
        <f t="shared" si="5"/>
        <v>34157</v>
      </c>
      <c r="F11" s="15" t="s">
        <v>637</v>
      </c>
      <c r="G11" s="15" t="s">
        <v>365</v>
      </c>
      <c r="H11" s="15" t="s">
        <v>301</v>
      </c>
      <c r="I11" s="15">
        <v>4</v>
      </c>
      <c r="J11" s="15"/>
    </row>
    <row r="12" spans="1:12">
      <c r="A12" s="18"/>
      <c r="B12" s="16" t="str">
        <f t="shared" si="2"/>
        <v>0x856E</v>
      </c>
      <c r="C12" s="16" t="str">
        <f t="shared" si="3"/>
        <v>0x856F</v>
      </c>
      <c r="D12" s="16">
        <f t="shared" si="4"/>
        <v>34158</v>
      </c>
      <c r="E12" s="16">
        <f t="shared" si="5"/>
        <v>34159</v>
      </c>
      <c r="F12" s="15" t="s">
        <v>638</v>
      </c>
      <c r="G12" s="15" t="s">
        <v>315</v>
      </c>
      <c r="H12" s="15" t="s">
        <v>301</v>
      </c>
      <c r="I12" s="15">
        <v>2</v>
      </c>
      <c r="J12" s="15"/>
    </row>
    <row r="13" spans="1:12">
      <c r="A13" s="55"/>
      <c r="B13" s="16" t="str">
        <f t="shared" si="2"/>
        <v>0x8570</v>
      </c>
      <c r="C13" s="16" t="str">
        <f t="shared" si="3"/>
        <v>0x8573</v>
      </c>
      <c r="D13" s="16">
        <f t="shared" si="4"/>
        <v>34160</v>
      </c>
      <c r="E13" s="16">
        <f t="shared" si="5"/>
        <v>34163</v>
      </c>
      <c r="F13" s="15" t="s">
        <v>639</v>
      </c>
      <c r="G13" s="15" t="s">
        <v>365</v>
      </c>
      <c r="H13" s="15" t="s">
        <v>301</v>
      </c>
      <c r="I13" s="15">
        <v>4</v>
      </c>
      <c r="J13" s="15"/>
    </row>
    <row r="14" spans="1:12">
      <c r="A14" s="18"/>
      <c r="B14" s="16" t="str">
        <f t="shared" si="2"/>
        <v>0x8574</v>
      </c>
      <c r="C14" s="16" t="str">
        <f t="shared" si="3"/>
        <v>0x8575</v>
      </c>
      <c r="D14" s="16">
        <f t="shared" si="4"/>
        <v>34164</v>
      </c>
      <c r="E14" s="16">
        <f t="shared" si="5"/>
        <v>34165</v>
      </c>
      <c r="F14" s="15" t="s">
        <v>640</v>
      </c>
      <c r="G14" s="15" t="s">
        <v>315</v>
      </c>
      <c r="H14" s="15" t="s">
        <v>301</v>
      </c>
      <c r="I14" s="15">
        <v>2</v>
      </c>
      <c r="J14" s="15"/>
    </row>
    <row r="15" spans="1:12">
      <c r="A15" s="55"/>
      <c r="B15" s="16" t="str">
        <f t="shared" si="2"/>
        <v>0x8576</v>
      </c>
      <c r="C15" s="16" t="str">
        <f t="shared" si="3"/>
        <v>0x8579</v>
      </c>
      <c r="D15" s="16">
        <f t="shared" si="4"/>
        <v>34166</v>
      </c>
      <c r="E15" s="16">
        <f t="shared" si="5"/>
        <v>34169</v>
      </c>
      <c r="F15" s="15" t="s">
        <v>641</v>
      </c>
      <c r="G15" s="15" t="s">
        <v>365</v>
      </c>
      <c r="H15" s="15" t="s">
        <v>301</v>
      </c>
      <c r="I15" s="15">
        <v>4</v>
      </c>
      <c r="J15" s="15"/>
    </row>
    <row r="16" spans="1:12">
      <c r="A16" s="18"/>
      <c r="B16" s="16" t="str">
        <f t="shared" si="2"/>
        <v>0x857A</v>
      </c>
      <c r="C16" s="16" t="str">
        <f t="shared" si="3"/>
        <v>0x857B</v>
      </c>
      <c r="D16" s="16">
        <f t="shared" si="4"/>
        <v>34170</v>
      </c>
      <c r="E16" s="16">
        <f t="shared" si="5"/>
        <v>34171</v>
      </c>
      <c r="F16" s="15" t="s">
        <v>642</v>
      </c>
      <c r="G16" s="15" t="s">
        <v>315</v>
      </c>
      <c r="H16" s="15" t="s">
        <v>301</v>
      </c>
      <c r="I16" s="15">
        <v>2</v>
      </c>
      <c r="J16" s="15"/>
    </row>
    <row r="17" spans="1:10">
      <c r="A17" s="55"/>
      <c r="B17" s="16" t="str">
        <f t="shared" si="2"/>
        <v>0x857C</v>
      </c>
      <c r="C17" s="16" t="str">
        <f t="shared" si="3"/>
        <v>0x857F</v>
      </c>
      <c r="D17" s="16">
        <f t="shared" si="4"/>
        <v>34172</v>
      </c>
      <c r="E17" s="16">
        <f t="shared" si="5"/>
        <v>34175</v>
      </c>
      <c r="F17" s="15" t="s">
        <v>643</v>
      </c>
      <c r="G17" s="15" t="s">
        <v>365</v>
      </c>
      <c r="H17" s="15" t="s">
        <v>301</v>
      </c>
      <c r="I17" s="15">
        <v>4</v>
      </c>
      <c r="J17" s="15"/>
    </row>
    <row r="18" spans="1:10">
      <c r="A18" s="18"/>
      <c r="B18" s="16" t="str">
        <f t="shared" si="2"/>
        <v>0x8580</v>
      </c>
      <c r="C18" s="16" t="str">
        <f t="shared" si="3"/>
        <v>0x8581</v>
      </c>
      <c r="D18" s="16">
        <f t="shared" si="4"/>
        <v>34176</v>
      </c>
      <c r="E18" s="16">
        <f t="shared" si="5"/>
        <v>34177</v>
      </c>
      <c r="F18" s="15" t="s">
        <v>644</v>
      </c>
      <c r="G18" s="15" t="s">
        <v>315</v>
      </c>
      <c r="H18" s="15" t="s">
        <v>301</v>
      </c>
      <c r="I18" s="15">
        <v>2</v>
      </c>
      <c r="J18" s="15"/>
    </row>
    <row r="19" spans="1:10">
      <c r="A19" s="55"/>
      <c r="B19" s="16" t="str">
        <f t="shared" si="2"/>
        <v>0x8582</v>
      </c>
      <c r="C19" s="16" t="str">
        <f t="shared" si="3"/>
        <v>0x8585</v>
      </c>
      <c r="D19" s="16">
        <f t="shared" si="4"/>
        <v>34178</v>
      </c>
      <c r="E19" s="16">
        <f t="shared" si="5"/>
        <v>34181</v>
      </c>
      <c r="F19" s="15" t="s">
        <v>645</v>
      </c>
      <c r="G19" s="15" t="s">
        <v>365</v>
      </c>
      <c r="H19" s="15" t="s">
        <v>301</v>
      </c>
      <c r="I19" s="15">
        <v>4</v>
      </c>
      <c r="J19" s="15"/>
    </row>
    <row r="20" spans="1:10">
      <c r="A20" s="18"/>
      <c r="B20" s="16" t="str">
        <f t="shared" si="2"/>
        <v>0x8586</v>
      </c>
      <c r="C20" s="16" t="str">
        <f t="shared" si="3"/>
        <v>0x8587</v>
      </c>
      <c r="D20" s="16">
        <f t="shared" si="4"/>
        <v>34182</v>
      </c>
      <c r="E20" s="16">
        <f t="shared" si="5"/>
        <v>34183</v>
      </c>
      <c r="F20" s="15" t="s">
        <v>646</v>
      </c>
      <c r="G20" s="15" t="s">
        <v>315</v>
      </c>
      <c r="H20" s="15" t="s">
        <v>301</v>
      </c>
      <c r="I20" s="15">
        <v>2</v>
      </c>
      <c r="J20" s="15"/>
    </row>
    <row r="21" spans="1:10">
      <c r="A21" s="55"/>
      <c r="B21" s="16" t="str">
        <f t="shared" si="2"/>
        <v>0x8588</v>
      </c>
      <c r="C21" s="16" t="str">
        <f t="shared" si="3"/>
        <v>0x858B</v>
      </c>
      <c r="D21" s="16">
        <f t="shared" si="4"/>
        <v>34184</v>
      </c>
      <c r="E21" s="16">
        <f t="shared" si="5"/>
        <v>34187</v>
      </c>
      <c r="F21" s="15" t="s">
        <v>647</v>
      </c>
      <c r="G21" s="15" t="s">
        <v>365</v>
      </c>
      <c r="H21" s="15" t="s">
        <v>301</v>
      </c>
      <c r="I21" s="15">
        <v>4</v>
      </c>
      <c r="J21" s="15"/>
    </row>
    <row r="22" spans="1:10">
      <c r="A22" s="18"/>
      <c r="B22" s="16" t="str">
        <f t="shared" si="2"/>
        <v>0x858C</v>
      </c>
      <c r="C22" s="16" t="str">
        <f t="shared" si="3"/>
        <v>0x858D</v>
      </c>
      <c r="D22" s="16">
        <f t="shared" si="4"/>
        <v>34188</v>
      </c>
      <c r="E22" s="16">
        <f t="shared" si="5"/>
        <v>34189</v>
      </c>
      <c r="F22" s="15" t="s">
        <v>648</v>
      </c>
      <c r="G22" s="15" t="s">
        <v>315</v>
      </c>
      <c r="H22" s="15" t="s">
        <v>301</v>
      </c>
      <c r="I22" s="15">
        <v>2</v>
      </c>
      <c r="J22" s="15"/>
    </row>
    <row r="23" spans="1:10">
      <c r="A23" s="55"/>
      <c r="B23" s="16" t="str">
        <f t="shared" si="2"/>
        <v>0x858E</v>
      </c>
      <c r="C23" s="16" t="str">
        <f t="shared" si="3"/>
        <v>0x8591</v>
      </c>
      <c r="D23" s="16">
        <f t="shared" si="4"/>
        <v>34190</v>
      </c>
      <c r="E23" s="16">
        <f t="shared" si="5"/>
        <v>34193</v>
      </c>
      <c r="F23" s="15" t="s">
        <v>649</v>
      </c>
      <c r="G23" s="15" t="s">
        <v>365</v>
      </c>
      <c r="H23" s="15" t="s">
        <v>301</v>
      </c>
      <c r="I23" s="15">
        <v>4</v>
      </c>
      <c r="J23" s="15"/>
    </row>
    <row r="24" spans="1:10">
      <c r="A24" s="18"/>
      <c r="B24" s="16" t="str">
        <f t="shared" si="2"/>
        <v>0x8592</v>
      </c>
      <c r="C24" s="16" t="str">
        <f t="shared" si="3"/>
        <v>0x8593</v>
      </c>
      <c r="D24" s="16">
        <f t="shared" si="4"/>
        <v>34194</v>
      </c>
      <c r="E24" s="16">
        <f t="shared" si="5"/>
        <v>34195</v>
      </c>
      <c r="F24" s="15" t="s">
        <v>650</v>
      </c>
      <c r="G24" s="15" t="s">
        <v>315</v>
      </c>
      <c r="H24" s="15" t="s">
        <v>301</v>
      </c>
      <c r="I24" s="15">
        <v>2</v>
      </c>
      <c r="J24" s="15"/>
    </row>
    <row r="25" spans="1:10">
      <c r="A25" s="55"/>
      <c r="B25" s="16" t="str">
        <f t="shared" si="2"/>
        <v>0x8594</v>
      </c>
      <c r="C25" s="16" t="str">
        <f t="shared" si="3"/>
        <v>0x8597</v>
      </c>
      <c r="D25" s="16">
        <f t="shared" si="4"/>
        <v>34196</v>
      </c>
      <c r="E25" s="16">
        <f t="shared" si="5"/>
        <v>34199</v>
      </c>
      <c r="F25" s="15" t="s">
        <v>651</v>
      </c>
      <c r="G25" s="15" t="s">
        <v>365</v>
      </c>
      <c r="H25" s="15" t="s">
        <v>301</v>
      </c>
      <c r="I25" s="15">
        <v>4</v>
      </c>
      <c r="J25" s="15"/>
    </row>
    <row r="26" spans="1:10">
      <c r="A26" s="18"/>
      <c r="B26" s="16" t="str">
        <f t="shared" si="2"/>
        <v>0x8598</v>
      </c>
      <c r="C26" s="16" t="str">
        <f t="shared" si="3"/>
        <v>0x85DF</v>
      </c>
      <c r="D26" s="16">
        <f t="shared" si="4"/>
        <v>34200</v>
      </c>
      <c r="E26" s="16">
        <f t="shared" si="5"/>
        <v>34271</v>
      </c>
      <c r="F26" s="15" t="s">
        <v>652</v>
      </c>
      <c r="G26" s="15"/>
      <c r="H26" s="15" t="s">
        <v>301</v>
      </c>
      <c r="I26" s="15">
        <v>72</v>
      </c>
      <c r="J26" s="15"/>
    </row>
    <row r="27" spans="1:10">
      <c r="A27" s="18"/>
      <c r="B27" s="16" t="str">
        <f t="shared" si="2"/>
        <v>0x85E0</v>
      </c>
      <c r="C27" s="16" t="str">
        <f t="shared" si="3"/>
        <v>0x866F</v>
      </c>
      <c r="D27" s="16">
        <f t="shared" si="4"/>
        <v>34272</v>
      </c>
      <c r="E27" s="16">
        <f t="shared" si="5"/>
        <v>34415</v>
      </c>
      <c r="F27" s="15" t="s">
        <v>653</v>
      </c>
      <c r="G27" s="15"/>
      <c r="H27" s="15" t="s">
        <v>301</v>
      </c>
      <c r="I27" s="15">
        <v>144</v>
      </c>
      <c r="J27" s="15"/>
    </row>
    <row r="28" spans="1:10">
      <c r="A28" s="18"/>
      <c r="B28" s="16" t="str">
        <f t="shared" si="2"/>
        <v>0x8670</v>
      </c>
      <c r="C28" s="16" t="str">
        <f t="shared" si="3"/>
        <v>0x86FF</v>
      </c>
      <c r="D28" s="16">
        <f t="shared" si="4"/>
        <v>34416</v>
      </c>
      <c r="E28" s="16">
        <f t="shared" si="5"/>
        <v>34559</v>
      </c>
      <c r="F28" s="15" t="s">
        <v>654</v>
      </c>
      <c r="G28" s="15"/>
      <c r="H28" s="15" t="s">
        <v>301</v>
      </c>
      <c r="I28" s="15">
        <v>144</v>
      </c>
      <c r="J28" s="15"/>
    </row>
    <row r="29" spans="1:10">
      <c r="A29" s="18"/>
      <c r="B29" s="16" t="str">
        <f t="shared" si="2"/>
        <v>0x8700</v>
      </c>
      <c r="C29" s="16" t="str">
        <f t="shared" si="3"/>
        <v>0x878F</v>
      </c>
      <c r="D29" s="16">
        <f t="shared" si="4"/>
        <v>34560</v>
      </c>
      <c r="E29" s="16">
        <f t="shared" si="5"/>
        <v>34703</v>
      </c>
      <c r="F29" s="15" t="s">
        <v>655</v>
      </c>
      <c r="G29" s="15"/>
      <c r="H29" s="15" t="s">
        <v>301</v>
      </c>
      <c r="I29" s="15">
        <v>144</v>
      </c>
      <c r="J29" s="15"/>
    </row>
    <row r="30" spans="1:10">
      <c r="A30" s="18"/>
      <c r="B30" s="16" t="str">
        <f t="shared" si="2"/>
        <v>0x8790</v>
      </c>
      <c r="C30" s="16" t="str">
        <f t="shared" si="3"/>
        <v>0x881F</v>
      </c>
      <c r="D30" s="16">
        <f t="shared" si="4"/>
        <v>34704</v>
      </c>
      <c r="E30" s="16">
        <f t="shared" si="5"/>
        <v>34847</v>
      </c>
      <c r="F30" s="15" t="s">
        <v>656</v>
      </c>
      <c r="G30" s="15"/>
      <c r="H30" s="15" t="s">
        <v>301</v>
      </c>
      <c r="I30" s="15">
        <v>144</v>
      </c>
      <c r="J30" s="15"/>
    </row>
    <row r="31" spans="1:10">
      <c r="A31" s="18"/>
      <c r="B31" s="16" t="str">
        <f t="shared" si="2"/>
        <v>0x8820</v>
      </c>
      <c r="C31" s="16" t="str">
        <f t="shared" si="3"/>
        <v>0x8821</v>
      </c>
      <c r="D31" s="16">
        <f t="shared" si="4"/>
        <v>34848</v>
      </c>
      <c r="E31" s="16">
        <f t="shared" si="5"/>
        <v>34849</v>
      </c>
      <c r="F31" s="15" t="s">
        <v>657</v>
      </c>
      <c r="G31" s="15" t="s">
        <v>315</v>
      </c>
      <c r="H31" s="15" t="s">
        <v>301</v>
      </c>
      <c r="I31" s="15">
        <v>2</v>
      </c>
      <c r="J31" s="15"/>
    </row>
    <row r="32" spans="1:10">
      <c r="A32" s="55"/>
      <c r="B32" s="16" t="str">
        <f t="shared" si="2"/>
        <v>0x8822</v>
      </c>
      <c r="C32" s="16" t="str">
        <f t="shared" si="3"/>
        <v>0x8825</v>
      </c>
      <c r="D32" s="16">
        <f t="shared" si="4"/>
        <v>34850</v>
      </c>
      <c r="E32" s="16">
        <f t="shared" si="5"/>
        <v>34853</v>
      </c>
      <c r="F32" s="15" t="s">
        <v>658</v>
      </c>
      <c r="G32" s="15" t="s">
        <v>365</v>
      </c>
      <c r="H32" s="15" t="s">
        <v>301</v>
      </c>
      <c r="I32" s="15">
        <v>4</v>
      </c>
      <c r="J32" s="15"/>
    </row>
    <row r="33" spans="1:10">
      <c r="A33" s="18"/>
      <c r="B33" s="16" t="str">
        <f t="shared" si="2"/>
        <v>0x8826</v>
      </c>
      <c r="C33" s="16" t="str">
        <f t="shared" si="3"/>
        <v>0x8827</v>
      </c>
      <c r="D33" s="16">
        <f t="shared" si="4"/>
        <v>34854</v>
      </c>
      <c r="E33" s="16">
        <f t="shared" si="5"/>
        <v>34855</v>
      </c>
      <c r="F33" s="15" t="s">
        <v>659</v>
      </c>
      <c r="G33" s="15" t="s">
        <v>315</v>
      </c>
      <c r="H33" s="15" t="s">
        <v>301</v>
      </c>
      <c r="I33" s="15">
        <v>2</v>
      </c>
      <c r="J33" s="15"/>
    </row>
    <row r="34" spans="1:10">
      <c r="A34" s="55"/>
      <c r="B34" s="16" t="str">
        <f t="shared" si="2"/>
        <v>0x8828</v>
      </c>
      <c r="C34" s="16" t="str">
        <f t="shared" si="3"/>
        <v>0x882B</v>
      </c>
      <c r="D34" s="16">
        <f t="shared" si="4"/>
        <v>34856</v>
      </c>
      <c r="E34" s="16">
        <f t="shared" si="5"/>
        <v>34859</v>
      </c>
      <c r="F34" s="15" t="s">
        <v>660</v>
      </c>
      <c r="G34" s="15" t="s">
        <v>365</v>
      </c>
      <c r="H34" s="15" t="s">
        <v>301</v>
      </c>
      <c r="I34" s="15">
        <v>4</v>
      </c>
      <c r="J34" s="15"/>
    </row>
    <row r="35" spans="1:10">
      <c r="A35" s="18"/>
      <c r="B35" s="16" t="str">
        <f t="shared" si="2"/>
        <v>0x882C</v>
      </c>
      <c r="C35" s="16" t="str">
        <f t="shared" si="3"/>
        <v>0x882D</v>
      </c>
      <c r="D35" s="16">
        <f t="shared" si="4"/>
        <v>34860</v>
      </c>
      <c r="E35" s="16">
        <f t="shared" si="5"/>
        <v>34861</v>
      </c>
      <c r="F35" s="15" t="s">
        <v>661</v>
      </c>
      <c r="G35" s="15" t="s">
        <v>315</v>
      </c>
      <c r="H35" s="15" t="s">
        <v>301</v>
      </c>
      <c r="I35" s="15">
        <v>2</v>
      </c>
      <c r="J35" s="15"/>
    </row>
    <row r="36" spans="1:10">
      <c r="A36" s="55"/>
      <c r="B36" s="16" t="str">
        <f t="shared" si="2"/>
        <v>0x882E</v>
      </c>
      <c r="C36" s="16" t="str">
        <f t="shared" si="3"/>
        <v>0x8831</v>
      </c>
      <c r="D36" s="16">
        <f t="shared" si="4"/>
        <v>34862</v>
      </c>
      <c r="E36" s="16">
        <f t="shared" si="5"/>
        <v>34865</v>
      </c>
      <c r="F36" s="15" t="s">
        <v>662</v>
      </c>
      <c r="G36" s="15" t="s">
        <v>365</v>
      </c>
      <c r="H36" s="15" t="s">
        <v>301</v>
      </c>
      <c r="I36" s="15">
        <v>4</v>
      </c>
      <c r="J36" s="15"/>
    </row>
    <row r="37" spans="1:10">
      <c r="A37" s="18"/>
      <c r="B37" s="16" t="str">
        <f t="shared" si="2"/>
        <v>0x8832</v>
      </c>
      <c r="C37" s="16" t="str">
        <f t="shared" si="3"/>
        <v>0x8833</v>
      </c>
      <c r="D37" s="16">
        <f t="shared" si="4"/>
        <v>34866</v>
      </c>
      <c r="E37" s="16">
        <f t="shared" si="5"/>
        <v>34867</v>
      </c>
      <c r="F37" s="15" t="s">
        <v>663</v>
      </c>
      <c r="G37" s="15" t="s">
        <v>315</v>
      </c>
      <c r="H37" s="15" t="s">
        <v>301</v>
      </c>
      <c r="I37" s="15">
        <v>2</v>
      </c>
      <c r="J37" s="15"/>
    </row>
    <row r="38" spans="1:10">
      <c r="A38" s="55"/>
      <c r="B38" s="16" t="str">
        <f t="shared" si="2"/>
        <v>0x8834</v>
      </c>
      <c r="C38" s="16" t="str">
        <f t="shared" si="3"/>
        <v>0x8837</v>
      </c>
      <c r="D38" s="16">
        <f t="shared" si="4"/>
        <v>34868</v>
      </c>
      <c r="E38" s="16">
        <f t="shared" si="5"/>
        <v>34871</v>
      </c>
      <c r="F38" s="15" t="s">
        <v>664</v>
      </c>
      <c r="G38" s="15" t="s">
        <v>365</v>
      </c>
      <c r="H38" s="15" t="s">
        <v>301</v>
      </c>
      <c r="I38" s="15">
        <v>4</v>
      </c>
      <c r="J38" s="15"/>
    </row>
    <row r="39" spans="1:10">
      <c r="A39" s="18"/>
      <c r="B39" s="16" t="str">
        <f t="shared" si="2"/>
        <v>0x8838</v>
      </c>
      <c r="C39" s="16" t="str">
        <f t="shared" si="3"/>
        <v>0x8839</v>
      </c>
      <c r="D39" s="16">
        <f t="shared" si="4"/>
        <v>34872</v>
      </c>
      <c r="E39" s="16">
        <f t="shared" si="5"/>
        <v>34873</v>
      </c>
      <c r="F39" s="15" t="s">
        <v>665</v>
      </c>
      <c r="G39" s="15" t="s">
        <v>315</v>
      </c>
      <c r="H39" s="15" t="s">
        <v>301</v>
      </c>
      <c r="I39" s="15">
        <v>2</v>
      </c>
      <c r="J39" s="15"/>
    </row>
    <row r="40" spans="1:10">
      <c r="A40" s="55"/>
      <c r="B40" s="16" t="str">
        <f t="shared" si="2"/>
        <v>0x883A</v>
      </c>
      <c r="C40" s="16" t="str">
        <f t="shared" si="3"/>
        <v>0x883D</v>
      </c>
      <c r="D40" s="16">
        <f t="shared" si="4"/>
        <v>34874</v>
      </c>
      <c r="E40" s="16">
        <f t="shared" si="5"/>
        <v>34877</v>
      </c>
      <c r="F40" s="15" t="s">
        <v>666</v>
      </c>
      <c r="G40" s="15" t="s">
        <v>365</v>
      </c>
      <c r="H40" s="15" t="s">
        <v>301</v>
      </c>
      <c r="I40" s="15">
        <v>4</v>
      </c>
      <c r="J40" s="15"/>
    </row>
    <row r="41" spans="1:10">
      <c r="A41" s="18"/>
      <c r="B41" s="16" t="str">
        <f t="shared" si="2"/>
        <v>0x883E</v>
      </c>
      <c r="C41" s="16" t="str">
        <f t="shared" si="3"/>
        <v>0x883F</v>
      </c>
      <c r="D41" s="16">
        <f t="shared" si="4"/>
        <v>34878</v>
      </c>
      <c r="E41" s="16">
        <f t="shared" si="5"/>
        <v>34879</v>
      </c>
      <c r="F41" s="15" t="s">
        <v>667</v>
      </c>
      <c r="G41" s="15" t="s">
        <v>315</v>
      </c>
      <c r="H41" s="15" t="s">
        <v>301</v>
      </c>
      <c r="I41" s="15">
        <v>2</v>
      </c>
      <c r="J41" s="15"/>
    </row>
    <row r="42" spans="1:10">
      <c r="A42" s="55"/>
      <c r="B42" s="16" t="str">
        <f t="shared" si="2"/>
        <v>0x8840</v>
      </c>
      <c r="C42" s="16" t="str">
        <f t="shared" si="3"/>
        <v>0x8843</v>
      </c>
      <c r="D42" s="16">
        <f t="shared" si="4"/>
        <v>34880</v>
      </c>
      <c r="E42" s="16">
        <f t="shared" si="5"/>
        <v>34883</v>
      </c>
      <c r="F42" s="15" t="s">
        <v>668</v>
      </c>
      <c r="G42" s="15" t="s">
        <v>365</v>
      </c>
      <c r="H42" s="15" t="s">
        <v>301</v>
      </c>
      <c r="I42" s="15">
        <v>4</v>
      </c>
      <c r="J42" s="15"/>
    </row>
    <row r="43" spans="1:10">
      <c r="A43" s="18"/>
      <c r="B43" s="16" t="str">
        <f t="shared" si="2"/>
        <v>0x8844</v>
      </c>
      <c r="C43" s="16" t="str">
        <f t="shared" si="3"/>
        <v>0x8845</v>
      </c>
      <c r="D43" s="16">
        <f t="shared" si="4"/>
        <v>34884</v>
      </c>
      <c r="E43" s="16">
        <f t="shared" si="5"/>
        <v>34885</v>
      </c>
      <c r="F43" s="15" t="s">
        <v>669</v>
      </c>
      <c r="G43" s="15" t="s">
        <v>315</v>
      </c>
      <c r="H43" s="15" t="s">
        <v>301</v>
      </c>
      <c r="I43" s="15">
        <v>2</v>
      </c>
      <c r="J43" s="15"/>
    </row>
    <row r="44" spans="1:10">
      <c r="A44" s="55"/>
      <c r="B44" s="16" t="str">
        <f t="shared" si="2"/>
        <v>0x8846</v>
      </c>
      <c r="C44" s="16" t="str">
        <f t="shared" si="3"/>
        <v>0x8849</v>
      </c>
      <c r="D44" s="16">
        <f t="shared" si="4"/>
        <v>34886</v>
      </c>
      <c r="E44" s="16">
        <f t="shared" si="5"/>
        <v>34889</v>
      </c>
      <c r="F44" s="15" t="s">
        <v>670</v>
      </c>
      <c r="G44" s="15" t="s">
        <v>365</v>
      </c>
      <c r="H44" s="15" t="s">
        <v>301</v>
      </c>
      <c r="I44" s="15">
        <v>4</v>
      </c>
      <c r="J44" s="15"/>
    </row>
    <row r="45" spans="1:10">
      <c r="A45" s="18"/>
      <c r="B45" s="16" t="str">
        <f t="shared" si="2"/>
        <v>0x884A</v>
      </c>
      <c r="C45" s="16" t="str">
        <f t="shared" si="3"/>
        <v>0x884B</v>
      </c>
      <c r="D45" s="16">
        <f t="shared" si="4"/>
        <v>34890</v>
      </c>
      <c r="E45" s="16">
        <f t="shared" si="5"/>
        <v>34891</v>
      </c>
      <c r="F45" s="15" t="s">
        <v>671</v>
      </c>
      <c r="G45" s="15" t="s">
        <v>315</v>
      </c>
      <c r="H45" s="15" t="s">
        <v>301</v>
      </c>
      <c r="I45" s="15">
        <v>2</v>
      </c>
      <c r="J45" s="15"/>
    </row>
    <row r="46" spans="1:10">
      <c r="A46" s="55"/>
      <c r="B46" s="16" t="str">
        <f t="shared" si="2"/>
        <v>0x884C</v>
      </c>
      <c r="C46" s="16" t="str">
        <f t="shared" si="3"/>
        <v>0x884F</v>
      </c>
      <c r="D46" s="16">
        <f t="shared" si="4"/>
        <v>34892</v>
      </c>
      <c r="E46" s="16">
        <f t="shared" si="5"/>
        <v>34895</v>
      </c>
      <c r="F46" s="15" t="s">
        <v>672</v>
      </c>
      <c r="G46" s="15" t="s">
        <v>365</v>
      </c>
      <c r="H46" s="15" t="s">
        <v>301</v>
      </c>
      <c r="I46" s="15">
        <v>4</v>
      </c>
      <c r="J46" s="15"/>
    </row>
    <row r="47" spans="1:10">
      <c r="A47" s="18"/>
      <c r="B47" s="16" t="str">
        <f t="shared" si="2"/>
        <v>0x8850</v>
      </c>
      <c r="C47" s="16" t="str">
        <f t="shared" si="3"/>
        <v>0x8851</v>
      </c>
      <c r="D47" s="16">
        <f t="shared" si="4"/>
        <v>34896</v>
      </c>
      <c r="E47" s="16">
        <f t="shared" si="5"/>
        <v>34897</v>
      </c>
      <c r="F47" s="15" t="s">
        <v>673</v>
      </c>
      <c r="G47" s="15" t="s">
        <v>315</v>
      </c>
      <c r="H47" s="15" t="s">
        <v>301</v>
      </c>
      <c r="I47" s="15">
        <v>2</v>
      </c>
      <c r="J47" s="15"/>
    </row>
    <row r="48" spans="1:10">
      <c r="A48" s="55"/>
      <c r="B48" s="16" t="str">
        <f t="shared" si="2"/>
        <v>0x8852</v>
      </c>
      <c r="C48" s="16" t="str">
        <f t="shared" si="3"/>
        <v>0x8855</v>
      </c>
      <c r="D48" s="16">
        <f t="shared" si="4"/>
        <v>34898</v>
      </c>
      <c r="E48" s="16">
        <f t="shared" si="5"/>
        <v>34901</v>
      </c>
      <c r="F48" s="15" t="s">
        <v>674</v>
      </c>
      <c r="G48" s="15" t="s">
        <v>365</v>
      </c>
      <c r="H48" s="15" t="s">
        <v>301</v>
      </c>
      <c r="I48" s="15">
        <v>4</v>
      </c>
      <c r="J48" s="15"/>
    </row>
    <row r="49" spans="1:10">
      <c r="A49" s="18"/>
      <c r="B49" s="16" t="str">
        <f t="shared" si="2"/>
        <v>0x8856</v>
      </c>
      <c r="C49" s="16" t="str">
        <f t="shared" si="3"/>
        <v>0x8857</v>
      </c>
      <c r="D49" s="16">
        <f t="shared" si="4"/>
        <v>34902</v>
      </c>
      <c r="E49" s="16">
        <f t="shared" si="5"/>
        <v>34903</v>
      </c>
      <c r="F49" s="15" t="s">
        <v>675</v>
      </c>
      <c r="G49" s="15" t="s">
        <v>315</v>
      </c>
      <c r="H49" s="15" t="s">
        <v>301</v>
      </c>
      <c r="I49" s="15">
        <v>2</v>
      </c>
      <c r="J49" s="15"/>
    </row>
    <row r="50" spans="1:10">
      <c r="A50" s="55"/>
      <c r="B50" s="16" t="str">
        <f t="shared" si="2"/>
        <v>0x8858</v>
      </c>
      <c r="C50" s="16" t="str">
        <f t="shared" si="3"/>
        <v>0x885B</v>
      </c>
      <c r="D50" s="16">
        <f t="shared" si="4"/>
        <v>34904</v>
      </c>
      <c r="E50" s="16">
        <f t="shared" si="5"/>
        <v>34907</v>
      </c>
      <c r="F50" s="15" t="s">
        <v>676</v>
      </c>
      <c r="G50" s="15" t="s">
        <v>365</v>
      </c>
      <c r="H50" s="15" t="s">
        <v>301</v>
      </c>
      <c r="I50" s="15">
        <v>4</v>
      </c>
      <c r="J50" s="15"/>
    </row>
    <row r="51" spans="1:10">
      <c r="A51" s="18"/>
      <c r="B51" s="16" t="str">
        <f t="shared" si="2"/>
        <v>0x885C</v>
      </c>
      <c r="C51" s="16" t="str">
        <f t="shared" si="3"/>
        <v>0x885D</v>
      </c>
      <c r="D51" s="16">
        <f t="shared" si="4"/>
        <v>34908</v>
      </c>
      <c r="E51" s="16">
        <f t="shared" si="5"/>
        <v>34909</v>
      </c>
      <c r="F51" s="15" t="s">
        <v>677</v>
      </c>
      <c r="G51" s="15" t="s">
        <v>315</v>
      </c>
      <c r="H51" s="15" t="s">
        <v>301</v>
      </c>
      <c r="I51" s="15">
        <v>2</v>
      </c>
      <c r="J51" s="15"/>
    </row>
    <row r="52" spans="1:10">
      <c r="A52" s="55"/>
      <c r="B52" s="16" t="str">
        <f t="shared" si="2"/>
        <v>0x885E</v>
      </c>
      <c r="C52" s="16" t="str">
        <f t="shared" si="3"/>
        <v>0x8861</v>
      </c>
      <c r="D52" s="16">
        <f t="shared" si="4"/>
        <v>34910</v>
      </c>
      <c r="E52" s="16">
        <f t="shared" si="5"/>
        <v>34913</v>
      </c>
      <c r="F52" s="15" t="s">
        <v>678</v>
      </c>
      <c r="G52" s="15" t="s">
        <v>365</v>
      </c>
      <c r="H52" s="15" t="s">
        <v>301</v>
      </c>
      <c r="I52" s="15">
        <v>4</v>
      </c>
      <c r="J52" s="15"/>
    </row>
    <row r="53" spans="1:10">
      <c r="A53" s="18"/>
      <c r="B53" s="16" t="str">
        <f t="shared" si="2"/>
        <v>0x8862</v>
      </c>
      <c r="C53" s="16" t="str">
        <f t="shared" si="3"/>
        <v>0x8863</v>
      </c>
      <c r="D53" s="16">
        <f t="shared" si="4"/>
        <v>34914</v>
      </c>
      <c r="E53" s="16">
        <f t="shared" si="5"/>
        <v>34915</v>
      </c>
      <c r="F53" s="15" t="s">
        <v>679</v>
      </c>
      <c r="G53" s="15" t="s">
        <v>315</v>
      </c>
      <c r="H53" s="15" t="s">
        <v>301</v>
      </c>
      <c r="I53" s="15">
        <v>2</v>
      </c>
      <c r="J53" s="15"/>
    </row>
    <row r="54" spans="1:10">
      <c r="A54" s="55"/>
      <c r="B54" s="16" t="str">
        <f t="shared" si="2"/>
        <v>0x8864</v>
      </c>
      <c r="C54" s="16" t="str">
        <f t="shared" si="3"/>
        <v>0x8867</v>
      </c>
      <c r="D54" s="16">
        <f t="shared" si="4"/>
        <v>34916</v>
      </c>
      <c r="E54" s="16">
        <f t="shared" si="5"/>
        <v>34919</v>
      </c>
      <c r="F54" s="15" t="s">
        <v>680</v>
      </c>
      <c r="G54" s="15" t="s">
        <v>365</v>
      </c>
      <c r="H54" s="15" t="s">
        <v>301</v>
      </c>
      <c r="I54" s="15">
        <v>4</v>
      </c>
      <c r="J54" s="15"/>
    </row>
    <row r="55" spans="1:10">
      <c r="A55" s="18"/>
      <c r="B55" s="16" t="str">
        <f t="shared" si="2"/>
        <v>0x8868</v>
      </c>
      <c r="C55" s="16" t="str">
        <f t="shared" si="3"/>
        <v>0x8869</v>
      </c>
      <c r="D55" s="16">
        <f t="shared" si="4"/>
        <v>34920</v>
      </c>
      <c r="E55" s="16">
        <f t="shared" si="5"/>
        <v>34921</v>
      </c>
      <c r="F55" s="15" t="s">
        <v>681</v>
      </c>
      <c r="G55" s="15" t="s">
        <v>315</v>
      </c>
      <c r="H55" s="15" t="s">
        <v>301</v>
      </c>
      <c r="I55" s="15">
        <v>2</v>
      </c>
      <c r="J55" s="15"/>
    </row>
    <row r="56" spans="1:10">
      <c r="A56" s="55"/>
      <c r="B56" s="16" t="str">
        <f t="shared" si="2"/>
        <v>0x886A</v>
      </c>
      <c r="C56" s="16" t="str">
        <f t="shared" si="3"/>
        <v>0x886D</v>
      </c>
      <c r="D56" s="16">
        <f t="shared" si="4"/>
        <v>34922</v>
      </c>
      <c r="E56" s="16">
        <f t="shared" si="5"/>
        <v>34925</v>
      </c>
      <c r="F56" s="15" t="s">
        <v>682</v>
      </c>
      <c r="G56" s="15" t="s">
        <v>365</v>
      </c>
      <c r="H56" s="15" t="s">
        <v>301</v>
      </c>
      <c r="I56" s="15">
        <v>4</v>
      </c>
      <c r="J56" s="15"/>
    </row>
    <row r="57" spans="1:10">
      <c r="A57" s="18"/>
      <c r="B57" s="16" t="str">
        <f t="shared" si="2"/>
        <v>0x886E</v>
      </c>
      <c r="C57" s="16" t="str">
        <f t="shared" si="3"/>
        <v>0x886F</v>
      </c>
      <c r="D57" s="16">
        <f t="shared" si="4"/>
        <v>34926</v>
      </c>
      <c r="E57" s="16">
        <f t="shared" si="5"/>
        <v>34927</v>
      </c>
      <c r="F57" s="15" t="s">
        <v>683</v>
      </c>
      <c r="G57" s="15" t="s">
        <v>315</v>
      </c>
      <c r="H57" s="15" t="s">
        <v>301</v>
      </c>
      <c r="I57" s="15">
        <v>2</v>
      </c>
      <c r="J57" s="15"/>
    </row>
    <row r="58" spans="1:10">
      <c r="A58" s="55"/>
      <c r="B58" s="16" t="str">
        <f t="shared" si="2"/>
        <v>0x8870</v>
      </c>
      <c r="C58" s="16" t="str">
        <f t="shared" si="3"/>
        <v>0x8873</v>
      </c>
      <c r="D58" s="16">
        <f t="shared" si="4"/>
        <v>34928</v>
      </c>
      <c r="E58" s="16">
        <f t="shared" si="5"/>
        <v>34931</v>
      </c>
      <c r="F58" s="15" t="s">
        <v>684</v>
      </c>
      <c r="G58" s="15" t="s">
        <v>365</v>
      </c>
      <c r="H58" s="15" t="s">
        <v>301</v>
      </c>
      <c r="I58" s="15">
        <v>4</v>
      </c>
      <c r="J58" s="15"/>
    </row>
    <row r="59" spans="1:10">
      <c r="A59" s="18"/>
      <c r="B59" s="16" t="str">
        <f t="shared" si="2"/>
        <v>0x8874</v>
      </c>
      <c r="C59" s="16" t="str">
        <f t="shared" si="3"/>
        <v>0x8875</v>
      </c>
      <c r="D59" s="16">
        <f t="shared" si="4"/>
        <v>34932</v>
      </c>
      <c r="E59" s="16">
        <f t="shared" si="5"/>
        <v>34933</v>
      </c>
      <c r="F59" s="15" t="s">
        <v>685</v>
      </c>
      <c r="G59" s="15" t="s">
        <v>315</v>
      </c>
      <c r="H59" s="15" t="s">
        <v>301</v>
      </c>
      <c r="I59" s="15">
        <v>2</v>
      </c>
      <c r="J59" s="15"/>
    </row>
    <row r="60" spans="1:10">
      <c r="A60" s="55"/>
      <c r="B60" s="16" t="str">
        <f t="shared" si="2"/>
        <v>0x8876</v>
      </c>
      <c r="C60" s="16" t="str">
        <f t="shared" si="3"/>
        <v>0x8879</v>
      </c>
      <c r="D60" s="16">
        <f t="shared" si="4"/>
        <v>34934</v>
      </c>
      <c r="E60" s="16">
        <f t="shared" si="5"/>
        <v>34937</v>
      </c>
      <c r="F60" s="15" t="s">
        <v>686</v>
      </c>
      <c r="G60" s="15" t="s">
        <v>365</v>
      </c>
      <c r="H60" s="15" t="s">
        <v>301</v>
      </c>
      <c r="I60" s="15">
        <v>4</v>
      </c>
      <c r="J60" s="15"/>
    </row>
    <row r="61" spans="1:10">
      <c r="A61" s="18"/>
      <c r="B61" s="16" t="str">
        <f t="shared" si="2"/>
        <v>0x887A</v>
      </c>
      <c r="C61" s="16" t="str">
        <f t="shared" si="3"/>
        <v>0x887B</v>
      </c>
      <c r="D61" s="16">
        <f t="shared" si="4"/>
        <v>34938</v>
      </c>
      <c r="E61" s="16">
        <f t="shared" si="5"/>
        <v>34939</v>
      </c>
      <c r="F61" s="15" t="s">
        <v>687</v>
      </c>
      <c r="G61" s="15" t="s">
        <v>315</v>
      </c>
      <c r="H61" s="15" t="s">
        <v>301</v>
      </c>
      <c r="I61" s="15">
        <v>2</v>
      </c>
      <c r="J61" s="15"/>
    </row>
    <row r="62" spans="1:10">
      <c r="A62" s="55"/>
      <c r="B62" s="16" t="str">
        <f t="shared" si="2"/>
        <v>0x887C</v>
      </c>
      <c r="C62" s="16" t="str">
        <f t="shared" si="3"/>
        <v>0x887F</v>
      </c>
      <c r="D62" s="16">
        <f t="shared" si="4"/>
        <v>34940</v>
      </c>
      <c r="E62" s="16">
        <f t="shared" si="5"/>
        <v>34943</v>
      </c>
      <c r="F62" s="15" t="s">
        <v>688</v>
      </c>
      <c r="G62" s="15" t="s">
        <v>365</v>
      </c>
      <c r="H62" s="15" t="s">
        <v>301</v>
      </c>
      <c r="I62" s="15">
        <v>4</v>
      </c>
      <c r="J62" s="15"/>
    </row>
    <row r="63" spans="1:10">
      <c r="A63" s="18"/>
      <c r="B63" s="16" t="str">
        <f t="shared" si="2"/>
        <v>0x8880</v>
      </c>
      <c r="C63" s="16" t="str">
        <f t="shared" si="3"/>
        <v>0x8881</v>
      </c>
      <c r="D63" s="16">
        <f t="shared" si="4"/>
        <v>34944</v>
      </c>
      <c r="E63" s="16">
        <f t="shared" si="5"/>
        <v>34945</v>
      </c>
      <c r="F63" s="15" t="s">
        <v>689</v>
      </c>
      <c r="G63" s="15" t="s">
        <v>315</v>
      </c>
      <c r="H63" s="15" t="s">
        <v>301</v>
      </c>
      <c r="I63" s="15">
        <v>2</v>
      </c>
      <c r="J63" s="15"/>
    </row>
    <row r="64" spans="1:10">
      <c r="A64" s="55"/>
      <c r="B64" s="16" t="str">
        <f t="shared" si="2"/>
        <v>0x8882</v>
      </c>
      <c r="C64" s="16" t="str">
        <f t="shared" si="3"/>
        <v>0x8885</v>
      </c>
      <c r="D64" s="16">
        <f t="shared" si="4"/>
        <v>34946</v>
      </c>
      <c r="E64" s="16">
        <f t="shared" si="5"/>
        <v>34949</v>
      </c>
      <c r="F64" s="15" t="s">
        <v>690</v>
      </c>
      <c r="G64" s="15" t="s">
        <v>365</v>
      </c>
      <c r="H64" s="15" t="s">
        <v>301</v>
      </c>
      <c r="I64" s="15">
        <v>4</v>
      </c>
      <c r="J64" s="15"/>
    </row>
    <row r="65" spans="1:10">
      <c r="A65" s="55"/>
      <c r="B65" s="16" t="str">
        <f t="shared" ref="B65" si="6">"0x"&amp;DEC2HEX(D65,4)</f>
        <v>0x8886</v>
      </c>
      <c r="C65" s="16" t="str">
        <f t="shared" ref="C65" si="7">"0x"&amp;DEC2HEX(E65,4)</f>
        <v>0x8886</v>
      </c>
      <c r="D65" s="16">
        <f t="shared" ref="D65" si="8">D64+I64</f>
        <v>34950</v>
      </c>
      <c r="E65" s="16">
        <f t="shared" ref="E65" si="9">D65+I65-1</f>
        <v>34950</v>
      </c>
      <c r="F65" s="50" t="s">
        <v>438</v>
      </c>
      <c r="G65" s="21" t="s">
        <v>146</v>
      </c>
      <c r="H65" s="21" t="s">
        <v>147</v>
      </c>
      <c r="I65" s="21">
        <v>1</v>
      </c>
      <c r="J65" s="21" t="s">
        <v>439</v>
      </c>
    </row>
    <row r="66" spans="1:10">
      <c r="A66" s="18"/>
      <c r="B66" s="16" t="str">
        <f t="shared" ref="B66" si="10">"0x"&amp;DEC2HEX(D66,4)</f>
        <v>0x8887</v>
      </c>
      <c r="C66" s="16" t="str">
        <f t="shared" ref="C66" si="11">"0x"&amp;DEC2HEX(E66,4)</f>
        <v>0x8888</v>
      </c>
      <c r="D66" s="16">
        <f t="shared" ref="D66" si="12">D65+I65</f>
        <v>34951</v>
      </c>
      <c r="E66" s="16">
        <f t="shared" ref="E66" si="13">D66+I66-1</f>
        <v>34952</v>
      </c>
      <c r="F66" s="15" t="s">
        <v>691</v>
      </c>
      <c r="G66" s="15" t="s">
        <v>315</v>
      </c>
      <c r="H66" s="15" t="s">
        <v>301</v>
      </c>
      <c r="I66" s="15">
        <v>2</v>
      </c>
      <c r="J66" s="15"/>
    </row>
    <row r="67" spans="1:10">
      <c r="A67" s="55"/>
      <c r="B67" s="16" t="str">
        <f t="shared" si="2"/>
        <v>0x8889</v>
      </c>
      <c r="C67" s="16" t="str">
        <f t="shared" si="3"/>
        <v>0x888C</v>
      </c>
      <c r="D67" s="16">
        <f t="shared" si="4"/>
        <v>34953</v>
      </c>
      <c r="E67" s="16">
        <f t="shared" si="5"/>
        <v>34956</v>
      </c>
      <c r="F67" s="15" t="s">
        <v>692</v>
      </c>
      <c r="G67" s="15" t="s">
        <v>365</v>
      </c>
      <c r="H67" s="15" t="s">
        <v>301</v>
      </c>
      <c r="I67" s="15">
        <v>4</v>
      </c>
      <c r="J67" s="15"/>
    </row>
    <row r="68" spans="1:10">
      <c r="A68" s="18"/>
      <c r="B68" s="16" t="str">
        <f t="shared" si="2"/>
        <v>0x888D</v>
      </c>
      <c r="C68" s="16" t="str">
        <f t="shared" si="3"/>
        <v>0x888E</v>
      </c>
      <c r="D68" s="16">
        <f t="shared" si="4"/>
        <v>34957</v>
      </c>
      <c r="E68" s="16">
        <f t="shared" si="5"/>
        <v>34958</v>
      </c>
      <c r="F68" s="15" t="s">
        <v>693</v>
      </c>
      <c r="G68" s="15" t="s">
        <v>315</v>
      </c>
      <c r="H68" s="15" t="s">
        <v>301</v>
      </c>
      <c r="I68" s="15">
        <v>2</v>
      </c>
      <c r="J68" s="15"/>
    </row>
    <row r="69" spans="1:10">
      <c r="A69" s="55"/>
      <c r="B69" s="16" t="str">
        <f t="shared" ref="B69:B107" si="14">"0x"&amp;DEC2HEX(D69,4)</f>
        <v>0x888F</v>
      </c>
      <c r="C69" s="16" t="str">
        <f t="shared" ref="C69:C107" si="15">"0x"&amp;DEC2HEX(E69,4)</f>
        <v>0x8892</v>
      </c>
      <c r="D69" s="16">
        <f t="shared" ref="D69:D107" si="16">D68+I68</f>
        <v>34959</v>
      </c>
      <c r="E69" s="16">
        <f t="shared" ref="E69:E107" si="17">D69+I69-1</f>
        <v>34962</v>
      </c>
      <c r="F69" s="15" t="s">
        <v>694</v>
      </c>
      <c r="G69" s="15" t="s">
        <v>365</v>
      </c>
      <c r="H69" s="15" t="s">
        <v>301</v>
      </c>
      <c r="I69" s="15">
        <v>4</v>
      </c>
      <c r="J69" s="15"/>
    </row>
    <row r="70" spans="1:10">
      <c r="A70" s="18"/>
      <c r="B70" s="16" t="str">
        <f t="shared" si="14"/>
        <v>0x8893</v>
      </c>
      <c r="C70" s="16" t="str">
        <f t="shared" si="15"/>
        <v>0x8894</v>
      </c>
      <c r="D70" s="16">
        <f t="shared" si="16"/>
        <v>34963</v>
      </c>
      <c r="E70" s="16">
        <f t="shared" si="17"/>
        <v>34964</v>
      </c>
      <c r="F70" s="15" t="s">
        <v>695</v>
      </c>
      <c r="G70" s="15" t="s">
        <v>315</v>
      </c>
      <c r="H70" s="15" t="s">
        <v>301</v>
      </c>
      <c r="I70" s="15">
        <v>2</v>
      </c>
      <c r="J70" s="15"/>
    </row>
    <row r="71" spans="1:10">
      <c r="A71" s="55"/>
      <c r="B71" s="16" t="str">
        <f t="shared" si="14"/>
        <v>0x8895</v>
      </c>
      <c r="C71" s="16" t="str">
        <f t="shared" si="15"/>
        <v>0x8898</v>
      </c>
      <c r="D71" s="16">
        <f t="shared" si="16"/>
        <v>34965</v>
      </c>
      <c r="E71" s="16">
        <f t="shared" si="17"/>
        <v>34968</v>
      </c>
      <c r="F71" s="15" t="s">
        <v>696</v>
      </c>
      <c r="G71" s="15" t="s">
        <v>365</v>
      </c>
      <c r="H71" s="15" t="s">
        <v>301</v>
      </c>
      <c r="I71" s="15">
        <v>4</v>
      </c>
      <c r="J71" s="15"/>
    </row>
    <row r="72" spans="1:10">
      <c r="A72" s="18"/>
      <c r="B72" s="16" t="str">
        <f t="shared" si="14"/>
        <v>0x8899</v>
      </c>
      <c r="C72" s="16" t="str">
        <f t="shared" si="15"/>
        <v>0x889A</v>
      </c>
      <c r="D72" s="16">
        <f t="shared" si="16"/>
        <v>34969</v>
      </c>
      <c r="E72" s="16">
        <f t="shared" si="17"/>
        <v>34970</v>
      </c>
      <c r="F72" s="15" t="s">
        <v>697</v>
      </c>
      <c r="G72" s="15" t="s">
        <v>315</v>
      </c>
      <c r="H72" s="15" t="s">
        <v>301</v>
      </c>
      <c r="I72" s="15">
        <v>2</v>
      </c>
      <c r="J72" s="15"/>
    </row>
    <row r="73" spans="1:10">
      <c r="A73" s="55"/>
      <c r="B73" s="16" t="str">
        <f t="shared" si="14"/>
        <v>0x889B</v>
      </c>
      <c r="C73" s="16" t="str">
        <f t="shared" si="15"/>
        <v>0x889E</v>
      </c>
      <c r="D73" s="16">
        <f t="shared" si="16"/>
        <v>34971</v>
      </c>
      <c r="E73" s="16">
        <f t="shared" si="17"/>
        <v>34974</v>
      </c>
      <c r="F73" s="15" t="s">
        <v>698</v>
      </c>
      <c r="G73" s="15" t="s">
        <v>365</v>
      </c>
      <c r="H73" s="15" t="s">
        <v>301</v>
      </c>
      <c r="I73" s="15">
        <v>4</v>
      </c>
      <c r="J73" s="15"/>
    </row>
    <row r="74" spans="1:10">
      <c r="A74" s="18"/>
      <c r="B74" s="16" t="str">
        <f t="shared" ref="B74" si="18">"0x"&amp;DEC2HEX(D74,4)</f>
        <v>0x889F</v>
      </c>
      <c r="C74" s="16" t="str">
        <f t="shared" ref="C74" si="19">"0x"&amp;DEC2HEX(E74,4)</f>
        <v>0x891D</v>
      </c>
      <c r="D74" s="16">
        <f t="shared" ref="D74" si="20">D73+I73</f>
        <v>34975</v>
      </c>
      <c r="E74" s="16">
        <f t="shared" ref="E74" si="21">D74+I74-1</f>
        <v>35101</v>
      </c>
      <c r="F74" s="15" t="s">
        <v>699</v>
      </c>
      <c r="G74" s="15"/>
      <c r="H74" s="15" t="s">
        <v>301</v>
      </c>
      <c r="I74" s="15">
        <v>127</v>
      </c>
      <c r="J74" s="15"/>
    </row>
    <row r="75" spans="1:10">
      <c r="A75" s="18"/>
      <c r="B75" s="16" t="str">
        <f t="shared" si="14"/>
        <v>0x891E</v>
      </c>
      <c r="C75" s="16" t="str">
        <f t="shared" si="15"/>
        <v>0x891E</v>
      </c>
      <c r="D75" s="16">
        <f t="shared" si="16"/>
        <v>35102</v>
      </c>
      <c r="E75" s="16">
        <f t="shared" si="17"/>
        <v>35102</v>
      </c>
      <c r="F75" s="50" t="s">
        <v>339</v>
      </c>
      <c r="G75" s="21" t="s">
        <v>146</v>
      </c>
      <c r="H75" s="21" t="s">
        <v>147</v>
      </c>
      <c r="I75" s="21">
        <v>1</v>
      </c>
      <c r="J75" s="21" t="s">
        <v>340</v>
      </c>
    </row>
    <row r="76" spans="1:10">
      <c r="A76" s="18"/>
      <c r="B76" s="16" t="str">
        <f t="shared" si="14"/>
        <v>0x891F</v>
      </c>
      <c r="C76" s="16" t="str">
        <f t="shared" si="15"/>
        <v>0x8920</v>
      </c>
      <c r="D76" s="16">
        <f t="shared" si="16"/>
        <v>35103</v>
      </c>
      <c r="E76" s="16">
        <f t="shared" si="17"/>
        <v>35104</v>
      </c>
      <c r="F76" s="15" t="s">
        <v>700</v>
      </c>
      <c r="G76" s="15" t="s">
        <v>315</v>
      </c>
      <c r="H76" s="15" t="s">
        <v>301</v>
      </c>
      <c r="I76" s="15">
        <v>2</v>
      </c>
      <c r="J76" s="15"/>
    </row>
    <row r="77" spans="1:10">
      <c r="A77" s="55"/>
      <c r="B77" s="16" t="str">
        <f t="shared" si="14"/>
        <v>0x8921</v>
      </c>
      <c r="C77" s="16" t="str">
        <f t="shared" si="15"/>
        <v>0x8924</v>
      </c>
      <c r="D77" s="16">
        <f t="shared" si="16"/>
        <v>35105</v>
      </c>
      <c r="E77" s="16">
        <f t="shared" si="17"/>
        <v>35108</v>
      </c>
      <c r="F77" s="15" t="s">
        <v>701</v>
      </c>
      <c r="G77" s="15" t="s">
        <v>365</v>
      </c>
      <c r="H77" s="15" t="s">
        <v>301</v>
      </c>
      <c r="I77" s="15">
        <v>4</v>
      </c>
      <c r="J77" s="15"/>
    </row>
    <row r="78" spans="1:10">
      <c r="A78" s="18"/>
      <c r="B78" s="16" t="str">
        <f t="shared" si="14"/>
        <v>0x8925</v>
      </c>
      <c r="C78" s="16" t="str">
        <f t="shared" si="15"/>
        <v>0x8926</v>
      </c>
      <c r="D78" s="16">
        <f t="shared" si="16"/>
        <v>35109</v>
      </c>
      <c r="E78" s="16">
        <f t="shared" si="17"/>
        <v>35110</v>
      </c>
      <c r="F78" s="15" t="s">
        <v>702</v>
      </c>
      <c r="G78" s="15" t="s">
        <v>315</v>
      </c>
      <c r="H78" s="15" t="s">
        <v>301</v>
      </c>
      <c r="I78" s="15">
        <v>2</v>
      </c>
      <c r="J78" s="15"/>
    </row>
    <row r="79" spans="1:10">
      <c r="A79" s="55"/>
      <c r="B79" s="16" t="str">
        <f t="shared" si="14"/>
        <v>0x8927</v>
      </c>
      <c r="C79" s="16" t="str">
        <f t="shared" si="15"/>
        <v>0x892A</v>
      </c>
      <c r="D79" s="16">
        <f t="shared" si="16"/>
        <v>35111</v>
      </c>
      <c r="E79" s="16">
        <f t="shared" si="17"/>
        <v>35114</v>
      </c>
      <c r="F79" s="15" t="s">
        <v>703</v>
      </c>
      <c r="G79" s="15" t="s">
        <v>365</v>
      </c>
      <c r="H79" s="15" t="s">
        <v>301</v>
      </c>
      <c r="I79" s="15">
        <v>4</v>
      </c>
      <c r="J79" s="15"/>
    </row>
    <row r="80" spans="1:10">
      <c r="A80" s="18"/>
      <c r="B80" s="16" t="str">
        <f t="shared" si="14"/>
        <v>0x892B</v>
      </c>
      <c r="C80" s="16" t="str">
        <f t="shared" si="15"/>
        <v>0x892C</v>
      </c>
      <c r="D80" s="16">
        <f t="shared" si="16"/>
        <v>35115</v>
      </c>
      <c r="E80" s="16">
        <f t="shared" si="17"/>
        <v>35116</v>
      </c>
      <c r="F80" s="15" t="s">
        <v>704</v>
      </c>
      <c r="G80" s="15" t="s">
        <v>315</v>
      </c>
      <c r="H80" s="15" t="s">
        <v>301</v>
      </c>
      <c r="I80" s="15">
        <v>2</v>
      </c>
      <c r="J80" s="15"/>
    </row>
    <row r="81" spans="1:10">
      <c r="A81" s="55"/>
      <c r="B81" s="16" t="str">
        <f t="shared" si="14"/>
        <v>0x892D</v>
      </c>
      <c r="C81" s="16" t="str">
        <f t="shared" si="15"/>
        <v>0x8930</v>
      </c>
      <c r="D81" s="16">
        <f t="shared" si="16"/>
        <v>35117</v>
      </c>
      <c r="E81" s="16">
        <f t="shared" si="17"/>
        <v>35120</v>
      </c>
      <c r="F81" s="15" t="s">
        <v>705</v>
      </c>
      <c r="G81" s="15" t="s">
        <v>365</v>
      </c>
      <c r="H81" s="15" t="s">
        <v>301</v>
      </c>
      <c r="I81" s="15">
        <v>4</v>
      </c>
      <c r="J81" s="15"/>
    </row>
    <row r="82" spans="1:10">
      <c r="A82" s="18"/>
      <c r="B82" s="16" t="str">
        <f t="shared" si="14"/>
        <v>0x8931</v>
      </c>
      <c r="C82" s="16" t="str">
        <f t="shared" si="15"/>
        <v>0x8932</v>
      </c>
      <c r="D82" s="16">
        <f t="shared" si="16"/>
        <v>35121</v>
      </c>
      <c r="E82" s="16">
        <f t="shared" si="17"/>
        <v>35122</v>
      </c>
      <c r="F82" s="15" t="s">
        <v>706</v>
      </c>
      <c r="G82" s="15" t="s">
        <v>315</v>
      </c>
      <c r="H82" s="15" t="s">
        <v>301</v>
      </c>
      <c r="I82" s="15">
        <v>2</v>
      </c>
      <c r="J82" s="15"/>
    </row>
    <row r="83" spans="1:10">
      <c r="A83" s="55"/>
      <c r="B83" s="16" t="str">
        <f t="shared" si="14"/>
        <v>0x8933</v>
      </c>
      <c r="C83" s="16" t="str">
        <f t="shared" si="15"/>
        <v>0x8936</v>
      </c>
      <c r="D83" s="16">
        <f t="shared" si="16"/>
        <v>35123</v>
      </c>
      <c r="E83" s="16">
        <f t="shared" si="17"/>
        <v>35126</v>
      </c>
      <c r="F83" s="15" t="s">
        <v>707</v>
      </c>
      <c r="G83" s="15" t="s">
        <v>365</v>
      </c>
      <c r="H83" s="15" t="s">
        <v>301</v>
      </c>
      <c r="I83" s="15">
        <v>4</v>
      </c>
      <c r="J83" s="15"/>
    </row>
    <row r="84" spans="1:10">
      <c r="A84" s="18"/>
      <c r="B84" s="16" t="str">
        <f t="shared" si="14"/>
        <v>0x8937</v>
      </c>
      <c r="C84" s="16" t="str">
        <f t="shared" si="15"/>
        <v>0x8938</v>
      </c>
      <c r="D84" s="16">
        <f t="shared" si="16"/>
        <v>35127</v>
      </c>
      <c r="E84" s="16">
        <f t="shared" si="17"/>
        <v>35128</v>
      </c>
      <c r="F84" s="17" t="s">
        <v>708</v>
      </c>
      <c r="G84" s="15" t="s">
        <v>315</v>
      </c>
      <c r="H84" s="15" t="s">
        <v>301</v>
      </c>
      <c r="I84" s="15">
        <v>2</v>
      </c>
      <c r="J84" s="15"/>
    </row>
    <row r="85" spans="1:10">
      <c r="A85" s="18"/>
      <c r="B85" s="16" t="str">
        <f t="shared" si="14"/>
        <v>0x8939</v>
      </c>
      <c r="C85" s="16" t="str">
        <f t="shared" si="15"/>
        <v>0x893C</v>
      </c>
      <c r="D85" s="16">
        <f t="shared" si="16"/>
        <v>35129</v>
      </c>
      <c r="E85" s="16">
        <f t="shared" si="17"/>
        <v>35132</v>
      </c>
      <c r="F85" s="17" t="s">
        <v>709</v>
      </c>
      <c r="G85" s="15" t="s">
        <v>365</v>
      </c>
      <c r="H85" s="15" t="s">
        <v>301</v>
      </c>
      <c r="I85" s="15">
        <v>4</v>
      </c>
      <c r="J85" s="15"/>
    </row>
    <row r="86" spans="1:10">
      <c r="A86" s="55"/>
      <c r="B86" s="16" t="str">
        <f t="shared" si="14"/>
        <v>0x893D</v>
      </c>
      <c r="C86" s="16" t="str">
        <f t="shared" si="15"/>
        <v>0x893E</v>
      </c>
      <c r="D86" s="16">
        <f t="shared" si="16"/>
        <v>35133</v>
      </c>
      <c r="E86" s="16">
        <f t="shared" si="17"/>
        <v>35134</v>
      </c>
      <c r="F86" s="17" t="s">
        <v>710</v>
      </c>
      <c r="G86" s="15" t="s">
        <v>315</v>
      </c>
      <c r="H86" s="15" t="s">
        <v>301</v>
      </c>
      <c r="I86" s="15">
        <v>2</v>
      </c>
      <c r="J86" s="15"/>
    </row>
    <row r="87" spans="1:10">
      <c r="A87" s="55"/>
      <c r="B87" s="16" t="str">
        <f t="shared" si="14"/>
        <v>0x893F</v>
      </c>
      <c r="C87" s="16" t="str">
        <f t="shared" si="15"/>
        <v>0x8942</v>
      </c>
      <c r="D87" s="16">
        <f t="shared" si="16"/>
        <v>35135</v>
      </c>
      <c r="E87" s="16">
        <f t="shared" si="17"/>
        <v>35138</v>
      </c>
      <c r="F87" s="17" t="s">
        <v>711</v>
      </c>
      <c r="G87" s="15" t="s">
        <v>365</v>
      </c>
      <c r="H87" s="15" t="s">
        <v>301</v>
      </c>
      <c r="I87" s="15">
        <v>4</v>
      </c>
      <c r="J87" s="15"/>
    </row>
    <row r="88" spans="1:10">
      <c r="A88" s="18"/>
      <c r="B88" s="16" t="str">
        <f t="shared" si="14"/>
        <v>0x8943</v>
      </c>
      <c r="C88" s="16" t="str">
        <f t="shared" si="15"/>
        <v>0x8944</v>
      </c>
      <c r="D88" s="16">
        <f t="shared" si="16"/>
        <v>35139</v>
      </c>
      <c r="E88" s="16">
        <f t="shared" si="17"/>
        <v>35140</v>
      </c>
      <c r="F88" s="15" t="s">
        <v>712</v>
      </c>
      <c r="G88" s="15" t="s">
        <v>315</v>
      </c>
      <c r="H88" s="15" t="s">
        <v>301</v>
      </c>
      <c r="I88" s="15">
        <v>2</v>
      </c>
      <c r="J88" s="15"/>
    </row>
    <row r="89" spans="1:10">
      <c r="A89" s="55"/>
      <c r="B89" s="16" t="str">
        <f t="shared" si="14"/>
        <v>0x8945</v>
      </c>
      <c r="C89" s="16" t="str">
        <f t="shared" si="15"/>
        <v>0x8948</v>
      </c>
      <c r="D89" s="16">
        <f t="shared" si="16"/>
        <v>35141</v>
      </c>
      <c r="E89" s="16">
        <f t="shared" si="17"/>
        <v>35144</v>
      </c>
      <c r="F89" s="15" t="s">
        <v>713</v>
      </c>
      <c r="G89" s="15" t="s">
        <v>365</v>
      </c>
      <c r="H89" s="15" t="s">
        <v>301</v>
      </c>
      <c r="I89" s="15">
        <v>4</v>
      </c>
      <c r="J89" s="15"/>
    </row>
    <row r="90" spans="1:10">
      <c r="A90" s="18"/>
      <c r="B90" s="16" t="str">
        <f t="shared" si="14"/>
        <v>0x8949</v>
      </c>
      <c r="C90" s="16" t="str">
        <f t="shared" si="15"/>
        <v>0x894A</v>
      </c>
      <c r="D90" s="16">
        <f t="shared" si="16"/>
        <v>35145</v>
      </c>
      <c r="E90" s="16">
        <f t="shared" si="17"/>
        <v>35146</v>
      </c>
      <c r="F90" s="15" t="s">
        <v>714</v>
      </c>
      <c r="G90" s="15" t="s">
        <v>315</v>
      </c>
      <c r="H90" s="15" t="s">
        <v>301</v>
      </c>
      <c r="I90" s="15">
        <v>2</v>
      </c>
      <c r="J90" s="15"/>
    </row>
    <row r="91" spans="1:10">
      <c r="A91" s="55"/>
      <c r="B91" s="16" t="str">
        <f t="shared" si="14"/>
        <v>0x894B</v>
      </c>
      <c r="C91" s="16" t="str">
        <f t="shared" si="15"/>
        <v>0x894E</v>
      </c>
      <c r="D91" s="16">
        <f t="shared" si="16"/>
        <v>35147</v>
      </c>
      <c r="E91" s="16">
        <f t="shared" si="17"/>
        <v>35150</v>
      </c>
      <c r="F91" s="15" t="s">
        <v>715</v>
      </c>
      <c r="G91" s="15" t="s">
        <v>365</v>
      </c>
      <c r="H91" s="15" t="s">
        <v>301</v>
      </c>
      <c r="I91" s="15">
        <v>4</v>
      </c>
      <c r="J91" s="15"/>
    </row>
    <row r="92" spans="1:10">
      <c r="A92" s="18"/>
      <c r="B92" s="16" t="str">
        <f t="shared" si="14"/>
        <v>0x894F</v>
      </c>
      <c r="C92" s="16" t="str">
        <f t="shared" si="15"/>
        <v>0x8950</v>
      </c>
      <c r="D92" s="16">
        <f t="shared" si="16"/>
        <v>35151</v>
      </c>
      <c r="E92" s="16">
        <f t="shared" si="17"/>
        <v>35152</v>
      </c>
      <c r="F92" s="15" t="s">
        <v>716</v>
      </c>
      <c r="G92" s="15" t="s">
        <v>315</v>
      </c>
      <c r="H92" s="15" t="s">
        <v>301</v>
      </c>
      <c r="I92" s="15">
        <v>2</v>
      </c>
      <c r="J92" s="15"/>
    </row>
    <row r="93" spans="1:10">
      <c r="A93" s="55"/>
      <c r="B93" s="16" t="str">
        <f t="shared" si="14"/>
        <v>0x8951</v>
      </c>
      <c r="C93" s="16" t="str">
        <f t="shared" si="15"/>
        <v>0x8954</v>
      </c>
      <c r="D93" s="16">
        <f t="shared" si="16"/>
        <v>35153</v>
      </c>
      <c r="E93" s="16">
        <f t="shared" si="17"/>
        <v>35156</v>
      </c>
      <c r="F93" s="15" t="s">
        <v>717</v>
      </c>
      <c r="G93" s="15" t="s">
        <v>365</v>
      </c>
      <c r="H93" s="15" t="s">
        <v>301</v>
      </c>
      <c r="I93" s="15">
        <v>4</v>
      </c>
      <c r="J93" s="15"/>
    </row>
    <row r="94" spans="1:10">
      <c r="A94" s="18"/>
      <c r="B94" s="16" t="str">
        <f t="shared" si="14"/>
        <v>0x8955</v>
      </c>
      <c r="C94" s="16" t="str">
        <f t="shared" si="15"/>
        <v>0x8956</v>
      </c>
      <c r="D94" s="16">
        <f t="shared" si="16"/>
        <v>35157</v>
      </c>
      <c r="E94" s="16">
        <f t="shared" si="17"/>
        <v>35158</v>
      </c>
      <c r="F94" s="15" t="s">
        <v>718</v>
      </c>
      <c r="G94" s="15" t="s">
        <v>315</v>
      </c>
      <c r="H94" s="15" t="s">
        <v>301</v>
      </c>
      <c r="I94" s="15">
        <v>2</v>
      </c>
      <c r="J94" s="15"/>
    </row>
    <row r="95" spans="1:10">
      <c r="A95" s="55"/>
      <c r="B95" s="16" t="str">
        <f t="shared" si="14"/>
        <v>0x8957</v>
      </c>
      <c r="C95" s="16" t="str">
        <f t="shared" si="15"/>
        <v>0x895A</v>
      </c>
      <c r="D95" s="16">
        <f t="shared" si="16"/>
        <v>35159</v>
      </c>
      <c r="E95" s="16">
        <f t="shared" si="17"/>
        <v>35162</v>
      </c>
      <c r="F95" s="15" t="s">
        <v>719</v>
      </c>
      <c r="G95" s="15" t="s">
        <v>365</v>
      </c>
      <c r="H95" s="15" t="s">
        <v>301</v>
      </c>
      <c r="I95" s="15">
        <v>4</v>
      </c>
      <c r="J95" s="15"/>
    </row>
    <row r="96" spans="1:10">
      <c r="A96" s="18"/>
      <c r="B96" s="16" t="str">
        <f t="shared" si="14"/>
        <v>0x895B</v>
      </c>
      <c r="C96" s="16" t="str">
        <f t="shared" si="15"/>
        <v>0x897E</v>
      </c>
      <c r="D96" s="16">
        <f t="shared" si="16"/>
        <v>35163</v>
      </c>
      <c r="E96" s="16">
        <f t="shared" si="17"/>
        <v>35198</v>
      </c>
      <c r="F96" s="15" t="s">
        <v>720</v>
      </c>
      <c r="G96" s="15"/>
      <c r="H96" s="15" t="s">
        <v>301</v>
      </c>
      <c r="I96" s="15">
        <v>36</v>
      </c>
      <c r="J96" s="15"/>
    </row>
    <row r="97" spans="1:10">
      <c r="A97" s="18"/>
      <c r="B97" s="16" t="str">
        <f t="shared" si="14"/>
        <v>0x897F</v>
      </c>
      <c r="C97" s="16" t="str">
        <f t="shared" si="15"/>
        <v>0x8980</v>
      </c>
      <c r="D97" s="16">
        <f t="shared" si="16"/>
        <v>35199</v>
      </c>
      <c r="E97" s="16">
        <f t="shared" si="17"/>
        <v>35200</v>
      </c>
      <c r="F97" s="15" t="s">
        <v>721</v>
      </c>
      <c r="G97" s="15" t="s">
        <v>315</v>
      </c>
      <c r="H97" s="15" t="s">
        <v>301</v>
      </c>
      <c r="I97" s="15">
        <v>2</v>
      </c>
      <c r="J97" s="15"/>
    </row>
    <row r="98" spans="1:10">
      <c r="A98" s="55"/>
      <c r="B98" s="16" t="str">
        <f t="shared" si="14"/>
        <v>0x8981</v>
      </c>
      <c r="C98" s="16" t="str">
        <f t="shared" si="15"/>
        <v>0x8984</v>
      </c>
      <c r="D98" s="16">
        <f t="shared" si="16"/>
        <v>35201</v>
      </c>
      <c r="E98" s="16">
        <f t="shared" si="17"/>
        <v>35204</v>
      </c>
      <c r="F98" s="15" t="s">
        <v>722</v>
      </c>
      <c r="G98" s="15" t="s">
        <v>365</v>
      </c>
      <c r="H98" s="15" t="s">
        <v>301</v>
      </c>
      <c r="I98" s="15">
        <v>4</v>
      </c>
      <c r="J98" s="15"/>
    </row>
    <row r="99" spans="1:10">
      <c r="A99" s="18"/>
      <c r="B99" s="16" t="str">
        <f t="shared" si="14"/>
        <v>0x8985</v>
      </c>
      <c r="C99" s="16" t="str">
        <f t="shared" si="15"/>
        <v>0x8A0E</v>
      </c>
      <c r="D99" s="16">
        <f t="shared" si="16"/>
        <v>35205</v>
      </c>
      <c r="E99" s="16">
        <f t="shared" si="17"/>
        <v>35342</v>
      </c>
      <c r="F99" s="15" t="s">
        <v>723</v>
      </c>
      <c r="G99" s="15"/>
      <c r="H99" s="15" t="s">
        <v>301</v>
      </c>
      <c r="I99" s="15">
        <v>138</v>
      </c>
      <c r="J99" s="15"/>
    </row>
    <row r="100" spans="1:10">
      <c r="A100" s="18"/>
      <c r="B100" s="16" t="str">
        <f t="shared" si="14"/>
        <v>0x8A0F</v>
      </c>
      <c r="C100" s="16" t="str">
        <f t="shared" si="15"/>
        <v>0x8A9E</v>
      </c>
      <c r="D100" s="16">
        <f t="shared" si="16"/>
        <v>35343</v>
      </c>
      <c r="E100" s="16">
        <f t="shared" si="17"/>
        <v>35486</v>
      </c>
      <c r="F100" s="15" t="s">
        <v>724</v>
      </c>
      <c r="G100" s="15"/>
      <c r="H100" s="15" t="s">
        <v>301</v>
      </c>
      <c r="I100" s="15">
        <v>144</v>
      </c>
      <c r="J100" s="15"/>
    </row>
    <row r="101" spans="1:10">
      <c r="A101" s="18"/>
      <c r="B101" s="16" t="str">
        <f t="shared" si="14"/>
        <v>0x8A9F</v>
      </c>
      <c r="C101" s="16" t="str">
        <f t="shared" si="15"/>
        <v>0x8B2E</v>
      </c>
      <c r="D101" s="16">
        <f t="shared" si="16"/>
        <v>35487</v>
      </c>
      <c r="E101" s="16">
        <f t="shared" si="17"/>
        <v>35630</v>
      </c>
      <c r="F101" s="15" t="s">
        <v>725</v>
      </c>
      <c r="G101" s="15"/>
      <c r="H101" s="15" t="s">
        <v>301</v>
      </c>
      <c r="I101" s="15">
        <v>144</v>
      </c>
      <c r="J101" s="15"/>
    </row>
    <row r="102" spans="1:10">
      <c r="A102" s="18"/>
      <c r="B102" s="16" t="str">
        <f t="shared" si="14"/>
        <v>0x8B2F</v>
      </c>
      <c r="C102" s="16" t="str">
        <f t="shared" si="15"/>
        <v>0x8BBE</v>
      </c>
      <c r="D102" s="16">
        <f t="shared" si="16"/>
        <v>35631</v>
      </c>
      <c r="E102" s="16">
        <f t="shared" si="17"/>
        <v>35774</v>
      </c>
      <c r="F102" s="15" t="s">
        <v>726</v>
      </c>
      <c r="G102" s="15"/>
      <c r="H102" s="15" t="s">
        <v>301</v>
      </c>
      <c r="I102" s="15">
        <v>144</v>
      </c>
      <c r="J102" s="15"/>
    </row>
    <row r="103" spans="1:10">
      <c r="A103" s="18"/>
      <c r="B103" s="16" t="str">
        <f t="shared" si="14"/>
        <v>0x8BBF</v>
      </c>
      <c r="C103" s="16" t="str">
        <f t="shared" si="15"/>
        <v>0x8BBF</v>
      </c>
      <c r="D103" s="16">
        <f t="shared" si="16"/>
        <v>35775</v>
      </c>
      <c r="E103" s="16">
        <f t="shared" si="17"/>
        <v>35775</v>
      </c>
      <c r="F103" s="50" t="s">
        <v>339</v>
      </c>
      <c r="G103" s="21" t="s">
        <v>146</v>
      </c>
      <c r="H103" s="21" t="s">
        <v>147</v>
      </c>
      <c r="I103" s="21">
        <v>1</v>
      </c>
      <c r="J103" s="21" t="s">
        <v>340</v>
      </c>
    </row>
    <row r="104" spans="1:10">
      <c r="A104" s="18"/>
      <c r="B104" s="16" t="str">
        <f t="shared" si="14"/>
        <v>0x8BC0</v>
      </c>
      <c r="C104" s="16" t="str">
        <f t="shared" si="15"/>
        <v>0x8BC1</v>
      </c>
      <c r="D104" s="16">
        <f t="shared" si="16"/>
        <v>35776</v>
      </c>
      <c r="E104" s="16">
        <f t="shared" si="17"/>
        <v>35777</v>
      </c>
      <c r="F104" s="17" t="s">
        <v>727</v>
      </c>
      <c r="G104" s="15" t="s">
        <v>315</v>
      </c>
      <c r="H104" s="15" t="s">
        <v>301</v>
      </c>
      <c r="I104" s="15">
        <v>2</v>
      </c>
      <c r="J104" s="15"/>
    </row>
    <row r="105" spans="1:10">
      <c r="A105" s="18"/>
      <c r="B105" s="16" t="str">
        <f t="shared" si="14"/>
        <v>0x8BC2</v>
      </c>
      <c r="C105" s="16" t="str">
        <f t="shared" si="15"/>
        <v>0x8BC5</v>
      </c>
      <c r="D105" s="16">
        <f t="shared" si="16"/>
        <v>35778</v>
      </c>
      <c r="E105" s="16">
        <f t="shared" si="17"/>
        <v>35781</v>
      </c>
      <c r="F105" s="17" t="s">
        <v>728</v>
      </c>
      <c r="G105" s="15" t="s">
        <v>365</v>
      </c>
      <c r="H105" s="15" t="s">
        <v>301</v>
      </c>
      <c r="I105" s="15">
        <v>4</v>
      </c>
      <c r="J105" s="15"/>
    </row>
    <row r="106" spans="1:10">
      <c r="A106" s="18"/>
      <c r="B106" s="16" t="str">
        <f t="shared" si="14"/>
        <v>0x8BC6</v>
      </c>
      <c r="C106" s="16" t="str">
        <f t="shared" si="15"/>
        <v>0x8BC7</v>
      </c>
      <c r="D106" s="16">
        <f t="shared" si="16"/>
        <v>35782</v>
      </c>
      <c r="E106" s="16">
        <f t="shared" si="17"/>
        <v>35783</v>
      </c>
      <c r="F106" s="17" t="s">
        <v>729</v>
      </c>
      <c r="G106" s="15" t="s">
        <v>315</v>
      </c>
      <c r="H106" s="15" t="s">
        <v>301</v>
      </c>
      <c r="I106" s="15">
        <v>2</v>
      </c>
      <c r="J106" s="15"/>
    </row>
    <row r="107" spans="1:10">
      <c r="A107" s="18"/>
      <c r="B107" s="16" t="str">
        <f t="shared" si="14"/>
        <v>0x8BC8</v>
      </c>
      <c r="C107" s="16" t="str">
        <f t="shared" si="15"/>
        <v>0x8BCB</v>
      </c>
      <c r="D107" s="16">
        <f t="shared" si="16"/>
        <v>35784</v>
      </c>
      <c r="E107" s="16">
        <f t="shared" si="17"/>
        <v>35787</v>
      </c>
      <c r="F107" s="17" t="s">
        <v>730</v>
      </c>
      <c r="G107" s="15" t="s">
        <v>365</v>
      </c>
      <c r="H107" s="15" t="s">
        <v>301</v>
      </c>
      <c r="I107" s="15">
        <v>4</v>
      </c>
      <c r="J107" s="15"/>
    </row>
    <row r="108" spans="1:10">
      <c r="A108" s="55"/>
      <c r="B108" s="55"/>
      <c r="F108" s="55"/>
      <c r="G108" s="55"/>
      <c r="H108" s="55"/>
      <c r="I108" s="55"/>
      <c r="J108" s="55"/>
    </row>
    <row r="109" spans="1:10">
      <c r="A109" s="55"/>
      <c r="B109" s="55"/>
      <c r="F109" s="55"/>
      <c r="G109" s="55"/>
      <c r="H109" s="55"/>
      <c r="I109" s="55"/>
      <c r="J109" s="55"/>
    </row>
    <row r="110" spans="1:10">
      <c r="A110" s="48" t="s">
        <v>101</v>
      </c>
      <c r="B110" s="16" t="str">
        <f t="shared" ref="B110:B111" si="22">"0x"&amp;DEC2HEX(D110,4)</f>
        <v>0x8BE0</v>
      </c>
      <c r="C110" s="16" t="str">
        <f t="shared" ref="C110:C111" si="23">"0x"&amp;DEC2HEX(E110,4)</f>
        <v>0x8BE1</v>
      </c>
      <c r="D110" s="16">
        <v>35808</v>
      </c>
      <c r="E110" s="16">
        <f t="shared" ref="E110:E111" si="24">D110+I110-1</f>
        <v>35809</v>
      </c>
      <c r="F110" s="15" t="s">
        <v>731</v>
      </c>
      <c r="G110" s="15" t="s">
        <v>315</v>
      </c>
      <c r="H110" s="15" t="s">
        <v>301</v>
      </c>
      <c r="I110" s="15">
        <v>2</v>
      </c>
      <c r="J110" s="15"/>
    </row>
    <row r="111" spans="1:10">
      <c r="A111" s="43"/>
      <c r="B111" s="16" t="str">
        <f t="shared" si="22"/>
        <v>0x8BE2</v>
      </c>
      <c r="C111" s="16" t="str">
        <f t="shared" si="23"/>
        <v>0x8BE5</v>
      </c>
      <c r="D111" s="16">
        <f>D110+I110</f>
        <v>35810</v>
      </c>
      <c r="E111" s="16">
        <f t="shared" si="24"/>
        <v>35813</v>
      </c>
      <c r="F111" s="15" t="s">
        <v>732</v>
      </c>
      <c r="G111" s="15" t="s">
        <v>365</v>
      </c>
      <c r="H111" s="15" t="s">
        <v>301</v>
      </c>
      <c r="I111" s="15">
        <v>4</v>
      </c>
      <c r="J111" s="15"/>
    </row>
    <row r="112" spans="1:10">
      <c r="A112" s="48"/>
      <c r="B112" s="16" t="str">
        <f t="shared" ref="B112:B176" si="25">"0x"&amp;DEC2HEX(D112,4)</f>
        <v>0x8BE6</v>
      </c>
      <c r="C112" s="16" t="str">
        <f t="shared" ref="C112:C176" si="26">"0x"&amp;DEC2HEX(E112,4)</f>
        <v>0x8BE7</v>
      </c>
      <c r="D112" s="16">
        <f t="shared" ref="D112:D176" si="27">D111+I111</f>
        <v>35814</v>
      </c>
      <c r="E112" s="16">
        <f t="shared" ref="E112:E176" si="28">D112+I112-1</f>
        <v>35815</v>
      </c>
      <c r="F112" s="15" t="s">
        <v>733</v>
      </c>
      <c r="G112" s="15" t="s">
        <v>315</v>
      </c>
      <c r="H112" s="15" t="s">
        <v>301</v>
      </c>
      <c r="I112" s="15">
        <v>2</v>
      </c>
      <c r="J112" s="15"/>
    </row>
    <row r="113" spans="1:10">
      <c r="A113" s="43"/>
      <c r="B113" s="16" t="str">
        <f t="shared" si="25"/>
        <v>0x8BE8</v>
      </c>
      <c r="C113" s="16" t="str">
        <f t="shared" si="26"/>
        <v>0x8BEB</v>
      </c>
      <c r="D113" s="16">
        <f t="shared" si="27"/>
        <v>35816</v>
      </c>
      <c r="E113" s="16">
        <f t="shared" si="28"/>
        <v>35819</v>
      </c>
      <c r="F113" s="15" t="s">
        <v>734</v>
      </c>
      <c r="G113" s="15" t="s">
        <v>365</v>
      </c>
      <c r="H113" s="15" t="s">
        <v>301</v>
      </c>
      <c r="I113" s="15">
        <v>4</v>
      </c>
      <c r="J113" s="15"/>
    </row>
    <row r="114" spans="1:10">
      <c r="A114" s="48"/>
      <c r="B114" s="16" t="str">
        <f t="shared" si="25"/>
        <v>0x8BEC</v>
      </c>
      <c r="C114" s="16" t="str">
        <f t="shared" si="26"/>
        <v>0x8BED</v>
      </c>
      <c r="D114" s="16">
        <f t="shared" si="27"/>
        <v>35820</v>
      </c>
      <c r="E114" s="16">
        <f t="shared" si="28"/>
        <v>35821</v>
      </c>
      <c r="F114" s="15" t="s">
        <v>735</v>
      </c>
      <c r="G114" s="15" t="s">
        <v>315</v>
      </c>
      <c r="H114" s="15" t="s">
        <v>301</v>
      </c>
      <c r="I114" s="15">
        <v>2</v>
      </c>
      <c r="J114" s="15"/>
    </row>
    <row r="115" spans="1:10">
      <c r="A115" s="43"/>
      <c r="B115" s="16" t="str">
        <f t="shared" si="25"/>
        <v>0x8BEE</v>
      </c>
      <c r="C115" s="16" t="str">
        <f t="shared" si="26"/>
        <v>0x8BF1</v>
      </c>
      <c r="D115" s="16">
        <f t="shared" si="27"/>
        <v>35822</v>
      </c>
      <c r="E115" s="16">
        <f t="shared" si="28"/>
        <v>35825</v>
      </c>
      <c r="F115" s="15" t="s">
        <v>736</v>
      </c>
      <c r="G115" s="15" t="s">
        <v>365</v>
      </c>
      <c r="H115" s="15" t="s">
        <v>301</v>
      </c>
      <c r="I115" s="15">
        <v>4</v>
      </c>
      <c r="J115" s="15"/>
    </row>
    <row r="116" spans="1:10">
      <c r="A116" s="48"/>
      <c r="B116" s="16" t="str">
        <f t="shared" si="25"/>
        <v>0x8BF2</v>
      </c>
      <c r="C116" s="16" t="str">
        <f t="shared" si="26"/>
        <v>0x8BF3</v>
      </c>
      <c r="D116" s="16">
        <f t="shared" si="27"/>
        <v>35826</v>
      </c>
      <c r="E116" s="16">
        <f t="shared" si="28"/>
        <v>35827</v>
      </c>
      <c r="F116" s="15" t="s">
        <v>737</v>
      </c>
      <c r="G116" s="15" t="s">
        <v>315</v>
      </c>
      <c r="H116" s="15" t="s">
        <v>301</v>
      </c>
      <c r="I116" s="15">
        <v>2</v>
      </c>
      <c r="J116" s="15"/>
    </row>
    <row r="117" spans="1:10">
      <c r="A117" s="43"/>
      <c r="B117" s="16" t="str">
        <f t="shared" si="25"/>
        <v>0x8BF4</v>
      </c>
      <c r="C117" s="16" t="str">
        <f t="shared" si="26"/>
        <v>0x8BF7</v>
      </c>
      <c r="D117" s="16">
        <f t="shared" si="27"/>
        <v>35828</v>
      </c>
      <c r="E117" s="16">
        <f t="shared" si="28"/>
        <v>35831</v>
      </c>
      <c r="F117" s="15" t="s">
        <v>738</v>
      </c>
      <c r="G117" s="15" t="s">
        <v>365</v>
      </c>
      <c r="H117" s="15" t="s">
        <v>301</v>
      </c>
      <c r="I117" s="15">
        <v>4</v>
      </c>
      <c r="J117" s="15"/>
    </row>
    <row r="118" spans="1:10">
      <c r="A118" s="48"/>
      <c r="B118" s="16" t="str">
        <f t="shared" si="25"/>
        <v>0x8BF8</v>
      </c>
      <c r="C118" s="16" t="str">
        <f t="shared" si="26"/>
        <v>0x8BF9</v>
      </c>
      <c r="D118" s="16">
        <f t="shared" si="27"/>
        <v>35832</v>
      </c>
      <c r="E118" s="16">
        <f t="shared" si="28"/>
        <v>35833</v>
      </c>
      <c r="F118" s="15" t="s">
        <v>739</v>
      </c>
      <c r="G118" s="15" t="s">
        <v>315</v>
      </c>
      <c r="H118" s="15" t="s">
        <v>301</v>
      </c>
      <c r="I118" s="15">
        <v>2</v>
      </c>
      <c r="J118" s="15"/>
    </row>
    <row r="119" spans="1:10">
      <c r="A119" s="43"/>
      <c r="B119" s="16" t="str">
        <f t="shared" si="25"/>
        <v>0x8BFA</v>
      </c>
      <c r="C119" s="16" t="str">
        <f t="shared" si="26"/>
        <v>0x8BFD</v>
      </c>
      <c r="D119" s="16">
        <f t="shared" si="27"/>
        <v>35834</v>
      </c>
      <c r="E119" s="16">
        <f t="shared" si="28"/>
        <v>35837</v>
      </c>
      <c r="F119" s="15" t="s">
        <v>740</v>
      </c>
      <c r="G119" s="15" t="s">
        <v>365</v>
      </c>
      <c r="H119" s="15" t="s">
        <v>301</v>
      </c>
      <c r="I119" s="15">
        <v>4</v>
      </c>
      <c r="J119" s="15"/>
    </row>
    <row r="120" spans="1:10">
      <c r="A120" s="48"/>
      <c r="B120" s="16" t="str">
        <f t="shared" si="25"/>
        <v>0x8BFE</v>
      </c>
      <c r="C120" s="16" t="str">
        <f t="shared" si="26"/>
        <v>0x8BFF</v>
      </c>
      <c r="D120" s="16">
        <f t="shared" si="27"/>
        <v>35838</v>
      </c>
      <c r="E120" s="16">
        <f t="shared" si="28"/>
        <v>35839</v>
      </c>
      <c r="F120" s="15" t="s">
        <v>741</v>
      </c>
      <c r="G120" s="15" t="s">
        <v>315</v>
      </c>
      <c r="H120" s="15" t="s">
        <v>301</v>
      </c>
      <c r="I120" s="15">
        <v>2</v>
      </c>
      <c r="J120" s="15"/>
    </row>
    <row r="121" spans="1:10">
      <c r="A121" s="43"/>
      <c r="B121" s="16" t="str">
        <f t="shared" si="25"/>
        <v>0x8C00</v>
      </c>
      <c r="C121" s="16" t="str">
        <f t="shared" si="26"/>
        <v>0x8C03</v>
      </c>
      <c r="D121" s="16">
        <f t="shared" si="27"/>
        <v>35840</v>
      </c>
      <c r="E121" s="16">
        <f t="shared" si="28"/>
        <v>35843</v>
      </c>
      <c r="F121" s="15" t="s">
        <v>742</v>
      </c>
      <c r="G121" s="15" t="s">
        <v>365</v>
      </c>
      <c r="H121" s="15" t="s">
        <v>301</v>
      </c>
      <c r="I121" s="15">
        <v>4</v>
      </c>
      <c r="J121" s="15"/>
    </row>
    <row r="122" spans="1:10">
      <c r="A122" s="48"/>
      <c r="B122" s="16" t="str">
        <f t="shared" si="25"/>
        <v>0x8C04</v>
      </c>
      <c r="C122" s="16" t="str">
        <f t="shared" si="26"/>
        <v>0x8C05</v>
      </c>
      <c r="D122" s="16">
        <f t="shared" si="27"/>
        <v>35844</v>
      </c>
      <c r="E122" s="16">
        <f t="shared" si="28"/>
        <v>35845</v>
      </c>
      <c r="F122" s="15" t="s">
        <v>743</v>
      </c>
      <c r="G122" s="15" t="s">
        <v>315</v>
      </c>
      <c r="H122" s="15" t="s">
        <v>301</v>
      </c>
      <c r="I122" s="15">
        <v>2</v>
      </c>
      <c r="J122" s="15"/>
    </row>
    <row r="123" spans="1:10">
      <c r="A123" s="43"/>
      <c r="B123" s="16" t="str">
        <f t="shared" si="25"/>
        <v>0x8C06</v>
      </c>
      <c r="C123" s="16" t="str">
        <f t="shared" si="26"/>
        <v>0x8C09</v>
      </c>
      <c r="D123" s="16">
        <f t="shared" si="27"/>
        <v>35846</v>
      </c>
      <c r="E123" s="16">
        <f t="shared" si="28"/>
        <v>35849</v>
      </c>
      <c r="F123" s="15" t="s">
        <v>744</v>
      </c>
      <c r="G123" s="15" t="s">
        <v>365</v>
      </c>
      <c r="H123" s="15" t="s">
        <v>301</v>
      </c>
      <c r="I123" s="15">
        <v>4</v>
      </c>
      <c r="J123" s="15"/>
    </row>
    <row r="124" spans="1:10">
      <c r="A124" s="48"/>
      <c r="B124" s="16" t="str">
        <f t="shared" si="25"/>
        <v>0x8C0A</v>
      </c>
      <c r="C124" s="16" t="str">
        <f t="shared" si="26"/>
        <v>0x8C0B</v>
      </c>
      <c r="D124" s="16">
        <f t="shared" si="27"/>
        <v>35850</v>
      </c>
      <c r="E124" s="16">
        <f t="shared" si="28"/>
        <v>35851</v>
      </c>
      <c r="F124" s="15" t="s">
        <v>745</v>
      </c>
      <c r="G124" s="15" t="s">
        <v>315</v>
      </c>
      <c r="H124" s="15" t="s">
        <v>301</v>
      </c>
      <c r="I124" s="15">
        <v>2</v>
      </c>
      <c r="J124" s="15"/>
    </row>
    <row r="125" spans="1:10">
      <c r="A125" s="43"/>
      <c r="B125" s="16" t="str">
        <f t="shared" si="25"/>
        <v>0x8C0C</v>
      </c>
      <c r="C125" s="16" t="str">
        <f t="shared" si="26"/>
        <v>0x8C0F</v>
      </c>
      <c r="D125" s="16">
        <f t="shared" si="27"/>
        <v>35852</v>
      </c>
      <c r="E125" s="16">
        <f t="shared" si="28"/>
        <v>35855</v>
      </c>
      <c r="F125" s="15" t="s">
        <v>746</v>
      </c>
      <c r="G125" s="15" t="s">
        <v>365</v>
      </c>
      <c r="H125" s="15" t="s">
        <v>301</v>
      </c>
      <c r="I125" s="15">
        <v>4</v>
      </c>
      <c r="J125" s="15"/>
    </row>
    <row r="126" spans="1:10">
      <c r="A126" s="48"/>
      <c r="B126" s="16" t="str">
        <f t="shared" si="25"/>
        <v>0x8C10</v>
      </c>
      <c r="C126" s="16" t="str">
        <f t="shared" si="26"/>
        <v>0x8C11</v>
      </c>
      <c r="D126" s="16">
        <f t="shared" si="27"/>
        <v>35856</v>
      </c>
      <c r="E126" s="16">
        <f t="shared" si="28"/>
        <v>35857</v>
      </c>
      <c r="F126" s="15" t="s">
        <v>747</v>
      </c>
      <c r="G126" s="15" t="s">
        <v>315</v>
      </c>
      <c r="H126" s="15" t="s">
        <v>301</v>
      </c>
      <c r="I126" s="15">
        <v>2</v>
      </c>
      <c r="J126" s="15"/>
    </row>
    <row r="127" spans="1:10">
      <c r="A127" s="43"/>
      <c r="B127" s="16" t="str">
        <f t="shared" si="25"/>
        <v>0x8C12</v>
      </c>
      <c r="C127" s="16" t="str">
        <f t="shared" si="26"/>
        <v>0x8C15</v>
      </c>
      <c r="D127" s="16">
        <f t="shared" si="27"/>
        <v>35858</v>
      </c>
      <c r="E127" s="16">
        <f t="shared" si="28"/>
        <v>35861</v>
      </c>
      <c r="F127" s="15" t="s">
        <v>748</v>
      </c>
      <c r="G127" s="15" t="s">
        <v>365</v>
      </c>
      <c r="H127" s="15" t="s">
        <v>301</v>
      </c>
      <c r="I127" s="15">
        <v>4</v>
      </c>
      <c r="J127" s="15"/>
    </row>
    <row r="128" spans="1:10">
      <c r="A128" s="48"/>
      <c r="B128" s="16" t="str">
        <f t="shared" si="25"/>
        <v>0x8C16</v>
      </c>
      <c r="C128" s="16" t="str">
        <f t="shared" si="26"/>
        <v>0x8C17</v>
      </c>
      <c r="D128" s="16">
        <f t="shared" si="27"/>
        <v>35862</v>
      </c>
      <c r="E128" s="16">
        <f t="shared" si="28"/>
        <v>35863</v>
      </c>
      <c r="F128" s="15" t="s">
        <v>749</v>
      </c>
      <c r="G128" s="15" t="s">
        <v>315</v>
      </c>
      <c r="H128" s="15" t="s">
        <v>301</v>
      </c>
      <c r="I128" s="15">
        <v>2</v>
      </c>
      <c r="J128" s="15"/>
    </row>
    <row r="129" spans="1:10">
      <c r="A129" s="43"/>
      <c r="B129" s="16" t="str">
        <f t="shared" si="25"/>
        <v>0x8C18</v>
      </c>
      <c r="C129" s="16" t="str">
        <f t="shared" si="26"/>
        <v>0x8C1B</v>
      </c>
      <c r="D129" s="16">
        <f t="shared" si="27"/>
        <v>35864</v>
      </c>
      <c r="E129" s="16">
        <f t="shared" si="28"/>
        <v>35867</v>
      </c>
      <c r="F129" s="15" t="s">
        <v>750</v>
      </c>
      <c r="G129" s="15" t="s">
        <v>365</v>
      </c>
      <c r="H129" s="15" t="s">
        <v>301</v>
      </c>
      <c r="I129" s="15">
        <v>4</v>
      </c>
      <c r="J129" s="15"/>
    </row>
    <row r="130" spans="1:10">
      <c r="A130" s="48"/>
      <c r="B130" s="16" t="str">
        <f t="shared" si="25"/>
        <v>0x8C1C</v>
      </c>
      <c r="C130" s="16" t="str">
        <f t="shared" si="26"/>
        <v>0x8C1D</v>
      </c>
      <c r="D130" s="16">
        <f t="shared" si="27"/>
        <v>35868</v>
      </c>
      <c r="E130" s="16">
        <f t="shared" si="28"/>
        <v>35869</v>
      </c>
      <c r="F130" s="15" t="s">
        <v>751</v>
      </c>
      <c r="G130" s="15" t="s">
        <v>315</v>
      </c>
      <c r="H130" s="15" t="s">
        <v>301</v>
      </c>
      <c r="I130" s="15">
        <v>2</v>
      </c>
      <c r="J130" s="15"/>
    </row>
    <row r="131" spans="1:10">
      <c r="A131" s="43"/>
      <c r="B131" s="16" t="str">
        <f t="shared" si="25"/>
        <v>0x8C1E</v>
      </c>
      <c r="C131" s="16" t="str">
        <f t="shared" si="26"/>
        <v>0x8C21</v>
      </c>
      <c r="D131" s="16">
        <f t="shared" si="27"/>
        <v>35870</v>
      </c>
      <c r="E131" s="16">
        <f t="shared" si="28"/>
        <v>35873</v>
      </c>
      <c r="F131" s="15" t="s">
        <v>752</v>
      </c>
      <c r="G131" s="15" t="s">
        <v>365</v>
      </c>
      <c r="H131" s="15" t="s">
        <v>301</v>
      </c>
      <c r="I131" s="15">
        <v>4</v>
      </c>
      <c r="J131" s="15"/>
    </row>
    <row r="132" spans="1:10">
      <c r="A132" s="48"/>
      <c r="B132" s="16" t="str">
        <f t="shared" si="25"/>
        <v>0x8C22</v>
      </c>
      <c r="C132" s="16" t="str">
        <f t="shared" si="26"/>
        <v>0x8C23</v>
      </c>
      <c r="D132" s="16">
        <f t="shared" si="27"/>
        <v>35874</v>
      </c>
      <c r="E132" s="16">
        <f t="shared" si="28"/>
        <v>35875</v>
      </c>
      <c r="F132" s="15" t="s">
        <v>753</v>
      </c>
      <c r="G132" s="15" t="s">
        <v>315</v>
      </c>
      <c r="H132" s="15" t="s">
        <v>301</v>
      </c>
      <c r="I132" s="15">
        <v>2</v>
      </c>
      <c r="J132" s="15"/>
    </row>
    <row r="133" spans="1:10">
      <c r="A133" s="43"/>
      <c r="B133" s="16" t="str">
        <f t="shared" si="25"/>
        <v>0x8C24</v>
      </c>
      <c r="C133" s="16" t="str">
        <f t="shared" si="26"/>
        <v>0x8C27</v>
      </c>
      <c r="D133" s="16">
        <f t="shared" si="27"/>
        <v>35876</v>
      </c>
      <c r="E133" s="16">
        <f t="shared" si="28"/>
        <v>35879</v>
      </c>
      <c r="F133" s="15" t="s">
        <v>754</v>
      </c>
      <c r="G133" s="15" t="s">
        <v>365</v>
      </c>
      <c r="H133" s="15" t="s">
        <v>301</v>
      </c>
      <c r="I133" s="15">
        <v>4</v>
      </c>
      <c r="J133" s="15"/>
    </row>
    <row r="134" spans="1:10">
      <c r="A134" s="48"/>
      <c r="B134" s="16" t="str">
        <f t="shared" si="25"/>
        <v>0x8C28</v>
      </c>
      <c r="C134" s="16" t="str">
        <f t="shared" si="26"/>
        <v>0x8C6F</v>
      </c>
      <c r="D134" s="16">
        <f t="shared" si="27"/>
        <v>35880</v>
      </c>
      <c r="E134" s="16">
        <f t="shared" si="28"/>
        <v>35951</v>
      </c>
      <c r="F134" s="15" t="s">
        <v>755</v>
      </c>
      <c r="G134" s="15"/>
      <c r="H134" s="15" t="s">
        <v>301</v>
      </c>
      <c r="I134" s="15">
        <v>72</v>
      </c>
      <c r="J134" s="15"/>
    </row>
    <row r="135" spans="1:10">
      <c r="A135" s="48"/>
      <c r="B135" s="16" t="str">
        <f t="shared" si="25"/>
        <v>0x8C70</v>
      </c>
      <c r="C135" s="16" t="str">
        <f t="shared" si="26"/>
        <v>0x8CFF</v>
      </c>
      <c r="D135" s="16">
        <f t="shared" si="27"/>
        <v>35952</v>
      </c>
      <c r="E135" s="16">
        <f t="shared" si="28"/>
        <v>36095</v>
      </c>
      <c r="F135" s="15" t="s">
        <v>756</v>
      </c>
      <c r="G135" s="15"/>
      <c r="H135" s="15" t="s">
        <v>301</v>
      </c>
      <c r="I135" s="15">
        <v>144</v>
      </c>
      <c r="J135" s="15"/>
    </row>
    <row r="136" spans="1:10">
      <c r="A136" s="48"/>
      <c r="B136" s="16" t="str">
        <f t="shared" si="25"/>
        <v>0x8D00</v>
      </c>
      <c r="C136" s="16" t="str">
        <f t="shared" si="26"/>
        <v>0x8D8F</v>
      </c>
      <c r="D136" s="16">
        <f t="shared" si="27"/>
        <v>36096</v>
      </c>
      <c r="E136" s="16">
        <f t="shared" si="28"/>
        <v>36239</v>
      </c>
      <c r="F136" s="15" t="s">
        <v>757</v>
      </c>
      <c r="G136" s="15"/>
      <c r="H136" s="15" t="s">
        <v>301</v>
      </c>
      <c r="I136" s="15">
        <v>144</v>
      </c>
      <c r="J136" s="15"/>
    </row>
    <row r="137" spans="1:10">
      <c r="A137" s="48"/>
      <c r="B137" s="16" t="str">
        <f t="shared" si="25"/>
        <v>0x8D90</v>
      </c>
      <c r="C137" s="16" t="str">
        <f t="shared" si="26"/>
        <v>0x8E1F</v>
      </c>
      <c r="D137" s="16">
        <f t="shared" si="27"/>
        <v>36240</v>
      </c>
      <c r="E137" s="16">
        <f t="shared" si="28"/>
        <v>36383</v>
      </c>
      <c r="F137" s="15" t="s">
        <v>758</v>
      </c>
      <c r="G137" s="15"/>
      <c r="H137" s="15" t="s">
        <v>301</v>
      </c>
      <c r="I137" s="15">
        <v>144</v>
      </c>
      <c r="J137" s="15"/>
    </row>
    <row r="138" spans="1:10">
      <c r="A138" s="48"/>
      <c r="B138" s="16" t="str">
        <f t="shared" si="25"/>
        <v>0x8E20</v>
      </c>
      <c r="C138" s="16" t="str">
        <f t="shared" si="26"/>
        <v>0x8EAF</v>
      </c>
      <c r="D138" s="16">
        <f t="shared" si="27"/>
        <v>36384</v>
      </c>
      <c r="E138" s="16">
        <f t="shared" si="28"/>
        <v>36527</v>
      </c>
      <c r="F138" s="15" t="s">
        <v>759</v>
      </c>
      <c r="G138" s="15"/>
      <c r="H138" s="15" t="s">
        <v>301</v>
      </c>
      <c r="I138" s="15">
        <v>144</v>
      </c>
      <c r="J138" s="15"/>
    </row>
    <row r="139" spans="1:10">
      <c r="A139" s="48"/>
      <c r="B139" s="16" t="str">
        <f t="shared" si="25"/>
        <v>0x8EB0</v>
      </c>
      <c r="C139" s="16" t="str">
        <f t="shared" si="26"/>
        <v>0x8EB1</v>
      </c>
      <c r="D139" s="16">
        <f t="shared" si="27"/>
        <v>36528</v>
      </c>
      <c r="E139" s="16">
        <f t="shared" si="28"/>
        <v>36529</v>
      </c>
      <c r="F139" s="15" t="s">
        <v>760</v>
      </c>
      <c r="G139" s="15" t="s">
        <v>315</v>
      </c>
      <c r="H139" s="15" t="s">
        <v>301</v>
      </c>
      <c r="I139" s="15">
        <v>2</v>
      </c>
      <c r="J139" s="15"/>
    </row>
    <row r="140" spans="1:10">
      <c r="A140" s="43"/>
      <c r="B140" s="16" t="str">
        <f t="shared" si="25"/>
        <v>0x8EB2</v>
      </c>
      <c r="C140" s="16" t="str">
        <f t="shared" si="26"/>
        <v>0x8EB5</v>
      </c>
      <c r="D140" s="16">
        <f t="shared" si="27"/>
        <v>36530</v>
      </c>
      <c r="E140" s="16">
        <f t="shared" si="28"/>
        <v>36533</v>
      </c>
      <c r="F140" s="15" t="s">
        <v>761</v>
      </c>
      <c r="G140" s="15" t="s">
        <v>365</v>
      </c>
      <c r="H140" s="15" t="s">
        <v>301</v>
      </c>
      <c r="I140" s="15">
        <v>4</v>
      </c>
      <c r="J140" s="15"/>
    </row>
    <row r="141" spans="1:10">
      <c r="A141" s="48"/>
      <c r="B141" s="16" t="str">
        <f t="shared" si="25"/>
        <v>0x8EB6</v>
      </c>
      <c r="C141" s="16" t="str">
        <f t="shared" si="26"/>
        <v>0x8EB7</v>
      </c>
      <c r="D141" s="16">
        <f t="shared" si="27"/>
        <v>36534</v>
      </c>
      <c r="E141" s="16">
        <f t="shared" si="28"/>
        <v>36535</v>
      </c>
      <c r="F141" s="15" t="s">
        <v>762</v>
      </c>
      <c r="G141" s="15" t="s">
        <v>315</v>
      </c>
      <c r="H141" s="15" t="s">
        <v>301</v>
      </c>
      <c r="I141" s="15">
        <v>2</v>
      </c>
      <c r="J141" s="15"/>
    </row>
    <row r="142" spans="1:10">
      <c r="A142" s="43"/>
      <c r="B142" s="16" t="str">
        <f t="shared" si="25"/>
        <v>0x8EB8</v>
      </c>
      <c r="C142" s="16" t="str">
        <f t="shared" si="26"/>
        <v>0x8EBB</v>
      </c>
      <c r="D142" s="16">
        <f t="shared" si="27"/>
        <v>36536</v>
      </c>
      <c r="E142" s="16">
        <f t="shared" si="28"/>
        <v>36539</v>
      </c>
      <c r="F142" s="15" t="s">
        <v>763</v>
      </c>
      <c r="G142" s="15" t="s">
        <v>365</v>
      </c>
      <c r="H142" s="15" t="s">
        <v>301</v>
      </c>
      <c r="I142" s="15">
        <v>4</v>
      </c>
      <c r="J142" s="15"/>
    </row>
    <row r="143" spans="1:10">
      <c r="A143" s="48"/>
      <c r="B143" s="16" t="str">
        <f t="shared" si="25"/>
        <v>0x8EBC</v>
      </c>
      <c r="C143" s="16" t="str">
        <f t="shared" si="26"/>
        <v>0x8EBD</v>
      </c>
      <c r="D143" s="16">
        <f t="shared" si="27"/>
        <v>36540</v>
      </c>
      <c r="E143" s="16">
        <f t="shared" si="28"/>
        <v>36541</v>
      </c>
      <c r="F143" s="15" t="s">
        <v>764</v>
      </c>
      <c r="G143" s="15" t="s">
        <v>315</v>
      </c>
      <c r="H143" s="15" t="s">
        <v>301</v>
      </c>
      <c r="I143" s="15">
        <v>2</v>
      </c>
      <c r="J143" s="15"/>
    </row>
    <row r="144" spans="1:10">
      <c r="A144" s="43"/>
      <c r="B144" s="16" t="str">
        <f t="shared" si="25"/>
        <v>0x8EBE</v>
      </c>
      <c r="C144" s="16" t="str">
        <f t="shared" si="26"/>
        <v>0x8EC1</v>
      </c>
      <c r="D144" s="16">
        <f t="shared" si="27"/>
        <v>36542</v>
      </c>
      <c r="E144" s="16">
        <f t="shared" si="28"/>
        <v>36545</v>
      </c>
      <c r="F144" s="15" t="s">
        <v>765</v>
      </c>
      <c r="G144" s="15" t="s">
        <v>365</v>
      </c>
      <c r="H144" s="15" t="s">
        <v>301</v>
      </c>
      <c r="I144" s="15">
        <v>4</v>
      </c>
      <c r="J144" s="15"/>
    </row>
    <row r="145" spans="1:10">
      <c r="A145" s="48"/>
      <c r="B145" s="16" t="str">
        <f t="shared" si="25"/>
        <v>0x8EC2</v>
      </c>
      <c r="C145" s="16" t="str">
        <f t="shared" si="26"/>
        <v>0x8EC3</v>
      </c>
      <c r="D145" s="16">
        <f t="shared" si="27"/>
        <v>36546</v>
      </c>
      <c r="E145" s="16">
        <f t="shared" si="28"/>
        <v>36547</v>
      </c>
      <c r="F145" s="15" t="s">
        <v>766</v>
      </c>
      <c r="G145" s="15" t="s">
        <v>315</v>
      </c>
      <c r="H145" s="15" t="s">
        <v>301</v>
      </c>
      <c r="I145" s="15">
        <v>2</v>
      </c>
      <c r="J145" s="15"/>
    </row>
    <row r="146" spans="1:10">
      <c r="A146" s="43"/>
      <c r="B146" s="16" t="str">
        <f t="shared" si="25"/>
        <v>0x8EC4</v>
      </c>
      <c r="C146" s="16" t="str">
        <f t="shared" si="26"/>
        <v>0x8EC7</v>
      </c>
      <c r="D146" s="16">
        <f t="shared" si="27"/>
        <v>36548</v>
      </c>
      <c r="E146" s="16">
        <f t="shared" si="28"/>
        <v>36551</v>
      </c>
      <c r="F146" s="15" t="s">
        <v>767</v>
      </c>
      <c r="G146" s="15" t="s">
        <v>365</v>
      </c>
      <c r="H146" s="15" t="s">
        <v>301</v>
      </c>
      <c r="I146" s="15">
        <v>4</v>
      </c>
      <c r="J146" s="15"/>
    </row>
    <row r="147" spans="1:10">
      <c r="A147" s="48"/>
      <c r="B147" s="16" t="str">
        <f t="shared" si="25"/>
        <v>0x8EC8</v>
      </c>
      <c r="C147" s="16" t="str">
        <f t="shared" si="26"/>
        <v>0x8EC9</v>
      </c>
      <c r="D147" s="16">
        <f t="shared" si="27"/>
        <v>36552</v>
      </c>
      <c r="E147" s="16">
        <f t="shared" si="28"/>
        <v>36553</v>
      </c>
      <c r="F147" s="15" t="s">
        <v>768</v>
      </c>
      <c r="G147" s="15" t="s">
        <v>315</v>
      </c>
      <c r="H147" s="15" t="s">
        <v>301</v>
      </c>
      <c r="I147" s="15">
        <v>2</v>
      </c>
      <c r="J147" s="15"/>
    </row>
    <row r="148" spans="1:10">
      <c r="A148" s="43"/>
      <c r="B148" s="16" t="str">
        <f t="shared" si="25"/>
        <v>0x8ECA</v>
      </c>
      <c r="C148" s="16" t="str">
        <f t="shared" si="26"/>
        <v>0x8ECD</v>
      </c>
      <c r="D148" s="16">
        <f t="shared" si="27"/>
        <v>36554</v>
      </c>
      <c r="E148" s="16">
        <f t="shared" si="28"/>
        <v>36557</v>
      </c>
      <c r="F148" s="15" t="s">
        <v>769</v>
      </c>
      <c r="G148" s="15" t="s">
        <v>365</v>
      </c>
      <c r="H148" s="15" t="s">
        <v>301</v>
      </c>
      <c r="I148" s="15">
        <v>4</v>
      </c>
      <c r="J148" s="15"/>
    </row>
    <row r="149" spans="1:10">
      <c r="A149" s="48"/>
      <c r="B149" s="16" t="str">
        <f t="shared" si="25"/>
        <v>0x8ECE</v>
      </c>
      <c r="C149" s="16" t="str">
        <f t="shared" si="26"/>
        <v>0x8ECF</v>
      </c>
      <c r="D149" s="16">
        <f t="shared" si="27"/>
        <v>36558</v>
      </c>
      <c r="E149" s="16">
        <f t="shared" si="28"/>
        <v>36559</v>
      </c>
      <c r="F149" s="15" t="s">
        <v>770</v>
      </c>
      <c r="G149" s="15" t="s">
        <v>315</v>
      </c>
      <c r="H149" s="15" t="s">
        <v>301</v>
      </c>
      <c r="I149" s="15">
        <v>2</v>
      </c>
      <c r="J149" s="15"/>
    </row>
    <row r="150" spans="1:10">
      <c r="A150" s="43"/>
      <c r="B150" s="16" t="str">
        <f t="shared" si="25"/>
        <v>0x8ED0</v>
      </c>
      <c r="C150" s="16" t="str">
        <f t="shared" si="26"/>
        <v>0x8ED3</v>
      </c>
      <c r="D150" s="16">
        <f t="shared" si="27"/>
        <v>36560</v>
      </c>
      <c r="E150" s="16">
        <f t="shared" si="28"/>
        <v>36563</v>
      </c>
      <c r="F150" s="15" t="s">
        <v>771</v>
      </c>
      <c r="G150" s="15" t="s">
        <v>365</v>
      </c>
      <c r="H150" s="15" t="s">
        <v>301</v>
      </c>
      <c r="I150" s="15">
        <v>4</v>
      </c>
      <c r="J150" s="15"/>
    </row>
    <row r="151" spans="1:10">
      <c r="A151" s="48"/>
      <c r="B151" s="16" t="str">
        <f t="shared" si="25"/>
        <v>0x8ED4</v>
      </c>
      <c r="C151" s="16" t="str">
        <f t="shared" si="26"/>
        <v>0x8ED5</v>
      </c>
      <c r="D151" s="16">
        <f t="shared" si="27"/>
        <v>36564</v>
      </c>
      <c r="E151" s="16">
        <f t="shared" si="28"/>
        <v>36565</v>
      </c>
      <c r="F151" s="15" t="s">
        <v>772</v>
      </c>
      <c r="G151" s="15" t="s">
        <v>315</v>
      </c>
      <c r="H151" s="15" t="s">
        <v>301</v>
      </c>
      <c r="I151" s="15">
        <v>2</v>
      </c>
      <c r="J151" s="15"/>
    </row>
    <row r="152" spans="1:10">
      <c r="A152" s="43"/>
      <c r="B152" s="16" t="str">
        <f t="shared" si="25"/>
        <v>0x8ED6</v>
      </c>
      <c r="C152" s="16" t="str">
        <f t="shared" si="26"/>
        <v>0x8ED9</v>
      </c>
      <c r="D152" s="16">
        <f t="shared" si="27"/>
        <v>36566</v>
      </c>
      <c r="E152" s="16">
        <f t="shared" si="28"/>
        <v>36569</v>
      </c>
      <c r="F152" s="15" t="s">
        <v>773</v>
      </c>
      <c r="G152" s="15" t="s">
        <v>365</v>
      </c>
      <c r="H152" s="15" t="s">
        <v>301</v>
      </c>
      <c r="I152" s="15">
        <v>4</v>
      </c>
      <c r="J152" s="15"/>
    </row>
    <row r="153" spans="1:10">
      <c r="A153" s="48"/>
      <c r="B153" s="16" t="str">
        <f t="shared" si="25"/>
        <v>0x8EDA</v>
      </c>
      <c r="C153" s="16" t="str">
        <f t="shared" si="26"/>
        <v>0x8EDB</v>
      </c>
      <c r="D153" s="16">
        <f t="shared" si="27"/>
        <v>36570</v>
      </c>
      <c r="E153" s="16">
        <f t="shared" si="28"/>
        <v>36571</v>
      </c>
      <c r="F153" s="15" t="s">
        <v>774</v>
      </c>
      <c r="G153" s="15" t="s">
        <v>315</v>
      </c>
      <c r="H153" s="15" t="s">
        <v>301</v>
      </c>
      <c r="I153" s="15">
        <v>2</v>
      </c>
      <c r="J153" s="15"/>
    </row>
    <row r="154" spans="1:10">
      <c r="A154" s="43"/>
      <c r="B154" s="16" t="str">
        <f t="shared" si="25"/>
        <v>0x8EDC</v>
      </c>
      <c r="C154" s="16" t="str">
        <f t="shared" si="26"/>
        <v>0x8EDF</v>
      </c>
      <c r="D154" s="16">
        <f t="shared" si="27"/>
        <v>36572</v>
      </c>
      <c r="E154" s="16">
        <f t="shared" si="28"/>
        <v>36575</v>
      </c>
      <c r="F154" s="15" t="s">
        <v>775</v>
      </c>
      <c r="G154" s="15" t="s">
        <v>365</v>
      </c>
      <c r="H154" s="15" t="s">
        <v>301</v>
      </c>
      <c r="I154" s="15">
        <v>4</v>
      </c>
      <c r="J154" s="15"/>
    </row>
    <row r="155" spans="1:10">
      <c r="A155" s="48"/>
      <c r="B155" s="16" t="str">
        <f t="shared" si="25"/>
        <v>0x8EE0</v>
      </c>
      <c r="C155" s="16" t="str">
        <f t="shared" si="26"/>
        <v>0x8EE1</v>
      </c>
      <c r="D155" s="16">
        <f t="shared" si="27"/>
        <v>36576</v>
      </c>
      <c r="E155" s="16">
        <f t="shared" si="28"/>
        <v>36577</v>
      </c>
      <c r="F155" s="15" t="s">
        <v>776</v>
      </c>
      <c r="G155" s="15" t="s">
        <v>315</v>
      </c>
      <c r="H155" s="15" t="s">
        <v>301</v>
      </c>
      <c r="I155" s="15">
        <v>2</v>
      </c>
      <c r="J155" s="15"/>
    </row>
    <row r="156" spans="1:10">
      <c r="A156" s="43"/>
      <c r="B156" s="16" t="str">
        <f t="shared" si="25"/>
        <v>0x8EE2</v>
      </c>
      <c r="C156" s="16" t="str">
        <f t="shared" si="26"/>
        <v>0x8EE5</v>
      </c>
      <c r="D156" s="16">
        <f t="shared" si="27"/>
        <v>36578</v>
      </c>
      <c r="E156" s="16">
        <f t="shared" si="28"/>
        <v>36581</v>
      </c>
      <c r="F156" s="15" t="s">
        <v>777</v>
      </c>
      <c r="G156" s="15" t="s">
        <v>365</v>
      </c>
      <c r="H156" s="15" t="s">
        <v>301</v>
      </c>
      <c r="I156" s="15">
        <v>4</v>
      </c>
      <c r="J156" s="15"/>
    </row>
    <row r="157" spans="1:10">
      <c r="A157" s="48"/>
      <c r="B157" s="16" t="str">
        <f t="shared" si="25"/>
        <v>0x8EE6</v>
      </c>
      <c r="C157" s="16" t="str">
        <f t="shared" si="26"/>
        <v>0x8EE7</v>
      </c>
      <c r="D157" s="16">
        <f t="shared" si="27"/>
        <v>36582</v>
      </c>
      <c r="E157" s="16">
        <f t="shared" si="28"/>
        <v>36583</v>
      </c>
      <c r="F157" s="15" t="s">
        <v>778</v>
      </c>
      <c r="G157" s="15" t="s">
        <v>315</v>
      </c>
      <c r="H157" s="15" t="s">
        <v>301</v>
      </c>
      <c r="I157" s="15">
        <v>2</v>
      </c>
      <c r="J157" s="15"/>
    </row>
    <row r="158" spans="1:10">
      <c r="A158" s="43"/>
      <c r="B158" s="16" t="str">
        <f t="shared" si="25"/>
        <v>0x8EE8</v>
      </c>
      <c r="C158" s="16" t="str">
        <f t="shared" si="26"/>
        <v>0x8EEB</v>
      </c>
      <c r="D158" s="16">
        <f t="shared" si="27"/>
        <v>36584</v>
      </c>
      <c r="E158" s="16">
        <f t="shared" si="28"/>
        <v>36587</v>
      </c>
      <c r="F158" s="15" t="s">
        <v>779</v>
      </c>
      <c r="G158" s="15" t="s">
        <v>365</v>
      </c>
      <c r="H158" s="15" t="s">
        <v>301</v>
      </c>
      <c r="I158" s="15">
        <v>4</v>
      </c>
      <c r="J158" s="15"/>
    </row>
    <row r="159" spans="1:10">
      <c r="A159" s="48"/>
      <c r="B159" s="16" t="str">
        <f t="shared" si="25"/>
        <v>0x8EEC</v>
      </c>
      <c r="C159" s="16" t="str">
        <f t="shared" si="26"/>
        <v>0x8EED</v>
      </c>
      <c r="D159" s="16">
        <f t="shared" si="27"/>
        <v>36588</v>
      </c>
      <c r="E159" s="16">
        <f t="shared" si="28"/>
        <v>36589</v>
      </c>
      <c r="F159" s="15" t="s">
        <v>780</v>
      </c>
      <c r="G159" s="15" t="s">
        <v>315</v>
      </c>
      <c r="H159" s="15" t="s">
        <v>301</v>
      </c>
      <c r="I159" s="15">
        <v>2</v>
      </c>
      <c r="J159" s="15"/>
    </row>
    <row r="160" spans="1:10">
      <c r="A160" s="43"/>
      <c r="B160" s="16" t="str">
        <f t="shared" si="25"/>
        <v>0x8EEE</v>
      </c>
      <c r="C160" s="16" t="str">
        <f t="shared" si="26"/>
        <v>0x8EF1</v>
      </c>
      <c r="D160" s="16">
        <f t="shared" si="27"/>
        <v>36590</v>
      </c>
      <c r="E160" s="16">
        <f t="shared" si="28"/>
        <v>36593</v>
      </c>
      <c r="F160" s="15" t="s">
        <v>781</v>
      </c>
      <c r="G160" s="15" t="s">
        <v>365</v>
      </c>
      <c r="H160" s="15" t="s">
        <v>301</v>
      </c>
      <c r="I160" s="15">
        <v>4</v>
      </c>
      <c r="J160" s="15"/>
    </row>
    <row r="161" spans="1:10">
      <c r="A161" s="48"/>
      <c r="B161" s="16" t="str">
        <f t="shared" si="25"/>
        <v>0x8EF2</v>
      </c>
      <c r="C161" s="16" t="str">
        <f t="shared" si="26"/>
        <v>0x8EF3</v>
      </c>
      <c r="D161" s="16">
        <f t="shared" si="27"/>
        <v>36594</v>
      </c>
      <c r="E161" s="16">
        <f t="shared" si="28"/>
        <v>36595</v>
      </c>
      <c r="F161" s="15" t="s">
        <v>782</v>
      </c>
      <c r="G161" s="15" t="s">
        <v>315</v>
      </c>
      <c r="H161" s="15" t="s">
        <v>301</v>
      </c>
      <c r="I161" s="15">
        <v>2</v>
      </c>
      <c r="J161" s="15"/>
    </row>
    <row r="162" spans="1:10">
      <c r="A162" s="43"/>
      <c r="B162" s="16" t="str">
        <f t="shared" si="25"/>
        <v>0x8EF4</v>
      </c>
      <c r="C162" s="16" t="str">
        <f t="shared" si="26"/>
        <v>0x8EF7</v>
      </c>
      <c r="D162" s="16">
        <f t="shared" si="27"/>
        <v>36596</v>
      </c>
      <c r="E162" s="16">
        <f t="shared" si="28"/>
        <v>36599</v>
      </c>
      <c r="F162" s="15" t="s">
        <v>783</v>
      </c>
      <c r="G162" s="15" t="s">
        <v>365</v>
      </c>
      <c r="H162" s="15" t="s">
        <v>301</v>
      </c>
      <c r="I162" s="15">
        <v>4</v>
      </c>
      <c r="J162" s="15"/>
    </row>
    <row r="163" spans="1:10">
      <c r="A163" s="48"/>
      <c r="B163" s="16" t="str">
        <f t="shared" si="25"/>
        <v>0x8EF8</v>
      </c>
      <c r="C163" s="16" t="str">
        <f t="shared" si="26"/>
        <v>0x8EF9</v>
      </c>
      <c r="D163" s="16">
        <f t="shared" si="27"/>
        <v>36600</v>
      </c>
      <c r="E163" s="16">
        <f t="shared" si="28"/>
        <v>36601</v>
      </c>
      <c r="F163" s="15" t="s">
        <v>784</v>
      </c>
      <c r="G163" s="15" t="s">
        <v>315</v>
      </c>
      <c r="H163" s="15" t="s">
        <v>301</v>
      </c>
      <c r="I163" s="15">
        <v>2</v>
      </c>
      <c r="J163" s="15"/>
    </row>
    <row r="164" spans="1:10">
      <c r="A164" s="43"/>
      <c r="B164" s="16" t="str">
        <f t="shared" si="25"/>
        <v>0x8EFA</v>
      </c>
      <c r="C164" s="16" t="str">
        <f t="shared" si="26"/>
        <v>0x8EFD</v>
      </c>
      <c r="D164" s="16">
        <f t="shared" si="27"/>
        <v>36602</v>
      </c>
      <c r="E164" s="16">
        <f t="shared" si="28"/>
        <v>36605</v>
      </c>
      <c r="F164" s="15" t="s">
        <v>785</v>
      </c>
      <c r="G164" s="15" t="s">
        <v>365</v>
      </c>
      <c r="H164" s="15" t="s">
        <v>301</v>
      </c>
      <c r="I164" s="15">
        <v>4</v>
      </c>
      <c r="J164" s="15"/>
    </row>
    <row r="165" spans="1:10">
      <c r="A165" s="48"/>
      <c r="B165" s="16" t="str">
        <f t="shared" si="25"/>
        <v>0x8EFE</v>
      </c>
      <c r="C165" s="16" t="str">
        <f t="shared" si="26"/>
        <v>0x8EFF</v>
      </c>
      <c r="D165" s="16">
        <f t="shared" si="27"/>
        <v>36606</v>
      </c>
      <c r="E165" s="16">
        <f t="shared" si="28"/>
        <v>36607</v>
      </c>
      <c r="F165" s="15" t="s">
        <v>786</v>
      </c>
      <c r="G165" s="15" t="s">
        <v>315</v>
      </c>
      <c r="H165" s="15" t="s">
        <v>301</v>
      </c>
      <c r="I165" s="15">
        <v>2</v>
      </c>
      <c r="J165" s="15"/>
    </row>
    <row r="166" spans="1:10">
      <c r="A166" s="43"/>
      <c r="B166" s="16" t="str">
        <f t="shared" si="25"/>
        <v>0x8F00</v>
      </c>
      <c r="C166" s="16" t="str">
        <f t="shared" si="26"/>
        <v>0x8F03</v>
      </c>
      <c r="D166" s="16">
        <f t="shared" si="27"/>
        <v>36608</v>
      </c>
      <c r="E166" s="16">
        <f t="shared" si="28"/>
        <v>36611</v>
      </c>
      <c r="F166" s="15" t="s">
        <v>787</v>
      </c>
      <c r="G166" s="15" t="s">
        <v>365</v>
      </c>
      <c r="H166" s="15" t="s">
        <v>301</v>
      </c>
      <c r="I166" s="15">
        <v>4</v>
      </c>
      <c r="J166" s="15"/>
    </row>
    <row r="167" spans="1:10">
      <c r="A167" s="48"/>
      <c r="B167" s="16" t="str">
        <f t="shared" si="25"/>
        <v>0x8F04</v>
      </c>
      <c r="C167" s="16" t="str">
        <f t="shared" si="26"/>
        <v>0x8F05</v>
      </c>
      <c r="D167" s="16">
        <f t="shared" si="27"/>
        <v>36612</v>
      </c>
      <c r="E167" s="16">
        <f t="shared" si="28"/>
        <v>36613</v>
      </c>
      <c r="F167" s="15" t="s">
        <v>788</v>
      </c>
      <c r="G167" s="15" t="s">
        <v>315</v>
      </c>
      <c r="H167" s="15" t="s">
        <v>301</v>
      </c>
      <c r="I167" s="15">
        <v>2</v>
      </c>
      <c r="J167" s="15"/>
    </row>
    <row r="168" spans="1:10">
      <c r="A168" s="43"/>
      <c r="B168" s="16" t="str">
        <f t="shared" si="25"/>
        <v>0x8F06</v>
      </c>
      <c r="C168" s="16" t="str">
        <f t="shared" si="26"/>
        <v>0x8F09</v>
      </c>
      <c r="D168" s="16">
        <f t="shared" si="27"/>
        <v>36614</v>
      </c>
      <c r="E168" s="16">
        <f t="shared" si="28"/>
        <v>36617</v>
      </c>
      <c r="F168" s="15" t="s">
        <v>789</v>
      </c>
      <c r="G168" s="15" t="s">
        <v>365</v>
      </c>
      <c r="H168" s="15" t="s">
        <v>301</v>
      </c>
      <c r="I168" s="15">
        <v>4</v>
      </c>
      <c r="J168" s="15"/>
    </row>
    <row r="169" spans="1:10">
      <c r="A169" s="48"/>
      <c r="B169" s="16" t="str">
        <f t="shared" si="25"/>
        <v>0x8F0A</v>
      </c>
      <c r="C169" s="16" t="str">
        <f t="shared" si="26"/>
        <v>0x8F0B</v>
      </c>
      <c r="D169" s="16">
        <f t="shared" si="27"/>
        <v>36618</v>
      </c>
      <c r="E169" s="16">
        <f t="shared" si="28"/>
        <v>36619</v>
      </c>
      <c r="F169" s="15" t="s">
        <v>790</v>
      </c>
      <c r="G169" s="15" t="s">
        <v>315</v>
      </c>
      <c r="H169" s="15" t="s">
        <v>301</v>
      </c>
      <c r="I169" s="15">
        <v>2</v>
      </c>
      <c r="J169" s="15"/>
    </row>
    <row r="170" spans="1:10">
      <c r="A170" s="43"/>
      <c r="B170" s="16" t="str">
        <f t="shared" si="25"/>
        <v>0x8F0C</v>
      </c>
      <c r="C170" s="16" t="str">
        <f t="shared" si="26"/>
        <v>0x8F0F</v>
      </c>
      <c r="D170" s="16">
        <f t="shared" si="27"/>
        <v>36620</v>
      </c>
      <c r="E170" s="16">
        <f t="shared" si="28"/>
        <v>36623</v>
      </c>
      <c r="F170" s="15" t="s">
        <v>791</v>
      </c>
      <c r="G170" s="15" t="s">
        <v>365</v>
      </c>
      <c r="H170" s="15" t="s">
        <v>301</v>
      </c>
      <c r="I170" s="15">
        <v>4</v>
      </c>
      <c r="J170" s="15"/>
    </row>
    <row r="171" spans="1:10">
      <c r="A171" s="48"/>
      <c r="B171" s="16" t="str">
        <f t="shared" si="25"/>
        <v>0x8F10</v>
      </c>
      <c r="C171" s="16" t="str">
        <f t="shared" si="26"/>
        <v>0x8F11</v>
      </c>
      <c r="D171" s="16">
        <f t="shared" si="27"/>
        <v>36624</v>
      </c>
      <c r="E171" s="16">
        <f t="shared" si="28"/>
        <v>36625</v>
      </c>
      <c r="F171" s="15" t="s">
        <v>792</v>
      </c>
      <c r="G171" s="15" t="s">
        <v>315</v>
      </c>
      <c r="H171" s="15" t="s">
        <v>301</v>
      </c>
      <c r="I171" s="15">
        <v>2</v>
      </c>
      <c r="J171" s="15"/>
    </row>
    <row r="172" spans="1:10">
      <c r="A172" s="43"/>
      <c r="B172" s="16" t="str">
        <f t="shared" si="25"/>
        <v>0x8F12</v>
      </c>
      <c r="C172" s="16" t="str">
        <f t="shared" si="26"/>
        <v>0x8F15</v>
      </c>
      <c r="D172" s="16">
        <f t="shared" si="27"/>
        <v>36626</v>
      </c>
      <c r="E172" s="16">
        <f t="shared" si="28"/>
        <v>36629</v>
      </c>
      <c r="F172" s="15" t="s">
        <v>793</v>
      </c>
      <c r="G172" s="15" t="s">
        <v>365</v>
      </c>
      <c r="H172" s="15" t="s">
        <v>301</v>
      </c>
      <c r="I172" s="15">
        <v>4</v>
      </c>
      <c r="J172" s="15"/>
    </row>
    <row r="173" spans="1:10">
      <c r="A173" s="43"/>
      <c r="B173" s="16" t="str">
        <f t="shared" ref="B173:B174" si="29">"0x"&amp;DEC2HEX(D173,4)</f>
        <v>0x8F16</v>
      </c>
      <c r="C173" s="16" t="str">
        <f t="shared" ref="C173:C174" si="30">"0x"&amp;DEC2HEX(E173,4)</f>
        <v>0x8F16</v>
      </c>
      <c r="D173" s="16">
        <f t="shared" ref="D173:D174" si="31">D172+I172</f>
        <v>36630</v>
      </c>
      <c r="E173" s="16">
        <f t="shared" ref="E173:E174" si="32">D173+I173-1</f>
        <v>36630</v>
      </c>
      <c r="F173" s="50" t="s">
        <v>438</v>
      </c>
      <c r="G173" s="21" t="s">
        <v>146</v>
      </c>
      <c r="H173" s="21" t="s">
        <v>147</v>
      </c>
      <c r="I173" s="21">
        <v>1</v>
      </c>
      <c r="J173" s="21" t="s">
        <v>439</v>
      </c>
    </row>
    <row r="174" spans="1:10">
      <c r="A174" s="48"/>
      <c r="B174" s="16" t="str">
        <f t="shared" si="29"/>
        <v>0x8F17</v>
      </c>
      <c r="C174" s="16" t="str">
        <f t="shared" si="30"/>
        <v>0x8F18</v>
      </c>
      <c r="D174" s="16">
        <f t="shared" si="31"/>
        <v>36631</v>
      </c>
      <c r="E174" s="16">
        <f t="shared" si="32"/>
        <v>36632</v>
      </c>
      <c r="F174" s="15" t="s">
        <v>794</v>
      </c>
      <c r="G174" s="15" t="s">
        <v>315</v>
      </c>
      <c r="H174" s="15" t="s">
        <v>301</v>
      </c>
      <c r="I174" s="15">
        <v>2</v>
      </c>
      <c r="J174" s="15"/>
    </row>
    <row r="175" spans="1:10">
      <c r="A175" s="43"/>
      <c r="B175" s="16" t="str">
        <f t="shared" si="25"/>
        <v>0x8F19</v>
      </c>
      <c r="C175" s="16" t="str">
        <f t="shared" si="26"/>
        <v>0x8F1C</v>
      </c>
      <c r="D175" s="16">
        <f t="shared" si="27"/>
        <v>36633</v>
      </c>
      <c r="E175" s="16">
        <f t="shared" si="28"/>
        <v>36636</v>
      </c>
      <c r="F175" s="15" t="s">
        <v>795</v>
      </c>
      <c r="G175" s="15" t="s">
        <v>365</v>
      </c>
      <c r="H175" s="15" t="s">
        <v>301</v>
      </c>
      <c r="I175" s="15">
        <v>4</v>
      </c>
      <c r="J175" s="15"/>
    </row>
    <row r="176" spans="1:10">
      <c r="A176" s="48"/>
      <c r="B176" s="16" t="str">
        <f t="shared" si="25"/>
        <v>0x8F1D</v>
      </c>
      <c r="C176" s="16" t="str">
        <f t="shared" si="26"/>
        <v>0x8F1E</v>
      </c>
      <c r="D176" s="16">
        <f t="shared" si="27"/>
        <v>36637</v>
      </c>
      <c r="E176" s="16">
        <f t="shared" si="28"/>
        <v>36638</v>
      </c>
      <c r="F176" s="15" t="s">
        <v>796</v>
      </c>
      <c r="G176" s="15" t="s">
        <v>315</v>
      </c>
      <c r="H176" s="15" t="s">
        <v>301</v>
      </c>
      <c r="I176" s="15">
        <v>2</v>
      </c>
      <c r="J176" s="15"/>
    </row>
    <row r="177" spans="1:10">
      <c r="A177" s="43"/>
      <c r="B177" s="16" t="str">
        <f t="shared" ref="B177:B215" si="33">"0x"&amp;DEC2HEX(D177,4)</f>
        <v>0x8F1F</v>
      </c>
      <c r="C177" s="16" t="str">
        <f t="shared" ref="C177:C215" si="34">"0x"&amp;DEC2HEX(E177,4)</f>
        <v>0x8F22</v>
      </c>
      <c r="D177" s="16">
        <f t="shared" ref="D177:D215" si="35">D176+I176</f>
        <v>36639</v>
      </c>
      <c r="E177" s="16">
        <f t="shared" ref="E177:E215" si="36">D177+I177-1</f>
        <v>36642</v>
      </c>
      <c r="F177" s="15" t="s">
        <v>797</v>
      </c>
      <c r="G177" s="15" t="s">
        <v>365</v>
      </c>
      <c r="H177" s="15" t="s">
        <v>301</v>
      </c>
      <c r="I177" s="15">
        <v>4</v>
      </c>
      <c r="J177" s="15"/>
    </row>
    <row r="178" spans="1:10">
      <c r="A178" s="48"/>
      <c r="B178" s="16" t="str">
        <f t="shared" si="33"/>
        <v>0x8F23</v>
      </c>
      <c r="C178" s="16" t="str">
        <f t="shared" si="34"/>
        <v>0x8F24</v>
      </c>
      <c r="D178" s="16">
        <f t="shared" si="35"/>
        <v>36643</v>
      </c>
      <c r="E178" s="16">
        <f t="shared" si="36"/>
        <v>36644</v>
      </c>
      <c r="F178" s="15" t="s">
        <v>798</v>
      </c>
      <c r="G178" s="15" t="s">
        <v>315</v>
      </c>
      <c r="H178" s="15" t="s">
        <v>301</v>
      </c>
      <c r="I178" s="15">
        <v>2</v>
      </c>
      <c r="J178" s="15"/>
    </row>
    <row r="179" spans="1:10">
      <c r="A179" s="43"/>
      <c r="B179" s="16" t="str">
        <f t="shared" si="33"/>
        <v>0x8F25</v>
      </c>
      <c r="C179" s="16" t="str">
        <f t="shared" si="34"/>
        <v>0x8F28</v>
      </c>
      <c r="D179" s="16">
        <f t="shared" si="35"/>
        <v>36645</v>
      </c>
      <c r="E179" s="16">
        <f t="shared" si="36"/>
        <v>36648</v>
      </c>
      <c r="F179" s="15" t="s">
        <v>799</v>
      </c>
      <c r="G179" s="15" t="s">
        <v>365</v>
      </c>
      <c r="H179" s="15" t="s">
        <v>301</v>
      </c>
      <c r="I179" s="15">
        <v>4</v>
      </c>
      <c r="J179" s="15"/>
    </row>
    <row r="180" spans="1:10">
      <c r="A180" s="48"/>
      <c r="B180" s="16" t="str">
        <f t="shared" si="33"/>
        <v>0x8F29</v>
      </c>
      <c r="C180" s="16" t="str">
        <f t="shared" si="34"/>
        <v>0x8F2A</v>
      </c>
      <c r="D180" s="16">
        <f t="shared" si="35"/>
        <v>36649</v>
      </c>
      <c r="E180" s="16">
        <f t="shared" si="36"/>
        <v>36650</v>
      </c>
      <c r="F180" s="15" t="s">
        <v>800</v>
      </c>
      <c r="G180" s="15" t="s">
        <v>315</v>
      </c>
      <c r="H180" s="15" t="s">
        <v>301</v>
      </c>
      <c r="I180" s="15">
        <v>2</v>
      </c>
      <c r="J180" s="15"/>
    </row>
    <row r="181" spans="1:10">
      <c r="A181" s="43"/>
      <c r="B181" s="16" t="str">
        <f t="shared" si="33"/>
        <v>0x8F2B</v>
      </c>
      <c r="C181" s="16" t="str">
        <f t="shared" si="34"/>
        <v>0x8F2E</v>
      </c>
      <c r="D181" s="16">
        <f t="shared" si="35"/>
        <v>36651</v>
      </c>
      <c r="E181" s="16">
        <f t="shared" si="36"/>
        <v>36654</v>
      </c>
      <c r="F181" s="15" t="s">
        <v>801</v>
      </c>
      <c r="G181" s="15" t="s">
        <v>365</v>
      </c>
      <c r="H181" s="15" t="s">
        <v>301</v>
      </c>
      <c r="I181" s="15">
        <v>4</v>
      </c>
      <c r="J181" s="15"/>
    </row>
    <row r="182" spans="1:10">
      <c r="A182" s="48"/>
      <c r="B182" s="16" t="str">
        <f t="shared" ref="B182" si="37">"0x"&amp;DEC2HEX(D182,4)</f>
        <v>0x8F2F</v>
      </c>
      <c r="C182" s="16" t="str">
        <f t="shared" ref="C182" si="38">"0x"&amp;DEC2HEX(E182,4)</f>
        <v>0x8FAD</v>
      </c>
      <c r="D182" s="16">
        <f t="shared" ref="D182" si="39">D181+I181</f>
        <v>36655</v>
      </c>
      <c r="E182" s="16">
        <f>D182+I182-1</f>
        <v>36781</v>
      </c>
      <c r="F182" s="15" t="s">
        <v>802</v>
      </c>
      <c r="G182" s="15"/>
      <c r="H182" s="15" t="s">
        <v>301</v>
      </c>
      <c r="I182" s="15">
        <v>127</v>
      </c>
      <c r="J182" s="15"/>
    </row>
    <row r="183" spans="1:10">
      <c r="A183" s="48"/>
      <c r="B183" s="16" t="str">
        <f t="shared" si="33"/>
        <v>0x8FAE</v>
      </c>
      <c r="C183" s="16" t="str">
        <f t="shared" si="34"/>
        <v>0x8FAE</v>
      </c>
      <c r="D183" s="16">
        <f t="shared" si="35"/>
        <v>36782</v>
      </c>
      <c r="E183" s="16">
        <f t="shared" si="36"/>
        <v>36782</v>
      </c>
      <c r="F183" s="50" t="s">
        <v>339</v>
      </c>
      <c r="G183" s="21" t="s">
        <v>146</v>
      </c>
      <c r="H183" s="21" t="s">
        <v>147</v>
      </c>
      <c r="I183" s="21">
        <v>1</v>
      </c>
      <c r="J183" s="21" t="s">
        <v>340</v>
      </c>
    </row>
    <row r="184" spans="1:10">
      <c r="A184" s="48"/>
      <c r="B184" s="16" t="str">
        <f t="shared" si="33"/>
        <v>0x8FAF</v>
      </c>
      <c r="C184" s="16" t="str">
        <f t="shared" si="34"/>
        <v>0x8FB0</v>
      </c>
      <c r="D184" s="16">
        <f t="shared" si="35"/>
        <v>36783</v>
      </c>
      <c r="E184" s="16">
        <f t="shared" si="36"/>
        <v>36784</v>
      </c>
      <c r="F184" s="15" t="s">
        <v>803</v>
      </c>
      <c r="G184" s="15" t="s">
        <v>315</v>
      </c>
      <c r="H184" s="15" t="s">
        <v>301</v>
      </c>
      <c r="I184" s="15">
        <v>2</v>
      </c>
      <c r="J184" s="15"/>
    </row>
    <row r="185" spans="1:10">
      <c r="A185" s="43"/>
      <c r="B185" s="16" t="str">
        <f t="shared" si="33"/>
        <v>0x8FB1</v>
      </c>
      <c r="C185" s="16" t="str">
        <f t="shared" si="34"/>
        <v>0x8FB4</v>
      </c>
      <c r="D185" s="16">
        <f t="shared" si="35"/>
        <v>36785</v>
      </c>
      <c r="E185" s="16">
        <f t="shared" si="36"/>
        <v>36788</v>
      </c>
      <c r="F185" s="15" t="s">
        <v>804</v>
      </c>
      <c r="G185" s="15" t="s">
        <v>365</v>
      </c>
      <c r="H185" s="15" t="s">
        <v>301</v>
      </c>
      <c r="I185" s="15">
        <v>4</v>
      </c>
      <c r="J185" s="15"/>
    </row>
    <row r="186" spans="1:10">
      <c r="A186" s="48"/>
      <c r="B186" s="16" t="str">
        <f t="shared" si="33"/>
        <v>0x8FB5</v>
      </c>
      <c r="C186" s="16" t="str">
        <f t="shared" si="34"/>
        <v>0x8FB6</v>
      </c>
      <c r="D186" s="16">
        <f t="shared" si="35"/>
        <v>36789</v>
      </c>
      <c r="E186" s="16">
        <f t="shared" si="36"/>
        <v>36790</v>
      </c>
      <c r="F186" s="15" t="s">
        <v>805</v>
      </c>
      <c r="G186" s="15" t="s">
        <v>315</v>
      </c>
      <c r="H186" s="15" t="s">
        <v>301</v>
      </c>
      <c r="I186" s="15">
        <v>2</v>
      </c>
      <c r="J186" s="15"/>
    </row>
    <row r="187" spans="1:10">
      <c r="A187" s="43"/>
      <c r="B187" s="16" t="str">
        <f t="shared" si="33"/>
        <v>0x8FB7</v>
      </c>
      <c r="C187" s="16" t="str">
        <f t="shared" si="34"/>
        <v>0x8FBA</v>
      </c>
      <c r="D187" s="16">
        <f t="shared" si="35"/>
        <v>36791</v>
      </c>
      <c r="E187" s="16">
        <f t="shared" si="36"/>
        <v>36794</v>
      </c>
      <c r="F187" s="15" t="s">
        <v>806</v>
      </c>
      <c r="G187" s="15" t="s">
        <v>365</v>
      </c>
      <c r="H187" s="15" t="s">
        <v>301</v>
      </c>
      <c r="I187" s="15">
        <v>4</v>
      </c>
      <c r="J187" s="15"/>
    </row>
    <row r="188" spans="1:10">
      <c r="A188" s="48"/>
      <c r="B188" s="16" t="str">
        <f t="shared" si="33"/>
        <v>0x8FBB</v>
      </c>
      <c r="C188" s="16" t="str">
        <f t="shared" si="34"/>
        <v>0x8FBC</v>
      </c>
      <c r="D188" s="16">
        <f t="shared" si="35"/>
        <v>36795</v>
      </c>
      <c r="E188" s="16">
        <f t="shared" si="36"/>
        <v>36796</v>
      </c>
      <c r="F188" s="15" t="s">
        <v>807</v>
      </c>
      <c r="G188" s="15" t="s">
        <v>315</v>
      </c>
      <c r="H188" s="15" t="s">
        <v>301</v>
      </c>
      <c r="I188" s="15">
        <v>2</v>
      </c>
      <c r="J188" s="15"/>
    </row>
    <row r="189" spans="1:10">
      <c r="A189" s="43"/>
      <c r="B189" s="16" t="str">
        <f t="shared" si="33"/>
        <v>0x8FBD</v>
      </c>
      <c r="C189" s="16" t="str">
        <f t="shared" si="34"/>
        <v>0x8FC0</v>
      </c>
      <c r="D189" s="16">
        <f t="shared" si="35"/>
        <v>36797</v>
      </c>
      <c r="E189" s="16">
        <f t="shared" si="36"/>
        <v>36800</v>
      </c>
      <c r="F189" s="15" t="s">
        <v>808</v>
      </c>
      <c r="G189" s="15" t="s">
        <v>365</v>
      </c>
      <c r="H189" s="15" t="s">
        <v>301</v>
      </c>
      <c r="I189" s="15">
        <v>4</v>
      </c>
      <c r="J189" s="15"/>
    </row>
    <row r="190" spans="1:10">
      <c r="A190" s="48"/>
      <c r="B190" s="16" t="str">
        <f t="shared" si="33"/>
        <v>0x8FC1</v>
      </c>
      <c r="C190" s="16" t="str">
        <f t="shared" si="34"/>
        <v>0x8FC2</v>
      </c>
      <c r="D190" s="16">
        <f t="shared" si="35"/>
        <v>36801</v>
      </c>
      <c r="E190" s="16">
        <f t="shared" si="36"/>
        <v>36802</v>
      </c>
      <c r="F190" s="15" t="s">
        <v>809</v>
      </c>
      <c r="G190" s="15" t="s">
        <v>315</v>
      </c>
      <c r="H190" s="15" t="s">
        <v>301</v>
      </c>
      <c r="I190" s="15">
        <v>2</v>
      </c>
      <c r="J190" s="15"/>
    </row>
    <row r="191" spans="1:10">
      <c r="A191" s="43"/>
      <c r="B191" s="16" t="str">
        <f t="shared" si="33"/>
        <v>0x8FC3</v>
      </c>
      <c r="C191" s="16" t="str">
        <f t="shared" si="34"/>
        <v>0x8FC6</v>
      </c>
      <c r="D191" s="16">
        <f t="shared" si="35"/>
        <v>36803</v>
      </c>
      <c r="E191" s="16">
        <f t="shared" si="36"/>
        <v>36806</v>
      </c>
      <c r="F191" s="15" t="s">
        <v>810</v>
      </c>
      <c r="G191" s="15" t="s">
        <v>365</v>
      </c>
      <c r="H191" s="15" t="s">
        <v>301</v>
      </c>
      <c r="I191" s="15">
        <v>4</v>
      </c>
      <c r="J191" s="15"/>
    </row>
    <row r="192" spans="1:10">
      <c r="A192" s="48"/>
      <c r="B192" s="16" t="str">
        <f t="shared" si="33"/>
        <v>0x8FC7</v>
      </c>
      <c r="C192" s="16" t="str">
        <f t="shared" si="34"/>
        <v>0x8FC8</v>
      </c>
      <c r="D192" s="16">
        <f t="shared" si="35"/>
        <v>36807</v>
      </c>
      <c r="E192" s="16">
        <f t="shared" si="36"/>
        <v>36808</v>
      </c>
      <c r="F192" s="15" t="s">
        <v>811</v>
      </c>
      <c r="G192" s="15" t="s">
        <v>315</v>
      </c>
      <c r="H192" s="15" t="s">
        <v>301</v>
      </c>
      <c r="I192" s="15">
        <v>2</v>
      </c>
      <c r="J192" s="15"/>
    </row>
    <row r="193" spans="1:10">
      <c r="A193" s="48"/>
      <c r="B193" s="16" t="str">
        <f t="shared" si="33"/>
        <v>0x8FC9</v>
      </c>
      <c r="C193" s="16" t="str">
        <f t="shared" si="34"/>
        <v>0x8FCC</v>
      </c>
      <c r="D193" s="16">
        <f t="shared" si="35"/>
        <v>36809</v>
      </c>
      <c r="E193" s="16">
        <f t="shared" si="36"/>
        <v>36812</v>
      </c>
      <c r="F193" s="15" t="s">
        <v>812</v>
      </c>
      <c r="G193" s="15" t="s">
        <v>365</v>
      </c>
      <c r="H193" s="15" t="s">
        <v>301</v>
      </c>
      <c r="I193" s="15">
        <v>4</v>
      </c>
      <c r="J193" s="15"/>
    </row>
    <row r="194" spans="1:10">
      <c r="A194" s="43"/>
      <c r="B194" s="16" t="str">
        <f t="shared" si="33"/>
        <v>0x8FCD</v>
      </c>
      <c r="C194" s="16" t="str">
        <f t="shared" si="34"/>
        <v>0x8FCE</v>
      </c>
      <c r="D194" s="16">
        <f t="shared" si="35"/>
        <v>36813</v>
      </c>
      <c r="E194" s="16">
        <f t="shared" si="36"/>
        <v>36814</v>
      </c>
      <c r="F194" s="15" t="s">
        <v>813</v>
      </c>
      <c r="G194" s="15" t="s">
        <v>315</v>
      </c>
      <c r="H194" s="15" t="s">
        <v>301</v>
      </c>
      <c r="I194" s="15">
        <v>2</v>
      </c>
      <c r="J194" s="15"/>
    </row>
    <row r="195" spans="1:10">
      <c r="A195" s="43"/>
      <c r="B195" s="16" t="str">
        <f t="shared" si="33"/>
        <v>0x8FCF</v>
      </c>
      <c r="C195" s="16" t="str">
        <f t="shared" si="34"/>
        <v>0x8FD2</v>
      </c>
      <c r="D195" s="16">
        <f t="shared" si="35"/>
        <v>36815</v>
      </c>
      <c r="E195" s="16">
        <f t="shared" si="36"/>
        <v>36818</v>
      </c>
      <c r="F195" s="15" t="s">
        <v>814</v>
      </c>
      <c r="G195" s="15" t="s">
        <v>365</v>
      </c>
      <c r="H195" s="15" t="s">
        <v>301</v>
      </c>
      <c r="I195" s="15">
        <v>4</v>
      </c>
      <c r="J195" s="15"/>
    </row>
    <row r="196" spans="1:10">
      <c r="A196" s="48"/>
      <c r="B196" s="16" t="str">
        <f t="shared" si="33"/>
        <v>0x8FD3</v>
      </c>
      <c r="C196" s="16" t="str">
        <f t="shared" si="34"/>
        <v>0x8FD4</v>
      </c>
      <c r="D196" s="16">
        <f t="shared" si="35"/>
        <v>36819</v>
      </c>
      <c r="E196" s="16">
        <f t="shared" si="36"/>
        <v>36820</v>
      </c>
      <c r="F196" s="15" t="s">
        <v>815</v>
      </c>
      <c r="G196" s="15" t="s">
        <v>315</v>
      </c>
      <c r="H196" s="15" t="s">
        <v>301</v>
      </c>
      <c r="I196" s="15">
        <v>2</v>
      </c>
      <c r="J196" s="15"/>
    </row>
    <row r="197" spans="1:10">
      <c r="A197" s="43"/>
      <c r="B197" s="16" t="str">
        <f t="shared" si="33"/>
        <v>0x8FD5</v>
      </c>
      <c r="C197" s="16" t="str">
        <f t="shared" si="34"/>
        <v>0x8FD8</v>
      </c>
      <c r="D197" s="16">
        <f t="shared" si="35"/>
        <v>36821</v>
      </c>
      <c r="E197" s="16">
        <f t="shared" si="36"/>
        <v>36824</v>
      </c>
      <c r="F197" s="15" t="s">
        <v>816</v>
      </c>
      <c r="G197" s="15" t="s">
        <v>365</v>
      </c>
      <c r="H197" s="15" t="s">
        <v>301</v>
      </c>
      <c r="I197" s="15">
        <v>4</v>
      </c>
      <c r="J197" s="15"/>
    </row>
    <row r="198" spans="1:10">
      <c r="A198" s="48"/>
      <c r="B198" s="16" t="str">
        <f t="shared" si="33"/>
        <v>0x8FD9</v>
      </c>
      <c r="C198" s="16" t="str">
        <f t="shared" si="34"/>
        <v>0x8FDA</v>
      </c>
      <c r="D198" s="16">
        <f t="shared" si="35"/>
        <v>36825</v>
      </c>
      <c r="E198" s="16">
        <f t="shared" si="36"/>
        <v>36826</v>
      </c>
      <c r="F198" s="15" t="s">
        <v>817</v>
      </c>
      <c r="G198" s="15" t="s">
        <v>315</v>
      </c>
      <c r="H198" s="15" t="s">
        <v>301</v>
      </c>
      <c r="I198" s="15">
        <v>2</v>
      </c>
      <c r="J198" s="15"/>
    </row>
    <row r="199" spans="1:10">
      <c r="A199" s="43"/>
      <c r="B199" s="16" t="str">
        <f t="shared" si="33"/>
        <v>0x8FDB</v>
      </c>
      <c r="C199" s="16" t="str">
        <f t="shared" si="34"/>
        <v>0x8FDE</v>
      </c>
      <c r="D199" s="16">
        <f t="shared" si="35"/>
        <v>36827</v>
      </c>
      <c r="E199" s="16">
        <f t="shared" si="36"/>
        <v>36830</v>
      </c>
      <c r="F199" s="15" t="s">
        <v>818</v>
      </c>
      <c r="G199" s="15" t="s">
        <v>365</v>
      </c>
      <c r="H199" s="15" t="s">
        <v>301</v>
      </c>
      <c r="I199" s="15">
        <v>4</v>
      </c>
      <c r="J199" s="15"/>
    </row>
    <row r="200" spans="1:10">
      <c r="A200" s="48"/>
      <c r="B200" s="16" t="str">
        <f t="shared" si="33"/>
        <v>0x8FDF</v>
      </c>
      <c r="C200" s="16" t="str">
        <f t="shared" si="34"/>
        <v>0x8FE0</v>
      </c>
      <c r="D200" s="16">
        <f t="shared" si="35"/>
        <v>36831</v>
      </c>
      <c r="E200" s="16">
        <f t="shared" si="36"/>
        <v>36832</v>
      </c>
      <c r="F200" s="15" t="s">
        <v>819</v>
      </c>
      <c r="G200" s="15" t="s">
        <v>315</v>
      </c>
      <c r="H200" s="15" t="s">
        <v>301</v>
      </c>
      <c r="I200" s="15">
        <v>2</v>
      </c>
      <c r="J200" s="15"/>
    </row>
    <row r="201" spans="1:10">
      <c r="A201" s="43"/>
      <c r="B201" s="16" t="str">
        <f t="shared" si="33"/>
        <v>0x8FE1</v>
      </c>
      <c r="C201" s="16" t="str">
        <f t="shared" si="34"/>
        <v>0x8FE4</v>
      </c>
      <c r="D201" s="16">
        <f t="shared" si="35"/>
        <v>36833</v>
      </c>
      <c r="E201" s="16">
        <f t="shared" si="36"/>
        <v>36836</v>
      </c>
      <c r="F201" s="15" t="s">
        <v>820</v>
      </c>
      <c r="G201" s="15" t="s">
        <v>365</v>
      </c>
      <c r="H201" s="15" t="s">
        <v>301</v>
      </c>
      <c r="I201" s="15">
        <v>4</v>
      </c>
      <c r="J201" s="15"/>
    </row>
    <row r="202" spans="1:10">
      <c r="A202" s="48"/>
      <c r="B202" s="16" t="str">
        <f t="shared" si="33"/>
        <v>0x8FE5</v>
      </c>
      <c r="C202" s="16" t="str">
        <f t="shared" si="34"/>
        <v>0x8FE6</v>
      </c>
      <c r="D202" s="16">
        <f t="shared" si="35"/>
        <v>36837</v>
      </c>
      <c r="E202" s="16">
        <f t="shared" si="36"/>
        <v>36838</v>
      </c>
      <c r="F202" s="15" t="s">
        <v>821</v>
      </c>
      <c r="G202" s="15" t="s">
        <v>315</v>
      </c>
      <c r="H202" s="15" t="s">
        <v>301</v>
      </c>
      <c r="I202" s="15">
        <v>2</v>
      </c>
      <c r="J202" s="15"/>
    </row>
    <row r="203" spans="1:10">
      <c r="A203" s="43"/>
      <c r="B203" s="16" t="str">
        <f t="shared" si="33"/>
        <v>0x8FE7</v>
      </c>
      <c r="C203" s="16" t="str">
        <f t="shared" si="34"/>
        <v>0x8FEA</v>
      </c>
      <c r="D203" s="16">
        <f t="shared" si="35"/>
        <v>36839</v>
      </c>
      <c r="E203" s="16">
        <f t="shared" si="36"/>
        <v>36842</v>
      </c>
      <c r="F203" s="15" t="s">
        <v>822</v>
      </c>
      <c r="G203" s="15" t="s">
        <v>365</v>
      </c>
      <c r="H203" s="15" t="s">
        <v>301</v>
      </c>
      <c r="I203" s="15">
        <v>4</v>
      </c>
      <c r="J203" s="15"/>
    </row>
    <row r="204" spans="1:10">
      <c r="A204" s="48"/>
      <c r="B204" s="16" t="str">
        <f t="shared" si="33"/>
        <v>0x8FEB</v>
      </c>
      <c r="C204" s="16" t="str">
        <f t="shared" si="34"/>
        <v>0x900E</v>
      </c>
      <c r="D204" s="16">
        <f t="shared" si="35"/>
        <v>36843</v>
      </c>
      <c r="E204" s="16">
        <f t="shared" si="36"/>
        <v>36878</v>
      </c>
      <c r="F204" s="15" t="s">
        <v>823</v>
      </c>
      <c r="G204" s="15"/>
      <c r="H204" s="15" t="s">
        <v>301</v>
      </c>
      <c r="I204" s="15">
        <v>36</v>
      </c>
      <c r="J204" s="15"/>
    </row>
    <row r="205" spans="1:10">
      <c r="A205" s="48"/>
      <c r="B205" s="16" t="str">
        <f t="shared" si="33"/>
        <v>0x900F</v>
      </c>
      <c r="C205" s="16" t="str">
        <f t="shared" si="34"/>
        <v>0x9010</v>
      </c>
      <c r="D205" s="16">
        <f t="shared" si="35"/>
        <v>36879</v>
      </c>
      <c r="E205" s="16">
        <f t="shared" si="36"/>
        <v>36880</v>
      </c>
      <c r="F205" s="15" t="s">
        <v>824</v>
      </c>
      <c r="G205" s="15" t="s">
        <v>315</v>
      </c>
      <c r="H205" s="15" t="s">
        <v>301</v>
      </c>
      <c r="I205" s="15">
        <v>2</v>
      </c>
      <c r="J205" s="15"/>
    </row>
    <row r="206" spans="1:10">
      <c r="A206" s="43"/>
      <c r="B206" s="16" t="str">
        <f t="shared" si="33"/>
        <v>0x9011</v>
      </c>
      <c r="C206" s="16" t="str">
        <f t="shared" si="34"/>
        <v>0x9014</v>
      </c>
      <c r="D206" s="16">
        <f t="shared" si="35"/>
        <v>36881</v>
      </c>
      <c r="E206" s="16">
        <f t="shared" si="36"/>
        <v>36884</v>
      </c>
      <c r="F206" s="15" t="s">
        <v>825</v>
      </c>
      <c r="G206" s="15" t="s">
        <v>365</v>
      </c>
      <c r="H206" s="15" t="s">
        <v>301</v>
      </c>
      <c r="I206" s="15">
        <v>4</v>
      </c>
      <c r="J206" s="15"/>
    </row>
    <row r="207" spans="1:10">
      <c r="A207" s="48"/>
      <c r="B207" s="16" t="str">
        <f t="shared" si="33"/>
        <v>0x9015</v>
      </c>
      <c r="C207" s="16" t="str">
        <f t="shared" si="34"/>
        <v>0x909E</v>
      </c>
      <c r="D207" s="16">
        <f t="shared" si="35"/>
        <v>36885</v>
      </c>
      <c r="E207" s="16">
        <f t="shared" si="36"/>
        <v>37022</v>
      </c>
      <c r="F207" s="15" t="s">
        <v>826</v>
      </c>
      <c r="G207" s="15"/>
      <c r="H207" s="15" t="s">
        <v>301</v>
      </c>
      <c r="I207" s="15">
        <v>138</v>
      </c>
      <c r="J207" s="15"/>
    </row>
    <row r="208" spans="1:10">
      <c r="A208" s="48"/>
      <c r="B208" s="16" t="str">
        <f t="shared" si="33"/>
        <v>0x909F</v>
      </c>
      <c r="C208" s="16" t="str">
        <f t="shared" si="34"/>
        <v>0x912E</v>
      </c>
      <c r="D208" s="16">
        <f t="shared" si="35"/>
        <v>37023</v>
      </c>
      <c r="E208" s="16">
        <f t="shared" si="36"/>
        <v>37166</v>
      </c>
      <c r="F208" s="15" t="s">
        <v>827</v>
      </c>
      <c r="G208" s="15"/>
      <c r="H208" s="15" t="s">
        <v>301</v>
      </c>
      <c r="I208" s="15">
        <v>144</v>
      </c>
      <c r="J208" s="15"/>
    </row>
    <row r="209" spans="1:10">
      <c r="A209" s="48"/>
      <c r="B209" s="16" t="str">
        <f t="shared" si="33"/>
        <v>0x912F</v>
      </c>
      <c r="C209" s="16" t="str">
        <f t="shared" si="34"/>
        <v>0x91BE</v>
      </c>
      <c r="D209" s="16">
        <f t="shared" si="35"/>
        <v>37167</v>
      </c>
      <c r="E209" s="16">
        <f t="shared" si="36"/>
        <v>37310</v>
      </c>
      <c r="F209" s="15" t="s">
        <v>828</v>
      </c>
      <c r="G209" s="15"/>
      <c r="H209" s="15" t="s">
        <v>301</v>
      </c>
      <c r="I209" s="15">
        <v>144</v>
      </c>
      <c r="J209" s="15"/>
    </row>
    <row r="210" spans="1:10">
      <c r="A210" s="48"/>
      <c r="B210" s="16" t="str">
        <f t="shared" si="33"/>
        <v>0x91BF</v>
      </c>
      <c r="C210" s="16" t="str">
        <f t="shared" si="34"/>
        <v>0x924E</v>
      </c>
      <c r="D210" s="16">
        <f t="shared" si="35"/>
        <v>37311</v>
      </c>
      <c r="E210" s="16">
        <f t="shared" si="36"/>
        <v>37454</v>
      </c>
      <c r="F210" s="15" t="s">
        <v>829</v>
      </c>
      <c r="G210" s="15"/>
      <c r="H210" s="15" t="s">
        <v>301</v>
      </c>
      <c r="I210" s="15">
        <v>144</v>
      </c>
      <c r="J210" s="15"/>
    </row>
    <row r="211" spans="1:10">
      <c r="A211" s="48"/>
      <c r="B211" s="16" t="str">
        <f t="shared" si="33"/>
        <v>0x924F</v>
      </c>
      <c r="C211" s="16" t="str">
        <f t="shared" si="34"/>
        <v>0x924F</v>
      </c>
      <c r="D211" s="16">
        <f t="shared" si="35"/>
        <v>37455</v>
      </c>
      <c r="E211" s="16">
        <f t="shared" si="36"/>
        <v>37455</v>
      </c>
      <c r="F211" s="50" t="s">
        <v>339</v>
      </c>
      <c r="G211" s="21" t="s">
        <v>146</v>
      </c>
      <c r="H211" s="21" t="s">
        <v>147</v>
      </c>
      <c r="I211" s="21">
        <v>1</v>
      </c>
      <c r="J211" s="21" t="s">
        <v>340</v>
      </c>
    </row>
    <row r="212" spans="1:10">
      <c r="A212" s="48"/>
      <c r="B212" s="16" t="str">
        <f t="shared" si="33"/>
        <v>0x9250</v>
      </c>
      <c r="C212" s="16" t="str">
        <f t="shared" si="34"/>
        <v>0x9251</v>
      </c>
      <c r="D212" s="16">
        <f t="shared" si="35"/>
        <v>37456</v>
      </c>
      <c r="E212" s="16">
        <f t="shared" si="36"/>
        <v>37457</v>
      </c>
      <c r="F212" s="15" t="s">
        <v>830</v>
      </c>
      <c r="G212" s="15" t="s">
        <v>315</v>
      </c>
      <c r="H212" s="15" t="s">
        <v>301</v>
      </c>
      <c r="I212" s="15">
        <v>2</v>
      </c>
      <c r="J212" s="15"/>
    </row>
    <row r="213" spans="1:10">
      <c r="A213" s="48"/>
      <c r="B213" s="16" t="str">
        <f t="shared" si="33"/>
        <v>0x9252</v>
      </c>
      <c r="C213" s="16" t="str">
        <f t="shared" si="34"/>
        <v>0x9255</v>
      </c>
      <c r="D213" s="16">
        <f t="shared" si="35"/>
        <v>37458</v>
      </c>
      <c r="E213" s="16">
        <f t="shared" si="36"/>
        <v>37461</v>
      </c>
      <c r="F213" s="15" t="s">
        <v>831</v>
      </c>
      <c r="G213" s="15" t="s">
        <v>365</v>
      </c>
      <c r="H213" s="15" t="s">
        <v>301</v>
      </c>
      <c r="I213" s="15">
        <v>4</v>
      </c>
      <c r="J213" s="15"/>
    </row>
    <row r="214" spans="1:10">
      <c r="A214" s="48"/>
      <c r="B214" s="16" t="str">
        <f t="shared" si="33"/>
        <v>0x9256</v>
      </c>
      <c r="C214" s="16" t="str">
        <f t="shared" si="34"/>
        <v>0x9257</v>
      </c>
      <c r="D214" s="16">
        <f t="shared" si="35"/>
        <v>37462</v>
      </c>
      <c r="E214" s="16">
        <f t="shared" si="36"/>
        <v>37463</v>
      </c>
      <c r="F214" s="15" t="s">
        <v>832</v>
      </c>
      <c r="G214" s="15" t="s">
        <v>315</v>
      </c>
      <c r="H214" s="15" t="s">
        <v>301</v>
      </c>
      <c r="I214" s="15">
        <v>2</v>
      </c>
      <c r="J214" s="15"/>
    </row>
    <row r="215" spans="1:10">
      <c r="A215" s="48"/>
      <c r="B215" s="16" t="str">
        <f t="shared" si="33"/>
        <v>0x9258</v>
      </c>
      <c r="C215" s="16" t="str">
        <f t="shared" si="34"/>
        <v>0x925B</v>
      </c>
      <c r="D215" s="16">
        <f t="shared" si="35"/>
        <v>37464</v>
      </c>
      <c r="E215" s="16">
        <f t="shared" si="36"/>
        <v>37467</v>
      </c>
      <c r="F215" s="15" t="s">
        <v>833</v>
      </c>
      <c r="G215" s="15" t="s">
        <v>365</v>
      </c>
      <c r="H215" s="15" t="s">
        <v>301</v>
      </c>
      <c r="I215" s="15">
        <v>4</v>
      </c>
      <c r="J215" s="15"/>
    </row>
    <row r="216" spans="1:10">
      <c r="A216" s="18"/>
      <c r="B216" s="17"/>
      <c r="C216" s="15"/>
      <c r="D216" s="15"/>
      <c r="E216" s="15"/>
      <c r="F216" s="15"/>
      <c r="G216" s="15"/>
    </row>
    <row r="217" spans="1:10">
      <c r="A217" s="47"/>
      <c r="B217" s="17"/>
      <c r="C217" s="15"/>
      <c r="D217" s="15"/>
      <c r="E217" s="15"/>
      <c r="F217" s="15"/>
      <c r="G217" s="15"/>
    </row>
    <row r="218" spans="1:10">
      <c r="A218" s="18"/>
      <c r="B218" s="17"/>
      <c r="C218" s="15"/>
      <c r="D218" s="15"/>
      <c r="E218" s="15"/>
      <c r="F218" s="15"/>
      <c r="G218" s="15"/>
    </row>
    <row r="219" spans="1:10">
      <c r="A219" s="47"/>
      <c r="B219" s="17"/>
      <c r="C219" s="15"/>
      <c r="D219" s="15"/>
      <c r="E219" s="15"/>
      <c r="F219" s="15"/>
      <c r="G219" s="15"/>
    </row>
    <row r="220" spans="1:10">
      <c r="A220" s="18"/>
      <c r="B220" s="17"/>
      <c r="C220" s="15"/>
      <c r="D220" s="15"/>
      <c r="E220" s="15"/>
      <c r="F220" s="15"/>
      <c r="G220" s="15"/>
    </row>
    <row r="221" spans="1:10">
      <c r="A221" s="47"/>
      <c r="B221" s="17"/>
      <c r="C221" s="15"/>
      <c r="D221" s="15"/>
      <c r="E221" s="15"/>
      <c r="F221" s="15"/>
      <c r="G221" s="15"/>
    </row>
    <row r="222" spans="1:10">
      <c r="A222" s="18"/>
      <c r="B222" s="17"/>
      <c r="C222" s="15"/>
      <c r="D222" s="15"/>
      <c r="E222" s="15"/>
      <c r="F222" s="15"/>
      <c r="G222" s="15"/>
    </row>
    <row r="223" spans="1:10">
      <c r="A223" s="47"/>
      <c r="B223" s="17"/>
      <c r="C223" s="15"/>
      <c r="D223" s="15"/>
      <c r="E223" s="15"/>
      <c r="F223" s="15"/>
      <c r="G223" s="15"/>
    </row>
    <row r="224" spans="1:10">
      <c r="A224" s="18"/>
      <c r="B224" s="17"/>
      <c r="C224" s="15"/>
      <c r="D224" s="15"/>
      <c r="E224" s="15"/>
      <c r="F224" s="15"/>
      <c r="G224" s="15"/>
    </row>
    <row r="225" spans="1:7">
      <c r="A225" s="47"/>
      <c r="B225" s="17"/>
      <c r="C225" s="15"/>
      <c r="D225" s="15"/>
      <c r="E225" s="15"/>
      <c r="F225" s="15"/>
      <c r="G225" s="15"/>
    </row>
    <row r="226" spans="1:7">
      <c r="A226" s="18"/>
      <c r="B226" s="17"/>
      <c r="C226" s="15"/>
      <c r="D226" s="15"/>
      <c r="E226" s="15"/>
      <c r="F226" s="15"/>
      <c r="G226" s="15"/>
    </row>
    <row r="227" spans="1:7">
      <c r="A227" s="47"/>
      <c r="B227" s="17"/>
      <c r="C227" s="15"/>
      <c r="D227" s="15"/>
      <c r="E227" s="15"/>
      <c r="F227" s="15"/>
      <c r="G227" s="15"/>
    </row>
    <row r="228" spans="1:7">
      <c r="A228" s="18"/>
      <c r="B228" s="17"/>
      <c r="C228" s="15"/>
      <c r="D228" s="15"/>
      <c r="E228" s="15"/>
      <c r="F228" s="15"/>
      <c r="G228" s="15"/>
    </row>
    <row r="229" spans="1:7">
      <c r="A229" s="47"/>
      <c r="B229" s="17"/>
      <c r="C229" s="15"/>
      <c r="D229" s="15"/>
      <c r="E229" s="15"/>
      <c r="F229" s="15"/>
      <c r="G229" s="15"/>
    </row>
    <row r="230" spans="1:7">
      <c r="A230" s="18"/>
      <c r="B230" s="17"/>
      <c r="C230" s="15"/>
      <c r="D230" s="15"/>
      <c r="E230" s="15"/>
      <c r="F230" s="15"/>
      <c r="G230" s="15"/>
    </row>
    <row r="231" spans="1:7">
      <c r="A231" s="47"/>
      <c r="B231" s="17"/>
      <c r="C231" s="15"/>
      <c r="D231" s="15"/>
      <c r="E231" s="15"/>
      <c r="F231" s="15"/>
      <c r="G231" s="15"/>
    </row>
    <row r="232" spans="1:7">
      <c r="A232" s="18"/>
      <c r="B232" s="17"/>
      <c r="C232" s="15"/>
      <c r="D232" s="15"/>
      <c r="E232" s="15"/>
      <c r="F232" s="15"/>
      <c r="G232" s="15"/>
    </row>
    <row r="233" spans="1:7">
      <c r="A233" s="47"/>
      <c r="B233" s="17"/>
      <c r="C233" s="15"/>
      <c r="D233" s="15"/>
      <c r="E233" s="15"/>
      <c r="F233" s="15"/>
      <c r="G233" s="15"/>
    </row>
    <row r="234" spans="1:7">
      <c r="A234" s="18"/>
      <c r="B234" s="17"/>
      <c r="C234" s="15"/>
      <c r="D234" s="15"/>
      <c r="E234" s="15"/>
      <c r="F234" s="15"/>
      <c r="G234" s="15"/>
    </row>
    <row r="235" spans="1:7">
      <c r="A235" s="47"/>
      <c r="B235" s="17"/>
      <c r="C235" s="15"/>
      <c r="D235" s="15"/>
      <c r="E235" s="15"/>
      <c r="F235" s="15"/>
      <c r="G235" s="15"/>
    </row>
    <row r="236" spans="1:7">
      <c r="A236" s="18"/>
      <c r="B236" s="17"/>
      <c r="C236" s="15"/>
      <c r="D236" s="15"/>
      <c r="E236" s="15"/>
      <c r="F236" s="15"/>
      <c r="G236" s="15"/>
    </row>
    <row r="237" spans="1:7">
      <c r="A237" s="47"/>
      <c r="B237" s="17"/>
      <c r="C237" s="15"/>
      <c r="D237" s="15"/>
      <c r="E237" s="15"/>
      <c r="F237" s="15"/>
      <c r="G237" s="15"/>
    </row>
    <row r="238" spans="1:7">
      <c r="A238" s="18"/>
      <c r="B238" s="17"/>
      <c r="C238" s="15"/>
      <c r="D238" s="15"/>
      <c r="E238" s="15"/>
      <c r="F238" s="15"/>
      <c r="G238" s="15"/>
    </row>
    <row r="239" spans="1:7">
      <c r="A239" s="47"/>
      <c r="B239" s="17"/>
      <c r="C239" s="15"/>
      <c r="D239" s="15"/>
      <c r="E239" s="15"/>
      <c r="F239" s="15"/>
      <c r="G239" s="15"/>
    </row>
    <row r="240" spans="1:7">
      <c r="A240" s="18"/>
      <c r="B240" s="17"/>
      <c r="C240" s="15"/>
      <c r="D240" s="15"/>
      <c r="E240" s="15"/>
      <c r="F240" s="15"/>
      <c r="G240" s="15"/>
    </row>
    <row r="241" spans="1:7">
      <c r="A241" s="47"/>
      <c r="B241" s="17"/>
      <c r="C241" s="15"/>
      <c r="D241" s="15"/>
      <c r="E241" s="15"/>
      <c r="F241" s="15"/>
      <c r="G241" s="15"/>
    </row>
    <row r="242" spans="1:7">
      <c r="A242" s="18"/>
      <c r="B242" s="17"/>
      <c r="C242" s="15"/>
      <c r="D242" s="15"/>
      <c r="E242" s="15"/>
      <c r="F242" s="15"/>
      <c r="G242" s="15"/>
    </row>
    <row r="243" spans="1:7">
      <c r="A243" s="47"/>
      <c r="B243" s="17"/>
      <c r="C243" s="15"/>
      <c r="D243" s="15"/>
      <c r="E243" s="15"/>
      <c r="F243" s="15"/>
      <c r="G243" s="15"/>
    </row>
    <row r="244" spans="1:7">
      <c r="A244" s="18"/>
      <c r="B244" s="17"/>
      <c r="C244" s="15"/>
      <c r="D244" s="15"/>
      <c r="E244" s="15"/>
      <c r="F244" s="15"/>
      <c r="G244" s="15"/>
    </row>
    <row r="245" spans="1:7">
      <c r="A245" s="47"/>
      <c r="B245" s="17"/>
      <c r="C245" s="15"/>
      <c r="D245" s="15"/>
      <c r="E245" s="15"/>
      <c r="F245" s="15"/>
      <c r="G245" s="15"/>
    </row>
    <row r="246" spans="1:7">
      <c r="A246" s="18"/>
      <c r="B246" s="17"/>
      <c r="C246" s="15"/>
      <c r="D246" s="15"/>
      <c r="E246" s="15"/>
      <c r="F246" s="15"/>
      <c r="G246" s="15"/>
    </row>
    <row r="247" spans="1:7">
      <c r="A247" s="18"/>
      <c r="B247" s="17"/>
      <c r="C247" s="15"/>
      <c r="D247" s="15"/>
      <c r="E247" s="15"/>
      <c r="F247" s="15"/>
      <c r="G247" s="15"/>
    </row>
    <row r="248" spans="1:7">
      <c r="A248" s="47"/>
      <c r="B248" s="17"/>
      <c r="C248" s="15"/>
      <c r="D248" s="15"/>
      <c r="E248" s="15"/>
      <c r="F248" s="15"/>
      <c r="G248" s="15"/>
    </row>
    <row r="249" spans="1:7">
      <c r="A249" s="18"/>
      <c r="B249" s="17"/>
      <c r="C249" s="15"/>
      <c r="D249" s="15"/>
      <c r="E249" s="15"/>
      <c r="F249" s="15"/>
      <c r="G249" s="15"/>
    </row>
    <row r="250" spans="1:7">
      <c r="A250" s="47"/>
      <c r="B250" s="17"/>
      <c r="C250" s="15"/>
      <c r="D250" s="15"/>
      <c r="E250" s="15"/>
      <c r="F250" s="15"/>
      <c r="G250" s="15"/>
    </row>
    <row r="251" spans="1:7">
      <c r="A251" s="18"/>
      <c r="B251" s="17"/>
      <c r="C251" s="15"/>
      <c r="D251" s="15"/>
      <c r="E251" s="15"/>
      <c r="F251" s="15"/>
      <c r="G251" s="15"/>
    </row>
    <row r="252" spans="1:7">
      <c r="A252" s="47"/>
      <c r="B252" s="17"/>
      <c r="C252" s="15"/>
      <c r="D252" s="15"/>
      <c r="E252" s="15"/>
      <c r="F252" s="15"/>
      <c r="G252" s="15"/>
    </row>
    <row r="253" spans="1:7">
      <c r="A253" s="18"/>
      <c r="B253" s="17"/>
      <c r="C253" s="15"/>
      <c r="D253" s="15"/>
      <c r="E253" s="15"/>
      <c r="F253" s="15"/>
      <c r="G253" s="15"/>
    </row>
    <row r="254" spans="1:7">
      <c r="A254" s="47"/>
      <c r="B254" s="17"/>
      <c r="C254" s="15"/>
      <c r="D254" s="15"/>
      <c r="E254" s="15"/>
      <c r="F254" s="15"/>
      <c r="G254" s="15"/>
    </row>
    <row r="255" spans="1:7">
      <c r="A255" s="18"/>
      <c r="B255" s="17"/>
      <c r="C255" s="15"/>
      <c r="D255" s="15"/>
      <c r="E255" s="15"/>
      <c r="F255" s="15"/>
      <c r="G255" s="15"/>
    </row>
    <row r="256" spans="1:7">
      <c r="A256" s="47"/>
      <c r="B256" s="17"/>
      <c r="C256" s="15"/>
      <c r="D256" s="15"/>
      <c r="E256" s="15"/>
      <c r="F256" s="15"/>
      <c r="G256" s="15"/>
    </row>
    <row r="257" spans="1:7">
      <c r="A257" s="18"/>
      <c r="B257" s="17"/>
      <c r="C257" s="15"/>
      <c r="D257" s="15"/>
      <c r="E257" s="15"/>
      <c r="F257" s="15"/>
      <c r="G257" s="15"/>
    </row>
    <row r="258" spans="1:7">
      <c r="A258" s="47"/>
      <c r="B258" s="17"/>
      <c r="C258" s="15"/>
      <c r="D258" s="15"/>
      <c r="E258" s="15"/>
      <c r="F258" s="15"/>
      <c r="G258" s="15"/>
    </row>
    <row r="259" spans="1:7">
      <c r="A259" s="18"/>
      <c r="B259" s="17"/>
      <c r="C259" s="15"/>
      <c r="D259" s="15"/>
      <c r="E259" s="15"/>
      <c r="F259" s="15"/>
      <c r="G259" s="15"/>
    </row>
    <row r="260" spans="1:7">
      <c r="A260" s="18"/>
      <c r="B260" s="17"/>
      <c r="C260" s="15"/>
      <c r="D260" s="15"/>
      <c r="E260" s="15"/>
      <c r="F260" s="15"/>
      <c r="G260" s="15"/>
    </row>
    <row r="261" spans="1:7">
      <c r="A261" s="18"/>
      <c r="B261" s="17"/>
      <c r="C261" s="15"/>
      <c r="D261" s="15"/>
      <c r="E261" s="15"/>
      <c r="F261" s="15"/>
      <c r="G261" s="15"/>
    </row>
    <row r="262" spans="1:7">
      <c r="A262" s="18"/>
      <c r="B262" s="17"/>
      <c r="C262" s="15"/>
      <c r="D262" s="15"/>
      <c r="E262" s="15"/>
      <c r="F262" s="15"/>
      <c r="G262" s="15"/>
    </row>
    <row r="263" spans="1:7">
      <c r="A263" s="18"/>
      <c r="B263" s="17"/>
      <c r="C263" s="15"/>
      <c r="D263" s="15"/>
      <c r="E263" s="15"/>
      <c r="F263" s="15"/>
      <c r="G263" s="15"/>
    </row>
    <row r="264" spans="1:7">
      <c r="A264" s="47"/>
      <c r="B264" s="17"/>
      <c r="C264" s="15"/>
      <c r="D264" s="15"/>
      <c r="E264" s="15"/>
      <c r="F264" s="15"/>
      <c r="G264" s="15"/>
    </row>
    <row r="265" spans="1:7">
      <c r="A265" s="18"/>
      <c r="B265" s="17"/>
      <c r="C265" s="15"/>
      <c r="D265" s="15"/>
      <c r="E265" s="15"/>
      <c r="F265" s="15"/>
      <c r="G265" s="15"/>
    </row>
    <row r="266" spans="1:7">
      <c r="A266" s="47"/>
      <c r="B266" s="17"/>
      <c r="C266" s="15"/>
      <c r="D266" s="15"/>
      <c r="E266" s="15"/>
      <c r="F266" s="15"/>
      <c r="G266" s="15"/>
    </row>
    <row r="267" spans="1:7">
      <c r="A267" s="18"/>
      <c r="B267" s="17"/>
      <c r="C267" s="15"/>
      <c r="D267" s="15"/>
      <c r="E267" s="15"/>
      <c r="F267" s="15"/>
      <c r="G267" s="15"/>
    </row>
    <row r="268" spans="1:7">
      <c r="A268" s="47"/>
      <c r="B268" s="17"/>
      <c r="C268" s="15"/>
      <c r="D268" s="15"/>
      <c r="E268" s="15"/>
      <c r="F268" s="15"/>
      <c r="G268" s="15"/>
    </row>
    <row r="269" spans="1:7">
      <c r="A269" s="18"/>
      <c r="B269" s="17"/>
      <c r="C269" s="15"/>
      <c r="D269" s="15"/>
      <c r="E269" s="15"/>
      <c r="F269" s="15"/>
      <c r="G269" s="15"/>
    </row>
    <row r="270" spans="1:7">
      <c r="A270" s="47"/>
      <c r="B270" s="17"/>
      <c r="C270" s="15"/>
      <c r="D270" s="15"/>
      <c r="E270" s="15"/>
      <c r="F270" s="15"/>
      <c r="G270" s="15"/>
    </row>
    <row r="271" spans="1:7">
      <c r="A271" s="18"/>
      <c r="B271" s="17"/>
      <c r="C271" s="15"/>
      <c r="D271" s="15"/>
      <c r="E271" s="15"/>
      <c r="F271" s="15"/>
      <c r="G271" s="15"/>
    </row>
    <row r="272" spans="1:7">
      <c r="A272" s="47"/>
      <c r="B272" s="17"/>
      <c r="C272" s="15"/>
      <c r="D272" s="15"/>
      <c r="E272" s="15"/>
      <c r="F272" s="15"/>
      <c r="G272" s="15"/>
    </row>
    <row r="273" spans="1:7">
      <c r="A273" s="18"/>
      <c r="B273" s="17"/>
      <c r="C273" s="15"/>
      <c r="D273" s="15"/>
      <c r="E273" s="15"/>
      <c r="F273" s="15"/>
      <c r="G273" s="15"/>
    </row>
    <row r="274" spans="1:7">
      <c r="A274" s="47"/>
      <c r="B274" s="17"/>
      <c r="C274" s="15"/>
      <c r="D274" s="15"/>
      <c r="E274" s="15"/>
      <c r="F274" s="15"/>
      <c r="G274" s="15"/>
    </row>
    <row r="275" spans="1:7">
      <c r="A275" s="18"/>
      <c r="B275" s="17"/>
      <c r="C275" s="15"/>
      <c r="D275" s="15"/>
      <c r="E275" s="15"/>
      <c r="F275" s="15"/>
      <c r="G275" s="15"/>
    </row>
    <row r="276" spans="1:7">
      <c r="A276" s="47"/>
      <c r="B276" s="17"/>
      <c r="C276" s="15"/>
      <c r="D276" s="15"/>
      <c r="E276" s="15"/>
      <c r="F276" s="15"/>
      <c r="G276" s="15"/>
    </row>
    <row r="277" spans="1:7">
      <c r="A277" s="18"/>
      <c r="B277" s="17"/>
      <c r="C277" s="15"/>
      <c r="D277" s="15"/>
      <c r="E277" s="15"/>
      <c r="F277" s="15"/>
      <c r="G277" s="15"/>
    </row>
    <row r="278" spans="1:7">
      <c r="A278" s="18"/>
      <c r="B278" s="17"/>
      <c r="C278" s="15"/>
      <c r="D278" s="15"/>
      <c r="E278" s="15"/>
      <c r="F278" s="15"/>
      <c r="G278" s="15"/>
    </row>
    <row r="279" spans="1:7">
      <c r="A279" s="18"/>
      <c r="B279" s="17"/>
      <c r="C279" s="15"/>
      <c r="D279" s="15"/>
      <c r="E279" s="15"/>
      <c r="F279" s="15"/>
      <c r="G279" s="15"/>
    </row>
    <row r="280" spans="1:7">
      <c r="A280" s="47"/>
      <c r="B280" s="17"/>
      <c r="C280" s="15"/>
      <c r="D280" s="15"/>
      <c r="E280" s="15"/>
      <c r="F280" s="15"/>
      <c r="G280" s="15"/>
    </row>
    <row r="281" spans="1:7">
      <c r="A281" s="18"/>
      <c r="B281" s="17"/>
      <c r="C281" s="15"/>
      <c r="D281" s="15"/>
      <c r="E281" s="15"/>
      <c r="F281" s="15"/>
      <c r="G281" s="15"/>
    </row>
    <row r="282" spans="1:7">
      <c r="A282" s="47"/>
      <c r="B282" s="17"/>
      <c r="C282" s="15"/>
      <c r="D282" s="15"/>
      <c r="E282" s="15"/>
      <c r="F282" s="15"/>
      <c r="G282" s="15"/>
    </row>
    <row r="283" spans="1:7">
      <c r="A283" s="18"/>
      <c r="B283" s="17"/>
      <c r="C283" s="15"/>
      <c r="D283" s="15"/>
      <c r="E283" s="15"/>
      <c r="F283" s="15"/>
      <c r="G283" s="15"/>
    </row>
    <row r="284" spans="1:7">
      <c r="A284" s="47"/>
      <c r="B284" s="17"/>
      <c r="C284" s="15"/>
      <c r="D284" s="15"/>
      <c r="E284" s="15"/>
      <c r="F284" s="15"/>
      <c r="G284" s="15"/>
    </row>
    <row r="285" spans="1:7">
      <c r="A285" s="18"/>
      <c r="B285" s="17"/>
      <c r="C285" s="15"/>
      <c r="D285" s="15"/>
      <c r="E285" s="15"/>
      <c r="F285" s="15"/>
      <c r="G285" s="15"/>
    </row>
    <row r="286" spans="1:7">
      <c r="A286" s="47"/>
      <c r="B286" s="17"/>
      <c r="C286" s="15"/>
      <c r="D286" s="15"/>
      <c r="E286" s="15"/>
      <c r="F286" s="15"/>
      <c r="G286" s="15"/>
    </row>
    <row r="287" spans="1:7">
      <c r="A287" s="18"/>
      <c r="B287" s="17"/>
      <c r="C287" s="15"/>
      <c r="D287" s="15"/>
      <c r="E287" s="15"/>
      <c r="F287" s="15"/>
      <c r="G287" s="15"/>
    </row>
    <row r="288" spans="1:7">
      <c r="A288" s="47"/>
      <c r="B288" s="17"/>
      <c r="C288" s="15"/>
      <c r="D288" s="15"/>
      <c r="E288" s="15"/>
      <c r="F288" s="15"/>
      <c r="G288" s="15"/>
    </row>
    <row r="289" spans="1:7">
      <c r="A289" s="18"/>
      <c r="B289" s="17"/>
      <c r="C289" s="15"/>
      <c r="D289" s="15"/>
      <c r="E289" s="15"/>
      <c r="F289" s="15"/>
      <c r="G289" s="15"/>
    </row>
    <row r="290" spans="1:7">
      <c r="A290" s="47"/>
      <c r="B290" s="17"/>
      <c r="C290" s="15"/>
      <c r="D290" s="15"/>
      <c r="E290" s="15"/>
      <c r="F290" s="15"/>
      <c r="G290" s="15"/>
    </row>
    <row r="291" spans="1:7">
      <c r="A291" s="18"/>
      <c r="B291" s="17"/>
      <c r="C291" s="15"/>
      <c r="D291" s="15"/>
      <c r="E291" s="15"/>
      <c r="F291" s="15"/>
      <c r="G291" s="15"/>
    </row>
    <row r="292" spans="1:7">
      <c r="A292" s="47"/>
      <c r="B292" s="17"/>
      <c r="C292" s="15"/>
      <c r="D292" s="15"/>
      <c r="E292" s="15"/>
      <c r="F292" s="15"/>
      <c r="G292" s="15"/>
    </row>
    <row r="293" spans="1:7">
      <c r="A293" s="18"/>
      <c r="B293" s="17"/>
      <c r="C293" s="15"/>
      <c r="D293" s="15"/>
      <c r="E293" s="15"/>
      <c r="F293" s="15"/>
      <c r="G293" s="15"/>
    </row>
  </sheetData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0602-BBFE-41E7-B291-1C3AF9E0F18B}">
  <dimension ref="A1:L93"/>
  <sheetViews>
    <sheetView workbookViewId="0">
      <selection activeCell="B2" sqref="B2:E3"/>
    </sheetView>
  </sheetViews>
  <sheetFormatPr defaultColWidth="9" defaultRowHeight="13.5"/>
  <cols>
    <col min="1" max="1" width="23.25" style="7" bestFit="1" customWidth="1"/>
    <col min="2" max="2" width="8.625" style="7" bestFit="1" customWidth="1"/>
    <col min="3" max="3" width="7.625" style="7" bestFit="1" customWidth="1"/>
    <col min="4" max="5" width="9" style="7"/>
    <col min="6" max="6" width="59.375" style="7" bestFit="1" customWidth="1"/>
    <col min="7" max="16384" width="9" style="7"/>
  </cols>
  <sheetData>
    <row r="1" spans="1:12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17" t="s">
        <v>105</v>
      </c>
      <c r="B2" s="16" t="str">
        <f t="shared" ref="B2:C3" si="0">"0x"&amp;DEC2HEX(D2,4)</f>
        <v>0x9270</v>
      </c>
      <c r="C2" s="16" t="str">
        <f t="shared" si="0"/>
        <v>0x9271</v>
      </c>
      <c r="D2" s="16">
        <v>37488</v>
      </c>
      <c r="E2" s="16">
        <f t="shared" ref="E2:E3" si="1">D2+I2-1</f>
        <v>37489</v>
      </c>
      <c r="F2" s="15" t="s">
        <v>834</v>
      </c>
      <c r="G2" s="15" t="s">
        <v>315</v>
      </c>
      <c r="H2" s="15" t="s">
        <v>301</v>
      </c>
      <c r="I2" s="15">
        <v>2</v>
      </c>
      <c r="J2" s="15"/>
    </row>
    <row r="3" spans="1:12">
      <c r="A3" s="47"/>
      <c r="B3" s="16" t="str">
        <f t="shared" si="0"/>
        <v>0x9272</v>
      </c>
      <c r="C3" s="16" t="str">
        <f t="shared" si="0"/>
        <v>0x9275</v>
      </c>
      <c r="D3" s="16">
        <f>D2+I2</f>
        <v>37490</v>
      </c>
      <c r="E3" s="16">
        <f t="shared" si="1"/>
        <v>37493</v>
      </c>
      <c r="F3" s="15" t="s">
        <v>835</v>
      </c>
      <c r="G3" s="15" t="s">
        <v>365</v>
      </c>
      <c r="H3" s="15" t="s">
        <v>301</v>
      </c>
      <c r="I3" s="15">
        <v>4</v>
      </c>
      <c r="J3" s="15"/>
    </row>
    <row r="4" spans="1:12">
      <c r="A4" s="18"/>
      <c r="B4" s="16" t="str">
        <f t="shared" ref="B4:B67" si="2">"0x"&amp;DEC2HEX(D4,4)</f>
        <v>0x9276</v>
      </c>
      <c r="C4" s="16" t="str">
        <f t="shared" ref="C4:C67" si="3">"0x"&amp;DEC2HEX(E4,4)</f>
        <v>0x9277</v>
      </c>
      <c r="D4" s="16">
        <f t="shared" ref="D4:D67" si="4">D3+I3</f>
        <v>37494</v>
      </c>
      <c r="E4" s="16">
        <f t="shared" ref="E4:E67" si="5">D4+I4-1</f>
        <v>37495</v>
      </c>
      <c r="F4" s="15" t="s">
        <v>836</v>
      </c>
      <c r="G4" s="15" t="s">
        <v>315</v>
      </c>
      <c r="H4" s="15" t="s">
        <v>301</v>
      </c>
      <c r="I4" s="15">
        <v>2</v>
      </c>
      <c r="J4" s="15"/>
    </row>
    <row r="5" spans="1:12">
      <c r="A5" s="47"/>
      <c r="B5" s="16" t="str">
        <f t="shared" si="2"/>
        <v>0x9278</v>
      </c>
      <c r="C5" s="16" t="str">
        <f t="shared" si="3"/>
        <v>0x927B</v>
      </c>
      <c r="D5" s="16">
        <f t="shared" si="4"/>
        <v>37496</v>
      </c>
      <c r="E5" s="16">
        <f t="shared" si="5"/>
        <v>37499</v>
      </c>
      <c r="F5" s="15" t="s">
        <v>837</v>
      </c>
      <c r="G5" s="15" t="s">
        <v>365</v>
      </c>
      <c r="H5" s="15" t="s">
        <v>301</v>
      </c>
      <c r="I5" s="15">
        <v>4</v>
      </c>
      <c r="J5" s="15"/>
    </row>
    <row r="6" spans="1:12">
      <c r="A6" s="18"/>
      <c r="B6" s="16" t="str">
        <f t="shared" si="2"/>
        <v>0x927C</v>
      </c>
      <c r="C6" s="16" t="str">
        <f t="shared" si="3"/>
        <v>0x927D</v>
      </c>
      <c r="D6" s="16">
        <f t="shared" si="4"/>
        <v>37500</v>
      </c>
      <c r="E6" s="16">
        <f t="shared" si="5"/>
        <v>37501</v>
      </c>
      <c r="F6" s="15" t="s">
        <v>838</v>
      </c>
      <c r="G6" s="15" t="s">
        <v>315</v>
      </c>
      <c r="H6" s="15" t="s">
        <v>301</v>
      </c>
      <c r="I6" s="15">
        <v>2</v>
      </c>
      <c r="J6" s="15"/>
    </row>
    <row r="7" spans="1:12">
      <c r="A7" s="47"/>
      <c r="B7" s="16" t="str">
        <f t="shared" si="2"/>
        <v>0x927E</v>
      </c>
      <c r="C7" s="16" t="str">
        <f t="shared" si="3"/>
        <v>0x9281</v>
      </c>
      <c r="D7" s="16">
        <f t="shared" si="4"/>
        <v>37502</v>
      </c>
      <c r="E7" s="16">
        <f t="shared" si="5"/>
        <v>37505</v>
      </c>
      <c r="F7" s="15" t="s">
        <v>839</v>
      </c>
      <c r="G7" s="15" t="s">
        <v>365</v>
      </c>
      <c r="H7" s="15" t="s">
        <v>301</v>
      </c>
      <c r="I7" s="15">
        <v>4</v>
      </c>
      <c r="J7" s="15"/>
    </row>
    <row r="8" spans="1:12">
      <c r="A8" s="18"/>
      <c r="B8" s="16" t="str">
        <f t="shared" si="2"/>
        <v>0x9282</v>
      </c>
      <c r="C8" s="16" t="str">
        <f t="shared" si="3"/>
        <v>0x9283</v>
      </c>
      <c r="D8" s="16">
        <f t="shared" si="4"/>
        <v>37506</v>
      </c>
      <c r="E8" s="16">
        <f t="shared" si="5"/>
        <v>37507</v>
      </c>
      <c r="F8" s="15" t="s">
        <v>840</v>
      </c>
      <c r="G8" s="15" t="s">
        <v>315</v>
      </c>
      <c r="H8" s="15" t="s">
        <v>301</v>
      </c>
      <c r="I8" s="15">
        <v>2</v>
      </c>
      <c r="J8" s="15"/>
    </row>
    <row r="9" spans="1:12">
      <c r="A9" s="47"/>
      <c r="B9" s="16" t="str">
        <f t="shared" si="2"/>
        <v>0x9284</v>
      </c>
      <c r="C9" s="16" t="str">
        <f t="shared" si="3"/>
        <v>0x9287</v>
      </c>
      <c r="D9" s="16">
        <f t="shared" si="4"/>
        <v>37508</v>
      </c>
      <c r="E9" s="16">
        <f t="shared" si="5"/>
        <v>37511</v>
      </c>
      <c r="F9" s="15" t="s">
        <v>841</v>
      </c>
      <c r="G9" s="15" t="s">
        <v>365</v>
      </c>
      <c r="H9" s="15" t="s">
        <v>301</v>
      </c>
      <c r="I9" s="15">
        <v>4</v>
      </c>
      <c r="J9" s="15"/>
    </row>
    <row r="10" spans="1:12">
      <c r="A10" s="18"/>
      <c r="B10" s="16" t="str">
        <f t="shared" si="2"/>
        <v>0x9288</v>
      </c>
      <c r="C10" s="16" t="str">
        <f t="shared" si="3"/>
        <v>0x9289</v>
      </c>
      <c r="D10" s="16">
        <f t="shared" si="4"/>
        <v>37512</v>
      </c>
      <c r="E10" s="16">
        <f t="shared" si="5"/>
        <v>37513</v>
      </c>
      <c r="F10" s="15" t="s">
        <v>842</v>
      </c>
      <c r="G10" s="15" t="s">
        <v>315</v>
      </c>
      <c r="H10" s="15" t="s">
        <v>301</v>
      </c>
      <c r="I10" s="15">
        <v>2</v>
      </c>
      <c r="J10" s="15"/>
    </row>
    <row r="11" spans="1:12">
      <c r="A11" s="47"/>
      <c r="B11" s="16" t="str">
        <f t="shared" si="2"/>
        <v>0x928A</v>
      </c>
      <c r="C11" s="16" t="str">
        <f t="shared" si="3"/>
        <v>0x928D</v>
      </c>
      <c r="D11" s="16">
        <f t="shared" si="4"/>
        <v>37514</v>
      </c>
      <c r="E11" s="16">
        <f t="shared" si="5"/>
        <v>37517</v>
      </c>
      <c r="F11" s="15" t="s">
        <v>843</v>
      </c>
      <c r="G11" s="15" t="s">
        <v>365</v>
      </c>
      <c r="H11" s="15" t="s">
        <v>301</v>
      </c>
      <c r="I11" s="15">
        <v>4</v>
      </c>
      <c r="J11" s="15"/>
    </row>
    <row r="12" spans="1:12">
      <c r="A12" s="18"/>
      <c r="B12" s="16" t="str">
        <f t="shared" si="2"/>
        <v>0x928E</v>
      </c>
      <c r="C12" s="16" t="str">
        <f t="shared" si="3"/>
        <v>0x928F</v>
      </c>
      <c r="D12" s="16">
        <f t="shared" si="4"/>
        <v>37518</v>
      </c>
      <c r="E12" s="16">
        <f t="shared" si="5"/>
        <v>37519</v>
      </c>
      <c r="F12" s="15" t="s">
        <v>844</v>
      </c>
      <c r="G12" s="15" t="s">
        <v>315</v>
      </c>
      <c r="H12" s="15" t="s">
        <v>301</v>
      </c>
      <c r="I12" s="15">
        <v>2</v>
      </c>
      <c r="J12" s="15"/>
    </row>
    <row r="13" spans="1:12">
      <c r="A13" s="47"/>
      <c r="B13" s="16" t="str">
        <f t="shared" si="2"/>
        <v>0x9290</v>
      </c>
      <c r="C13" s="16" t="str">
        <f t="shared" si="3"/>
        <v>0x9293</v>
      </c>
      <c r="D13" s="16">
        <f t="shared" si="4"/>
        <v>37520</v>
      </c>
      <c r="E13" s="16">
        <f t="shared" si="5"/>
        <v>37523</v>
      </c>
      <c r="F13" s="15" t="s">
        <v>845</v>
      </c>
      <c r="G13" s="15" t="s">
        <v>365</v>
      </c>
      <c r="H13" s="15" t="s">
        <v>301</v>
      </c>
      <c r="I13" s="15">
        <v>4</v>
      </c>
      <c r="J13" s="15"/>
    </row>
    <row r="14" spans="1:12">
      <c r="A14" s="18"/>
      <c r="B14" s="16" t="str">
        <f t="shared" si="2"/>
        <v>0x9294</v>
      </c>
      <c r="C14" s="16" t="str">
        <f t="shared" si="3"/>
        <v>0x9295</v>
      </c>
      <c r="D14" s="16">
        <f t="shared" si="4"/>
        <v>37524</v>
      </c>
      <c r="E14" s="16">
        <f t="shared" si="5"/>
        <v>37525</v>
      </c>
      <c r="F14" s="15" t="s">
        <v>846</v>
      </c>
      <c r="G14" s="15" t="s">
        <v>315</v>
      </c>
      <c r="H14" s="15" t="s">
        <v>301</v>
      </c>
      <c r="I14" s="15">
        <v>2</v>
      </c>
      <c r="J14" s="15"/>
    </row>
    <row r="15" spans="1:12">
      <c r="A15" s="47"/>
      <c r="B15" s="16" t="str">
        <f t="shared" si="2"/>
        <v>0x9296</v>
      </c>
      <c r="C15" s="16" t="str">
        <f t="shared" si="3"/>
        <v>0x9299</v>
      </c>
      <c r="D15" s="16">
        <f t="shared" si="4"/>
        <v>37526</v>
      </c>
      <c r="E15" s="16">
        <f t="shared" si="5"/>
        <v>37529</v>
      </c>
      <c r="F15" s="15" t="s">
        <v>847</v>
      </c>
      <c r="G15" s="15" t="s">
        <v>365</v>
      </c>
      <c r="H15" s="15" t="s">
        <v>301</v>
      </c>
      <c r="I15" s="15">
        <v>4</v>
      </c>
      <c r="J15" s="15"/>
    </row>
    <row r="16" spans="1:12">
      <c r="A16" s="18"/>
      <c r="B16" s="16" t="str">
        <f t="shared" si="2"/>
        <v>0x929A</v>
      </c>
      <c r="C16" s="16" t="str">
        <f t="shared" si="3"/>
        <v>0x929B</v>
      </c>
      <c r="D16" s="16">
        <f t="shared" si="4"/>
        <v>37530</v>
      </c>
      <c r="E16" s="16">
        <f t="shared" si="5"/>
        <v>37531</v>
      </c>
      <c r="F16" s="15" t="s">
        <v>848</v>
      </c>
      <c r="G16" s="15" t="s">
        <v>315</v>
      </c>
      <c r="H16" s="15" t="s">
        <v>301</v>
      </c>
      <c r="I16" s="15">
        <v>2</v>
      </c>
      <c r="J16" s="15"/>
    </row>
    <row r="17" spans="1:10">
      <c r="A17" s="47"/>
      <c r="B17" s="16" t="str">
        <f t="shared" si="2"/>
        <v>0x929C</v>
      </c>
      <c r="C17" s="16" t="str">
        <f t="shared" si="3"/>
        <v>0x929F</v>
      </c>
      <c r="D17" s="16">
        <f t="shared" si="4"/>
        <v>37532</v>
      </c>
      <c r="E17" s="16">
        <f t="shared" si="5"/>
        <v>37535</v>
      </c>
      <c r="F17" s="15" t="s">
        <v>849</v>
      </c>
      <c r="G17" s="15" t="s">
        <v>365</v>
      </c>
      <c r="H17" s="15" t="s">
        <v>301</v>
      </c>
      <c r="I17" s="15">
        <v>4</v>
      </c>
      <c r="J17" s="15"/>
    </row>
    <row r="18" spans="1:10">
      <c r="A18" s="18"/>
      <c r="B18" s="16" t="str">
        <f t="shared" si="2"/>
        <v>0x92A0</v>
      </c>
      <c r="C18" s="16" t="str">
        <f t="shared" si="3"/>
        <v>0x92A1</v>
      </c>
      <c r="D18" s="16">
        <f t="shared" si="4"/>
        <v>37536</v>
      </c>
      <c r="E18" s="16">
        <f t="shared" si="5"/>
        <v>37537</v>
      </c>
      <c r="F18" s="15" t="s">
        <v>850</v>
      </c>
      <c r="G18" s="15" t="s">
        <v>315</v>
      </c>
      <c r="H18" s="15" t="s">
        <v>301</v>
      </c>
      <c r="I18" s="15">
        <v>2</v>
      </c>
      <c r="J18" s="15"/>
    </row>
    <row r="19" spans="1:10">
      <c r="A19" s="47"/>
      <c r="B19" s="16" t="str">
        <f t="shared" si="2"/>
        <v>0x92A2</v>
      </c>
      <c r="C19" s="16" t="str">
        <f t="shared" si="3"/>
        <v>0x92A5</v>
      </c>
      <c r="D19" s="16">
        <f t="shared" si="4"/>
        <v>37538</v>
      </c>
      <c r="E19" s="16">
        <f t="shared" si="5"/>
        <v>37541</v>
      </c>
      <c r="F19" s="15" t="s">
        <v>851</v>
      </c>
      <c r="G19" s="15" t="s">
        <v>365</v>
      </c>
      <c r="H19" s="15" t="s">
        <v>301</v>
      </c>
      <c r="I19" s="15">
        <v>4</v>
      </c>
      <c r="J19" s="15"/>
    </row>
    <row r="20" spans="1:10">
      <c r="A20" s="18"/>
      <c r="B20" s="16" t="str">
        <f t="shared" si="2"/>
        <v>0x92A6</v>
      </c>
      <c r="C20" s="16" t="str">
        <f t="shared" si="3"/>
        <v>0x92A7</v>
      </c>
      <c r="D20" s="16">
        <f t="shared" si="4"/>
        <v>37542</v>
      </c>
      <c r="E20" s="16">
        <f t="shared" si="5"/>
        <v>37543</v>
      </c>
      <c r="F20" s="15" t="s">
        <v>852</v>
      </c>
      <c r="G20" s="15" t="s">
        <v>315</v>
      </c>
      <c r="H20" s="15" t="s">
        <v>301</v>
      </c>
      <c r="I20" s="15">
        <v>2</v>
      </c>
      <c r="J20" s="15"/>
    </row>
    <row r="21" spans="1:10">
      <c r="A21" s="47"/>
      <c r="B21" s="16" t="str">
        <f t="shared" si="2"/>
        <v>0x92A8</v>
      </c>
      <c r="C21" s="16" t="str">
        <f t="shared" si="3"/>
        <v>0x92AB</v>
      </c>
      <c r="D21" s="16">
        <f t="shared" si="4"/>
        <v>37544</v>
      </c>
      <c r="E21" s="16">
        <f t="shared" si="5"/>
        <v>37547</v>
      </c>
      <c r="F21" s="15" t="s">
        <v>853</v>
      </c>
      <c r="G21" s="15" t="s">
        <v>365</v>
      </c>
      <c r="H21" s="15" t="s">
        <v>301</v>
      </c>
      <c r="I21" s="15">
        <v>4</v>
      </c>
      <c r="J21" s="15"/>
    </row>
    <row r="22" spans="1:10">
      <c r="A22" s="18"/>
      <c r="B22" s="16" t="str">
        <f t="shared" si="2"/>
        <v>0x92AC</v>
      </c>
      <c r="C22" s="16" t="str">
        <f t="shared" si="3"/>
        <v>0x92AD</v>
      </c>
      <c r="D22" s="16">
        <f t="shared" si="4"/>
        <v>37548</v>
      </c>
      <c r="E22" s="16">
        <f t="shared" si="5"/>
        <v>37549</v>
      </c>
      <c r="F22" s="15" t="s">
        <v>854</v>
      </c>
      <c r="G22" s="15" t="s">
        <v>315</v>
      </c>
      <c r="H22" s="15" t="s">
        <v>301</v>
      </c>
      <c r="I22" s="15">
        <v>2</v>
      </c>
      <c r="J22" s="15"/>
    </row>
    <row r="23" spans="1:10">
      <c r="A23" s="47"/>
      <c r="B23" s="16" t="str">
        <f t="shared" si="2"/>
        <v>0x92AE</v>
      </c>
      <c r="C23" s="16" t="str">
        <f t="shared" si="3"/>
        <v>0x92B1</v>
      </c>
      <c r="D23" s="16">
        <f t="shared" si="4"/>
        <v>37550</v>
      </c>
      <c r="E23" s="16">
        <f t="shared" si="5"/>
        <v>37553</v>
      </c>
      <c r="F23" s="15" t="s">
        <v>855</v>
      </c>
      <c r="G23" s="15" t="s">
        <v>365</v>
      </c>
      <c r="H23" s="15" t="s">
        <v>301</v>
      </c>
      <c r="I23" s="15">
        <v>4</v>
      </c>
      <c r="J23" s="15"/>
    </row>
    <row r="24" spans="1:10">
      <c r="A24" s="18"/>
      <c r="B24" s="16" t="str">
        <f t="shared" si="2"/>
        <v>0x92B2</v>
      </c>
      <c r="C24" s="16" t="str">
        <f t="shared" si="3"/>
        <v>0x92B3</v>
      </c>
      <c r="D24" s="16">
        <f t="shared" si="4"/>
        <v>37554</v>
      </c>
      <c r="E24" s="16">
        <f t="shared" si="5"/>
        <v>37555</v>
      </c>
      <c r="F24" s="15" t="s">
        <v>856</v>
      </c>
      <c r="G24" s="15" t="s">
        <v>315</v>
      </c>
      <c r="H24" s="15" t="s">
        <v>301</v>
      </c>
      <c r="I24" s="15">
        <v>2</v>
      </c>
      <c r="J24" s="15"/>
    </row>
    <row r="25" spans="1:10">
      <c r="A25" s="47"/>
      <c r="B25" s="16" t="str">
        <f t="shared" si="2"/>
        <v>0x92B4</v>
      </c>
      <c r="C25" s="16" t="str">
        <f t="shared" si="3"/>
        <v>0x92B7</v>
      </c>
      <c r="D25" s="16">
        <f t="shared" si="4"/>
        <v>37556</v>
      </c>
      <c r="E25" s="16">
        <f t="shared" si="5"/>
        <v>37559</v>
      </c>
      <c r="F25" s="15" t="s">
        <v>857</v>
      </c>
      <c r="G25" s="15" t="s">
        <v>365</v>
      </c>
      <c r="H25" s="15" t="s">
        <v>301</v>
      </c>
      <c r="I25" s="15">
        <v>4</v>
      </c>
      <c r="J25" s="15"/>
    </row>
    <row r="26" spans="1:10">
      <c r="A26" s="18"/>
      <c r="B26" s="16" t="str">
        <f t="shared" si="2"/>
        <v>0x92B8</v>
      </c>
      <c r="C26" s="16" t="str">
        <f t="shared" si="3"/>
        <v>0x92B9</v>
      </c>
      <c r="D26" s="16">
        <f t="shared" si="4"/>
        <v>37560</v>
      </c>
      <c r="E26" s="16">
        <f t="shared" si="5"/>
        <v>37561</v>
      </c>
      <c r="F26" s="15" t="s">
        <v>858</v>
      </c>
      <c r="G26" s="15" t="s">
        <v>315</v>
      </c>
      <c r="H26" s="15" t="s">
        <v>301</v>
      </c>
      <c r="I26" s="15">
        <v>2</v>
      </c>
      <c r="J26" s="15"/>
    </row>
    <row r="27" spans="1:10">
      <c r="A27" s="47"/>
      <c r="B27" s="16" t="str">
        <f t="shared" si="2"/>
        <v>0x92BA</v>
      </c>
      <c r="C27" s="16" t="str">
        <f t="shared" si="3"/>
        <v>0x92BD</v>
      </c>
      <c r="D27" s="16">
        <f t="shared" si="4"/>
        <v>37562</v>
      </c>
      <c r="E27" s="16">
        <f t="shared" si="5"/>
        <v>37565</v>
      </c>
      <c r="F27" s="15" t="s">
        <v>859</v>
      </c>
      <c r="G27" s="15" t="s">
        <v>365</v>
      </c>
      <c r="H27" s="15" t="s">
        <v>301</v>
      </c>
      <c r="I27" s="15">
        <v>4</v>
      </c>
      <c r="J27" s="15"/>
    </row>
    <row r="28" spans="1:10">
      <c r="A28" s="18"/>
      <c r="B28" s="16" t="str">
        <f t="shared" si="2"/>
        <v>0x92BE</v>
      </c>
      <c r="C28" s="16" t="str">
        <f t="shared" si="3"/>
        <v>0x92BF</v>
      </c>
      <c r="D28" s="16">
        <f t="shared" si="4"/>
        <v>37566</v>
      </c>
      <c r="E28" s="16">
        <f t="shared" si="5"/>
        <v>37567</v>
      </c>
      <c r="F28" s="15" t="s">
        <v>860</v>
      </c>
      <c r="G28" s="15" t="s">
        <v>315</v>
      </c>
      <c r="H28" s="15" t="s">
        <v>301</v>
      </c>
      <c r="I28" s="15">
        <v>2</v>
      </c>
      <c r="J28" s="15"/>
    </row>
    <row r="29" spans="1:10">
      <c r="A29" s="47"/>
      <c r="B29" s="16" t="str">
        <f t="shared" si="2"/>
        <v>0x92C0</v>
      </c>
      <c r="C29" s="16" t="str">
        <f t="shared" si="3"/>
        <v>0x92C3</v>
      </c>
      <c r="D29" s="16">
        <f t="shared" si="4"/>
        <v>37568</v>
      </c>
      <c r="E29" s="16">
        <f t="shared" si="5"/>
        <v>37571</v>
      </c>
      <c r="F29" s="15" t="s">
        <v>861</v>
      </c>
      <c r="G29" s="15" t="s">
        <v>365</v>
      </c>
      <c r="H29" s="15" t="s">
        <v>301</v>
      </c>
      <c r="I29" s="15">
        <v>4</v>
      </c>
      <c r="J29" s="15"/>
    </row>
    <row r="30" spans="1:10">
      <c r="A30" s="18"/>
      <c r="B30" s="16" t="str">
        <f t="shared" si="2"/>
        <v>0x92C4</v>
      </c>
      <c r="C30" s="16" t="str">
        <f t="shared" si="3"/>
        <v>0x92C5</v>
      </c>
      <c r="D30" s="16">
        <f t="shared" si="4"/>
        <v>37572</v>
      </c>
      <c r="E30" s="16">
        <f t="shared" si="5"/>
        <v>37573</v>
      </c>
      <c r="F30" s="15" t="s">
        <v>862</v>
      </c>
      <c r="G30" s="15" t="s">
        <v>315</v>
      </c>
      <c r="H30" s="15" t="s">
        <v>301</v>
      </c>
      <c r="I30" s="15">
        <v>2</v>
      </c>
      <c r="J30" s="15"/>
    </row>
    <row r="31" spans="1:10">
      <c r="A31" s="47"/>
      <c r="B31" s="16" t="str">
        <f t="shared" si="2"/>
        <v>0x92C6</v>
      </c>
      <c r="C31" s="16" t="str">
        <f t="shared" si="3"/>
        <v>0x92C9</v>
      </c>
      <c r="D31" s="16">
        <f t="shared" si="4"/>
        <v>37574</v>
      </c>
      <c r="E31" s="16">
        <f t="shared" si="5"/>
        <v>37577</v>
      </c>
      <c r="F31" s="15" t="s">
        <v>863</v>
      </c>
      <c r="G31" s="15" t="s">
        <v>365</v>
      </c>
      <c r="H31" s="15" t="s">
        <v>301</v>
      </c>
      <c r="I31" s="15">
        <v>4</v>
      </c>
      <c r="J31" s="15"/>
    </row>
    <row r="32" spans="1:10">
      <c r="A32" s="18"/>
      <c r="B32" s="16" t="str">
        <f t="shared" si="2"/>
        <v>0x92CA</v>
      </c>
      <c r="C32" s="16" t="str">
        <f t="shared" si="3"/>
        <v>0x92CB</v>
      </c>
      <c r="D32" s="16">
        <f t="shared" si="4"/>
        <v>37578</v>
      </c>
      <c r="E32" s="16">
        <f t="shared" si="5"/>
        <v>37579</v>
      </c>
      <c r="F32" s="15" t="s">
        <v>864</v>
      </c>
      <c r="G32" s="15" t="s">
        <v>315</v>
      </c>
      <c r="H32" s="15" t="s">
        <v>301</v>
      </c>
      <c r="I32" s="15">
        <v>2</v>
      </c>
      <c r="J32" s="15"/>
    </row>
    <row r="33" spans="1:10">
      <c r="A33" s="47"/>
      <c r="B33" s="16" t="str">
        <f t="shared" si="2"/>
        <v>0x92CC</v>
      </c>
      <c r="C33" s="16" t="str">
        <f t="shared" si="3"/>
        <v>0x92CF</v>
      </c>
      <c r="D33" s="16">
        <f t="shared" si="4"/>
        <v>37580</v>
      </c>
      <c r="E33" s="16">
        <f t="shared" si="5"/>
        <v>37583</v>
      </c>
      <c r="F33" s="15" t="s">
        <v>865</v>
      </c>
      <c r="G33" s="15" t="s">
        <v>365</v>
      </c>
      <c r="H33" s="15" t="s">
        <v>301</v>
      </c>
      <c r="I33" s="15">
        <v>4</v>
      </c>
      <c r="J33" s="15"/>
    </row>
    <row r="34" spans="1:10">
      <c r="A34" s="18"/>
      <c r="B34" s="16" t="str">
        <f t="shared" si="2"/>
        <v>0x92D0</v>
      </c>
      <c r="C34" s="16" t="str">
        <f t="shared" si="3"/>
        <v>0x92D1</v>
      </c>
      <c r="D34" s="16">
        <f t="shared" si="4"/>
        <v>37584</v>
      </c>
      <c r="E34" s="16">
        <f t="shared" si="5"/>
        <v>37585</v>
      </c>
      <c r="F34" s="15" t="s">
        <v>866</v>
      </c>
      <c r="G34" s="15" t="s">
        <v>315</v>
      </c>
      <c r="H34" s="15" t="s">
        <v>301</v>
      </c>
      <c r="I34" s="15">
        <v>2</v>
      </c>
      <c r="J34" s="15"/>
    </row>
    <row r="35" spans="1:10">
      <c r="A35" s="47"/>
      <c r="B35" s="16" t="str">
        <f t="shared" si="2"/>
        <v>0x92D2</v>
      </c>
      <c r="C35" s="16" t="str">
        <f t="shared" si="3"/>
        <v>0x92D5</v>
      </c>
      <c r="D35" s="16">
        <f t="shared" si="4"/>
        <v>37586</v>
      </c>
      <c r="E35" s="16">
        <f t="shared" si="5"/>
        <v>37589</v>
      </c>
      <c r="F35" s="15" t="s">
        <v>867</v>
      </c>
      <c r="G35" s="15" t="s">
        <v>365</v>
      </c>
      <c r="H35" s="15" t="s">
        <v>301</v>
      </c>
      <c r="I35" s="15">
        <v>4</v>
      </c>
      <c r="J35" s="15"/>
    </row>
    <row r="36" spans="1:10">
      <c r="A36" s="18"/>
      <c r="B36" s="16" t="str">
        <f t="shared" si="2"/>
        <v>0x92D6</v>
      </c>
      <c r="C36" s="16" t="str">
        <f t="shared" si="3"/>
        <v>0x92D7</v>
      </c>
      <c r="D36" s="16">
        <f t="shared" si="4"/>
        <v>37590</v>
      </c>
      <c r="E36" s="16">
        <f t="shared" si="5"/>
        <v>37591</v>
      </c>
      <c r="F36" s="15" t="s">
        <v>868</v>
      </c>
      <c r="G36" s="15" t="s">
        <v>315</v>
      </c>
      <c r="H36" s="15" t="s">
        <v>301</v>
      </c>
      <c r="I36" s="15">
        <v>2</v>
      </c>
      <c r="J36" s="15"/>
    </row>
    <row r="37" spans="1:10">
      <c r="A37" s="47"/>
      <c r="B37" s="16" t="str">
        <f t="shared" si="2"/>
        <v>0x92D8</v>
      </c>
      <c r="C37" s="16" t="str">
        <f t="shared" si="3"/>
        <v>0x92DB</v>
      </c>
      <c r="D37" s="16">
        <f t="shared" si="4"/>
        <v>37592</v>
      </c>
      <c r="E37" s="16">
        <f t="shared" si="5"/>
        <v>37595</v>
      </c>
      <c r="F37" s="15" t="s">
        <v>869</v>
      </c>
      <c r="G37" s="15" t="s">
        <v>365</v>
      </c>
      <c r="H37" s="15" t="s">
        <v>301</v>
      </c>
      <c r="I37" s="15">
        <v>4</v>
      </c>
      <c r="J37" s="15"/>
    </row>
    <row r="38" spans="1:10">
      <c r="A38" s="18"/>
      <c r="B38" s="16" t="str">
        <f t="shared" si="2"/>
        <v>0x92DC</v>
      </c>
      <c r="C38" s="16" t="str">
        <f t="shared" si="3"/>
        <v>0x92DD</v>
      </c>
      <c r="D38" s="16">
        <f t="shared" si="4"/>
        <v>37596</v>
      </c>
      <c r="E38" s="16">
        <f t="shared" si="5"/>
        <v>37597</v>
      </c>
      <c r="F38" s="15" t="s">
        <v>870</v>
      </c>
      <c r="G38" s="15" t="s">
        <v>315</v>
      </c>
      <c r="H38" s="15" t="s">
        <v>301</v>
      </c>
      <c r="I38" s="15">
        <v>2</v>
      </c>
      <c r="J38" s="15"/>
    </row>
    <row r="39" spans="1:10">
      <c r="A39" s="47"/>
      <c r="B39" s="16" t="str">
        <f t="shared" si="2"/>
        <v>0x92DE</v>
      </c>
      <c r="C39" s="16" t="str">
        <f t="shared" si="3"/>
        <v>0x92E1</v>
      </c>
      <c r="D39" s="16">
        <f t="shared" si="4"/>
        <v>37598</v>
      </c>
      <c r="E39" s="16">
        <f t="shared" si="5"/>
        <v>37601</v>
      </c>
      <c r="F39" s="15" t="s">
        <v>871</v>
      </c>
      <c r="G39" s="15" t="s">
        <v>365</v>
      </c>
      <c r="H39" s="15" t="s">
        <v>301</v>
      </c>
      <c r="I39" s="15">
        <v>4</v>
      </c>
      <c r="J39" s="15"/>
    </row>
    <row r="40" spans="1:10">
      <c r="A40" s="18"/>
      <c r="B40" s="16" t="str">
        <f t="shared" si="2"/>
        <v>0x92E2</v>
      </c>
      <c r="C40" s="16" t="str">
        <f t="shared" si="3"/>
        <v>0x92E3</v>
      </c>
      <c r="D40" s="16">
        <f t="shared" si="4"/>
        <v>37602</v>
      </c>
      <c r="E40" s="16">
        <f t="shared" si="5"/>
        <v>37603</v>
      </c>
      <c r="F40" s="15" t="s">
        <v>872</v>
      </c>
      <c r="G40" s="15" t="s">
        <v>315</v>
      </c>
      <c r="H40" s="15" t="s">
        <v>301</v>
      </c>
      <c r="I40" s="15">
        <v>2</v>
      </c>
      <c r="J40" s="15"/>
    </row>
    <row r="41" spans="1:10">
      <c r="A41" s="47"/>
      <c r="B41" s="16" t="str">
        <f t="shared" si="2"/>
        <v>0x92E4</v>
      </c>
      <c r="C41" s="16" t="str">
        <f t="shared" si="3"/>
        <v>0x92E7</v>
      </c>
      <c r="D41" s="16">
        <f t="shared" si="4"/>
        <v>37604</v>
      </c>
      <c r="E41" s="16">
        <f t="shared" si="5"/>
        <v>37607</v>
      </c>
      <c r="F41" s="15" t="s">
        <v>873</v>
      </c>
      <c r="G41" s="15" t="s">
        <v>365</v>
      </c>
      <c r="H41" s="15" t="s">
        <v>301</v>
      </c>
      <c r="I41" s="15">
        <v>4</v>
      </c>
      <c r="J41" s="15"/>
    </row>
    <row r="42" spans="1:10">
      <c r="A42" s="18"/>
      <c r="B42" s="16" t="str">
        <f t="shared" si="2"/>
        <v>0x92E8</v>
      </c>
      <c r="C42" s="16" t="str">
        <f t="shared" si="3"/>
        <v>0x92E9</v>
      </c>
      <c r="D42" s="16">
        <f t="shared" si="4"/>
        <v>37608</v>
      </c>
      <c r="E42" s="16">
        <f t="shared" si="5"/>
        <v>37609</v>
      </c>
      <c r="F42" s="15" t="s">
        <v>874</v>
      </c>
      <c r="G42" s="15" t="s">
        <v>315</v>
      </c>
      <c r="H42" s="15" t="s">
        <v>301</v>
      </c>
      <c r="I42" s="15">
        <v>2</v>
      </c>
      <c r="J42" s="15"/>
    </row>
    <row r="43" spans="1:10">
      <c r="A43" s="47"/>
      <c r="B43" s="16" t="str">
        <f t="shared" si="2"/>
        <v>0x92EA</v>
      </c>
      <c r="C43" s="16" t="str">
        <f t="shared" si="3"/>
        <v>0x92ED</v>
      </c>
      <c r="D43" s="16">
        <f t="shared" si="4"/>
        <v>37610</v>
      </c>
      <c r="E43" s="16">
        <f t="shared" si="5"/>
        <v>37613</v>
      </c>
      <c r="F43" s="15" t="s">
        <v>875</v>
      </c>
      <c r="G43" s="15" t="s">
        <v>365</v>
      </c>
      <c r="H43" s="15" t="s">
        <v>301</v>
      </c>
      <c r="I43" s="15">
        <v>4</v>
      </c>
      <c r="J43" s="15"/>
    </row>
    <row r="44" spans="1:10">
      <c r="A44" s="18"/>
      <c r="B44" s="16" t="str">
        <f t="shared" si="2"/>
        <v>0x92EE</v>
      </c>
      <c r="C44" s="16" t="str">
        <f t="shared" si="3"/>
        <v>0x92EF</v>
      </c>
      <c r="D44" s="16">
        <f t="shared" si="4"/>
        <v>37614</v>
      </c>
      <c r="E44" s="16">
        <f t="shared" si="5"/>
        <v>37615</v>
      </c>
      <c r="F44" s="15" t="s">
        <v>876</v>
      </c>
      <c r="G44" s="15" t="s">
        <v>315</v>
      </c>
      <c r="H44" s="15" t="s">
        <v>301</v>
      </c>
      <c r="I44" s="15">
        <v>2</v>
      </c>
      <c r="J44" s="15"/>
    </row>
    <row r="45" spans="1:10">
      <c r="A45" s="47"/>
      <c r="B45" s="16" t="str">
        <f t="shared" si="2"/>
        <v>0x92F0</v>
      </c>
      <c r="C45" s="16" t="str">
        <f t="shared" si="3"/>
        <v>0x92F3</v>
      </c>
      <c r="D45" s="16">
        <f t="shared" si="4"/>
        <v>37616</v>
      </c>
      <c r="E45" s="16">
        <f t="shared" si="5"/>
        <v>37619</v>
      </c>
      <c r="F45" s="15" t="s">
        <v>877</v>
      </c>
      <c r="G45" s="15" t="s">
        <v>365</v>
      </c>
      <c r="H45" s="15" t="s">
        <v>301</v>
      </c>
      <c r="I45" s="15">
        <v>4</v>
      </c>
      <c r="J45" s="15"/>
    </row>
    <row r="46" spans="1:10">
      <c r="A46" s="18"/>
      <c r="B46" s="16" t="str">
        <f t="shared" si="2"/>
        <v>0x92F4</v>
      </c>
      <c r="C46" s="16" t="str">
        <f t="shared" si="3"/>
        <v>0x92F5</v>
      </c>
      <c r="D46" s="16">
        <f t="shared" si="4"/>
        <v>37620</v>
      </c>
      <c r="E46" s="16">
        <f t="shared" si="5"/>
        <v>37621</v>
      </c>
      <c r="F46" s="15" t="s">
        <v>878</v>
      </c>
      <c r="G46" s="15" t="s">
        <v>315</v>
      </c>
      <c r="H46" s="15" t="s">
        <v>301</v>
      </c>
      <c r="I46" s="15">
        <v>2</v>
      </c>
      <c r="J46" s="15"/>
    </row>
    <row r="47" spans="1:10">
      <c r="A47" s="47"/>
      <c r="B47" s="16" t="str">
        <f t="shared" si="2"/>
        <v>0x92F6</v>
      </c>
      <c r="C47" s="16" t="str">
        <f t="shared" si="3"/>
        <v>0x92F9</v>
      </c>
      <c r="D47" s="16">
        <f t="shared" si="4"/>
        <v>37622</v>
      </c>
      <c r="E47" s="16">
        <f t="shared" si="5"/>
        <v>37625</v>
      </c>
      <c r="F47" s="15" t="s">
        <v>879</v>
      </c>
      <c r="G47" s="15" t="s">
        <v>365</v>
      </c>
      <c r="H47" s="15" t="s">
        <v>301</v>
      </c>
      <c r="I47" s="15">
        <v>4</v>
      </c>
      <c r="J47" s="15"/>
    </row>
    <row r="48" spans="1:10">
      <c r="A48" s="18"/>
      <c r="B48" s="16" t="str">
        <f t="shared" si="2"/>
        <v>0x92FA</v>
      </c>
      <c r="C48" s="16" t="str">
        <f t="shared" si="3"/>
        <v>0x92FB</v>
      </c>
      <c r="D48" s="16">
        <f t="shared" si="4"/>
        <v>37626</v>
      </c>
      <c r="E48" s="16">
        <f t="shared" si="5"/>
        <v>37627</v>
      </c>
      <c r="F48" s="15" t="s">
        <v>880</v>
      </c>
      <c r="G48" s="15" t="s">
        <v>315</v>
      </c>
      <c r="H48" s="15" t="s">
        <v>301</v>
      </c>
      <c r="I48" s="15">
        <v>2</v>
      </c>
      <c r="J48" s="15"/>
    </row>
    <row r="49" spans="1:10">
      <c r="A49" s="47"/>
      <c r="B49" s="16" t="str">
        <f t="shared" si="2"/>
        <v>0x92FC</v>
      </c>
      <c r="C49" s="16" t="str">
        <f t="shared" si="3"/>
        <v>0x92FF</v>
      </c>
      <c r="D49" s="16">
        <f t="shared" si="4"/>
        <v>37628</v>
      </c>
      <c r="E49" s="16">
        <f t="shared" si="5"/>
        <v>37631</v>
      </c>
      <c r="F49" s="15" t="s">
        <v>881</v>
      </c>
      <c r="G49" s="15" t="s">
        <v>365</v>
      </c>
      <c r="H49" s="15" t="s">
        <v>301</v>
      </c>
      <c r="I49" s="15">
        <v>4</v>
      </c>
      <c r="J49" s="15"/>
    </row>
    <row r="50" spans="1:10">
      <c r="A50" s="18"/>
      <c r="B50" s="16" t="str">
        <f t="shared" si="2"/>
        <v>0x9300</v>
      </c>
      <c r="C50" s="16" t="str">
        <f t="shared" si="3"/>
        <v>0x938F</v>
      </c>
      <c r="D50" s="16">
        <f t="shared" si="4"/>
        <v>37632</v>
      </c>
      <c r="E50" s="16">
        <f t="shared" si="5"/>
        <v>37775</v>
      </c>
      <c r="F50" s="15" t="s">
        <v>882</v>
      </c>
      <c r="G50" s="15"/>
      <c r="H50" s="15" t="s">
        <v>301</v>
      </c>
      <c r="I50" s="15">
        <v>144</v>
      </c>
      <c r="J50" s="15"/>
    </row>
    <row r="51" spans="1:10">
      <c r="A51" s="18"/>
      <c r="B51" s="16" t="str">
        <f t="shared" si="2"/>
        <v>0x9390</v>
      </c>
      <c r="C51" s="16" t="str">
        <f t="shared" si="3"/>
        <v>0x9391</v>
      </c>
      <c r="D51" s="16">
        <f t="shared" si="4"/>
        <v>37776</v>
      </c>
      <c r="E51" s="16">
        <f t="shared" si="5"/>
        <v>37777</v>
      </c>
      <c r="F51" s="15" t="s">
        <v>883</v>
      </c>
      <c r="G51" s="15" t="s">
        <v>315</v>
      </c>
      <c r="H51" s="15" t="s">
        <v>301</v>
      </c>
      <c r="I51" s="15">
        <v>2</v>
      </c>
      <c r="J51" s="15"/>
    </row>
    <row r="52" spans="1:10">
      <c r="A52" s="47"/>
      <c r="B52" s="16" t="str">
        <f t="shared" si="2"/>
        <v>0x9392</v>
      </c>
      <c r="C52" s="16" t="str">
        <f t="shared" si="3"/>
        <v>0x9395</v>
      </c>
      <c r="D52" s="16">
        <f t="shared" si="4"/>
        <v>37778</v>
      </c>
      <c r="E52" s="16">
        <f t="shared" si="5"/>
        <v>37781</v>
      </c>
      <c r="F52" s="15" t="s">
        <v>884</v>
      </c>
      <c r="G52" s="15" t="s">
        <v>365</v>
      </c>
      <c r="H52" s="15" t="s">
        <v>301</v>
      </c>
      <c r="I52" s="15">
        <v>4</v>
      </c>
      <c r="J52" s="15"/>
    </row>
    <row r="53" spans="1:10">
      <c r="A53" s="18"/>
      <c r="B53" s="16" t="str">
        <f t="shared" si="2"/>
        <v>0x9396</v>
      </c>
      <c r="C53" s="16" t="str">
        <f t="shared" si="3"/>
        <v>0x941F</v>
      </c>
      <c r="D53" s="16">
        <f t="shared" si="4"/>
        <v>37782</v>
      </c>
      <c r="E53" s="16">
        <f t="shared" si="5"/>
        <v>37919</v>
      </c>
      <c r="F53" s="15" t="s">
        <v>885</v>
      </c>
      <c r="G53" s="15"/>
      <c r="H53" s="15" t="s">
        <v>301</v>
      </c>
      <c r="I53" s="15">
        <v>138</v>
      </c>
      <c r="J53" s="15"/>
    </row>
    <row r="54" spans="1:10">
      <c r="A54" s="18"/>
      <c r="B54" s="16" t="str">
        <f t="shared" si="2"/>
        <v>0x9420</v>
      </c>
      <c r="C54" s="16" t="str">
        <f t="shared" si="3"/>
        <v>0x94AF</v>
      </c>
      <c r="D54" s="16">
        <f t="shared" si="4"/>
        <v>37920</v>
      </c>
      <c r="E54" s="16">
        <f t="shared" si="5"/>
        <v>38063</v>
      </c>
      <c r="F54" s="15" t="s">
        <v>886</v>
      </c>
      <c r="G54" s="15"/>
      <c r="H54" s="15" t="s">
        <v>301</v>
      </c>
      <c r="I54" s="15">
        <v>144</v>
      </c>
      <c r="J54" s="15"/>
    </row>
    <row r="55" spans="1:10">
      <c r="A55" s="18"/>
      <c r="B55" s="16" t="str">
        <f t="shared" si="2"/>
        <v>0x94B0</v>
      </c>
      <c r="C55" s="16" t="str">
        <f t="shared" si="3"/>
        <v>0x953F</v>
      </c>
      <c r="D55" s="16">
        <f t="shared" si="4"/>
        <v>38064</v>
      </c>
      <c r="E55" s="16">
        <f t="shared" si="5"/>
        <v>38207</v>
      </c>
      <c r="F55" s="15" t="s">
        <v>887</v>
      </c>
      <c r="G55" s="15"/>
      <c r="H55" s="15" t="s">
        <v>301</v>
      </c>
      <c r="I55" s="15">
        <v>144</v>
      </c>
      <c r="J55" s="15"/>
    </row>
    <row r="56" spans="1:10">
      <c r="A56" s="18"/>
      <c r="B56" s="16" t="str">
        <f t="shared" si="2"/>
        <v>0x9540</v>
      </c>
      <c r="C56" s="16" t="str">
        <f t="shared" si="3"/>
        <v>0x95CF</v>
      </c>
      <c r="D56" s="16">
        <f t="shared" si="4"/>
        <v>38208</v>
      </c>
      <c r="E56" s="16">
        <f t="shared" si="5"/>
        <v>38351</v>
      </c>
      <c r="F56" s="15" t="s">
        <v>888</v>
      </c>
      <c r="G56" s="15"/>
      <c r="H56" s="15" t="s">
        <v>301</v>
      </c>
      <c r="I56" s="15">
        <v>144</v>
      </c>
      <c r="J56" s="15"/>
    </row>
    <row r="57" spans="1:10">
      <c r="A57" s="18"/>
      <c r="B57" s="16" t="str">
        <f t="shared" ref="B57:B59" si="6">"0x"&amp;DEC2HEX(D57,4)</f>
        <v>0x95D0</v>
      </c>
      <c r="C57" s="16" t="str">
        <f t="shared" ref="C57:C59" si="7">"0x"&amp;DEC2HEX(E57,4)</f>
        <v>0x95D0</v>
      </c>
      <c r="D57" s="16">
        <f t="shared" ref="D57:D59" si="8">D56+I56</f>
        <v>38352</v>
      </c>
      <c r="E57" s="16">
        <f t="shared" ref="E57:E59" si="9">D57+I57-1</f>
        <v>38352</v>
      </c>
      <c r="F57" s="50" t="s">
        <v>438</v>
      </c>
      <c r="G57" s="21" t="s">
        <v>146</v>
      </c>
      <c r="H57" s="21" t="s">
        <v>147</v>
      </c>
      <c r="I57" s="21">
        <v>1</v>
      </c>
      <c r="J57" s="21" t="s">
        <v>439</v>
      </c>
    </row>
    <row r="58" spans="1:10">
      <c r="A58" s="18"/>
      <c r="B58" s="16" t="str">
        <f t="shared" si="6"/>
        <v>0x95D1</v>
      </c>
      <c r="C58" s="16" t="str">
        <f t="shared" si="7"/>
        <v>0x95D2</v>
      </c>
      <c r="D58" s="16">
        <f t="shared" si="8"/>
        <v>38353</v>
      </c>
      <c r="E58" s="16">
        <f t="shared" si="9"/>
        <v>38354</v>
      </c>
      <c r="F58" s="15" t="s">
        <v>889</v>
      </c>
      <c r="G58" s="15" t="s">
        <v>315</v>
      </c>
      <c r="H58" s="15" t="s">
        <v>301</v>
      </c>
      <c r="I58" s="15">
        <v>2</v>
      </c>
      <c r="J58" s="15"/>
    </row>
    <row r="59" spans="1:10">
      <c r="A59" s="47"/>
      <c r="B59" s="16" t="str">
        <f t="shared" si="6"/>
        <v>0x95D3</v>
      </c>
      <c r="C59" s="16" t="str">
        <f t="shared" si="7"/>
        <v>0x95D6</v>
      </c>
      <c r="D59" s="16">
        <f t="shared" si="8"/>
        <v>38355</v>
      </c>
      <c r="E59" s="16">
        <f t="shared" si="9"/>
        <v>38358</v>
      </c>
      <c r="F59" s="15" t="s">
        <v>890</v>
      </c>
      <c r="G59" s="15" t="s">
        <v>365</v>
      </c>
      <c r="H59" s="15" t="s">
        <v>301</v>
      </c>
      <c r="I59" s="15">
        <v>4</v>
      </c>
      <c r="J59" s="15"/>
    </row>
    <row r="60" spans="1:10">
      <c r="A60" s="18"/>
      <c r="B60" s="16" t="str">
        <f t="shared" si="2"/>
        <v>0x95D7</v>
      </c>
      <c r="C60" s="16" t="str">
        <f t="shared" si="3"/>
        <v>0x95D8</v>
      </c>
      <c r="D60" s="16">
        <f t="shared" si="4"/>
        <v>38359</v>
      </c>
      <c r="E60" s="16">
        <f t="shared" si="5"/>
        <v>38360</v>
      </c>
      <c r="F60" s="15" t="s">
        <v>891</v>
      </c>
      <c r="G60" s="15" t="s">
        <v>315</v>
      </c>
      <c r="H60" s="15" t="s">
        <v>301</v>
      </c>
      <c r="I60" s="15">
        <v>2</v>
      </c>
      <c r="J60" s="15"/>
    </row>
    <row r="61" spans="1:10">
      <c r="A61" s="47"/>
      <c r="B61" s="16" t="str">
        <f t="shared" si="2"/>
        <v>0x95D9</v>
      </c>
      <c r="C61" s="16" t="str">
        <f t="shared" si="3"/>
        <v>0x95DC</v>
      </c>
      <c r="D61" s="16">
        <f t="shared" si="4"/>
        <v>38361</v>
      </c>
      <c r="E61" s="16">
        <f t="shared" si="5"/>
        <v>38364</v>
      </c>
      <c r="F61" s="15" t="s">
        <v>892</v>
      </c>
      <c r="G61" s="15" t="s">
        <v>365</v>
      </c>
      <c r="H61" s="15" t="s">
        <v>301</v>
      </c>
      <c r="I61" s="15">
        <v>4</v>
      </c>
      <c r="J61" s="15"/>
    </row>
    <row r="62" spans="1:10">
      <c r="A62" s="18"/>
      <c r="B62" s="16" t="str">
        <f t="shared" si="2"/>
        <v>0x95DD</v>
      </c>
      <c r="C62" s="16" t="str">
        <f t="shared" si="3"/>
        <v>0x95DE</v>
      </c>
      <c r="D62" s="16">
        <f t="shared" si="4"/>
        <v>38365</v>
      </c>
      <c r="E62" s="16">
        <f t="shared" si="5"/>
        <v>38366</v>
      </c>
      <c r="F62" s="15" t="s">
        <v>893</v>
      </c>
      <c r="G62" s="15" t="s">
        <v>315</v>
      </c>
      <c r="H62" s="15" t="s">
        <v>301</v>
      </c>
      <c r="I62" s="15">
        <v>2</v>
      </c>
      <c r="J62" s="15"/>
    </row>
    <row r="63" spans="1:10">
      <c r="A63" s="47"/>
      <c r="B63" s="16" t="str">
        <f t="shared" si="2"/>
        <v>0x95DF</v>
      </c>
      <c r="C63" s="16" t="str">
        <f t="shared" si="3"/>
        <v>0x95E2</v>
      </c>
      <c r="D63" s="16">
        <f t="shared" si="4"/>
        <v>38367</v>
      </c>
      <c r="E63" s="16">
        <f t="shared" si="5"/>
        <v>38370</v>
      </c>
      <c r="F63" s="15" t="s">
        <v>894</v>
      </c>
      <c r="G63" s="15" t="s">
        <v>365</v>
      </c>
      <c r="H63" s="15" t="s">
        <v>301</v>
      </c>
      <c r="I63" s="15">
        <v>4</v>
      </c>
      <c r="J63" s="15"/>
    </row>
    <row r="64" spans="1:10">
      <c r="A64" s="18"/>
      <c r="B64" s="16" t="str">
        <f t="shared" si="2"/>
        <v>0x95E3</v>
      </c>
      <c r="C64" s="16" t="str">
        <f t="shared" si="3"/>
        <v>0x95E4</v>
      </c>
      <c r="D64" s="16">
        <f t="shared" si="4"/>
        <v>38371</v>
      </c>
      <c r="E64" s="16">
        <f t="shared" si="5"/>
        <v>38372</v>
      </c>
      <c r="F64" s="15" t="s">
        <v>895</v>
      </c>
      <c r="G64" s="15" t="s">
        <v>315</v>
      </c>
      <c r="H64" s="15" t="s">
        <v>301</v>
      </c>
      <c r="I64" s="15">
        <v>2</v>
      </c>
      <c r="J64" s="15"/>
    </row>
    <row r="65" spans="1:10">
      <c r="A65" s="47"/>
      <c r="B65" s="16" t="str">
        <f t="shared" si="2"/>
        <v>0x95E5</v>
      </c>
      <c r="C65" s="16" t="str">
        <f t="shared" si="3"/>
        <v>0x95E8</v>
      </c>
      <c r="D65" s="16">
        <f t="shared" si="4"/>
        <v>38373</v>
      </c>
      <c r="E65" s="16">
        <f t="shared" si="5"/>
        <v>38376</v>
      </c>
      <c r="F65" s="15" t="s">
        <v>896</v>
      </c>
      <c r="G65" s="15" t="s">
        <v>365</v>
      </c>
      <c r="H65" s="15" t="s">
        <v>301</v>
      </c>
      <c r="I65" s="15">
        <v>4</v>
      </c>
      <c r="J65" s="15"/>
    </row>
    <row r="66" spans="1:10">
      <c r="A66" s="18"/>
      <c r="B66" s="16" t="str">
        <f t="shared" si="2"/>
        <v>0x95E9</v>
      </c>
      <c r="C66" s="16" t="str">
        <f t="shared" si="3"/>
        <v>0x95EA</v>
      </c>
      <c r="D66" s="16">
        <f t="shared" si="4"/>
        <v>38377</v>
      </c>
      <c r="E66" s="16">
        <f t="shared" si="5"/>
        <v>38378</v>
      </c>
      <c r="F66" s="15" t="s">
        <v>897</v>
      </c>
      <c r="G66" s="15" t="s">
        <v>315</v>
      </c>
      <c r="H66" s="15" t="s">
        <v>301</v>
      </c>
      <c r="I66" s="15">
        <v>2</v>
      </c>
      <c r="J66" s="15"/>
    </row>
    <row r="67" spans="1:10">
      <c r="A67" s="47"/>
      <c r="B67" s="16" t="str">
        <f t="shared" si="2"/>
        <v>0x95EB</v>
      </c>
      <c r="C67" s="16" t="str">
        <f t="shared" si="3"/>
        <v>0x95EE</v>
      </c>
      <c r="D67" s="16">
        <f t="shared" si="4"/>
        <v>38379</v>
      </c>
      <c r="E67" s="16">
        <f t="shared" si="5"/>
        <v>38382</v>
      </c>
      <c r="F67" s="15" t="s">
        <v>898</v>
      </c>
      <c r="G67" s="15" t="s">
        <v>365</v>
      </c>
      <c r="H67" s="15" t="s">
        <v>301</v>
      </c>
      <c r="I67" s="15">
        <v>4</v>
      </c>
      <c r="J67" s="15"/>
    </row>
    <row r="68" spans="1:10">
      <c r="A68" s="18"/>
      <c r="B68" s="16" t="str">
        <f t="shared" ref="B68" si="10">"0x"&amp;DEC2HEX(D68,4)</f>
        <v>0x95EF</v>
      </c>
      <c r="C68" s="16" t="str">
        <f t="shared" ref="C68" si="11">"0x"&amp;DEC2HEX(E68,4)</f>
        <v>0x960D</v>
      </c>
      <c r="D68" s="16">
        <f t="shared" ref="D68" si="12">D67+I67</f>
        <v>38383</v>
      </c>
      <c r="E68" s="16">
        <f t="shared" ref="E68" si="13">D68+I68-1</f>
        <v>38413</v>
      </c>
      <c r="F68" s="15" t="s">
        <v>899</v>
      </c>
      <c r="G68" s="15"/>
      <c r="H68" s="15" t="s">
        <v>301</v>
      </c>
      <c r="I68" s="15">
        <v>31</v>
      </c>
      <c r="J68" s="15"/>
    </row>
    <row r="69" spans="1:10">
      <c r="A69" s="18"/>
      <c r="B69" s="16" t="str">
        <f t="shared" ref="B69" si="14">"0x"&amp;DEC2HEX(D69,4)</f>
        <v>0x960E</v>
      </c>
      <c r="C69" s="16" t="str">
        <f t="shared" ref="C69" si="15">"0x"&amp;DEC2HEX(E69,4)</f>
        <v>0x960E</v>
      </c>
      <c r="D69" s="16">
        <f t="shared" ref="D69" si="16">D68+I68</f>
        <v>38414</v>
      </c>
      <c r="E69" s="16">
        <f t="shared" ref="E69" si="17">D69+I69-1</f>
        <v>38414</v>
      </c>
      <c r="F69" s="50" t="s">
        <v>339</v>
      </c>
      <c r="G69" s="21" t="s">
        <v>146</v>
      </c>
      <c r="H69" s="21" t="s">
        <v>147</v>
      </c>
      <c r="I69" s="21">
        <v>1</v>
      </c>
      <c r="J69" s="21" t="s">
        <v>340</v>
      </c>
    </row>
    <row r="70" spans="1:10">
      <c r="A70" s="18"/>
      <c r="B70" s="16" t="str">
        <f t="shared" ref="B68:B81" si="18">"0x"&amp;DEC2HEX(D70,4)</f>
        <v>0x960F</v>
      </c>
      <c r="C70" s="16" t="str">
        <f t="shared" ref="C68:C81" si="19">"0x"&amp;DEC2HEX(E70,4)</f>
        <v>0x9610</v>
      </c>
      <c r="D70" s="16">
        <f t="shared" ref="D70:D81" si="20">D69+I69</f>
        <v>38415</v>
      </c>
      <c r="E70" s="16">
        <f t="shared" ref="E68:E81" si="21">D70+I70-1</f>
        <v>38416</v>
      </c>
      <c r="F70" s="15" t="s">
        <v>900</v>
      </c>
      <c r="G70" s="15" t="s">
        <v>315</v>
      </c>
      <c r="H70" s="15" t="s">
        <v>301</v>
      </c>
      <c r="I70" s="15">
        <v>2</v>
      </c>
      <c r="J70" s="15"/>
    </row>
    <row r="71" spans="1:10">
      <c r="A71" s="47"/>
      <c r="B71" s="16" t="str">
        <f t="shared" si="18"/>
        <v>0x9611</v>
      </c>
      <c r="C71" s="16" t="str">
        <f t="shared" si="19"/>
        <v>0x9614</v>
      </c>
      <c r="D71" s="16">
        <f t="shared" si="20"/>
        <v>38417</v>
      </c>
      <c r="E71" s="16">
        <f t="shared" si="21"/>
        <v>38420</v>
      </c>
      <c r="F71" s="15" t="s">
        <v>901</v>
      </c>
      <c r="G71" s="15" t="s">
        <v>365</v>
      </c>
      <c r="H71" s="15" t="s">
        <v>301</v>
      </c>
      <c r="I71" s="15">
        <v>4</v>
      </c>
      <c r="J71" s="15"/>
    </row>
    <row r="72" spans="1:10">
      <c r="A72" s="18"/>
      <c r="B72" s="16" t="str">
        <f t="shared" si="18"/>
        <v>0x9615</v>
      </c>
      <c r="C72" s="16" t="str">
        <f t="shared" si="19"/>
        <v>0x9616</v>
      </c>
      <c r="D72" s="16">
        <f t="shared" si="20"/>
        <v>38421</v>
      </c>
      <c r="E72" s="16">
        <f t="shared" si="21"/>
        <v>38422</v>
      </c>
      <c r="F72" s="15" t="s">
        <v>902</v>
      </c>
      <c r="G72" s="15" t="s">
        <v>315</v>
      </c>
      <c r="H72" s="15" t="s">
        <v>301</v>
      </c>
      <c r="I72" s="15">
        <v>2</v>
      </c>
      <c r="J72" s="15"/>
    </row>
    <row r="73" spans="1:10">
      <c r="A73" s="47"/>
      <c r="B73" s="16" t="str">
        <f t="shared" si="18"/>
        <v>0x9617</v>
      </c>
      <c r="C73" s="16" t="str">
        <f t="shared" si="19"/>
        <v>0x961A</v>
      </c>
      <c r="D73" s="16">
        <f t="shared" si="20"/>
        <v>38423</v>
      </c>
      <c r="E73" s="16">
        <f t="shared" si="21"/>
        <v>38426</v>
      </c>
      <c r="F73" s="15" t="s">
        <v>903</v>
      </c>
      <c r="G73" s="15" t="s">
        <v>365</v>
      </c>
      <c r="H73" s="15" t="s">
        <v>301</v>
      </c>
      <c r="I73" s="15">
        <v>4</v>
      </c>
      <c r="J73" s="15"/>
    </row>
    <row r="74" spans="1:10">
      <c r="A74" s="18"/>
      <c r="B74" s="16" t="str">
        <f t="shared" si="18"/>
        <v>0x961B</v>
      </c>
      <c r="C74" s="16" t="str">
        <f t="shared" si="19"/>
        <v>0x961C</v>
      </c>
      <c r="D74" s="16">
        <f t="shared" si="20"/>
        <v>38427</v>
      </c>
      <c r="E74" s="16">
        <f t="shared" si="21"/>
        <v>38428</v>
      </c>
      <c r="F74" s="15" t="s">
        <v>904</v>
      </c>
      <c r="G74" s="15" t="s">
        <v>315</v>
      </c>
      <c r="H74" s="15" t="s">
        <v>301</v>
      </c>
      <c r="I74" s="15">
        <v>2</v>
      </c>
      <c r="J74" s="15"/>
    </row>
    <row r="75" spans="1:10">
      <c r="A75" s="47"/>
      <c r="B75" s="16" t="str">
        <f t="shared" si="18"/>
        <v>0x961D</v>
      </c>
      <c r="C75" s="16" t="str">
        <f t="shared" si="19"/>
        <v>0x9620</v>
      </c>
      <c r="D75" s="16">
        <f t="shared" si="20"/>
        <v>38429</v>
      </c>
      <c r="E75" s="16">
        <f t="shared" si="21"/>
        <v>38432</v>
      </c>
      <c r="F75" s="15" t="s">
        <v>905</v>
      </c>
      <c r="G75" s="15" t="s">
        <v>365</v>
      </c>
      <c r="H75" s="15" t="s">
        <v>301</v>
      </c>
      <c r="I75" s="15">
        <v>4</v>
      </c>
      <c r="J75" s="15"/>
    </row>
    <row r="76" spans="1:10">
      <c r="A76" s="18"/>
      <c r="B76" s="16" t="str">
        <f t="shared" si="18"/>
        <v>0x9621</v>
      </c>
      <c r="C76" s="16" t="str">
        <f t="shared" si="19"/>
        <v>0x9622</v>
      </c>
      <c r="D76" s="16">
        <f t="shared" si="20"/>
        <v>38433</v>
      </c>
      <c r="E76" s="16">
        <f t="shared" si="21"/>
        <v>38434</v>
      </c>
      <c r="F76" s="15" t="s">
        <v>906</v>
      </c>
      <c r="G76" s="15" t="s">
        <v>315</v>
      </c>
      <c r="H76" s="15" t="s">
        <v>301</v>
      </c>
      <c r="I76" s="15">
        <v>2</v>
      </c>
      <c r="J76" s="15"/>
    </row>
    <row r="77" spans="1:10">
      <c r="A77" s="47"/>
      <c r="B77" s="16" t="str">
        <f t="shared" si="18"/>
        <v>0x9623</v>
      </c>
      <c r="C77" s="16" t="str">
        <f t="shared" si="19"/>
        <v>0x9626</v>
      </c>
      <c r="D77" s="16">
        <f t="shared" si="20"/>
        <v>38435</v>
      </c>
      <c r="E77" s="16">
        <f t="shared" si="21"/>
        <v>38438</v>
      </c>
      <c r="F77" s="15" t="s">
        <v>907</v>
      </c>
      <c r="G77" s="15" t="s">
        <v>365</v>
      </c>
      <c r="H77" s="15" t="s">
        <v>301</v>
      </c>
      <c r="I77" s="15">
        <v>4</v>
      </c>
      <c r="J77" s="15"/>
    </row>
    <row r="78" spans="1:10">
      <c r="A78" s="18"/>
      <c r="B78" s="16" t="str">
        <f t="shared" si="18"/>
        <v>0x9627</v>
      </c>
      <c r="C78" s="16" t="str">
        <f t="shared" si="19"/>
        <v>0x9628</v>
      </c>
      <c r="D78" s="16">
        <f t="shared" si="20"/>
        <v>38439</v>
      </c>
      <c r="E78" s="16">
        <f t="shared" si="21"/>
        <v>38440</v>
      </c>
      <c r="F78" s="15" t="s">
        <v>908</v>
      </c>
      <c r="G78" s="15" t="s">
        <v>315</v>
      </c>
      <c r="H78" s="15" t="s">
        <v>301</v>
      </c>
      <c r="I78" s="15">
        <v>2</v>
      </c>
      <c r="J78" s="15"/>
    </row>
    <row r="79" spans="1:10">
      <c r="A79" s="47"/>
      <c r="B79" s="16" t="str">
        <f t="shared" si="18"/>
        <v>0x9629</v>
      </c>
      <c r="C79" s="16" t="str">
        <f t="shared" si="19"/>
        <v>0x962C</v>
      </c>
      <c r="D79" s="16">
        <f t="shared" si="20"/>
        <v>38441</v>
      </c>
      <c r="E79" s="16">
        <f t="shared" si="21"/>
        <v>38444</v>
      </c>
      <c r="F79" s="15" t="s">
        <v>909</v>
      </c>
      <c r="G79" s="15" t="s">
        <v>365</v>
      </c>
      <c r="H79" s="15" t="s">
        <v>301</v>
      </c>
      <c r="I79" s="15">
        <v>4</v>
      </c>
      <c r="J79" s="15"/>
    </row>
    <row r="80" spans="1:10">
      <c r="A80" s="18"/>
      <c r="B80" s="16" t="str">
        <f t="shared" si="18"/>
        <v>0x962D</v>
      </c>
      <c r="C80" s="16" t="str">
        <f t="shared" si="19"/>
        <v>0x962E</v>
      </c>
      <c r="D80" s="16">
        <f t="shared" si="20"/>
        <v>38445</v>
      </c>
      <c r="E80" s="16">
        <f t="shared" si="21"/>
        <v>38446</v>
      </c>
      <c r="F80" s="15" t="s">
        <v>910</v>
      </c>
      <c r="G80" s="15" t="s">
        <v>315</v>
      </c>
      <c r="H80" s="15" t="s">
        <v>301</v>
      </c>
      <c r="I80" s="15">
        <v>2</v>
      </c>
      <c r="J80" s="15"/>
    </row>
    <row r="81" spans="1:10">
      <c r="A81" s="47"/>
      <c r="B81" s="16" t="str">
        <f t="shared" si="18"/>
        <v>0x962F</v>
      </c>
      <c r="C81" s="16" t="str">
        <f t="shared" si="19"/>
        <v>0x9632</v>
      </c>
      <c r="D81" s="16">
        <f t="shared" si="20"/>
        <v>38447</v>
      </c>
      <c r="E81" s="16">
        <f t="shared" si="21"/>
        <v>38450</v>
      </c>
      <c r="F81" s="15" t="s">
        <v>911</v>
      </c>
      <c r="G81" s="15" t="s">
        <v>365</v>
      </c>
      <c r="H81" s="15" t="s">
        <v>301</v>
      </c>
      <c r="I81" s="15">
        <v>4</v>
      </c>
      <c r="J81" s="15"/>
    </row>
    <row r="82" spans="1:10">
      <c r="A82" s="47"/>
      <c r="B82" s="47"/>
      <c r="C82" s="47"/>
      <c r="D82" s="47"/>
      <c r="E82" s="47"/>
      <c r="F82" s="47"/>
      <c r="G82" s="47"/>
    </row>
    <row r="83" spans="1:10">
      <c r="A83" s="47"/>
      <c r="B83" s="47"/>
      <c r="C83" s="47"/>
      <c r="D83" s="47"/>
      <c r="E83" s="47"/>
      <c r="F83" s="47"/>
      <c r="G83" s="47"/>
    </row>
    <row r="84" spans="1:10">
      <c r="A84" s="47"/>
      <c r="B84" s="47"/>
      <c r="C84" s="47"/>
      <c r="D84" s="47"/>
      <c r="E84" s="47"/>
      <c r="F84" s="47"/>
      <c r="G84" s="47"/>
    </row>
    <row r="85" spans="1:10">
      <c r="A85" s="47"/>
      <c r="B85" s="47"/>
      <c r="C85" s="47"/>
      <c r="D85" s="47"/>
      <c r="E85" s="47"/>
      <c r="F85" s="47"/>
      <c r="G85" s="47"/>
    </row>
    <row r="86" spans="1:10">
      <c r="A86" s="47"/>
      <c r="B86" s="47"/>
      <c r="C86" s="47"/>
      <c r="D86" s="47"/>
      <c r="E86" s="47"/>
      <c r="F86" s="47"/>
      <c r="G86" s="47"/>
    </row>
    <row r="87" spans="1:10">
      <c r="A87" s="47"/>
      <c r="B87" s="47"/>
      <c r="C87" s="47"/>
      <c r="D87" s="47"/>
      <c r="E87" s="47"/>
      <c r="F87" s="47"/>
      <c r="G87" s="47"/>
    </row>
    <row r="88" spans="1:10">
      <c r="A88" s="47"/>
      <c r="B88" s="47"/>
      <c r="C88" s="47"/>
      <c r="D88" s="47"/>
      <c r="E88" s="47"/>
      <c r="F88" s="47"/>
      <c r="G88" s="47"/>
    </row>
    <row r="89" spans="1:10">
      <c r="A89" s="47"/>
      <c r="B89" s="47"/>
      <c r="C89" s="47"/>
      <c r="D89" s="47"/>
      <c r="E89" s="47"/>
      <c r="F89" s="47"/>
      <c r="G89" s="47"/>
    </row>
    <row r="90" spans="1:10">
      <c r="A90" s="47"/>
      <c r="B90" s="47"/>
      <c r="C90" s="47"/>
      <c r="D90" s="47"/>
      <c r="E90" s="47"/>
      <c r="F90" s="47"/>
      <c r="G90" s="47"/>
    </row>
    <row r="91" spans="1:10">
      <c r="A91" s="47"/>
      <c r="B91" s="47"/>
      <c r="C91" s="47"/>
      <c r="D91" s="47"/>
      <c r="E91" s="47"/>
      <c r="F91" s="47"/>
      <c r="G91" s="47"/>
    </row>
    <row r="92" spans="1:10">
      <c r="A92" s="47"/>
      <c r="B92" s="47"/>
      <c r="C92" s="47"/>
      <c r="D92" s="47"/>
      <c r="E92" s="47"/>
      <c r="F92" s="47"/>
      <c r="G92" s="47"/>
    </row>
    <row r="93" spans="1:10">
      <c r="A93" s="47"/>
      <c r="B93" s="47"/>
      <c r="C93" s="47"/>
      <c r="D93" s="47"/>
      <c r="E93" s="47"/>
      <c r="F93" s="47"/>
      <c r="G93" s="47"/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9D2B-BA3A-4B38-BBB8-BE706387D2D0}">
  <sheetPr codeName="Sheet22"/>
  <dimension ref="A1:P136"/>
  <sheetViews>
    <sheetView workbookViewId="0">
      <pane ySplit="1" topLeftCell="A11" activePane="bottomLeft" state="frozen"/>
      <selection pane="bottomLeft" activeCell="I42" sqref="I42:I49"/>
    </sheetView>
  </sheetViews>
  <sheetFormatPr defaultColWidth="9" defaultRowHeight="12" customHeight="1"/>
  <cols>
    <col min="1" max="1" width="23.25" style="35" bestFit="1" customWidth="1"/>
    <col min="2" max="2" width="12.75" style="35" customWidth="1"/>
    <col min="3" max="3" width="7.625" style="35" bestFit="1" customWidth="1"/>
    <col min="4" max="4" width="8.625" style="35" bestFit="1" customWidth="1"/>
    <col min="5" max="5" width="10" style="35" customWidth="1"/>
    <col min="6" max="6" width="36.375" bestFit="1" customWidth="1"/>
    <col min="7" max="7" width="8.25" style="35" bestFit="1" customWidth="1"/>
    <col min="8" max="8" width="12.875" style="35" customWidth="1"/>
    <col min="9" max="9" width="7.875" style="35" bestFit="1" customWidth="1"/>
    <col min="10" max="10" width="21" style="35" bestFit="1" customWidth="1"/>
    <col min="11" max="11" width="52.125" style="35" customWidth="1"/>
    <col min="12" max="12" width="12.25" style="35" customWidth="1"/>
    <col min="13" max="13" width="23.75" style="35" customWidth="1"/>
    <col min="14" max="16384" width="9" style="35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 s="10" customFormat="1" ht="33" customHeight="1">
      <c r="A2" s="18" t="s">
        <v>120</v>
      </c>
      <c r="B2" s="16" t="str">
        <f t="shared" ref="B2:C3" si="0">"0x"&amp;DEC2HEX(D2,4)</f>
        <v>0x9290</v>
      </c>
      <c r="C2" s="16" t="str">
        <f t="shared" si="0"/>
        <v>0x9291</v>
      </c>
      <c r="D2" s="16">
        <v>37520</v>
      </c>
      <c r="E2" s="16">
        <f t="shared" ref="E2:E3" si="1">D2+I2-1</f>
        <v>37521</v>
      </c>
      <c r="F2" s="14" t="s">
        <v>912</v>
      </c>
      <c r="G2" s="17" t="s">
        <v>196</v>
      </c>
      <c r="H2" s="17" t="s">
        <v>147</v>
      </c>
      <c r="I2" s="17">
        <v>2</v>
      </c>
      <c r="J2" s="25"/>
      <c r="K2" s="14"/>
    </row>
    <row r="3" spans="1:12" s="10" customFormat="1" ht="33" customHeight="1">
      <c r="A3" s="41"/>
      <c r="B3" s="16" t="str">
        <f t="shared" si="0"/>
        <v>0x9292</v>
      </c>
      <c r="C3" s="16" t="str">
        <f t="shared" si="0"/>
        <v>0x9292</v>
      </c>
      <c r="D3" s="16">
        <f>D2+I2</f>
        <v>37522</v>
      </c>
      <c r="E3" s="16">
        <f t="shared" si="1"/>
        <v>37522</v>
      </c>
      <c r="F3" s="14" t="s">
        <v>913</v>
      </c>
      <c r="G3" s="17" t="s">
        <v>146</v>
      </c>
      <c r="H3" s="17" t="s">
        <v>147</v>
      </c>
      <c r="I3" s="17">
        <v>1</v>
      </c>
      <c r="J3" s="25"/>
      <c r="K3" s="40"/>
    </row>
    <row r="4" spans="1:12" s="10" customFormat="1" ht="33" customHeight="1">
      <c r="A4" s="18"/>
      <c r="B4" s="16" t="str">
        <f t="shared" ref="B4:B21" si="2">"0x"&amp;DEC2HEX(D4,4)</f>
        <v>0x9293</v>
      </c>
      <c r="C4" s="16" t="str">
        <f t="shared" ref="C4:C21" si="3">"0x"&amp;DEC2HEX(E4,4)</f>
        <v>0x9293</v>
      </c>
      <c r="D4" s="16">
        <f t="shared" ref="D4:D23" si="4">D3+I3</f>
        <v>37523</v>
      </c>
      <c r="E4" s="16">
        <f t="shared" ref="E4:E21" si="5">D4+I4-1</f>
        <v>37523</v>
      </c>
      <c r="F4" s="14" t="s">
        <v>914</v>
      </c>
      <c r="G4" s="17" t="s">
        <v>146</v>
      </c>
      <c r="H4" s="17" t="s">
        <v>147</v>
      </c>
      <c r="I4" s="17">
        <v>1</v>
      </c>
      <c r="J4" s="25"/>
      <c r="K4" s="40"/>
    </row>
    <row r="5" spans="1:12" s="10" customFormat="1" ht="33" customHeight="1">
      <c r="A5" s="18"/>
      <c r="B5" s="16" t="str">
        <f t="shared" si="2"/>
        <v>0x9294</v>
      </c>
      <c r="C5" s="16" t="str">
        <f t="shared" si="3"/>
        <v>0x9294</v>
      </c>
      <c r="D5" s="16">
        <f t="shared" si="4"/>
        <v>37524</v>
      </c>
      <c r="E5" s="16">
        <f t="shared" si="5"/>
        <v>37524</v>
      </c>
      <c r="F5" s="14" t="s">
        <v>915</v>
      </c>
      <c r="G5" s="17" t="s">
        <v>146</v>
      </c>
      <c r="H5" s="17" t="s">
        <v>147</v>
      </c>
      <c r="I5" s="17">
        <v>1</v>
      </c>
      <c r="J5" s="25"/>
      <c r="K5" s="17"/>
    </row>
    <row r="6" spans="1:12" s="10" customFormat="1" ht="33" customHeight="1">
      <c r="A6" s="18"/>
      <c r="B6" s="16" t="str">
        <f t="shared" si="2"/>
        <v>0x9295</v>
      </c>
      <c r="C6" s="16" t="str">
        <f t="shared" si="3"/>
        <v>0x9295</v>
      </c>
      <c r="D6" s="16">
        <f t="shared" si="4"/>
        <v>37525</v>
      </c>
      <c r="E6" s="16">
        <f t="shared" si="5"/>
        <v>37525</v>
      </c>
      <c r="F6" s="14" t="s">
        <v>916</v>
      </c>
      <c r="G6" s="17" t="s">
        <v>146</v>
      </c>
      <c r="H6" s="17" t="s">
        <v>147</v>
      </c>
      <c r="I6" s="17">
        <v>1</v>
      </c>
      <c r="J6" s="25"/>
      <c r="K6" s="17"/>
    </row>
    <row r="7" spans="1:12" s="10" customFormat="1" ht="33" customHeight="1">
      <c r="A7" s="25"/>
      <c r="B7" s="16" t="str">
        <f t="shared" si="2"/>
        <v>0x9296</v>
      </c>
      <c r="C7" s="16" t="str">
        <f t="shared" si="3"/>
        <v>0x9296</v>
      </c>
      <c r="D7" s="16">
        <f t="shared" si="4"/>
        <v>37526</v>
      </c>
      <c r="E7" s="16">
        <f t="shared" si="5"/>
        <v>37526</v>
      </c>
      <c r="F7" s="17" t="s">
        <v>917</v>
      </c>
      <c r="G7" s="17" t="s">
        <v>146</v>
      </c>
      <c r="H7" s="17" t="s">
        <v>147</v>
      </c>
      <c r="I7" s="17">
        <v>1</v>
      </c>
      <c r="J7" s="25"/>
      <c r="K7" s="17"/>
    </row>
    <row r="8" spans="1:12" s="10" customFormat="1" ht="33" customHeight="1">
      <c r="A8" s="18"/>
      <c r="B8" s="16" t="str">
        <f t="shared" si="2"/>
        <v>0x9297</v>
      </c>
      <c r="C8" s="16" t="str">
        <f t="shared" si="3"/>
        <v>0x9297</v>
      </c>
      <c r="D8" s="16">
        <f t="shared" si="4"/>
        <v>37527</v>
      </c>
      <c r="E8" s="16">
        <f t="shared" si="5"/>
        <v>37527</v>
      </c>
      <c r="F8" s="14" t="s">
        <v>918</v>
      </c>
      <c r="G8" s="17" t="s">
        <v>146</v>
      </c>
      <c r="H8" s="17" t="s">
        <v>147</v>
      </c>
      <c r="I8" s="17">
        <v>1</v>
      </c>
      <c r="J8" s="25"/>
      <c r="K8" s="17"/>
    </row>
    <row r="9" spans="1:12" s="10" customFormat="1" ht="33" customHeight="1">
      <c r="A9" s="18"/>
      <c r="B9" s="16" t="str">
        <f t="shared" si="2"/>
        <v>0x9298</v>
      </c>
      <c r="C9" s="16" t="str">
        <f t="shared" si="3"/>
        <v>0x9298</v>
      </c>
      <c r="D9" s="16">
        <f t="shared" si="4"/>
        <v>37528</v>
      </c>
      <c r="E9" s="16">
        <f t="shared" si="5"/>
        <v>37528</v>
      </c>
      <c r="F9" s="14" t="s">
        <v>919</v>
      </c>
      <c r="G9" s="17" t="s">
        <v>146</v>
      </c>
      <c r="H9" s="17" t="s">
        <v>147</v>
      </c>
      <c r="I9" s="17">
        <v>1</v>
      </c>
      <c r="J9" s="25"/>
      <c r="K9" s="17"/>
    </row>
    <row r="10" spans="1:12" s="10" customFormat="1" ht="33" customHeight="1">
      <c r="A10" s="18"/>
      <c r="B10" s="16" t="str">
        <f t="shared" si="2"/>
        <v>0x9299</v>
      </c>
      <c r="C10" s="16" t="str">
        <f t="shared" si="3"/>
        <v>0x9299</v>
      </c>
      <c r="D10" s="16">
        <f t="shared" si="4"/>
        <v>37529</v>
      </c>
      <c r="E10" s="16">
        <f t="shared" si="5"/>
        <v>37529</v>
      </c>
      <c r="F10" s="14" t="s">
        <v>920</v>
      </c>
      <c r="G10" s="17" t="s">
        <v>146</v>
      </c>
      <c r="H10" s="17" t="s">
        <v>147</v>
      </c>
      <c r="I10" s="17">
        <v>1</v>
      </c>
      <c r="J10" s="25"/>
      <c r="K10" s="17"/>
    </row>
    <row r="11" spans="1:12" s="10" customFormat="1" ht="33" customHeight="1">
      <c r="A11" s="25"/>
      <c r="B11" s="16" t="str">
        <f t="shared" si="2"/>
        <v>0x929A</v>
      </c>
      <c r="C11" s="16" t="str">
        <f t="shared" si="3"/>
        <v>0x929A</v>
      </c>
      <c r="D11" s="16">
        <f t="shared" si="4"/>
        <v>37530</v>
      </c>
      <c r="E11" s="16">
        <f t="shared" si="5"/>
        <v>37530</v>
      </c>
      <c r="F11" s="14" t="s">
        <v>921</v>
      </c>
      <c r="G11" s="17" t="s">
        <v>146</v>
      </c>
      <c r="H11" s="17" t="s">
        <v>147</v>
      </c>
      <c r="I11" s="17">
        <v>1</v>
      </c>
      <c r="J11" s="25"/>
      <c r="K11" s="17"/>
    </row>
    <row r="12" spans="1:12" s="10" customFormat="1" ht="33" customHeight="1">
      <c r="A12" s="18"/>
      <c r="B12" s="16" t="str">
        <f t="shared" si="2"/>
        <v>0x929B</v>
      </c>
      <c r="C12" s="16" t="str">
        <f t="shared" si="3"/>
        <v>0x929B</v>
      </c>
      <c r="D12" s="16">
        <f t="shared" si="4"/>
        <v>37531</v>
      </c>
      <c r="E12" s="16">
        <f t="shared" si="5"/>
        <v>37531</v>
      </c>
      <c r="F12" s="14" t="s">
        <v>922</v>
      </c>
      <c r="G12" s="17" t="s">
        <v>146</v>
      </c>
      <c r="H12" s="17" t="s">
        <v>147</v>
      </c>
      <c r="I12" s="17">
        <v>1</v>
      </c>
      <c r="J12" s="25"/>
      <c r="K12" s="17"/>
    </row>
    <row r="13" spans="1:12" s="10" customFormat="1" ht="33" customHeight="1">
      <c r="A13" s="18"/>
      <c r="B13" s="16" t="str">
        <f t="shared" si="2"/>
        <v>0x929C</v>
      </c>
      <c r="C13" s="16" t="str">
        <f t="shared" si="3"/>
        <v>0x929C</v>
      </c>
      <c r="D13" s="16">
        <f t="shared" si="4"/>
        <v>37532</v>
      </c>
      <c r="E13" s="16">
        <f t="shared" si="5"/>
        <v>37532</v>
      </c>
      <c r="F13" s="14" t="s">
        <v>923</v>
      </c>
      <c r="G13" s="17" t="s">
        <v>146</v>
      </c>
      <c r="H13" s="17" t="s">
        <v>147</v>
      </c>
      <c r="I13" s="17">
        <v>1</v>
      </c>
      <c r="J13" s="25"/>
      <c r="K13" s="17"/>
    </row>
    <row r="14" spans="1:12" s="10" customFormat="1" ht="33" customHeight="1">
      <c r="A14" s="18"/>
      <c r="B14" s="16" t="str">
        <f t="shared" si="2"/>
        <v>0x929D</v>
      </c>
      <c r="C14" s="16" t="str">
        <f t="shared" si="3"/>
        <v>0x929D</v>
      </c>
      <c r="D14" s="16">
        <f t="shared" si="4"/>
        <v>37533</v>
      </c>
      <c r="E14" s="16">
        <f t="shared" si="5"/>
        <v>37533</v>
      </c>
      <c r="F14" s="14" t="s">
        <v>924</v>
      </c>
      <c r="G14" s="17" t="s">
        <v>146</v>
      </c>
      <c r="H14" s="17" t="s">
        <v>147</v>
      </c>
      <c r="I14" s="17">
        <v>1</v>
      </c>
      <c r="J14" s="25"/>
      <c r="K14" s="17"/>
    </row>
    <row r="15" spans="1:12" s="10" customFormat="1" ht="33" customHeight="1">
      <c r="A15" s="18"/>
      <c r="B15" s="16" t="str">
        <f t="shared" si="2"/>
        <v>0x929E</v>
      </c>
      <c r="C15" s="16" t="str">
        <f t="shared" si="3"/>
        <v>0x92AB</v>
      </c>
      <c r="D15" s="16">
        <f t="shared" si="4"/>
        <v>37534</v>
      </c>
      <c r="E15" s="16">
        <f t="shared" si="5"/>
        <v>37547</v>
      </c>
      <c r="F15" s="14" t="s">
        <v>925</v>
      </c>
      <c r="G15" s="17"/>
      <c r="H15" s="17" t="s">
        <v>147</v>
      </c>
      <c r="I15" s="17">
        <v>14</v>
      </c>
      <c r="J15" s="25"/>
      <c r="K15" s="17"/>
    </row>
    <row r="16" spans="1:12" s="10" customFormat="1" ht="33" customHeight="1">
      <c r="A16" s="18"/>
      <c r="B16" s="16" t="str">
        <f t="shared" si="2"/>
        <v>0x92AC</v>
      </c>
      <c r="C16" s="16" t="str">
        <f t="shared" si="3"/>
        <v>0x92AC</v>
      </c>
      <c r="D16" s="16">
        <f t="shared" si="4"/>
        <v>37548</v>
      </c>
      <c r="E16" s="16">
        <f t="shared" si="5"/>
        <v>37548</v>
      </c>
      <c r="F16" s="50" t="s">
        <v>438</v>
      </c>
      <c r="G16" s="21" t="s">
        <v>146</v>
      </c>
      <c r="H16" s="21" t="s">
        <v>147</v>
      </c>
      <c r="I16" s="21">
        <v>1</v>
      </c>
      <c r="J16" s="21" t="s">
        <v>439</v>
      </c>
      <c r="K16" s="17"/>
    </row>
    <row r="17" spans="1:16" s="10" customFormat="1" ht="33" customHeight="1">
      <c r="A17" s="18"/>
      <c r="B17" s="16" t="str">
        <f t="shared" si="2"/>
        <v>0x92AD</v>
      </c>
      <c r="C17" s="16" t="str">
        <f t="shared" si="3"/>
        <v>0x92AD</v>
      </c>
      <c r="D17" s="16">
        <f t="shared" si="4"/>
        <v>37549</v>
      </c>
      <c r="E17" s="16">
        <f t="shared" si="5"/>
        <v>37549</v>
      </c>
      <c r="F17" s="14" t="s">
        <v>926</v>
      </c>
      <c r="G17" s="17" t="s">
        <v>146</v>
      </c>
      <c r="H17" s="17" t="s">
        <v>147</v>
      </c>
      <c r="I17" s="17">
        <v>1</v>
      </c>
      <c r="J17" s="25"/>
      <c r="K17" s="17"/>
    </row>
    <row r="18" spans="1:16" s="10" customFormat="1" ht="33" customHeight="1">
      <c r="A18" s="18"/>
      <c r="B18" s="16" t="str">
        <f t="shared" si="2"/>
        <v>0x92AE</v>
      </c>
      <c r="C18" s="16" t="str">
        <f t="shared" si="3"/>
        <v>0x92AE</v>
      </c>
      <c r="D18" s="16">
        <f t="shared" si="4"/>
        <v>37550</v>
      </c>
      <c r="E18" s="16">
        <f t="shared" si="5"/>
        <v>37550</v>
      </c>
      <c r="F18" s="17" t="s">
        <v>927</v>
      </c>
      <c r="G18" s="17" t="s">
        <v>146</v>
      </c>
      <c r="H18" s="17" t="s">
        <v>147</v>
      </c>
      <c r="I18" s="17">
        <v>1</v>
      </c>
      <c r="J18" s="25"/>
      <c r="K18" s="17"/>
    </row>
    <row r="19" spans="1:16" s="10" customFormat="1" ht="33" customHeight="1">
      <c r="A19" s="18"/>
      <c r="B19" s="16" t="str">
        <f t="shared" si="2"/>
        <v>0x92AF</v>
      </c>
      <c r="C19" s="16" t="str">
        <f t="shared" si="3"/>
        <v>0x92AF</v>
      </c>
      <c r="D19" s="16">
        <f t="shared" si="4"/>
        <v>37551</v>
      </c>
      <c r="E19" s="16">
        <f t="shared" si="5"/>
        <v>37551</v>
      </c>
      <c r="F19" s="17" t="s">
        <v>928</v>
      </c>
      <c r="G19" s="17" t="s">
        <v>146</v>
      </c>
      <c r="H19" s="17" t="s">
        <v>147</v>
      </c>
      <c r="I19" s="17">
        <v>1</v>
      </c>
      <c r="J19" s="25"/>
      <c r="K19" s="17"/>
    </row>
    <row r="20" spans="1:16" ht="32.25" customHeight="1">
      <c r="A20" s="18"/>
      <c r="B20" s="16" t="str">
        <f t="shared" si="2"/>
        <v>0x92B0</v>
      </c>
      <c r="C20" s="16" t="str">
        <f t="shared" si="3"/>
        <v>0x92B0</v>
      </c>
      <c r="D20" s="16">
        <f t="shared" si="4"/>
        <v>37552</v>
      </c>
      <c r="E20" s="16">
        <f t="shared" si="5"/>
        <v>37552</v>
      </c>
      <c r="F20" s="14" t="s">
        <v>929</v>
      </c>
      <c r="G20" s="17" t="s">
        <v>146</v>
      </c>
      <c r="H20" s="17" t="s">
        <v>147</v>
      </c>
      <c r="I20" s="17">
        <v>1</v>
      </c>
      <c r="J20" s="25"/>
      <c r="K20" s="17"/>
      <c r="L20" s="16"/>
      <c r="M20" s="17"/>
      <c r="N20" s="17"/>
      <c r="O20" s="17"/>
      <c r="P20" s="17"/>
    </row>
    <row r="21" spans="1:16" ht="32.25" customHeight="1">
      <c r="A21" s="18"/>
      <c r="B21" s="16" t="str">
        <f t="shared" si="2"/>
        <v>0x92B1</v>
      </c>
      <c r="C21" s="16" t="str">
        <f t="shared" si="3"/>
        <v>0x92B1</v>
      </c>
      <c r="D21" s="16">
        <f t="shared" si="4"/>
        <v>37553</v>
      </c>
      <c r="E21" s="16">
        <f t="shared" si="5"/>
        <v>37553</v>
      </c>
      <c r="F21" s="14" t="s">
        <v>930</v>
      </c>
      <c r="G21" s="17" t="s">
        <v>146</v>
      </c>
      <c r="H21" s="17" t="s">
        <v>147</v>
      </c>
      <c r="I21" s="17">
        <v>1</v>
      </c>
      <c r="J21" s="25"/>
      <c r="K21" s="17"/>
      <c r="L21" s="16"/>
      <c r="M21" s="17"/>
      <c r="N21" s="17"/>
      <c r="O21" s="17"/>
      <c r="P21" s="17"/>
    </row>
    <row r="22" spans="1:16" ht="32.25" customHeight="1">
      <c r="A22" s="18"/>
      <c r="B22" s="17"/>
      <c r="F22" s="14"/>
      <c r="G22" s="17"/>
      <c r="H22" s="17"/>
      <c r="I22" s="17"/>
      <c r="J22" s="25"/>
      <c r="K22" s="17"/>
      <c r="L22" s="16"/>
      <c r="M22" s="17"/>
      <c r="N22" s="17"/>
      <c r="O22" s="17"/>
      <c r="P22" s="17"/>
    </row>
    <row r="23" spans="1:16" ht="18.75" customHeight="1">
      <c r="A23" s="18" t="s">
        <v>123</v>
      </c>
      <c r="B23" s="16" t="str">
        <f t="shared" ref="B23:B24" si="6">"0x"&amp;DEC2HEX(D23,4)</f>
        <v>0x92B2</v>
      </c>
      <c r="C23" s="16" t="str">
        <f t="shared" ref="C23:C24" si="7">"0x"&amp;DEC2HEX(E23,4)</f>
        <v>0x92B2</v>
      </c>
      <c r="D23" s="16">
        <v>37554</v>
      </c>
      <c r="E23" s="16">
        <f t="shared" ref="E23:E24" si="8">D23+I23-1</f>
        <v>37554</v>
      </c>
      <c r="F23" s="17" t="s">
        <v>931</v>
      </c>
      <c r="G23" s="17" t="s">
        <v>146</v>
      </c>
      <c r="H23" s="17" t="s">
        <v>147</v>
      </c>
      <c r="I23" s="17">
        <v>1</v>
      </c>
      <c r="J23" s="25"/>
      <c r="K23" s="17"/>
      <c r="L23" s="17"/>
      <c r="M23" s="17"/>
      <c r="N23" s="17"/>
      <c r="O23" s="17"/>
      <c r="P23" s="17"/>
    </row>
    <row r="24" spans="1:16" ht="21" customHeight="1">
      <c r="A24" s="18"/>
      <c r="B24" s="16" t="str">
        <f t="shared" si="6"/>
        <v>0x92B3</v>
      </c>
      <c r="C24" s="16" t="str">
        <f t="shared" si="7"/>
        <v>0x92B3</v>
      </c>
      <c r="D24" s="16">
        <f>D23+I23</f>
        <v>37555</v>
      </c>
      <c r="E24" s="16">
        <f t="shared" si="8"/>
        <v>37555</v>
      </c>
      <c r="F24" s="17" t="s">
        <v>932</v>
      </c>
      <c r="G24" s="17" t="s">
        <v>146</v>
      </c>
      <c r="H24" s="17" t="s">
        <v>147</v>
      </c>
      <c r="I24" s="17">
        <v>1</v>
      </c>
      <c r="J24" s="25"/>
      <c r="K24" s="17"/>
      <c r="L24" s="17"/>
      <c r="M24" s="17"/>
      <c r="N24" s="17"/>
      <c r="O24" s="17"/>
      <c r="P24" s="17"/>
    </row>
    <row r="25" spans="1:16" ht="23.25" customHeight="1">
      <c r="A25" s="18"/>
      <c r="B25" s="17"/>
      <c r="F25" s="14"/>
      <c r="G25" s="17"/>
      <c r="H25" s="17"/>
      <c r="I25" s="17"/>
      <c r="J25" s="25"/>
      <c r="K25" s="34"/>
      <c r="L25" s="17"/>
      <c r="M25" s="17"/>
      <c r="N25" s="17"/>
      <c r="O25" s="17"/>
      <c r="P25" s="17"/>
    </row>
    <row r="26" spans="1:16" ht="12.75">
      <c r="A26" s="19" t="s">
        <v>127</v>
      </c>
      <c r="B26" s="15">
        <v>1</v>
      </c>
      <c r="F26" s="21" t="s">
        <v>933</v>
      </c>
      <c r="G26" s="17" t="s">
        <v>146</v>
      </c>
      <c r="H26" s="15" t="s">
        <v>301</v>
      </c>
      <c r="I26" s="17">
        <v>1</v>
      </c>
      <c r="J26" s="21"/>
      <c r="K26" s="17"/>
      <c r="L26" s="17"/>
      <c r="M26" s="17"/>
      <c r="N26" s="17"/>
      <c r="O26" s="17"/>
      <c r="P26" s="17"/>
    </row>
    <row r="27" spans="1:16" ht="12.75">
      <c r="A27" s="17"/>
      <c r="B27" s="17">
        <v>2</v>
      </c>
      <c r="F27" s="21" t="s">
        <v>934</v>
      </c>
      <c r="G27" s="17" t="s">
        <v>146</v>
      </c>
      <c r="H27" s="15" t="s">
        <v>301</v>
      </c>
      <c r="I27" s="17">
        <v>1</v>
      </c>
      <c r="J27" s="21"/>
      <c r="K27" s="16"/>
      <c r="L27" s="16"/>
      <c r="M27" s="14"/>
      <c r="N27" s="17"/>
      <c r="O27" s="17"/>
      <c r="P27" s="17"/>
    </row>
    <row r="28" spans="1:16" ht="15">
      <c r="A28" s="18"/>
      <c r="B28" s="17">
        <v>3</v>
      </c>
      <c r="F28" s="14" t="s">
        <v>935</v>
      </c>
      <c r="G28" s="15" t="s">
        <v>146</v>
      </c>
      <c r="H28" s="15" t="s">
        <v>301</v>
      </c>
      <c r="I28" s="17">
        <v>1</v>
      </c>
      <c r="J28" s="21"/>
      <c r="K28" s="17"/>
      <c r="L28" s="25"/>
      <c r="M28" s="17"/>
      <c r="N28" s="17"/>
      <c r="O28" s="17"/>
      <c r="P28" s="17"/>
    </row>
    <row r="29" spans="1:16" ht="15">
      <c r="A29" s="18"/>
      <c r="B29" s="17">
        <v>4</v>
      </c>
      <c r="F29" s="21" t="s">
        <v>936</v>
      </c>
      <c r="G29" s="15" t="s">
        <v>937</v>
      </c>
      <c r="H29" s="15" t="s">
        <v>301</v>
      </c>
      <c r="I29" s="17">
        <v>4</v>
      </c>
      <c r="J29" s="21"/>
      <c r="K29" s="17"/>
      <c r="L29" s="25"/>
      <c r="M29" s="17"/>
      <c r="N29" s="17"/>
      <c r="O29" s="17"/>
      <c r="P29" s="17"/>
    </row>
    <row r="30" spans="1:16" s="36" customFormat="1" ht="25.5" customHeight="1">
      <c r="A30" s="18"/>
      <c r="B30" s="17">
        <v>5</v>
      </c>
      <c r="F30" s="21" t="s">
        <v>938</v>
      </c>
      <c r="G30" s="15" t="s">
        <v>146</v>
      </c>
      <c r="H30" s="15" t="s">
        <v>301</v>
      </c>
      <c r="I30" s="17">
        <v>1</v>
      </c>
      <c r="J30" s="21"/>
      <c r="K30" s="34"/>
      <c r="L30" s="25"/>
      <c r="M30" s="17"/>
      <c r="N30" s="17"/>
      <c r="O30" s="17"/>
      <c r="P30" s="17"/>
    </row>
    <row r="31" spans="1:16" ht="12.75">
      <c r="A31" s="17"/>
      <c r="B31" s="17">
        <v>6</v>
      </c>
      <c r="F31" s="15" t="s">
        <v>939</v>
      </c>
      <c r="G31" s="15" t="s">
        <v>146</v>
      </c>
      <c r="H31" s="15" t="s">
        <v>301</v>
      </c>
      <c r="I31" s="17">
        <v>1</v>
      </c>
      <c r="J31" s="21"/>
      <c r="K31" s="17"/>
      <c r="L31" s="17"/>
      <c r="M31" s="17"/>
      <c r="N31" s="17"/>
      <c r="O31" s="17"/>
      <c r="P31" s="17"/>
    </row>
    <row r="32" spans="1:16" ht="12.75">
      <c r="A32" s="17"/>
      <c r="B32" s="17">
        <v>7</v>
      </c>
      <c r="F32" s="21" t="s">
        <v>940</v>
      </c>
      <c r="G32" s="15" t="s">
        <v>146</v>
      </c>
      <c r="H32" s="15" t="s">
        <v>301</v>
      </c>
      <c r="I32" s="17">
        <v>1</v>
      </c>
      <c r="J32" s="21"/>
      <c r="K32" s="16"/>
      <c r="L32" s="16"/>
      <c r="M32" s="17"/>
      <c r="N32" s="17"/>
      <c r="O32" s="17"/>
      <c r="P32" s="17"/>
    </row>
    <row r="33" spans="1:16" ht="15">
      <c r="A33" s="18"/>
      <c r="B33" s="17">
        <v>8</v>
      </c>
      <c r="F33" s="21" t="s">
        <v>941</v>
      </c>
      <c r="G33" s="15" t="s">
        <v>196</v>
      </c>
      <c r="H33" s="15" t="s">
        <v>301</v>
      </c>
      <c r="I33" s="17">
        <v>2</v>
      </c>
      <c r="J33" s="21"/>
      <c r="K33" s="17"/>
      <c r="L33" s="25"/>
      <c r="M33" s="17"/>
      <c r="N33" s="17"/>
      <c r="O33" s="17"/>
      <c r="P33" s="17"/>
    </row>
    <row r="34" spans="1:16" ht="12.75">
      <c r="A34" s="18"/>
      <c r="B34" s="17">
        <v>9</v>
      </c>
      <c r="F34" s="15" t="s">
        <v>942</v>
      </c>
      <c r="G34" s="15" t="s">
        <v>196</v>
      </c>
      <c r="H34" s="15" t="s">
        <v>301</v>
      </c>
      <c r="I34" s="17">
        <v>2</v>
      </c>
      <c r="J34" s="21"/>
      <c r="K34" s="17"/>
      <c r="L34" s="17"/>
      <c r="M34" s="17"/>
      <c r="N34" s="17"/>
      <c r="O34" s="17"/>
      <c r="P34" s="17"/>
    </row>
    <row r="35" spans="1:16" s="36" customFormat="1" ht="12.75">
      <c r="A35" s="18"/>
      <c r="B35" s="17">
        <v>10</v>
      </c>
      <c r="F35" s="15" t="s">
        <v>943</v>
      </c>
      <c r="G35" s="15" t="s">
        <v>315</v>
      </c>
      <c r="H35" s="15" t="s">
        <v>301</v>
      </c>
      <c r="I35" s="17">
        <v>2</v>
      </c>
      <c r="J35" s="21"/>
      <c r="K35" s="34"/>
      <c r="L35" s="17"/>
      <c r="M35" s="17"/>
      <c r="N35" s="17"/>
      <c r="O35" s="17"/>
      <c r="P35" s="17"/>
    </row>
    <row r="36" spans="1:16" s="37" customFormat="1" ht="12.75">
      <c r="A36" s="18"/>
      <c r="B36" s="17">
        <v>11</v>
      </c>
      <c r="F36" s="15" t="s">
        <v>944</v>
      </c>
      <c r="G36" s="15" t="s">
        <v>315</v>
      </c>
      <c r="H36" s="15" t="s">
        <v>301</v>
      </c>
      <c r="I36" s="17">
        <v>2</v>
      </c>
      <c r="J36" s="21"/>
      <c r="K36" s="34"/>
      <c r="L36" s="17"/>
      <c r="M36" s="17"/>
      <c r="N36" s="17"/>
      <c r="O36" s="17"/>
      <c r="P36" s="17"/>
    </row>
    <row r="37" spans="1:16" ht="12.75">
      <c r="A37" s="18"/>
      <c r="B37" s="17">
        <v>12</v>
      </c>
      <c r="F37" s="15" t="s">
        <v>945</v>
      </c>
      <c r="G37" s="15" t="s">
        <v>315</v>
      </c>
      <c r="H37" s="15" t="s">
        <v>301</v>
      </c>
      <c r="I37" s="17">
        <v>2</v>
      </c>
      <c r="J37" s="21"/>
      <c r="K37" s="17"/>
      <c r="L37" s="17"/>
      <c r="M37" s="17"/>
      <c r="N37" s="17"/>
      <c r="O37" s="17"/>
      <c r="P37" s="17"/>
    </row>
    <row r="38" spans="1:16" ht="15">
      <c r="A38" s="18"/>
      <c r="B38" s="17">
        <v>13</v>
      </c>
      <c r="F38" s="15" t="s">
        <v>946</v>
      </c>
      <c r="G38" s="15" t="s">
        <v>315</v>
      </c>
      <c r="H38" s="15" t="s">
        <v>301</v>
      </c>
      <c r="I38" s="17">
        <v>2</v>
      </c>
      <c r="J38" s="15"/>
      <c r="K38" s="17"/>
      <c r="L38" s="25"/>
      <c r="M38" s="17"/>
      <c r="N38" s="17"/>
      <c r="O38" s="17"/>
      <c r="P38" s="17"/>
    </row>
    <row r="39" spans="1:16" ht="12.75">
      <c r="A39" s="18"/>
      <c r="B39" s="17">
        <v>14</v>
      </c>
      <c r="F39" s="15" t="s">
        <v>947</v>
      </c>
      <c r="G39" s="15" t="s">
        <v>315</v>
      </c>
      <c r="H39" s="15" t="s">
        <v>301</v>
      </c>
      <c r="I39" s="17">
        <v>2</v>
      </c>
      <c r="J39" s="15"/>
      <c r="K39" s="17"/>
      <c r="L39" s="17"/>
      <c r="M39" s="17"/>
      <c r="N39" s="17"/>
      <c r="O39" s="17"/>
      <c r="P39" s="17"/>
    </row>
    <row r="40" spans="1:16" ht="12.75">
      <c r="A40" s="18"/>
      <c r="B40" s="17">
        <v>15</v>
      </c>
      <c r="F40" s="15" t="s">
        <v>948</v>
      </c>
      <c r="G40" s="15" t="s">
        <v>315</v>
      </c>
      <c r="H40" s="15" t="s">
        <v>301</v>
      </c>
      <c r="I40" s="17">
        <v>2</v>
      </c>
      <c r="J40" s="21"/>
      <c r="K40" s="34"/>
      <c r="L40" s="17"/>
      <c r="M40" s="17"/>
      <c r="N40" s="17"/>
      <c r="O40" s="17"/>
      <c r="P40" s="17"/>
    </row>
    <row r="41" spans="1:16" ht="12.75">
      <c r="A41" s="18"/>
      <c r="B41" s="17"/>
      <c r="F41" s="17"/>
      <c r="G41" s="17"/>
      <c r="H41" s="17"/>
      <c r="I41" s="17"/>
      <c r="J41" s="14"/>
      <c r="K41" s="34"/>
      <c r="L41" s="39"/>
      <c r="M41" s="17"/>
      <c r="N41" s="17"/>
      <c r="O41" s="17"/>
      <c r="P41" s="17"/>
    </row>
    <row r="42" spans="1:16" ht="12.75">
      <c r="A42" s="18" t="s">
        <v>130</v>
      </c>
      <c r="B42" s="17">
        <v>1</v>
      </c>
      <c r="F42" s="21" t="s">
        <v>933</v>
      </c>
      <c r="G42" s="15" t="s">
        <v>949</v>
      </c>
      <c r="H42" s="15" t="s">
        <v>301</v>
      </c>
      <c r="I42" s="17">
        <v>1</v>
      </c>
      <c r="J42" s="14"/>
      <c r="K42" s="17"/>
      <c r="L42" s="39"/>
      <c r="M42" s="17"/>
      <c r="N42" s="17"/>
      <c r="O42" s="17"/>
      <c r="P42" s="17"/>
    </row>
    <row r="43" spans="1:16" ht="12.75">
      <c r="A43" s="18"/>
      <c r="B43" s="17">
        <v>2</v>
      </c>
      <c r="F43" s="21" t="s">
        <v>934</v>
      </c>
      <c r="G43" s="15" t="s">
        <v>949</v>
      </c>
      <c r="H43" s="15" t="s">
        <v>301</v>
      </c>
      <c r="I43" s="17">
        <v>1</v>
      </c>
      <c r="J43" s="17"/>
      <c r="K43" s="17"/>
      <c r="L43" s="17"/>
      <c r="M43" s="17"/>
      <c r="N43" s="17"/>
      <c r="O43" s="17"/>
      <c r="P43" s="17"/>
    </row>
    <row r="44" spans="1:16" ht="12.75">
      <c r="A44" s="18"/>
      <c r="B44" s="17">
        <v>3</v>
      </c>
      <c r="F44" s="14" t="s">
        <v>950</v>
      </c>
      <c r="G44" s="15" t="s">
        <v>949</v>
      </c>
      <c r="H44" s="15" t="s">
        <v>301</v>
      </c>
      <c r="I44" s="17">
        <v>1</v>
      </c>
      <c r="J44" s="17"/>
      <c r="K44" s="34"/>
      <c r="L44" s="17"/>
      <c r="M44" s="17"/>
      <c r="N44" s="17"/>
      <c r="O44" s="17"/>
      <c r="P44" s="17"/>
    </row>
    <row r="45" spans="1:16" ht="42" customHeight="1">
      <c r="A45" s="18"/>
      <c r="B45" s="17">
        <v>4</v>
      </c>
      <c r="F45" s="15" t="s">
        <v>951</v>
      </c>
      <c r="G45" s="15" t="s">
        <v>949</v>
      </c>
      <c r="H45" s="15" t="s">
        <v>301</v>
      </c>
      <c r="I45" s="17">
        <v>1</v>
      </c>
      <c r="J45" s="14"/>
      <c r="K45" s="34"/>
      <c r="L45" s="39"/>
      <c r="M45" s="17"/>
      <c r="N45" s="17"/>
      <c r="O45" s="17"/>
      <c r="P45" s="17"/>
    </row>
    <row r="46" spans="1:16" ht="12.75">
      <c r="A46" s="18"/>
      <c r="B46" s="17">
        <v>6</v>
      </c>
      <c r="C46" s="17"/>
      <c r="D46" s="32"/>
      <c r="E46" s="32"/>
      <c r="F46" s="15" t="s">
        <v>952</v>
      </c>
      <c r="G46" s="15" t="s">
        <v>937</v>
      </c>
      <c r="H46" s="15" t="s">
        <v>301</v>
      </c>
      <c r="I46" s="17">
        <v>4</v>
      </c>
      <c r="J46" s="14"/>
      <c r="K46" s="17"/>
      <c r="L46" s="39"/>
      <c r="M46" s="17"/>
      <c r="N46" s="17"/>
      <c r="O46" s="17"/>
      <c r="P46" s="17"/>
    </row>
    <row r="47" spans="1:16" ht="15">
      <c r="A47" s="18"/>
      <c r="B47" s="17">
        <v>7</v>
      </c>
      <c r="C47" s="17"/>
      <c r="D47" s="32"/>
      <c r="E47" s="32"/>
      <c r="F47" s="15" t="s">
        <v>953</v>
      </c>
      <c r="G47" s="15" t="s">
        <v>196</v>
      </c>
      <c r="H47" s="15" t="s">
        <v>301</v>
      </c>
      <c r="I47" s="17">
        <v>2</v>
      </c>
      <c r="J47" s="17"/>
      <c r="K47" s="17"/>
      <c r="L47" s="25"/>
      <c r="M47" s="17"/>
      <c r="N47" s="17"/>
      <c r="O47" s="17"/>
      <c r="P47" s="17"/>
    </row>
    <row r="48" spans="1:16" ht="12.75">
      <c r="A48" s="18"/>
      <c r="B48" s="17">
        <v>8</v>
      </c>
      <c r="C48" s="17"/>
      <c r="D48" s="32"/>
      <c r="E48" s="32"/>
      <c r="F48" s="76" t="s">
        <v>954</v>
      </c>
      <c r="G48" s="76" t="s">
        <v>315</v>
      </c>
      <c r="H48" s="77" t="s">
        <v>301</v>
      </c>
      <c r="I48" s="76">
        <v>4</v>
      </c>
      <c r="J48" s="14" t="s">
        <v>955</v>
      </c>
      <c r="K48" s="17"/>
      <c r="L48" s="17"/>
      <c r="M48" s="17"/>
      <c r="N48" s="17"/>
      <c r="O48" s="17"/>
      <c r="P48" s="17"/>
    </row>
    <row r="49" spans="1:16" ht="16.5" customHeight="1">
      <c r="A49" s="18"/>
      <c r="B49" s="17"/>
      <c r="C49" s="17"/>
      <c r="D49" s="32"/>
      <c r="E49" s="32"/>
      <c r="F49" s="76"/>
      <c r="G49" s="76"/>
      <c r="H49" s="77"/>
      <c r="I49" s="76"/>
      <c r="J49" s="14" t="s">
        <v>956</v>
      </c>
      <c r="K49" s="17"/>
      <c r="M49" s="17"/>
      <c r="N49" s="17"/>
      <c r="O49" s="17"/>
      <c r="P49" s="17"/>
    </row>
    <row r="50" spans="1:16" s="36" customFormat="1" ht="81" customHeight="1">
      <c r="A50" s="18"/>
      <c r="B50" s="17"/>
      <c r="C50" s="17"/>
      <c r="D50" s="32"/>
      <c r="E50" s="32"/>
      <c r="F50" s="28"/>
      <c r="G50" s="14"/>
      <c r="H50" s="17"/>
      <c r="I50" s="17"/>
      <c r="J50" s="17"/>
      <c r="K50" s="14"/>
      <c r="L50" s="18"/>
      <c r="M50" s="17"/>
      <c r="N50" s="17"/>
      <c r="O50" s="17"/>
      <c r="P50" s="17"/>
    </row>
    <row r="51" spans="1:16" ht="93.75" customHeight="1">
      <c r="A51" s="18"/>
      <c r="B51" s="17"/>
      <c r="C51" s="17"/>
      <c r="D51" s="32"/>
      <c r="E51" s="32"/>
      <c r="F51" s="28"/>
      <c r="G51" s="14"/>
      <c r="H51" s="17"/>
      <c r="I51" s="17"/>
      <c r="J51" s="17"/>
      <c r="K51" s="14"/>
      <c r="L51" s="17"/>
      <c r="M51" s="17"/>
      <c r="N51" s="17"/>
      <c r="O51" s="17"/>
      <c r="P51" s="17"/>
    </row>
    <row r="52" spans="1:16" ht="78" customHeight="1">
      <c r="A52" s="18"/>
      <c r="B52" s="17"/>
      <c r="C52" s="17"/>
      <c r="D52" s="32"/>
      <c r="E52" s="32"/>
      <c r="F52" s="28"/>
      <c r="G52" s="14"/>
      <c r="H52" s="17"/>
      <c r="I52" s="17"/>
      <c r="J52" s="17"/>
      <c r="K52" s="14"/>
      <c r="L52" s="17"/>
      <c r="M52" s="17"/>
      <c r="N52" s="17"/>
      <c r="O52" s="17"/>
      <c r="P52" s="17"/>
    </row>
    <row r="53" spans="1:16" ht="41.25" customHeight="1">
      <c r="A53" s="18"/>
      <c r="B53" s="17"/>
      <c r="C53" s="17"/>
      <c r="D53" s="32"/>
      <c r="E53" s="32"/>
      <c r="F53" s="28"/>
      <c r="G53" s="14"/>
      <c r="H53" s="17"/>
      <c r="I53" s="17"/>
      <c r="J53" s="17"/>
      <c r="K53" s="14"/>
      <c r="L53" s="17"/>
      <c r="M53" s="17"/>
      <c r="N53" s="17"/>
      <c r="O53" s="17"/>
      <c r="P53" s="17"/>
    </row>
    <row r="54" spans="1:16" ht="34.5" customHeight="1">
      <c r="A54" s="18"/>
      <c r="B54" s="17"/>
      <c r="C54" s="17"/>
      <c r="D54" s="32"/>
      <c r="E54" s="32"/>
      <c r="F54" s="28"/>
      <c r="G54" s="14"/>
      <c r="H54" s="17"/>
      <c r="I54" s="17"/>
      <c r="J54" s="17"/>
      <c r="K54" s="14"/>
      <c r="L54" s="17"/>
      <c r="M54" s="17"/>
      <c r="N54" s="17"/>
      <c r="O54" s="17"/>
      <c r="P54" s="17"/>
    </row>
    <row r="55" spans="1:16" ht="29.25" customHeight="1">
      <c r="A55" s="18"/>
      <c r="B55" s="17"/>
      <c r="C55" s="17"/>
      <c r="D55" s="32"/>
      <c r="E55" s="32"/>
      <c r="F55" s="28"/>
      <c r="G55" s="14"/>
      <c r="H55" s="17"/>
      <c r="I55" s="17"/>
      <c r="J55" s="17"/>
      <c r="K55" s="14"/>
      <c r="L55" s="17"/>
      <c r="M55" s="17"/>
      <c r="N55" s="17"/>
      <c r="O55" s="17"/>
      <c r="P55" s="17"/>
    </row>
    <row r="56" spans="1:16" ht="24.75" customHeight="1">
      <c r="A56" s="18"/>
      <c r="B56" s="17"/>
      <c r="C56" s="17"/>
      <c r="D56" s="32"/>
      <c r="E56" s="32"/>
      <c r="F56" s="28"/>
      <c r="G56" s="14"/>
      <c r="H56" s="17"/>
      <c r="I56" s="17"/>
      <c r="J56" s="17"/>
      <c r="K56" s="14"/>
      <c r="L56" s="17"/>
      <c r="M56" s="17"/>
      <c r="N56" s="17"/>
      <c r="O56" s="17"/>
      <c r="P56" s="17"/>
    </row>
    <row r="57" spans="1:16" ht="33" customHeight="1">
      <c r="A57" s="18"/>
      <c r="B57" s="18"/>
      <c r="C57" s="18"/>
      <c r="D57" s="32"/>
      <c r="E57" s="17"/>
      <c r="F57" s="28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16" ht="30.75" customHeight="1">
      <c r="A58" s="18"/>
      <c r="B58" s="18"/>
      <c r="C58" s="18"/>
      <c r="D58" s="32"/>
      <c r="E58" s="18"/>
      <c r="F58" s="28"/>
      <c r="G58" s="18"/>
      <c r="H58" s="17"/>
      <c r="I58" s="18"/>
      <c r="J58" s="18"/>
      <c r="K58" s="18"/>
      <c r="L58" s="18"/>
      <c r="M58" s="17"/>
      <c r="N58" s="17"/>
      <c r="O58" s="17"/>
      <c r="P58" s="17"/>
    </row>
    <row r="59" spans="1:16" ht="76.5" customHeight="1">
      <c r="A59" s="18"/>
      <c r="B59" s="17"/>
      <c r="C59" s="17"/>
      <c r="D59" s="32"/>
      <c r="E59" s="32"/>
      <c r="F59" s="28"/>
      <c r="G59" s="17"/>
      <c r="H59" s="17"/>
      <c r="I59" s="17"/>
      <c r="J59" s="17"/>
      <c r="K59" s="17"/>
      <c r="L59" s="75"/>
      <c r="M59" s="17"/>
      <c r="N59" s="17"/>
      <c r="O59" s="17"/>
      <c r="P59" s="17"/>
    </row>
    <row r="60" spans="1:16" ht="48.75" customHeight="1">
      <c r="A60" s="18"/>
      <c r="B60" s="17"/>
      <c r="C60" s="17"/>
      <c r="D60" s="32"/>
      <c r="E60" s="32"/>
      <c r="F60" s="28"/>
      <c r="G60" s="17"/>
      <c r="H60" s="17"/>
      <c r="I60" s="17"/>
      <c r="J60" s="17"/>
      <c r="K60" s="14"/>
      <c r="L60" s="75"/>
      <c r="M60" s="17"/>
      <c r="N60" s="17"/>
      <c r="O60" s="17"/>
      <c r="P60" s="17"/>
    </row>
    <row r="61" spans="1:16" ht="60.75" customHeight="1">
      <c r="A61" s="18"/>
      <c r="B61" s="17"/>
      <c r="C61" s="17"/>
      <c r="D61" s="32"/>
      <c r="E61" s="32"/>
      <c r="F61" s="28"/>
      <c r="G61" s="17"/>
      <c r="H61" s="17"/>
      <c r="I61" s="17"/>
      <c r="J61" s="17"/>
      <c r="K61" s="14"/>
      <c r="L61" s="17"/>
      <c r="M61" s="17"/>
      <c r="N61" s="17"/>
      <c r="O61" s="17"/>
      <c r="P61" s="17"/>
    </row>
    <row r="62" spans="1:16" ht="42.75" customHeight="1">
      <c r="A62" s="18"/>
      <c r="B62" s="17"/>
      <c r="C62" s="17"/>
      <c r="D62" s="32"/>
      <c r="E62" s="32"/>
      <c r="F62" s="28"/>
      <c r="G62" s="17"/>
      <c r="H62" s="17"/>
      <c r="I62" s="17"/>
      <c r="J62" s="17"/>
      <c r="K62" s="14"/>
      <c r="L62" s="17"/>
      <c r="M62" s="17"/>
      <c r="N62" s="17"/>
      <c r="O62" s="17"/>
      <c r="P62" s="17"/>
    </row>
    <row r="63" spans="1:16" ht="60" customHeight="1">
      <c r="A63" s="18"/>
      <c r="B63" s="17"/>
      <c r="C63" s="17"/>
      <c r="D63" s="32"/>
      <c r="E63" s="32"/>
      <c r="F63" s="28"/>
      <c r="G63" s="17"/>
      <c r="H63" s="17"/>
      <c r="I63" s="17"/>
      <c r="J63" s="17"/>
      <c r="K63" s="14"/>
      <c r="L63" s="17"/>
      <c r="M63" s="17"/>
      <c r="N63" s="17"/>
      <c r="O63" s="17"/>
      <c r="P63" s="17"/>
    </row>
    <row r="64" spans="1:16" ht="42.75" customHeight="1">
      <c r="A64" s="18"/>
      <c r="B64" s="17"/>
      <c r="C64" s="17"/>
      <c r="D64" s="32"/>
      <c r="E64" s="32"/>
      <c r="F64" s="28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1:16" ht="45" customHeight="1">
      <c r="A65" s="18"/>
      <c r="B65" s="17"/>
      <c r="C65" s="17"/>
      <c r="D65" s="32"/>
      <c r="E65" s="32"/>
      <c r="F65" s="28"/>
      <c r="G65" s="17"/>
      <c r="H65" s="17"/>
      <c r="I65" s="17"/>
      <c r="J65" s="17"/>
      <c r="K65" s="33"/>
      <c r="L65" s="17"/>
      <c r="M65" s="14"/>
      <c r="N65" s="17"/>
      <c r="O65" s="17"/>
      <c r="P65" s="17"/>
    </row>
    <row r="66" spans="1:16" ht="45" hidden="1" customHeight="1">
      <c r="A66" s="18"/>
      <c r="B66" s="17"/>
      <c r="C66" s="17"/>
      <c r="D66" s="32"/>
      <c r="E66" s="32"/>
      <c r="F66" s="28"/>
      <c r="G66" s="17"/>
      <c r="H66" s="17"/>
      <c r="I66" s="17"/>
      <c r="J66" s="17"/>
      <c r="K66" s="33"/>
      <c r="L66" s="17"/>
      <c r="M66" s="14"/>
      <c r="N66" s="17"/>
      <c r="O66" s="17"/>
      <c r="P66" s="17"/>
    </row>
    <row r="67" spans="1:16" ht="409.5" customHeight="1">
      <c r="A67" s="18"/>
      <c r="B67" s="75"/>
      <c r="C67" s="75"/>
      <c r="D67" s="75"/>
      <c r="E67" s="75"/>
      <c r="F67" s="28"/>
      <c r="G67" s="75"/>
      <c r="H67" s="75"/>
      <c r="I67" s="75"/>
      <c r="J67" s="75"/>
      <c r="K67" s="14"/>
      <c r="L67" s="14"/>
      <c r="M67" s="14"/>
      <c r="N67" s="14"/>
    </row>
    <row r="68" spans="1:16" ht="30" customHeight="1">
      <c r="A68" s="18"/>
      <c r="B68" s="17"/>
      <c r="C68" s="17"/>
      <c r="D68" s="17"/>
      <c r="E68" s="17"/>
      <c r="F68" s="28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16" ht="100.5" customHeight="1">
      <c r="A69" s="18"/>
      <c r="B69" s="17"/>
      <c r="C69" s="17"/>
      <c r="D69" s="32"/>
      <c r="E69" s="32"/>
      <c r="F69" s="28"/>
      <c r="G69" s="17"/>
      <c r="H69" s="17"/>
      <c r="I69" s="17"/>
      <c r="J69" s="17"/>
      <c r="K69" s="14"/>
      <c r="L69" s="17"/>
      <c r="M69" s="17"/>
      <c r="N69" s="17"/>
      <c r="O69" s="17"/>
      <c r="P69" s="17"/>
    </row>
    <row r="70" spans="1:16" ht="37.5" customHeight="1">
      <c r="A70" s="18"/>
      <c r="B70" s="17"/>
      <c r="C70" s="17"/>
      <c r="D70" s="32"/>
      <c r="E70" s="32"/>
      <c r="F70" s="28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1:16" ht="28.5" customHeight="1">
      <c r="A71" s="17"/>
      <c r="B71" s="17"/>
      <c r="C71" s="17"/>
      <c r="D71" s="32"/>
      <c r="E71" s="32"/>
      <c r="F71" s="28"/>
      <c r="G71" s="17"/>
      <c r="H71" s="17"/>
      <c r="I71" s="17"/>
      <c r="J71" s="17"/>
      <c r="K71" s="14"/>
      <c r="L71" s="17"/>
      <c r="M71" s="17"/>
      <c r="N71" s="17"/>
      <c r="O71" s="17"/>
      <c r="P71" s="17"/>
    </row>
    <row r="72" spans="1:16" ht="28.5" customHeight="1">
      <c r="A72" s="18"/>
      <c r="B72" s="17"/>
      <c r="C72" s="17"/>
      <c r="D72" s="32"/>
      <c r="E72" s="32"/>
      <c r="F72" s="28"/>
      <c r="G72" s="17"/>
      <c r="H72" s="17"/>
      <c r="I72" s="17"/>
      <c r="J72" s="17"/>
      <c r="K72" s="14"/>
      <c r="L72" s="17"/>
      <c r="M72" s="17"/>
      <c r="N72" s="17"/>
      <c r="O72" s="17"/>
      <c r="P72" s="17"/>
    </row>
    <row r="73" spans="1:16" ht="28.5" customHeight="1">
      <c r="A73" s="17"/>
      <c r="B73" s="17"/>
      <c r="C73" s="17"/>
      <c r="D73" s="32"/>
      <c r="E73" s="32"/>
      <c r="F73" s="28"/>
      <c r="G73" s="17"/>
      <c r="H73" s="17"/>
      <c r="I73" s="17"/>
      <c r="J73" s="17"/>
      <c r="K73" s="14"/>
      <c r="L73" s="17"/>
      <c r="M73" s="17"/>
      <c r="N73" s="17"/>
      <c r="O73" s="17"/>
      <c r="P73" s="17"/>
    </row>
    <row r="74" spans="1:16" ht="54" customHeight="1">
      <c r="A74" s="17"/>
      <c r="B74" s="17"/>
      <c r="C74" s="17"/>
      <c r="D74" s="32"/>
      <c r="E74" s="32"/>
      <c r="F74" s="28"/>
      <c r="G74" s="17"/>
      <c r="H74" s="17"/>
      <c r="I74" s="17"/>
      <c r="J74" s="17"/>
      <c r="K74" s="14"/>
      <c r="L74" s="17"/>
      <c r="M74" s="17"/>
      <c r="N74" s="17"/>
      <c r="O74" s="17"/>
      <c r="P74" s="17"/>
    </row>
    <row r="75" spans="1:16" ht="31.5" customHeight="1">
      <c r="A75" s="17"/>
      <c r="B75" s="17"/>
      <c r="C75" s="17"/>
      <c r="D75" s="32"/>
      <c r="E75" s="32"/>
      <c r="F75" s="28"/>
      <c r="G75" s="17"/>
      <c r="H75" s="17"/>
      <c r="I75" s="17"/>
      <c r="J75" s="17"/>
      <c r="K75" s="14"/>
      <c r="L75" s="17"/>
      <c r="M75" s="17"/>
      <c r="N75" s="17"/>
      <c r="O75" s="17"/>
      <c r="P75" s="17"/>
    </row>
    <row r="76" spans="1:16" ht="20.25" customHeight="1">
      <c r="A76" s="18"/>
      <c r="B76" s="17"/>
      <c r="C76" s="17"/>
      <c r="D76" s="17"/>
      <c r="E76" s="17"/>
      <c r="F76" s="28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1:16" ht="21" customHeight="1">
      <c r="A77" s="18"/>
      <c r="B77" s="17"/>
      <c r="C77" s="17"/>
      <c r="D77" s="17"/>
      <c r="E77" s="17"/>
      <c r="F77" s="28"/>
      <c r="G77" s="14"/>
      <c r="H77" s="17"/>
      <c r="I77" s="17"/>
      <c r="J77" s="17"/>
      <c r="K77" s="17"/>
      <c r="L77" s="17"/>
      <c r="M77" s="17"/>
      <c r="N77" s="17"/>
      <c r="O77" s="17"/>
      <c r="P77" s="17"/>
    </row>
    <row r="78" spans="1:16" ht="12.75">
      <c r="A78" s="18"/>
      <c r="B78" s="17"/>
      <c r="C78" s="17"/>
      <c r="D78" s="17"/>
      <c r="E78" s="17"/>
      <c r="F78" s="28"/>
      <c r="G78" s="14"/>
      <c r="H78" s="17"/>
      <c r="I78" s="17"/>
      <c r="J78" s="17"/>
      <c r="K78" s="17"/>
      <c r="L78" s="17"/>
      <c r="M78" s="17"/>
      <c r="N78" s="17"/>
      <c r="O78" s="17"/>
      <c r="P78" s="17"/>
    </row>
    <row r="79" spans="1:16" ht="94.5" customHeight="1">
      <c r="A79" s="18"/>
      <c r="B79" s="17"/>
      <c r="C79" s="17"/>
      <c r="D79" s="17"/>
      <c r="E79" s="17"/>
      <c r="F79" s="28"/>
      <c r="G79" s="14"/>
      <c r="H79" s="17"/>
      <c r="I79" s="17"/>
      <c r="J79" s="14"/>
      <c r="K79" s="14"/>
      <c r="L79" s="17"/>
      <c r="M79" s="17"/>
      <c r="N79" s="17"/>
      <c r="O79" s="17"/>
      <c r="P79" s="17"/>
    </row>
    <row r="80" spans="1:16" ht="12.75">
      <c r="A80" s="18"/>
      <c r="B80" s="17"/>
      <c r="C80" s="17"/>
      <c r="D80" s="17"/>
      <c r="E80" s="17"/>
      <c r="F80" s="28"/>
      <c r="G80" s="14"/>
      <c r="H80" s="17"/>
      <c r="I80" s="17"/>
      <c r="J80" s="14"/>
      <c r="K80" s="14"/>
      <c r="L80" s="17"/>
      <c r="M80" s="17"/>
      <c r="N80" s="17"/>
      <c r="O80" s="17"/>
      <c r="P80" s="17"/>
    </row>
    <row r="81" spans="1:16" s="8" customFormat="1" ht="12.75">
      <c r="A81" s="18"/>
      <c r="B81" s="17"/>
      <c r="C81" s="17"/>
      <c r="D81" s="17"/>
      <c r="E81" s="17"/>
      <c r="F81" s="28"/>
      <c r="G81" s="14"/>
      <c r="H81" s="17"/>
      <c r="I81" s="17"/>
      <c r="J81" s="14"/>
      <c r="K81" s="14"/>
      <c r="L81" s="14"/>
      <c r="M81" s="17"/>
      <c r="N81" s="17"/>
      <c r="O81" s="17"/>
      <c r="P81" s="17"/>
    </row>
    <row r="82" spans="1:16" s="8" customFormat="1" ht="64.5" customHeight="1">
      <c r="A82" s="18"/>
      <c r="B82" s="17"/>
      <c r="C82" s="17"/>
      <c r="D82" s="17"/>
      <c r="E82" s="17"/>
      <c r="F82" s="28"/>
      <c r="G82" s="14"/>
      <c r="H82" s="17"/>
      <c r="I82" s="17"/>
      <c r="J82" s="14"/>
      <c r="K82" s="14"/>
      <c r="L82" s="17"/>
      <c r="M82" s="17"/>
      <c r="N82" s="17"/>
      <c r="O82" s="17"/>
      <c r="P82" s="17"/>
    </row>
    <row r="83" spans="1:16" ht="12.75">
      <c r="A83" s="18"/>
      <c r="B83" s="17"/>
      <c r="C83" s="17"/>
      <c r="D83" s="17"/>
      <c r="E83" s="17"/>
      <c r="F83" s="28"/>
      <c r="G83" s="14"/>
      <c r="H83" s="17"/>
      <c r="I83" s="17"/>
      <c r="J83" s="17"/>
      <c r="K83" s="17"/>
      <c r="L83" s="17"/>
      <c r="M83" s="17"/>
      <c r="N83" s="17"/>
      <c r="O83" s="17"/>
      <c r="P83" s="17"/>
    </row>
    <row r="84" spans="1:16" ht="12.75">
      <c r="A84" s="18"/>
      <c r="B84" s="17"/>
      <c r="C84" s="17"/>
      <c r="D84" s="17"/>
      <c r="E84" s="17"/>
      <c r="F84" s="28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16" ht="19.5" customHeight="1">
      <c r="A85" s="18"/>
      <c r="B85" s="17"/>
      <c r="C85" s="17"/>
      <c r="D85" s="17"/>
      <c r="E85" s="17"/>
      <c r="F85" s="28"/>
      <c r="G85" s="17"/>
      <c r="H85" s="17"/>
      <c r="I85" s="17"/>
      <c r="J85" s="17"/>
      <c r="K85" s="75"/>
      <c r="L85" s="17"/>
      <c r="M85" s="17"/>
      <c r="N85" s="17"/>
      <c r="O85" s="17"/>
      <c r="P85" s="17"/>
    </row>
    <row r="86" spans="1:16" ht="12.75">
      <c r="A86" s="18"/>
      <c r="B86" s="17"/>
      <c r="C86" s="17"/>
      <c r="D86" s="17"/>
      <c r="E86" s="17"/>
      <c r="F86" s="28"/>
      <c r="G86" s="17"/>
      <c r="H86" s="17"/>
      <c r="I86" s="17"/>
      <c r="J86" s="17"/>
      <c r="K86" s="75"/>
      <c r="L86" s="17"/>
      <c r="M86" s="17"/>
      <c r="N86" s="17"/>
      <c r="O86" s="17"/>
      <c r="P86" s="17"/>
    </row>
    <row r="87" spans="1:16" ht="12.75">
      <c r="A87" s="18"/>
      <c r="B87" s="17"/>
      <c r="C87" s="17"/>
      <c r="D87" s="17"/>
      <c r="E87" s="17"/>
      <c r="F87" s="28"/>
      <c r="G87" s="17"/>
      <c r="H87" s="17"/>
      <c r="I87" s="17"/>
      <c r="J87" s="17"/>
      <c r="K87" s="75"/>
      <c r="L87" s="17"/>
      <c r="M87" s="17"/>
      <c r="N87" s="17"/>
      <c r="O87" s="17"/>
      <c r="P87" s="17"/>
    </row>
    <row r="88" spans="1:16" ht="12.75">
      <c r="A88" s="18"/>
      <c r="B88" s="17"/>
      <c r="C88" s="17"/>
      <c r="D88" s="17"/>
      <c r="E88" s="17"/>
      <c r="F88" s="28"/>
      <c r="G88" s="17"/>
      <c r="H88" s="17"/>
      <c r="I88" s="17"/>
      <c r="J88" s="17"/>
      <c r="K88" s="75"/>
      <c r="L88" s="17"/>
      <c r="M88" s="17"/>
      <c r="N88" s="17"/>
      <c r="O88" s="17"/>
      <c r="P88" s="17"/>
    </row>
    <row r="89" spans="1:16" ht="12.75">
      <c r="A89" s="18"/>
      <c r="B89" s="17"/>
      <c r="C89" s="17"/>
      <c r="D89" s="17"/>
      <c r="E89" s="17"/>
      <c r="F89" s="28"/>
      <c r="G89" s="17"/>
      <c r="H89" s="17"/>
      <c r="I89" s="17"/>
      <c r="J89" s="17"/>
      <c r="K89" s="75"/>
      <c r="L89" s="17"/>
      <c r="M89" s="17"/>
      <c r="N89" s="17"/>
      <c r="O89" s="17"/>
      <c r="P89" s="17"/>
    </row>
    <row r="90" spans="1:16" ht="12.75">
      <c r="A90" s="17"/>
      <c r="B90" s="17"/>
      <c r="C90" s="17"/>
      <c r="D90" s="17"/>
      <c r="E90" s="17"/>
      <c r="F90" s="28"/>
      <c r="G90" s="17"/>
      <c r="H90" s="17"/>
      <c r="I90" s="17"/>
      <c r="J90" s="17"/>
      <c r="K90" s="75"/>
      <c r="L90" s="17"/>
      <c r="M90" s="17"/>
      <c r="N90" s="17"/>
      <c r="O90" s="17"/>
      <c r="P90" s="17"/>
    </row>
    <row r="91" spans="1:16" ht="12.75">
      <c r="A91" s="18"/>
      <c r="B91" s="17"/>
      <c r="C91" s="17"/>
      <c r="D91" s="17"/>
      <c r="E91" s="17"/>
      <c r="F91" s="28"/>
      <c r="G91" s="17"/>
      <c r="H91" s="17"/>
      <c r="I91" s="17"/>
      <c r="J91" s="17"/>
      <c r="K91" s="75"/>
      <c r="L91" s="17"/>
      <c r="M91" s="17"/>
      <c r="N91" s="17"/>
      <c r="O91" s="17"/>
      <c r="P91" s="17"/>
    </row>
    <row r="92" spans="1:16" ht="12.75">
      <c r="A92" s="3"/>
      <c r="B92" s="4"/>
      <c r="C92" s="4"/>
      <c r="D92" s="4"/>
      <c r="E92" s="4"/>
      <c r="F92" s="28"/>
      <c r="G92" s="4"/>
      <c r="H92" s="4"/>
      <c r="I92" s="4"/>
      <c r="J92" s="4"/>
    </row>
    <row r="93" spans="1:16" ht="12.75">
      <c r="F93" s="28"/>
      <c r="G93" s="4"/>
      <c r="H93" s="4"/>
      <c r="J93" s="4"/>
    </row>
    <row r="94" spans="1:16" ht="12.75">
      <c r="F94" s="28"/>
      <c r="G94" s="4"/>
      <c r="H94" s="4"/>
      <c r="J94" s="4"/>
    </row>
    <row r="95" spans="1:16" ht="12.75">
      <c r="F95" s="28"/>
    </row>
    <row r="96" spans="1:16" ht="12.75">
      <c r="F96" s="28"/>
    </row>
    <row r="97" spans="6:6" ht="12.75">
      <c r="F97" s="28"/>
    </row>
    <row r="98" spans="6:6" ht="12.75">
      <c r="F98" s="28"/>
    </row>
    <row r="99" spans="6:6" ht="12.75">
      <c r="F99" s="28"/>
    </row>
    <row r="100" spans="6:6" ht="12.75">
      <c r="F100" s="28"/>
    </row>
    <row r="101" spans="6:6" ht="12.75">
      <c r="F101" s="28"/>
    </row>
    <row r="102" spans="6:6" ht="12.75">
      <c r="F102" s="28"/>
    </row>
    <row r="103" spans="6:6" ht="12.75">
      <c r="F103" s="28"/>
    </row>
    <row r="104" spans="6:6" ht="12.75">
      <c r="F104" s="28"/>
    </row>
    <row r="105" spans="6:6" ht="12.75">
      <c r="F105" s="28"/>
    </row>
    <row r="106" spans="6:6" ht="12.75">
      <c r="F106" s="28"/>
    </row>
    <row r="107" spans="6:6" ht="12.75">
      <c r="F107" s="28"/>
    </row>
    <row r="108" spans="6:6" ht="12.75">
      <c r="F108" s="28"/>
    </row>
    <row r="109" spans="6:6" ht="12.75">
      <c r="F109" s="28"/>
    </row>
    <row r="110" spans="6:6" ht="12.75">
      <c r="F110" s="28"/>
    </row>
    <row r="111" spans="6:6" ht="12.75">
      <c r="F111" s="28"/>
    </row>
    <row r="112" spans="6:6" ht="12.75">
      <c r="F112" s="28"/>
    </row>
    <row r="113" spans="6:6" ht="12.75">
      <c r="F113" s="28"/>
    </row>
    <row r="114" spans="6:6" ht="12.75">
      <c r="F114" s="28"/>
    </row>
    <row r="115" spans="6:6" ht="12.75">
      <c r="F115" s="28"/>
    </row>
    <row r="116" spans="6:6" ht="12.75">
      <c r="F116" s="28"/>
    </row>
    <row r="117" spans="6:6" ht="12.75">
      <c r="F117" s="28"/>
    </row>
    <row r="118" spans="6:6" ht="12.75">
      <c r="F118" s="28"/>
    </row>
    <row r="119" spans="6:6" ht="12.75">
      <c r="F119" s="28"/>
    </row>
    <row r="120" spans="6:6" ht="12.75">
      <c r="F120" s="28"/>
    </row>
    <row r="121" spans="6:6" ht="12.75">
      <c r="F121" s="28"/>
    </row>
    <row r="122" spans="6:6" ht="12.75">
      <c r="F122" s="28"/>
    </row>
    <row r="123" spans="6:6" ht="12.75">
      <c r="F123" s="28"/>
    </row>
    <row r="124" spans="6:6" ht="12.75">
      <c r="F124" s="28"/>
    </row>
    <row r="125" spans="6:6" ht="12.75">
      <c r="F125" s="28"/>
    </row>
    <row r="126" spans="6:6" ht="12.75">
      <c r="F126" s="28"/>
    </row>
    <row r="127" spans="6:6" ht="12.75">
      <c r="F127" s="28"/>
    </row>
    <row r="128" spans="6:6" ht="12.75">
      <c r="F128" s="28"/>
    </row>
    <row r="129" spans="6:6" ht="12.75">
      <c r="F129" s="28"/>
    </row>
    <row r="130" spans="6:6" ht="12.75">
      <c r="F130" s="28"/>
    </row>
    <row r="131" spans="6:6" ht="12.75">
      <c r="F131" s="28"/>
    </row>
    <row r="132" spans="6:6" ht="12.75">
      <c r="F132" s="28"/>
    </row>
    <row r="133" spans="6:6" ht="12.75">
      <c r="F133" s="28"/>
    </row>
    <row r="134" spans="6:6" ht="12.75">
      <c r="F134" s="28"/>
    </row>
    <row r="135" spans="6:6" ht="12.75">
      <c r="F135" s="28"/>
    </row>
    <row r="136" spans="6:6" ht="12.75">
      <c r="F136" s="28"/>
    </row>
  </sheetData>
  <mergeCells count="8">
    <mergeCell ref="K85:K91"/>
    <mergeCell ref="L59:L60"/>
    <mergeCell ref="B67:E67"/>
    <mergeCell ref="G67:J67"/>
    <mergeCell ref="F48:F49"/>
    <mergeCell ref="G48:G49"/>
    <mergeCell ref="H48:H49"/>
    <mergeCell ref="I48:I49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9D6E-3714-442B-8385-EE78BC89099A}">
  <sheetPr codeName="Sheet28"/>
  <dimension ref="A1:Q41"/>
  <sheetViews>
    <sheetView zoomScale="85" zoomScaleNormal="85" workbookViewId="0">
      <pane ySplit="1" topLeftCell="A2" activePane="bottomLeft" state="frozen"/>
      <selection pane="bottomLeft" activeCell="B2" sqref="B2:E3"/>
    </sheetView>
  </sheetViews>
  <sheetFormatPr defaultColWidth="9" defaultRowHeight="30" customHeight="1"/>
  <cols>
    <col min="1" max="1" width="28.25" style="5" bestFit="1" customWidth="1"/>
    <col min="2" max="2" width="10" style="5" bestFit="1" customWidth="1"/>
    <col min="3" max="3" width="8.75" style="5" bestFit="1" customWidth="1"/>
    <col min="4" max="4" width="9.5" style="5" bestFit="1" customWidth="1"/>
    <col min="5" max="5" width="8.5" style="5" bestFit="1" customWidth="1"/>
    <col min="6" max="6" width="30.375" style="5" bestFit="1" customWidth="1"/>
    <col min="7" max="7" width="22.25" style="5" customWidth="1"/>
    <col min="8" max="16384" width="9" style="5"/>
  </cols>
  <sheetData>
    <row r="1" spans="1:17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7" ht="30" customHeight="1">
      <c r="A2" s="19" t="s">
        <v>957</v>
      </c>
      <c r="B2" s="16" t="str">
        <f t="shared" ref="B2:C3" si="0">"0x"&amp;DEC2HEX(D2,4)</f>
        <v>0x9650</v>
      </c>
      <c r="C2" s="16" t="str">
        <f t="shared" si="0"/>
        <v>0x9651</v>
      </c>
      <c r="D2" s="16">
        <v>38480</v>
      </c>
      <c r="E2" s="16">
        <f t="shared" ref="E2:E3" si="1">D2+I2-1</f>
        <v>38481</v>
      </c>
      <c r="F2" s="17" t="s">
        <v>958</v>
      </c>
      <c r="G2" s="17" t="s">
        <v>146</v>
      </c>
      <c r="H2" s="17" t="s">
        <v>301</v>
      </c>
      <c r="I2" s="17">
        <v>2</v>
      </c>
      <c r="J2" s="17"/>
      <c r="K2" s="1"/>
      <c r="L2" s="1"/>
      <c r="M2" s="1"/>
      <c r="N2" s="1"/>
      <c r="O2" s="1"/>
      <c r="P2" s="1"/>
      <c r="Q2" s="1"/>
    </row>
    <row r="3" spans="1:17" ht="30" customHeight="1">
      <c r="A3" s="17"/>
      <c r="B3" s="16" t="str">
        <f t="shared" si="0"/>
        <v>0x9652</v>
      </c>
      <c r="C3" s="16" t="str">
        <f t="shared" si="0"/>
        <v>0x9655</v>
      </c>
      <c r="D3" s="16">
        <f>D2+I2</f>
        <v>38482</v>
      </c>
      <c r="E3" s="16">
        <f t="shared" si="1"/>
        <v>38485</v>
      </c>
      <c r="F3" s="17" t="s">
        <v>959</v>
      </c>
      <c r="G3" s="17" t="s">
        <v>169</v>
      </c>
      <c r="H3" s="17" t="s">
        <v>301</v>
      </c>
      <c r="I3" s="17">
        <v>4</v>
      </c>
      <c r="J3" s="17"/>
      <c r="K3" s="1"/>
      <c r="L3" s="1"/>
      <c r="M3" s="1"/>
      <c r="N3" s="1"/>
      <c r="O3" s="1"/>
      <c r="P3" s="1"/>
      <c r="Q3" s="1"/>
    </row>
    <row r="4" spans="1:17" ht="30" customHeight="1">
      <c r="A4" s="17"/>
      <c r="B4" s="16" t="str">
        <f t="shared" ref="B4:B10" si="2">"0x"&amp;DEC2HEX(D4,4)</f>
        <v>0x9656</v>
      </c>
      <c r="C4" s="16" t="str">
        <f t="shared" ref="C4:C10" si="3">"0x"&amp;DEC2HEX(E4,4)</f>
        <v>0x9656</v>
      </c>
      <c r="D4" s="16">
        <f t="shared" ref="D4:D10" si="4">D3+I3</f>
        <v>38486</v>
      </c>
      <c r="E4" s="16">
        <f t="shared" ref="E4:E10" si="5">D4+I4-1</f>
        <v>38486</v>
      </c>
      <c r="F4" s="17" t="s">
        <v>960</v>
      </c>
      <c r="G4" s="17" t="s">
        <v>169</v>
      </c>
      <c r="H4" s="17" t="s">
        <v>301</v>
      </c>
      <c r="I4" s="17">
        <v>1</v>
      </c>
      <c r="J4" s="17"/>
      <c r="K4" s="1"/>
      <c r="L4" s="1"/>
      <c r="M4" s="1"/>
      <c r="N4" s="1"/>
      <c r="O4" s="1"/>
      <c r="P4" s="1"/>
      <c r="Q4" s="1"/>
    </row>
    <row r="5" spans="1:17" ht="30" customHeight="1">
      <c r="A5" s="17"/>
      <c r="B5" s="16" t="str">
        <f t="shared" si="2"/>
        <v>0x9657</v>
      </c>
      <c r="C5" s="16" t="str">
        <f t="shared" si="3"/>
        <v>0x9657</v>
      </c>
      <c r="D5" s="16">
        <f t="shared" si="4"/>
        <v>38487</v>
      </c>
      <c r="E5" s="16">
        <f t="shared" si="5"/>
        <v>38487</v>
      </c>
      <c r="F5" s="17" t="s">
        <v>961</v>
      </c>
      <c r="G5" s="17" t="s">
        <v>169</v>
      </c>
      <c r="H5" s="17" t="s">
        <v>301</v>
      </c>
      <c r="I5" s="17">
        <v>1</v>
      </c>
      <c r="J5" s="17"/>
      <c r="K5" s="1"/>
      <c r="L5" s="1"/>
      <c r="M5" s="1"/>
      <c r="N5" s="1"/>
      <c r="O5" s="1"/>
      <c r="P5" s="1"/>
      <c r="Q5" s="1"/>
    </row>
    <row r="6" spans="1:17" ht="30" customHeight="1">
      <c r="A6" s="17"/>
      <c r="B6" s="16" t="str">
        <f t="shared" si="2"/>
        <v>0x9658</v>
      </c>
      <c r="C6" s="16" t="str">
        <f t="shared" si="3"/>
        <v>0x9658</v>
      </c>
      <c r="D6" s="16">
        <f t="shared" si="4"/>
        <v>38488</v>
      </c>
      <c r="E6" s="16">
        <f t="shared" si="5"/>
        <v>38488</v>
      </c>
      <c r="F6" s="17" t="s">
        <v>962</v>
      </c>
      <c r="G6" s="17" t="s">
        <v>169</v>
      </c>
      <c r="H6" s="17" t="s">
        <v>301</v>
      </c>
      <c r="I6" s="17">
        <v>1</v>
      </c>
      <c r="J6" s="17"/>
      <c r="K6" s="1"/>
      <c r="L6" s="1"/>
      <c r="M6" s="1"/>
      <c r="N6" s="1"/>
      <c r="O6" s="1"/>
      <c r="P6" s="1"/>
      <c r="Q6" s="1"/>
    </row>
    <row r="7" spans="1:17" ht="30" customHeight="1">
      <c r="A7" s="17"/>
      <c r="B7" s="16" t="str">
        <f t="shared" si="2"/>
        <v>0x9659</v>
      </c>
      <c r="C7" s="16" t="str">
        <f t="shared" si="3"/>
        <v>0x9659</v>
      </c>
      <c r="D7" s="16">
        <f t="shared" si="4"/>
        <v>38489</v>
      </c>
      <c r="E7" s="16">
        <f t="shared" si="5"/>
        <v>38489</v>
      </c>
      <c r="F7" s="17" t="s">
        <v>963</v>
      </c>
      <c r="G7" s="17" t="s">
        <v>169</v>
      </c>
      <c r="H7" s="17" t="s">
        <v>301</v>
      </c>
      <c r="I7" s="17">
        <v>1</v>
      </c>
      <c r="J7" s="17"/>
      <c r="K7" s="1"/>
      <c r="L7" s="1"/>
      <c r="M7" s="1"/>
      <c r="N7" s="1"/>
      <c r="O7" s="1"/>
      <c r="P7" s="1"/>
      <c r="Q7" s="1"/>
    </row>
    <row r="8" spans="1:17" ht="30" customHeight="1">
      <c r="A8" s="17"/>
      <c r="B8" s="16" t="str">
        <f t="shared" si="2"/>
        <v>0x965A</v>
      </c>
      <c r="C8" s="16" t="str">
        <f t="shared" si="3"/>
        <v>0x965A</v>
      </c>
      <c r="D8" s="16">
        <f t="shared" si="4"/>
        <v>38490</v>
      </c>
      <c r="E8" s="16">
        <f t="shared" si="5"/>
        <v>38490</v>
      </c>
      <c r="F8" s="17" t="s">
        <v>964</v>
      </c>
      <c r="G8" s="17" t="s">
        <v>169</v>
      </c>
      <c r="H8" s="17" t="s">
        <v>301</v>
      </c>
      <c r="I8" s="17">
        <v>1</v>
      </c>
      <c r="J8" s="17"/>
      <c r="K8" s="1"/>
      <c r="L8" s="1"/>
      <c r="M8" s="1"/>
      <c r="N8" s="1"/>
      <c r="O8" s="1"/>
      <c r="P8" s="1"/>
      <c r="Q8" s="1"/>
    </row>
    <row r="9" spans="1:17" ht="38.25">
      <c r="A9" s="17"/>
      <c r="B9" s="16" t="str">
        <f t="shared" si="2"/>
        <v>0x965B</v>
      </c>
      <c r="C9" s="16" t="str">
        <f t="shared" si="3"/>
        <v>0x965B</v>
      </c>
      <c r="D9" s="16">
        <f t="shared" si="4"/>
        <v>38491</v>
      </c>
      <c r="E9" s="16">
        <f t="shared" si="5"/>
        <v>38491</v>
      </c>
      <c r="F9" s="16" t="s">
        <v>965</v>
      </c>
      <c r="G9" s="16" t="s">
        <v>169</v>
      </c>
      <c r="H9" s="16" t="s">
        <v>301</v>
      </c>
      <c r="I9" s="16">
        <v>1</v>
      </c>
      <c r="J9" s="22" t="s">
        <v>966</v>
      </c>
      <c r="K9" s="1"/>
      <c r="L9" s="1"/>
      <c r="M9" s="1"/>
      <c r="N9" s="1"/>
      <c r="O9" s="1"/>
      <c r="P9" s="1"/>
      <c r="Q9" s="1"/>
    </row>
    <row r="10" spans="1:17" ht="30" customHeight="1">
      <c r="A10" s="17"/>
      <c r="B10" s="16" t="str">
        <f t="shared" si="2"/>
        <v>0x965C</v>
      </c>
      <c r="C10" s="16" t="str">
        <f t="shared" si="3"/>
        <v>0x9700</v>
      </c>
      <c r="D10" s="16">
        <f t="shared" si="4"/>
        <v>38492</v>
      </c>
      <c r="E10" s="16">
        <f t="shared" si="5"/>
        <v>38656</v>
      </c>
      <c r="F10" s="17" t="s">
        <v>967</v>
      </c>
      <c r="G10" s="17" t="s">
        <v>169</v>
      </c>
      <c r="H10" s="17" t="s">
        <v>301</v>
      </c>
      <c r="I10" s="17">
        <v>165</v>
      </c>
      <c r="J10" s="17"/>
      <c r="K10" s="1"/>
      <c r="L10" s="1"/>
      <c r="M10" s="1"/>
      <c r="N10" s="1"/>
      <c r="O10" s="1"/>
      <c r="P10" s="1"/>
      <c r="Q10" s="1"/>
    </row>
    <row r="11" spans="1:17" ht="30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"/>
      <c r="L11" s="1"/>
      <c r="M11" s="1"/>
      <c r="N11" s="1"/>
      <c r="O11" s="1"/>
      <c r="P11" s="1"/>
      <c r="Q11" s="1"/>
    </row>
    <row r="12" spans="1:17" ht="30" customHeight="1">
      <c r="A12" s="19"/>
      <c r="B12" s="17"/>
      <c r="C12" s="17"/>
      <c r="D12" s="11"/>
      <c r="E12" s="11"/>
      <c r="F12" s="17"/>
      <c r="G12" s="17"/>
      <c r="H12" s="17"/>
      <c r="I12" s="17"/>
      <c r="J12" s="17"/>
      <c r="K12" s="1"/>
      <c r="L12" s="1"/>
      <c r="M12" s="1"/>
      <c r="N12" s="1"/>
      <c r="O12" s="1"/>
      <c r="P12" s="1"/>
      <c r="Q12" s="1"/>
    </row>
    <row r="13" spans="1:17" ht="30" customHeight="1">
      <c r="A13" s="4" t="s">
        <v>968</v>
      </c>
      <c r="B13" s="16" t="str">
        <f t="shared" ref="B13:B14" si="6">"0x"&amp;DEC2HEX(D13,4)</f>
        <v>0x9710</v>
      </c>
      <c r="C13" s="16" t="str">
        <f t="shared" ref="C13:C14" si="7">"0x"&amp;DEC2HEX(E13,4)</f>
        <v>0x9710</v>
      </c>
      <c r="D13" s="16">
        <v>38672</v>
      </c>
      <c r="E13" s="16">
        <f t="shared" ref="E13:E14" si="8">D13+I13-1</f>
        <v>38672</v>
      </c>
      <c r="F13" s="17" t="s">
        <v>969</v>
      </c>
      <c r="G13" s="17" t="s">
        <v>169</v>
      </c>
      <c r="H13" s="17" t="s">
        <v>301</v>
      </c>
      <c r="I13" s="17">
        <v>1</v>
      </c>
      <c r="J13" s="17"/>
      <c r="K13" s="1"/>
      <c r="L13" s="1"/>
      <c r="M13" s="1"/>
      <c r="N13" s="1"/>
      <c r="O13" s="1"/>
      <c r="P13" s="1"/>
      <c r="Q13" s="1"/>
    </row>
    <row r="14" spans="1:17" ht="30" customHeight="1">
      <c r="A14" s="19"/>
      <c r="B14" s="16" t="str">
        <f t="shared" si="6"/>
        <v>0x9711</v>
      </c>
      <c r="C14" s="16" t="str">
        <f t="shared" si="7"/>
        <v>0x9711</v>
      </c>
      <c r="D14" s="16">
        <f>D13+I13</f>
        <v>38673</v>
      </c>
      <c r="E14" s="16">
        <f t="shared" si="8"/>
        <v>38673</v>
      </c>
      <c r="F14" s="17" t="s">
        <v>970</v>
      </c>
      <c r="G14" s="17" t="s">
        <v>169</v>
      </c>
      <c r="H14" s="17" t="s">
        <v>301</v>
      </c>
      <c r="I14" s="17">
        <v>1</v>
      </c>
      <c r="J14" s="17"/>
      <c r="K14" s="1"/>
      <c r="L14" s="1"/>
      <c r="M14" s="1"/>
      <c r="N14" s="1"/>
      <c r="O14" s="1"/>
      <c r="P14" s="1"/>
      <c r="Q14" s="1"/>
    </row>
    <row r="15" spans="1:17" ht="30" customHeight="1">
      <c r="A15" s="4"/>
      <c r="B15" s="16" t="str">
        <f t="shared" ref="B15:B17" si="9">"0x"&amp;DEC2HEX(D15,4)</f>
        <v>0x9712</v>
      </c>
      <c r="C15" s="16" t="str">
        <f t="shared" ref="C15:C17" si="10">"0x"&amp;DEC2HEX(E15,4)</f>
        <v>0x9712</v>
      </c>
      <c r="D15" s="16">
        <f t="shared" ref="D15:D17" si="11">D14+I14</f>
        <v>38674</v>
      </c>
      <c r="E15" s="16">
        <f t="shared" ref="E15:E17" si="12">D15+I15-1</f>
        <v>38674</v>
      </c>
      <c r="F15" s="17" t="s">
        <v>971</v>
      </c>
      <c r="G15" s="17" t="s">
        <v>169</v>
      </c>
      <c r="H15" s="17" t="s">
        <v>147</v>
      </c>
      <c r="I15" s="17">
        <v>1</v>
      </c>
      <c r="J15" s="17"/>
      <c r="K15" s="1"/>
      <c r="L15" s="1"/>
      <c r="M15" s="1"/>
      <c r="N15" s="1"/>
      <c r="O15" s="1"/>
      <c r="P15" s="1"/>
      <c r="Q15" s="1"/>
    </row>
    <row r="16" spans="1:17" ht="30" customHeight="1">
      <c r="A16" s="4"/>
      <c r="B16" s="16" t="str">
        <f t="shared" si="9"/>
        <v>0x9713</v>
      </c>
      <c r="C16" s="16" t="str">
        <f t="shared" si="10"/>
        <v>0x9713</v>
      </c>
      <c r="D16" s="16">
        <f t="shared" si="11"/>
        <v>38675</v>
      </c>
      <c r="E16" s="16">
        <f t="shared" si="12"/>
        <v>38675</v>
      </c>
      <c r="F16" s="17" t="s">
        <v>972</v>
      </c>
      <c r="G16" s="17" t="s">
        <v>146</v>
      </c>
      <c r="H16" s="17" t="s">
        <v>147</v>
      </c>
      <c r="I16" s="17">
        <v>1</v>
      </c>
      <c r="J16" s="17"/>
      <c r="K16" s="1"/>
      <c r="L16" s="1"/>
      <c r="M16" s="1"/>
      <c r="N16" s="1"/>
      <c r="O16" s="1"/>
      <c r="P16" s="1"/>
      <c r="Q16" s="1"/>
    </row>
    <row r="17" spans="1:17" ht="30" customHeight="1">
      <c r="A17" s="4"/>
      <c r="B17" s="16" t="str">
        <f t="shared" si="9"/>
        <v>0x9714</v>
      </c>
      <c r="C17" s="16" t="str">
        <f t="shared" si="10"/>
        <v>0x9714</v>
      </c>
      <c r="D17" s="16">
        <f t="shared" si="11"/>
        <v>38676</v>
      </c>
      <c r="E17" s="16">
        <f t="shared" si="12"/>
        <v>38676</v>
      </c>
      <c r="F17" s="17" t="s">
        <v>973</v>
      </c>
      <c r="G17" s="17" t="s">
        <v>146</v>
      </c>
      <c r="H17" s="17" t="s">
        <v>147</v>
      </c>
      <c r="I17" s="17">
        <v>1</v>
      </c>
      <c r="J17" s="17"/>
      <c r="K17" s="1"/>
      <c r="L17" s="1"/>
      <c r="M17" s="1"/>
      <c r="N17" s="1"/>
      <c r="O17" s="1"/>
      <c r="P17" s="1"/>
      <c r="Q17" s="1"/>
    </row>
    <row r="18" spans="1:17" ht="3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3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3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3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3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3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D5E6-8EC0-4CCF-B46F-BCF9CF5A32E3}">
  <dimension ref="A1:L5"/>
  <sheetViews>
    <sheetView workbookViewId="0">
      <selection activeCell="I2" sqref="I2:I5"/>
    </sheetView>
  </sheetViews>
  <sheetFormatPr defaultRowHeight="13.5"/>
  <cols>
    <col min="1" max="1" width="39.5" bestFit="1" customWidth="1"/>
    <col min="6" max="6" width="28.25" bestFit="1" customWidth="1"/>
    <col min="10" max="10" width="40.5" bestFit="1" customWidth="1"/>
  </cols>
  <sheetData>
    <row r="1" spans="1:12" s="7" customFormat="1" ht="39" customHeight="1">
      <c r="A1" s="13" t="s">
        <v>132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137</v>
      </c>
      <c r="G1" s="44" t="s">
        <v>138</v>
      </c>
      <c r="H1" s="44" t="s">
        <v>139</v>
      </c>
      <c r="I1" s="44" t="s">
        <v>295</v>
      </c>
      <c r="J1" s="44" t="s">
        <v>141</v>
      </c>
      <c r="K1" s="44" t="s">
        <v>142</v>
      </c>
      <c r="L1" s="53"/>
    </row>
    <row r="2" spans="1:12">
      <c r="A2" s="60" t="s">
        <v>116</v>
      </c>
      <c r="B2" s="16" t="str">
        <f t="shared" ref="B2:C3" si="0">"0x"&amp;DEC2HEX(D2,4)</f>
        <v>0x9720</v>
      </c>
      <c r="C2" s="16" t="str">
        <f t="shared" si="0"/>
        <v>0x972F</v>
      </c>
      <c r="D2" s="16">
        <v>38688</v>
      </c>
      <c r="E2" s="16">
        <f t="shared" ref="E2:E3" si="1">D2+I2-1</f>
        <v>38703</v>
      </c>
      <c r="F2" s="57" t="s">
        <v>959</v>
      </c>
      <c r="G2" s="57" t="s">
        <v>169</v>
      </c>
      <c r="H2" s="57" t="s">
        <v>301</v>
      </c>
      <c r="I2" s="57">
        <v>16</v>
      </c>
      <c r="J2" s="57"/>
    </row>
    <row r="3" spans="1:12" ht="40.5">
      <c r="B3" s="16" t="str">
        <f t="shared" si="0"/>
        <v>0x9730</v>
      </c>
      <c r="C3" s="16" t="str">
        <f t="shared" si="0"/>
        <v>0x9730</v>
      </c>
      <c r="D3" s="16">
        <f>D2+I2</f>
        <v>38704</v>
      </c>
      <c r="E3" s="16">
        <f t="shared" si="1"/>
        <v>38704</v>
      </c>
      <c r="F3" s="57" t="s">
        <v>965</v>
      </c>
      <c r="G3" s="57" t="s">
        <v>169</v>
      </c>
      <c r="H3" s="57" t="s">
        <v>301</v>
      </c>
      <c r="I3" s="57">
        <v>1</v>
      </c>
      <c r="J3" s="58" t="s">
        <v>974</v>
      </c>
    </row>
    <row r="4" spans="1:12" ht="216">
      <c r="B4" s="16" t="str">
        <f t="shared" ref="B4:B5" si="2">"0x"&amp;DEC2HEX(D4,4)</f>
        <v>0x9731</v>
      </c>
      <c r="C4" s="16" t="str">
        <f t="shared" ref="C4:C5" si="3">"0x"&amp;DEC2HEX(E4,4)</f>
        <v>0x9731</v>
      </c>
      <c r="D4" s="16">
        <f t="shared" ref="D4:D5" si="4">D3+I3</f>
        <v>38705</v>
      </c>
      <c r="E4" s="16">
        <f t="shared" ref="E4:E5" si="5">D4+I4-1</f>
        <v>38705</v>
      </c>
      <c r="F4" s="57" t="s">
        <v>975</v>
      </c>
      <c r="G4" s="57" t="s">
        <v>169</v>
      </c>
      <c r="H4" s="57" t="s">
        <v>301</v>
      </c>
      <c r="I4" s="57">
        <v>1</v>
      </c>
      <c r="J4" s="59" t="s">
        <v>976</v>
      </c>
    </row>
    <row r="5" spans="1:12">
      <c r="B5" s="16" t="str">
        <f t="shared" si="2"/>
        <v>0x9732</v>
      </c>
      <c r="C5" s="16" t="str">
        <f t="shared" si="3"/>
        <v>0x9786</v>
      </c>
      <c r="D5" s="16">
        <f t="shared" si="4"/>
        <v>38706</v>
      </c>
      <c r="E5" s="16">
        <f t="shared" si="5"/>
        <v>38790</v>
      </c>
      <c r="F5" s="57" t="s">
        <v>977</v>
      </c>
      <c r="G5" s="57" t="s">
        <v>169</v>
      </c>
      <c r="H5" s="57" t="s">
        <v>301</v>
      </c>
      <c r="I5" s="57">
        <v>85</v>
      </c>
      <c r="J5" s="57"/>
    </row>
  </sheetData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4C4E-88AA-42A9-9034-268842123633}">
  <dimension ref="A1"/>
  <sheetViews>
    <sheetView workbookViewId="0"/>
  </sheetViews>
  <sheetFormatPr defaultRowHeight="13.5"/>
  <sheetData/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3C7D78CAE54784BB3F256BB750707F8" ma:contentTypeVersion="10" ma:contentTypeDescription="新建文档。" ma:contentTypeScope="" ma:versionID="f0530eae1b195bac9528d519cc1eb4d3">
  <xsd:schema xmlns:xsd="http://www.w3.org/2001/XMLSchema" xmlns:xs="http://www.w3.org/2001/XMLSchema" xmlns:p="http://schemas.microsoft.com/office/2006/metadata/properties" xmlns:ns2="3c3e93f4-487e-43c4-8b5e-907e87ef3330" xmlns:ns3="619b62af-d418-4bda-b316-e50db151a074" targetNamespace="http://schemas.microsoft.com/office/2006/metadata/properties" ma:root="true" ma:fieldsID="703610bc45d16970a10a4d4d33056725" ns2:_="" ns3:_="">
    <xsd:import namespace="3c3e93f4-487e-43c4-8b5e-907e87ef3330"/>
    <xsd:import namespace="619b62af-d418-4bda-b316-e50db151a0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e93f4-487e-43c4-8b5e-907e87ef3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62af-d418-4bda-b316-e50db151a0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4a1d75-1c49-4c76-ac38-8d1457eb3a77}" ma:internalName="TaxCatchAll" ma:showField="CatchAllData" ma:web="619b62af-d418-4bda-b316-e50db151a0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3e93f4-487e-43c4-8b5e-907e87ef3330">
      <Terms xmlns="http://schemas.microsoft.com/office/infopath/2007/PartnerControls"/>
    </lcf76f155ced4ddcb4097134ff3c332f>
    <TaxCatchAll xmlns="619b62af-d418-4bda-b316-e50db151a074" xsi:nil="true"/>
  </documentManagement>
</p:properties>
</file>

<file path=customXml/itemProps1.xml><?xml version="1.0" encoding="utf-8"?>
<ds:datastoreItem xmlns:ds="http://schemas.openxmlformats.org/officeDocument/2006/customXml" ds:itemID="{4BDD9963-867D-4F4A-98FC-221B6B811805}"/>
</file>

<file path=customXml/itemProps2.xml><?xml version="1.0" encoding="utf-8"?>
<ds:datastoreItem xmlns:ds="http://schemas.openxmlformats.org/officeDocument/2006/customXml" ds:itemID="{EA288021-4374-4E6F-A621-4678E810EE54}"/>
</file>

<file path=customXml/itemProps3.xml><?xml version="1.0" encoding="utf-8"?>
<ds:datastoreItem xmlns:ds="http://schemas.openxmlformats.org/officeDocument/2006/customXml" ds:itemID="{11677CDB-2D7C-4EA3-93FC-DC4FCD350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/>
  <cp:revision/>
  <dcterms:created xsi:type="dcterms:W3CDTF">2024-09-11T08:56:00Z</dcterms:created>
  <dcterms:modified xsi:type="dcterms:W3CDTF">2026-06-30T01:53:58Z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0x010100F3C7D78CAE54784BB3F256BB750707F8</vt:lpwstr>
  </property>
  <property fmtid="{D5CDD505-2E9C-101B-9397-08002B2CF9AE}" pid="5" name="MediaServiceImageTags">
    <vt:lpwstr/>
  </property>
</Properties>
</file>